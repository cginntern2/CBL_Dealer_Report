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44"/>
  </bookViews>
  <sheets>
    <sheet name="N-1" sheetId="2" r:id="rId1"/>
    <sheet name="N-2" sheetId="3" r:id="rId2"/>
    <sheet name="Sheet1" sheetId="4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_xlnm._FilterDatabase" localSheetId="0" hidden="1">'N-1'!$7:$282</definedName>
    <definedName name="_xlnm._FilterDatabase" localSheetId="1" hidden="1">'N-2'!$A$7:$AS$289</definedName>
  </definedNames>
  <calcPr calcId="144525"/>
</workbook>
</file>

<file path=xl/comments1.xml><?xml version="1.0" encoding="utf-8"?>
<comments xmlns="http://schemas.openxmlformats.org/spreadsheetml/2006/main">
  <authors>
    <author>morshed.alam</author>
  </authors>
  <commentList>
    <comment ref="P57" authorId="0">
      <text>
        <r>
          <rPr>
            <b/>
            <sz val="9"/>
            <color rgb="FF000000"/>
            <rFont val="Times New Roman"/>
            <charset val="134"/>
          </rPr>
          <t>morshed.alam:</t>
        </r>
        <r>
          <rPr>
            <sz val="9"/>
            <color rgb="FF000000"/>
            <rFont val="Times New Roman"/>
            <charset val="134"/>
          </rPr>
          <t xml:space="preserve">
All Scrap Coll</t>
        </r>
      </text>
    </comment>
  </commentList>
</comments>
</file>

<file path=xl/comments2.xml><?xml version="1.0" encoding="utf-8"?>
<comments xmlns="http://schemas.openxmlformats.org/spreadsheetml/2006/main">
  <authors>
    <author>morshed.alam</author>
  </authors>
  <commentList>
    <comment ref="H218" authorId="0">
      <text>
        <r>
          <rPr>
            <b/>
            <sz val="9"/>
            <rFont val="Times New Roman"/>
            <charset val="134"/>
          </rPr>
          <t>morshed.alam:</t>
        </r>
        <r>
          <rPr>
            <sz val="9"/>
            <rFont val="Times New Roman"/>
            <charset val="134"/>
          </rPr>
          <t xml:space="preserve">
03.05.25</t>
        </r>
      </text>
    </comment>
  </commentList>
</comments>
</file>

<file path=xl/sharedStrings.xml><?xml version="1.0" encoding="utf-8"?>
<sst xmlns="http://schemas.openxmlformats.org/spreadsheetml/2006/main" count="1752" uniqueCount="1124">
  <si>
    <t>Regular</t>
  </si>
  <si>
    <t>Cash</t>
  </si>
  <si>
    <t>Monthly</t>
  </si>
  <si>
    <t>Conversion</t>
  </si>
  <si>
    <t>Conversion Lead</t>
  </si>
  <si>
    <t xml:space="preserve">ABP Forecast November -25 </t>
  </si>
  <si>
    <t>Target</t>
  </si>
  <si>
    <t>Acheived</t>
  </si>
  <si>
    <t>GAP QTY</t>
  </si>
  <si>
    <t>Per Day Req</t>
  </si>
  <si>
    <t>Territory Name</t>
  </si>
  <si>
    <t>ERP
ID</t>
  </si>
  <si>
    <t>Dealer Type</t>
  </si>
  <si>
    <t>Dealer Closing 
Time:</t>
  </si>
  <si>
    <t xml:space="preserve">Oct-25
 C/O
</t>
  </si>
  <si>
    <t>Lower Limit</t>
  </si>
  <si>
    <t>Upper Limit</t>
  </si>
  <si>
    <t>ET
Reg</t>
  </si>
  <si>
    <t>ET
Premium</t>
  </si>
  <si>
    <t>Rickshaw</t>
  </si>
  <si>
    <t>IPS</t>
  </si>
  <si>
    <t>Solar</t>
  </si>
  <si>
    <t>Total QTY</t>
  </si>
  <si>
    <t>Sales Value
Net</t>
  </si>
  <si>
    <t>Collection</t>
  </si>
  <si>
    <t>Scrap
(If)</t>
  </si>
  <si>
    <t>Total Collection</t>
  </si>
  <si>
    <t>Oct Collection 
GAP</t>
  </si>
  <si>
    <t>ET</t>
  </si>
  <si>
    <t>TRB</t>
  </si>
  <si>
    <t>Sales Value
Till 1-15th Nov
(Approx)</t>
  </si>
  <si>
    <t>Collection
Till 1-13th Nov
(Approx)</t>
  </si>
  <si>
    <t>Scrap
1-9th</t>
  </si>
  <si>
    <t>MR
Adjustment</t>
  </si>
  <si>
    <t>March-25
Incentive</t>
  </si>
  <si>
    <t>Jan-Mar-25
Incentive</t>
  </si>
  <si>
    <t>Nov
C/Out</t>
  </si>
  <si>
    <t>Collection
GAP</t>
  </si>
  <si>
    <t xml:space="preserve">July </t>
  </si>
  <si>
    <t>Aug</t>
  </si>
  <si>
    <t>Sep</t>
  </si>
  <si>
    <t>Coll Offer 1st</t>
  </si>
  <si>
    <t>Coll Offer 2nd</t>
  </si>
  <si>
    <t>Total
Incentive</t>
  </si>
  <si>
    <t>M/S Adhunik Battery And IPS Bitan</t>
  </si>
  <si>
    <t>01359</t>
  </si>
  <si>
    <t>M/S Alam Battery House</t>
  </si>
  <si>
    <t>M/S Banskhali Enterprise-Joldi (C)</t>
  </si>
  <si>
    <t>01312</t>
  </si>
  <si>
    <t>CONVERSION</t>
  </si>
  <si>
    <t>M/S Bashkhali Enterprise</t>
  </si>
  <si>
    <t>00424</t>
  </si>
  <si>
    <t>REGULAR</t>
  </si>
  <si>
    <t>M/S Belal Battery House</t>
  </si>
  <si>
    <t>01461</t>
  </si>
  <si>
    <t>M/S Boalkhali Battery House</t>
  </si>
  <si>
    <t>01486</t>
  </si>
  <si>
    <t>M/S Boalkhali Battery House (C)</t>
  </si>
  <si>
    <t>01550</t>
  </si>
  <si>
    <t>M/S Brotherhood Auto Electric &amp; A/C Service</t>
  </si>
  <si>
    <t>00457</t>
  </si>
  <si>
    <t>M/S Dulasha Battary House</t>
  </si>
  <si>
    <t>00421</t>
  </si>
  <si>
    <t>M/S Ekata Motors</t>
  </si>
  <si>
    <t>00419</t>
  </si>
  <si>
    <t>M/S Electrob</t>
  </si>
  <si>
    <t>00459</t>
  </si>
  <si>
    <t>M/S Friends Battery House</t>
  </si>
  <si>
    <t>01437</t>
  </si>
  <si>
    <t>M/S H.N. Enterprise</t>
  </si>
  <si>
    <t>00448</t>
  </si>
  <si>
    <t>M/S Hira Motors</t>
  </si>
  <si>
    <t>01100</t>
  </si>
  <si>
    <t>M/S Kalam Auto Motor Parts And Battery House</t>
  </si>
  <si>
    <t>00420</t>
  </si>
  <si>
    <t>M/S Kazi Enterpeise</t>
  </si>
  <si>
    <t>00428</t>
  </si>
  <si>
    <t>M/S Macca Tyre And battery House</t>
  </si>
  <si>
    <t>00439</t>
  </si>
  <si>
    <t>10-10</t>
  </si>
  <si>
    <t>M/S Modina Battery House</t>
  </si>
  <si>
    <t>00441</t>
  </si>
  <si>
    <t>M/S Nabarun Auto Baik Parts</t>
  </si>
  <si>
    <t>00422</t>
  </si>
  <si>
    <t>M/S Pagla Mama Auto Parts</t>
  </si>
  <si>
    <t>01170</t>
  </si>
  <si>
    <t>M/S Prashad Electron Centre</t>
  </si>
  <si>
    <t>00445</t>
  </si>
  <si>
    <t>M/S S.K. Enterprise</t>
  </si>
  <si>
    <t>00845</t>
  </si>
  <si>
    <t>23 - 23</t>
  </si>
  <si>
    <t>M/S S.K. Enterprise (C)</t>
  </si>
  <si>
    <t>01326</t>
  </si>
  <si>
    <t>M/S Sangu Battery House</t>
  </si>
  <si>
    <t>00988</t>
  </si>
  <si>
    <t>M/S Tazal Enterprise</t>
  </si>
  <si>
    <t>00453</t>
  </si>
  <si>
    <t>M/S Wohidul Enterprise</t>
  </si>
  <si>
    <t>00850</t>
  </si>
  <si>
    <t>CASH</t>
  </si>
  <si>
    <t>Chattogram Territory-Atikur</t>
  </si>
  <si>
    <t>M/S Ali Battery House</t>
  </si>
  <si>
    <t>00474</t>
  </si>
  <si>
    <t>M/S Arman Battery House</t>
  </si>
  <si>
    <t>01581</t>
  </si>
  <si>
    <t>M/S Bismillah Motors-Hinla</t>
  </si>
  <si>
    <t>01448</t>
  </si>
  <si>
    <t>M/S Cox's Bazar Battery House</t>
  </si>
  <si>
    <t>00488</t>
  </si>
  <si>
    <t>M/S G. S Motors and Battery</t>
  </si>
  <si>
    <t>01420</t>
  </si>
  <si>
    <t>M/S Hafiz Battery House</t>
  </si>
  <si>
    <t>01368</t>
  </si>
  <si>
    <t>M/S Hira Motors-Chokoria</t>
  </si>
  <si>
    <t>01441</t>
  </si>
  <si>
    <t>M/S Kalam Enterprise</t>
  </si>
  <si>
    <t>01341</t>
  </si>
  <si>
    <t>M/S Mohi Enterprise</t>
  </si>
  <si>
    <t>01356</t>
  </si>
  <si>
    <t>M/S Rahim Motors</t>
  </si>
  <si>
    <t>01542</t>
  </si>
  <si>
    <t>M/S Saiful Motors</t>
  </si>
  <si>
    <t>00482</t>
  </si>
  <si>
    <t>M/S Saiful Motors (C)</t>
  </si>
  <si>
    <t>01313</t>
  </si>
  <si>
    <t>M/S Setu Cycle Mart</t>
  </si>
  <si>
    <t>00471</t>
  </si>
  <si>
    <t>M/S Shah Mojidia Motor Parts</t>
  </si>
  <si>
    <t>00842</t>
  </si>
  <si>
    <t>20 - 20</t>
  </si>
  <si>
    <t>M/S Sifa Motors</t>
  </si>
  <si>
    <t>01443</t>
  </si>
  <si>
    <t>M/S Sohan Motors</t>
  </si>
  <si>
    <t>01385</t>
  </si>
  <si>
    <t>M/S The New Battery Service</t>
  </si>
  <si>
    <t>00487</t>
  </si>
  <si>
    <t>M/S Ukhiya Motors</t>
  </si>
  <si>
    <t>S. R. Auto Parts</t>
  </si>
  <si>
    <t>01342</t>
  </si>
  <si>
    <t xml:space="preserve">Cox's Bazar Territory-Rasel </t>
  </si>
  <si>
    <t>M/S A.P.L. Auto House</t>
  </si>
  <si>
    <t>00328</t>
  </si>
  <si>
    <t>25 - 25</t>
  </si>
  <si>
    <t>M/S A.P.L. Auto House (C)</t>
  </si>
  <si>
    <t>01305</t>
  </si>
  <si>
    <t>M/S Anas Battery &amp; Auto House</t>
  </si>
  <si>
    <t>01401</t>
  </si>
  <si>
    <t>M/S Anik Motors &amp; Battery</t>
  </si>
  <si>
    <t>01262</t>
  </si>
  <si>
    <t>M/S Anik Motors &amp; Battery (C)</t>
  </si>
  <si>
    <t>01444</t>
  </si>
  <si>
    <t>Conver-Lead</t>
  </si>
  <si>
    <t>M/S Bondhu Motors</t>
  </si>
  <si>
    <t>01147</t>
  </si>
  <si>
    <t>M/S Gawsia Enterprise</t>
  </si>
  <si>
    <t>00348</t>
  </si>
  <si>
    <t>M/S Khalaq Motors-Feni</t>
  </si>
  <si>
    <t>01133</t>
  </si>
  <si>
    <t>M/S Khokon IPS &amp; Battery Center</t>
  </si>
  <si>
    <t>00330</t>
  </si>
  <si>
    <t>M/S Khokon IPS &amp; Battery Center (C)</t>
  </si>
  <si>
    <t>01306</t>
  </si>
  <si>
    <t>M/S Laksam Battery House</t>
  </si>
  <si>
    <t>00336</t>
  </si>
  <si>
    <t>M/S Lalmai Machineries &amp; Parts</t>
  </si>
  <si>
    <t>00329</t>
  </si>
  <si>
    <t>M/S Maa Battery Service</t>
  </si>
  <si>
    <t>00327</t>
  </si>
  <si>
    <t>M/S Mayer Doya Auto Parts-Feni</t>
  </si>
  <si>
    <t>00373</t>
  </si>
  <si>
    <t>M/S Mayer Doya Auto Parts-Laksam</t>
  </si>
  <si>
    <t>00325</t>
  </si>
  <si>
    <t>M/S Miazi Electronics and Battery</t>
  </si>
  <si>
    <t>01106</t>
  </si>
  <si>
    <t>M/S Mokka Motors-Cumilla</t>
  </si>
  <si>
    <t>01459</t>
  </si>
  <si>
    <t>M/S Mokka Motors-Cumilla (C)</t>
  </si>
  <si>
    <t>01481</t>
  </si>
  <si>
    <t>M/S National Motors-Feni</t>
  </si>
  <si>
    <t>01102</t>
  </si>
  <si>
    <t>M/S New Saika Motors</t>
  </si>
  <si>
    <t>00343</t>
  </si>
  <si>
    <t>M/S New Sunsill Battery &amp; Tyre</t>
  </si>
  <si>
    <t>00224</t>
  </si>
  <si>
    <t>M/S Payar Auto Electric Works</t>
  </si>
  <si>
    <t>00371</t>
  </si>
  <si>
    <t>M/S Power Battery</t>
  </si>
  <si>
    <t>00324</t>
  </si>
  <si>
    <t>M/S Power Plus</t>
  </si>
  <si>
    <t>00326</t>
  </si>
  <si>
    <t>M/S Protibesi Motors (C)</t>
  </si>
  <si>
    <t>01568</t>
  </si>
  <si>
    <t>M/S Rajapur IPS &amp; Battery House</t>
  </si>
  <si>
    <t>01400</t>
  </si>
  <si>
    <t>M/S Rasel Bettary Service</t>
  </si>
  <si>
    <t>01380</t>
  </si>
  <si>
    <t>M/S S.R. Battery and Tyre Centre</t>
  </si>
  <si>
    <t>00359</t>
  </si>
  <si>
    <t>M/S S.S. Enterprise-Norshingdi</t>
  </si>
  <si>
    <t>01118</t>
  </si>
  <si>
    <t>M/S S.S. Enterprise-Norshingdi (C)</t>
  </si>
  <si>
    <t>01331</t>
  </si>
  <si>
    <t>M/S Sajib Enterprise</t>
  </si>
  <si>
    <t>01363</t>
  </si>
  <si>
    <t>M/S Sajib Enterprise (C)</t>
  </si>
  <si>
    <t>01353</t>
  </si>
  <si>
    <t>M/S Taher Enterprise</t>
  </si>
  <si>
    <t>00366</t>
  </si>
  <si>
    <t>M/S Unique Battery and Solar</t>
  </si>
  <si>
    <t>01157</t>
  </si>
  <si>
    <t>Cumilla Territory-Subrata</t>
  </si>
  <si>
    <t>M/S Allahar Dan Battery</t>
  </si>
  <si>
    <t>01466</t>
  </si>
  <si>
    <t>M/S New Al-Amin Battery House</t>
  </si>
  <si>
    <t>00270</t>
  </si>
  <si>
    <t>M/S Power Battery And Tyre</t>
  </si>
  <si>
    <t>01477</t>
  </si>
  <si>
    <t>M/S Samir Battery And Tyre</t>
  </si>
  <si>
    <t>01450</t>
  </si>
  <si>
    <t>M/S Satata Battery House</t>
  </si>
  <si>
    <t>01417</t>
  </si>
  <si>
    <t>M/S Satata Battery House (C)</t>
  </si>
  <si>
    <t>01517</t>
  </si>
  <si>
    <t>Nayangonj Territory (COM)-Aziz</t>
  </si>
  <si>
    <t>M/S Adib Auto Parts</t>
  </si>
  <si>
    <t>01446</t>
  </si>
  <si>
    <t>M/S Arafat Battery House</t>
  </si>
  <si>
    <t>01445</t>
  </si>
  <si>
    <t>M/S Eva Grill Workshop &amp; Hardware</t>
  </si>
  <si>
    <t>01440</t>
  </si>
  <si>
    <t>M/S Farhan Auto</t>
  </si>
  <si>
    <t>00300</t>
  </si>
  <si>
    <t>M/S Farhan Auto (C)</t>
  </si>
  <si>
    <t>01298</t>
  </si>
  <si>
    <t>M/S Hazi Auto &amp; Solar</t>
  </si>
  <si>
    <t>00827</t>
  </si>
  <si>
    <t>M/S Hazi Automobiles &amp; Service Centre</t>
  </si>
  <si>
    <t>00315</t>
  </si>
  <si>
    <t>M/S Islamia Battery Service- Chandpur</t>
  </si>
  <si>
    <t>00306</t>
  </si>
  <si>
    <t>M/S L D Poribahan &amp; Trading</t>
  </si>
  <si>
    <t>00301</t>
  </si>
  <si>
    <t>M/S L D Poribahan &amp; Trading (C)</t>
  </si>
  <si>
    <t>01299</t>
  </si>
  <si>
    <t>M/S Loknath Auto Parts</t>
  </si>
  <si>
    <t>00310</t>
  </si>
  <si>
    <t>M/S Mohshin Battery House</t>
  </si>
  <si>
    <t>00303</t>
  </si>
  <si>
    <t>M/S Showrob Auto &amp; Machinery House</t>
  </si>
  <si>
    <t>00312</t>
  </si>
  <si>
    <t>M/S Supreme Auto</t>
  </si>
  <si>
    <t>00304</t>
  </si>
  <si>
    <t>M/S Supreme Auto (C)</t>
  </si>
  <si>
    <t>01300</t>
  </si>
  <si>
    <t>Noakhali Territory-Imam</t>
  </si>
  <si>
    <t>Zone ABP</t>
  </si>
  <si>
    <t>Aug Forecast</t>
  </si>
  <si>
    <t>M/S Al - Mokka Enterprise</t>
  </si>
  <si>
    <t>01112</t>
  </si>
  <si>
    <t>M/S Al - Mokka Enterprise (C)</t>
  </si>
  <si>
    <t>01553</t>
  </si>
  <si>
    <t>M/S Al Amin Battery House</t>
  </si>
  <si>
    <t>01580</t>
  </si>
  <si>
    <t>M/S Allahar Dan Enterprise</t>
  </si>
  <si>
    <t>01094</t>
  </si>
  <si>
    <t>M/S Arafat Enterprise</t>
  </si>
  <si>
    <t>00094</t>
  </si>
  <si>
    <t>M/S Arafat Enterprise (C)</t>
  </si>
  <si>
    <t>01290</t>
  </si>
  <si>
    <t>M/S EVE Energy Traders (C)</t>
  </si>
  <si>
    <t>01586</t>
  </si>
  <si>
    <t>M/S Gazipur Battery House</t>
  </si>
  <si>
    <t>00826</t>
  </si>
  <si>
    <t>M/S Gazipur Battery House (C)</t>
  </si>
  <si>
    <t>01549</t>
  </si>
  <si>
    <t>M/S Hasan Enterprise</t>
  </si>
  <si>
    <t>00090</t>
  </si>
  <si>
    <t>M/S Hasan Enterprise (C)</t>
  </si>
  <si>
    <t>01289</t>
  </si>
  <si>
    <t>M/S Ma Tyre &amp; Battery  Shop</t>
  </si>
  <si>
    <t>00088</t>
  </si>
  <si>
    <t>M/S Maa Battery &amp; IPS Store</t>
  </si>
  <si>
    <t>00183</t>
  </si>
  <si>
    <t>M/S Mahtab Engineering Workshop</t>
  </si>
  <si>
    <t>01429</t>
  </si>
  <si>
    <t>M/S Master Motor's</t>
  </si>
  <si>
    <t>00217</t>
  </si>
  <si>
    <t>M/S Mohanagar Motors</t>
  </si>
  <si>
    <t>00331</t>
  </si>
  <si>
    <t>M/S Musulli Enterprise</t>
  </si>
  <si>
    <t>00091</t>
  </si>
  <si>
    <t>M/S Rifat Enterprise</t>
  </si>
  <si>
    <t>00333</t>
  </si>
  <si>
    <t>M/S Rifat Enterprise (C)</t>
  </si>
  <si>
    <t>01531</t>
  </si>
  <si>
    <t>M/S S.B. Energy</t>
  </si>
  <si>
    <t>00087</t>
  </si>
  <si>
    <t xml:space="preserve"> </t>
  </si>
  <si>
    <t>M/S S.B. Energy (C)</t>
  </si>
  <si>
    <t>01288</t>
  </si>
  <si>
    <t>M/S Sadaf Auto &amp;  Vulcanizing Corner</t>
  </si>
  <si>
    <t>00089</t>
  </si>
  <si>
    <t>M/S Sakib Enterprise</t>
  </si>
  <si>
    <t>01467</t>
  </si>
  <si>
    <t>M/S Shoshi Enterprise</t>
  </si>
  <si>
    <t>01153</t>
  </si>
  <si>
    <t>M/S Shoshi Enterprise (C)</t>
  </si>
  <si>
    <t>01335</t>
  </si>
  <si>
    <t>M/S Siddiquia Auto Parts</t>
  </si>
  <si>
    <t>00093</t>
  </si>
  <si>
    <t>M/S Sowa Motors &amp; Battery Shop</t>
  </si>
  <si>
    <t>00085</t>
  </si>
  <si>
    <t>M/S Sowa Motors &amp; Battery Shop (C)</t>
  </si>
  <si>
    <t>01287</t>
  </si>
  <si>
    <t>Gazipur Territory-Imtiaj</t>
  </si>
  <si>
    <t>M/S Adnan Tyre and Battery House</t>
  </si>
  <si>
    <t>01371</t>
  </si>
  <si>
    <t>M/S Ananna Battery &amp; Tyre</t>
  </si>
  <si>
    <t>01088</t>
  </si>
  <si>
    <t>M/S Anas Enterprise</t>
  </si>
  <si>
    <t>00817</t>
  </si>
  <si>
    <t>M/S Anas Enterprise (C)</t>
  </si>
  <si>
    <t>01551</t>
  </si>
  <si>
    <t>M/S Athai Volkanizing Tire Center</t>
  </si>
  <si>
    <t>00010</t>
  </si>
  <si>
    <t>M/S Awal Motors</t>
  </si>
  <si>
    <t>00279</t>
  </si>
  <si>
    <t>M/S Azad Enterprise-2</t>
  </si>
  <si>
    <t>01098</t>
  </si>
  <si>
    <t>M/S Bhai Bhai Motor Parts</t>
  </si>
  <si>
    <t>00021</t>
  </si>
  <si>
    <t>M/S Hemayetpur Battery House (C)</t>
  </si>
  <si>
    <t>01478</t>
  </si>
  <si>
    <t>M/S Hiron Cycle Store</t>
  </si>
  <si>
    <t>00050</t>
  </si>
  <si>
    <t>M/S Jewel Motors</t>
  </si>
  <si>
    <t>00259</t>
  </si>
  <si>
    <t>M/S Khan Battery Recycling</t>
  </si>
  <si>
    <t>01521</t>
  </si>
  <si>
    <t>M/S Khan Battery Recycling (C)</t>
  </si>
  <si>
    <t>01282</t>
  </si>
  <si>
    <t>M/S Lamia Trade International</t>
  </si>
  <si>
    <t>00053</t>
  </si>
  <si>
    <t>M/S Lion Motors</t>
  </si>
  <si>
    <t>00025</t>
  </si>
  <si>
    <t>M/S Lutfor Auto Battery House</t>
  </si>
  <si>
    <t>00829</t>
  </si>
  <si>
    <t>M/S Lutfor Auto Battery House (C)</t>
  </si>
  <si>
    <t>01323</t>
  </si>
  <si>
    <t>M/S Ma Motors - Birolia</t>
  </si>
  <si>
    <t>00007</t>
  </si>
  <si>
    <t>M/S Ma Motors - Birolia (C)</t>
  </si>
  <si>
    <t>01286</t>
  </si>
  <si>
    <t>M/S Mahid Traders</t>
  </si>
  <si>
    <t>00004</t>
  </si>
  <si>
    <t>M/S Modina Cycle Store</t>
  </si>
  <si>
    <t>01270</t>
  </si>
  <si>
    <t>M/S Modina Cycle Store (C)</t>
  </si>
  <si>
    <t>01519</t>
  </si>
  <si>
    <t>M/S Modina Enterprise - Savar</t>
  </si>
  <si>
    <t>01404</t>
  </si>
  <si>
    <t>M/S Monir Auto &amp; Battery House</t>
  </si>
  <si>
    <t>00001</t>
  </si>
  <si>
    <t>M/S Monir Auto &amp; Battery House (C)</t>
  </si>
  <si>
    <t>01596</t>
  </si>
  <si>
    <t>M/S Naima Auto Tyre &amp; Battery</t>
  </si>
  <si>
    <t>00047</t>
  </si>
  <si>
    <t>M/S New Al Modina Auto House</t>
  </si>
  <si>
    <t>01452</t>
  </si>
  <si>
    <t>M/S New Asia Motors</t>
  </si>
  <si>
    <t>00051</t>
  </si>
  <si>
    <t>M/S New Dhaka Motors and Battery</t>
  </si>
  <si>
    <t>00005</t>
  </si>
  <si>
    <t>M/S New Dhaka Motors and Battery (C)</t>
  </si>
  <si>
    <t>01554</t>
  </si>
  <si>
    <t>M/S New Surid Auto Parts</t>
  </si>
  <si>
    <t>00029</t>
  </si>
  <si>
    <t>M/S Polash Battery and Auto Parts</t>
  </si>
  <si>
    <t>01244</t>
  </si>
  <si>
    <t>M/S Rafiq Enterprise</t>
  </si>
  <si>
    <t>00003</t>
  </si>
  <si>
    <t>M/S Rashed Enterprise</t>
  </si>
  <si>
    <t>00030</t>
  </si>
  <si>
    <t>20-20</t>
  </si>
  <si>
    <t>M/S Ripon Tyre and Battery</t>
  </si>
  <si>
    <t>00002</t>
  </si>
  <si>
    <t>M/S Ripon Tyre and Battery (C)</t>
  </si>
  <si>
    <t>01557</t>
  </si>
  <si>
    <t>M/S Simanto Battery House (C)</t>
  </si>
  <si>
    <t>01593</t>
  </si>
  <si>
    <t>M/S S. K. Battery House</t>
  </si>
  <si>
    <t>00042</t>
  </si>
  <si>
    <t>M/S S. K. Battery House (C)</t>
  </si>
  <si>
    <t>01530</t>
  </si>
  <si>
    <t>M/S Taiyeba Motors</t>
  </si>
  <si>
    <t>01394</t>
  </si>
  <si>
    <t>M/S Tamim Tyre &amp; Battery Shop</t>
  </si>
  <si>
    <t>00116</t>
  </si>
  <si>
    <t>M/S Tawhid Motors</t>
  </si>
  <si>
    <t>00006</t>
  </si>
  <si>
    <t>M/S Uzzal Battery &amp; Auto Electric</t>
  </si>
  <si>
    <t>01469</t>
  </si>
  <si>
    <t>Tangail Territory-Shamsir</t>
  </si>
  <si>
    <t>M/S Al - Modina Enterprise</t>
  </si>
  <si>
    <t>01442</t>
  </si>
  <si>
    <t>M/S Alhamdulillah Auto &amp; Battery House</t>
  </si>
  <si>
    <t>01099</t>
  </si>
  <si>
    <t>M/S Anowar Battery &amp; Tyre Shop</t>
  </si>
  <si>
    <t>00818</t>
  </si>
  <si>
    <t>M/S Joynal Electric &amp; Solar</t>
  </si>
  <si>
    <t>01532</t>
  </si>
  <si>
    <t>M/S Khan Auto Bike &amp; Battery</t>
  </si>
  <si>
    <t>00180</t>
  </si>
  <si>
    <t>M/S Mizan Traders</t>
  </si>
  <si>
    <t>00179</t>
  </si>
  <si>
    <t>M/S New Sagor Traders</t>
  </si>
  <si>
    <t>00182</t>
  </si>
  <si>
    <t>M/S Rabbi Auto Parts Electronics &amp; Battery Shop</t>
  </si>
  <si>
    <t>00184</t>
  </si>
  <si>
    <t>M/S Sharif Battery House &amp; IPS Center</t>
  </si>
  <si>
    <t>01424</t>
  </si>
  <si>
    <t>M/S Sharif Battery House &amp; IPS Center (C)</t>
  </si>
  <si>
    <t>01491</t>
  </si>
  <si>
    <t>Nayangonj Territory (TNG)-Aziz</t>
  </si>
  <si>
    <t>M/S Adhunik Enterprise</t>
  </si>
  <si>
    <t>01122</t>
  </si>
  <si>
    <t>M/S Aftab Enterprice</t>
  </si>
  <si>
    <t>01344</t>
  </si>
  <si>
    <t>M/S Al - Rafi Traders</t>
  </si>
  <si>
    <t>00816</t>
  </si>
  <si>
    <t>M/S Al Amin-2 Sanitary Hardware &amp; Cycle Store</t>
  </si>
  <si>
    <t>01272</t>
  </si>
  <si>
    <t>M/S Al Baraka Enterprise</t>
  </si>
  <si>
    <t>00159</t>
  </si>
  <si>
    <t>M/S Al Madina Enterprise</t>
  </si>
  <si>
    <t>00814</t>
  </si>
  <si>
    <t>M/S Amir Auto House</t>
  </si>
  <si>
    <t>00138</t>
  </si>
  <si>
    <t>M/S Apurbo Battery House</t>
  </si>
  <si>
    <t>01398</t>
  </si>
  <si>
    <t>M/S B.P Battery House</t>
  </si>
  <si>
    <t>01130</t>
  </si>
  <si>
    <t>M/S Bhai Bhai Cycle Mart</t>
  </si>
  <si>
    <t>00823</t>
  </si>
  <si>
    <t>M/S Bondhu Auto and CNG Workshop</t>
  </si>
  <si>
    <t>01149</t>
  </si>
  <si>
    <t>M/S Comilla Traders</t>
  </si>
  <si>
    <t>00334</t>
  </si>
  <si>
    <t>M/S Doyal Battery</t>
  </si>
  <si>
    <t>00337</t>
  </si>
  <si>
    <t>M/S Doyal Battery (C)</t>
  </si>
  <si>
    <t>01308</t>
  </si>
  <si>
    <t>M/S Hojaifa Enterprise</t>
  </si>
  <si>
    <t>00170</t>
  </si>
  <si>
    <t>M/S Hridoy Auto Servicing Center</t>
  </si>
  <si>
    <t>00137</t>
  </si>
  <si>
    <t>M/S Mashpi Battery &amp; Auto</t>
  </si>
  <si>
    <t>01152</t>
  </si>
  <si>
    <t>M/S Nasir Motors</t>
  </si>
  <si>
    <t>01248</t>
  </si>
  <si>
    <t>M/S Nurani Motors and Parts</t>
  </si>
  <si>
    <t>00345</t>
  </si>
  <si>
    <t>M/S Raisa Radia  Battery House</t>
  </si>
  <si>
    <t>00867</t>
  </si>
  <si>
    <t>M/S Rubel Auto House</t>
  </si>
  <si>
    <t>01113</t>
  </si>
  <si>
    <t>M/S Sawda Auto and Battery</t>
  </si>
  <si>
    <t>01261</t>
  </si>
  <si>
    <t>M/S Shahjalal Enterprise</t>
  </si>
  <si>
    <t>01090</t>
  </si>
  <si>
    <t>M/S Shahjalal Traders</t>
  </si>
  <si>
    <t>01362</t>
  </si>
  <si>
    <t>M/S Siam Motors</t>
  </si>
  <si>
    <t>00367</t>
  </si>
  <si>
    <t>M/S Takwa Enterprise</t>
  </si>
  <si>
    <t>00847</t>
  </si>
  <si>
    <t>M/S Tamjid Enterprise</t>
  </si>
  <si>
    <t>01123</t>
  </si>
  <si>
    <t>M/S Tanim Traders and Battery House</t>
  </si>
  <si>
    <t>00160</t>
  </si>
  <si>
    <t>M/S Walid Traders &amp; Auto</t>
  </si>
  <si>
    <t>01422</t>
  </si>
  <si>
    <t>Hobigonj Territory-Ajharul</t>
  </si>
  <si>
    <t>M/S Bismillah Battery House -Sylhet</t>
  </si>
  <si>
    <t>00389</t>
  </si>
  <si>
    <t>M/S City Auto</t>
  </si>
  <si>
    <t>00398</t>
  </si>
  <si>
    <t>M/S Fateha Battery</t>
  </si>
  <si>
    <t>00388</t>
  </si>
  <si>
    <t>M/S Janata Battery-Moulvibazar</t>
  </si>
  <si>
    <t>01104</t>
  </si>
  <si>
    <t>M/S Janata Enterprise</t>
  </si>
  <si>
    <t>00392</t>
  </si>
  <si>
    <t>M/S Kalam Battery House</t>
  </si>
  <si>
    <t>01247</t>
  </si>
  <si>
    <t>M/S Md. Abdul Momin</t>
  </si>
  <si>
    <t>01279</t>
  </si>
  <si>
    <t>M/S Minara Traders</t>
  </si>
  <si>
    <t>01108</t>
  </si>
  <si>
    <t>M/S Minara Traders (C)</t>
  </si>
  <si>
    <t>01423</t>
  </si>
  <si>
    <t>M/S Oppo Parts &amp; Battery House</t>
  </si>
  <si>
    <t>01508</t>
  </si>
  <si>
    <t>M/S Rafi Battery House</t>
  </si>
  <si>
    <t>00410</t>
  </si>
  <si>
    <t>M/S Rumi Battery House</t>
  </si>
  <si>
    <t>00387</t>
  </si>
  <si>
    <t>M/S S.M. Enterprise- Sunamgonj</t>
  </si>
  <si>
    <t>00390</t>
  </si>
  <si>
    <t>M/S Sharif Battery House</t>
  </si>
  <si>
    <t>00409</t>
  </si>
  <si>
    <t>M/S Tanvir Battery House</t>
  </si>
  <si>
    <t>01175</t>
  </si>
  <si>
    <t>Sylhet Territory-Sukesh</t>
  </si>
  <si>
    <t>M/S Akhi Battery &amp; Tyre</t>
  </si>
  <si>
    <t>00140</t>
  </si>
  <si>
    <t xml:space="preserve">M/S B.R.S.  Sowra Bidduyt </t>
  </si>
  <si>
    <t>00415</t>
  </si>
  <si>
    <t>M/S Babul Enterprise</t>
  </si>
  <si>
    <t>00135</t>
  </si>
  <si>
    <t>M/S Babul Enterprise (C)</t>
  </si>
  <si>
    <t>01292</t>
  </si>
  <si>
    <t>M/S Bhai Bhai Traders-Kendua</t>
  </si>
  <si>
    <t>00165</t>
  </si>
  <si>
    <t>M/S Bismillah Auto - Netrokona</t>
  </si>
  <si>
    <t>00162</t>
  </si>
  <si>
    <t>M/S Bismillah Auto - Netrokona (C)</t>
  </si>
  <si>
    <t>01294</t>
  </si>
  <si>
    <t>M/S Bismillah Motors -Nalitabari</t>
  </si>
  <si>
    <t>01085</t>
  </si>
  <si>
    <t>M/S Bondhu Battery &amp; Auto</t>
  </si>
  <si>
    <t>00163</t>
  </si>
  <si>
    <t>M/S Ira Motors</t>
  </si>
  <si>
    <t>00133</t>
  </si>
  <si>
    <t>M/S Jim Enterprise</t>
  </si>
  <si>
    <t>01474</t>
  </si>
  <si>
    <t>M/S Jogotbondhu Battery &amp; Eng. Workshop</t>
  </si>
  <si>
    <t>00143</t>
  </si>
  <si>
    <t>M/S Mahadi Enterprise</t>
  </si>
  <si>
    <t>01473</t>
  </si>
  <si>
    <t>M/S Mahadi Motors</t>
  </si>
  <si>
    <t>01343</t>
  </si>
  <si>
    <t>M/S Nazrul Mike &amp; Battery</t>
  </si>
  <si>
    <t>00141</t>
  </si>
  <si>
    <t>M/S Prarthona Motors (C)</t>
  </si>
  <si>
    <t>01451</t>
  </si>
  <si>
    <t>M/S Raza Mic &amp; Battery House</t>
  </si>
  <si>
    <t>01489</t>
  </si>
  <si>
    <t>M/S Sadia Enterprise</t>
  </si>
  <si>
    <t>01490</t>
  </si>
  <si>
    <t>M/S Sadia Enterprise (C)</t>
  </si>
  <si>
    <t>01594</t>
  </si>
  <si>
    <t>M/S Samar Auto</t>
  </si>
  <si>
    <t>01434</t>
  </si>
  <si>
    <t>M/S Samar Auto (C)</t>
  </si>
  <si>
    <t>01522</t>
  </si>
  <si>
    <t>M/S Sarker Enterprise-2</t>
  </si>
  <si>
    <t>01433</t>
  </si>
  <si>
    <t>M/S Shapla Battery &amp; Auto House</t>
  </si>
  <si>
    <t>01447</t>
  </si>
  <si>
    <t>M/S Snigdha Battery</t>
  </si>
  <si>
    <t>00134</t>
  </si>
  <si>
    <t>M/S Sunny Auto House</t>
  </si>
  <si>
    <t>01084</t>
  </si>
  <si>
    <t>M/S Sur Sangit Mike &amp; Battery</t>
  </si>
  <si>
    <t>M/S Talukder Motors</t>
  </si>
  <si>
    <t>00161</t>
  </si>
  <si>
    <t>M/S Talukder Motors (C)</t>
  </si>
  <si>
    <t>01471</t>
  </si>
  <si>
    <t>M/S Tamim Enterprise</t>
  </si>
  <si>
    <t>01395</t>
  </si>
  <si>
    <t>M/S Tara Mike Service</t>
  </si>
  <si>
    <t>00848</t>
  </si>
  <si>
    <t>M/S Zaman Battery House</t>
  </si>
  <si>
    <t>00146</t>
  </si>
  <si>
    <t>M/S Zaman Battery House (C)</t>
  </si>
  <si>
    <t>01544</t>
  </si>
  <si>
    <t>Mymenshing Territory-Amit</t>
  </si>
  <si>
    <t>Aug Forecast Without Dry</t>
  </si>
  <si>
    <t>Grand Total</t>
  </si>
  <si>
    <t>QTY GAP</t>
  </si>
  <si>
    <t>ET Con</t>
  </si>
  <si>
    <t>TRB Con</t>
  </si>
  <si>
    <t>Customer Name</t>
  </si>
  <si>
    <t>ID</t>
  </si>
  <si>
    <t>Sales Value</t>
  </si>
  <si>
    <t>Sep-25
Collection 
GAP</t>
  </si>
  <si>
    <t>Nov-2025
C/Out</t>
  </si>
  <si>
    <t>Remarks</t>
  </si>
  <si>
    <t>M/S Abul Enterprise</t>
  </si>
  <si>
    <t>00718</t>
  </si>
  <si>
    <t>M/S Aleya Motors</t>
  </si>
  <si>
    <t>00709</t>
  </si>
  <si>
    <t>M/S Alif Ananda Auto and Battery House</t>
  </si>
  <si>
    <t>01513</t>
  </si>
  <si>
    <t>M/S Allahar Dan Enterprise-Norail</t>
  </si>
  <si>
    <t>01528</t>
  </si>
  <si>
    <t>M/S An - Nohol Trading</t>
  </si>
  <si>
    <t>01137</t>
  </si>
  <si>
    <t>M/S Bibak Motors</t>
  </si>
  <si>
    <t>00710</t>
  </si>
  <si>
    <t>M/S Bismillah Battery House-Jeshore</t>
  </si>
  <si>
    <t>01053</t>
  </si>
  <si>
    <t>M/S Bismillah Motors-Bagerhat</t>
  </si>
  <si>
    <t>00703</t>
  </si>
  <si>
    <t>M/S Desher Alo Solar Power</t>
  </si>
  <si>
    <t>01541</t>
  </si>
  <si>
    <t>M/S Easar Trading</t>
  </si>
  <si>
    <t>00675</t>
  </si>
  <si>
    <t>M/S Echo Electronics</t>
  </si>
  <si>
    <t>00719</t>
  </si>
  <si>
    <t>M/S F.R. Trading</t>
  </si>
  <si>
    <t>00706</t>
  </si>
  <si>
    <t>M/S Golden Bike</t>
  </si>
  <si>
    <t>00625</t>
  </si>
  <si>
    <t>M/S Golden Bike (C)</t>
  </si>
  <si>
    <t>01583</t>
  </si>
  <si>
    <t>M/S Khan Battery</t>
  </si>
  <si>
    <t>00728</t>
  </si>
  <si>
    <t>M/S Lamia Battery</t>
  </si>
  <si>
    <t>00701</t>
  </si>
  <si>
    <t>M/S Lamia Battery (C)</t>
  </si>
  <si>
    <t>01345</t>
  </si>
  <si>
    <t>M/S Maa Battery IPS &amp; Solar - Bagerhat</t>
  </si>
  <si>
    <t>00708</t>
  </si>
  <si>
    <t>M/S Mamun Electronics</t>
  </si>
  <si>
    <t>00628</t>
  </si>
  <si>
    <t>M/S Mollah Enterprise - Gopalgonj</t>
  </si>
  <si>
    <t>01068</t>
  </si>
  <si>
    <t>M/S Mollah Enterprise - Gopalgonj (C)</t>
  </si>
  <si>
    <t>01509</t>
  </si>
  <si>
    <t>M/S Nafisa Motors Ltd.</t>
  </si>
  <si>
    <t>00707</t>
  </si>
  <si>
    <t>M/S Neptune Motors</t>
  </si>
  <si>
    <t>00649</t>
  </si>
  <si>
    <t>M/S New Auto Hardware</t>
  </si>
  <si>
    <t>01096</t>
  </si>
  <si>
    <t>M/S R. S. Auto House</t>
  </si>
  <si>
    <t>01101</t>
  </si>
  <si>
    <t>M/S Raja Enterprise</t>
  </si>
  <si>
    <t>01077</t>
  </si>
  <si>
    <t xml:space="preserve">M/S Rasel Chaina Battery </t>
  </si>
  <si>
    <t>01144</t>
  </si>
  <si>
    <t>M/S S. K. Battery and Motors</t>
  </si>
  <si>
    <t>M/S Sadiq Enterprise</t>
  </si>
  <si>
    <t>01067</t>
  </si>
  <si>
    <t>M/S Sadiq Enterprise (C)</t>
  </si>
  <si>
    <t>01484</t>
  </si>
  <si>
    <t>M/S Shawon Motors - Jhenaidah</t>
  </si>
  <si>
    <t>00646</t>
  </si>
  <si>
    <t>M/S Shekh Enterprise - Khulna</t>
  </si>
  <si>
    <t>01435</t>
  </si>
  <si>
    <t>M/S Smart Electronics</t>
  </si>
  <si>
    <t>01432</t>
  </si>
  <si>
    <t>M/S Subarno Electric</t>
  </si>
  <si>
    <t>00704</t>
  </si>
  <si>
    <t>M/S Sundarban Trading</t>
  </si>
  <si>
    <t>01119</t>
  </si>
  <si>
    <t>M/S Tamim Motors - Bagerhat</t>
  </si>
  <si>
    <t>00702</t>
  </si>
  <si>
    <t>M/S Tanha Battery House</t>
  </si>
  <si>
    <t>01390</t>
  </si>
  <si>
    <t>M/S Tanha Battery House (C)</t>
  </si>
  <si>
    <t>M/S Toyota Battery</t>
  </si>
  <si>
    <t>00731</t>
  </si>
  <si>
    <t>M/S Tructor &amp; Salo</t>
  </si>
  <si>
    <t>00665</t>
  </si>
  <si>
    <t>KLN  TOTAL-Tuhin</t>
  </si>
  <si>
    <t>M/S Aminul Battery House</t>
  </si>
  <si>
    <t>01250</t>
  </si>
  <si>
    <t>M/S Anis Auto</t>
  </si>
  <si>
    <t>00685</t>
  </si>
  <si>
    <t>M/S Battery House - Pabna</t>
  </si>
  <si>
    <t>00534</t>
  </si>
  <si>
    <t>M/S Battery House - Pabna (C)</t>
  </si>
  <si>
    <t>01315</t>
  </si>
  <si>
    <t>M/S Bhai Bhai Auto</t>
  </si>
  <si>
    <t>01056</t>
  </si>
  <si>
    <t>M/S Chapai Auto Battery House</t>
  </si>
  <si>
    <t>01487</t>
  </si>
  <si>
    <t>M/S Chapai Auto Battery House (C)</t>
  </si>
  <si>
    <t>M/S Forhad Battery House</t>
  </si>
  <si>
    <t>00535</t>
  </si>
  <si>
    <t>M/S K.R. Motors- Kustia</t>
  </si>
  <si>
    <t>00661</t>
  </si>
  <si>
    <t>M/S L J Battery House</t>
  </si>
  <si>
    <t>01120</t>
  </si>
  <si>
    <t>M/S M.K. Auto House</t>
  </si>
  <si>
    <t>00834</t>
  </si>
  <si>
    <t>M/S Nazrul Battery Ghor &amp; Auto Parts</t>
  </si>
  <si>
    <t>00836</t>
  </si>
  <si>
    <t>M/S New Sakas Battery</t>
  </si>
  <si>
    <t>00544</t>
  </si>
  <si>
    <t>M/S Oreya Enterprise</t>
  </si>
  <si>
    <t>00537</t>
  </si>
  <si>
    <t>M/S Parvez Auto Parts</t>
  </si>
  <si>
    <t>01367</t>
  </si>
  <si>
    <t>M/S Parvez Hardware</t>
  </si>
  <si>
    <t>00545</t>
  </si>
  <si>
    <t>M/S Rafi Motors &amp; Battery</t>
  </si>
  <si>
    <t>00838</t>
  </si>
  <si>
    <t>M/S Rafid Motors</t>
  </si>
  <si>
    <t>00536</t>
  </si>
  <si>
    <t>M/S Rahmot Engineering Complex</t>
  </si>
  <si>
    <t>01482</t>
  </si>
  <si>
    <t>M/S Retu Battery</t>
  </si>
  <si>
    <t>00546</t>
  </si>
  <si>
    <t>M/S Road King Battery House-2</t>
  </si>
  <si>
    <t>00551</t>
  </si>
  <si>
    <t>M/S S.K. Motors - Kushtia</t>
  </si>
  <si>
    <t>01057</t>
  </si>
  <si>
    <t>M/S Shanta Hardware And Auto Parts</t>
  </si>
  <si>
    <t>01140</t>
  </si>
  <si>
    <t>M/S Shahadat Auto Repairing Workshop</t>
  </si>
  <si>
    <t>M/S Shahadat Auto Repairing Workshop (C)</t>
  </si>
  <si>
    <t>01589</t>
  </si>
  <si>
    <t>M/S Sonali Traders</t>
  </si>
  <si>
    <t>00558</t>
  </si>
  <si>
    <t>M/S Suchana Battery</t>
  </si>
  <si>
    <t>00621</t>
  </si>
  <si>
    <t>RAJ TOTAL-Nazmul</t>
  </si>
  <si>
    <t>M/S Al - Amin Battery House</t>
  </si>
  <si>
    <t>00647</t>
  </si>
  <si>
    <t>M/S Bamondi Battery House</t>
  </si>
  <si>
    <t>00618</t>
  </si>
  <si>
    <t>M/S Bonna Enterprise</t>
  </si>
  <si>
    <t>00617</t>
  </si>
  <si>
    <t>M/S Classic Auto House</t>
  </si>
  <si>
    <t>01136</t>
  </si>
  <si>
    <t>M/S Dhaka Electric Workshop</t>
  </si>
  <si>
    <t>00674</t>
  </si>
  <si>
    <t>M/S Jessore Bike</t>
  </si>
  <si>
    <t>00624</t>
  </si>
  <si>
    <t>M/S Jhenaidah Bike Center</t>
  </si>
  <si>
    <t>01358</t>
  </si>
  <si>
    <t>M/S Jhenaidah Bike Center  (C)</t>
  </si>
  <si>
    <t>01536</t>
  </si>
  <si>
    <t>M/S JR Bike Battery House</t>
  </si>
  <si>
    <t>01134</t>
  </si>
  <si>
    <t>M/S Magura Trading</t>
  </si>
  <si>
    <t>00616</t>
  </si>
  <si>
    <t>M/S Naz Enterprise</t>
  </si>
  <si>
    <t>00835</t>
  </si>
  <si>
    <t>M/S Nazrul Battery and Mobil House</t>
  </si>
  <si>
    <t>00832</t>
  </si>
  <si>
    <t>M/S Shikdar Auto House</t>
  </si>
  <si>
    <t>01493</t>
  </si>
  <si>
    <t>M/S Shuvo Enterprise</t>
  </si>
  <si>
    <t>00622</t>
  </si>
  <si>
    <t>Jhenaidah TOTAL-Shahinur</t>
  </si>
  <si>
    <t>M/S Raju Battery</t>
  </si>
  <si>
    <t>00519</t>
  </si>
  <si>
    <t>M/S Anamika Auto Rickshow</t>
  </si>
  <si>
    <t>00496</t>
  </si>
  <si>
    <t>M/S Bogura Auto Center (C)</t>
  </si>
  <si>
    <t>01468</t>
  </si>
  <si>
    <t>9th Oct</t>
  </si>
  <si>
    <t>M/S Janata Auto Parts</t>
  </si>
  <si>
    <t>01026</t>
  </si>
  <si>
    <t>M/S Maa Auto Workshop &amp; Battery Center</t>
  </si>
  <si>
    <t>01131</t>
  </si>
  <si>
    <t>M/S Maa Auto Workshop &amp; Battery Center (C)</t>
  </si>
  <si>
    <t>01497</t>
  </si>
  <si>
    <t>M/S Modina Motors-Bogra</t>
  </si>
  <si>
    <t>00500</t>
  </si>
  <si>
    <t>M/S New Raju Battery</t>
  </si>
  <si>
    <t>00498</t>
  </si>
  <si>
    <t>M/S New Sunlight Battery House</t>
  </si>
  <si>
    <t>00526</t>
  </si>
  <si>
    <t>M/S Ohi Battery</t>
  </si>
  <si>
    <t>00502</t>
  </si>
  <si>
    <t>M/S S. S Battery and IPS</t>
  </si>
  <si>
    <t>01595</t>
  </si>
  <si>
    <t>M/S Sadiya  Battery House</t>
  </si>
  <si>
    <t>00501</t>
  </si>
  <si>
    <t>M/S Salman Auto and Battery (C)</t>
  </si>
  <si>
    <t>01535</t>
  </si>
  <si>
    <t>M/S Sazib Auto Corner</t>
  </si>
  <si>
    <t>01036</t>
  </si>
  <si>
    <t>M/S Sirajgonj Auto Corner</t>
  </si>
  <si>
    <t>00843</t>
  </si>
  <si>
    <t>M/S Sirajgonj Auto Corner (C)</t>
  </si>
  <si>
    <t>01494</t>
  </si>
  <si>
    <t>M/S Sompa Cycle Store</t>
  </si>
  <si>
    <t>01252</t>
  </si>
  <si>
    <t>M/S Sompa Cycle Store (C)</t>
  </si>
  <si>
    <t>01545</t>
  </si>
  <si>
    <t>M/S Sony Autos</t>
  </si>
  <si>
    <t>00495</t>
  </si>
  <si>
    <t>M/S Taher Autos</t>
  </si>
  <si>
    <t>00499</t>
  </si>
  <si>
    <t>BGR TOTAL-Al Amin</t>
  </si>
  <si>
    <t>M/S Bakkar &amp; Sons</t>
  </si>
  <si>
    <t>01267</t>
  </si>
  <si>
    <t>M/S Battery And IPS Bazar</t>
  </si>
  <si>
    <t>01480</t>
  </si>
  <si>
    <t>M/S Battery And IPS Bazar (C)</t>
  </si>
  <si>
    <t>01505</t>
  </si>
  <si>
    <t>M/S Bondhu Auto House (C)</t>
  </si>
  <si>
    <t>M/S Brother Machineries &amp; Cycle Store</t>
  </si>
  <si>
    <t>00581</t>
  </si>
  <si>
    <t>M/S Dalia Auto And Battery House</t>
  </si>
  <si>
    <t>01281</t>
  </si>
  <si>
    <t>M/S Desh Battery</t>
  </si>
  <si>
    <t>00590</t>
  </si>
  <si>
    <t>M/S Dhaka Battery House</t>
  </si>
  <si>
    <t>01483</t>
  </si>
  <si>
    <t>M/S Gausia Mill Store</t>
  </si>
  <si>
    <t>00615</t>
  </si>
  <si>
    <t>M/S Housing Auto Bike</t>
  </si>
  <si>
    <t>00598</t>
  </si>
  <si>
    <t>M/S Housing Auto Bike (C)</t>
  </si>
  <si>
    <t>01567</t>
  </si>
  <si>
    <t>M/S Janata Battery</t>
  </si>
  <si>
    <t>00602</t>
  </si>
  <si>
    <t>M/S M R Enterprise- Setabganj</t>
  </si>
  <si>
    <t>01564</t>
  </si>
  <si>
    <t>M/S M.R. Enterprise- Dinajpur</t>
  </si>
  <si>
    <t>00601</t>
  </si>
  <si>
    <t>M/S M.R. Enterprise- Dinajpur (C)</t>
  </si>
  <si>
    <t>01520</t>
  </si>
  <si>
    <t>M/S Maa Shorifa Auto Showroom</t>
  </si>
  <si>
    <t>01421</t>
  </si>
  <si>
    <t>M/S Mithila Auto Show Room</t>
  </si>
  <si>
    <t>01499</t>
  </si>
  <si>
    <t>M/S Nobodhara Corporation</t>
  </si>
  <si>
    <t>01352</t>
  </si>
  <si>
    <t>M/S Padma Battery House</t>
  </si>
  <si>
    <t>00609</t>
  </si>
  <si>
    <t>M/S Rafiq Vi Battery &amp; Auto</t>
  </si>
  <si>
    <t>01405</t>
  </si>
  <si>
    <t>M/S Rafiq Vi Battery &amp; Auto (C)</t>
  </si>
  <si>
    <t>M/S Sadik Traders</t>
  </si>
  <si>
    <t>00599</t>
  </si>
  <si>
    <t>M/S Sajid Auto Bike Center</t>
  </si>
  <si>
    <t>01251</t>
  </si>
  <si>
    <t>M/S Sanjida Auto</t>
  </si>
  <si>
    <t>00603</t>
  </si>
  <si>
    <t>M/S Shah Enterprise</t>
  </si>
  <si>
    <t>00600</t>
  </si>
  <si>
    <t>M/S Zakir Auto</t>
  </si>
  <si>
    <t>00610</t>
  </si>
  <si>
    <t>DNP TOTAL-Sayem</t>
  </si>
  <si>
    <t>M/S AL - Modina Traders</t>
  </si>
  <si>
    <t>01500</t>
  </si>
  <si>
    <t>M/S AL - Modina Traders (C)</t>
  </si>
  <si>
    <t>01525</t>
  </si>
  <si>
    <t>M/S Alamgir Battery</t>
  </si>
  <si>
    <t>00569</t>
  </si>
  <si>
    <t>M/S Al-Amin Cycle &amp; Auto Parts (C)</t>
  </si>
  <si>
    <t>today 7 lac</t>
  </si>
  <si>
    <t>M/S Atik Auto</t>
  </si>
  <si>
    <t>00562</t>
  </si>
  <si>
    <t>M/S Badarganj IPS Mela</t>
  </si>
  <si>
    <t>01464</t>
  </si>
  <si>
    <t>M/S Bahar Traders</t>
  </si>
  <si>
    <t>00820</t>
  </si>
  <si>
    <t>M/S Baizid Motors</t>
  </si>
  <si>
    <t>01365</t>
  </si>
  <si>
    <t>M/S Bandhu Auto Centre</t>
  </si>
  <si>
    <t>00573</t>
  </si>
  <si>
    <t>15-15</t>
  </si>
  <si>
    <t>M/S Bhai Bhai Auto Center (C)</t>
  </si>
  <si>
    <t>01563</t>
  </si>
  <si>
    <t>5th</t>
  </si>
  <si>
    <t>M/S Bhai Bhai Auto Center (Ulipur)</t>
  </si>
  <si>
    <t>01139</t>
  </si>
  <si>
    <t>M/S Bhai Bhai Auto Centre</t>
  </si>
  <si>
    <t>01092</t>
  </si>
  <si>
    <t>M/S Binayok Traders</t>
  </si>
  <si>
    <t>01407</t>
  </si>
  <si>
    <t>M/S BMP Battery And Auto Parch Centre</t>
  </si>
  <si>
    <t>01138</t>
  </si>
  <si>
    <t>M/S Energy Power IPS</t>
  </si>
  <si>
    <t>01154</t>
  </si>
  <si>
    <t>M/S Hazi Auto Center</t>
  </si>
  <si>
    <t>01159</t>
  </si>
  <si>
    <t>M/S Hossen Traders</t>
  </si>
  <si>
    <t>01107</t>
  </si>
  <si>
    <t>M/S J. S Battery House (C)</t>
  </si>
  <si>
    <t>01566</t>
  </si>
  <si>
    <t>M/S M.S. Traders</t>
  </si>
  <si>
    <t>00585</t>
  </si>
  <si>
    <t>M/S Mahbub Battery Workshop</t>
  </si>
  <si>
    <t>00567</t>
  </si>
  <si>
    <t>M/S Maliha Traders</t>
  </si>
  <si>
    <t>00565</t>
  </si>
  <si>
    <t>M/S Mama Vagina Auto Center</t>
  </si>
  <si>
    <t>01516</t>
  </si>
  <si>
    <t>M/S Mosabbir Traders</t>
  </si>
  <si>
    <t>00560</t>
  </si>
  <si>
    <t>2 lac + 2 lac 15th</t>
  </si>
  <si>
    <t>M/S National Battery - Lalmonirha</t>
  </si>
  <si>
    <t>00579</t>
  </si>
  <si>
    <t>15th</t>
  </si>
  <si>
    <t>M/S New Mintu Motors</t>
  </si>
  <si>
    <t>00588</t>
  </si>
  <si>
    <t>M/S New Mintu Motors (C)</t>
  </si>
  <si>
    <t>01552</t>
  </si>
  <si>
    <t>M/S North Bengal Trading (C)</t>
  </si>
  <si>
    <t>01537</t>
  </si>
  <si>
    <t>M/S Keya Enterprise (C)</t>
  </si>
  <si>
    <t>01590</t>
  </si>
  <si>
    <t>M/S R.B.M. Auto Center</t>
  </si>
  <si>
    <t>01263</t>
  </si>
  <si>
    <t>M/S Rashed Traders (C)</t>
  </si>
  <si>
    <t>01592</t>
  </si>
  <si>
    <t>M/S Rakin Auto Parts</t>
  </si>
  <si>
    <t>00561</t>
  </si>
  <si>
    <t>M/S Ranzu Battery &amp; Auto Corner</t>
  </si>
  <si>
    <t>01040</t>
  </si>
  <si>
    <t>M/S Roni Battery</t>
  </si>
  <si>
    <t>01379</t>
  </si>
  <si>
    <t>M/S S S Trading</t>
  </si>
  <si>
    <t>00846</t>
  </si>
  <si>
    <t>M/S S.A. Battery House</t>
  </si>
  <si>
    <t>01110</t>
  </si>
  <si>
    <t>M/S S.K. Enterprise-Rangpur</t>
  </si>
  <si>
    <t>01462</t>
  </si>
  <si>
    <t>M/S S.S Enterprise-Rangpur</t>
  </si>
  <si>
    <t>01109</t>
  </si>
  <si>
    <t>M/S Sahin Traders</t>
  </si>
  <si>
    <t>01086</t>
  </si>
  <si>
    <t>M/S Salman Enterprise</t>
  </si>
  <si>
    <t>01087</t>
  </si>
  <si>
    <t>M/S Samad Battery</t>
  </si>
  <si>
    <t>00595</t>
  </si>
  <si>
    <t>M/S Sarkar Motors and Battery</t>
  </si>
  <si>
    <t>01501</t>
  </si>
  <si>
    <t>M/S Sarkar Motors and Battery (C)</t>
  </si>
  <si>
    <t>01502</t>
  </si>
  <si>
    <t>M/S Shimanto Motors</t>
  </si>
  <si>
    <t>00568</t>
  </si>
  <si>
    <t>M/S Suborna Battery</t>
  </si>
  <si>
    <t>00563</t>
  </si>
  <si>
    <t>M/S Taseen Enterprise</t>
  </si>
  <si>
    <t>RNP TOTAL-Mohsin</t>
  </si>
  <si>
    <t>M/S AL Amin Parts Store</t>
  </si>
  <si>
    <t>01283</t>
  </si>
  <si>
    <t>M/S AL Amin Parts Store (C)</t>
  </si>
  <si>
    <t>01354</t>
  </si>
  <si>
    <t>M/S Awlad Electronics</t>
  </si>
  <si>
    <t>01284</t>
  </si>
  <si>
    <t>M/S Islam Parts Store</t>
  </si>
  <si>
    <t>01146</t>
  </si>
  <si>
    <t>M/S Islam Parts Store (C)</t>
  </si>
  <si>
    <t>01439</t>
  </si>
  <si>
    <t>M/S Ma Battery House - Bhola</t>
  </si>
  <si>
    <t>00742</t>
  </si>
  <si>
    <t>M/S Mayer Doa Battery House</t>
  </si>
  <si>
    <t>00744</t>
  </si>
  <si>
    <t>M/S Molla Battery House</t>
  </si>
  <si>
    <t>01143</t>
  </si>
  <si>
    <t>M/S Molla Battery House (C)</t>
  </si>
  <si>
    <t>01428</t>
  </si>
  <si>
    <t>M/S Patwary Motors-Bhola</t>
  </si>
  <si>
    <t>01172</t>
  </si>
  <si>
    <t>M/S Robiul Battery House</t>
  </si>
  <si>
    <t>00753</t>
  </si>
  <si>
    <t>M/S Sardar Auto House</t>
  </si>
  <si>
    <t>00840</t>
  </si>
  <si>
    <t>M/S Shepon Motors</t>
  </si>
  <si>
    <t>00749</t>
  </si>
  <si>
    <t>M/S Shepon Motors (C)</t>
  </si>
  <si>
    <t>01438</t>
  </si>
  <si>
    <t>M/S Shopon Battery House</t>
  </si>
  <si>
    <t>00740</t>
  </si>
  <si>
    <t>M/S Shopon Battery House (C)</t>
  </si>
  <si>
    <t>01320</t>
  </si>
  <si>
    <t>M/S Souro Power Electric</t>
  </si>
  <si>
    <t>01285</t>
  </si>
  <si>
    <t>M/S Souro Power Electric (C)</t>
  </si>
  <si>
    <t xml:space="preserve">BLA TOTAL-Saiful </t>
  </si>
  <si>
    <t>M/S Adib Alifa Auto &amp; Battery House</t>
  </si>
  <si>
    <t>01465</t>
  </si>
  <si>
    <t>M/S Adib Alifa Auto &amp; Battery House (C)</t>
  </si>
  <si>
    <t>01454</t>
  </si>
  <si>
    <t>M/S Afifa Traders</t>
  </si>
  <si>
    <t>M/S Afifa Traders (C)</t>
  </si>
  <si>
    <t>01515</t>
  </si>
  <si>
    <t>M/S Al Razzak Battery House</t>
  </si>
  <si>
    <t>01449</t>
  </si>
  <si>
    <t>M/S Al Razzak Battery House (C)</t>
  </si>
  <si>
    <t>01538</t>
  </si>
  <si>
    <t>M/S Arnob International</t>
  </si>
  <si>
    <t>00663</t>
  </si>
  <si>
    <t>M/S Bondhu Battery Center</t>
  </si>
  <si>
    <t>01488</t>
  </si>
  <si>
    <t>M/S Bondhu Battery Center (C)</t>
  </si>
  <si>
    <t>01585</t>
  </si>
  <si>
    <t>M/S Farhan Battery &amp; Auto Parts</t>
  </si>
  <si>
    <t>01470</t>
  </si>
  <si>
    <t>M/S Janapad Motors</t>
  </si>
  <si>
    <t>00788</t>
  </si>
  <si>
    <t>M/S Jom Jom Battery &amp; Parts</t>
  </si>
  <si>
    <t>01492</t>
  </si>
  <si>
    <t>M/S Jony Motors - Faridpur (C)</t>
  </si>
  <si>
    <t>M/S Khan Traders-Faridpur</t>
  </si>
  <si>
    <t>00662</t>
  </si>
  <si>
    <t>M/S Lubna Autos</t>
  </si>
  <si>
    <t>00681</t>
  </si>
  <si>
    <t>M/S Khokon Tyre House &amp; Volcanize</t>
  </si>
  <si>
    <t>01475</t>
  </si>
  <si>
    <t>M/S Munshi Motors-Madaripur</t>
  </si>
  <si>
    <t>00778</t>
  </si>
  <si>
    <t>M/S New Khan Traders (C)</t>
  </si>
  <si>
    <t>01460</t>
  </si>
  <si>
    <t>M/S New Jannat Battery</t>
  </si>
  <si>
    <t>00752</t>
  </si>
  <si>
    <t>M/S Nirapad Motors</t>
  </si>
  <si>
    <t>00739</t>
  </si>
  <si>
    <t>M/S Nirapad Motors (C)</t>
  </si>
  <si>
    <t>01584</t>
  </si>
  <si>
    <t>M/S Nirob Motors &amp; Battery</t>
  </si>
  <si>
    <t>01485</t>
  </si>
  <si>
    <t>M/S R. B International</t>
  </si>
  <si>
    <t>01148</t>
  </si>
  <si>
    <t>M/S Rajdhani Motors</t>
  </si>
  <si>
    <t>01463</t>
  </si>
  <si>
    <t>M/S Rokaya Auto &amp; Motors</t>
  </si>
  <si>
    <t>00678</t>
  </si>
  <si>
    <t>M/S S.M. Imran Battery House(C)</t>
  </si>
  <si>
    <t>01533</t>
  </si>
  <si>
    <t>M/S Sadia Auto Parts (C)</t>
  </si>
  <si>
    <t>01498</t>
  </si>
  <si>
    <t>M/S Shikder Auto Parts</t>
  </si>
  <si>
    <t>01078</t>
  </si>
  <si>
    <t>M/S Shamim Battery &amp; Tyre House (C)</t>
  </si>
  <si>
    <t>01540</t>
  </si>
  <si>
    <t>M/S Tamim Motors - Madaripur</t>
  </si>
  <si>
    <t>01079</t>
  </si>
  <si>
    <t>Faridpur Total-Rubel</t>
  </si>
  <si>
    <t>M/S Al - Barakah Battery &amp; Auto Parts</t>
  </si>
  <si>
    <t>01476</t>
  </si>
  <si>
    <t>M/S Al - Barakah Battery &amp; Auto Parts (C)</t>
  </si>
  <si>
    <t>01562</t>
  </si>
  <si>
    <t>M/S Amir Hossain Engineering Workshop</t>
  </si>
  <si>
    <t>00794</t>
  </si>
  <si>
    <t>M/S Ariyan Electronics</t>
  </si>
  <si>
    <t>01386</t>
  </si>
  <si>
    <t>M/S Bagdad Motors</t>
  </si>
  <si>
    <t>00787</t>
  </si>
  <si>
    <t>M/S Bhai Bhai Auto Bick</t>
  </si>
  <si>
    <t>01083</t>
  </si>
  <si>
    <t>M/S Bhai Bhai Battery And Motors</t>
  </si>
  <si>
    <t>01453</t>
  </si>
  <si>
    <t>M/S Bhai Bhai Battery And Motors (C)</t>
  </si>
  <si>
    <t>01496</t>
  </si>
  <si>
    <t>M/S Bhai Bhai Battery and Tyre House</t>
  </si>
  <si>
    <t>00793</t>
  </si>
  <si>
    <t>M/S Chowdhury Traders</t>
  </si>
  <si>
    <t>00782</t>
  </si>
  <si>
    <t>M/S Gonesh Cycle Stores</t>
  </si>
  <si>
    <t>00774</t>
  </si>
  <si>
    <t>M/S Islam Auto House</t>
  </si>
  <si>
    <t>01391</t>
  </si>
  <si>
    <t>M/S Jamuna Battery House</t>
  </si>
  <si>
    <t>01456</t>
  </si>
  <si>
    <t>M/S Jamuna Battery House (C)</t>
  </si>
  <si>
    <t>01558</t>
  </si>
  <si>
    <t>M/S Joy Cycle Store</t>
  </si>
  <si>
    <t>00767</t>
  </si>
  <si>
    <t>M/S Joytun Stores</t>
  </si>
  <si>
    <t>00768</t>
  </si>
  <si>
    <t>M/S Kalam Store</t>
  </si>
  <si>
    <t>01436</t>
  </si>
  <si>
    <t>M/S Ma Battery House</t>
  </si>
  <si>
    <t>01543</t>
  </si>
  <si>
    <t>M/S Mahabub Motors</t>
  </si>
  <si>
    <t>00776</t>
  </si>
  <si>
    <t>M/S Mahbub Motors-Patuakhali (C)</t>
  </si>
  <si>
    <t>01547</t>
  </si>
  <si>
    <t>M/S Mainul Battery House</t>
  </si>
  <si>
    <t>01114</t>
  </si>
  <si>
    <t>M/S Manir Battery Charging Station</t>
  </si>
  <si>
    <t>00833</t>
  </si>
  <si>
    <t>M/S Manir Battery Charging Station (C)</t>
  </si>
  <si>
    <t>01324</t>
  </si>
  <si>
    <t>M/S Mayer Doya Battery</t>
  </si>
  <si>
    <t>00745</t>
  </si>
  <si>
    <t>M/S Mokka Battery House</t>
  </si>
  <si>
    <t>00746</t>
  </si>
  <si>
    <t>M/S Mokka Modina Battery House</t>
  </si>
  <si>
    <t>00743</t>
  </si>
  <si>
    <t>M/S Mollah Auto Parts</t>
  </si>
  <si>
    <t>00691</t>
  </si>
  <si>
    <t>M/S New China Auto Traders (C)</t>
  </si>
  <si>
    <t>01511</t>
  </si>
  <si>
    <t>M/S New Mahedigonj</t>
  </si>
  <si>
    <t>01065</t>
  </si>
  <si>
    <t>M/S New Modern Auto</t>
  </si>
  <si>
    <t>01126</t>
  </si>
  <si>
    <t>M/S New Mokka Battery House</t>
  </si>
  <si>
    <t>01495</t>
  </si>
  <si>
    <t>M/S Power Plus Battery House</t>
  </si>
  <si>
    <t>00741</t>
  </si>
  <si>
    <t>M/S Rabbi Auto House</t>
  </si>
  <si>
    <t>00750</t>
  </si>
  <si>
    <t>M/S Riad Enterprise</t>
  </si>
  <si>
    <t>01095</t>
  </si>
  <si>
    <t>M/S S.K. Trading Corporation</t>
  </si>
  <si>
    <t>00748</t>
  </si>
  <si>
    <t>M/S S.K. Trading Corporation (C)</t>
  </si>
  <si>
    <t>M/S S.M. Enterprise-Barisal</t>
  </si>
  <si>
    <t>00765</t>
  </si>
  <si>
    <t>M/S Sagorika Motors</t>
  </si>
  <si>
    <t>01503</t>
  </si>
  <si>
    <t>M/S Salman Battery House</t>
  </si>
  <si>
    <t>01121</t>
  </si>
  <si>
    <t>M/S Satata Motors</t>
  </si>
  <si>
    <t>00841</t>
  </si>
  <si>
    <t>M/S Selim Battery House (C)</t>
  </si>
  <si>
    <t>01569</t>
  </si>
  <si>
    <t>M/S Sohraf Store</t>
  </si>
  <si>
    <t>01093</t>
  </si>
  <si>
    <t>M/S Sohraf Store (C)</t>
  </si>
  <si>
    <t>01548</t>
  </si>
  <si>
    <t>M/S Takdir Battery &amp; Autos (C)</t>
  </si>
  <si>
    <t>01575</t>
  </si>
  <si>
    <t>M/S Takia Battery House</t>
  </si>
  <si>
    <t>01479</t>
  </si>
  <si>
    <t>M/S Takia Battery House (C)</t>
  </si>
  <si>
    <t>01527</t>
  </si>
  <si>
    <t>BSL TOTAL-Habib</t>
  </si>
</sst>
</file>

<file path=xl/styles.xml><?xml version="1.0" encoding="utf-8"?>
<styleSheet xmlns="http://schemas.openxmlformats.org/spreadsheetml/2006/main" xmlns:xr9="http://schemas.microsoft.com/office/spreadsheetml/2016/revision9">
  <numFmts count="7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 * #,##0_ ;_ * \-#,##0_ ;_ * &quot;-&quot;??_ ;_ @_ "/>
  </numFmts>
  <fonts count="4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rgb="FF000000"/>
      <name val="Calibri"/>
      <charset val="134"/>
    </font>
    <font>
      <sz val="11"/>
      <name val="Calibri"/>
      <charset val="134"/>
    </font>
    <font>
      <sz val="11"/>
      <color rgb="FFFF0000"/>
      <name val="Calibri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0"/>
      <name val="Calibri"/>
      <charset val="134"/>
      <scheme val="minor"/>
    </font>
    <font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2"/>
      <color rgb="FF000000"/>
      <name val="Calibri"/>
      <charset val="134"/>
    </font>
    <font>
      <b/>
      <sz val="11"/>
      <name val="Calibri"/>
      <charset val="134"/>
      <scheme val="minor"/>
    </font>
    <font>
      <sz val="10"/>
      <color theme="1"/>
      <name val="Book Antiqua"/>
      <charset val="134"/>
    </font>
    <font>
      <sz val="11"/>
      <color rgb="FFFF0000"/>
      <name val="Calibri (Body)"/>
      <charset val="134"/>
    </font>
    <font>
      <b/>
      <sz val="1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color rgb="FF000000"/>
      <name val="Times New Roman"/>
      <charset val="134"/>
    </font>
    <font>
      <sz val="9"/>
      <color rgb="FF000000"/>
      <name val="Times New Roman"/>
      <charset val="134"/>
    </font>
    <font>
      <sz val="9"/>
      <name val="Times New Roman"/>
      <charset val="134"/>
    </font>
    <font>
      <b/>
      <sz val="9"/>
      <name val="Times New Roman"/>
      <charset val="134"/>
    </font>
  </fonts>
  <fills count="4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 tint="0.79982909634693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4" tint="0.79976805932798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768059327982"/>
        <bgColor rgb="FFBDD6E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15" borderId="23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24" applyNumberFormat="0" applyFill="0" applyAlignment="0" applyProtection="0">
      <alignment vertical="center"/>
    </xf>
    <xf numFmtId="0" fontId="24" fillId="0" borderId="24" applyNumberFormat="0" applyFill="0" applyAlignment="0" applyProtection="0">
      <alignment vertical="center"/>
    </xf>
    <xf numFmtId="0" fontId="25" fillId="0" borderId="25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16" borderId="26" applyNumberFormat="0" applyAlignment="0" applyProtection="0">
      <alignment vertical="center"/>
    </xf>
    <xf numFmtId="0" fontId="27" fillId="17" borderId="27" applyNumberFormat="0" applyAlignment="0" applyProtection="0">
      <alignment vertical="center"/>
    </xf>
    <xf numFmtId="0" fontId="28" fillId="17" borderId="26" applyNumberFormat="0" applyAlignment="0" applyProtection="0">
      <alignment vertical="center"/>
    </xf>
    <xf numFmtId="0" fontId="29" fillId="18" borderId="28" applyNumberFormat="0" applyAlignment="0" applyProtection="0">
      <alignment vertical="center"/>
    </xf>
    <xf numFmtId="0" fontId="30" fillId="0" borderId="29" applyNumberFormat="0" applyFill="0" applyAlignment="0" applyProtection="0">
      <alignment vertical="center"/>
    </xf>
    <xf numFmtId="0" fontId="31" fillId="0" borderId="30" applyNumberFormat="0" applyFill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</cellStyleXfs>
  <cellXfs count="174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/>
    <xf numFmtId="0" fontId="0" fillId="2" borderId="0" xfId="0" applyFill="1" applyAlignment="1"/>
    <xf numFmtId="0" fontId="0" fillId="0" borderId="0" xfId="0" applyAlignment="1"/>
    <xf numFmtId="0" fontId="0" fillId="0" borderId="0" xfId="0" applyAlignment="1">
      <alignment horizontal="center"/>
    </xf>
    <xf numFmtId="178" fontId="0" fillId="0" borderId="0" xfId="1" applyNumberFormat="1" applyFont="1">
      <alignment vertical="center"/>
    </xf>
    <xf numFmtId="178" fontId="0" fillId="0" borderId="0" xfId="1" applyNumberFormat="1" applyFont="1" applyFill="1" applyAlignment="1"/>
    <xf numFmtId="0" fontId="0" fillId="0" borderId="0" xfId="0" applyAlignment="1">
      <alignment horizontal="center" vertical="center"/>
    </xf>
    <xf numFmtId="178" fontId="0" fillId="0" borderId="0" xfId="1" applyNumberFormat="1" applyFont="1" applyAlignment="1"/>
    <xf numFmtId="0" fontId="0" fillId="0" borderId="0" xfId="0" applyAlignment="1">
      <alignment horizontal="right" vertical="center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178" fontId="1" fillId="0" borderId="3" xfId="1" applyNumberFormat="1" applyFont="1" applyBorder="1" applyAlignment="1">
      <alignment horizontal="center" vertical="center" wrapText="1"/>
    </xf>
    <xf numFmtId="41" fontId="3" fillId="0" borderId="4" xfId="0" applyNumberFormat="1" applyFont="1" applyBorder="1" applyAlignment="1">
      <alignment horizontal="left" vertical="center"/>
    </xf>
    <xf numFmtId="41" fontId="3" fillId="0" borderId="3" xfId="0" applyNumberFormat="1" applyFont="1" applyBorder="1" applyAlignment="1">
      <alignment horizontal="center" vertical="center"/>
    </xf>
    <xf numFmtId="41" fontId="3" fillId="0" borderId="3" xfId="0" applyNumberFormat="1" applyFont="1" applyBorder="1" applyAlignment="1">
      <alignment horizontal="left" vertical="center"/>
    </xf>
    <xf numFmtId="41" fontId="4" fillId="0" borderId="3" xfId="0" applyNumberFormat="1" applyFont="1" applyBorder="1" applyAlignment="1">
      <alignment horizontal="left" vertical="center"/>
    </xf>
    <xf numFmtId="41" fontId="3" fillId="0" borderId="5" xfId="0" applyNumberFormat="1" applyFont="1" applyBorder="1" applyAlignment="1">
      <alignment horizontal="left" vertical="center"/>
    </xf>
    <xf numFmtId="41" fontId="3" fillId="0" borderId="0" xfId="0" applyNumberFormat="1" applyFont="1" applyAlignment="1">
      <alignment horizontal="left" vertical="center"/>
    </xf>
    <xf numFmtId="41" fontId="5" fillId="0" borderId="5" xfId="0" applyNumberFormat="1" applyFont="1" applyBorder="1" applyAlignment="1">
      <alignment horizontal="left" vertical="center"/>
    </xf>
    <xf numFmtId="41" fontId="5" fillId="0" borderId="3" xfId="0" applyNumberFormat="1" applyFont="1" applyBorder="1" applyAlignment="1">
      <alignment horizontal="center" vertical="center"/>
    </xf>
    <xf numFmtId="41" fontId="5" fillId="0" borderId="3" xfId="0" applyNumberFormat="1" applyFont="1" applyBorder="1" applyAlignment="1">
      <alignment horizontal="left" vertical="center"/>
    </xf>
    <xf numFmtId="41" fontId="3" fillId="3" borderId="5" xfId="0" applyNumberFormat="1" applyFont="1" applyFill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>
      <alignment vertical="center"/>
    </xf>
    <xf numFmtId="0" fontId="6" fillId="4" borderId="1" xfId="0" applyFont="1" applyFill="1" applyBorder="1" applyAlignment="1">
      <alignment horizontal="center"/>
    </xf>
    <xf numFmtId="41" fontId="7" fillId="0" borderId="2" xfId="51" applyNumberFormat="1" applyFont="1" applyBorder="1" applyAlignment="1">
      <alignment horizontal="center"/>
    </xf>
    <xf numFmtId="41" fontId="7" fillId="0" borderId="3" xfId="51" applyNumberFormat="1" applyFont="1" applyBorder="1" applyAlignment="1">
      <alignment horizontal="center"/>
    </xf>
    <xf numFmtId="178" fontId="1" fillId="5" borderId="3" xfId="1" applyNumberFormat="1" applyFont="1" applyFill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left" vertical="center"/>
    </xf>
    <xf numFmtId="49" fontId="8" fillId="0" borderId="6" xfId="1" applyNumberFormat="1" applyFont="1" applyBorder="1" applyAlignment="1">
      <alignment horizontal="center" vertical="center"/>
    </xf>
    <xf numFmtId="49" fontId="8" fillId="0" borderId="7" xfId="1" applyNumberFormat="1" applyFont="1" applyBorder="1" applyAlignment="1">
      <alignment horizontal="center" vertical="center"/>
    </xf>
    <xf numFmtId="49" fontId="8" fillId="0" borderId="8" xfId="1" applyNumberFormat="1" applyFont="1" applyBorder="1" applyAlignment="1">
      <alignment horizontal="center" vertical="center"/>
    </xf>
    <xf numFmtId="49" fontId="8" fillId="0" borderId="9" xfId="1" applyNumberFormat="1" applyFont="1" applyBorder="1" applyAlignment="1">
      <alignment horizontal="center" vertical="center"/>
    </xf>
    <xf numFmtId="178" fontId="1" fillId="0" borderId="10" xfId="1" applyNumberFormat="1" applyFont="1" applyBorder="1" applyAlignment="1">
      <alignment horizontal="center" vertical="center" wrapText="1"/>
    </xf>
    <xf numFmtId="178" fontId="9" fillId="0" borderId="10" xfId="1" applyNumberFormat="1" applyFont="1" applyBorder="1" applyAlignment="1">
      <alignment horizontal="center" vertical="center" wrapText="1"/>
    </xf>
    <xf numFmtId="178" fontId="1" fillId="0" borderId="3" xfId="1" applyNumberFormat="1" applyFont="1" applyBorder="1" applyAlignment="1">
      <alignment horizontal="center" vertical="center"/>
    </xf>
    <xf numFmtId="178" fontId="1" fillId="0" borderId="11" xfId="1" applyNumberFormat="1" applyFont="1" applyBorder="1" applyAlignment="1">
      <alignment horizontal="center" vertical="center"/>
    </xf>
    <xf numFmtId="178" fontId="0" fillId="0" borderId="3" xfId="1" applyNumberFormat="1" applyFont="1" applyFill="1" applyBorder="1" applyAlignment="1"/>
    <xf numFmtId="178" fontId="0" fillId="0" borderId="3" xfId="1" applyNumberFormat="1" applyFont="1" applyBorder="1">
      <alignment vertical="center"/>
    </xf>
    <xf numFmtId="178" fontId="0" fillId="0" borderId="11" xfId="1" applyNumberFormat="1" applyFont="1" applyBorder="1">
      <alignment vertical="center"/>
    </xf>
    <xf numFmtId="49" fontId="8" fillId="0" borderId="4" xfId="1" applyNumberFormat="1" applyFont="1" applyBorder="1" applyAlignment="1">
      <alignment horizontal="center" vertical="center"/>
    </xf>
    <xf numFmtId="49" fontId="8" fillId="0" borderId="12" xfId="1" applyNumberFormat="1" applyFont="1" applyBorder="1" applyAlignment="1">
      <alignment horizontal="center" vertical="center"/>
    </xf>
    <xf numFmtId="49" fontId="8" fillId="6" borderId="2" xfId="1" applyNumberFormat="1" applyFont="1" applyFill="1" applyBorder="1" applyAlignment="1">
      <alignment horizontal="center" vertical="center"/>
    </xf>
    <xf numFmtId="49" fontId="8" fillId="6" borderId="3" xfId="1" applyNumberFormat="1" applyFont="1" applyFill="1" applyBorder="1" applyAlignment="1">
      <alignment horizontal="center" vertical="center"/>
    </xf>
    <xf numFmtId="178" fontId="0" fillId="0" borderId="5" xfId="1" applyNumberFormat="1" applyFont="1" applyFill="1" applyBorder="1" applyAlignment="1">
      <alignment horizontal="center" vertical="center" wrapText="1"/>
    </xf>
    <xf numFmtId="178" fontId="1" fillId="0" borderId="13" xfId="1" applyNumberFormat="1" applyFont="1" applyBorder="1" applyAlignment="1">
      <alignment horizontal="center" vertical="center"/>
    </xf>
    <xf numFmtId="178" fontId="1" fillId="0" borderId="14" xfId="1" applyNumberFormat="1" applyFont="1" applyBorder="1" applyAlignment="1">
      <alignment horizontal="center" vertical="center"/>
    </xf>
    <xf numFmtId="178" fontId="1" fillId="0" borderId="2" xfId="1" applyNumberFormat="1" applyFont="1" applyBorder="1" applyAlignment="1">
      <alignment horizontal="center" vertical="center" wrapText="1"/>
    </xf>
    <xf numFmtId="178" fontId="0" fillId="0" borderId="5" xfId="1" applyNumberFormat="1" applyFont="1" applyBorder="1">
      <alignment vertical="center"/>
    </xf>
    <xf numFmtId="178" fontId="0" fillId="0" borderId="4" xfId="1" applyNumberFormat="1" applyFont="1" applyBorder="1">
      <alignment vertical="center"/>
    </xf>
    <xf numFmtId="178" fontId="10" fillId="0" borderId="0" xfId="1" applyNumberFormat="1" applyFont="1" applyFill="1" applyBorder="1" applyAlignment="1" applyProtection="1">
      <alignment horizontal="center"/>
    </xf>
    <xf numFmtId="178" fontId="0" fillId="0" borderId="0" xfId="0" applyNumberFormat="1" applyAlignment="1">
      <alignment horizontal="center" vertical="center"/>
    </xf>
    <xf numFmtId="178" fontId="1" fillId="7" borderId="3" xfId="1" applyNumberFormat="1" applyFont="1" applyFill="1" applyBorder="1" applyAlignment="1">
      <alignment horizontal="center" vertical="center" wrapText="1"/>
    </xf>
    <xf numFmtId="178" fontId="0" fillId="0" borderId="3" xfId="0" applyNumberFormat="1" applyBorder="1" applyAlignment="1"/>
    <xf numFmtId="178" fontId="0" fillId="0" borderId="3" xfId="1" applyNumberFormat="1" applyFont="1" applyBorder="1" applyAlignment="1"/>
    <xf numFmtId="178" fontId="2" fillId="0" borderId="3" xfId="1" applyNumberFormat="1" applyFont="1" applyBorder="1" applyAlignment="1"/>
    <xf numFmtId="49" fontId="8" fillId="0" borderId="0" xfId="1" applyNumberFormat="1" applyFont="1" applyFill="1" applyAlignment="1">
      <alignment horizontal="center" vertical="center"/>
    </xf>
    <xf numFmtId="178" fontId="1" fillId="0" borderId="0" xfId="1" applyNumberFormat="1" applyFont="1" applyFill="1" applyAlignment="1">
      <alignment horizontal="center" vertical="center" wrapText="1"/>
    </xf>
    <xf numFmtId="178" fontId="0" fillId="0" borderId="0" xfId="0" applyNumberFormat="1" applyAlignment="1"/>
    <xf numFmtId="178" fontId="2" fillId="0" borderId="0" xfId="0" applyNumberFormat="1" applyFont="1" applyAlignment="1"/>
    <xf numFmtId="178" fontId="1" fillId="0" borderId="2" xfId="1" applyNumberFormat="1" applyFont="1" applyFill="1" applyBorder="1" applyAlignment="1">
      <alignment horizontal="center" vertical="center"/>
    </xf>
    <xf numFmtId="9" fontId="1" fillId="5" borderId="3" xfId="3" applyFont="1" applyFill="1" applyBorder="1" applyAlignment="1">
      <alignment horizontal="center" vertical="center"/>
    </xf>
    <xf numFmtId="178" fontId="0" fillId="8" borderId="0" xfId="1" applyNumberFormat="1" applyFont="1" applyFill="1" applyAlignment="1"/>
    <xf numFmtId="178" fontId="11" fillId="0" borderId="0" xfId="1" applyNumberFormat="1" applyFont="1" applyFill="1" applyAlignment="1"/>
    <xf numFmtId="0" fontId="1" fillId="0" borderId="0" xfId="0" applyFont="1" applyAlignment="1">
      <alignment horizontal="center" vertical="center" wrapText="1"/>
    </xf>
    <xf numFmtId="178" fontId="1" fillId="5" borderId="5" xfId="1" applyNumberFormat="1" applyFont="1" applyFill="1" applyBorder="1" applyAlignment="1">
      <alignment horizontal="center" vertical="center"/>
    </xf>
    <xf numFmtId="41" fontId="3" fillId="3" borderId="3" xfId="0" applyNumberFormat="1" applyFont="1" applyFill="1" applyBorder="1" applyAlignment="1">
      <alignment horizontal="left" vertical="center"/>
    </xf>
    <xf numFmtId="0" fontId="0" fillId="0" borderId="3" xfId="0" applyFill="1" applyBorder="1" applyAlignment="1">
      <alignment vertical="center"/>
    </xf>
    <xf numFmtId="41" fontId="3" fillId="0" borderId="15" xfId="0" applyNumberFormat="1" applyFont="1" applyBorder="1" applyAlignment="1">
      <alignment horizontal="left" vertical="center"/>
    </xf>
    <xf numFmtId="0" fontId="6" fillId="4" borderId="1" xfId="51" applyFont="1" applyFill="1" applyBorder="1" applyAlignment="1">
      <alignment horizontal="center"/>
    </xf>
    <xf numFmtId="0" fontId="1" fillId="4" borderId="1" xfId="51" applyFont="1" applyFill="1" applyBorder="1" applyAlignment="1">
      <alignment horizontal="center"/>
    </xf>
    <xf numFmtId="178" fontId="0" fillId="0" borderId="2" xfId="50" applyNumberFormat="1" applyFont="1" applyFill="1" applyBorder="1" applyAlignment="1">
      <alignment horizontal="center" vertical="center"/>
    </xf>
    <xf numFmtId="178" fontId="0" fillId="0" borderId="3" xfId="50" applyNumberFormat="1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178" fontId="0" fillId="2" borderId="3" xfId="50" applyNumberFormat="1" applyFont="1" applyFill="1" applyBorder="1" applyAlignment="1">
      <alignment horizontal="center" vertical="center"/>
    </xf>
    <xf numFmtId="41" fontId="3" fillId="2" borderId="3" xfId="0" applyNumberFormat="1" applyFont="1" applyFill="1" applyBorder="1" applyAlignment="1">
      <alignment horizontal="center" vertical="center"/>
    </xf>
    <xf numFmtId="178" fontId="1" fillId="2" borderId="3" xfId="1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41" fontId="3" fillId="9" borderId="3" xfId="0" applyNumberFormat="1" applyFont="1" applyFill="1" applyBorder="1" applyAlignment="1">
      <alignment horizontal="center" vertical="center"/>
    </xf>
    <xf numFmtId="41" fontId="3" fillId="9" borderId="3" xfId="0" applyNumberFormat="1" applyFont="1" applyFill="1" applyBorder="1" applyAlignment="1">
      <alignment horizontal="left" vertical="center"/>
    </xf>
    <xf numFmtId="0" fontId="8" fillId="4" borderId="1" xfId="51" applyFont="1" applyFill="1" applyBorder="1" applyAlignment="1">
      <alignment horizontal="center"/>
    </xf>
    <xf numFmtId="49" fontId="0" fillId="0" borderId="3" xfId="0" applyNumberFormat="1" applyBorder="1" applyAlignment="1">
      <alignment horizontal="center" vertical="center"/>
    </xf>
    <xf numFmtId="49" fontId="0" fillId="0" borderId="3" xfId="0" applyNumberFormat="1" applyBorder="1">
      <alignment vertical="center"/>
    </xf>
    <xf numFmtId="178" fontId="1" fillId="2" borderId="3" xfId="1" applyNumberFormat="1" applyFont="1" applyFill="1" applyBorder="1">
      <alignment vertical="center"/>
    </xf>
    <xf numFmtId="178" fontId="0" fillId="9" borderId="3" xfId="1" applyNumberFormat="1" applyFont="1" applyFill="1" applyBorder="1">
      <alignment vertical="center"/>
    </xf>
    <xf numFmtId="178" fontId="1" fillId="0" borderId="0" xfId="1" applyNumberFormat="1" applyFont="1" applyFill="1" applyAlignment="1">
      <alignment horizontal="center" vertical="center"/>
    </xf>
    <xf numFmtId="178" fontId="0" fillId="0" borderId="0" xfId="1" applyNumberFormat="1" applyFont="1" applyFill="1" applyAlignment="1">
      <alignment horizontal="center"/>
    </xf>
    <xf numFmtId="41" fontId="3" fillId="0" borderId="17" xfId="0" applyNumberFormat="1" applyFont="1" applyBorder="1" applyAlignment="1">
      <alignment horizontal="left" vertical="center"/>
    </xf>
    <xf numFmtId="178" fontId="0" fillId="0" borderId="3" xfId="1" applyNumberFormat="1" applyFont="1" applyFill="1" applyBorder="1">
      <alignment vertical="center"/>
    </xf>
    <xf numFmtId="178" fontId="0" fillId="0" borderId="5" xfId="1" applyNumberFormat="1" applyFont="1" applyFill="1" applyBorder="1">
      <alignment vertical="center"/>
    </xf>
    <xf numFmtId="49" fontId="3" fillId="0" borderId="5" xfId="0" applyNumberFormat="1" applyFont="1" applyBorder="1" applyAlignment="1">
      <alignment horizontal="left" vertical="center"/>
    </xf>
    <xf numFmtId="41" fontId="7" fillId="2" borderId="2" xfId="51" applyNumberFormat="1" applyFont="1" applyFill="1" applyBorder="1" applyAlignment="1">
      <alignment horizontal="center"/>
    </xf>
    <xf numFmtId="41" fontId="7" fillId="2" borderId="3" xfId="51" applyNumberFormat="1" applyFont="1" applyFill="1" applyBorder="1" applyAlignment="1">
      <alignment horizontal="center"/>
    </xf>
    <xf numFmtId="0" fontId="12" fillId="0" borderId="3" xfId="0" applyFont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3" fillId="0" borderId="2" xfId="51" applyFont="1" applyBorder="1" applyAlignment="1">
      <alignment horizontal="center" vertical="center"/>
    </xf>
    <xf numFmtId="0" fontId="13" fillId="0" borderId="3" xfId="51" applyFont="1" applyBorder="1" applyAlignment="1">
      <alignment horizontal="center" vertical="center"/>
    </xf>
    <xf numFmtId="178" fontId="1" fillId="6" borderId="3" xfId="1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178" fontId="1" fillId="0" borderId="3" xfId="1" applyNumberFormat="1" applyFont="1" applyFill="1" applyBorder="1" applyAlignment="1">
      <alignment horizontal="center" vertical="center"/>
    </xf>
    <xf numFmtId="0" fontId="12" fillId="0" borderId="0" xfId="0" applyFont="1" applyAlignment="1"/>
    <xf numFmtId="0" fontId="0" fillId="0" borderId="0" xfId="0" applyFill="1">
      <alignment vertical="center"/>
    </xf>
    <xf numFmtId="178" fontId="0" fillId="0" borderId="0" xfId="1" applyNumberFormat="1" applyFont="1" applyFill="1">
      <alignment vertical="center"/>
    </xf>
    <xf numFmtId="0" fontId="0" fillId="0" borderId="3" xfId="0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178" fontId="0" fillId="0" borderId="3" xfId="1" applyNumberFormat="1" applyFont="1" applyFill="1" applyBorder="1" applyAlignment="1">
      <alignment horizontal="center" vertical="center"/>
    </xf>
    <xf numFmtId="0" fontId="0" fillId="3" borderId="3" xfId="0" applyFill="1" applyBorder="1">
      <alignment vertical="center"/>
    </xf>
    <xf numFmtId="178" fontId="2" fillId="0" borderId="3" xfId="1" applyNumberFormat="1" applyFont="1" applyFill="1" applyBorder="1" applyAlignment="1">
      <alignment horizontal="center" vertical="center"/>
    </xf>
    <xf numFmtId="0" fontId="1" fillId="10" borderId="3" xfId="0" applyFont="1" applyFill="1" applyBorder="1" applyAlignment="1">
      <alignment horizontal="center" vertical="center"/>
    </xf>
    <xf numFmtId="178" fontId="14" fillId="10" borderId="3" xfId="1" applyNumberFormat="1" applyFont="1" applyFill="1" applyBorder="1">
      <alignment vertical="center"/>
    </xf>
    <xf numFmtId="178" fontId="12" fillId="0" borderId="3" xfId="1" applyNumberFormat="1" applyFont="1" applyFill="1" applyBorder="1" applyAlignment="1">
      <alignment horizontal="center" vertical="center"/>
    </xf>
    <xf numFmtId="0" fontId="0" fillId="11" borderId="3" xfId="0" applyFill="1" applyBorder="1">
      <alignment vertical="center"/>
    </xf>
    <xf numFmtId="178" fontId="1" fillId="10" borderId="3" xfId="1" applyNumberFormat="1" applyFont="1" applyFill="1" applyBorder="1">
      <alignment vertical="center"/>
    </xf>
    <xf numFmtId="178" fontId="0" fillId="3" borderId="0" xfId="1" applyNumberFormat="1" applyFont="1" applyFill="1">
      <alignment vertical="center"/>
    </xf>
    <xf numFmtId="49" fontId="8" fillId="12" borderId="3" xfId="1" applyNumberFormat="1" applyFont="1" applyFill="1" applyBorder="1" applyAlignment="1">
      <alignment horizontal="center" vertical="center"/>
    </xf>
    <xf numFmtId="178" fontId="0" fillId="0" borderId="3" xfId="1" applyNumberFormat="1" applyFont="1" applyBorder="1" applyAlignment="1">
      <alignment horizontal="center" vertical="center" wrapText="1"/>
    </xf>
    <xf numFmtId="178" fontId="0" fillId="0" borderId="3" xfId="1" applyNumberFormat="1" applyFont="1" applyBorder="1" applyAlignment="1">
      <alignment horizontal="center" vertical="center"/>
    </xf>
    <xf numFmtId="178" fontId="0" fillId="0" borderId="10" xfId="1" applyNumberFormat="1" applyFont="1" applyBorder="1">
      <alignment vertical="center"/>
    </xf>
    <xf numFmtId="178" fontId="0" fillId="0" borderId="11" xfId="1" applyNumberFormat="1" applyFont="1" applyFill="1" applyBorder="1">
      <alignment vertical="center"/>
    </xf>
    <xf numFmtId="49" fontId="8" fillId="0" borderId="19" xfId="1" applyNumberFormat="1" applyFont="1" applyFill="1" applyBorder="1" applyAlignment="1">
      <alignment horizontal="center" vertical="center"/>
    </xf>
    <xf numFmtId="49" fontId="8" fillId="0" borderId="20" xfId="1" applyNumberFormat="1" applyFont="1" applyFill="1" applyBorder="1" applyAlignment="1">
      <alignment horizontal="center" vertical="center"/>
    </xf>
    <xf numFmtId="178" fontId="0" fillId="0" borderId="21" xfId="1" applyNumberFormat="1" applyFont="1" applyFill="1" applyBorder="1" applyAlignment="1">
      <alignment horizontal="center" vertical="center" wrapText="1"/>
    </xf>
    <xf numFmtId="178" fontId="0" fillId="0" borderId="3" xfId="1" applyNumberFormat="1" applyFont="1" applyFill="1" applyBorder="1" applyAlignment="1">
      <alignment horizontal="center" vertical="center" wrapText="1"/>
    </xf>
    <xf numFmtId="178" fontId="2" fillId="0" borderId="5" xfId="1" applyNumberFormat="1" applyFont="1" applyFill="1" applyBorder="1">
      <alignment vertical="center"/>
    </xf>
    <xf numFmtId="9" fontId="0" fillId="0" borderId="0" xfId="3" applyFont="1" applyAlignment="1"/>
    <xf numFmtId="49" fontId="8" fillId="6" borderId="3" xfId="1" applyNumberFormat="1" applyFont="1" applyFill="1" applyBorder="1" applyAlignment="1">
      <alignment vertical="center"/>
    </xf>
    <xf numFmtId="49" fontId="8" fillId="0" borderId="3" xfId="1" applyNumberFormat="1" applyFont="1" applyFill="1" applyBorder="1" applyAlignment="1">
      <alignment horizontal="center" vertical="center"/>
    </xf>
    <xf numFmtId="178" fontId="0" fillId="8" borderId="0" xfId="0" applyNumberFormat="1" applyFill="1" applyAlignment="1"/>
    <xf numFmtId="178" fontId="14" fillId="0" borderId="0" xfId="1" applyNumberFormat="1" applyFont="1" applyFill="1">
      <alignment vertical="center"/>
    </xf>
    <xf numFmtId="178" fontId="1" fillId="8" borderId="0" xfId="1" applyNumberFormat="1" applyFont="1" applyFill="1" applyAlignment="1"/>
    <xf numFmtId="178" fontId="9" fillId="8" borderId="0" xfId="1" applyNumberFormat="1" applyFont="1" applyFill="1" applyAlignment="1"/>
    <xf numFmtId="178" fontId="12" fillId="0" borderId="0" xfId="1" applyNumberFormat="1" applyFont="1" applyFill="1" applyAlignment="1"/>
    <xf numFmtId="178" fontId="2" fillId="0" borderId="0" xfId="1" applyNumberFormat="1" applyFont="1" applyFill="1" applyAlignment="1"/>
    <xf numFmtId="0" fontId="1" fillId="0" borderId="5" xfId="0" applyFont="1" applyBorder="1" applyAlignment="1">
      <alignment horizontal="center" vertical="center" wrapText="1"/>
    </xf>
    <xf numFmtId="178" fontId="1" fillId="0" borderId="3" xfId="0" applyNumberFormat="1" applyFont="1" applyBorder="1" applyAlignment="1"/>
    <xf numFmtId="178" fontId="14" fillId="10" borderId="5" xfId="1" applyNumberFormat="1" applyFont="1" applyFill="1" applyBorder="1">
      <alignment vertical="center"/>
    </xf>
    <xf numFmtId="178" fontId="1" fillId="10" borderId="5" xfId="1" applyNumberFormat="1" applyFont="1" applyFill="1" applyBorder="1">
      <alignment vertical="center"/>
    </xf>
    <xf numFmtId="0" fontId="0" fillId="3" borderId="0" xfId="0" applyFill="1">
      <alignment vertical="center"/>
    </xf>
    <xf numFmtId="0" fontId="0" fillId="2" borderId="3" xfId="0" applyFill="1" applyBorder="1" applyAlignment="1">
      <alignment horizontal="center" vertical="center"/>
    </xf>
    <xf numFmtId="41" fontId="7" fillId="0" borderId="3" xfId="51" applyNumberFormat="1" applyFont="1" applyBorder="1" applyAlignment="1">
      <alignment horizontal="left"/>
    </xf>
    <xf numFmtId="178" fontId="14" fillId="0" borderId="2" xfId="1" applyNumberFormat="1" applyFont="1" applyFill="1" applyBorder="1">
      <alignment vertical="center"/>
    </xf>
    <xf numFmtId="178" fontId="1" fillId="0" borderId="0" xfId="1" applyNumberFormat="1" applyFont="1" applyFill="1">
      <alignment vertical="center"/>
    </xf>
    <xf numFmtId="41" fontId="7" fillId="11" borderId="3" xfId="51" applyNumberFormat="1" applyFont="1" applyFill="1" applyBorder="1" applyAlignment="1">
      <alignment horizontal="left"/>
    </xf>
    <xf numFmtId="0" fontId="0" fillId="0" borderId="3" xfId="0" applyFill="1" applyBorder="1">
      <alignment vertical="center"/>
    </xf>
    <xf numFmtId="0" fontId="0" fillId="0" borderId="3" xfId="0" applyFill="1" applyBorder="1" applyAlignment="1">
      <alignment horizontal="center" vertical="center"/>
    </xf>
    <xf numFmtId="178" fontId="0" fillId="0" borderId="0" xfId="0" applyNumberFormat="1" applyFill="1" applyAlignment="1"/>
    <xf numFmtId="0" fontId="0" fillId="0" borderId="0" xfId="0" applyFill="1" applyAlignment="1"/>
    <xf numFmtId="0" fontId="15" fillId="0" borderId="3" xfId="0" applyFont="1" applyBorder="1" applyProtection="1">
      <alignment vertical="center"/>
      <protection locked="0" hidden="1"/>
    </xf>
    <xf numFmtId="0" fontId="4" fillId="0" borderId="3" xfId="0" applyFont="1" applyBorder="1">
      <alignment vertical="center"/>
    </xf>
    <xf numFmtId="0" fontId="15" fillId="11" borderId="3" xfId="0" applyFont="1" applyFill="1" applyBorder="1" applyProtection="1">
      <alignment vertical="center"/>
      <protection locked="0" hidden="1"/>
    </xf>
    <xf numFmtId="0" fontId="4" fillId="0" borderId="22" xfId="0" applyFont="1" applyBorder="1">
      <alignment vertical="center"/>
    </xf>
    <xf numFmtId="0" fontId="4" fillId="3" borderId="3" xfId="0" applyFont="1" applyFill="1" applyBorder="1">
      <alignment vertical="center"/>
    </xf>
    <xf numFmtId="178" fontId="16" fillId="0" borderId="3" xfId="1" applyNumberFormat="1" applyFont="1" applyBorder="1">
      <alignment vertical="center"/>
    </xf>
    <xf numFmtId="178" fontId="0" fillId="13" borderId="3" xfId="1" applyNumberFormat="1" applyFont="1" applyFill="1" applyBorder="1" applyAlignment="1">
      <alignment horizontal="center" vertical="center"/>
    </xf>
    <xf numFmtId="0" fontId="4" fillId="11" borderId="3" xfId="0" applyFont="1" applyFill="1" applyBorder="1">
      <alignment vertical="center"/>
    </xf>
    <xf numFmtId="0" fontId="0" fillId="0" borderId="0" xfId="0" applyFill="1" applyAlignment="1">
      <alignment vertical="center"/>
    </xf>
    <xf numFmtId="0" fontId="17" fillId="14" borderId="3" xfId="0" applyFont="1" applyFill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178" fontId="1" fillId="0" borderId="3" xfId="1" applyNumberFormat="1" applyFont="1" applyFill="1" applyBorder="1">
      <alignment vertical="center"/>
    </xf>
    <xf numFmtId="0" fontId="1" fillId="6" borderId="3" xfId="0" applyFont="1" applyFill="1" applyBorder="1" applyAlignment="1">
      <alignment horizontal="center"/>
    </xf>
    <xf numFmtId="178" fontId="1" fillId="6" borderId="3" xfId="1" applyNumberFormat="1" applyFont="1" applyFill="1" applyBorder="1">
      <alignment vertical="center"/>
    </xf>
    <xf numFmtId="0" fontId="0" fillId="0" borderId="3" xfId="0" applyBorder="1" applyAlignment="1">
      <alignment horizontal="center"/>
    </xf>
    <xf numFmtId="178" fontId="0" fillId="0" borderId="0" xfId="1" applyNumberFormat="1" applyFont="1" applyAlignment="1">
      <alignment horizontal="right" vertical="center"/>
    </xf>
    <xf numFmtId="178" fontId="2" fillId="0" borderId="0" xfId="1" applyNumberFormat="1" applyFont="1" applyAlignment="1"/>
    <xf numFmtId="178" fontId="1" fillId="6" borderId="0" xfId="0" applyNumberFormat="1" applyFont="1" applyFill="1" applyAlignment="1"/>
    <xf numFmtId="178" fontId="0" fillId="6" borderId="0" xfId="0" applyNumberFormat="1" applyFill="1" applyAlignment="1"/>
    <xf numFmtId="178" fontId="0" fillId="2" borderId="0" xfId="0" applyNumberFormat="1" applyFill="1" applyAlignment="1"/>
    <xf numFmtId="0" fontId="0" fillId="0" borderId="3" xfId="0" applyBorder="1" applyAlignment="1" quotePrefix="1">
      <alignment horizontal="center" vertical="center"/>
    </xf>
    <xf numFmtId="49" fontId="0" fillId="0" borderId="3" xfId="0" applyNumberFormat="1" applyBorder="1" applyAlignment="1" quotePrefix="1">
      <alignment horizontal="center" vertical="center"/>
    </xf>
    <xf numFmtId="41" fontId="3" fillId="0" borderId="3" xfId="0" applyNumberFormat="1" applyFont="1" applyBorder="1" applyAlignment="1" quotePrefix="1">
      <alignment horizontal="center" vertical="center"/>
    </xf>
    <xf numFmtId="49" fontId="3" fillId="0" borderId="3" xfId="0" applyNumberFormat="1" applyFont="1" applyBorder="1" applyAlignment="1" quotePrefix="1">
      <alignment horizontal="center" vertical="center"/>
    </xf>
  </cellXfs>
  <cellStyles count="53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 2" xfId="49"/>
    <cellStyle name="Comma 4 2" xfId="50"/>
    <cellStyle name="Normal 4 2" xfId="51"/>
    <cellStyle name="Normal 2" xf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6.xml"/><Relationship Id="rId8" Type="http://schemas.openxmlformats.org/officeDocument/2006/relationships/externalLink" Target="externalLinks/externalLink5.xml"/><Relationship Id="rId7" Type="http://schemas.openxmlformats.org/officeDocument/2006/relationships/externalLink" Target="externalLinks/externalLink4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5" Type="http://schemas.openxmlformats.org/officeDocument/2006/relationships/theme" Target="theme/theme1.xml"/><Relationship Id="rId14" Type="http://schemas.openxmlformats.org/officeDocument/2006/relationships/externalLink" Target="externalLinks/externalLink11.xml"/><Relationship Id="rId13" Type="http://schemas.openxmlformats.org/officeDocument/2006/relationships/externalLink" Target="externalLinks/externalLink10.xml"/><Relationship Id="rId12" Type="http://schemas.openxmlformats.org/officeDocument/2006/relationships/externalLink" Target="externalLinks/externalLink9.xml"/><Relationship Id="rId11" Type="http://schemas.openxmlformats.org/officeDocument/2006/relationships/externalLink" Target="externalLinks/externalLink8.xml"/><Relationship Id="rId10" Type="http://schemas.openxmlformats.org/officeDocument/2006/relationships/externalLink" Target="externalLinks/externalLink7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salesexcelcollectionreport\TSO%20wise%20Collection%20Summary%20Report_23-04-2025_10_30_AM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sales_SalesRegister\Dealer%20Wise%20Net%20Sales%20Register16Sep2025_1104AM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sales_SalesRegister\Dealer%20Wise%20Net%20Sales%20Register23Aug2025_1226PM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morshed.alam\Dropbox\3.%20Sales%20Related%20work\Incentive\7.%20July-25\July-25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\sales_SalesRegister\Sale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\sales_SalesRegister\Dealer%20Wise%20Net%20Sales%20Register20May2025_0219PM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\sales_salesregister\Dealer%20Wise%20Net%20Sales%20Register08Apr2025_0149PM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\sales_salesregister\Dealer%20Wise%20Net%20Sales%20Register06May2025_0241PM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\sales_salesregister\Dealer%20Wise%20Net%20Sales%20Register15May2025_0223PM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\salesexcelcollectionreport\TSO%20wise%20Collection%20Summary%20Report_30-04-2025_01_21_PM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\sales_salesregister\Dealer%20Wise%20Net%20Sales%20Register10Nov2025_1201PM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2"/>
      <sheetName val="Sheet1"/>
      <sheetName val="Sheet3"/>
    </sheetNames>
    <sheetDataSet>
      <sheetData sheetId="0" refreshError="1"/>
      <sheetData sheetId="1" refreshError="1">
        <row r="8">
          <cell r="C8" t="str">
            <v>Customer Name</v>
          </cell>
          <cell r="D8" t="str">
            <v>code</v>
          </cell>
        </row>
        <row r="9">
          <cell r="C9" t="str">
            <v>M/S Rumi Battery House</v>
          </cell>
          <cell r="D9" t="str">
            <v>00387</v>
          </cell>
        </row>
        <row r="10">
          <cell r="C10" t="str">
            <v>M/S Maa Battery Service</v>
          </cell>
          <cell r="D10" t="str">
            <v>00327</v>
          </cell>
        </row>
        <row r="11">
          <cell r="C11" t="str">
            <v>M/S Bismillah Motors-Hinla</v>
          </cell>
          <cell r="D11" t="str">
            <v>01448</v>
          </cell>
        </row>
        <row r="12">
          <cell r="C12" t="str">
            <v>M/S Tamim Enterprise</v>
          </cell>
          <cell r="D12" t="str">
            <v>01395</v>
          </cell>
        </row>
        <row r="13">
          <cell r="C13" t="str">
            <v>M/S Ira Motors</v>
          </cell>
          <cell r="D13" t="str">
            <v>00133</v>
          </cell>
        </row>
        <row r="14">
          <cell r="C14" t="str">
            <v>M/S Ira Motors</v>
          </cell>
          <cell r="D14" t="str">
            <v>00133</v>
          </cell>
        </row>
        <row r="15">
          <cell r="C15" t="str">
            <v>M/S Ira Motors</v>
          </cell>
          <cell r="D15" t="str">
            <v>00133</v>
          </cell>
        </row>
        <row r="16">
          <cell r="C16" t="str">
            <v>M/S Ira Motors</v>
          </cell>
          <cell r="D16" t="str">
            <v>00133</v>
          </cell>
        </row>
        <row r="17">
          <cell r="C17" t="str">
            <v>M/S Manir Battery Charging Station (C)</v>
          </cell>
          <cell r="D17" t="str">
            <v>01324</v>
          </cell>
        </row>
        <row r="18">
          <cell r="C18" t="str">
            <v>M/S Gausia Mill Store</v>
          </cell>
          <cell r="D18" t="str">
            <v>00615</v>
          </cell>
        </row>
        <row r="19">
          <cell r="C19" t="str">
            <v>M/S Gausia Mill Store</v>
          </cell>
          <cell r="D19" t="str">
            <v>00615</v>
          </cell>
        </row>
        <row r="20">
          <cell r="C20" t="str">
            <v>M/S Oreya Enterprise</v>
          </cell>
          <cell r="D20" t="str">
            <v>00537</v>
          </cell>
        </row>
        <row r="21">
          <cell r="C21" t="str">
            <v>M/S Anis Auto</v>
          </cell>
          <cell r="D21" t="str">
            <v>00685</v>
          </cell>
        </row>
        <row r="22">
          <cell r="C22" t="str">
            <v>M/S Gazipur Battery House</v>
          </cell>
          <cell r="D22" t="str">
            <v>00826</v>
          </cell>
        </row>
        <row r="23">
          <cell r="C23" t="str">
            <v>M/S S.B. Energy (C)</v>
          </cell>
          <cell r="D23" t="str">
            <v>01288</v>
          </cell>
        </row>
        <row r="24">
          <cell r="C24" t="str">
            <v>M/S Shah Mojidia Motor Parts</v>
          </cell>
          <cell r="D24" t="str">
            <v>00842</v>
          </cell>
        </row>
        <row r="25">
          <cell r="C25" t="str">
            <v>M/S Setu Cycle Mart</v>
          </cell>
          <cell r="D25" t="str">
            <v>00471</v>
          </cell>
        </row>
        <row r="26">
          <cell r="C26" t="str">
            <v>M/S Setu Cycle Mart</v>
          </cell>
          <cell r="D26" t="str">
            <v>00471</v>
          </cell>
        </row>
        <row r="27">
          <cell r="C27" t="str">
            <v>M/S Ekata Motors</v>
          </cell>
          <cell r="D27" t="str">
            <v>00419</v>
          </cell>
        </row>
        <row r="28">
          <cell r="C28" t="str">
            <v>M/S Macca Tyre And battery House</v>
          </cell>
          <cell r="D28" t="str">
            <v>00439</v>
          </cell>
        </row>
        <row r="29">
          <cell r="C29" t="str">
            <v>M/S Kalam Auto Motor Parts And Battery House</v>
          </cell>
          <cell r="D29" t="str">
            <v>00420</v>
          </cell>
        </row>
        <row r="30">
          <cell r="C30" t="str">
            <v>M/S Master Motor's</v>
          </cell>
          <cell r="D30" t="str">
            <v>00217</v>
          </cell>
        </row>
        <row r="31">
          <cell r="C31" t="str">
            <v>M/S H.N. Enterprise</v>
          </cell>
          <cell r="D31" t="str">
            <v>00448</v>
          </cell>
        </row>
        <row r="32">
          <cell r="C32" t="str">
            <v>M/S Khokon IPS &amp; Battery Center (C)</v>
          </cell>
          <cell r="D32" t="str">
            <v>01306</v>
          </cell>
        </row>
        <row r="33">
          <cell r="C33" t="str">
            <v>M/S S.S. Enterprise-Norshingdi (C)</v>
          </cell>
          <cell r="D33" t="str">
            <v>01331</v>
          </cell>
        </row>
        <row r="34">
          <cell r="C34" t="str">
            <v>M/S Anas Battery &amp; Auto House</v>
          </cell>
          <cell r="D34" t="str">
            <v>01401</v>
          </cell>
        </row>
        <row r="35">
          <cell r="C35" t="str">
            <v>M/S Anas Battery &amp; Auto House</v>
          </cell>
          <cell r="D35" t="str">
            <v>01401</v>
          </cell>
        </row>
        <row r="36">
          <cell r="C36" t="str">
            <v>M/S Samir Battery And Tyre</v>
          </cell>
          <cell r="D36" t="str">
            <v>01450</v>
          </cell>
        </row>
        <row r="37">
          <cell r="C37" t="str">
            <v>M/S Rashed Enterprise</v>
          </cell>
          <cell r="D37" t="str">
            <v>00030</v>
          </cell>
        </row>
        <row r="38">
          <cell r="C38" t="str">
            <v>M/S L D Poribahan &amp; Trading (C)</v>
          </cell>
          <cell r="D38" t="str">
            <v>01299</v>
          </cell>
        </row>
        <row r="39">
          <cell r="C39" t="str">
            <v>M/S Bondhu Auto and CNG Workshop</v>
          </cell>
          <cell r="D39" t="str">
            <v>01149</v>
          </cell>
        </row>
        <row r="40">
          <cell r="C40" t="str">
            <v>M/S Doyal Battery</v>
          </cell>
          <cell r="D40" t="str">
            <v>00337</v>
          </cell>
        </row>
        <row r="41">
          <cell r="C41" t="str">
            <v>M/S Pagla Mama Auto Parts</v>
          </cell>
          <cell r="D41" t="str">
            <v>01170</v>
          </cell>
        </row>
        <row r="42">
          <cell r="C42" t="str">
            <v>M/S Tamim Enterprise</v>
          </cell>
          <cell r="D42" t="str">
            <v>01395</v>
          </cell>
        </row>
        <row r="43">
          <cell r="C43" t="str">
            <v>M/S Rumi Battery House</v>
          </cell>
          <cell r="D43" t="str">
            <v>00387</v>
          </cell>
        </row>
        <row r="44">
          <cell r="C44" t="str">
            <v>M/S Tanvir Battery House</v>
          </cell>
          <cell r="D44" t="str">
            <v>01175</v>
          </cell>
        </row>
        <row r="45">
          <cell r="C45" t="str">
            <v>M/S Atik Auto</v>
          </cell>
          <cell r="D45" t="str">
            <v>00562</v>
          </cell>
        </row>
        <row r="46">
          <cell r="C46" t="str">
            <v>M/S Rafiq Vi Battery &amp; Auto</v>
          </cell>
          <cell r="D46" t="str">
            <v>01405</v>
          </cell>
        </row>
        <row r="47">
          <cell r="C47" t="str">
            <v>M/S Nazrul Battery and Mobil House</v>
          </cell>
          <cell r="D47" t="str">
            <v>00832</v>
          </cell>
        </row>
        <row r="48">
          <cell r="C48" t="str">
            <v>M/S Manir Battery Charging Station</v>
          </cell>
          <cell r="D48" t="str">
            <v>00833</v>
          </cell>
        </row>
        <row r="49">
          <cell r="C49" t="str">
            <v>M/S Sadiq Enterprise (C)</v>
          </cell>
          <cell r="D49" t="str">
            <v>01484</v>
          </cell>
        </row>
        <row r="50">
          <cell r="C50" t="str">
            <v>M/S Mashpi Battery &amp; Auto</v>
          </cell>
          <cell r="D50" t="str">
            <v>01152</v>
          </cell>
        </row>
        <row r="51">
          <cell r="C51" t="str">
            <v>M/S Mashpi Battery &amp; Auto</v>
          </cell>
          <cell r="D51" t="str">
            <v>01152</v>
          </cell>
        </row>
        <row r="52">
          <cell r="C52" t="str">
            <v>M/S Awlad Electronics</v>
          </cell>
          <cell r="D52" t="str">
            <v>01284</v>
          </cell>
        </row>
        <row r="53">
          <cell r="C53" t="str">
            <v>M/S Adnan Tyre and Battery House</v>
          </cell>
          <cell r="D53" t="str">
            <v>01371</v>
          </cell>
        </row>
        <row r="54">
          <cell r="C54" t="str">
            <v>M/S New Asia Motors</v>
          </cell>
          <cell r="D54" t="str">
            <v>00051</v>
          </cell>
        </row>
        <row r="55">
          <cell r="C55" t="str">
            <v>M/S Shah Mojidia Motor Parts</v>
          </cell>
          <cell r="D55" t="str">
            <v>00842</v>
          </cell>
        </row>
        <row r="56">
          <cell r="C56" t="str">
            <v>M/S Raja Enterprise</v>
          </cell>
          <cell r="D56" t="str">
            <v>01077</v>
          </cell>
        </row>
        <row r="57">
          <cell r="C57" t="str">
            <v>M/S Macca Tyre And battery House</v>
          </cell>
          <cell r="D57" t="str">
            <v>00439</v>
          </cell>
        </row>
        <row r="58">
          <cell r="C58" t="str">
            <v>M/S Musulli Enterprise</v>
          </cell>
          <cell r="D58" t="str">
            <v>00091</v>
          </cell>
        </row>
        <row r="59">
          <cell r="C59" t="str">
            <v>M/S Belal Battery House</v>
          </cell>
          <cell r="D59" t="str">
            <v>01461</v>
          </cell>
        </row>
        <row r="60">
          <cell r="C60" t="str">
            <v>M/S Farhan Auto (C)</v>
          </cell>
          <cell r="D60" t="str">
            <v>01298</v>
          </cell>
        </row>
        <row r="61">
          <cell r="C61" t="str">
            <v>M/S Minara Traders</v>
          </cell>
          <cell r="D61" t="str">
            <v>01108</v>
          </cell>
        </row>
        <row r="62">
          <cell r="C62" t="str">
            <v>M/S Bismillah Battery House -Sylhet</v>
          </cell>
          <cell r="D62" t="str">
            <v>00389</v>
          </cell>
        </row>
        <row r="63">
          <cell r="C63" t="str">
            <v>M/S Doyal Battery</v>
          </cell>
          <cell r="D63" t="str">
            <v>00337</v>
          </cell>
        </row>
        <row r="64">
          <cell r="C64" t="str">
            <v>M/S Rasel Bettary Service</v>
          </cell>
          <cell r="D64" t="str">
            <v>01380</v>
          </cell>
        </row>
        <row r="65">
          <cell r="C65" t="str">
            <v>M/S S.S. Enterprise-Norshingdi (C)</v>
          </cell>
          <cell r="D65" t="str">
            <v>01331</v>
          </cell>
        </row>
        <row r="66">
          <cell r="C66" t="str">
            <v>M/S Naima Auto Tyre &amp; Battery</v>
          </cell>
          <cell r="D66" t="str">
            <v>00047</v>
          </cell>
        </row>
        <row r="67">
          <cell r="C67" t="str">
            <v>M/S Mashpi Battery &amp; Auto</v>
          </cell>
          <cell r="D67" t="str">
            <v>01152</v>
          </cell>
        </row>
        <row r="68">
          <cell r="C68" t="str">
            <v>M/S Rakin Auto Parts</v>
          </cell>
          <cell r="D68" t="str">
            <v>00561</v>
          </cell>
        </row>
        <row r="69">
          <cell r="C69" t="str">
            <v>M/S Rafiq Vi Battery &amp; Auto</v>
          </cell>
          <cell r="D69" t="str">
            <v>01405</v>
          </cell>
        </row>
        <row r="70">
          <cell r="C70" t="str">
            <v>M/S Housing Auto Bike</v>
          </cell>
          <cell r="D70" t="str">
            <v>00598</v>
          </cell>
        </row>
        <row r="71">
          <cell r="C71" t="str">
            <v>M/S Maa Auto Workshop &amp; Battery Center</v>
          </cell>
          <cell r="D71" t="str">
            <v>01131</v>
          </cell>
        </row>
        <row r="72">
          <cell r="C72" t="str">
            <v>M/S Manir Battery Charging Station</v>
          </cell>
          <cell r="D72" t="str">
            <v>00833</v>
          </cell>
        </row>
        <row r="73">
          <cell r="C73" t="str">
            <v>M/S Nirob Motors &amp; Battery</v>
          </cell>
          <cell r="D73" t="str">
            <v>01485</v>
          </cell>
        </row>
        <row r="74">
          <cell r="C74" t="str">
            <v>M/S Mollah Enterprise - Gopalgonj (C)</v>
          </cell>
          <cell r="D74" t="str">
            <v>01509</v>
          </cell>
        </row>
        <row r="75">
          <cell r="C75" t="str">
            <v>M/S Doyal Battery</v>
          </cell>
          <cell r="D75" t="str">
            <v>00337</v>
          </cell>
        </row>
        <row r="76">
          <cell r="C76" t="str">
            <v>M/S Bondhu Auto and CNG Workshop</v>
          </cell>
          <cell r="D76" t="str">
            <v>01149</v>
          </cell>
        </row>
        <row r="77">
          <cell r="C77" t="str">
            <v>M/S Shahjalal Traders</v>
          </cell>
          <cell r="D77" t="str">
            <v>01362</v>
          </cell>
        </row>
        <row r="78">
          <cell r="C78" t="str">
            <v>M/S Comilla Traders</v>
          </cell>
          <cell r="D78" t="str">
            <v>00334</v>
          </cell>
        </row>
        <row r="79">
          <cell r="C79" t="str">
            <v>M/S Shah Mojidia Motor Parts</v>
          </cell>
          <cell r="D79" t="str">
            <v>00842</v>
          </cell>
        </row>
        <row r="80">
          <cell r="C80" t="str">
            <v>M/S Khokon IPS &amp; Battery Center</v>
          </cell>
          <cell r="D80" t="str">
            <v>00330</v>
          </cell>
        </row>
        <row r="81">
          <cell r="C81" t="str">
            <v>M/S Anas Battery &amp; Auto House</v>
          </cell>
          <cell r="D81" t="str">
            <v>01401</v>
          </cell>
        </row>
        <row r="82">
          <cell r="C82" t="str">
            <v>M/S Anas Battery &amp; Auto House</v>
          </cell>
          <cell r="D82" t="str">
            <v>01401</v>
          </cell>
        </row>
        <row r="83">
          <cell r="C83" t="str">
            <v>M/S Mohanagar Motors</v>
          </cell>
          <cell r="D83" t="str">
            <v>00331</v>
          </cell>
        </row>
        <row r="84">
          <cell r="C84" t="str">
            <v>M/S Jogotbondhu Battery &amp; Eng. Workshop</v>
          </cell>
          <cell r="D84" t="str">
            <v>00143</v>
          </cell>
        </row>
        <row r="85">
          <cell r="C85" t="str">
            <v>M/S Rafi Battery House</v>
          </cell>
          <cell r="D85" t="str">
            <v>00410</v>
          </cell>
        </row>
        <row r="86">
          <cell r="C86" t="str">
            <v>M/S Tawhid Motors</v>
          </cell>
          <cell r="D86" t="str">
            <v>00006</v>
          </cell>
        </row>
        <row r="87">
          <cell r="C87" t="str">
            <v>M/S Tawhid Motors</v>
          </cell>
          <cell r="D87" t="str">
            <v>00006</v>
          </cell>
        </row>
        <row r="88">
          <cell r="C88" t="str">
            <v>M/S Snigdha Battery</v>
          </cell>
          <cell r="D88" t="str">
            <v>00134</v>
          </cell>
        </row>
        <row r="89">
          <cell r="C89" t="str">
            <v>M/S New Raju Battery</v>
          </cell>
          <cell r="D89" t="str">
            <v>00498</v>
          </cell>
        </row>
        <row r="90">
          <cell r="C90" t="str">
            <v>M/S Modina Enterprise - Savar</v>
          </cell>
          <cell r="D90" t="str">
            <v>01404</v>
          </cell>
        </row>
        <row r="91">
          <cell r="C91" t="str">
            <v>M/S Monir Auto &amp; Battery House</v>
          </cell>
          <cell r="D91" t="str">
            <v>00001</v>
          </cell>
        </row>
        <row r="92">
          <cell r="C92" t="str">
            <v>M/S Raju Battery</v>
          </cell>
          <cell r="D92" t="str">
            <v>00519</v>
          </cell>
        </row>
        <row r="93">
          <cell r="C93" t="str">
            <v>M/S Rafiq Vi Battery &amp; Auto</v>
          </cell>
          <cell r="D93" t="str">
            <v>01405</v>
          </cell>
        </row>
        <row r="94">
          <cell r="C94" t="str">
            <v>M/S Housing Auto Bike</v>
          </cell>
          <cell r="D94" t="str">
            <v>00598</v>
          </cell>
        </row>
        <row r="95">
          <cell r="C95" t="str">
            <v>M/S Sompa Cycle Store</v>
          </cell>
          <cell r="D95" t="str">
            <v>01252</v>
          </cell>
        </row>
        <row r="96">
          <cell r="C96" t="str">
            <v>M/S S.K. Motors - Kushtia</v>
          </cell>
          <cell r="D96" t="str">
            <v>01057</v>
          </cell>
        </row>
        <row r="97">
          <cell r="C97" t="str">
            <v>M/S Battery House - Pabna (C)</v>
          </cell>
          <cell r="D97" t="str">
            <v>01315</v>
          </cell>
        </row>
        <row r="98">
          <cell r="C98" t="str">
            <v>M/S Chapai Auto Battery House</v>
          </cell>
          <cell r="D98" t="str">
            <v>01487</v>
          </cell>
        </row>
        <row r="99">
          <cell r="C99" t="str">
            <v>M/S Farhan Battery &amp; Auto Parts</v>
          </cell>
          <cell r="D99" t="str">
            <v>01470</v>
          </cell>
        </row>
        <row r="100">
          <cell r="C100" t="str">
            <v>M/S Al - Barakah Battery &amp; Auto Parts</v>
          </cell>
          <cell r="D100" t="str">
            <v>01476</v>
          </cell>
        </row>
        <row r="101">
          <cell r="C101" t="str">
            <v>M/S Shuvo Enterprise</v>
          </cell>
          <cell r="D101" t="str">
            <v>00622</v>
          </cell>
        </row>
        <row r="102">
          <cell r="C102" t="str">
            <v>M/S Shuvo Enterprise</v>
          </cell>
          <cell r="D102" t="str">
            <v>00622</v>
          </cell>
        </row>
        <row r="103">
          <cell r="C103" t="str">
            <v>M/S Al Baraka Enterprise</v>
          </cell>
          <cell r="D103" t="str">
            <v>00159</v>
          </cell>
        </row>
        <row r="104">
          <cell r="C104" t="str">
            <v>M/S Takwa Enterprise</v>
          </cell>
          <cell r="D104" t="str">
            <v>00847</v>
          </cell>
        </row>
        <row r="105">
          <cell r="C105" t="str">
            <v>M/S Doyal Battery</v>
          </cell>
          <cell r="D105" t="str">
            <v>00337</v>
          </cell>
        </row>
        <row r="106">
          <cell r="C106" t="str">
            <v>M/S Setu Cycle Mart</v>
          </cell>
          <cell r="D106" t="str">
            <v>00471</v>
          </cell>
        </row>
        <row r="107">
          <cell r="C107" t="str">
            <v>M/S Setu Cycle Mart</v>
          </cell>
          <cell r="D107" t="str">
            <v>00471</v>
          </cell>
        </row>
        <row r="108">
          <cell r="C108" t="str">
            <v>M/S Golden Bike</v>
          </cell>
          <cell r="D108" t="str">
            <v>00625</v>
          </cell>
        </row>
        <row r="109">
          <cell r="C109" t="str">
            <v>M/S Setu Cycle Mart</v>
          </cell>
          <cell r="D109" t="str">
            <v>00471</v>
          </cell>
        </row>
        <row r="110">
          <cell r="C110" t="str">
            <v>M/S Setu Cycle Mart</v>
          </cell>
          <cell r="D110" t="str">
            <v>00471</v>
          </cell>
        </row>
        <row r="111">
          <cell r="C111" t="str">
            <v>M/S Shah Mojidia Motor Parts</v>
          </cell>
          <cell r="D111" t="str">
            <v>00842</v>
          </cell>
        </row>
        <row r="112">
          <cell r="C112" t="str">
            <v>M/S Hira Motors-Chokoria</v>
          </cell>
          <cell r="D112" t="str">
            <v>01441</v>
          </cell>
        </row>
        <row r="113">
          <cell r="C113" t="str">
            <v>M/S Adnan Tyre and Battery House</v>
          </cell>
          <cell r="D113" t="str">
            <v>01371</v>
          </cell>
        </row>
        <row r="114">
          <cell r="C114" t="str">
            <v>M/S Ananna Battery &amp; Tyre</v>
          </cell>
          <cell r="D114" t="str">
            <v>01088</v>
          </cell>
        </row>
        <row r="115">
          <cell r="C115" t="str">
            <v>M/S Rashed Enterprise</v>
          </cell>
          <cell r="D115" t="str">
            <v>00030</v>
          </cell>
        </row>
        <row r="116">
          <cell r="C116" t="str">
            <v>M/S Nasir Motors</v>
          </cell>
          <cell r="D116" t="str">
            <v>01248</v>
          </cell>
        </row>
        <row r="117">
          <cell r="C117" t="str">
            <v>M/S Talukder Motors (C)</v>
          </cell>
          <cell r="D117" t="str">
            <v>01471</v>
          </cell>
        </row>
        <row r="118">
          <cell r="C118" t="str">
            <v>M/S Fateha Battery</v>
          </cell>
          <cell r="D118" t="str">
            <v>00388</v>
          </cell>
        </row>
        <row r="119">
          <cell r="C119" t="str">
            <v>M/S S.S. Enterprise-Norshingdi (C)</v>
          </cell>
          <cell r="D119" t="str">
            <v>01331</v>
          </cell>
        </row>
        <row r="120">
          <cell r="C120" t="str">
            <v>M/S Modina Cycle Store</v>
          </cell>
          <cell r="D120" t="str">
            <v>01270</v>
          </cell>
        </row>
        <row r="121">
          <cell r="C121" t="str">
            <v>M/S Rakin Auto Parts</v>
          </cell>
          <cell r="D121" t="str">
            <v>00561</v>
          </cell>
        </row>
        <row r="122">
          <cell r="C122" t="str">
            <v>M/S Housing Auto Bike</v>
          </cell>
          <cell r="D122" t="str">
            <v>00598</v>
          </cell>
        </row>
        <row r="123">
          <cell r="C123" t="str">
            <v>M/S Battery And IPS Bazar (C)</v>
          </cell>
          <cell r="D123" t="str">
            <v>01505</v>
          </cell>
        </row>
        <row r="124">
          <cell r="C124" t="str">
            <v>M/S Shuvo Enterprise</v>
          </cell>
          <cell r="D124" t="str">
            <v>00622</v>
          </cell>
        </row>
        <row r="125">
          <cell r="C125" t="str">
            <v>M/S Gausia Mill Store</v>
          </cell>
          <cell r="D125" t="str">
            <v>00615</v>
          </cell>
        </row>
        <row r="126">
          <cell r="C126" t="str">
            <v>M/S S. K. Battery and Motors</v>
          </cell>
          <cell r="D126" t="str">
            <v>01458</v>
          </cell>
        </row>
        <row r="127">
          <cell r="C127" t="str">
            <v>M/S Molla Battery House (C)</v>
          </cell>
          <cell r="D127" t="str">
            <v>01428</v>
          </cell>
        </row>
        <row r="128">
          <cell r="C128" t="str">
            <v>M/S Shopon Battery House (C)</v>
          </cell>
          <cell r="D128" t="str">
            <v>01320</v>
          </cell>
        </row>
        <row r="129">
          <cell r="C129" t="str">
            <v>M/S Rajdhani Motors</v>
          </cell>
          <cell r="D129" t="str">
            <v>01463</v>
          </cell>
        </row>
        <row r="130">
          <cell r="C130" t="str">
            <v>M/S Shahjalal Traders</v>
          </cell>
          <cell r="D130" t="str">
            <v>01362</v>
          </cell>
        </row>
        <row r="131">
          <cell r="C131" t="str">
            <v>M/S Shah Mojidia Motor Parts</v>
          </cell>
          <cell r="D131" t="str">
            <v>00842</v>
          </cell>
        </row>
        <row r="132">
          <cell r="C132" t="str">
            <v>M/S Macca Tyre And battery House</v>
          </cell>
          <cell r="D132" t="str">
            <v>00439</v>
          </cell>
        </row>
        <row r="133">
          <cell r="C133" t="str">
            <v>M/S Macca Tyre And battery House</v>
          </cell>
          <cell r="D133" t="str">
            <v>00439</v>
          </cell>
        </row>
        <row r="134">
          <cell r="C134" t="str">
            <v>M/S Raja Enterprise</v>
          </cell>
          <cell r="D134" t="str">
            <v>01077</v>
          </cell>
        </row>
        <row r="135">
          <cell r="C135" t="str">
            <v>M/S Rumi Battery House</v>
          </cell>
          <cell r="D135" t="str">
            <v>00387</v>
          </cell>
        </row>
        <row r="136">
          <cell r="C136" t="str">
            <v>M/S Tanvir Battery House</v>
          </cell>
          <cell r="D136" t="str">
            <v>01175</v>
          </cell>
        </row>
        <row r="137">
          <cell r="C137" t="str">
            <v>M/S Samir Battery And Tyre</v>
          </cell>
          <cell r="D137" t="str">
            <v>01450</v>
          </cell>
        </row>
        <row r="138">
          <cell r="C138" t="str">
            <v>M/S Khokon IPS &amp; Battery Center</v>
          </cell>
          <cell r="D138" t="str">
            <v>00330</v>
          </cell>
        </row>
        <row r="139">
          <cell r="C139" t="str">
            <v>M/S Khalaq Motors-Feni</v>
          </cell>
          <cell r="D139" t="str">
            <v>01133</v>
          </cell>
        </row>
        <row r="140">
          <cell r="C140" t="str">
            <v>M/S Jom Jom Battery &amp; Parts</v>
          </cell>
          <cell r="D140" t="str">
            <v>01492</v>
          </cell>
        </row>
        <row r="141">
          <cell r="C141" t="str">
            <v>M/S Rajapur IPS &amp; Battery House</v>
          </cell>
          <cell r="D141" t="str">
            <v>01400</v>
          </cell>
        </row>
        <row r="142">
          <cell r="C142" t="str">
            <v>M/S Maa Battery Service</v>
          </cell>
          <cell r="D142" t="str">
            <v>00327</v>
          </cell>
        </row>
        <row r="143">
          <cell r="C143" t="str">
            <v>M/S Tanim Traders and Battery House</v>
          </cell>
          <cell r="D143" t="str">
            <v>00160</v>
          </cell>
        </row>
        <row r="144">
          <cell r="C144" t="str">
            <v>M/S Tanim Traders and Battery House</v>
          </cell>
          <cell r="D144" t="str">
            <v>00160</v>
          </cell>
        </row>
        <row r="145">
          <cell r="C145" t="str">
            <v>M/S S.S. Enterprise-Norshingdi (C)</v>
          </cell>
          <cell r="D145" t="str">
            <v>01331</v>
          </cell>
        </row>
        <row r="146">
          <cell r="C146" t="str">
            <v>M/S Sajib Enterprise (C)</v>
          </cell>
          <cell r="D146" t="str">
            <v>01353</v>
          </cell>
        </row>
        <row r="147">
          <cell r="C147" t="str">
            <v>M/S Mashpi Battery &amp; Auto</v>
          </cell>
          <cell r="D147" t="str">
            <v>01152</v>
          </cell>
        </row>
        <row r="148">
          <cell r="C148" t="str">
            <v>M/S Anik Motors &amp; Battery (C)</v>
          </cell>
          <cell r="D148" t="str">
            <v>01444</v>
          </cell>
        </row>
        <row r="149">
          <cell r="C149" t="str">
            <v>M/S Adnan Tyre and Battery House</v>
          </cell>
          <cell r="D149" t="str">
            <v>01371</v>
          </cell>
        </row>
        <row r="150">
          <cell r="C150" t="str">
            <v>M/S Sadia Enterprise</v>
          </cell>
          <cell r="D150" t="str">
            <v>01490</v>
          </cell>
        </row>
        <row r="151">
          <cell r="C151" t="str">
            <v>M/S Tamim Enterprise</v>
          </cell>
          <cell r="D151" t="str">
            <v>01395</v>
          </cell>
        </row>
        <row r="152">
          <cell r="C152" t="str">
            <v>M/S Oppo Parts &amp; Battery House</v>
          </cell>
          <cell r="D152" t="str">
            <v>01508</v>
          </cell>
        </row>
        <row r="153">
          <cell r="C153" t="str">
            <v>M/S Adnan Tyre and Battery House</v>
          </cell>
          <cell r="D153" t="str">
            <v>01371</v>
          </cell>
        </row>
        <row r="154">
          <cell r="C154" t="str">
            <v>M/S Tamim Enterprise</v>
          </cell>
          <cell r="D154" t="str">
            <v>01395</v>
          </cell>
        </row>
        <row r="155">
          <cell r="C155" t="str">
            <v>M/S Bondhu Motors</v>
          </cell>
          <cell r="D155" t="str">
            <v>01147</v>
          </cell>
        </row>
        <row r="156">
          <cell r="C156" t="str">
            <v>M/S Sadaf Auto &amp;  Vulcanizing Corner</v>
          </cell>
          <cell r="D156" t="str">
            <v>00089</v>
          </cell>
        </row>
        <row r="157">
          <cell r="C157" t="str">
            <v>M/S Rafiq Vi Battery &amp; Auto</v>
          </cell>
          <cell r="D157" t="str">
            <v>01405</v>
          </cell>
        </row>
        <row r="158">
          <cell r="C158" t="str">
            <v>M/S S S Trading</v>
          </cell>
          <cell r="D158" t="str">
            <v>00846</v>
          </cell>
        </row>
        <row r="159">
          <cell r="C159" t="str">
            <v>M/S Kalam Store</v>
          </cell>
          <cell r="D159" t="str">
            <v>01436</v>
          </cell>
        </row>
        <row r="160">
          <cell r="C160" t="str">
            <v>M/S Farhan Battery &amp; Auto Parts</v>
          </cell>
          <cell r="D160" t="str">
            <v>01470</v>
          </cell>
        </row>
        <row r="161">
          <cell r="C161" t="str">
            <v>M/S Adib Alifa Auto &amp; Battery House</v>
          </cell>
          <cell r="D161" t="str">
            <v>01465</v>
          </cell>
        </row>
        <row r="162">
          <cell r="C162" t="str">
            <v>M/S Oreya Enterprise</v>
          </cell>
          <cell r="D162" t="str">
            <v>00537</v>
          </cell>
        </row>
        <row r="163">
          <cell r="C163" t="str">
            <v>M/S New China Auto Traders (C)</v>
          </cell>
          <cell r="D163" t="str">
            <v>01511</v>
          </cell>
        </row>
        <row r="164">
          <cell r="C164" t="str">
            <v>M/S Shopon Battery House (C)</v>
          </cell>
          <cell r="D164" t="str">
            <v>01320</v>
          </cell>
        </row>
        <row r="165">
          <cell r="C165" t="str">
            <v>M/S Gausia Mill Store</v>
          </cell>
          <cell r="D165" t="str">
            <v>00615</v>
          </cell>
        </row>
        <row r="166">
          <cell r="C166" t="str">
            <v>M/S Shuvo Enterprise</v>
          </cell>
          <cell r="D166" t="str">
            <v>00622</v>
          </cell>
        </row>
        <row r="167">
          <cell r="C167" t="str">
            <v>M/S Shuvo Enterprise</v>
          </cell>
          <cell r="D167" t="str">
            <v>00622</v>
          </cell>
        </row>
        <row r="168">
          <cell r="C168" t="str">
            <v>M/S New Raju Battery</v>
          </cell>
          <cell r="D168" t="str">
            <v>00498</v>
          </cell>
        </row>
        <row r="169">
          <cell r="C169" t="str">
            <v>M/S Shuvo Enterprise</v>
          </cell>
          <cell r="D169" t="str">
            <v>00622</v>
          </cell>
        </row>
        <row r="170">
          <cell r="C170" t="str">
            <v>M/S New Raju Battery</v>
          </cell>
          <cell r="D170" t="str">
            <v>00498</v>
          </cell>
        </row>
        <row r="171">
          <cell r="C171" t="str">
            <v>M/S Sadiq Enterprise (C)</v>
          </cell>
          <cell r="D171" t="str">
            <v>01484</v>
          </cell>
        </row>
        <row r="172">
          <cell r="C172" t="str">
            <v>M/S Alif Ananda Auto and Battery House</v>
          </cell>
          <cell r="D172" t="str">
            <v>01513</v>
          </cell>
        </row>
        <row r="173">
          <cell r="C173" t="str">
            <v>M/S Shekh Enterprise - Khulna</v>
          </cell>
          <cell r="D173" t="str">
            <v>01435</v>
          </cell>
        </row>
        <row r="174">
          <cell r="C174" t="str">
            <v>M/S New Dhaka Motors and Battery</v>
          </cell>
          <cell r="D174" t="str">
            <v>00005</v>
          </cell>
        </row>
        <row r="175">
          <cell r="C175" t="str">
            <v>M/S Ananna Battery &amp; Tyre</v>
          </cell>
          <cell r="D175" t="str">
            <v>01088</v>
          </cell>
        </row>
        <row r="176">
          <cell r="C176" t="str">
            <v>M/S Rashed Enterprise</v>
          </cell>
          <cell r="D176" t="str">
            <v>00030</v>
          </cell>
        </row>
        <row r="177">
          <cell r="C177" t="str">
            <v>M/S Monir Auto &amp; Battery House</v>
          </cell>
          <cell r="D177" t="str">
            <v>00001</v>
          </cell>
        </row>
        <row r="178">
          <cell r="C178" t="str">
            <v>M/S Arafat Enterprise</v>
          </cell>
          <cell r="D178" t="str">
            <v>00094</v>
          </cell>
        </row>
        <row r="179">
          <cell r="C179" t="str">
            <v>M/S Sawda Auto and Battery</v>
          </cell>
          <cell r="D179" t="str">
            <v>01261</v>
          </cell>
        </row>
        <row r="180">
          <cell r="C180" t="str">
            <v>M/S Al Amin-2 Sanitary Hardware &amp; Cycle Store</v>
          </cell>
          <cell r="D180" t="str">
            <v>01272</v>
          </cell>
        </row>
        <row r="181">
          <cell r="C181" t="str">
            <v>M/S Shikdar Auto House</v>
          </cell>
          <cell r="D181" t="str">
            <v>01493</v>
          </cell>
        </row>
        <row r="182">
          <cell r="C182" t="str">
            <v>M/S Bondhu Auto and CNG Workshop</v>
          </cell>
          <cell r="D182" t="str">
            <v>01149</v>
          </cell>
        </row>
        <row r="183">
          <cell r="C183" t="str">
            <v>M/S Bondhu Auto and CNG Workshop</v>
          </cell>
          <cell r="D183" t="str">
            <v>01149</v>
          </cell>
        </row>
        <row r="184">
          <cell r="C184" t="str">
            <v>M/S Doyal Battery</v>
          </cell>
          <cell r="D184" t="str">
            <v>00337</v>
          </cell>
        </row>
        <row r="185">
          <cell r="C185" t="str">
            <v>M/S Minara Traders</v>
          </cell>
          <cell r="D185" t="str">
            <v>01108</v>
          </cell>
        </row>
        <row r="186">
          <cell r="C186" t="str">
            <v>M/S Khokon IPS &amp; Battery Center</v>
          </cell>
          <cell r="D186" t="str">
            <v>00330</v>
          </cell>
        </row>
        <row r="187">
          <cell r="C187" t="str">
            <v>M/S Khan Auto Bike &amp; Battery</v>
          </cell>
          <cell r="D187" t="str">
            <v>00180</v>
          </cell>
        </row>
        <row r="188">
          <cell r="C188" t="str">
            <v>M/S Maa Battery Service</v>
          </cell>
          <cell r="D188" t="str">
            <v>00327</v>
          </cell>
        </row>
        <row r="189">
          <cell r="C189" t="str">
            <v>M/S Rajapur IPS &amp; Battery House</v>
          </cell>
          <cell r="D189" t="str">
            <v>01400</v>
          </cell>
        </row>
        <row r="190">
          <cell r="C190" t="str">
            <v>M/S Laksam Battery House</v>
          </cell>
          <cell r="D190" t="str">
            <v>00336</v>
          </cell>
        </row>
        <row r="191">
          <cell r="C191" t="str">
            <v>M/S Samir Battery And Tyre</v>
          </cell>
          <cell r="D191" t="str">
            <v>01450</v>
          </cell>
        </row>
        <row r="192">
          <cell r="C192" t="str">
            <v>M/S Bhai Bhai Traders-Kendua</v>
          </cell>
          <cell r="D192" t="str">
            <v>00165</v>
          </cell>
        </row>
        <row r="193">
          <cell r="C193" t="str">
            <v>M/S L D Poribahan &amp; Trading (C)</v>
          </cell>
          <cell r="D193" t="str">
            <v>01299</v>
          </cell>
        </row>
        <row r="194">
          <cell r="C194" t="str">
            <v>M/S Setu Cycle Mart</v>
          </cell>
          <cell r="D194" t="str">
            <v>00471</v>
          </cell>
        </row>
        <row r="195">
          <cell r="C195" t="str">
            <v>M/S Setu Cycle Mart</v>
          </cell>
          <cell r="D195" t="str">
            <v>00471</v>
          </cell>
        </row>
        <row r="196">
          <cell r="C196" t="str">
            <v>M/S Shah Mojidia Motor Parts</v>
          </cell>
          <cell r="D196" t="str">
            <v>00842</v>
          </cell>
        </row>
        <row r="197">
          <cell r="C197" t="str">
            <v>M/S Tazal Enterprise</v>
          </cell>
          <cell r="D197" t="str">
            <v>00453</v>
          </cell>
        </row>
        <row r="198">
          <cell r="C198" t="str">
            <v>M/S Bandhu Auto Centre</v>
          </cell>
          <cell r="D198" t="str">
            <v>00573</v>
          </cell>
        </row>
        <row r="199">
          <cell r="C199" t="str">
            <v>M/S Rafiq Vi Battery &amp; Auto</v>
          </cell>
          <cell r="D199" t="str">
            <v>01405</v>
          </cell>
        </row>
        <row r="200">
          <cell r="C200" t="str">
            <v>M/S Housing Auto Bike</v>
          </cell>
          <cell r="D200" t="str">
            <v>00598</v>
          </cell>
        </row>
        <row r="201">
          <cell r="C201" t="str">
            <v>M/S Sompa Cycle Store</v>
          </cell>
          <cell r="D201" t="str">
            <v>01252</v>
          </cell>
        </row>
        <row r="202">
          <cell r="C202" t="str">
            <v>M/S Maa Auto Workshop &amp; Battery Center (C)</v>
          </cell>
          <cell r="D202" t="str">
            <v>01497</v>
          </cell>
        </row>
        <row r="203">
          <cell r="C203" t="str">
            <v>M/S Bhai Bhai Battery And Motors (C)</v>
          </cell>
          <cell r="D203" t="str">
            <v>01496</v>
          </cell>
        </row>
        <row r="204">
          <cell r="C204" t="str">
            <v>M/S Molla Battery House (C)</v>
          </cell>
          <cell r="D204" t="str">
            <v>01428</v>
          </cell>
        </row>
        <row r="205">
          <cell r="C205" t="str">
            <v>M/S National Battery - Lalmonirhat</v>
          </cell>
          <cell r="D205" t="str">
            <v>00579</v>
          </cell>
        </row>
        <row r="206">
          <cell r="C206" t="str">
            <v>M/S AL - Modina Traders</v>
          </cell>
          <cell r="D206" t="str">
            <v>01500</v>
          </cell>
        </row>
        <row r="207">
          <cell r="C207" t="str">
            <v>M/S Doyal Battery</v>
          </cell>
          <cell r="D207" t="str">
            <v>00337</v>
          </cell>
        </row>
        <row r="208">
          <cell r="C208" t="str">
            <v>M/S Shahjalal Traders</v>
          </cell>
          <cell r="D208" t="str">
            <v>01362</v>
          </cell>
        </row>
        <row r="209">
          <cell r="C209" t="str">
            <v>M/S Comilla Traders</v>
          </cell>
          <cell r="D209" t="str">
            <v>00334</v>
          </cell>
        </row>
        <row r="210">
          <cell r="C210" t="str">
            <v>M/S Samir Battery And Tyre</v>
          </cell>
          <cell r="D210" t="str">
            <v>01450</v>
          </cell>
        </row>
        <row r="211">
          <cell r="C211" t="str">
            <v>M/S New Al-Amin Battery House</v>
          </cell>
          <cell r="D211" t="str">
            <v>00270</v>
          </cell>
        </row>
        <row r="212">
          <cell r="C212" t="str">
            <v>M/S Mashpi Battery &amp; Auto</v>
          </cell>
          <cell r="D212" t="str">
            <v>01152</v>
          </cell>
        </row>
        <row r="213">
          <cell r="C213" t="str">
            <v>M/S Al Madina Enterprise</v>
          </cell>
          <cell r="D213" t="str">
            <v>00814</v>
          </cell>
        </row>
        <row r="214">
          <cell r="C214" t="str">
            <v>M/S A.P.L. Auto House</v>
          </cell>
          <cell r="D214" t="str">
            <v>00328</v>
          </cell>
        </row>
        <row r="215">
          <cell r="C215" t="str">
            <v>M/S National Motors-Feni</v>
          </cell>
          <cell r="D215" t="str">
            <v>01102</v>
          </cell>
        </row>
        <row r="216">
          <cell r="C216" t="str">
            <v>M/S S.S. Enterprise-Norshingdi (C)</v>
          </cell>
          <cell r="D216" t="str">
            <v>01331</v>
          </cell>
        </row>
        <row r="217">
          <cell r="C217" t="str">
            <v>M/S Monir Auto &amp; Battery House</v>
          </cell>
          <cell r="D217" t="str">
            <v>00001</v>
          </cell>
        </row>
        <row r="218">
          <cell r="C218" t="str">
            <v>M/S Monir Auto &amp; Battery House</v>
          </cell>
          <cell r="D218" t="str">
            <v>00001</v>
          </cell>
        </row>
        <row r="219">
          <cell r="C219" t="str">
            <v>M/S Adnan Tyre and Battery House</v>
          </cell>
          <cell r="D219" t="str">
            <v>01371</v>
          </cell>
        </row>
        <row r="220">
          <cell r="C220" t="str">
            <v>M/S Adnan Tyre and Battery House</v>
          </cell>
          <cell r="D220" t="str">
            <v>01371</v>
          </cell>
        </row>
        <row r="221">
          <cell r="C221" t="str">
            <v>M/S Rashed Enterprise</v>
          </cell>
          <cell r="D221" t="str">
            <v>00030</v>
          </cell>
        </row>
        <row r="222">
          <cell r="C222" t="str">
            <v>M/S Ripon Tyre and Battery</v>
          </cell>
          <cell r="D222" t="str">
            <v>00002</v>
          </cell>
        </row>
        <row r="223">
          <cell r="C223" t="str">
            <v>M/S Taiyeba Motors</v>
          </cell>
          <cell r="D223" t="str">
            <v>01394</v>
          </cell>
        </row>
        <row r="224">
          <cell r="C224" t="str">
            <v>M/S Modina Cycle Store</v>
          </cell>
          <cell r="D224" t="str">
            <v>01270</v>
          </cell>
        </row>
        <row r="225">
          <cell r="C225" t="str">
            <v>M/S Macca Tyre And battery House</v>
          </cell>
          <cell r="D225" t="str">
            <v>00439</v>
          </cell>
        </row>
        <row r="226">
          <cell r="C226" t="str">
            <v>M/S S.K. Enterprise (C)</v>
          </cell>
          <cell r="D226" t="str">
            <v>01326</v>
          </cell>
        </row>
        <row r="227">
          <cell r="C227" t="str">
            <v>M/S Shah Mojidia Motor Parts</v>
          </cell>
          <cell r="D227" t="str">
            <v>00842</v>
          </cell>
        </row>
        <row r="228">
          <cell r="C228" t="str">
            <v>M/S Setu Cycle Mart</v>
          </cell>
          <cell r="D228" t="str">
            <v>00471</v>
          </cell>
        </row>
        <row r="229">
          <cell r="C229" t="str">
            <v>M/S Setu Cycle Mart</v>
          </cell>
          <cell r="D229" t="str">
            <v>00471</v>
          </cell>
        </row>
        <row r="230">
          <cell r="C230" t="str">
            <v>M/S Setu Cycle Mart</v>
          </cell>
          <cell r="D230" t="str">
            <v>00471</v>
          </cell>
        </row>
        <row r="231">
          <cell r="C231" t="str">
            <v>M/S Setu Cycle Mart</v>
          </cell>
          <cell r="D231" t="str">
            <v>00471</v>
          </cell>
        </row>
        <row r="232">
          <cell r="C232" t="str">
            <v>M/S Tamim Enterprise</v>
          </cell>
          <cell r="D232" t="str">
            <v>01395</v>
          </cell>
        </row>
        <row r="233">
          <cell r="C233" t="str">
            <v>M/S Sadia Enterprise</v>
          </cell>
          <cell r="D233" t="str">
            <v>01490</v>
          </cell>
        </row>
        <row r="234">
          <cell r="C234" t="str">
            <v>M/S Raza Mic &amp; Battery House</v>
          </cell>
          <cell r="D234" t="str">
            <v>01489</v>
          </cell>
        </row>
        <row r="235">
          <cell r="C235" t="str">
            <v>M/S S.M. Enterprise- Sunamgonj</v>
          </cell>
          <cell r="D235" t="str">
            <v>00390</v>
          </cell>
        </row>
        <row r="236">
          <cell r="C236" t="str">
            <v>M/S Sadaf Auto &amp;  Vulcanizing Corner</v>
          </cell>
          <cell r="D236" t="str">
            <v>00089</v>
          </cell>
        </row>
        <row r="237">
          <cell r="C237" t="str">
            <v>M/S Showrob Auto &amp; Machinery House</v>
          </cell>
          <cell r="D237" t="str">
            <v>00312</v>
          </cell>
        </row>
        <row r="238">
          <cell r="C238" t="str">
            <v>M/S Oppo Parts &amp; Battery House</v>
          </cell>
          <cell r="D238" t="str">
            <v>01508</v>
          </cell>
        </row>
        <row r="239">
          <cell r="C239" t="str">
            <v>M/S Hossen Traders</v>
          </cell>
          <cell r="D239" t="str">
            <v>01107</v>
          </cell>
        </row>
        <row r="240">
          <cell r="C240" t="str">
            <v>M/S Maa Auto Workshop &amp; Battery Center (C)</v>
          </cell>
          <cell r="D240" t="str">
            <v>01497</v>
          </cell>
        </row>
        <row r="241">
          <cell r="C241" t="str">
            <v>M/S Gausia Mill Store</v>
          </cell>
          <cell r="D241" t="str">
            <v>00615</v>
          </cell>
        </row>
        <row r="242">
          <cell r="C242" t="str">
            <v>M/S Battery House - Pabna</v>
          </cell>
          <cell r="D242" t="str">
            <v>00534</v>
          </cell>
        </row>
        <row r="243">
          <cell r="C243" t="str">
            <v>M/S Shopon Battery House (C)</v>
          </cell>
          <cell r="D243" t="str">
            <v>01320</v>
          </cell>
        </row>
        <row r="244">
          <cell r="C244" t="str">
            <v>M/S Souro Power Electric (C)</v>
          </cell>
          <cell r="D244" t="str">
            <v>01455</v>
          </cell>
        </row>
        <row r="245">
          <cell r="C245" t="str">
            <v>M/S Farhan Battery &amp; Auto Parts</v>
          </cell>
          <cell r="D245" t="str">
            <v>01470</v>
          </cell>
        </row>
        <row r="246">
          <cell r="C246" t="str">
            <v>M/S Gausia Mill Store</v>
          </cell>
          <cell r="D246" t="str">
            <v>00615</v>
          </cell>
        </row>
        <row r="247">
          <cell r="C247" t="str">
            <v>M/S Farhan Battery &amp; Auto Parts</v>
          </cell>
          <cell r="D247" t="str">
            <v>01470</v>
          </cell>
        </row>
        <row r="248">
          <cell r="C248" t="str">
            <v>M/S Gausia Mill Store</v>
          </cell>
          <cell r="D248" t="str">
            <v>00615</v>
          </cell>
        </row>
        <row r="249">
          <cell r="C249" t="str">
            <v>M/S Gausia Mill Store</v>
          </cell>
          <cell r="D249" t="str">
            <v>00615</v>
          </cell>
        </row>
        <row r="250">
          <cell r="C250" t="str">
            <v>M/S Doyal Battery</v>
          </cell>
          <cell r="D250" t="str">
            <v>00337</v>
          </cell>
        </row>
        <row r="251">
          <cell r="C251" t="str">
            <v>M/S Takwa Enterprise</v>
          </cell>
          <cell r="D251" t="str">
            <v>00847</v>
          </cell>
        </row>
        <row r="252">
          <cell r="C252" t="str">
            <v>M/S Farhan Auto (C)</v>
          </cell>
          <cell r="D252" t="str">
            <v>01298</v>
          </cell>
        </row>
        <row r="253">
          <cell r="C253" t="str">
            <v>M/S S.K. Enterprise (C)</v>
          </cell>
          <cell r="D253" t="str">
            <v>01326</v>
          </cell>
        </row>
        <row r="254">
          <cell r="C254" t="str">
            <v>M/S Shah Mojidia Motor Parts</v>
          </cell>
          <cell r="D254" t="str">
            <v>00842</v>
          </cell>
        </row>
        <row r="255">
          <cell r="C255" t="str">
            <v>M/S Setu Cycle Mart</v>
          </cell>
          <cell r="D255" t="str">
            <v>00471</v>
          </cell>
        </row>
        <row r="256">
          <cell r="C256" t="str">
            <v>M/S Setu Cycle Mart</v>
          </cell>
          <cell r="D256" t="str">
            <v>00471</v>
          </cell>
        </row>
        <row r="257">
          <cell r="C257" t="str">
            <v>M/S Fateha Battery</v>
          </cell>
          <cell r="D257" t="str">
            <v>00388</v>
          </cell>
        </row>
        <row r="258">
          <cell r="C258" t="str">
            <v>M/S City Auto</v>
          </cell>
          <cell r="D258" t="str">
            <v>00398</v>
          </cell>
        </row>
        <row r="259">
          <cell r="C259" t="str">
            <v>M/S Maa Battery Service</v>
          </cell>
          <cell r="D259" t="str">
            <v>00327</v>
          </cell>
        </row>
        <row r="260">
          <cell r="C260" t="str">
            <v>M/S Rasel Bettary Service</v>
          </cell>
          <cell r="D260" t="str">
            <v>01380</v>
          </cell>
        </row>
        <row r="261">
          <cell r="C261" t="str">
            <v>M/S Adnan Tyre and Battery House</v>
          </cell>
          <cell r="D261" t="str">
            <v>01371</v>
          </cell>
        </row>
        <row r="262">
          <cell r="C262" t="str">
            <v>M/S Ali Battery House</v>
          </cell>
          <cell r="D262" t="str">
            <v>00474</v>
          </cell>
        </row>
        <row r="263">
          <cell r="C263" t="str">
            <v>M/S Polash Battery and Auto Parts</v>
          </cell>
          <cell r="D263" t="str">
            <v>01244</v>
          </cell>
        </row>
        <row r="264">
          <cell r="C264" t="str">
            <v>M/S Oppo Parts &amp; Battery House</v>
          </cell>
          <cell r="D264" t="str">
            <v>01508</v>
          </cell>
        </row>
        <row r="265">
          <cell r="C265" t="str">
            <v>M/S Modina Cycle Store</v>
          </cell>
          <cell r="D265" t="str">
            <v>01270</v>
          </cell>
        </row>
        <row r="266">
          <cell r="C266" t="str">
            <v>M/S Bondhu Motors</v>
          </cell>
          <cell r="D266" t="str">
            <v>01147</v>
          </cell>
        </row>
        <row r="267">
          <cell r="C267" t="str">
            <v>M/S Rafiq Vi Battery &amp; Auto</v>
          </cell>
          <cell r="D267" t="str">
            <v>01405</v>
          </cell>
        </row>
        <row r="268">
          <cell r="C268" t="str">
            <v>M/S Bandhu Auto Centre</v>
          </cell>
          <cell r="D268" t="str">
            <v>00573</v>
          </cell>
        </row>
        <row r="269">
          <cell r="C269" t="str">
            <v>M/S Gausia Mill Store</v>
          </cell>
          <cell r="D269" t="str">
            <v>00615</v>
          </cell>
        </row>
        <row r="270">
          <cell r="C270" t="str">
            <v>M/S Mosabbir Traders</v>
          </cell>
          <cell r="D270" t="str">
            <v>00560</v>
          </cell>
        </row>
        <row r="271">
          <cell r="C271" t="str">
            <v>M/S Roni Battery</v>
          </cell>
          <cell r="D271" t="str">
            <v>01379</v>
          </cell>
        </row>
        <row r="272">
          <cell r="C272" t="str">
            <v>M/S Roni Battery</v>
          </cell>
          <cell r="D272" t="str">
            <v>01379</v>
          </cell>
        </row>
        <row r="273">
          <cell r="C273" t="str">
            <v>M/S Sirajgonj Auto Corner (C)</v>
          </cell>
          <cell r="D273" t="str">
            <v>01494</v>
          </cell>
        </row>
        <row r="274">
          <cell r="C274" t="str">
            <v>M/S Sompa Cycle Store</v>
          </cell>
          <cell r="D274" t="str">
            <v>01252</v>
          </cell>
        </row>
        <row r="275">
          <cell r="C275" t="str">
            <v>M/S Shopon Battery House (C)</v>
          </cell>
          <cell r="D275" t="str">
            <v>01320</v>
          </cell>
        </row>
        <row r="276">
          <cell r="C276" t="str">
            <v>M/S Adib Alifa Auto &amp; Battery House (C)</v>
          </cell>
          <cell r="D276" t="str">
            <v>01454</v>
          </cell>
        </row>
        <row r="277">
          <cell r="C277" t="str">
            <v>M/S Gausia Mill Store</v>
          </cell>
          <cell r="D277" t="str">
            <v>00615</v>
          </cell>
        </row>
        <row r="278">
          <cell r="C278" t="str">
            <v>M/S Afifa Traders (C)</v>
          </cell>
          <cell r="D278" t="str">
            <v>01515</v>
          </cell>
        </row>
        <row r="279">
          <cell r="C279" t="str">
            <v>M/S Mithila Auto Show Room</v>
          </cell>
          <cell r="D279" t="str">
            <v>01499</v>
          </cell>
        </row>
        <row r="280">
          <cell r="C280" t="str">
            <v>M/S S. K. Battery and Motors</v>
          </cell>
          <cell r="D280" t="str">
            <v>01458</v>
          </cell>
        </row>
        <row r="281">
          <cell r="C281" t="str">
            <v>M/S Al Baraka Enterprise</v>
          </cell>
          <cell r="D281" t="str">
            <v>00159</v>
          </cell>
        </row>
        <row r="282">
          <cell r="C282" t="str">
            <v>M/S National Battery - Lalmonirhat</v>
          </cell>
          <cell r="D282" t="str">
            <v>00579</v>
          </cell>
        </row>
        <row r="283">
          <cell r="C283" t="str">
            <v>M/S National Battery - Lalmonirhat</v>
          </cell>
          <cell r="D283" t="str">
            <v>00579</v>
          </cell>
        </row>
        <row r="284">
          <cell r="C284" t="str">
            <v>M/S Doyal Battery</v>
          </cell>
          <cell r="D284" t="str">
            <v>00337</v>
          </cell>
        </row>
        <row r="285">
          <cell r="C285" t="str">
            <v>M/S Shikdar Auto House</v>
          </cell>
          <cell r="D285" t="str">
            <v>01493</v>
          </cell>
        </row>
        <row r="286">
          <cell r="C286" t="str">
            <v>M/S Mashpi Battery &amp; Auto</v>
          </cell>
          <cell r="D286" t="str">
            <v>01152</v>
          </cell>
        </row>
        <row r="287">
          <cell r="C287" t="str">
            <v>M/S Bondhu Auto and CNG Workshop</v>
          </cell>
          <cell r="D287" t="str">
            <v>01149</v>
          </cell>
        </row>
        <row r="288">
          <cell r="C288" t="str">
            <v>M/S Raisa Radia  Battery House</v>
          </cell>
          <cell r="D288" t="str">
            <v>00867</v>
          </cell>
        </row>
        <row r="289">
          <cell r="C289" t="str">
            <v>M/S Al Amin-2 Sanitary Hardware &amp; Cycle Store</v>
          </cell>
          <cell r="D289" t="str">
            <v>01272</v>
          </cell>
        </row>
        <row r="290">
          <cell r="C290" t="str">
            <v>M/S Al Amin-2 Sanitary Hardware &amp; Cycle Store</v>
          </cell>
          <cell r="D290" t="str">
            <v>01272</v>
          </cell>
        </row>
        <row r="291">
          <cell r="C291" t="str">
            <v>M/S Rashed Enterprise</v>
          </cell>
          <cell r="D291" t="str">
            <v>00030</v>
          </cell>
        </row>
        <row r="292">
          <cell r="C292" t="str">
            <v>M/S Lutfor Auto Battery House</v>
          </cell>
          <cell r="D292" t="str">
            <v>00829</v>
          </cell>
        </row>
        <row r="293">
          <cell r="C293" t="str">
            <v>M/S Adnan Tyre and Battery House</v>
          </cell>
          <cell r="D293" t="str">
            <v>01371</v>
          </cell>
        </row>
        <row r="294">
          <cell r="C294" t="str">
            <v>M/S Sharif Battery House &amp; IPS Center</v>
          </cell>
          <cell r="D294" t="str">
            <v>01424</v>
          </cell>
        </row>
        <row r="295">
          <cell r="C295" t="str">
            <v>M/S Al - Mokka Enterprise</v>
          </cell>
          <cell r="D295" t="str">
            <v>01112</v>
          </cell>
        </row>
        <row r="296">
          <cell r="C296" t="str">
            <v>M/S Gazipur Battery House</v>
          </cell>
          <cell r="D296" t="str">
            <v>00826</v>
          </cell>
        </row>
        <row r="297">
          <cell r="C297" t="str">
            <v>M/S Tanvir Battery House</v>
          </cell>
          <cell r="D297" t="str">
            <v>01175</v>
          </cell>
        </row>
        <row r="298">
          <cell r="C298" t="str">
            <v>M/S Oppo Parts &amp; Battery House</v>
          </cell>
          <cell r="D298" t="str">
            <v>01508</v>
          </cell>
        </row>
        <row r="299">
          <cell r="C299" t="str">
            <v>M/S Oppo Parts &amp; Battery House</v>
          </cell>
          <cell r="D299" t="str">
            <v>01508</v>
          </cell>
        </row>
        <row r="300">
          <cell r="C300" t="str">
            <v>M/S B.R.S.  Sowra Bidduyt</v>
          </cell>
          <cell r="D300" t="str">
            <v>00415</v>
          </cell>
        </row>
        <row r="301">
          <cell r="C301" t="str">
            <v>M/S Alam Battery House</v>
          </cell>
          <cell r="D301" t="str">
            <v>00442</v>
          </cell>
        </row>
        <row r="302">
          <cell r="C302" t="str">
            <v>M/S Shah Mojidia Motor Parts</v>
          </cell>
          <cell r="D302" t="str">
            <v>00842</v>
          </cell>
        </row>
        <row r="303">
          <cell r="C303" t="str">
            <v>M/S Setu Cycle Mart</v>
          </cell>
          <cell r="D303" t="str">
            <v>00471</v>
          </cell>
        </row>
        <row r="304">
          <cell r="C304" t="str">
            <v>M/S Setu Cycle Mart</v>
          </cell>
          <cell r="D304" t="str">
            <v>00471</v>
          </cell>
        </row>
        <row r="305">
          <cell r="C305" t="str">
            <v>M/S L D Poribahan &amp; Trading (C)</v>
          </cell>
          <cell r="D305" t="str">
            <v>01299</v>
          </cell>
        </row>
        <row r="306">
          <cell r="C306" t="str">
            <v>M/S Eva Grill Workshop &amp; Hardware</v>
          </cell>
          <cell r="D306" t="str">
            <v>01440</v>
          </cell>
        </row>
        <row r="307">
          <cell r="C307" t="str">
            <v>M/S Sajib Enterprise (C)</v>
          </cell>
          <cell r="D307" t="str">
            <v>01353</v>
          </cell>
        </row>
        <row r="308">
          <cell r="C308" t="str">
            <v>M/S Unique Battery and Solar</v>
          </cell>
          <cell r="D308" t="str">
            <v>01157</v>
          </cell>
        </row>
        <row r="309">
          <cell r="C309" t="str">
            <v>M/S Rajapur IPS &amp; Battery House</v>
          </cell>
          <cell r="D309" t="str">
            <v>01400</v>
          </cell>
        </row>
        <row r="310">
          <cell r="C310" t="str">
            <v>M/S A.P.L. Auto House</v>
          </cell>
          <cell r="D310" t="str">
            <v>00328</v>
          </cell>
        </row>
        <row r="311">
          <cell r="C311" t="str">
            <v>M/S Tamim Enterprise</v>
          </cell>
          <cell r="D311" t="str">
            <v>01395</v>
          </cell>
        </row>
        <row r="312">
          <cell r="C312" t="str">
            <v>M/S Ripon Tyre and Battery</v>
          </cell>
          <cell r="D312" t="str">
            <v>00002</v>
          </cell>
        </row>
        <row r="313">
          <cell r="C313" t="str">
            <v>M/S Sharif Battery House &amp; IPS Center</v>
          </cell>
          <cell r="D313" t="str">
            <v>01424</v>
          </cell>
        </row>
        <row r="314">
          <cell r="C314" t="str">
            <v>M/S Islamia Battery Service- Chandpur</v>
          </cell>
          <cell r="D314" t="str">
            <v>00306</v>
          </cell>
        </row>
        <row r="315">
          <cell r="C315" t="str">
            <v>M/S Bondhu Motors</v>
          </cell>
          <cell r="D315" t="str">
            <v>01147</v>
          </cell>
        </row>
        <row r="316">
          <cell r="C316" t="str">
            <v>M/S Awlad Electronics</v>
          </cell>
          <cell r="D316" t="str">
            <v>01284</v>
          </cell>
        </row>
        <row r="317">
          <cell r="C317" t="str">
            <v>M/S Doyal Battery</v>
          </cell>
          <cell r="D317" t="str">
            <v>00337</v>
          </cell>
        </row>
        <row r="318">
          <cell r="C318" t="str">
            <v>M/S Bondhu Auto and CNG Workshop</v>
          </cell>
          <cell r="D318" t="str">
            <v>01149</v>
          </cell>
        </row>
        <row r="319">
          <cell r="C319" t="str">
            <v>M/S Takwa Enterprise</v>
          </cell>
          <cell r="D319" t="str">
            <v>00847</v>
          </cell>
        </row>
        <row r="320">
          <cell r="C320" t="str">
            <v>M/S Rashed Enterprise</v>
          </cell>
          <cell r="D320" t="str">
            <v>00030</v>
          </cell>
        </row>
        <row r="321">
          <cell r="C321" t="str">
            <v>M/S Rashed Enterprise</v>
          </cell>
          <cell r="D321" t="str">
            <v>00030</v>
          </cell>
        </row>
        <row r="322">
          <cell r="C322" t="str">
            <v>M/S Bismillah Motors-Bagerhat</v>
          </cell>
          <cell r="D322" t="str">
            <v>00703</v>
          </cell>
        </row>
        <row r="323">
          <cell r="C323" t="str">
            <v>M/S New Dhaka Motors and Battery</v>
          </cell>
          <cell r="D323" t="str">
            <v>00005</v>
          </cell>
        </row>
        <row r="324">
          <cell r="C324" t="str">
            <v>M/S New Asia Motors</v>
          </cell>
          <cell r="D324" t="str">
            <v>00051</v>
          </cell>
        </row>
        <row r="325">
          <cell r="C325" t="str">
            <v>M/S Adnan Tyre and Battery House</v>
          </cell>
          <cell r="D325" t="str">
            <v>01371</v>
          </cell>
        </row>
        <row r="326">
          <cell r="C326" t="str">
            <v>M/S Ananna Battery &amp; Tyre</v>
          </cell>
          <cell r="D326" t="str">
            <v>01088</v>
          </cell>
        </row>
        <row r="327">
          <cell r="C327" t="str">
            <v>M/S Alif Ananda Auto and Battery House</v>
          </cell>
          <cell r="D327" t="str">
            <v>01513</v>
          </cell>
        </row>
        <row r="328">
          <cell r="C328" t="str">
            <v>M/S Musulli Enterprise</v>
          </cell>
          <cell r="D328" t="str">
            <v>00091</v>
          </cell>
        </row>
        <row r="329">
          <cell r="C329" t="str">
            <v>M/S Mashpi Battery &amp; Auto</v>
          </cell>
          <cell r="D329" t="str">
            <v>01152</v>
          </cell>
        </row>
        <row r="330">
          <cell r="C330" t="str">
            <v>M/S Sadaf Auto &amp;  Vulcanizing Corner</v>
          </cell>
          <cell r="D330" t="str">
            <v>00089</v>
          </cell>
        </row>
        <row r="331">
          <cell r="C331" t="str">
            <v>M/S City Auto</v>
          </cell>
          <cell r="D331" t="str">
            <v>00398</v>
          </cell>
        </row>
        <row r="332">
          <cell r="C332" t="str">
            <v>M/S City Auto</v>
          </cell>
          <cell r="D332" t="str">
            <v>00398</v>
          </cell>
        </row>
        <row r="333">
          <cell r="C333" t="str">
            <v>M/S Minara Traders</v>
          </cell>
          <cell r="D333" t="str">
            <v>01108</v>
          </cell>
        </row>
        <row r="334">
          <cell r="C334" t="str">
            <v>M/S Shah Mojidia Motor Parts</v>
          </cell>
          <cell r="D334" t="str">
            <v>00842</v>
          </cell>
        </row>
        <row r="335">
          <cell r="C335" t="str">
            <v>M/S L D Poribahan &amp; Trading (C)</v>
          </cell>
          <cell r="D335" t="str">
            <v>01299</v>
          </cell>
        </row>
        <row r="336">
          <cell r="C336" t="str">
            <v>M/S Arafat Battery House</v>
          </cell>
          <cell r="D336" t="str">
            <v>01445</v>
          </cell>
        </row>
        <row r="337">
          <cell r="C337" t="str">
            <v>M/S B.R.S.  Sowra Bidduyt</v>
          </cell>
          <cell r="D337" t="str">
            <v>00415</v>
          </cell>
        </row>
        <row r="338">
          <cell r="C338" t="str">
            <v>M/S Samir Battery And Tyre</v>
          </cell>
          <cell r="D338" t="str">
            <v>01450</v>
          </cell>
        </row>
        <row r="339">
          <cell r="C339" t="str">
            <v>M/S B.R.S.  Sowra Bidduyt</v>
          </cell>
          <cell r="D339" t="str">
            <v>00415</v>
          </cell>
        </row>
        <row r="340">
          <cell r="C340" t="str">
            <v>M/S Shapla Battery &amp; Auto House</v>
          </cell>
          <cell r="D340" t="str">
            <v>01447</v>
          </cell>
        </row>
        <row r="341">
          <cell r="C341" t="str">
            <v>M/S Oppo Parts &amp; Battery House</v>
          </cell>
          <cell r="D341" t="str">
            <v>01508</v>
          </cell>
        </row>
        <row r="342">
          <cell r="C342" t="str">
            <v>M/S Oppo Parts &amp; Battery House</v>
          </cell>
          <cell r="D342" t="str">
            <v>01508</v>
          </cell>
        </row>
        <row r="343">
          <cell r="C343" t="str">
            <v>M/S Hira Motors</v>
          </cell>
          <cell r="D343" t="str">
            <v>01100</v>
          </cell>
        </row>
        <row r="344">
          <cell r="C344" t="str">
            <v>M/S Power Battery And Tyre</v>
          </cell>
          <cell r="D344" t="str">
            <v>01477</v>
          </cell>
        </row>
        <row r="345">
          <cell r="C345" t="str">
            <v>M/S Rafiq Vi Battery &amp; Auto</v>
          </cell>
          <cell r="D345" t="str">
            <v>01405</v>
          </cell>
        </row>
        <row r="346">
          <cell r="C346" t="str">
            <v>M/S Housing Auto Bike</v>
          </cell>
          <cell r="D346" t="str">
            <v>00598</v>
          </cell>
        </row>
        <row r="347">
          <cell r="C347" t="str">
            <v>M/S Sirajgonj Auto Corner (C)</v>
          </cell>
          <cell r="D347" t="str">
            <v>01494</v>
          </cell>
        </row>
        <row r="348">
          <cell r="C348" t="str">
            <v>M/S Shopon Battery House (C)</v>
          </cell>
          <cell r="D348" t="str">
            <v>01320</v>
          </cell>
        </row>
        <row r="349">
          <cell r="C349" t="str">
            <v>M/S Fateha Battery</v>
          </cell>
          <cell r="D349" t="str">
            <v>00388</v>
          </cell>
        </row>
        <row r="350">
          <cell r="C350" t="str">
            <v>M/S Shah Mojidia Motor Parts</v>
          </cell>
          <cell r="D350" t="str">
            <v>00842</v>
          </cell>
        </row>
        <row r="351">
          <cell r="C351" t="str">
            <v>M/S Setu Cycle Mart</v>
          </cell>
          <cell r="D351" t="str">
            <v>00471</v>
          </cell>
        </row>
        <row r="352">
          <cell r="C352" t="str">
            <v>M/S Mahtab Engineering Workshop</v>
          </cell>
          <cell r="D352" t="str">
            <v>01429</v>
          </cell>
        </row>
        <row r="353">
          <cell r="C353" t="str">
            <v>M/S Gausia Mill Store</v>
          </cell>
          <cell r="D353" t="str">
            <v>00615</v>
          </cell>
        </row>
        <row r="354">
          <cell r="C354" t="str">
            <v>M/S Al - Mokka Enterprise</v>
          </cell>
          <cell r="D354" t="str">
            <v>01112</v>
          </cell>
        </row>
        <row r="355">
          <cell r="C355" t="str">
            <v>M/S Adnan Tyre and Battery House</v>
          </cell>
          <cell r="D355" t="str">
            <v>01371</v>
          </cell>
        </row>
        <row r="356">
          <cell r="C356" t="str">
            <v>M/S Monir Auto &amp; Battery House</v>
          </cell>
          <cell r="D356" t="str">
            <v>00001</v>
          </cell>
        </row>
        <row r="357">
          <cell r="C357" t="str">
            <v>M/S Modina Cycle Store</v>
          </cell>
          <cell r="D357" t="str">
            <v>01270</v>
          </cell>
        </row>
        <row r="358">
          <cell r="C358" t="str">
            <v>M/S Gausia Mill Store</v>
          </cell>
          <cell r="D358" t="str">
            <v>00615</v>
          </cell>
        </row>
        <row r="359">
          <cell r="C359" t="str">
            <v>M/S Jogotbondhu Battery &amp; Eng. Workshop</v>
          </cell>
          <cell r="D359" t="str">
            <v>00143</v>
          </cell>
        </row>
        <row r="360">
          <cell r="C360" t="str">
            <v>M/S National Battery - Lalmonirhat</v>
          </cell>
          <cell r="D360" t="str">
            <v>00579</v>
          </cell>
        </row>
        <row r="361">
          <cell r="C361" t="str">
            <v>M/S Ira Motors</v>
          </cell>
          <cell r="D361" t="str">
            <v>00133</v>
          </cell>
        </row>
        <row r="362">
          <cell r="C362" t="str">
            <v>M/S Bondhu Battery &amp; Auto</v>
          </cell>
          <cell r="D362" t="str">
            <v>00163</v>
          </cell>
        </row>
        <row r="363">
          <cell r="C363" t="str">
            <v>M/S B.R.S.  Sowra Bidduyt</v>
          </cell>
          <cell r="D363" t="str">
            <v>00415</v>
          </cell>
        </row>
        <row r="364">
          <cell r="C364" t="str">
            <v>M/S Doyal Battery</v>
          </cell>
          <cell r="D364" t="str">
            <v>00337</v>
          </cell>
        </row>
        <row r="365">
          <cell r="C365" t="str">
            <v>M/S Sawda Auto and Battery</v>
          </cell>
          <cell r="D365" t="str">
            <v>01261</v>
          </cell>
        </row>
        <row r="366">
          <cell r="C366" t="str">
            <v>M/S A.P.L. Auto House</v>
          </cell>
          <cell r="D366" t="str">
            <v>00328</v>
          </cell>
        </row>
        <row r="367">
          <cell r="C367" t="str">
            <v>M/S Lalmai Machineries &amp; Parts</v>
          </cell>
          <cell r="D367" t="str">
            <v>00329</v>
          </cell>
        </row>
        <row r="368">
          <cell r="C368" t="str">
            <v>M/S Lalmai Machineries &amp; Parts</v>
          </cell>
          <cell r="D368" t="str">
            <v>00329</v>
          </cell>
        </row>
        <row r="369">
          <cell r="C369" t="str">
            <v>M/S Anowar Battery &amp; Tyre Shop</v>
          </cell>
          <cell r="D369" t="str">
            <v>00818</v>
          </cell>
        </row>
      </sheetData>
      <sheetData sheetId="2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Dealer Wise Net Sales Register1"/>
      <sheetName val="Sheet2"/>
      <sheetName val="Sheet3"/>
      <sheetName val="Sheet4"/>
    </sheetNames>
    <sheetDataSet>
      <sheetData sheetId="0"/>
      <sheetData sheetId="1">
        <row r="8">
          <cell r="D8" t="str">
            <v>Customer Name</v>
          </cell>
          <cell r="E8" t="str">
            <v>Customer Code</v>
          </cell>
        </row>
        <row r="9">
          <cell r="D9" t="str">
            <v>M/S Al - Mokka Enterprise</v>
          </cell>
          <cell r="E9" t="str">
            <v>01112</v>
          </cell>
        </row>
        <row r="10">
          <cell r="D10" t="str">
            <v>M/S Al Madina Enterprise</v>
          </cell>
          <cell r="E10" t="str">
            <v>00814</v>
          </cell>
        </row>
        <row r="11">
          <cell r="D11" t="str">
            <v>M/S Nasir Motors</v>
          </cell>
          <cell r="E11" t="str">
            <v>01248</v>
          </cell>
        </row>
        <row r="12">
          <cell r="D12" t="str">
            <v>M/S Al - Mokka Enterprise (C)</v>
          </cell>
          <cell r="E12" t="str">
            <v>01553</v>
          </cell>
        </row>
        <row r="13">
          <cell r="D13" t="str">
            <v>M/S Al - Mokka Enterprise (C)</v>
          </cell>
          <cell r="E13" t="str">
            <v>01553</v>
          </cell>
        </row>
        <row r="14">
          <cell r="D14" t="str">
            <v>M/S Pagla Mama Auto Parts</v>
          </cell>
          <cell r="E14" t="str">
            <v>01170</v>
          </cell>
        </row>
        <row r="15">
          <cell r="D15" t="str">
            <v>M/S Ripon Tyre and Battery (C)</v>
          </cell>
          <cell r="E15" t="str">
            <v>01557</v>
          </cell>
        </row>
        <row r="16">
          <cell r="D16" t="str">
            <v>M/S L D Poribahan &amp; Trading (C)</v>
          </cell>
          <cell r="E16" t="str">
            <v>01299</v>
          </cell>
        </row>
        <row r="17">
          <cell r="D17" t="str">
            <v>M/S Maa Battery &amp; IPS Store</v>
          </cell>
          <cell r="E17" t="str">
            <v>00183</v>
          </cell>
        </row>
        <row r="18">
          <cell r="D18" t="str">
            <v>M/S Supreme Auto (C)</v>
          </cell>
          <cell r="E18" t="str">
            <v>01300</v>
          </cell>
        </row>
        <row r="19">
          <cell r="D19" t="str">
            <v>M/S Shanta Hardware And Auto Parts</v>
          </cell>
          <cell r="E19" t="str">
            <v>01140</v>
          </cell>
        </row>
        <row r="20">
          <cell r="D20" t="str">
            <v>M/S Gausia Mill Store</v>
          </cell>
          <cell r="E20" t="str">
            <v>00615</v>
          </cell>
        </row>
        <row r="21">
          <cell r="D21" t="str">
            <v>M/S Shah Mojidia Motor Parts</v>
          </cell>
          <cell r="E21" t="str">
            <v>00842</v>
          </cell>
        </row>
        <row r="22">
          <cell r="D22" t="str">
            <v>M/S Shah Mojidia Motor Parts</v>
          </cell>
          <cell r="E22" t="str">
            <v>00842</v>
          </cell>
        </row>
        <row r="23">
          <cell r="D23" t="str">
            <v>M/S Gausia Mill Store</v>
          </cell>
          <cell r="E23" t="str">
            <v>00615</v>
          </cell>
        </row>
        <row r="24">
          <cell r="D24" t="str">
            <v>M/S Oppo Parts &amp; Battery House</v>
          </cell>
          <cell r="E24" t="str">
            <v>01508</v>
          </cell>
        </row>
        <row r="25">
          <cell r="D25" t="str">
            <v>M/S Oppo Parts &amp; Battery House</v>
          </cell>
          <cell r="E25" t="str">
            <v>01508</v>
          </cell>
        </row>
        <row r="26">
          <cell r="D26" t="str">
            <v>M/S Sohan Motors</v>
          </cell>
          <cell r="E26" t="str">
            <v>01385</v>
          </cell>
        </row>
        <row r="27">
          <cell r="D27" t="str">
            <v>M/S Sohan Motors</v>
          </cell>
          <cell r="E27" t="str">
            <v>01385</v>
          </cell>
        </row>
        <row r="28">
          <cell r="D28" t="str">
            <v>M/S Sohan Motors</v>
          </cell>
          <cell r="E28" t="str">
            <v>01385</v>
          </cell>
        </row>
        <row r="29">
          <cell r="D29" t="str">
            <v>M/S Oppo Parts &amp; Battery House</v>
          </cell>
          <cell r="E29" t="str">
            <v>01508</v>
          </cell>
        </row>
        <row r="30">
          <cell r="D30" t="str">
            <v>M/S Bismillah Motors-Hinla</v>
          </cell>
          <cell r="E30" t="str">
            <v>01448</v>
          </cell>
        </row>
        <row r="31">
          <cell r="D31" t="str">
            <v>M/S Allahar Dan Enterprise-Norail</v>
          </cell>
          <cell r="E31" t="str">
            <v>01528</v>
          </cell>
        </row>
        <row r="32">
          <cell r="D32" t="str">
            <v>M/S Allahar Dan Enterprise-Norail</v>
          </cell>
          <cell r="E32" t="str">
            <v>01528</v>
          </cell>
        </row>
        <row r="33">
          <cell r="D33" t="str">
            <v>M/S Hira Motors-Chokoria</v>
          </cell>
          <cell r="E33" t="str">
            <v>01441</v>
          </cell>
        </row>
        <row r="34">
          <cell r="D34" t="str">
            <v>M/S Hira Motors-Chokoria</v>
          </cell>
          <cell r="E34" t="str">
            <v>01441</v>
          </cell>
        </row>
        <row r="35">
          <cell r="D35" t="str">
            <v>M/S Allahar Dan Enterprise-Norail</v>
          </cell>
          <cell r="E35" t="str">
            <v>01528</v>
          </cell>
        </row>
        <row r="36">
          <cell r="D36" t="str">
            <v>M/S Mizan Traders</v>
          </cell>
          <cell r="E36" t="str">
            <v>00179</v>
          </cell>
        </row>
        <row r="37">
          <cell r="D37" t="str">
            <v>M/S Doyal Battery (C)</v>
          </cell>
          <cell r="E37" t="str">
            <v>01308</v>
          </cell>
        </row>
        <row r="38">
          <cell r="D38" t="str">
            <v>M/S Amir Auto House</v>
          </cell>
          <cell r="E38" t="str">
            <v>00138</v>
          </cell>
        </row>
        <row r="39">
          <cell r="D39" t="str">
            <v>M/S Mithila Auto Show Room</v>
          </cell>
          <cell r="E39" t="str">
            <v>01499</v>
          </cell>
        </row>
        <row r="40">
          <cell r="D40" t="str">
            <v>M/S Allahar Dan Enterprise-Norail</v>
          </cell>
          <cell r="E40" t="str">
            <v>01528</v>
          </cell>
        </row>
        <row r="41">
          <cell r="D41" t="str">
            <v>M/S Takwa Enterprise</v>
          </cell>
          <cell r="E41" t="str">
            <v>00847</v>
          </cell>
        </row>
        <row r="42">
          <cell r="D42" t="str">
            <v>M/S Bhai Bhai Cycle Mart</v>
          </cell>
          <cell r="E42" t="str">
            <v>00823</v>
          </cell>
        </row>
        <row r="43">
          <cell r="D43" t="str">
            <v>M/S Bhai Bhai Cycle Mart</v>
          </cell>
          <cell r="E43" t="str">
            <v>00823</v>
          </cell>
        </row>
        <row r="44">
          <cell r="D44" t="str">
            <v>M/S Shahjalal Traders</v>
          </cell>
          <cell r="E44" t="str">
            <v>01362</v>
          </cell>
        </row>
        <row r="45">
          <cell r="D45" t="str">
            <v>M/S Modina Battery House</v>
          </cell>
          <cell r="E45" t="str">
            <v>00441</v>
          </cell>
        </row>
        <row r="46">
          <cell r="D46" t="str">
            <v>M/S Modina Battery House</v>
          </cell>
          <cell r="E46" t="str">
            <v>00441</v>
          </cell>
        </row>
        <row r="47">
          <cell r="D47" t="str">
            <v>M/S Al - Rafi Traders</v>
          </cell>
          <cell r="E47" t="str">
            <v>00816</v>
          </cell>
        </row>
        <row r="48">
          <cell r="D48" t="str">
            <v>M/S Bondhu Auto and CNG Workshop</v>
          </cell>
          <cell r="E48" t="str">
            <v>01149</v>
          </cell>
        </row>
        <row r="49">
          <cell r="D49" t="str">
            <v>M/S Bondhu Auto and CNG Workshop</v>
          </cell>
          <cell r="E49" t="str">
            <v>01149</v>
          </cell>
        </row>
        <row r="50">
          <cell r="D50" t="str">
            <v>M/S Bondhu Auto and CNG Workshop</v>
          </cell>
          <cell r="E50" t="str">
            <v>01149</v>
          </cell>
        </row>
        <row r="51">
          <cell r="D51" t="str">
            <v>M/S Bondhu Auto and CNG Workshop</v>
          </cell>
          <cell r="E51" t="str">
            <v>01149</v>
          </cell>
        </row>
        <row r="52">
          <cell r="D52" t="str">
            <v>M/S Pagla Mama Auto Parts</v>
          </cell>
          <cell r="E52" t="str">
            <v>01170</v>
          </cell>
        </row>
        <row r="53">
          <cell r="D53" t="str">
            <v>M/S Bondhu Auto and CNG Workshop</v>
          </cell>
          <cell r="E53" t="str">
            <v>01149</v>
          </cell>
        </row>
        <row r="54">
          <cell r="D54" t="str">
            <v>M/S Mashpi Battery &amp; Auto</v>
          </cell>
          <cell r="E54" t="str">
            <v>01152</v>
          </cell>
        </row>
        <row r="55">
          <cell r="D55" t="str">
            <v>M/S Boalkhali Battery House (C)</v>
          </cell>
          <cell r="E55" t="str">
            <v>01550</v>
          </cell>
        </row>
        <row r="56">
          <cell r="D56" t="str">
            <v>M/S Mashpi Battery &amp; Auto</v>
          </cell>
          <cell r="E56" t="str">
            <v>01152</v>
          </cell>
        </row>
        <row r="57">
          <cell r="D57" t="str">
            <v>M/S S.K. Enterprise (C)</v>
          </cell>
          <cell r="E57" t="str">
            <v>01326</v>
          </cell>
        </row>
        <row r="58">
          <cell r="D58" t="str">
            <v>M/S S.K. Enterprise (C)</v>
          </cell>
          <cell r="E58" t="str">
            <v>01326</v>
          </cell>
        </row>
        <row r="59">
          <cell r="D59" t="str">
            <v>M/S S.K. Enterprise (C)</v>
          </cell>
          <cell r="E59" t="str">
            <v>01326</v>
          </cell>
        </row>
        <row r="60">
          <cell r="D60" t="str">
            <v>M/S Jom Jom Battery &amp; Parts</v>
          </cell>
          <cell r="E60" t="str">
            <v>01492</v>
          </cell>
        </row>
        <row r="61">
          <cell r="D61" t="str">
            <v>M/S Sangu Battery House</v>
          </cell>
          <cell r="E61" t="str">
            <v>00988</v>
          </cell>
        </row>
        <row r="62">
          <cell r="D62" t="str">
            <v>M/S Sangu Battery House</v>
          </cell>
          <cell r="E62" t="str">
            <v>00988</v>
          </cell>
        </row>
        <row r="63">
          <cell r="D63" t="str">
            <v>M/S Gausia Mill Store</v>
          </cell>
          <cell r="E63" t="str">
            <v>00615</v>
          </cell>
        </row>
        <row r="64">
          <cell r="D64" t="str">
            <v>M/S Boalkhali Battery House (C)</v>
          </cell>
          <cell r="E64" t="str">
            <v>01550</v>
          </cell>
        </row>
        <row r="65">
          <cell r="D65" t="str">
            <v>M/S Boalkhali Battery House (C)</v>
          </cell>
          <cell r="E65" t="str">
            <v>01550</v>
          </cell>
        </row>
        <row r="66">
          <cell r="D66" t="str">
            <v>M/S Boalkhali Battery House (C)</v>
          </cell>
          <cell r="E66" t="str">
            <v>01550</v>
          </cell>
        </row>
        <row r="67">
          <cell r="D67" t="str">
            <v>M/S Gausia Mill Store</v>
          </cell>
          <cell r="E67" t="str">
            <v>00615</v>
          </cell>
        </row>
        <row r="68">
          <cell r="D68" t="str">
            <v>M/S Boalkhali Battery House (C)</v>
          </cell>
          <cell r="E68" t="str">
            <v>01550</v>
          </cell>
        </row>
        <row r="69">
          <cell r="D69" t="str">
            <v>M/S Gausia Mill Store</v>
          </cell>
          <cell r="E69" t="str">
            <v>00615</v>
          </cell>
        </row>
        <row r="70">
          <cell r="D70" t="str">
            <v>M/S Kalam Auto Motor Parts And Battery House</v>
          </cell>
          <cell r="E70" t="str">
            <v>00420</v>
          </cell>
        </row>
        <row r="71">
          <cell r="D71" t="str">
            <v>M/S Shanta Hardware And Auto Parts</v>
          </cell>
          <cell r="E71" t="str">
            <v>01140</v>
          </cell>
        </row>
        <row r="72">
          <cell r="D72" t="str">
            <v>M/S Ekata Motors</v>
          </cell>
          <cell r="E72" t="str">
            <v>00419</v>
          </cell>
        </row>
        <row r="73">
          <cell r="D73" t="str">
            <v>M/S Anik Motors &amp; Battery (C)</v>
          </cell>
          <cell r="E73" t="str">
            <v>01444</v>
          </cell>
        </row>
        <row r="74">
          <cell r="D74" t="str">
            <v>M/S Shikdar Auto House</v>
          </cell>
          <cell r="E74" t="str">
            <v>01493</v>
          </cell>
        </row>
        <row r="75">
          <cell r="D75" t="str">
            <v>M/S Power Battery</v>
          </cell>
          <cell r="E75" t="str">
            <v>00324</v>
          </cell>
        </row>
        <row r="76">
          <cell r="D76" t="str">
            <v>M/S Oreya Enterprise</v>
          </cell>
          <cell r="E76" t="str">
            <v>00537</v>
          </cell>
        </row>
        <row r="77">
          <cell r="D77" t="str">
            <v>M/S Maa Battery Service</v>
          </cell>
          <cell r="E77" t="str">
            <v>00327</v>
          </cell>
        </row>
        <row r="78">
          <cell r="D78" t="str">
            <v>M/S Shanta Hardware And Auto Parts</v>
          </cell>
          <cell r="E78" t="str">
            <v>01140</v>
          </cell>
        </row>
        <row r="79">
          <cell r="D79" t="str">
            <v>M/S Khan Auto Bike &amp; Battery</v>
          </cell>
          <cell r="E79" t="str">
            <v>00180</v>
          </cell>
        </row>
        <row r="80">
          <cell r="D80" t="str">
            <v>M/S Protibesi Motors (C)</v>
          </cell>
          <cell r="E80" t="str">
            <v>01568</v>
          </cell>
        </row>
        <row r="81">
          <cell r="D81" t="str">
            <v>M/S A.P.L. Auto House (C)</v>
          </cell>
          <cell r="E81" t="str">
            <v>01305</v>
          </cell>
        </row>
        <row r="82">
          <cell r="D82" t="str">
            <v>M/S Mashpi Battery &amp; Auto</v>
          </cell>
          <cell r="E82" t="str">
            <v>01152</v>
          </cell>
        </row>
        <row r="83">
          <cell r="D83" t="str">
            <v>M/S A.P.L. Auto House (C)</v>
          </cell>
          <cell r="E83" t="str">
            <v>01305</v>
          </cell>
        </row>
        <row r="84">
          <cell r="D84" t="str">
            <v>M/S A.P.L. Auto House (C)</v>
          </cell>
          <cell r="E84" t="str">
            <v>01305</v>
          </cell>
        </row>
        <row r="85">
          <cell r="D85" t="str">
            <v>M/S Al Madina Enterprise</v>
          </cell>
          <cell r="E85" t="str">
            <v>00814</v>
          </cell>
        </row>
        <row r="86">
          <cell r="D86" t="str">
            <v>M/S Khokon IPS &amp; Battery Center (C)</v>
          </cell>
          <cell r="E86" t="str">
            <v>01306</v>
          </cell>
        </row>
        <row r="87">
          <cell r="D87" t="str">
            <v>M/S Khokon IPS &amp; Battery Center (C)</v>
          </cell>
          <cell r="E87" t="str">
            <v>01306</v>
          </cell>
        </row>
        <row r="88">
          <cell r="D88" t="str">
            <v>M/S National Battery - Lalmonirhat</v>
          </cell>
          <cell r="E88" t="str">
            <v>00579</v>
          </cell>
        </row>
        <row r="89">
          <cell r="D89" t="str">
            <v>M/S National Battery - Lalmonirhat</v>
          </cell>
          <cell r="E89" t="str">
            <v>00579</v>
          </cell>
        </row>
        <row r="90">
          <cell r="D90" t="str">
            <v>M/S S.R. Battery and Tyre Centre</v>
          </cell>
          <cell r="E90" t="str">
            <v>00359</v>
          </cell>
        </row>
        <row r="91">
          <cell r="D91" t="str">
            <v>M/S Janata Enterprise</v>
          </cell>
          <cell r="E91" t="str">
            <v>00392</v>
          </cell>
        </row>
        <row r="92">
          <cell r="D92" t="str">
            <v>M/S Anas Battery &amp; Auto House</v>
          </cell>
          <cell r="E92" t="str">
            <v>01401</v>
          </cell>
        </row>
        <row r="93">
          <cell r="D93" t="str">
            <v>M/S Anas Battery &amp; Auto House</v>
          </cell>
          <cell r="E93" t="str">
            <v>01401</v>
          </cell>
        </row>
        <row r="94">
          <cell r="D94" t="str">
            <v>M/S S.S. Enterprise-Norshingdi (C)</v>
          </cell>
          <cell r="E94" t="str">
            <v>01331</v>
          </cell>
        </row>
        <row r="95">
          <cell r="D95" t="str">
            <v>M/S Shanta Hardware And Auto Parts</v>
          </cell>
          <cell r="E95" t="str">
            <v>01140</v>
          </cell>
        </row>
        <row r="96">
          <cell r="D96" t="str">
            <v>M/S S.S. Enterprise-Norshingdi (C)</v>
          </cell>
          <cell r="E96" t="str">
            <v>01331</v>
          </cell>
        </row>
        <row r="97">
          <cell r="D97" t="str">
            <v>M/S Shikdar Auto House</v>
          </cell>
          <cell r="E97" t="str">
            <v>01493</v>
          </cell>
        </row>
        <row r="98">
          <cell r="D98" t="str">
            <v>M/S S.S. Enterprise-Norshingdi</v>
          </cell>
          <cell r="E98" t="str">
            <v>01118</v>
          </cell>
        </row>
        <row r="99">
          <cell r="D99" t="str">
            <v>M/S S.S. Enterprise-Norshingdi</v>
          </cell>
          <cell r="E99" t="str">
            <v>01118</v>
          </cell>
        </row>
        <row r="100">
          <cell r="D100" t="str">
            <v>M/S Oreya Enterprise</v>
          </cell>
          <cell r="E100" t="str">
            <v>00537</v>
          </cell>
        </row>
        <row r="101">
          <cell r="D101" t="str">
            <v>M/S Jamuna Battery House (C)</v>
          </cell>
          <cell r="E101" t="str">
            <v>01558</v>
          </cell>
        </row>
        <row r="102">
          <cell r="D102" t="str">
            <v>M/S Rifat Enterprise</v>
          </cell>
          <cell r="E102" t="str">
            <v>00333</v>
          </cell>
        </row>
        <row r="103">
          <cell r="D103" t="str">
            <v>M/S Shekh Enterprise - Khulna</v>
          </cell>
          <cell r="E103" t="str">
            <v>01435</v>
          </cell>
        </row>
        <row r="104">
          <cell r="D104" t="str">
            <v>M/S Jhenaidah Bike Center  (C)</v>
          </cell>
          <cell r="E104" t="str">
            <v>01536</v>
          </cell>
        </row>
        <row r="105">
          <cell r="D105" t="str">
            <v>M/S National Battery - Lalmonirhat</v>
          </cell>
          <cell r="E105" t="str">
            <v>00579</v>
          </cell>
        </row>
        <row r="106">
          <cell r="D106" t="str">
            <v>M/S National Battery - Lalmonirhat</v>
          </cell>
          <cell r="E106" t="str">
            <v>00579</v>
          </cell>
        </row>
        <row r="107">
          <cell r="D107" t="str">
            <v>M/S Lamia Battery (C)</v>
          </cell>
          <cell r="E107" t="str">
            <v>01345</v>
          </cell>
        </row>
        <row r="108">
          <cell r="D108" t="str">
            <v>M/S Shah Enterprise</v>
          </cell>
          <cell r="E108" t="str">
            <v>00600</v>
          </cell>
        </row>
        <row r="109">
          <cell r="D109" t="str">
            <v>M/S Al Madina Enterprise</v>
          </cell>
          <cell r="E109" t="str">
            <v>00814</v>
          </cell>
        </row>
        <row r="110">
          <cell r="D110" t="str">
            <v>M/S S S Trading</v>
          </cell>
          <cell r="E110" t="str">
            <v>00846</v>
          </cell>
        </row>
        <row r="111">
          <cell r="D111" t="str">
            <v>M/S Oppo Parts &amp; Battery House</v>
          </cell>
          <cell r="E111" t="str">
            <v>01508</v>
          </cell>
        </row>
        <row r="112">
          <cell r="D112" t="str">
            <v>M/S Oppo Parts &amp; Battery House</v>
          </cell>
          <cell r="E112" t="str">
            <v>01508</v>
          </cell>
        </row>
        <row r="113">
          <cell r="D113" t="str">
            <v>M/S Satata Battery House (C)</v>
          </cell>
          <cell r="E113" t="str">
            <v>01517</v>
          </cell>
        </row>
        <row r="114">
          <cell r="D114" t="str">
            <v>M/S Satata Battery House (C)</v>
          </cell>
          <cell r="E114" t="str">
            <v>01517</v>
          </cell>
        </row>
        <row r="115">
          <cell r="D115" t="str">
            <v>M/S National Battery - Lalmonirhat</v>
          </cell>
          <cell r="E115" t="str">
            <v>00579</v>
          </cell>
        </row>
        <row r="116">
          <cell r="D116" t="str">
            <v>M/S Arafat Enterprise</v>
          </cell>
          <cell r="E116" t="str">
            <v>00094</v>
          </cell>
        </row>
        <row r="117">
          <cell r="D117" t="str">
            <v>M/S Arafat Enterprise</v>
          </cell>
          <cell r="E117" t="str">
            <v>00094</v>
          </cell>
        </row>
        <row r="118">
          <cell r="D118" t="str">
            <v>M/S Gazipur Battery House (C)</v>
          </cell>
          <cell r="E118" t="str">
            <v>01549</v>
          </cell>
        </row>
        <row r="119">
          <cell r="D119" t="str">
            <v>M/S Gazipur Battery House (C)</v>
          </cell>
          <cell r="E119" t="str">
            <v>01549</v>
          </cell>
        </row>
        <row r="120">
          <cell r="D120" t="str">
            <v>M/S Sanjida Auto</v>
          </cell>
          <cell r="E120" t="str">
            <v>00603</v>
          </cell>
        </row>
        <row r="121">
          <cell r="D121" t="str">
            <v>M/S Shoshi Enterprise (C)</v>
          </cell>
          <cell r="E121" t="str">
            <v>01335</v>
          </cell>
        </row>
        <row r="122">
          <cell r="D122" t="str">
            <v>M/S Rifat Enterprise</v>
          </cell>
          <cell r="E122" t="str">
            <v>00333</v>
          </cell>
        </row>
        <row r="123">
          <cell r="D123" t="str">
            <v>M/S Hemayetpur Battery House (C)</v>
          </cell>
          <cell r="E123" t="str">
            <v>01478</v>
          </cell>
        </row>
        <row r="124">
          <cell r="D124" t="str">
            <v>M/S Shanta Hardware And Auto Parts</v>
          </cell>
          <cell r="E124" t="str">
            <v>01140</v>
          </cell>
        </row>
        <row r="125">
          <cell r="D125" t="str">
            <v>M/S Anas Enterprise (C)</v>
          </cell>
          <cell r="E125" t="str">
            <v>01551</v>
          </cell>
        </row>
        <row r="126">
          <cell r="D126" t="str">
            <v>M/S Anas Enterprise (C)</v>
          </cell>
          <cell r="E126" t="str">
            <v>01551</v>
          </cell>
        </row>
        <row r="127">
          <cell r="D127" t="str">
            <v>M/S Hazi Automobiles &amp; Service Centre</v>
          </cell>
          <cell r="E127" t="str">
            <v>00315</v>
          </cell>
        </row>
        <row r="128">
          <cell r="D128" t="str">
            <v>M/S Hazi Automobiles &amp; Service Centre</v>
          </cell>
          <cell r="E128" t="str">
            <v>00315</v>
          </cell>
        </row>
        <row r="129">
          <cell r="D129" t="str">
            <v>M/S Anas Enterprise (C)</v>
          </cell>
          <cell r="E129" t="str">
            <v>01551</v>
          </cell>
        </row>
        <row r="130">
          <cell r="D130" t="str">
            <v>M/S Modina Cycle Store (C)</v>
          </cell>
          <cell r="E130" t="str">
            <v>01519</v>
          </cell>
        </row>
        <row r="131">
          <cell r="D131" t="str">
            <v>M/S Modina Cycle Store (C)</v>
          </cell>
          <cell r="E131" t="str">
            <v>01519</v>
          </cell>
        </row>
        <row r="132">
          <cell r="D132" t="str">
            <v>M/S Master Motor's</v>
          </cell>
          <cell r="E132" t="str">
            <v>00217</v>
          </cell>
        </row>
        <row r="133">
          <cell r="D133" t="str">
            <v>M/S Minara Traders</v>
          </cell>
          <cell r="E133" t="str">
            <v>01108</v>
          </cell>
        </row>
        <row r="134">
          <cell r="D134" t="str">
            <v>M/S Mashpi Battery &amp; Auto</v>
          </cell>
          <cell r="E134" t="str">
            <v>01152</v>
          </cell>
        </row>
        <row r="135">
          <cell r="D135" t="str">
            <v>M/S Nabarun Auto Baik Parts</v>
          </cell>
          <cell r="E135" t="str">
            <v>00422</v>
          </cell>
        </row>
        <row r="136">
          <cell r="D136" t="str">
            <v>M/S Shamim Battery &amp; Tyre House (C)</v>
          </cell>
          <cell r="E136" t="str">
            <v>01540</v>
          </cell>
        </row>
        <row r="137">
          <cell r="D137" t="str">
            <v>M/S Shamim Battery &amp; Tyre House (C)</v>
          </cell>
          <cell r="E137" t="str">
            <v>01540</v>
          </cell>
        </row>
        <row r="138">
          <cell r="D138" t="str">
            <v>M/S Jony Motors - Faridpur (C)</v>
          </cell>
          <cell r="E138" t="str">
            <v>01534</v>
          </cell>
        </row>
        <row r="139">
          <cell r="D139" t="str">
            <v>M/S Jony Motors - Faridpur (C)</v>
          </cell>
          <cell r="E139" t="str">
            <v>01534</v>
          </cell>
        </row>
        <row r="140">
          <cell r="D140" t="str">
            <v>M/S Oppo Parts &amp; Battery House</v>
          </cell>
          <cell r="E140" t="str">
            <v>01508</v>
          </cell>
        </row>
        <row r="141">
          <cell r="D141" t="str">
            <v>M/S S.K. Trading Corporation (C)</v>
          </cell>
          <cell r="E141" t="str">
            <v>01523</v>
          </cell>
        </row>
        <row r="142">
          <cell r="D142" t="str">
            <v>M/S National Battery - Lalmonirhat</v>
          </cell>
          <cell r="E142" t="str">
            <v>00579</v>
          </cell>
        </row>
        <row r="143">
          <cell r="D143" t="str">
            <v>M/S Islam Parts Store (C)</v>
          </cell>
          <cell r="E143" t="str">
            <v>01439</v>
          </cell>
        </row>
        <row r="144">
          <cell r="D144" t="str">
            <v>M/S Islam Parts Store (C)</v>
          </cell>
          <cell r="E144" t="str">
            <v>01439</v>
          </cell>
        </row>
        <row r="145">
          <cell r="D145" t="str">
            <v>M/S Islam Parts Store (C)</v>
          </cell>
          <cell r="E145" t="str">
            <v>01439</v>
          </cell>
        </row>
        <row r="146">
          <cell r="D146" t="str">
            <v>M/S Oreya Enterprise</v>
          </cell>
          <cell r="E146" t="str">
            <v>00537</v>
          </cell>
        </row>
        <row r="147">
          <cell r="D147" t="str">
            <v>M/S Awlad Electronics</v>
          </cell>
          <cell r="E147" t="str">
            <v>01284</v>
          </cell>
        </row>
        <row r="148">
          <cell r="D148" t="str">
            <v>M/S Awlad Electronics</v>
          </cell>
          <cell r="E148" t="str">
            <v>01284</v>
          </cell>
        </row>
        <row r="149">
          <cell r="D149" t="str">
            <v>M/S Awlad Electronics</v>
          </cell>
          <cell r="E149" t="str">
            <v>01284</v>
          </cell>
        </row>
        <row r="150">
          <cell r="D150" t="str">
            <v>M/S Awlad Electronics</v>
          </cell>
          <cell r="E150" t="str">
            <v>01284</v>
          </cell>
        </row>
        <row r="151">
          <cell r="D151" t="str">
            <v>M/S Shepon Motors (C)</v>
          </cell>
          <cell r="E151" t="str">
            <v>01438</v>
          </cell>
        </row>
        <row r="152">
          <cell r="D152" t="str">
            <v>M/S Molla Battery House (C)</v>
          </cell>
          <cell r="E152" t="str">
            <v>01428</v>
          </cell>
        </row>
        <row r="153">
          <cell r="D153" t="str">
            <v>M/S Souro Power Electric (C)</v>
          </cell>
          <cell r="E153" t="str">
            <v>01455</v>
          </cell>
        </row>
        <row r="154">
          <cell r="D154" t="str">
            <v>M/S Souro Power Electric</v>
          </cell>
          <cell r="E154" t="str">
            <v>01285</v>
          </cell>
        </row>
        <row r="155">
          <cell r="D155" t="str">
            <v>M/S S. K. Battery and Motors</v>
          </cell>
          <cell r="E155" t="str">
            <v>01458</v>
          </cell>
        </row>
        <row r="156">
          <cell r="D156" t="str">
            <v>M/S Maa Auto Workshop &amp; Battery Center (C)</v>
          </cell>
          <cell r="E156" t="str">
            <v>01497</v>
          </cell>
        </row>
        <row r="157">
          <cell r="D157" t="str">
            <v>M/S New Mintu Motors (C)</v>
          </cell>
          <cell r="E157" t="str">
            <v>01552</v>
          </cell>
        </row>
        <row r="158">
          <cell r="D158" t="str">
            <v>M/S New Mintu Motors (C)</v>
          </cell>
          <cell r="E158" t="str">
            <v>01552</v>
          </cell>
        </row>
        <row r="159">
          <cell r="D159" t="str">
            <v>Md. Moazzem Hossain D.M</v>
          </cell>
          <cell r="E159" t="str">
            <v>01355</v>
          </cell>
        </row>
        <row r="160">
          <cell r="D160" t="str">
            <v>M/S Farhan Auto (C)</v>
          </cell>
          <cell r="E160" t="str">
            <v>01298</v>
          </cell>
        </row>
        <row r="161">
          <cell r="D161" t="str">
            <v>M/S Farhan Auto (C)</v>
          </cell>
          <cell r="E161" t="str">
            <v>01298</v>
          </cell>
        </row>
        <row r="162">
          <cell r="D162" t="str">
            <v>M/S Ma Tyre &amp; Battery  Shop</v>
          </cell>
          <cell r="E162" t="str">
            <v>00088</v>
          </cell>
        </row>
        <row r="163">
          <cell r="D163" t="str">
            <v>M/S Ma Tyre &amp; Battery  Shop</v>
          </cell>
          <cell r="E163" t="str">
            <v>00088</v>
          </cell>
        </row>
        <row r="164">
          <cell r="D164" t="str">
            <v>M/S Talukder Motors (C)</v>
          </cell>
          <cell r="E164" t="str">
            <v>01471</v>
          </cell>
        </row>
        <row r="165">
          <cell r="D165" t="str">
            <v>M/S Samar Auto (C)</v>
          </cell>
          <cell r="E165" t="str">
            <v>01522</v>
          </cell>
        </row>
        <row r="166">
          <cell r="D166" t="str">
            <v>M/S Samar Auto (C)</v>
          </cell>
          <cell r="E166" t="str">
            <v>01522</v>
          </cell>
        </row>
        <row r="167">
          <cell r="D167" t="str">
            <v>M/S Molla Battery House (C)</v>
          </cell>
          <cell r="E167" t="str">
            <v>01428</v>
          </cell>
        </row>
        <row r="168">
          <cell r="D168" t="str">
            <v>M/S Snigdha Battery</v>
          </cell>
          <cell r="E168" t="str">
            <v>00134</v>
          </cell>
        </row>
        <row r="169">
          <cell r="D169" t="str">
            <v>M/S Snigdha Battery</v>
          </cell>
          <cell r="E169" t="str">
            <v>00134</v>
          </cell>
        </row>
        <row r="170">
          <cell r="D170" t="str">
            <v>M/S Snigdha Battery</v>
          </cell>
          <cell r="E170" t="str">
            <v>00134</v>
          </cell>
        </row>
        <row r="171">
          <cell r="D171" t="str">
            <v>M/S Snigdha Battery</v>
          </cell>
          <cell r="E171" t="str">
            <v>00134</v>
          </cell>
        </row>
        <row r="172">
          <cell r="D172" t="str">
            <v>M/S Snigdha Battery</v>
          </cell>
          <cell r="E172" t="str">
            <v>00134</v>
          </cell>
        </row>
        <row r="173">
          <cell r="D173" t="str">
            <v>M/S Snigdha Battery</v>
          </cell>
          <cell r="E173" t="str">
            <v>00134</v>
          </cell>
        </row>
        <row r="174">
          <cell r="D174" t="str">
            <v>M/S Snigdha Battery</v>
          </cell>
          <cell r="E174" t="str">
            <v>00134</v>
          </cell>
        </row>
        <row r="175">
          <cell r="D175" t="str">
            <v>M/S Snigdha Battery</v>
          </cell>
          <cell r="E175" t="str">
            <v>00134</v>
          </cell>
        </row>
        <row r="176">
          <cell r="D176" t="str">
            <v>M/S Babul Enterprise (C)</v>
          </cell>
          <cell r="E176" t="str">
            <v>01292</v>
          </cell>
        </row>
        <row r="177">
          <cell r="D177" t="str">
            <v>M/S Babul Enterprise (C)</v>
          </cell>
          <cell r="E177" t="str">
            <v>01292</v>
          </cell>
        </row>
        <row r="178">
          <cell r="D178" t="str">
            <v>M/S Babul Enterprise (C)</v>
          </cell>
          <cell r="E178" t="str">
            <v>01292</v>
          </cell>
        </row>
        <row r="179">
          <cell r="D179" t="str">
            <v>M/S Anamika Auto Rickshow</v>
          </cell>
          <cell r="E179" t="str">
            <v>00496</v>
          </cell>
        </row>
        <row r="180">
          <cell r="D180" t="str">
            <v>M/S Bogura Auto Center (C)</v>
          </cell>
          <cell r="E180" t="str">
            <v>01468</v>
          </cell>
        </row>
        <row r="181">
          <cell r="D181" t="str">
            <v>M/S Atik Auto</v>
          </cell>
          <cell r="E181" t="str">
            <v>00562</v>
          </cell>
        </row>
        <row r="182">
          <cell r="D182" t="str">
            <v>M/S Atik Auto</v>
          </cell>
          <cell r="E182" t="str">
            <v>00562</v>
          </cell>
        </row>
        <row r="183">
          <cell r="D183" t="str">
            <v>M/S Atik Auto</v>
          </cell>
          <cell r="E183" t="str">
            <v>00562</v>
          </cell>
        </row>
        <row r="184">
          <cell r="D184" t="str">
            <v>M/S Babul Enterprise (C)</v>
          </cell>
          <cell r="E184" t="str">
            <v>01292</v>
          </cell>
        </row>
        <row r="185">
          <cell r="D185" t="str">
            <v>M/S Al - Mokka Enterprise (C)</v>
          </cell>
          <cell r="E185" t="str">
            <v>01553</v>
          </cell>
        </row>
        <row r="186">
          <cell r="D186" t="str">
            <v>M/S Al - Mokka Enterprise (C)</v>
          </cell>
          <cell r="E186" t="str">
            <v>01553</v>
          </cell>
        </row>
        <row r="187">
          <cell r="D187" t="str">
            <v>M/S Al - Mokka Enterprise (C)</v>
          </cell>
          <cell r="E187" t="str">
            <v>01553</v>
          </cell>
        </row>
        <row r="188">
          <cell r="D188" t="str">
            <v>M/S Al - Mokka Enterprise (C)</v>
          </cell>
          <cell r="E188" t="str">
            <v>01553</v>
          </cell>
        </row>
        <row r="189">
          <cell r="D189" t="str">
            <v>M/S Gazipur Battery House (C)</v>
          </cell>
          <cell r="E189" t="str">
            <v>01549</v>
          </cell>
        </row>
        <row r="190">
          <cell r="D190" t="str">
            <v>M/S Gazipur Battery House (C)</v>
          </cell>
          <cell r="E190" t="str">
            <v>01549</v>
          </cell>
        </row>
        <row r="191">
          <cell r="D191" t="str">
            <v>M/S Gazipur Battery House (C)</v>
          </cell>
          <cell r="E191" t="str">
            <v>01549</v>
          </cell>
        </row>
        <row r="192">
          <cell r="D192" t="str">
            <v>M/S Hemayetpur Battery House (C)</v>
          </cell>
          <cell r="E192" t="str">
            <v>01478</v>
          </cell>
        </row>
        <row r="193">
          <cell r="D193" t="str">
            <v>M/S Hemayetpur Battery House (C)</v>
          </cell>
          <cell r="E193" t="str">
            <v>01478</v>
          </cell>
        </row>
        <row r="194">
          <cell r="D194" t="str">
            <v>M/S Ananna Battery &amp; Tyre</v>
          </cell>
          <cell r="E194" t="str">
            <v>01088</v>
          </cell>
        </row>
        <row r="195">
          <cell r="D195" t="str">
            <v>M/S Ananna Battery &amp; Tyre</v>
          </cell>
          <cell r="E195" t="str">
            <v>01088</v>
          </cell>
        </row>
        <row r="196">
          <cell r="D196" t="str">
            <v>M/S Ananna Battery &amp; Tyre</v>
          </cell>
          <cell r="E196" t="str">
            <v>01088</v>
          </cell>
        </row>
        <row r="197">
          <cell r="D197" t="str">
            <v>M/S Ananna Battery &amp; Tyre</v>
          </cell>
          <cell r="E197" t="str">
            <v>01088</v>
          </cell>
        </row>
        <row r="198">
          <cell r="D198" t="str">
            <v>M/S Modina Enterprise - Savar</v>
          </cell>
          <cell r="E198" t="str">
            <v>01404</v>
          </cell>
        </row>
        <row r="199">
          <cell r="D199" t="str">
            <v>M/S Modina Enterprise - Savar</v>
          </cell>
          <cell r="E199" t="str">
            <v>01404</v>
          </cell>
        </row>
        <row r="200">
          <cell r="D200" t="str">
            <v>M/S Modina Enterprise - Savar</v>
          </cell>
          <cell r="E200" t="str">
            <v>01404</v>
          </cell>
        </row>
        <row r="201">
          <cell r="D201" t="str">
            <v>M/S S.B. Energy (C)</v>
          </cell>
          <cell r="E201" t="str">
            <v>01288</v>
          </cell>
        </row>
        <row r="202">
          <cell r="D202" t="str">
            <v>M/S Ma Tyre &amp; Battery  Shop</v>
          </cell>
          <cell r="E202" t="str">
            <v>00088</v>
          </cell>
        </row>
        <row r="203">
          <cell r="D203" t="str">
            <v>M/S Shah Mojidia Motor Parts</v>
          </cell>
          <cell r="E203" t="str">
            <v>00842</v>
          </cell>
        </row>
        <row r="204">
          <cell r="D204" t="str">
            <v>M/S Shah Mojidia Motor Parts</v>
          </cell>
          <cell r="E204" t="str">
            <v>00842</v>
          </cell>
        </row>
        <row r="205">
          <cell r="D205" t="str">
            <v>M/S Shah Mojidia Motor Parts</v>
          </cell>
          <cell r="E205" t="str">
            <v>00842</v>
          </cell>
        </row>
        <row r="206">
          <cell r="D206" t="str">
            <v>M/S Hira Motors-Chokoria</v>
          </cell>
          <cell r="E206" t="str">
            <v>01441</v>
          </cell>
        </row>
        <row r="207">
          <cell r="D207" t="str">
            <v>M/S Afifa Traders (C)</v>
          </cell>
          <cell r="E207" t="str">
            <v>01515</v>
          </cell>
        </row>
        <row r="208">
          <cell r="D208" t="str">
            <v>M/S Afifa Traders (C)</v>
          </cell>
          <cell r="E208" t="str">
            <v>01515</v>
          </cell>
        </row>
        <row r="209">
          <cell r="D209" t="str">
            <v>M/S Farhan Battery &amp; Auto Parts</v>
          </cell>
          <cell r="E209" t="str">
            <v>01470</v>
          </cell>
        </row>
        <row r="210">
          <cell r="D210" t="str">
            <v>M/S Farhan Battery &amp; Auto Parts</v>
          </cell>
          <cell r="E210" t="str">
            <v>01470</v>
          </cell>
        </row>
        <row r="211">
          <cell r="D211" t="str">
            <v>M/S Shepon Motors (C)</v>
          </cell>
          <cell r="E211" t="str">
            <v>01438</v>
          </cell>
        </row>
        <row r="212">
          <cell r="D212" t="str">
            <v>M/S Molla Battery House (C)</v>
          </cell>
          <cell r="E212" t="str">
            <v>01428</v>
          </cell>
        </row>
        <row r="213">
          <cell r="D213" t="str">
            <v>M/S Molla Battery House (C)</v>
          </cell>
          <cell r="E213" t="str">
            <v>01428</v>
          </cell>
        </row>
        <row r="214">
          <cell r="D214" t="str">
            <v>M/S Molla Battery House (C)</v>
          </cell>
          <cell r="E214" t="str">
            <v>01428</v>
          </cell>
        </row>
        <row r="215">
          <cell r="D215" t="str">
            <v>M/S Molla Battery House (C)</v>
          </cell>
          <cell r="E215" t="str">
            <v>01428</v>
          </cell>
        </row>
        <row r="216">
          <cell r="D216" t="str">
            <v>M/S Manir Battery Charging Station (C)</v>
          </cell>
          <cell r="E216" t="str">
            <v>01324</v>
          </cell>
        </row>
        <row r="217">
          <cell r="D217" t="str">
            <v>M/S Selim Battery House (C)</v>
          </cell>
          <cell r="E217" t="str">
            <v>01569</v>
          </cell>
        </row>
        <row r="218">
          <cell r="D218" t="str">
            <v>M/S Selim Battery House (C)</v>
          </cell>
          <cell r="E218" t="str">
            <v>01569</v>
          </cell>
        </row>
        <row r="219">
          <cell r="D219" t="str">
            <v>M/S Selim Battery House (C)</v>
          </cell>
          <cell r="E219" t="str">
            <v>01569</v>
          </cell>
        </row>
        <row r="220">
          <cell r="D220" t="str">
            <v>M/S Bogura Auto Center (C)</v>
          </cell>
          <cell r="E220" t="str">
            <v>01468</v>
          </cell>
        </row>
        <row r="221">
          <cell r="D221" t="str">
            <v>M/S Sompa Cycle Store (C)</v>
          </cell>
          <cell r="E221" t="str">
            <v>01545</v>
          </cell>
        </row>
        <row r="222">
          <cell r="D222" t="str">
            <v>M/S Bhai Bhai Auto Center (C)</v>
          </cell>
          <cell r="E222" t="str">
            <v>01563</v>
          </cell>
        </row>
        <row r="223">
          <cell r="D223" t="str">
            <v>M/S Bhai Bhai Auto Center (C)</v>
          </cell>
          <cell r="E223" t="str">
            <v>01563</v>
          </cell>
        </row>
        <row r="224">
          <cell r="D224" t="str">
            <v>M/S Bhai Bhai Auto Center (C)</v>
          </cell>
          <cell r="E224" t="str">
            <v>01563</v>
          </cell>
        </row>
        <row r="225">
          <cell r="D225" t="str">
            <v>M/S New Mintu Motors (C)</v>
          </cell>
          <cell r="E225" t="str">
            <v>01552</v>
          </cell>
        </row>
        <row r="226">
          <cell r="D226" t="str">
            <v>M/S Al-Amin Cycle &amp; Auto Parts (C)</v>
          </cell>
          <cell r="E226" t="str">
            <v>01507</v>
          </cell>
        </row>
        <row r="227">
          <cell r="D227" t="str">
            <v>M/S S S Trading</v>
          </cell>
          <cell r="E227" t="str">
            <v>00846</v>
          </cell>
        </row>
        <row r="228">
          <cell r="D228" t="str">
            <v>M/S Atik Auto</v>
          </cell>
          <cell r="E228" t="str">
            <v>00562</v>
          </cell>
        </row>
        <row r="229">
          <cell r="D229" t="str">
            <v>M/S Roni Battery</v>
          </cell>
          <cell r="E229" t="str">
            <v>01379</v>
          </cell>
        </row>
        <row r="230">
          <cell r="D230" t="str">
            <v>M/S Jhenaidah Bike Center  (C)</v>
          </cell>
          <cell r="E230" t="str">
            <v>01536</v>
          </cell>
        </row>
        <row r="231">
          <cell r="D231" t="str">
            <v>M/S Chapai Auto Battery House</v>
          </cell>
          <cell r="E231" t="str">
            <v>01487</v>
          </cell>
        </row>
        <row r="232">
          <cell r="D232" t="str">
            <v>M/S Forhad Battery House</v>
          </cell>
          <cell r="E232" t="str">
            <v>00535</v>
          </cell>
        </row>
        <row r="233">
          <cell r="D233" t="str">
            <v>M/S Mokka Motors-Cumilla (C)</v>
          </cell>
          <cell r="E233" t="str">
            <v>01481</v>
          </cell>
        </row>
        <row r="234">
          <cell r="D234" t="str">
            <v>M/S Bondhu Auto and CNG Workshop</v>
          </cell>
          <cell r="E234" t="str">
            <v>01149</v>
          </cell>
        </row>
        <row r="235">
          <cell r="D235" t="str">
            <v>M/S Bondhu Auto and CNG Workshop</v>
          </cell>
          <cell r="E235" t="str">
            <v>01149</v>
          </cell>
        </row>
        <row r="236">
          <cell r="D236" t="str">
            <v>M/S Anas Battery &amp; Auto House</v>
          </cell>
          <cell r="E236" t="str">
            <v>01401</v>
          </cell>
        </row>
        <row r="237">
          <cell r="D237" t="str">
            <v>M/S Anas Battery &amp; Auto House</v>
          </cell>
          <cell r="E237" t="str">
            <v>01401</v>
          </cell>
        </row>
        <row r="238">
          <cell r="D238" t="str">
            <v>M/S Anas Battery &amp; Auto House</v>
          </cell>
          <cell r="E238" t="str">
            <v>01401</v>
          </cell>
        </row>
        <row r="239">
          <cell r="D239" t="str">
            <v>M/S Anas Battery &amp; Auto House</v>
          </cell>
          <cell r="E239" t="str">
            <v>01401</v>
          </cell>
        </row>
        <row r="240">
          <cell r="D240" t="str">
            <v>M/S Anik Motors &amp; Battery (C)</v>
          </cell>
          <cell r="E240" t="str">
            <v>01444</v>
          </cell>
        </row>
        <row r="241">
          <cell r="D241" t="str">
            <v>M/S Anik Motors &amp; Battery (C)</v>
          </cell>
          <cell r="E241" t="str">
            <v>01444</v>
          </cell>
        </row>
        <row r="242">
          <cell r="D242" t="str">
            <v>M/S National Motors-Feni</v>
          </cell>
          <cell r="E242" t="str">
            <v>01102</v>
          </cell>
        </row>
        <row r="243">
          <cell r="D243" t="str">
            <v>M/S National Motors-Feni</v>
          </cell>
          <cell r="E243" t="str">
            <v>01102</v>
          </cell>
        </row>
        <row r="244">
          <cell r="D244" t="str">
            <v>M/S Mahtab Engineering Workshop</v>
          </cell>
          <cell r="E244" t="str">
            <v>01429</v>
          </cell>
        </row>
        <row r="245">
          <cell r="D245" t="str">
            <v>M/S Mahtab Engineering Workshop</v>
          </cell>
          <cell r="E245" t="str">
            <v>01429</v>
          </cell>
        </row>
        <row r="246">
          <cell r="D246" t="str">
            <v>M/S Shoshi Enterprise (C)</v>
          </cell>
          <cell r="E246" t="str">
            <v>01335</v>
          </cell>
        </row>
        <row r="247">
          <cell r="D247" t="str">
            <v>M/S Shoshi Enterprise (C)</v>
          </cell>
          <cell r="E247" t="str">
            <v>01335</v>
          </cell>
        </row>
        <row r="248">
          <cell r="D248" t="str">
            <v>M/S Samir Battery And Tyre</v>
          </cell>
          <cell r="E248" t="str">
            <v>01450</v>
          </cell>
        </row>
        <row r="249">
          <cell r="D249" t="str">
            <v>M/S Samir Battery And Tyre</v>
          </cell>
          <cell r="E249" t="str">
            <v>01450</v>
          </cell>
        </row>
        <row r="250">
          <cell r="D250" t="str">
            <v>M/S Satata Battery House (C)</v>
          </cell>
          <cell r="E250" t="str">
            <v>01517</v>
          </cell>
        </row>
        <row r="251">
          <cell r="D251" t="str">
            <v>M/S Satata Battery House (C)</v>
          </cell>
          <cell r="E251" t="str">
            <v>01517</v>
          </cell>
        </row>
        <row r="252">
          <cell r="D252" t="str">
            <v>M/S Farhan Auto (C)</v>
          </cell>
          <cell r="E252" t="str">
            <v>01298</v>
          </cell>
        </row>
        <row r="253">
          <cell r="D253" t="str">
            <v>M/S Farhan Auto (C)</v>
          </cell>
          <cell r="E253" t="str">
            <v>01298</v>
          </cell>
        </row>
        <row r="254">
          <cell r="D254" t="str">
            <v>M/S Sajib Enterprise (C)</v>
          </cell>
          <cell r="E254" t="str">
            <v>01353</v>
          </cell>
        </row>
        <row r="255">
          <cell r="D255" t="str">
            <v>M/S Sajib Enterprise (C)</v>
          </cell>
          <cell r="E255" t="str">
            <v>01353</v>
          </cell>
        </row>
        <row r="256">
          <cell r="D256" t="str">
            <v>M/S Sajib Enterprise (C)</v>
          </cell>
          <cell r="E256" t="str">
            <v>01353</v>
          </cell>
        </row>
        <row r="257">
          <cell r="D257" t="str">
            <v>M/S S.S. Enterprise-Norshingdi (C)</v>
          </cell>
          <cell r="E257" t="str">
            <v>01331</v>
          </cell>
        </row>
        <row r="258">
          <cell r="D258" t="str">
            <v>M/S Rajapur IPS &amp; Battery House</v>
          </cell>
          <cell r="E258" t="str">
            <v>01400</v>
          </cell>
        </row>
        <row r="259">
          <cell r="D259" t="str">
            <v>M/S Sangu Battery House</v>
          </cell>
          <cell r="E259" t="str">
            <v>00988</v>
          </cell>
        </row>
        <row r="260">
          <cell r="D260" t="str">
            <v>M/S Macca Tyre And battery House</v>
          </cell>
          <cell r="E260" t="str">
            <v>00439</v>
          </cell>
        </row>
        <row r="261">
          <cell r="D261" t="str">
            <v>M/S S.K. Enterprise (C)</v>
          </cell>
          <cell r="E261" t="str">
            <v>01326</v>
          </cell>
        </row>
        <row r="262">
          <cell r="D262" t="str">
            <v>M/S S.K. Enterprise (C)</v>
          </cell>
          <cell r="E262" t="str">
            <v>01326</v>
          </cell>
        </row>
        <row r="263">
          <cell r="D263" t="str">
            <v>M/S Boalkhali Battery House (C)</v>
          </cell>
          <cell r="E263" t="str">
            <v>01550</v>
          </cell>
        </row>
        <row r="264">
          <cell r="D264" t="str">
            <v>M/S Boalkhali Battery House (C)</v>
          </cell>
          <cell r="E264" t="str">
            <v>01550</v>
          </cell>
        </row>
        <row r="265">
          <cell r="D265" t="str">
            <v>M/S Sohan Motors</v>
          </cell>
          <cell r="E265" t="str">
            <v>01385</v>
          </cell>
        </row>
        <row r="266">
          <cell r="D266" t="str">
            <v>M/S Sohan Motors</v>
          </cell>
          <cell r="E266" t="str">
            <v>01385</v>
          </cell>
        </row>
        <row r="267">
          <cell r="D267" t="str">
            <v>M/S Bismillah Motors-Hinla</v>
          </cell>
          <cell r="E267" t="str">
            <v>01448</v>
          </cell>
        </row>
        <row r="268">
          <cell r="D268" t="str">
            <v>M/S Bismillah Motors-Hinla</v>
          </cell>
          <cell r="E268" t="str">
            <v>01448</v>
          </cell>
        </row>
        <row r="269">
          <cell r="D269" t="str">
            <v>M/S Hafiz Battery House</v>
          </cell>
          <cell r="E269" t="str">
            <v>01368</v>
          </cell>
        </row>
        <row r="270">
          <cell r="D270" t="str">
            <v>M/S Fateha Battery</v>
          </cell>
          <cell r="E270" t="str">
            <v>00388</v>
          </cell>
        </row>
        <row r="271">
          <cell r="D271" t="str">
            <v>M/S Fateha Battery</v>
          </cell>
          <cell r="E271" t="str">
            <v>00388</v>
          </cell>
        </row>
        <row r="272">
          <cell r="D272" t="str">
            <v>M/S Apurbo Battery House</v>
          </cell>
          <cell r="E272" t="str">
            <v>01398</v>
          </cell>
        </row>
        <row r="273">
          <cell r="D273" t="str">
            <v>M/S B.P Battery House</v>
          </cell>
          <cell r="E273" t="str">
            <v>01130</v>
          </cell>
        </row>
        <row r="274">
          <cell r="D274" t="str">
            <v>M/S B.P Battery House</v>
          </cell>
          <cell r="E274" t="str">
            <v>01130</v>
          </cell>
        </row>
        <row r="275">
          <cell r="D275" t="str">
            <v>M/S B.P Battery House</v>
          </cell>
          <cell r="E275" t="str">
            <v>01130</v>
          </cell>
        </row>
        <row r="276">
          <cell r="D276" t="str">
            <v>M/S Banskhali Enterprise-Joldi (C)</v>
          </cell>
          <cell r="E276" t="str">
            <v>01312</v>
          </cell>
        </row>
        <row r="277">
          <cell r="D277" t="str">
            <v>M/S Sajib Enterprise (C)</v>
          </cell>
          <cell r="E277" t="str">
            <v>01353</v>
          </cell>
        </row>
        <row r="278">
          <cell r="D278" t="str">
            <v>M/S Sajib Enterprise (C)</v>
          </cell>
          <cell r="E278" t="str">
            <v>01353</v>
          </cell>
        </row>
        <row r="279">
          <cell r="D279" t="str">
            <v>M/S Sajib Enterprise (C)</v>
          </cell>
          <cell r="E279" t="str">
            <v>01353</v>
          </cell>
        </row>
        <row r="280">
          <cell r="D280" t="str">
            <v>M/S Sajib Enterprise (C)</v>
          </cell>
          <cell r="E280" t="str">
            <v>01353</v>
          </cell>
        </row>
        <row r="281">
          <cell r="D281" t="str">
            <v>M/S Satata Battery House (C)</v>
          </cell>
          <cell r="E281" t="str">
            <v>01517</v>
          </cell>
        </row>
        <row r="282">
          <cell r="D282" t="str">
            <v>M/S Anas Enterprise (C)</v>
          </cell>
          <cell r="E282" t="str">
            <v>01551</v>
          </cell>
        </row>
        <row r="283">
          <cell r="D283" t="str">
            <v>M/S Anas Enterprise (C)</v>
          </cell>
          <cell r="E283" t="str">
            <v>01551</v>
          </cell>
        </row>
        <row r="284">
          <cell r="D284" t="str">
            <v>M/S Anas Enterprise (C)</v>
          </cell>
          <cell r="E284" t="str">
            <v>01551</v>
          </cell>
        </row>
        <row r="285">
          <cell r="D285" t="str">
            <v>M/S Lutfor Auto Battery House</v>
          </cell>
          <cell r="E285" t="str">
            <v>00829</v>
          </cell>
        </row>
        <row r="286">
          <cell r="D286" t="str">
            <v>M/S Modina Enterprise - Savar</v>
          </cell>
          <cell r="E286" t="str">
            <v>01404</v>
          </cell>
        </row>
        <row r="287">
          <cell r="D287" t="str">
            <v>M/S Rashed Enterprise</v>
          </cell>
          <cell r="E287" t="str">
            <v>00030</v>
          </cell>
        </row>
        <row r="288">
          <cell r="D288" t="str">
            <v>M/S Ma Tyre &amp; Battery  Shop</v>
          </cell>
          <cell r="E288" t="str">
            <v>00088</v>
          </cell>
        </row>
        <row r="289">
          <cell r="D289" t="str">
            <v>M/S Arafat Enterprise</v>
          </cell>
          <cell r="E289" t="str">
            <v>00094</v>
          </cell>
        </row>
        <row r="290">
          <cell r="D290" t="str">
            <v>M/S S.B. Energy (C)</v>
          </cell>
          <cell r="E290" t="str">
            <v>01288</v>
          </cell>
        </row>
        <row r="291">
          <cell r="D291" t="str">
            <v>M/S S.B. Energy (C)</v>
          </cell>
          <cell r="E291" t="str">
            <v>01288</v>
          </cell>
        </row>
        <row r="292">
          <cell r="D292" t="str">
            <v>M/S Khan Battery Recycling (C)</v>
          </cell>
          <cell r="E292" t="str">
            <v>01282</v>
          </cell>
        </row>
        <row r="293">
          <cell r="D293" t="str">
            <v>M/S New Dhaka Motors and Battery</v>
          </cell>
          <cell r="E293" t="str">
            <v>00005</v>
          </cell>
        </row>
        <row r="294">
          <cell r="D294" t="str">
            <v>M/S New Dhaka Motors and Battery</v>
          </cell>
          <cell r="E294" t="str">
            <v>00005</v>
          </cell>
        </row>
        <row r="295">
          <cell r="D295" t="str">
            <v>M/S New Dhaka Motors and Battery</v>
          </cell>
          <cell r="E295" t="str">
            <v>00005</v>
          </cell>
        </row>
        <row r="296">
          <cell r="D296" t="str">
            <v>M/S Supreme Auto (C)</v>
          </cell>
          <cell r="E296" t="str">
            <v>01300</v>
          </cell>
        </row>
        <row r="297">
          <cell r="D297" t="str">
            <v>M/S Sadia Enterprise</v>
          </cell>
          <cell r="E297" t="str">
            <v>01490</v>
          </cell>
        </row>
        <row r="298">
          <cell r="D298" t="str">
            <v>M/S Sadia Enterprise</v>
          </cell>
          <cell r="E298" t="str">
            <v>01490</v>
          </cell>
        </row>
        <row r="299">
          <cell r="D299" t="str">
            <v>M/S Sadia Enterprise</v>
          </cell>
          <cell r="E299" t="str">
            <v>01490</v>
          </cell>
        </row>
        <row r="300">
          <cell r="D300" t="str">
            <v>M/S Sadia Enterprise</v>
          </cell>
          <cell r="E300" t="str">
            <v>01490</v>
          </cell>
        </row>
        <row r="301">
          <cell r="D301" t="str">
            <v>M/S Samar Auto (C)</v>
          </cell>
          <cell r="E301" t="str">
            <v>01522</v>
          </cell>
        </row>
        <row r="302">
          <cell r="D302" t="str">
            <v>M/S Sajib Enterprise (C)</v>
          </cell>
          <cell r="E302" t="str">
            <v>01353</v>
          </cell>
        </row>
        <row r="303">
          <cell r="D303" t="str">
            <v>M/S Sajib Enterprise (C)</v>
          </cell>
          <cell r="E303" t="str">
            <v>01353</v>
          </cell>
        </row>
        <row r="304">
          <cell r="D304" t="str">
            <v>M/S Sajib Enterprise (C)</v>
          </cell>
          <cell r="E304" t="str">
            <v>01353</v>
          </cell>
        </row>
        <row r="305">
          <cell r="D305" t="str">
            <v>M/S Sajib Enterprise (C)</v>
          </cell>
          <cell r="E305" t="str">
            <v>01353</v>
          </cell>
        </row>
        <row r="306">
          <cell r="D306" t="str">
            <v>M/S Sajib Enterprise (C)</v>
          </cell>
          <cell r="E306" t="str">
            <v>01353</v>
          </cell>
        </row>
        <row r="307">
          <cell r="D307" t="str">
            <v>M/S Sajib Enterprise (C)</v>
          </cell>
          <cell r="E307" t="str">
            <v>01353</v>
          </cell>
        </row>
        <row r="308">
          <cell r="D308" t="str">
            <v>M/S Sajib Enterprise (C)</v>
          </cell>
          <cell r="E308" t="str">
            <v>01353</v>
          </cell>
        </row>
        <row r="309">
          <cell r="D309" t="str">
            <v>M/S Anik Motors &amp; Battery (C)</v>
          </cell>
          <cell r="E309" t="str">
            <v>01444</v>
          </cell>
        </row>
        <row r="310">
          <cell r="D310" t="str">
            <v>M/S Anik Motors &amp; Battery (C)</v>
          </cell>
          <cell r="E310" t="str">
            <v>01444</v>
          </cell>
        </row>
        <row r="311">
          <cell r="D311" t="str">
            <v>M/S National Motors-Feni</v>
          </cell>
          <cell r="E311" t="str">
            <v>01102</v>
          </cell>
        </row>
        <row r="312">
          <cell r="D312" t="str">
            <v>M/S National Motors-Feni</v>
          </cell>
          <cell r="E312" t="str">
            <v>01102</v>
          </cell>
        </row>
        <row r="313">
          <cell r="D313" t="str">
            <v>M/S Rajapur IPS &amp; Battery House</v>
          </cell>
          <cell r="E313" t="str">
            <v>01400</v>
          </cell>
        </row>
        <row r="314">
          <cell r="D314" t="str">
            <v>M/S A.P.L. Auto House (C)</v>
          </cell>
          <cell r="E314" t="str">
            <v>01305</v>
          </cell>
        </row>
        <row r="315">
          <cell r="D315" t="str">
            <v>M/S Khokon IPS &amp; Battery Center (C)</v>
          </cell>
          <cell r="E315" t="str">
            <v>01306</v>
          </cell>
        </row>
        <row r="316">
          <cell r="D316" t="str">
            <v>M/S Khokon IPS &amp; Battery Center (C)</v>
          </cell>
          <cell r="E316" t="str">
            <v>01306</v>
          </cell>
        </row>
        <row r="317">
          <cell r="D317" t="str">
            <v>M/S Mayer Doya Auto Parts-Feni</v>
          </cell>
          <cell r="E317" t="str">
            <v>00373</v>
          </cell>
        </row>
        <row r="318">
          <cell r="D318" t="str">
            <v>M/S Boalkhali Battery House (C)</v>
          </cell>
          <cell r="E318" t="str">
            <v>01550</v>
          </cell>
        </row>
        <row r="319">
          <cell r="D319" t="str">
            <v>M/S Boalkhali Battery House (C)</v>
          </cell>
          <cell r="E319" t="str">
            <v>01550</v>
          </cell>
        </row>
        <row r="320">
          <cell r="D320" t="str">
            <v>M/S Boalkhali Battery House (C)</v>
          </cell>
          <cell r="E320" t="str">
            <v>01550</v>
          </cell>
        </row>
        <row r="321">
          <cell r="D321" t="str">
            <v>M/S Sangu Battery House</v>
          </cell>
          <cell r="E321" t="str">
            <v>00988</v>
          </cell>
        </row>
        <row r="322">
          <cell r="D322" t="str">
            <v>M/S S.K. Enterprise (C)</v>
          </cell>
          <cell r="E322" t="str">
            <v>01326</v>
          </cell>
        </row>
        <row r="323">
          <cell r="D323" t="str">
            <v>M/S S.K. Enterprise (C)</v>
          </cell>
          <cell r="E323" t="str">
            <v>01326</v>
          </cell>
        </row>
        <row r="324">
          <cell r="D324" t="str">
            <v>M/S S.K. Enterprise (C)</v>
          </cell>
          <cell r="E324" t="str">
            <v>01326</v>
          </cell>
        </row>
        <row r="325">
          <cell r="D325" t="str">
            <v>M/S S.K. Enterprise (C)</v>
          </cell>
          <cell r="E325" t="str">
            <v>01326</v>
          </cell>
        </row>
        <row r="326">
          <cell r="D326" t="str">
            <v>M/S Shah Mojidia Motor Parts</v>
          </cell>
          <cell r="E326" t="str">
            <v>00842</v>
          </cell>
        </row>
        <row r="327">
          <cell r="D327" t="str">
            <v>M/S Shah Mojidia Motor Parts</v>
          </cell>
          <cell r="E327" t="str">
            <v>00842</v>
          </cell>
        </row>
        <row r="328">
          <cell r="D328" t="str">
            <v>M/S Shah Mojidia Motor Parts</v>
          </cell>
          <cell r="E328" t="str">
            <v>00842</v>
          </cell>
        </row>
        <row r="329">
          <cell r="D329" t="str">
            <v>M/S Shah Mojidia Motor Parts</v>
          </cell>
          <cell r="E329" t="str">
            <v>00842</v>
          </cell>
        </row>
        <row r="330">
          <cell r="D330" t="str">
            <v>M/S Sohan Motors</v>
          </cell>
          <cell r="E330" t="str">
            <v>01385</v>
          </cell>
        </row>
        <row r="331">
          <cell r="D331" t="str">
            <v>M/S Sohan Motors</v>
          </cell>
          <cell r="E331" t="str">
            <v>01385</v>
          </cell>
        </row>
        <row r="332">
          <cell r="D332" t="str">
            <v>M/S Al - Rafi Traders</v>
          </cell>
          <cell r="E332" t="str">
            <v>00816</v>
          </cell>
        </row>
        <row r="333">
          <cell r="D333" t="str">
            <v>M/S Bondhu Auto and CNG Workshop</v>
          </cell>
          <cell r="E333" t="str">
            <v>01149</v>
          </cell>
        </row>
        <row r="334">
          <cell r="D334" t="str">
            <v>M/S Bondhu Auto and CNG Workshop</v>
          </cell>
          <cell r="E334" t="str">
            <v>01149</v>
          </cell>
        </row>
        <row r="335">
          <cell r="D335" t="str">
            <v>M/S Al Baraka Enterprise</v>
          </cell>
          <cell r="E335" t="str">
            <v>00159</v>
          </cell>
        </row>
        <row r="336">
          <cell r="D336" t="str">
            <v>M/S Rafi Battery House</v>
          </cell>
          <cell r="E336" t="str">
            <v>00410</v>
          </cell>
        </row>
        <row r="337">
          <cell r="D337" t="str">
            <v>M/S Rafi Battery House</v>
          </cell>
          <cell r="E337" t="str">
            <v>00410</v>
          </cell>
        </row>
        <row r="338">
          <cell r="D338" t="str">
            <v>M/S City Auto</v>
          </cell>
          <cell r="E338" t="str">
            <v>00398</v>
          </cell>
        </row>
        <row r="339">
          <cell r="D339" t="str">
            <v>M/S Bhai Bhai Battery And Motors (C)</v>
          </cell>
          <cell r="E339" t="str">
            <v>01496</v>
          </cell>
        </row>
        <row r="340">
          <cell r="D340" t="str">
            <v>M/S Adib Alifa Auto &amp; Battery House (C)</v>
          </cell>
          <cell r="E340" t="str">
            <v>01454</v>
          </cell>
        </row>
        <row r="341">
          <cell r="D341" t="str">
            <v>M/S Sadia Auto Parts (C)</v>
          </cell>
          <cell r="E341" t="str">
            <v>01498</v>
          </cell>
        </row>
        <row r="342">
          <cell r="D342" t="str">
            <v>M/S S.K. Trading Corporation (C)</v>
          </cell>
          <cell r="E342" t="str">
            <v>01523</v>
          </cell>
        </row>
        <row r="343">
          <cell r="D343" t="str">
            <v>M/S Jamuna Battery House (C)</v>
          </cell>
          <cell r="E343" t="str">
            <v>01558</v>
          </cell>
        </row>
        <row r="344">
          <cell r="D344" t="str">
            <v>M/S Jony Motors - Faridpur (C)</v>
          </cell>
          <cell r="E344" t="str">
            <v>01534</v>
          </cell>
        </row>
        <row r="345">
          <cell r="D345" t="str">
            <v>M/S Molla Battery House (C)</v>
          </cell>
          <cell r="E345" t="str">
            <v>01428</v>
          </cell>
        </row>
        <row r="346">
          <cell r="D346" t="str">
            <v>M/S Awlad Electronics</v>
          </cell>
          <cell r="E346" t="str">
            <v>01284</v>
          </cell>
        </row>
        <row r="347">
          <cell r="D347" t="str">
            <v>M/S Rajdhani Motors</v>
          </cell>
          <cell r="E347" t="str">
            <v>01463</v>
          </cell>
        </row>
        <row r="348">
          <cell r="D348" t="str">
            <v>M/S Bogura Auto Center (C)</v>
          </cell>
          <cell r="E348" t="str">
            <v>01468</v>
          </cell>
        </row>
        <row r="349">
          <cell r="D349" t="str">
            <v>M/S Anamika Auto Rickshow</v>
          </cell>
          <cell r="E349" t="str">
            <v>00496</v>
          </cell>
        </row>
        <row r="350">
          <cell r="D350" t="str">
            <v>M/S Maa Auto Workshop &amp; Battery Center (C)</v>
          </cell>
          <cell r="E350" t="str">
            <v>01497</v>
          </cell>
        </row>
        <row r="351">
          <cell r="D351" t="str">
            <v>M/S Bhai Bhai Auto Center (C)</v>
          </cell>
          <cell r="E351" t="str">
            <v>01563</v>
          </cell>
        </row>
        <row r="352">
          <cell r="D352" t="str">
            <v>M/S Atik Auto</v>
          </cell>
          <cell r="E352" t="str">
            <v>00562</v>
          </cell>
        </row>
        <row r="353">
          <cell r="D353" t="str">
            <v>M/S Aminul Battery House</v>
          </cell>
          <cell r="E353" t="str">
            <v>01250</v>
          </cell>
        </row>
        <row r="354">
          <cell r="D354" t="str">
            <v>M/S Jhenaidah Bike Center  (C)</v>
          </cell>
          <cell r="E354" t="str">
            <v>01536</v>
          </cell>
        </row>
        <row r="355">
          <cell r="D355" t="str">
            <v>M/S Sadiq Enterprise</v>
          </cell>
          <cell r="E355" t="str">
            <v>01067</v>
          </cell>
        </row>
        <row r="356">
          <cell r="D356" t="str">
            <v>M/S Sowa Motors &amp; Battery Shop (C)</v>
          </cell>
          <cell r="E356" t="str">
            <v>01287</v>
          </cell>
        </row>
        <row r="357">
          <cell r="D357" t="str">
            <v>M/S Sowa Motors &amp; Battery Shop (C)</v>
          </cell>
          <cell r="E357" t="str">
            <v>01287</v>
          </cell>
        </row>
        <row r="358">
          <cell r="D358" t="str">
            <v>M/S Sowa Motors &amp; Battery Shop (C)</v>
          </cell>
          <cell r="E358" t="str">
            <v>01287</v>
          </cell>
        </row>
        <row r="359">
          <cell r="D359" t="str">
            <v>M/S Sowa Motors &amp; Battery Shop (C)</v>
          </cell>
          <cell r="E359" t="str">
            <v>01287</v>
          </cell>
        </row>
        <row r="360">
          <cell r="D360" t="str">
            <v>M/S Allahar Dan Battery</v>
          </cell>
          <cell r="E360" t="str">
            <v>01466</v>
          </cell>
        </row>
        <row r="361">
          <cell r="D361" t="str">
            <v>M/S S. K. Battery House (C)</v>
          </cell>
          <cell r="E361" t="str">
            <v>01530</v>
          </cell>
        </row>
        <row r="362">
          <cell r="D362" t="str">
            <v>M/S S. K. Battery House (C)</v>
          </cell>
          <cell r="E362" t="str">
            <v>01530</v>
          </cell>
        </row>
        <row r="363">
          <cell r="D363" t="str">
            <v>M/S Ripon Tyre and Battery (C)</v>
          </cell>
          <cell r="E363" t="str">
            <v>01557</v>
          </cell>
        </row>
        <row r="364">
          <cell r="D364" t="str">
            <v>M/S Ripon Tyre and Battery (C)</v>
          </cell>
          <cell r="E364" t="str">
            <v>01557</v>
          </cell>
        </row>
        <row r="365">
          <cell r="D365" t="str">
            <v>M/S Ripon Tyre and Battery (C)</v>
          </cell>
          <cell r="E365" t="str">
            <v>01557</v>
          </cell>
        </row>
        <row r="366">
          <cell r="D366" t="str">
            <v>M/S Hemayetpur Battery House (C)</v>
          </cell>
          <cell r="E366" t="str">
            <v>01478</v>
          </cell>
        </row>
        <row r="367">
          <cell r="D367" t="str">
            <v>M/S New Asia Motors</v>
          </cell>
          <cell r="E367" t="str">
            <v>00051</v>
          </cell>
        </row>
        <row r="368">
          <cell r="D368" t="str">
            <v>M/S Khan Battery Recycling (C)</v>
          </cell>
          <cell r="E368" t="str">
            <v>01282</v>
          </cell>
        </row>
        <row r="369">
          <cell r="D369" t="str">
            <v>M/S Tamim Enterprise</v>
          </cell>
          <cell r="E369" t="str">
            <v>01395</v>
          </cell>
        </row>
        <row r="370">
          <cell r="D370" t="str">
            <v>M/S Anas Battery &amp; Auto House</v>
          </cell>
          <cell r="E370" t="str">
            <v>01401</v>
          </cell>
        </row>
        <row r="371">
          <cell r="D371" t="str">
            <v>M/S Anas Battery &amp; Auto House</v>
          </cell>
          <cell r="E371" t="str">
            <v>01401</v>
          </cell>
        </row>
        <row r="372">
          <cell r="D372" t="str">
            <v>M/S Anik Motors &amp; Battery (C)</v>
          </cell>
          <cell r="E372" t="str">
            <v>01444</v>
          </cell>
        </row>
        <row r="373">
          <cell r="D373" t="str">
            <v>M/S Anik Motors &amp; Battery (C)</v>
          </cell>
          <cell r="E373" t="str">
            <v>01444</v>
          </cell>
        </row>
        <row r="374">
          <cell r="D374" t="str">
            <v>M/S Mokka Motors-Cumilla (C)</v>
          </cell>
          <cell r="E374" t="str">
            <v>01481</v>
          </cell>
        </row>
        <row r="375">
          <cell r="D375" t="str">
            <v>M/S S.S. Enterprise-Norshingdi (C)</v>
          </cell>
          <cell r="E375" t="str">
            <v>01331</v>
          </cell>
        </row>
        <row r="376">
          <cell r="D376" t="str">
            <v>M/S S.S. Enterprise-Norshingdi (C)</v>
          </cell>
          <cell r="E376" t="str">
            <v>01331</v>
          </cell>
        </row>
        <row r="377">
          <cell r="D377" t="str">
            <v>M/S S.S. Enterprise-Norshingdi (C)</v>
          </cell>
          <cell r="E377" t="str">
            <v>01331</v>
          </cell>
        </row>
        <row r="378">
          <cell r="D378" t="str">
            <v>M/S Kalam Enterprise</v>
          </cell>
          <cell r="E378" t="str">
            <v>01341</v>
          </cell>
        </row>
        <row r="379">
          <cell r="D379" t="str">
            <v>M/S Kalam Enterprise</v>
          </cell>
          <cell r="E379" t="str">
            <v>01341</v>
          </cell>
        </row>
        <row r="380">
          <cell r="D380" t="str">
            <v>M/S Shah Mojidia Motor Parts</v>
          </cell>
          <cell r="E380" t="str">
            <v>00842</v>
          </cell>
        </row>
        <row r="381">
          <cell r="D381" t="str">
            <v>M/S Shah Mojidia Motor Parts</v>
          </cell>
          <cell r="E381" t="str">
            <v>00842</v>
          </cell>
        </row>
        <row r="382">
          <cell r="D382" t="str">
            <v>M/S Sifa Motors</v>
          </cell>
          <cell r="E382" t="str">
            <v>01443</v>
          </cell>
        </row>
        <row r="383">
          <cell r="D383" t="str">
            <v>M/S Boalkhali Battery House (C)</v>
          </cell>
          <cell r="E383" t="str">
            <v>01550</v>
          </cell>
        </row>
        <row r="384">
          <cell r="D384" t="str">
            <v>M/S Boalkhali Battery House (C)</v>
          </cell>
          <cell r="E384" t="str">
            <v>01550</v>
          </cell>
        </row>
        <row r="385">
          <cell r="D385" t="str">
            <v>M/S Boalkhali Battery House (C)</v>
          </cell>
          <cell r="E385" t="str">
            <v>01550</v>
          </cell>
        </row>
        <row r="386">
          <cell r="D386" t="str">
            <v>M/S Sangu Battery House</v>
          </cell>
          <cell r="E386" t="str">
            <v>00988</v>
          </cell>
        </row>
        <row r="387">
          <cell r="D387" t="str">
            <v>M/S Sangu Battery House</v>
          </cell>
          <cell r="E387" t="str">
            <v>00988</v>
          </cell>
        </row>
        <row r="388">
          <cell r="D388" t="str">
            <v>M/S Sangu Battery House</v>
          </cell>
          <cell r="E388" t="str">
            <v>00988</v>
          </cell>
        </row>
        <row r="389">
          <cell r="D389" t="str">
            <v>M/S Sangu Battery House</v>
          </cell>
          <cell r="E389" t="str">
            <v>00988</v>
          </cell>
        </row>
        <row r="390">
          <cell r="D390" t="str">
            <v>M/S S.K. Enterprise (C)</v>
          </cell>
          <cell r="E390" t="str">
            <v>01326</v>
          </cell>
        </row>
        <row r="391">
          <cell r="D391" t="str">
            <v>M/S Boalkhali Battery House (C)</v>
          </cell>
          <cell r="E391" t="str">
            <v>01550</v>
          </cell>
        </row>
        <row r="392">
          <cell r="D392" t="str">
            <v>M/S Bondhu Auto and CNG Workshop</v>
          </cell>
          <cell r="E392" t="str">
            <v>01149</v>
          </cell>
        </row>
        <row r="393">
          <cell r="D393" t="str">
            <v>M/S Bondhu Auto and CNG Workshop</v>
          </cell>
          <cell r="E393" t="str">
            <v>01149</v>
          </cell>
        </row>
        <row r="394">
          <cell r="D394" t="str">
            <v>M/S Bondhu Auto and CNG Workshop</v>
          </cell>
          <cell r="E394" t="str">
            <v>01149</v>
          </cell>
        </row>
        <row r="395">
          <cell r="D395" t="str">
            <v>M/S Shahjalal Traders</v>
          </cell>
          <cell r="E395" t="str">
            <v>01362</v>
          </cell>
        </row>
        <row r="396">
          <cell r="D396" t="str">
            <v>M/S Shahjalal Traders</v>
          </cell>
          <cell r="E396" t="str">
            <v>01362</v>
          </cell>
        </row>
        <row r="397">
          <cell r="D397" t="str">
            <v>M/S City Auto</v>
          </cell>
          <cell r="E397" t="str">
            <v>00398</v>
          </cell>
        </row>
        <row r="398">
          <cell r="D398" t="str">
            <v>M/S City Auto</v>
          </cell>
          <cell r="E398" t="str">
            <v>00398</v>
          </cell>
        </row>
        <row r="399">
          <cell r="D399" t="str">
            <v>M/S City Auto</v>
          </cell>
          <cell r="E399" t="str">
            <v>00398</v>
          </cell>
        </row>
        <row r="400">
          <cell r="D400" t="str">
            <v>M/S Minara Traders</v>
          </cell>
          <cell r="E400" t="str">
            <v>01108</v>
          </cell>
        </row>
        <row r="401">
          <cell r="D401" t="str">
            <v>M/S Minara Traders</v>
          </cell>
          <cell r="E401" t="str">
            <v>01108</v>
          </cell>
        </row>
        <row r="402">
          <cell r="D402" t="str">
            <v>M/S Jony Motors - Faridpur (C)</v>
          </cell>
          <cell r="E402" t="str">
            <v>01534</v>
          </cell>
        </row>
        <row r="403">
          <cell r="D403" t="str">
            <v>M/S Khokon Tyre House &amp; Volcanize</v>
          </cell>
          <cell r="E403" t="str">
            <v>01475</v>
          </cell>
        </row>
        <row r="404">
          <cell r="D404" t="str">
            <v>M/S Jamuna Battery House (C)</v>
          </cell>
          <cell r="E404" t="str">
            <v>01558</v>
          </cell>
        </row>
        <row r="405">
          <cell r="D405" t="str">
            <v>M/S M.R. Enterprise- Dinajpur (C)</v>
          </cell>
          <cell r="E405" t="str">
            <v>01520</v>
          </cell>
        </row>
        <row r="406">
          <cell r="D406" t="str">
            <v>M/S Bogura Auto Center (C)</v>
          </cell>
          <cell r="E406" t="str">
            <v>01468</v>
          </cell>
        </row>
        <row r="407">
          <cell r="D407" t="str">
            <v>M/S Bogura Auto Center (C)</v>
          </cell>
          <cell r="E407" t="str">
            <v>01468</v>
          </cell>
        </row>
        <row r="408">
          <cell r="D408" t="str">
            <v>M/S Bogura Auto Center (C)</v>
          </cell>
          <cell r="E408" t="str">
            <v>01468</v>
          </cell>
        </row>
        <row r="409">
          <cell r="D409" t="str">
            <v>M/S Bhai Bhai Auto Center (C)</v>
          </cell>
          <cell r="E409" t="str">
            <v>01563</v>
          </cell>
        </row>
        <row r="410">
          <cell r="D410" t="str">
            <v>M/S Roni Battery</v>
          </cell>
          <cell r="E410" t="str">
            <v>01379</v>
          </cell>
        </row>
        <row r="411">
          <cell r="D411" t="str">
            <v>M/S Shekh Enterprise - Khulna</v>
          </cell>
          <cell r="E411" t="str">
            <v>01435</v>
          </cell>
        </row>
        <row r="412">
          <cell r="D412" t="str">
            <v>M/S Setu Cycle Mart</v>
          </cell>
          <cell r="E412" t="str">
            <v>00471</v>
          </cell>
        </row>
        <row r="413">
          <cell r="D413" t="str">
            <v>M/S Setu Cycle Mart</v>
          </cell>
          <cell r="E413" t="str">
            <v>00471</v>
          </cell>
        </row>
        <row r="414">
          <cell r="D414" t="str">
            <v>M/S Setu Cycle Mart</v>
          </cell>
          <cell r="E414" t="str">
            <v>00471</v>
          </cell>
        </row>
        <row r="415">
          <cell r="D415" t="str">
            <v>M/S Bogura Auto Center (C)</v>
          </cell>
          <cell r="E415" t="str">
            <v>01468</v>
          </cell>
        </row>
        <row r="416">
          <cell r="D416" t="str">
            <v>M/S Bogura Auto Center (C)</v>
          </cell>
          <cell r="E416" t="str">
            <v>01468</v>
          </cell>
        </row>
        <row r="417">
          <cell r="D417" t="str">
            <v>M/S Bogura Auto Center (C)</v>
          </cell>
          <cell r="E417" t="str">
            <v>01468</v>
          </cell>
        </row>
        <row r="418">
          <cell r="D418" t="str">
            <v>M/S Bogura Auto Center (C)</v>
          </cell>
          <cell r="E418" t="str">
            <v>01468</v>
          </cell>
        </row>
        <row r="419">
          <cell r="D419" t="str">
            <v>M/S Bogura Auto Center (C)</v>
          </cell>
          <cell r="E419" t="str">
            <v>01468</v>
          </cell>
        </row>
        <row r="420">
          <cell r="D420" t="str">
            <v>M/S Arafat Enterprise</v>
          </cell>
          <cell r="E420" t="str">
            <v>00094</v>
          </cell>
        </row>
        <row r="421">
          <cell r="D421" t="str">
            <v>M/S Raju Battery</v>
          </cell>
          <cell r="E421" t="str">
            <v>00519</v>
          </cell>
        </row>
        <row r="422">
          <cell r="D422" t="str">
            <v>M/S Shopon Battery House</v>
          </cell>
          <cell r="E422" t="str">
            <v>00740</v>
          </cell>
        </row>
        <row r="423">
          <cell r="D423" t="str">
            <v>M/S Boalkhali Battery House (C)</v>
          </cell>
          <cell r="E423" t="str">
            <v>01550</v>
          </cell>
        </row>
        <row r="424">
          <cell r="D424" t="str">
            <v>M/S Boalkhali Battery House (C)</v>
          </cell>
          <cell r="E424" t="str">
            <v>01550</v>
          </cell>
        </row>
        <row r="425">
          <cell r="D425" t="str">
            <v>M/S Talukder Motors (C)</v>
          </cell>
          <cell r="E425" t="str">
            <v>01471</v>
          </cell>
        </row>
        <row r="426">
          <cell r="D426" t="str">
            <v>M/S Banskhali Enterprise-Joldi (C)</v>
          </cell>
          <cell r="E426" t="str">
            <v>01312</v>
          </cell>
        </row>
        <row r="427">
          <cell r="D427" t="str">
            <v>M/S Banskhali Enterprise-Joldi (C)</v>
          </cell>
          <cell r="E427" t="str">
            <v>01312</v>
          </cell>
        </row>
        <row r="428">
          <cell r="D428" t="str">
            <v>M/S Modina Cycle Store (C)</v>
          </cell>
          <cell r="E428" t="str">
            <v>01519</v>
          </cell>
        </row>
        <row r="429">
          <cell r="D429" t="str">
            <v>M/S Modina Cycle Store (C)</v>
          </cell>
          <cell r="E429" t="str">
            <v>01519</v>
          </cell>
        </row>
        <row r="430">
          <cell r="D430" t="str">
            <v>M/S S. K. Battery House (C)</v>
          </cell>
          <cell r="E430" t="str">
            <v>01530</v>
          </cell>
        </row>
        <row r="431">
          <cell r="D431" t="str">
            <v>M/S Lalmai Machineries &amp; Parts</v>
          </cell>
          <cell r="E431" t="str">
            <v>00329</v>
          </cell>
        </row>
        <row r="432">
          <cell r="D432" t="str">
            <v>M/S Sadia Auto Parts (C)</v>
          </cell>
          <cell r="E432" t="str">
            <v>01498</v>
          </cell>
        </row>
        <row r="433">
          <cell r="D433" t="str">
            <v>M/S Bismillah Motors-Hinla</v>
          </cell>
          <cell r="E433" t="str">
            <v>01448</v>
          </cell>
        </row>
        <row r="434">
          <cell r="D434" t="str">
            <v>M/S Bismillah Motors-Hinla</v>
          </cell>
          <cell r="E434" t="str">
            <v>01448</v>
          </cell>
        </row>
        <row r="435">
          <cell r="D435" t="str">
            <v>M/S Bismillah Motors-Hinla</v>
          </cell>
          <cell r="E435" t="str">
            <v>01448</v>
          </cell>
        </row>
        <row r="436">
          <cell r="D436" t="str">
            <v>M/S Bismillah Motors-Hinla</v>
          </cell>
          <cell r="E436" t="str">
            <v>01448</v>
          </cell>
        </row>
        <row r="437">
          <cell r="D437" t="str">
            <v>M/S Samar Auto (C)</v>
          </cell>
          <cell r="E437" t="str">
            <v>01522</v>
          </cell>
        </row>
        <row r="438">
          <cell r="D438" t="str">
            <v>M/S Samar Auto (C)</v>
          </cell>
          <cell r="E438" t="str">
            <v>01522</v>
          </cell>
        </row>
        <row r="439">
          <cell r="D439" t="str">
            <v>M/S Babul Enterprise (C)</v>
          </cell>
          <cell r="E439" t="str">
            <v>01292</v>
          </cell>
        </row>
        <row r="440">
          <cell r="D440" t="str">
            <v>M/S Hira Motors-Chokoria</v>
          </cell>
          <cell r="E440" t="str">
            <v>01441</v>
          </cell>
        </row>
        <row r="441">
          <cell r="D441" t="str">
            <v>M/S Hira Motors-Chokoria</v>
          </cell>
          <cell r="E441" t="str">
            <v>01441</v>
          </cell>
        </row>
        <row r="442">
          <cell r="D442" t="str">
            <v>M/S S.S. Enterprise-Norshingdi</v>
          </cell>
          <cell r="E442" t="str">
            <v>01118</v>
          </cell>
        </row>
        <row r="443">
          <cell r="D443" t="str">
            <v>M/S S.S. Enterprise-Norshingdi</v>
          </cell>
          <cell r="E443" t="str">
            <v>01118</v>
          </cell>
        </row>
        <row r="444">
          <cell r="D444" t="str">
            <v>M/S S.S. Enterprise-Norshingdi</v>
          </cell>
          <cell r="E444" t="str">
            <v>01118</v>
          </cell>
        </row>
        <row r="445">
          <cell r="D445" t="str">
            <v>M/S S.S. Enterprise-Norshingdi</v>
          </cell>
          <cell r="E445" t="str">
            <v>01118</v>
          </cell>
        </row>
        <row r="446">
          <cell r="D446" t="str">
            <v>M/S S.S. Enterprise-Norshingdi (C)</v>
          </cell>
          <cell r="E446" t="str">
            <v>01331</v>
          </cell>
        </row>
        <row r="447">
          <cell r="D447" t="str">
            <v>M/S S.S. Enterprise-Norshingdi (C)</v>
          </cell>
          <cell r="E447" t="str">
            <v>01331</v>
          </cell>
        </row>
        <row r="448">
          <cell r="D448" t="str">
            <v>M/S S.S. Enterprise-Norshingdi (C)</v>
          </cell>
          <cell r="E448" t="str">
            <v>01331</v>
          </cell>
        </row>
        <row r="449">
          <cell r="D449" t="str">
            <v>M/S S.S. Enterprise-Norshingdi (C)</v>
          </cell>
          <cell r="E449" t="str">
            <v>01331</v>
          </cell>
        </row>
        <row r="450">
          <cell r="D450" t="str">
            <v>M/S City Auto</v>
          </cell>
          <cell r="E450" t="str">
            <v>00398</v>
          </cell>
        </row>
        <row r="451">
          <cell r="D451" t="str">
            <v>M/S City Auto</v>
          </cell>
          <cell r="E451" t="str">
            <v>00398</v>
          </cell>
        </row>
        <row r="452">
          <cell r="D452" t="str">
            <v>M/S City Auto</v>
          </cell>
          <cell r="E452" t="str">
            <v>00398</v>
          </cell>
        </row>
        <row r="453">
          <cell r="D453" t="str">
            <v>M/S Doyal Battery</v>
          </cell>
          <cell r="E453" t="str">
            <v>00337</v>
          </cell>
        </row>
        <row r="454">
          <cell r="D454" t="str">
            <v>M/S Doyal Battery</v>
          </cell>
          <cell r="E454" t="str">
            <v>00337</v>
          </cell>
        </row>
        <row r="455">
          <cell r="D455" t="str">
            <v>M/S Doyal Battery (C)</v>
          </cell>
          <cell r="E455" t="str">
            <v>01308</v>
          </cell>
        </row>
        <row r="456">
          <cell r="D456" t="str">
            <v>M/S Doyal Battery (C)</v>
          </cell>
          <cell r="E456" t="str">
            <v>01308</v>
          </cell>
        </row>
        <row r="457">
          <cell r="D457" t="str">
            <v>M/S Doyal Battery (C)</v>
          </cell>
          <cell r="E457" t="str">
            <v>01308</v>
          </cell>
        </row>
        <row r="458">
          <cell r="D458" t="str">
            <v>M/S Modina Enterprise - Savar</v>
          </cell>
          <cell r="E458" t="str">
            <v>01404</v>
          </cell>
        </row>
        <row r="459">
          <cell r="D459" t="str">
            <v>M/S Anas Enterprise (C)</v>
          </cell>
          <cell r="E459" t="str">
            <v>01551</v>
          </cell>
        </row>
        <row r="460">
          <cell r="D460" t="str">
            <v>M/S Anas Enterprise (C)</v>
          </cell>
          <cell r="E460" t="str">
            <v>01551</v>
          </cell>
        </row>
        <row r="461">
          <cell r="D461" t="str">
            <v>M/S Bondhu Auto and CNG Workshop</v>
          </cell>
          <cell r="E461" t="str">
            <v>01149</v>
          </cell>
        </row>
        <row r="462">
          <cell r="D462" t="str">
            <v>M/S Bondhu Auto and CNG Workshop</v>
          </cell>
          <cell r="E462" t="str">
            <v>01149</v>
          </cell>
        </row>
        <row r="463">
          <cell r="D463" t="str">
            <v>M/S Bondhu Auto and CNG Workshop</v>
          </cell>
          <cell r="E463" t="str">
            <v>01149</v>
          </cell>
        </row>
        <row r="464">
          <cell r="D464" t="str">
            <v>M/S Bondhu Auto and CNG Workshop</v>
          </cell>
          <cell r="E464" t="str">
            <v>01149</v>
          </cell>
        </row>
        <row r="465">
          <cell r="D465" t="str">
            <v>M/S Bondhu Auto and CNG Workshop</v>
          </cell>
          <cell r="E465" t="str">
            <v>01149</v>
          </cell>
        </row>
        <row r="466">
          <cell r="D466" t="str">
            <v>M/S Selim Battery House (C)</v>
          </cell>
          <cell r="E466" t="str">
            <v>01569</v>
          </cell>
        </row>
        <row r="467">
          <cell r="D467" t="str">
            <v>M/S Molla Battery House (C)</v>
          </cell>
          <cell r="E467" t="str">
            <v>01428</v>
          </cell>
        </row>
        <row r="468">
          <cell r="D468" t="str">
            <v>M/S Hemayetpur Battery House (C)</v>
          </cell>
          <cell r="E468" t="str">
            <v>01478</v>
          </cell>
        </row>
        <row r="469">
          <cell r="D469" t="str">
            <v>M/S Farhan Battery &amp; Auto Parts</v>
          </cell>
          <cell r="E469" t="str">
            <v>01470</v>
          </cell>
        </row>
        <row r="470">
          <cell r="D470" t="str">
            <v>M/S Farhan Battery &amp; Auto Parts</v>
          </cell>
          <cell r="E470" t="str">
            <v>01470</v>
          </cell>
        </row>
        <row r="471">
          <cell r="D471" t="str">
            <v>M/S Anas Battery &amp; Auto House</v>
          </cell>
          <cell r="E471" t="str">
            <v>01401</v>
          </cell>
        </row>
        <row r="472">
          <cell r="D472" t="str">
            <v>M/S Anas Battery &amp; Auto House</v>
          </cell>
          <cell r="E472" t="str">
            <v>01401</v>
          </cell>
        </row>
        <row r="473">
          <cell r="D473" t="str">
            <v>M/S Anas Battery &amp; Auto House</v>
          </cell>
          <cell r="E473" t="str">
            <v>01401</v>
          </cell>
        </row>
        <row r="474">
          <cell r="D474" t="str">
            <v>M/S Mokka Motors-Cumilla (C)</v>
          </cell>
          <cell r="E474" t="str">
            <v>01481</v>
          </cell>
        </row>
        <row r="475">
          <cell r="D475" t="str">
            <v>M/S Jony Motors - Faridpur (C)</v>
          </cell>
          <cell r="E475" t="str">
            <v>01534</v>
          </cell>
        </row>
        <row r="476">
          <cell r="D476" t="str">
            <v>M/S Hasan Enterprise (C)</v>
          </cell>
          <cell r="E476" t="str">
            <v>01289</v>
          </cell>
        </row>
        <row r="477">
          <cell r="D477" t="str">
            <v>M/S Gazipur Battery House (C)</v>
          </cell>
          <cell r="E477" t="str">
            <v>01549</v>
          </cell>
        </row>
        <row r="478">
          <cell r="D478" t="str">
            <v>M/S Khan Battery Recycling (C)</v>
          </cell>
          <cell r="E478" t="str">
            <v>01282</v>
          </cell>
        </row>
        <row r="479">
          <cell r="D479" t="str">
            <v>M/S Sangu Battery House</v>
          </cell>
          <cell r="E479" t="str">
            <v>00988</v>
          </cell>
        </row>
        <row r="480">
          <cell r="D480" t="str">
            <v>M/S Sangu Battery House</v>
          </cell>
          <cell r="E480" t="str">
            <v>00988</v>
          </cell>
        </row>
        <row r="481">
          <cell r="D481" t="str">
            <v>M/S Sangu Battery House</v>
          </cell>
          <cell r="E481" t="str">
            <v>00988</v>
          </cell>
        </row>
        <row r="482">
          <cell r="D482" t="str">
            <v>M/S Setu Cycle Mart</v>
          </cell>
          <cell r="E482" t="str">
            <v>00471</v>
          </cell>
        </row>
        <row r="483">
          <cell r="D483" t="str">
            <v>M/S Setu Cycle Mart</v>
          </cell>
          <cell r="E483" t="str">
            <v>00471</v>
          </cell>
        </row>
        <row r="484">
          <cell r="D484" t="str">
            <v>M/S Setu Cycle Mart</v>
          </cell>
          <cell r="E484" t="str">
            <v>00471</v>
          </cell>
        </row>
        <row r="485">
          <cell r="D485" t="str">
            <v>M/S Farhan Auto (C)</v>
          </cell>
          <cell r="E485" t="str">
            <v>01298</v>
          </cell>
        </row>
        <row r="486">
          <cell r="D486" t="str">
            <v>M/S Farhan Auto (C)</v>
          </cell>
          <cell r="E486" t="str">
            <v>01298</v>
          </cell>
        </row>
        <row r="487">
          <cell r="D487" t="str">
            <v>M/S Farhan Auto (C)</v>
          </cell>
          <cell r="E487" t="str">
            <v>01298</v>
          </cell>
        </row>
        <row r="488">
          <cell r="D488" t="str">
            <v>M/S S.K. Enterprise (C)</v>
          </cell>
          <cell r="E488" t="str">
            <v>01326</v>
          </cell>
        </row>
        <row r="489">
          <cell r="D489" t="str">
            <v>M/S S.K. Enterprise (C)</v>
          </cell>
          <cell r="E489" t="str">
            <v>01326</v>
          </cell>
        </row>
        <row r="490">
          <cell r="D490" t="str">
            <v>M/S S.K. Enterprise (C)</v>
          </cell>
          <cell r="E490" t="str">
            <v>01326</v>
          </cell>
        </row>
        <row r="491">
          <cell r="D491" t="str">
            <v>M/S S.K. Enterprise (C)</v>
          </cell>
          <cell r="E491" t="str">
            <v>01326</v>
          </cell>
        </row>
        <row r="492">
          <cell r="D492" t="str">
            <v>M/S S.K. Enterprise (C)</v>
          </cell>
          <cell r="E492" t="str">
            <v>01326</v>
          </cell>
        </row>
        <row r="493">
          <cell r="D493" t="str">
            <v>M/S Sadia Enterprise</v>
          </cell>
          <cell r="E493" t="str">
            <v>01490</v>
          </cell>
        </row>
        <row r="494">
          <cell r="D494" t="str">
            <v>M/S Sadia Enterprise</v>
          </cell>
          <cell r="E494" t="str">
            <v>01490</v>
          </cell>
        </row>
        <row r="495">
          <cell r="D495" t="str">
            <v>M/S A.P.L. Auto House (C)</v>
          </cell>
          <cell r="E495" t="str">
            <v>01305</v>
          </cell>
        </row>
        <row r="496">
          <cell r="D496" t="str">
            <v>M/S A.P.L. Auto House (C)</v>
          </cell>
          <cell r="E496" t="str">
            <v>01305</v>
          </cell>
        </row>
        <row r="497">
          <cell r="D497" t="str">
            <v>M/S A.P.L. Auto House (C)</v>
          </cell>
          <cell r="E497" t="str">
            <v>01305</v>
          </cell>
        </row>
        <row r="498">
          <cell r="D498" t="str">
            <v>M/S Al - Mokka Enterprise</v>
          </cell>
          <cell r="E498" t="str">
            <v>01112</v>
          </cell>
        </row>
        <row r="499">
          <cell r="D499" t="str">
            <v>M/S Al - Mokka Enterprise</v>
          </cell>
          <cell r="E499" t="str">
            <v>01112</v>
          </cell>
        </row>
        <row r="500">
          <cell r="D500" t="str">
            <v>M/S Satata Battery House (C)</v>
          </cell>
          <cell r="E500" t="str">
            <v>01517</v>
          </cell>
        </row>
        <row r="501">
          <cell r="D501" t="str">
            <v>M/S Allahar Dan Battery</v>
          </cell>
          <cell r="E501" t="str">
            <v>01466</v>
          </cell>
        </row>
        <row r="502">
          <cell r="D502" t="str">
            <v>M/S Arafat Enterprise</v>
          </cell>
          <cell r="E502" t="str">
            <v>00094</v>
          </cell>
        </row>
        <row r="503">
          <cell r="D503" t="str">
            <v>M/S Arafat Enterprise</v>
          </cell>
          <cell r="E503" t="str">
            <v>00094</v>
          </cell>
        </row>
        <row r="504">
          <cell r="D504" t="str">
            <v>M/S Shoshi Enterprise (C)</v>
          </cell>
          <cell r="E504" t="str">
            <v>01335</v>
          </cell>
        </row>
        <row r="505">
          <cell r="D505" t="str">
            <v>M/S Shoshi Enterprise (C)</v>
          </cell>
          <cell r="E505" t="str">
            <v>01335</v>
          </cell>
        </row>
        <row r="506">
          <cell r="D506" t="str">
            <v>M/S Shoshi Enterprise (C)</v>
          </cell>
          <cell r="E506" t="str">
            <v>01335</v>
          </cell>
        </row>
        <row r="507">
          <cell r="D507" t="str">
            <v>M/S Sharif Battery House &amp; IPS Center (C)</v>
          </cell>
          <cell r="E507" t="str">
            <v>01491</v>
          </cell>
        </row>
        <row r="508">
          <cell r="D508" t="str">
            <v>M/S M.R. Enterprise- Dinajpur (C)</v>
          </cell>
          <cell r="E508" t="str">
            <v>01520</v>
          </cell>
        </row>
        <row r="509">
          <cell r="D509" t="str">
            <v>M/S Battery And IPS Bazar (C)</v>
          </cell>
          <cell r="E509" t="str">
            <v>01505</v>
          </cell>
        </row>
        <row r="510">
          <cell r="D510" t="str">
            <v>M/S Battery And IPS Bazar (C)</v>
          </cell>
          <cell r="E510" t="str">
            <v>01505</v>
          </cell>
        </row>
        <row r="511">
          <cell r="D511" t="str">
            <v>M/S Bogura Auto Center (C)</v>
          </cell>
          <cell r="E511" t="str">
            <v>01468</v>
          </cell>
        </row>
        <row r="512">
          <cell r="D512" t="str">
            <v>M/S Bogura Auto Center (C)</v>
          </cell>
          <cell r="E512" t="str">
            <v>01468</v>
          </cell>
        </row>
        <row r="513">
          <cell r="D513" t="str">
            <v>M/S Bhai Bhai Auto Center (C)</v>
          </cell>
          <cell r="E513" t="str">
            <v>01563</v>
          </cell>
        </row>
        <row r="514">
          <cell r="D514" t="str">
            <v>M/S Nobodhara Corporation</v>
          </cell>
          <cell r="E514" t="str">
            <v>01352</v>
          </cell>
        </row>
        <row r="515">
          <cell r="D515" t="str">
            <v>M/S Adib Alifa Auto &amp; Battery House (C)</v>
          </cell>
          <cell r="E515" t="str">
            <v>01454</v>
          </cell>
        </row>
        <row r="516">
          <cell r="D516" t="str">
            <v>M/S Islam Auto House</v>
          </cell>
          <cell r="E516" t="str">
            <v>01391</v>
          </cell>
        </row>
        <row r="517">
          <cell r="D517" t="str">
            <v>M/S Molla Battery House (C)</v>
          </cell>
          <cell r="E517" t="str">
            <v>01428</v>
          </cell>
        </row>
        <row r="518">
          <cell r="D518" t="str">
            <v>Mr. Nanindra Chandra Das</v>
          </cell>
          <cell r="E518" t="str">
            <v>01151</v>
          </cell>
        </row>
        <row r="519">
          <cell r="D519" t="str">
            <v>M/S Ripon Tyre and Battery (C)</v>
          </cell>
          <cell r="E519" t="str">
            <v>01557</v>
          </cell>
        </row>
        <row r="520">
          <cell r="D520" t="str">
            <v>M/S Ripon Tyre and Battery (C)</v>
          </cell>
          <cell r="E520" t="str">
            <v>01557</v>
          </cell>
        </row>
        <row r="521">
          <cell r="D521" t="str">
            <v>M/S Ripon Tyre and Battery (C)</v>
          </cell>
          <cell r="E521" t="str">
            <v>01557</v>
          </cell>
        </row>
        <row r="522">
          <cell r="D522" t="str">
            <v>M/S Ripon Tyre and Battery (C)</v>
          </cell>
          <cell r="E522" t="str">
            <v>01557</v>
          </cell>
        </row>
        <row r="523">
          <cell r="D523" t="str">
            <v>M/S Ripon Tyre and Battery (C)</v>
          </cell>
          <cell r="E523" t="str">
            <v>01557</v>
          </cell>
        </row>
        <row r="524">
          <cell r="D524" t="str">
            <v>M/S Al - Mokka Enterprise (C)</v>
          </cell>
          <cell r="E524" t="str">
            <v>01553</v>
          </cell>
        </row>
        <row r="525">
          <cell r="D525" t="str">
            <v>M/S Al - Mokka Enterprise (C)</v>
          </cell>
          <cell r="E525" t="str">
            <v>01553</v>
          </cell>
        </row>
        <row r="526">
          <cell r="D526" t="str">
            <v>M/S Al - Mokka Enterprise (C)</v>
          </cell>
          <cell r="E526" t="str">
            <v>01553</v>
          </cell>
        </row>
        <row r="527">
          <cell r="D527" t="str">
            <v>M/S Al - Mokka Enterprise (C)</v>
          </cell>
          <cell r="E527" t="str">
            <v>01553</v>
          </cell>
        </row>
        <row r="528">
          <cell r="D528" t="str">
            <v>M/S Al - Mokka Enterprise (C)</v>
          </cell>
          <cell r="E528" t="str">
            <v>01553</v>
          </cell>
        </row>
        <row r="529">
          <cell r="D529" t="str">
            <v>M/S Al - Mokka Enterprise (C)</v>
          </cell>
          <cell r="E529" t="str">
            <v>01553</v>
          </cell>
        </row>
        <row r="530">
          <cell r="D530" t="str">
            <v>M/S Shah Mojidia Motor Parts</v>
          </cell>
          <cell r="E530" t="str">
            <v>00842</v>
          </cell>
        </row>
        <row r="531">
          <cell r="D531" t="str">
            <v>M/S Shah Mojidia Motor Parts</v>
          </cell>
          <cell r="E531" t="str">
            <v>00842</v>
          </cell>
        </row>
        <row r="532">
          <cell r="D532" t="str">
            <v>M/S Shah Mojidia Motor Parts</v>
          </cell>
          <cell r="E532" t="str">
            <v>00842</v>
          </cell>
        </row>
        <row r="533">
          <cell r="D533" t="str">
            <v>M/S Anik Motors &amp; Battery (C)</v>
          </cell>
          <cell r="E533" t="str">
            <v>01444</v>
          </cell>
        </row>
        <row r="534">
          <cell r="D534" t="str">
            <v>M/S Khokon IPS &amp; Battery Center (C)</v>
          </cell>
          <cell r="E534" t="str">
            <v>01306</v>
          </cell>
        </row>
        <row r="535">
          <cell r="D535" t="str">
            <v>M/S Boalkhali Battery House (C)</v>
          </cell>
          <cell r="E535" t="str">
            <v>01550</v>
          </cell>
        </row>
        <row r="536">
          <cell r="D536" t="str">
            <v>M/S Boalkhali Battery House (C)</v>
          </cell>
          <cell r="E536" t="str">
            <v>01550</v>
          </cell>
        </row>
        <row r="537">
          <cell r="D537" t="str">
            <v>M/S Sajib Enterprise (C)</v>
          </cell>
          <cell r="E537" t="str">
            <v>01353</v>
          </cell>
        </row>
        <row r="538">
          <cell r="D538" t="str">
            <v>M/S Sajib Enterprise (C)</v>
          </cell>
          <cell r="E538" t="str">
            <v>01353</v>
          </cell>
        </row>
        <row r="539">
          <cell r="D539" t="str">
            <v>M/S Anas Enterprise (C)</v>
          </cell>
          <cell r="E539" t="str">
            <v>01551</v>
          </cell>
        </row>
        <row r="540">
          <cell r="D540" t="str">
            <v>M/S Anas Enterprise (C)</v>
          </cell>
          <cell r="E540" t="str">
            <v>01551</v>
          </cell>
        </row>
        <row r="541">
          <cell r="D541" t="str">
            <v>M/S Hemayetpur Battery House (C)</v>
          </cell>
          <cell r="E541" t="str">
            <v>01478</v>
          </cell>
        </row>
        <row r="542">
          <cell r="D542" t="str">
            <v>M/S Rashed Enterprise</v>
          </cell>
          <cell r="E542" t="str">
            <v>00030</v>
          </cell>
        </row>
        <row r="543">
          <cell r="D543" t="str">
            <v>M/S Rashed Enterprise</v>
          </cell>
          <cell r="E543" t="str">
            <v>00030</v>
          </cell>
        </row>
        <row r="544">
          <cell r="D544" t="str">
            <v>M/S Rashed Enterprise</v>
          </cell>
          <cell r="E544" t="str">
            <v>00030</v>
          </cell>
        </row>
        <row r="545">
          <cell r="D545" t="str">
            <v>M/S Rashed Enterprise</v>
          </cell>
          <cell r="E545" t="str">
            <v>00030</v>
          </cell>
        </row>
        <row r="546">
          <cell r="D546" t="str">
            <v>M/S Modina Cycle Store (C)</v>
          </cell>
          <cell r="E546" t="str">
            <v>01519</v>
          </cell>
        </row>
        <row r="547">
          <cell r="D547" t="str">
            <v>M/S Mahtab Engineering Workshop</v>
          </cell>
          <cell r="E547" t="str">
            <v>01429</v>
          </cell>
        </row>
        <row r="548">
          <cell r="D548" t="str">
            <v>M/S Mahtab Engineering Workshop</v>
          </cell>
          <cell r="E548" t="str">
            <v>01429</v>
          </cell>
        </row>
        <row r="549">
          <cell r="D549" t="str">
            <v>M/S Shoshi Enterprise (C)</v>
          </cell>
          <cell r="E549" t="str">
            <v>01335</v>
          </cell>
        </row>
        <row r="550">
          <cell r="D550" t="str">
            <v>M/S Gazipur Battery House (C)</v>
          </cell>
          <cell r="E550" t="str">
            <v>01549</v>
          </cell>
        </row>
        <row r="551">
          <cell r="D551" t="str">
            <v>M/S Gazipur Battery House (C)</v>
          </cell>
          <cell r="E551" t="str">
            <v>01549</v>
          </cell>
        </row>
        <row r="552">
          <cell r="D552" t="str">
            <v>M/S Tamim Enterprise</v>
          </cell>
          <cell r="E552" t="str">
            <v>01395</v>
          </cell>
        </row>
        <row r="553">
          <cell r="D553" t="str">
            <v>M/S Tamim Enterprise</v>
          </cell>
          <cell r="E553" t="str">
            <v>01395</v>
          </cell>
        </row>
        <row r="554">
          <cell r="D554" t="str">
            <v>M/S Samar Auto (C)</v>
          </cell>
          <cell r="E554" t="str">
            <v>01522</v>
          </cell>
        </row>
        <row r="555">
          <cell r="D555" t="str">
            <v>M/S Samar Auto (C)</v>
          </cell>
          <cell r="E555" t="str">
            <v>01522</v>
          </cell>
        </row>
        <row r="556">
          <cell r="D556" t="str">
            <v>M/S Talukder Motors (C)</v>
          </cell>
          <cell r="E556" t="str">
            <v>01471</v>
          </cell>
        </row>
        <row r="557">
          <cell r="D557" t="str">
            <v>M/S Babul Enterprise (C)</v>
          </cell>
          <cell r="E557" t="str">
            <v>01292</v>
          </cell>
        </row>
        <row r="558">
          <cell r="D558" t="str">
            <v>M/S Bismillah Motors-Hinla</v>
          </cell>
          <cell r="E558" t="str">
            <v>01448</v>
          </cell>
        </row>
        <row r="559">
          <cell r="D559" t="str">
            <v>M/S Sifa Motors</v>
          </cell>
          <cell r="E559" t="str">
            <v>01443</v>
          </cell>
        </row>
        <row r="560">
          <cell r="D560" t="str">
            <v>M/S Shah Mojidia Motor Parts</v>
          </cell>
          <cell r="E560" t="str">
            <v>00842</v>
          </cell>
        </row>
        <row r="561">
          <cell r="D561" t="str">
            <v>M/S Shah Mojidia Motor Parts</v>
          </cell>
          <cell r="E561" t="str">
            <v>00842</v>
          </cell>
        </row>
        <row r="562">
          <cell r="D562" t="str">
            <v>M/S Boalkhali Battery House</v>
          </cell>
          <cell r="E562" t="str">
            <v>01486</v>
          </cell>
        </row>
        <row r="563">
          <cell r="D563" t="str">
            <v>M/S Sangu Battery House</v>
          </cell>
          <cell r="E563" t="str">
            <v>00988</v>
          </cell>
        </row>
        <row r="564">
          <cell r="D564" t="str">
            <v>M/S Sangu Battery House</v>
          </cell>
          <cell r="E564" t="str">
            <v>00988</v>
          </cell>
        </row>
        <row r="565">
          <cell r="D565" t="str">
            <v>M/S S.K. Enterprise (C)</v>
          </cell>
          <cell r="E565" t="str">
            <v>01326</v>
          </cell>
        </row>
        <row r="566">
          <cell r="D566" t="str">
            <v>M/S S.K. Enterprise (C)</v>
          </cell>
          <cell r="E566" t="str">
            <v>01326</v>
          </cell>
        </row>
        <row r="567">
          <cell r="D567" t="str">
            <v>M/S Boalkhali Battery House (C)</v>
          </cell>
          <cell r="E567" t="str">
            <v>01550</v>
          </cell>
        </row>
        <row r="568">
          <cell r="D568" t="str">
            <v>M/S Boalkhali Battery House (C)</v>
          </cell>
          <cell r="E568" t="str">
            <v>01550</v>
          </cell>
        </row>
        <row r="569">
          <cell r="D569" t="str">
            <v>M/S Boalkhali Battery House (C)</v>
          </cell>
          <cell r="E569" t="str">
            <v>01550</v>
          </cell>
        </row>
        <row r="570">
          <cell r="D570" t="str">
            <v>M/S Sohan Motors</v>
          </cell>
          <cell r="E570" t="str">
            <v>01385</v>
          </cell>
        </row>
        <row r="571">
          <cell r="D571" t="str">
            <v>M/S Sohan Motors</v>
          </cell>
          <cell r="E571" t="str">
            <v>01385</v>
          </cell>
        </row>
        <row r="572">
          <cell r="D572" t="str">
            <v>M/S Sohan Motors</v>
          </cell>
          <cell r="E572" t="str">
            <v>01385</v>
          </cell>
        </row>
        <row r="573">
          <cell r="D573" t="str">
            <v>M/S Sawda Auto and Battery</v>
          </cell>
          <cell r="E573" t="str">
            <v>01261</v>
          </cell>
        </row>
        <row r="574">
          <cell r="D574" t="str">
            <v>M/S Sawda Auto and Battery</v>
          </cell>
          <cell r="E574" t="str">
            <v>01261</v>
          </cell>
        </row>
        <row r="575">
          <cell r="D575" t="str">
            <v>M/S B.P Battery House</v>
          </cell>
          <cell r="E575" t="str">
            <v>01130</v>
          </cell>
        </row>
        <row r="576">
          <cell r="D576" t="str">
            <v>M/S Doyal Battery</v>
          </cell>
          <cell r="E576" t="str">
            <v>00337</v>
          </cell>
        </row>
        <row r="577">
          <cell r="D577" t="str">
            <v>M/S Doyal Battery</v>
          </cell>
          <cell r="E577" t="str">
            <v>00337</v>
          </cell>
        </row>
        <row r="578">
          <cell r="D578" t="str">
            <v>M/S Doyal Battery (C)</v>
          </cell>
          <cell r="E578" t="str">
            <v>01308</v>
          </cell>
        </row>
        <row r="579">
          <cell r="D579" t="str">
            <v>M/S Bondhu Auto and CNG Workshop</v>
          </cell>
          <cell r="E579" t="str">
            <v>01149</v>
          </cell>
        </row>
        <row r="580">
          <cell r="D580" t="str">
            <v>M/S Bondhu Auto and CNG Workshop</v>
          </cell>
          <cell r="E580" t="str">
            <v>01149</v>
          </cell>
        </row>
        <row r="581">
          <cell r="D581" t="str">
            <v>M/S A.P.L. Auto House (C)</v>
          </cell>
          <cell r="E581" t="str">
            <v>01305</v>
          </cell>
        </row>
        <row r="582">
          <cell r="D582" t="str">
            <v>M/S Khokon IPS &amp; Battery Center (C)</v>
          </cell>
          <cell r="E582" t="str">
            <v>01306</v>
          </cell>
        </row>
        <row r="583">
          <cell r="D583" t="str">
            <v>M/S Khokon IPS &amp; Battery Center (C)</v>
          </cell>
          <cell r="E583" t="str">
            <v>01306</v>
          </cell>
        </row>
        <row r="584">
          <cell r="D584" t="str">
            <v>M/S Khokon IPS &amp; Battery Center (C)</v>
          </cell>
          <cell r="E584" t="str">
            <v>01306</v>
          </cell>
        </row>
        <row r="585">
          <cell r="D585" t="str">
            <v>M/S Khokon IPS &amp; Battery Center (C)</v>
          </cell>
          <cell r="E585" t="str">
            <v>01306</v>
          </cell>
        </row>
        <row r="586">
          <cell r="D586" t="str">
            <v>M/S Khokon IPS &amp; Battery Center (C)</v>
          </cell>
          <cell r="E586" t="str">
            <v>01306</v>
          </cell>
        </row>
        <row r="587">
          <cell r="D587" t="str">
            <v>M/S Khokon IPS &amp; Battery Center (C)</v>
          </cell>
          <cell r="E587" t="str">
            <v>01306</v>
          </cell>
        </row>
        <row r="588">
          <cell r="D588" t="str">
            <v>M/S Anik Motors &amp; Battery (C)</v>
          </cell>
          <cell r="E588" t="str">
            <v>01444</v>
          </cell>
        </row>
        <row r="589">
          <cell r="D589" t="str">
            <v>M/S Anas Battery &amp; Auto House</v>
          </cell>
          <cell r="E589" t="str">
            <v>01401</v>
          </cell>
        </row>
        <row r="590">
          <cell r="D590" t="str">
            <v>M/S Anas Battery &amp; Auto House</v>
          </cell>
          <cell r="E590" t="str">
            <v>01401</v>
          </cell>
        </row>
        <row r="591">
          <cell r="D591" t="str">
            <v>M/S Setu Cycle Mart</v>
          </cell>
          <cell r="E591" t="str">
            <v>00471</v>
          </cell>
        </row>
        <row r="592">
          <cell r="D592" t="str">
            <v>M/S Setu Cycle Mart</v>
          </cell>
          <cell r="E592" t="str">
            <v>00471</v>
          </cell>
        </row>
        <row r="593">
          <cell r="D593" t="str">
            <v>M/S Setu Cycle Mart</v>
          </cell>
          <cell r="E593" t="str">
            <v>00471</v>
          </cell>
        </row>
        <row r="594">
          <cell r="D594" t="str">
            <v>M/S Fateha Battery</v>
          </cell>
          <cell r="E594" t="str">
            <v>00388</v>
          </cell>
        </row>
        <row r="595">
          <cell r="D595" t="str">
            <v>M/S Aminul Battery House</v>
          </cell>
          <cell r="E595" t="str">
            <v>01250</v>
          </cell>
        </row>
        <row r="596">
          <cell r="D596" t="str">
            <v>M/S Aminul Battery House</v>
          </cell>
          <cell r="E596" t="str">
            <v>01250</v>
          </cell>
        </row>
        <row r="597">
          <cell r="D597" t="str">
            <v>M/S Chapai Auto Battery House</v>
          </cell>
          <cell r="E597" t="str">
            <v>01487</v>
          </cell>
        </row>
        <row r="598">
          <cell r="D598" t="str">
            <v>M/S Lamia Battery (C)</v>
          </cell>
          <cell r="E598" t="str">
            <v>01345</v>
          </cell>
        </row>
        <row r="599">
          <cell r="D599" t="str">
            <v>M/S Lamia Battery (C)</v>
          </cell>
          <cell r="E599" t="str">
            <v>01345</v>
          </cell>
        </row>
        <row r="600">
          <cell r="D600" t="str">
            <v>M/S Lamia Battery (C)</v>
          </cell>
          <cell r="E600" t="str">
            <v>01345</v>
          </cell>
        </row>
        <row r="601">
          <cell r="D601" t="str">
            <v>M/S Lamia Battery (C)</v>
          </cell>
          <cell r="E601" t="str">
            <v>01345</v>
          </cell>
        </row>
        <row r="602">
          <cell r="D602" t="str">
            <v>M/S Molla Battery House (C)</v>
          </cell>
          <cell r="E602" t="str">
            <v>01428</v>
          </cell>
        </row>
        <row r="603">
          <cell r="D603" t="str">
            <v>M/S Bogura Auto Center (C)</v>
          </cell>
          <cell r="E603" t="str">
            <v>01468</v>
          </cell>
        </row>
        <row r="604">
          <cell r="D604" t="str">
            <v>M/S Bogura Auto Center (C)</v>
          </cell>
          <cell r="E604" t="str">
            <v>01468</v>
          </cell>
        </row>
        <row r="605">
          <cell r="D605" t="str">
            <v>M/S Nobodhara Corporation</v>
          </cell>
          <cell r="E605" t="str">
            <v>01352</v>
          </cell>
        </row>
        <row r="606">
          <cell r="D606" t="str">
            <v>M/S Battery And IPS Bazar (C)</v>
          </cell>
          <cell r="E606" t="str">
            <v>01505</v>
          </cell>
        </row>
        <row r="607">
          <cell r="D607" t="str">
            <v>M/S Afifa Traders (C)</v>
          </cell>
          <cell r="E607" t="str">
            <v>01515</v>
          </cell>
        </row>
        <row r="608">
          <cell r="D608" t="str">
            <v>M/S Battery And IPS Bazar (C)</v>
          </cell>
          <cell r="E608" t="str">
            <v>01505</v>
          </cell>
        </row>
        <row r="609">
          <cell r="D609" t="str">
            <v>M/S Sharif Battery House &amp; IPS Center (C)</v>
          </cell>
          <cell r="E609" t="str">
            <v>01491</v>
          </cell>
        </row>
        <row r="610">
          <cell r="D610" t="str">
            <v>M/S S.S. Enterprise-Norshingdi (C)</v>
          </cell>
          <cell r="E610" t="str">
            <v>01331</v>
          </cell>
        </row>
        <row r="611">
          <cell r="D611" t="str">
            <v>M/S S.S. Enterprise-Norshingdi</v>
          </cell>
          <cell r="E611" t="str">
            <v>01118</v>
          </cell>
        </row>
        <row r="612">
          <cell r="D612" t="str">
            <v>M/S S.S. Enterprise-Norshingdi</v>
          </cell>
          <cell r="E612" t="str">
            <v>01118</v>
          </cell>
        </row>
        <row r="613">
          <cell r="D613" t="str">
            <v>M/S S.S. Enterprise-Norshingdi</v>
          </cell>
          <cell r="E613" t="str">
            <v>01118</v>
          </cell>
        </row>
        <row r="614">
          <cell r="D614" t="str">
            <v>M/S S.S. Enterprise-Norshingdi</v>
          </cell>
          <cell r="E614" t="str">
            <v>01118</v>
          </cell>
        </row>
        <row r="615">
          <cell r="D615" t="str">
            <v>M/S S.S. Enterprise-Norshingdi</v>
          </cell>
          <cell r="E615" t="str">
            <v>01118</v>
          </cell>
        </row>
        <row r="616">
          <cell r="D616" t="str">
            <v>M/S S.S. Enterprise-Norshingdi</v>
          </cell>
          <cell r="E616" t="str">
            <v>01118</v>
          </cell>
        </row>
        <row r="617">
          <cell r="D617" t="str">
            <v>M/S Monir Auto &amp; Battery House</v>
          </cell>
          <cell r="E617" t="str">
            <v>00001</v>
          </cell>
        </row>
        <row r="618">
          <cell r="D618" t="str">
            <v>M/S Monir Auto &amp; Battery House</v>
          </cell>
          <cell r="E618" t="str">
            <v>00001</v>
          </cell>
        </row>
        <row r="619">
          <cell r="D619" t="str">
            <v>M/S Monir Auto &amp; Battery House</v>
          </cell>
          <cell r="E619" t="str">
            <v>00001</v>
          </cell>
        </row>
        <row r="620">
          <cell r="D620" t="str">
            <v>M/S Supreme Auto (C)</v>
          </cell>
          <cell r="E620" t="str">
            <v>01300</v>
          </cell>
        </row>
        <row r="621">
          <cell r="D621" t="str">
            <v>M/S Supreme Auto (C)</v>
          </cell>
          <cell r="E621" t="str">
            <v>01300</v>
          </cell>
        </row>
        <row r="622">
          <cell r="D622" t="str">
            <v>M/S S.S. Enterprise-Norshingdi</v>
          </cell>
          <cell r="E622" t="str">
            <v>01118</v>
          </cell>
        </row>
        <row r="623">
          <cell r="D623" t="str">
            <v>M/S Al - Mokka Enterprise (C)</v>
          </cell>
          <cell r="E623" t="str">
            <v>01553</v>
          </cell>
        </row>
        <row r="624">
          <cell r="D624" t="str">
            <v>M/S Shoshi Enterprise (C)</v>
          </cell>
          <cell r="E624" t="str">
            <v>01335</v>
          </cell>
        </row>
        <row r="625">
          <cell r="D625" t="str">
            <v>M/S S.B. Energy (C)</v>
          </cell>
          <cell r="E625" t="str">
            <v>01288</v>
          </cell>
        </row>
        <row r="626">
          <cell r="D626" t="str">
            <v>M/S S.S. Enterprise-Norshingdi</v>
          </cell>
          <cell r="E626" t="str">
            <v>01118</v>
          </cell>
        </row>
        <row r="627">
          <cell r="D627" t="str">
            <v>M/S Khan Battery Recycling (C)</v>
          </cell>
          <cell r="E627" t="str">
            <v>01282</v>
          </cell>
        </row>
        <row r="628">
          <cell r="D628" t="str">
            <v>M/S Anas Enterprise (C)</v>
          </cell>
          <cell r="E628" t="str">
            <v>01551</v>
          </cell>
        </row>
        <row r="629">
          <cell r="D629" t="str">
            <v>M/S Ripon Tyre and Battery (C)</v>
          </cell>
          <cell r="E629" t="str">
            <v>01557</v>
          </cell>
        </row>
        <row r="630">
          <cell r="D630" t="str">
            <v>M/S Ripon Tyre and Battery (C)</v>
          </cell>
          <cell r="E630" t="str">
            <v>01557</v>
          </cell>
        </row>
        <row r="631">
          <cell r="D631" t="str">
            <v>M/S Ripon Tyre and Battery (C)</v>
          </cell>
          <cell r="E631" t="str">
            <v>01557</v>
          </cell>
        </row>
        <row r="632">
          <cell r="D632" t="str">
            <v>M/S Khan Battery Recycling (C)</v>
          </cell>
          <cell r="E632" t="str">
            <v>01282</v>
          </cell>
        </row>
        <row r="633">
          <cell r="D633" t="str">
            <v>M/S Mohi Enterprise</v>
          </cell>
          <cell r="E633" t="str">
            <v>01356</v>
          </cell>
        </row>
        <row r="634">
          <cell r="D634" t="str">
            <v>M/S Setu Cycle Mart</v>
          </cell>
          <cell r="E634" t="str">
            <v>00471</v>
          </cell>
        </row>
        <row r="635">
          <cell r="D635" t="str">
            <v>M/S Setu Cycle Mart</v>
          </cell>
          <cell r="E635" t="str">
            <v>00471</v>
          </cell>
        </row>
        <row r="636">
          <cell r="D636" t="str">
            <v>M/S Setu Cycle Mart</v>
          </cell>
          <cell r="E636" t="str">
            <v>00471</v>
          </cell>
        </row>
        <row r="637">
          <cell r="D637" t="str">
            <v>M/S Setu Cycle Mart</v>
          </cell>
          <cell r="E637" t="str">
            <v>00471</v>
          </cell>
        </row>
        <row r="638">
          <cell r="D638" t="str">
            <v>M/S Setu Cycle Mart</v>
          </cell>
          <cell r="E638" t="str">
            <v>00471</v>
          </cell>
        </row>
        <row r="639">
          <cell r="D639" t="str">
            <v>M/S Farhan Auto</v>
          </cell>
          <cell r="E639" t="str">
            <v>00300</v>
          </cell>
        </row>
        <row r="640">
          <cell r="D640" t="str">
            <v>M/S S.K. Enterprise (C)</v>
          </cell>
          <cell r="E640" t="str">
            <v>01326</v>
          </cell>
        </row>
        <row r="641">
          <cell r="D641" t="str">
            <v>M/S S.K. Enterprise (C)</v>
          </cell>
          <cell r="E641" t="str">
            <v>01326</v>
          </cell>
        </row>
        <row r="642">
          <cell r="D642" t="str">
            <v>M/S S.K. Enterprise (C)</v>
          </cell>
          <cell r="E642" t="str">
            <v>01326</v>
          </cell>
        </row>
        <row r="643">
          <cell r="D643" t="str">
            <v>M/S Boalkhali Battery House (C)</v>
          </cell>
          <cell r="E643" t="str">
            <v>01550</v>
          </cell>
        </row>
        <row r="644">
          <cell r="D644" t="str">
            <v>M/S Boalkhali Battery House (C)</v>
          </cell>
          <cell r="E644" t="str">
            <v>01550</v>
          </cell>
        </row>
        <row r="645">
          <cell r="D645" t="str">
            <v>M/S Sangu Battery House</v>
          </cell>
          <cell r="E645" t="str">
            <v>00988</v>
          </cell>
        </row>
        <row r="646">
          <cell r="D646" t="str">
            <v>M/S Sangu Battery House</v>
          </cell>
          <cell r="E646" t="str">
            <v>00988</v>
          </cell>
        </row>
        <row r="647">
          <cell r="D647" t="str">
            <v>M/S Sangu Battery House</v>
          </cell>
          <cell r="E647" t="str">
            <v>00988</v>
          </cell>
        </row>
        <row r="648">
          <cell r="D648" t="str">
            <v>M/S Sangu Battery House</v>
          </cell>
          <cell r="E648" t="str">
            <v>00988</v>
          </cell>
        </row>
        <row r="649">
          <cell r="D649" t="str">
            <v>M/S Boalkhali Battery House (C)</v>
          </cell>
          <cell r="E649" t="str">
            <v>01550</v>
          </cell>
        </row>
        <row r="650">
          <cell r="D650" t="str">
            <v>M/S Tamim Enterprise</v>
          </cell>
          <cell r="E650" t="str">
            <v>01395</v>
          </cell>
        </row>
        <row r="651">
          <cell r="D651" t="str">
            <v>M/S Tamim Enterprise</v>
          </cell>
          <cell r="E651" t="str">
            <v>01395</v>
          </cell>
        </row>
        <row r="652">
          <cell r="D652" t="str">
            <v>M/S Talukder Motors (C)</v>
          </cell>
          <cell r="E652" t="str">
            <v>01471</v>
          </cell>
        </row>
        <row r="653">
          <cell r="D653" t="str">
            <v>M/S Ira Motors</v>
          </cell>
          <cell r="E653" t="str">
            <v>00133</v>
          </cell>
        </row>
        <row r="654">
          <cell r="D654" t="str">
            <v>M/S Doyal Battery (C)</v>
          </cell>
          <cell r="E654" t="str">
            <v>01308</v>
          </cell>
        </row>
        <row r="655">
          <cell r="D655" t="str">
            <v>M/S Doyal Battery (C)</v>
          </cell>
          <cell r="E655" t="str">
            <v>01308</v>
          </cell>
        </row>
        <row r="656">
          <cell r="D656" t="str">
            <v>M/S Doyal Battery</v>
          </cell>
          <cell r="E656" t="str">
            <v>00337</v>
          </cell>
        </row>
        <row r="657">
          <cell r="D657" t="str">
            <v>M/S Doyal Battery</v>
          </cell>
          <cell r="E657" t="str">
            <v>00337</v>
          </cell>
        </row>
        <row r="658">
          <cell r="D658" t="str">
            <v>M/S Doyal Battery</v>
          </cell>
          <cell r="E658" t="str">
            <v>00337</v>
          </cell>
        </row>
        <row r="659">
          <cell r="D659" t="str">
            <v>M/S Bondhu Auto and CNG Workshop</v>
          </cell>
          <cell r="E659" t="str">
            <v>01149</v>
          </cell>
        </row>
        <row r="660">
          <cell r="D660" t="str">
            <v>M/S Bondhu Auto and CNG Workshop</v>
          </cell>
          <cell r="E660" t="str">
            <v>01149</v>
          </cell>
        </row>
        <row r="661">
          <cell r="D661" t="str">
            <v>M/S Bondhu Auto and CNG Workshop</v>
          </cell>
          <cell r="E661" t="str">
            <v>01149</v>
          </cell>
        </row>
        <row r="662">
          <cell r="D662" t="str">
            <v>M/S Minara Traders</v>
          </cell>
          <cell r="E662" t="str">
            <v>01108</v>
          </cell>
        </row>
        <row r="663">
          <cell r="D663" t="str">
            <v>M/S Minara Traders</v>
          </cell>
          <cell r="E663" t="str">
            <v>01108</v>
          </cell>
        </row>
        <row r="664">
          <cell r="D664" t="str">
            <v>M/S Minara Traders</v>
          </cell>
          <cell r="E664" t="str">
            <v>01108</v>
          </cell>
        </row>
        <row r="665">
          <cell r="D665" t="str">
            <v>M/S Rumi Battery House</v>
          </cell>
          <cell r="E665" t="str">
            <v>00387</v>
          </cell>
        </row>
        <row r="666">
          <cell r="D666" t="str">
            <v>M/S Rumi Battery House</v>
          </cell>
          <cell r="E666" t="str">
            <v>00387</v>
          </cell>
        </row>
        <row r="667">
          <cell r="D667" t="str">
            <v>M/S Khokon IPS &amp; Battery Center (C)</v>
          </cell>
          <cell r="E667" t="str">
            <v>01306</v>
          </cell>
        </row>
        <row r="668">
          <cell r="D668" t="str">
            <v>M/S Khokon IPS &amp; Battery Center (C)</v>
          </cell>
          <cell r="E668" t="str">
            <v>01306</v>
          </cell>
        </row>
        <row r="669">
          <cell r="D669" t="str">
            <v>M/S Khokon IPS &amp; Battery Center (C)</v>
          </cell>
          <cell r="E669" t="str">
            <v>01306</v>
          </cell>
        </row>
        <row r="670">
          <cell r="D670" t="str">
            <v>M/S Khokon IPS &amp; Battery Center (C)</v>
          </cell>
          <cell r="E670" t="str">
            <v>01306</v>
          </cell>
        </row>
        <row r="671">
          <cell r="D671" t="str">
            <v>M/S Khokon IPS &amp; Battery Center (C)</v>
          </cell>
          <cell r="E671" t="str">
            <v>01306</v>
          </cell>
        </row>
        <row r="672">
          <cell r="D672" t="str">
            <v>M/S Anas Battery &amp; Auto House</v>
          </cell>
          <cell r="E672" t="str">
            <v>01401</v>
          </cell>
        </row>
        <row r="673">
          <cell r="D673" t="str">
            <v>M/S Anas Battery &amp; Auto House</v>
          </cell>
          <cell r="E673" t="str">
            <v>01401</v>
          </cell>
        </row>
        <row r="674">
          <cell r="D674" t="str">
            <v>M/S Mayer Doya Auto Parts-Feni</v>
          </cell>
          <cell r="E674" t="str">
            <v>00373</v>
          </cell>
        </row>
        <row r="675">
          <cell r="D675" t="str">
            <v>M/S Jony Motors - Faridpur (C)</v>
          </cell>
          <cell r="E675" t="str">
            <v>01534</v>
          </cell>
        </row>
        <row r="676">
          <cell r="D676" t="str">
            <v>M/S Jony Motors - Faridpur (C)</v>
          </cell>
          <cell r="E676" t="str">
            <v>01534</v>
          </cell>
        </row>
        <row r="677">
          <cell r="D677" t="str">
            <v>M/S Mahbub Motors-Patuakhali (C)</v>
          </cell>
          <cell r="E677" t="str">
            <v>01547</v>
          </cell>
        </row>
        <row r="678">
          <cell r="D678" t="str">
            <v>M/S Mahbub Motors-Patuakhali (C)</v>
          </cell>
          <cell r="E678" t="str">
            <v>01547</v>
          </cell>
        </row>
        <row r="679">
          <cell r="D679" t="str">
            <v>M/S Shuvo Enterprise</v>
          </cell>
          <cell r="E679" t="str">
            <v>00622</v>
          </cell>
        </row>
        <row r="680">
          <cell r="D680" t="str">
            <v>M/S Shuvo Enterprise</v>
          </cell>
          <cell r="E680" t="str">
            <v>00622</v>
          </cell>
        </row>
        <row r="681">
          <cell r="D681" t="str">
            <v>M/S Shekh Enterprise - Khulna</v>
          </cell>
          <cell r="E681" t="str">
            <v>01435</v>
          </cell>
        </row>
        <row r="682">
          <cell r="D682" t="str">
            <v>M/S Anamika Auto Rickshow</v>
          </cell>
          <cell r="E682" t="str">
            <v>00496</v>
          </cell>
        </row>
        <row r="683">
          <cell r="D683" t="str">
            <v>M/S Al-Amin Cycle &amp; Auto Parts (C)</v>
          </cell>
          <cell r="E683" t="str">
            <v>01507</v>
          </cell>
        </row>
        <row r="684">
          <cell r="D684" t="str">
            <v>M/S Maa Auto Workshop &amp; Battery Center (C)</v>
          </cell>
          <cell r="E684" t="str">
            <v>01497</v>
          </cell>
        </row>
        <row r="685">
          <cell r="D685" t="str">
            <v>M/S S.S. Enterprise-Norshingdi</v>
          </cell>
          <cell r="E685" t="str">
            <v>01118</v>
          </cell>
        </row>
        <row r="686">
          <cell r="D686" t="str">
            <v>M/S Samir Battery And Tyre</v>
          </cell>
          <cell r="E686" t="str">
            <v>01450</v>
          </cell>
        </row>
        <row r="687">
          <cell r="D687" t="str">
            <v>M/S Samir Battery And Tyre</v>
          </cell>
          <cell r="E687" t="str">
            <v>01450</v>
          </cell>
        </row>
        <row r="688">
          <cell r="D688" t="str">
            <v>M/S Samir Battery And Tyre</v>
          </cell>
          <cell r="E688" t="str">
            <v>01450</v>
          </cell>
        </row>
        <row r="689">
          <cell r="D689" t="str">
            <v>M/S Allahar Dan Battery</v>
          </cell>
          <cell r="E689" t="str">
            <v>01466</v>
          </cell>
        </row>
        <row r="690">
          <cell r="D690" t="str">
            <v>M/S Ma Tyre &amp; Battery  Shop</v>
          </cell>
          <cell r="E690" t="str">
            <v>00088</v>
          </cell>
        </row>
        <row r="691">
          <cell r="D691" t="str">
            <v>M/S S.B. Energy (C)</v>
          </cell>
          <cell r="E691" t="str">
            <v>01288</v>
          </cell>
        </row>
        <row r="692">
          <cell r="D692" t="str">
            <v>M/S S.B. Energy (C)</v>
          </cell>
          <cell r="E692" t="str">
            <v>01288</v>
          </cell>
        </row>
        <row r="693">
          <cell r="D693" t="str">
            <v>M/S Modina Enterprise - Savar</v>
          </cell>
          <cell r="E693" t="str">
            <v>01404</v>
          </cell>
        </row>
        <row r="694">
          <cell r="D694" t="str">
            <v>M/S Modina Enterprise - Savar</v>
          </cell>
          <cell r="E694" t="str">
            <v>01404</v>
          </cell>
        </row>
        <row r="695">
          <cell r="D695" t="str">
            <v>M/S S. K. Battery House (C)</v>
          </cell>
          <cell r="E695" t="str">
            <v>01530</v>
          </cell>
        </row>
        <row r="696">
          <cell r="D696" t="str">
            <v>M/S Hemayetpur Battery House (C)</v>
          </cell>
          <cell r="E696" t="str">
            <v>01478</v>
          </cell>
        </row>
        <row r="697">
          <cell r="D697" t="str">
            <v>M/S Hemayetpur Battery House (C)</v>
          </cell>
          <cell r="E697" t="str">
            <v>01478</v>
          </cell>
        </row>
        <row r="698">
          <cell r="D698" t="str">
            <v>M/S Hemayetpur Battery House (C)</v>
          </cell>
          <cell r="E698" t="str">
            <v>01478</v>
          </cell>
        </row>
        <row r="699">
          <cell r="D699" t="str">
            <v>M/S Adnan Tyre and Battery House</v>
          </cell>
          <cell r="E699" t="str">
            <v>01371</v>
          </cell>
        </row>
        <row r="700">
          <cell r="D700" t="str">
            <v>M/S Ripon Tyre and Battery (C)</v>
          </cell>
          <cell r="E700" t="str">
            <v>01557</v>
          </cell>
        </row>
        <row r="701">
          <cell r="D701" t="str">
            <v>M/S Farhan Auto (C)</v>
          </cell>
          <cell r="E701" t="str">
            <v>01298</v>
          </cell>
        </row>
        <row r="702">
          <cell r="D702" t="str">
            <v>M/S Farhan Auto (C)</v>
          </cell>
          <cell r="E702" t="str">
            <v>01298</v>
          </cell>
        </row>
        <row r="703">
          <cell r="D703" t="str">
            <v>M/S Shah Mojidia Motor Parts</v>
          </cell>
          <cell r="E703" t="str">
            <v>00842</v>
          </cell>
        </row>
        <row r="704">
          <cell r="D704" t="str">
            <v>M/S Shah Mojidia Motor Parts</v>
          </cell>
          <cell r="E704" t="str">
            <v>00842</v>
          </cell>
        </row>
        <row r="705">
          <cell r="D705" t="str">
            <v>M/S Hira Motors-Chokoria</v>
          </cell>
          <cell r="E705" t="str">
            <v>01441</v>
          </cell>
        </row>
        <row r="706">
          <cell r="D706" t="str">
            <v>M/S Mokka Motors-Cumilla (C)</v>
          </cell>
          <cell r="E706" t="str">
            <v>01481</v>
          </cell>
        </row>
        <row r="707">
          <cell r="D707" t="str">
            <v>M/S Sajib Enterprise (C)</v>
          </cell>
          <cell r="E707" t="str">
            <v>01353</v>
          </cell>
        </row>
        <row r="708">
          <cell r="D708" t="str">
            <v>M/S Sajib Enterprise (C)</v>
          </cell>
          <cell r="E708" t="str">
            <v>01353</v>
          </cell>
        </row>
        <row r="709">
          <cell r="D709" t="str">
            <v>M/S Anik Motors &amp; Battery (C)</v>
          </cell>
          <cell r="E709" t="str">
            <v>01444</v>
          </cell>
        </row>
        <row r="710">
          <cell r="D710" t="str">
            <v>M/S Anas Battery &amp; Auto House</v>
          </cell>
          <cell r="E710" t="str">
            <v>01401</v>
          </cell>
        </row>
        <row r="711">
          <cell r="D711" t="str">
            <v>M/S Anas Battery &amp; Auto House</v>
          </cell>
          <cell r="E711" t="str">
            <v>01401</v>
          </cell>
        </row>
        <row r="712">
          <cell r="D712" t="str">
            <v>M/S Lalmai Machineries &amp; Parts</v>
          </cell>
          <cell r="E712" t="str">
            <v>00329</v>
          </cell>
        </row>
        <row r="713">
          <cell r="D713" t="str">
            <v>M/S Lalmai Machineries &amp; Parts</v>
          </cell>
          <cell r="E713" t="str">
            <v>00329</v>
          </cell>
        </row>
        <row r="714">
          <cell r="D714" t="str">
            <v>M/S Rasel Bettary Service</v>
          </cell>
          <cell r="E714" t="str">
            <v>01380</v>
          </cell>
        </row>
        <row r="715">
          <cell r="D715" t="str">
            <v>M/S Rasel Bettary Service</v>
          </cell>
          <cell r="E715" t="str">
            <v>01380</v>
          </cell>
        </row>
        <row r="716">
          <cell r="D716" t="str">
            <v>M/S Rajapur IPS &amp; Battery House</v>
          </cell>
          <cell r="E716" t="str">
            <v>01400</v>
          </cell>
        </row>
        <row r="717">
          <cell r="D717" t="str">
            <v>M/S Doyal Battery (C)</v>
          </cell>
          <cell r="E717" t="str">
            <v>01308</v>
          </cell>
        </row>
        <row r="718">
          <cell r="D718" t="str">
            <v>M/S City Auto</v>
          </cell>
          <cell r="E718" t="str">
            <v>00398</v>
          </cell>
        </row>
        <row r="719">
          <cell r="D719" t="str">
            <v>M/S Bismillah Motors-Hinla</v>
          </cell>
          <cell r="E719" t="str">
            <v>01448</v>
          </cell>
        </row>
        <row r="720">
          <cell r="D720" t="str">
            <v>M/S Sangu Battery House</v>
          </cell>
          <cell r="E720" t="str">
            <v>00988</v>
          </cell>
        </row>
        <row r="721">
          <cell r="D721" t="str">
            <v>M/S Banskhali Enterprise-Joldi (C)</v>
          </cell>
          <cell r="E721" t="str">
            <v>01312</v>
          </cell>
        </row>
        <row r="722">
          <cell r="D722" t="str">
            <v>M/S Boalkhali Battery House (C)</v>
          </cell>
          <cell r="E722" t="str">
            <v>01550</v>
          </cell>
        </row>
        <row r="723">
          <cell r="D723" t="str">
            <v>M/S S.K. Trading Corporation (C)</v>
          </cell>
          <cell r="E723" t="str">
            <v>01523</v>
          </cell>
        </row>
        <row r="724">
          <cell r="D724" t="str">
            <v>M/S Selim Battery House (C)</v>
          </cell>
          <cell r="E724" t="str">
            <v>01569</v>
          </cell>
        </row>
        <row r="725">
          <cell r="D725" t="str">
            <v>M/S Bhai Bhai Auto Center (C)</v>
          </cell>
          <cell r="E725" t="str">
            <v>01563</v>
          </cell>
        </row>
        <row r="726">
          <cell r="D726" t="str">
            <v>M/S Bhai Bhai Auto Center (C)</v>
          </cell>
          <cell r="E726" t="str">
            <v>01563</v>
          </cell>
        </row>
        <row r="727">
          <cell r="D727" t="str">
            <v>M/S Bhai Bhai Auto Center (C)</v>
          </cell>
          <cell r="E727" t="str">
            <v>01563</v>
          </cell>
        </row>
        <row r="728">
          <cell r="D728" t="str">
            <v>M/S Taseen Enterprise</v>
          </cell>
          <cell r="E728" t="str">
            <v>01573</v>
          </cell>
        </row>
        <row r="729">
          <cell r="D729" t="str">
            <v>M/S Taseen Enterprise</v>
          </cell>
          <cell r="E729" t="str">
            <v>01573</v>
          </cell>
        </row>
        <row r="730">
          <cell r="D730" t="str">
            <v>M/S Taseen Enterprise</v>
          </cell>
          <cell r="E730" t="str">
            <v>01573</v>
          </cell>
        </row>
        <row r="731">
          <cell r="D731" t="str">
            <v>M/S Housing Auto Bike (C)</v>
          </cell>
          <cell r="E731" t="str">
            <v>01567</v>
          </cell>
        </row>
        <row r="732">
          <cell r="D732" t="str">
            <v>M/S Anamika Auto Rickshow</v>
          </cell>
          <cell r="E732" t="str">
            <v>00496</v>
          </cell>
        </row>
        <row r="733">
          <cell r="D733" t="str">
            <v>M/S Maa Auto Workshop &amp; Battery Center (C)</v>
          </cell>
          <cell r="E733" t="str">
            <v>01497</v>
          </cell>
        </row>
        <row r="734">
          <cell r="D734" t="str">
            <v>M/S Maa Auto Workshop &amp; Battery Center (C)</v>
          </cell>
          <cell r="E734" t="str">
            <v>01497</v>
          </cell>
        </row>
        <row r="735">
          <cell r="D735" t="str">
            <v>M/S Al-Amin Cycle &amp; Auto Parts (C)</v>
          </cell>
          <cell r="E735" t="str">
            <v>01507</v>
          </cell>
        </row>
        <row r="736">
          <cell r="D736" t="str">
            <v>M/S Banskhali Enterprise-Joldi (C)</v>
          </cell>
          <cell r="E736" t="str">
            <v>01312</v>
          </cell>
        </row>
        <row r="737">
          <cell r="D737" t="str">
            <v>M/S Banskhali Enterprise-Joldi (C)</v>
          </cell>
          <cell r="E737" t="str">
            <v>01312</v>
          </cell>
        </row>
        <row r="738">
          <cell r="D738" t="str">
            <v>M/S Banskhali Enterprise-Joldi (C)</v>
          </cell>
          <cell r="E738" t="str">
            <v>01312</v>
          </cell>
        </row>
        <row r="739">
          <cell r="D739" t="str">
            <v>M/S Banskhali Enterprise-Joldi (C)</v>
          </cell>
          <cell r="E739" t="str">
            <v>01312</v>
          </cell>
        </row>
        <row r="740">
          <cell r="D740" t="str">
            <v>M/S Monir Auto &amp; Battery House</v>
          </cell>
          <cell r="E740" t="str">
            <v>00001</v>
          </cell>
        </row>
        <row r="741">
          <cell r="D741" t="str">
            <v>M/S Ukhiya Motors</v>
          </cell>
          <cell r="E741" t="str">
            <v>01572</v>
          </cell>
        </row>
        <row r="742">
          <cell r="D742" t="str">
            <v>M/S Ukhiya Motors</v>
          </cell>
          <cell r="E742" t="str">
            <v>01572</v>
          </cell>
        </row>
        <row r="743">
          <cell r="D743" t="str">
            <v>M/S Ukhiya Motors</v>
          </cell>
          <cell r="E743" t="str">
            <v>01572</v>
          </cell>
        </row>
        <row r="744">
          <cell r="D744" t="str">
            <v>M/S Ukhiya Motors</v>
          </cell>
          <cell r="E744" t="str">
            <v>01572</v>
          </cell>
        </row>
        <row r="745">
          <cell r="D745" t="str">
            <v>M/S Ukhiya Motors</v>
          </cell>
          <cell r="E745" t="str">
            <v>01572</v>
          </cell>
        </row>
        <row r="746">
          <cell r="D746" t="str">
            <v>M/S Ukhiya Motors</v>
          </cell>
          <cell r="E746" t="str">
            <v>01572</v>
          </cell>
        </row>
        <row r="747">
          <cell r="D747" t="str">
            <v>M/S Ukhiya Motors</v>
          </cell>
          <cell r="E747" t="str">
            <v>01572</v>
          </cell>
        </row>
        <row r="748">
          <cell r="D748" t="str">
            <v>M/S S. K. Battery House (C)</v>
          </cell>
          <cell r="E748" t="str">
            <v>01530</v>
          </cell>
        </row>
        <row r="749">
          <cell r="D749" t="str">
            <v>M/S S. K. Battery House (C)</v>
          </cell>
          <cell r="E749" t="str">
            <v>01530</v>
          </cell>
        </row>
        <row r="750">
          <cell r="D750" t="str">
            <v>M/S Khan Battery Recycling (C)</v>
          </cell>
          <cell r="E750" t="str">
            <v>01282</v>
          </cell>
        </row>
        <row r="751">
          <cell r="D751" t="str">
            <v>M/S Khan Battery Recycling (C)</v>
          </cell>
          <cell r="E751" t="str">
            <v>01282</v>
          </cell>
        </row>
        <row r="752">
          <cell r="D752" t="str">
            <v>M/S Ripon Tyre and Battery (C)</v>
          </cell>
          <cell r="E752" t="str">
            <v>01557</v>
          </cell>
        </row>
        <row r="753">
          <cell r="D753" t="str">
            <v>M/S Ripon Tyre and Battery (C)</v>
          </cell>
          <cell r="E753" t="str">
            <v>01557</v>
          </cell>
        </row>
        <row r="754">
          <cell r="D754" t="str">
            <v>M/S Ripon Tyre and Battery (C)</v>
          </cell>
          <cell r="E754" t="str">
            <v>01557</v>
          </cell>
        </row>
        <row r="755">
          <cell r="D755" t="str">
            <v>M/S Ripon Tyre and Battery (C)</v>
          </cell>
          <cell r="E755" t="str">
            <v>01557</v>
          </cell>
        </row>
        <row r="756">
          <cell r="D756" t="str">
            <v>M/S Anas Enterprise (C)</v>
          </cell>
          <cell r="E756" t="str">
            <v>01551</v>
          </cell>
        </row>
        <row r="757">
          <cell r="D757" t="str">
            <v>M/S Mahtab Engineering Workshop</v>
          </cell>
          <cell r="E757" t="str">
            <v>01429</v>
          </cell>
        </row>
        <row r="758">
          <cell r="D758" t="str">
            <v>M/S Mahtab Engineering Workshop</v>
          </cell>
          <cell r="E758" t="str">
            <v>01429</v>
          </cell>
        </row>
        <row r="759">
          <cell r="D759" t="str">
            <v>M/S Al - Mokka Enterprise (C)</v>
          </cell>
          <cell r="E759" t="str">
            <v>01553</v>
          </cell>
        </row>
        <row r="760">
          <cell r="D760" t="str">
            <v>M/S Al - Mokka Enterprise (C)</v>
          </cell>
          <cell r="E760" t="str">
            <v>01553</v>
          </cell>
        </row>
        <row r="761">
          <cell r="D761" t="str">
            <v>M/S Al - Mokka Enterprise (C)</v>
          </cell>
          <cell r="E761" t="str">
            <v>01553</v>
          </cell>
        </row>
        <row r="762">
          <cell r="D762" t="str">
            <v>M/S Al - Mokka Enterprise (C)</v>
          </cell>
          <cell r="E762" t="str">
            <v>01553</v>
          </cell>
        </row>
        <row r="763">
          <cell r="D763" t="str">
            <v>M/S Talukder Motors (C)</v>
          </cell>
          <cell r="E763" t="str">
            <v>01471</v>
          </cell>
        </row>
        <row r="764">
          <cell r="D764" t="str">
            <v>M/S S.S. Enterprise-Norshingdi (C)</v>
          </cell>
          <cell r="E764" t="str">
            <v>01331</v>
          </cell>
        </row>
        <row r="765">
          <cell r="D765" t="str">
            <v>M/S S.S. Enterprise-Norshingdi (C)</v>
          </cell>
          <cell r="E765" t="str">
            <v>01331</v>
          </cell>
        </row>
        <row r="766">
          <cell r="D766" t="str">
            <v>M/S S.S. Enterprise-Norshingdi (C)</v>
          </cell>
          <cell r="E766" t="str">
            <v>01331</v>
          </cell>
        </row>
        <row r="767">
          <cell r="D767" t="str">
            <v>M/S Sajib Enterprise (C)</v>
          </cell>
          <cell r="E767" t="str">
            <v>01353</v>
          </cell>
        </row>
        <row r="768">
          <cell r="D768" t="str">
            <v>M/S Anas Battery &amp; Auto House</v>
          </cell>
          <cell r="E768" t="str">
            <v>01401</v>
          </cell>
        </row>
        <row r="769">
          <cell r="D769" t="str">
            <v>M/S Rajapur IPS &amp; Battery House</v>
          </cell>
          <cell r="E769" t="str">
            <v>01400</v>
          </cell>
        </row>
        <row r="770">
          <cell r="D770" t="str">
            <v>M/S S.K. Enterprise (C)</v>
          </cell>
          <cell r="E770" t="str">
            <v>01326</v>
          </cell>
        </row>
        <row r="771">
          <cell r="D771" t="str">
            <v>M/S S.K. Enterprise (C)</v>
          </cell>
          <cell r="E771" t="str">
            <v>01326</v>
          </cell>
        </row>
        <row r="772">
          <cell r="D772" t="str">
            <v>M/S Sangu Battery House</v>
          </cell>
          <cell r="E772" t="str">
            <v>00988</v>
          </cell>
        </row>
        <row r="773">
          <cell r="D773" t="str">
            <v>M/S Sangu Battery House</v>
          </cell>
          <cell r="E773" t="str">
            <v>00988</v>
          </cell>
        </row>
        <row r="774">
          <cell r="D774" t="str">
            <v>M/S Banskhali Enterprise-Joldi (C)</v>
          </cell>
          <cell r="E774" t="str">
            <v>01312</v>
          </cell>
        </row>
        <row r="775">
          <cell r="D775" t="str">
            <v>M/S Boalkhali Battery House (C)</v>
          </cell>
          <cell r="E775" t="str">
            <v>01550</v>
          </cell>
        </row>
        <row r="776">
          <cell r="D776" t="str">
            <v>M/S Boalkhali Battery House (C)</v>
          </cell>
          <cell r="E776" t="str">
            <v>01550</v>
          </cell>
        </row>
        <row r="777">
          <cell r="D777" t="str">
            <v>M/S Boalkhali Battery House (C)</v>
          </cell>
          <cell r="E777" t="str">
            <v>01550</v>
          </cell>
        </row>
        <row r="778">
          <cell r="D778" t="str">
            <v>M/S Farhan Auto (C)</v>
          </cell>
          <cell r="E778" t="str">
            <v>01298</v>
          </cell>
        </row>
        <row r="779">
          <cell r="D779" t="str">
            <v>M/S Farhan Auto (C)</v>
          </cell>
          <cell r="E779" t="str">
            <v>01298</v>
          </cell>
        </row>
        <row r="780">
          <cell r="D780" t="str">
            <v>M/S Supreme Auto (C)</v>
          </cell>
          <cell r="E780" t="str">
            <v>01300</v>
          </cell>
        </row>
        <row r="781">
          <cell r="D781" t="str">
            <v>M/S Rumi Battery House</v>
          </cell>
          <cell r="E781" t="str">
            <v>00387</v>
          </cell>
        </row>
        <row r="782">
          <cell r="D782" t="str">
            <v>M/S Rumi Battery House</v>
          </cell>
          <cell r="E782" t="str">
            <v>00387</v>
          </cell>
        </row>
        <row r="783">
          <cell r="D783" t="str">
            <v>M/S Rumi Battery House</v>
          </cell>
          <cell r="E783" t="str">
            <v>00387</v>
          </cell>
        </row>
        <row r="784">
          <cell r="D784" t="str">
            <v>M/S Rumi Battery House</v>
          </cell>
          <cell r="E784" t="str">
            <v>00387</v>
          </cell>
        </row>
        <row r="785">
          <cell r="D785" t="str">
            <v>M/S City Auto</v>
          </cell>
          <cell r="E785" t="str">
            <v>00398</v>
          </cell>
        </row>
        <row r="786">
          <cell r="D786" t="str">
            <v>M/S Setu Cycle Mart</v>
          </cell>
          <cell r="E786" t="str">
            <v>00471</v>
          </cell>
        </row>
        <row r="787">
          <cell r="D787" t="str">
            <v>M/S Setu Cycle Mart</v>
          </cell>
          <cell r="E787" t="str">
            <v>00471</v>
          </cell>
        </row>
        <row r="788">
          <cell r="D788" t="str">
            <v>M/S Setu Cycle Mart</v>
          </cell>
          <cell r="E788" t="str">
            <v>00471</v>
          </cell>
        </row>
        <row r="789">
          <cell r="D789" t="str">
            <v>M/S Hira Motors-Chokoria</v>
          </cell>
          <cell r="E789" t="str">
            <v>01441</v>
          </cell>
        </row>
        <row r="790">
          <cell r="D790" t="str">
            <v>M/S Tamim Enterprise</v>
          </cell>
          <cell r="E790" t="str">
            <v>01395</v>
          </cell>
        </row>
        <row r="791">
          <cell r="D791" t="str">
            <v>M/S Molla Battery House (C)</v>
          </cell>
          <cell r="E791" t="str">
            <v>01428</v>
          </cell>
        </row>
        <row r="792">
          <cell r="D792" t="str">
            <v>M/S Selim Battery House (C)</v>
          </cell>
          <cell r="E792" t="str">
            <v>01569</v>
          </cell>
        </row>
        <row r="793">
          <cell r="D793" t="str">
            <v>M/S Al - Barakah Battery &amp; Auto Parts (C)</v>
          </cell>
          <cell r="E793" t="str">
            <v>01562</v>
          </cell>
        </row>
        <row r="794">
          <cell r="D794" t="str">
            <v>M/S Al - Barakah Battery &amp; Auto Parts (C)</v>
          </cell>
          <cell r="E794" t="str">
            <v>01562</v>
          </cell>
        </row>
        <row r="795">
          <cell r="D795" t="str">
            <v>M/S Islam Auto House</v>
          </cell>
          <cell r="E795" t="str">
            <v>01391</v>
          </cell>
        </row>
        <row r="796">
          <cell r="D796" t="str">
            <v>M/S Shamim Battery &amp; Tyre House (C)</v>
          </cell>
          <cell r="E796" t="str">
            <v>01540</v>
          </cell>
        </row>
        <row r="797">
          <cell r="D797" t="str">
            <v>M/S Jamuna Battery House (C)</v>
          </cell>
          <cell r="E797" t="str">
            <v>01558</v>
          </cell>
        </row>
        <row r="798">
          <cell r="D798" t="str">
            <v>M/S Housing Auto Bike (C)</v>
          </cell>
          <cell r="E798" t="str">
            <v>01567</v>
          </cell>
        </row>
        <row r="799">
          <cell r="D799" t="str">
            <v>M/S Souro Power Electric</v>
          </cell>
          <cell r="E799" t="str">
            <v>01285</v>
          </cell>
        </row>
        <row r="800">
          <cell r="D800" t="str">
            <v>M/S Souro Power Electric (C)</v>
          </cell>
          <cell r="E800" t="str">
            <v>01455</v>
          </cell>
        </row>
        <row r="801">
          <cell r="D801" t="str">
            <v>M/S Salman Auto and Battery (C)</v>
          </cell>
          <cell r="E801" t="str">
            <v>01535</v>
          </cell>
        </row>
        <row r="802">
          <cell r="D802" t="str">
            <v>M/S S.S. Enterprise-Norshingdi (C)</v>
          </cell>
          <cell r="E802" t="str">
            <v>01331</v>
          </cell>
        </row>
        <row r="803">
          <cell r="D803" t="str">
            <v>M/S S.S. Enterprise-Norshingdi (C)</v>
          </cell>
          <cell r="E803" t="str">
            <v>01331</v>
          </cell>
        </row>
        <row r="804">
          <cell r="D804" t="str">
            <v>M/S S.S. Enterprise-Norshingdi (C)</v>
          </cell>
          <cell r="E804" t="str">
            <v>01331</v>
          </cell>
        </row>
        <row r="805">
          <cell r="D805" t="str">
            <v>M/S S.S. Enterprise-Norshingdi (C)</v>
          </cell>
          <cell r="E805" t="str">
            <v>01331</v>
          </cell>
        </row>
        <row r="806">
          <cell r="D806" t="str">
            <v>M/S Rumi Battery House</v>
          </cell>
          <cell r="E806" t="str">
            <v>00387</v>
          </cell>
        </row>
        <row r="807">
          <cell r="D807" t="str">
            <v>M/S Rumi Battery House</v>
          </cell>
          <cell r="E807" t="str">
            <v>00387</v>
          </cell>
        </row>
        <row r="808">
          <cell r="D808" t="str">
            <v>M/S Rumi Battery House</v>
          </cell>
          <cell r="E808" t="str">
            <v>00387</v>
          </cell>
        </row>
        <row r="809">
          <cell r="D809" t="str">
            <v>M/S Anas Enterprise (C)</v>
          </cell>
          <cell r="E809" t="str">
            <v>01551</v>
          </cell>
        </row>
        <row r="810">
          <cell r="D810" t="str">
            <v>M/S Anas Enterprise (C)</v>
          </cell>
          <cell r="E810" t="str">
            <v>01551</v>
          </cell>
        </row>
        <row r="811">
          <cell r="D811" t="str">
            <v>M/S New Dhaka Motors and Battery (C)</v>
          </cell>
          <cell r="E811" t="str">
            <v>01554</v>
          </cell>
        </row>
        <row r="812">
          <cell r="D812" t="str">
            <v>M/S New Dhaka Motors and Battery (C)</v>
          </cell>
          <cell r="E812" t="str">
            <v>01554</v>
          </cell>
        </row>
        <row r="813">
          <cell r="D813" t="str">
            <v>M/S Sangu Battery House</v>
          </cell>
          <cell r="E813" t="str">
            <v>00988</v>
          </cell>
        </row>
        <row r="814">
          <cell r="D814" t="str">
            <v>M/S Sangu Battery House</v>
          </cell>
          <cell r="E814" t="str">
            <v>00988</v>
          </cell>
        </row>
        <row r="815">
          <cell r="D815" t="str">
            <v>M/S Sangu Battery House</v>
          </cell>
          <cell r="E815" t="str">
            <v>00988</v>
          </cell>
        </row>
        <row r="816">
          <cell r="D816" t="str">
            <v>M/S Boalkhali Battery House (C)</v>
          </cell>
          <cell r="E816" t="str">
            <v>01550</v>
          </cell>
        </row>
        <row r="817">
          <cell r="D817" t="str">
            <v>M/S Boalkhali Battery House (C)</v>
          </cell>
          <cell r="E817" t="str">
            <v>01550</v>
          </cell>
        </row>
        <row r="818">
          <cell r="D818" t="str">
            <v>M/S Shahjalal Traders</v>
          </cell>
          <cell r="E818" t="str">
            <v>01362</v>
          </cell>
        </row>
        <row r="819">
          <cell r="D819" t="str">
            <v>M/S Shahjalal Traders</v>
          </cell>
          <cell r="E819" t="str">
            <v>01362</v>
          </cell>
        </row>
        <row r="820">
          <cell r="D820" t="str">
            <v>M/S Bondhu Auto and CNG Workshop</v>
          </cell>
          <cell r="E820" t="str">
            <v>01149</v>
          </cell>
        </row>
        <row r="821">
          <cell r="D821" t="str">
            <v>M/S Minara Traders</v>
          </cell>
          <cell r="E821" t="str">
            <v>01108</v>
          </cell>
        </row>
        <row r="822">
          <cell r="D822" t="str">
            <v>M/S City Auto</v>
          </cell>
          <cell r="E822" t="str">
            <v>00398</v>
          </cell>
        </row>
        <row r="823">
          <cell r="D823" t="str">
            <v>M/S City Auto</v>
          </cell>
          <cell r="E823" t="str">
            <v>00398</v>
          </cell>
        </row>
        <row r="824">
          <cell r="D824" t="str">
            <v>M/S Farhan Auto (C)</v>
          </cell>
          <cell r="E824" t="str">
            <v>01298</v>
          </cell>
        </row>
        <row r="825">
          <cell r="D825" t="str">
            <v>M/S Farhan Auto (C)</v>
          </cell>
          <cell r="E825" t="str">
            <v>01298</v>
          </cell>
        </row>
        <row r="826">
          <cell r="D826" t="str">
            <v>M/S Farhan Auto (C)</v>
          </cell>
          <cell r="E826" t="str">
            <v>01298</v>
          </cell>
        </row>
        <row r="827">
          <cell r="D827" t="str">
            <v>M/S Farhan Auto (C)</v>
          </cell>
          <cell r="E827" t="str">
            <v>01298</v>
          </cell>
        </row>
        <row r="828">
          <cell r="D828" t="str">
            <v>M/S Setu Cycle Mart</v>
          </cell>
          <cell r="E828" t="str">
            <v>00471</v>
          </cell>
        </row>
        <row r="829">
          <cell r="D829" t="str">
            <v>M/S Setu Cycle Mart</v>
          </cell>
          <cell r="E829" t="str">
            <v>00471</v>
          </cell>
        </row>
        <row r="830">
          <cell r="D830" t="str">
            <v>M/S Setu Cycle Mart</v>
          </cell>
          <cell r="E830" t="str">
            <v>00471</v>
          </cell>
        </row>
        <row r="831">
          <cell r="D831" t="str">
            <v>M/S Shah Mojidia Motor Parts</v>
          </cell>
          <cell r="E831" t="str">
            <v>00842</v>
          </cell>
        </row>
        <row r="832">
          <cell r="D832" t="str">
            <v>M/S Bismillah Motors-Hinla</v>
          </cell>
          <cell r="E832" t="str">
            <v>01448</v>
          </cell>
        </row>
        <row r="833">
          <cell r="D833" t="str">
            <v>M/S Bismillah Motors-Hinla</v>
          </cell>
          <cell r="E833" t="str">
            <v>01448</v>
          </cell>
        </row>
        <row r="834">
          <cell r="D834" t="str">
            <v>M/S Hafiz Battery House</v>
          </cell>
          <cell r="E834" t="str">
            <v>01368</v>
          </cell>
        </row>
        <row r="835">
          <cell r="D835" t="str">
            <v>M/S G. S Motors and Battery</v>
          </cell>
          <cell r="E835" t="str">
            <v>01420</v>
          </cell>
        </row>
        <row r="836">
          <cell r="D836" t="str">
            <v>M/S Snigdha Battery</v>
          </cell>
          <cell r="E836" t="str">
            <v>00134</v>
          </cell>
        </row>
        <row r="837">
          <cell r="D837" t="str">
            <v>M/S Banskhali Enterprise-Joldi (C)</v>
          </cell>
          <cell r="E837" t="str">
            <v>01312</v>
          </cell>
        </row>
        <row r="838">
          <cell r="D838" t="str">
            <v>M/S Shamim Battery &amp; Tyre House (C)</v>
          </cell>
          <cell r="E838" t="str">
            <v>01540</v>
          </cell>
        </row>
        <row r="839">
          <cell r="D839" t="str">
            <v>M/S Sadia Auto Parts (C)</v>
          </cell>
          <cell r="E839" t="str">
            <v>01498</v>
          </cell>
        </row>
        <row r="840">
          <cell r="D840" t="str">
            <v>M/S Takia Battery House (C)</v>
          </cell>
          <cell r="E840" t="str">
            <v>01527</v>
          </cell>
        </row>
        <row r="841">
          <cell r="D841" t="str">
            <v>M/S M R Enterprise- Setabganj</v>
          </cell>
          <cell r="E841" t="str">
            <v>01564</v>
          </cell>
        </row>
        <row r="842">
          <cell r="D842" t="str">
            <v>M/S Sajib Enterprise (C)</v>
          </cell>
          <cell r="E842" t="str">
            <v>01353</v>
          </cell>
        </row>
        <row r="843">
          <cell r="D843" t="str">
            <v>M/S S.K. Enterprise (C)</v>
          </cell>
          <cell r="E843" t="str">
            <v>01326</v>
          </cell>
        </row>
        <row r="844">
          <cell r="D844" t="str">
            <v>M/S S.K. Enterprise (C)</v>
          </cell>
          <cell r="E844" t="str">
            <v>01326</v>
          </cell>
        </row>
        <row r="845">
          <cell r="D845" t="str">
            <v>M/S S.K. Enterprise (C)</v>
          </cell>
          <cell r="E845" t="str">
            <v>01326</v>
          </cell>
        </row>
        <row r="846">
          <cell r="D846" t="str">
            <v>M/S Anas Battery &amp; Auto House</v>
          </cell>
          <cell r="E846" t="str">
            <v>01401</v>
          </cell>
        </row>
        <row r="847">
          <cell r="D847" t="str">
            <v>M/S Anas Battery &amp; Auto House</v>
          </cell>
          <cell r="E847" t="str">
            <v>01401</v>
          </cell>
        </row>
        <row r="848">
          <cell r="D848" t="str">
            <v>M/S Anas Battery &amp; Auto House</v>
          </cell>
          <cell r="E848" t="str">
            <v>01401</v>
          </cell>
        </row>
        <row r="849">
          <cell r="D849" t="str">
            <v>M/S Anas Battery &amp; Auto House</v>
          </cell>
          <cell r="E849" t="str">
            <v>01401</v>
          </cell>
        </row>
        <row r="850">
          <cell r="D850" t="str">
            <v>M/S S.S. Enterprise-Norshingdi (C)</v>
          </cell>
          <cell r="E850" t="str">
            <v>01331</v>
          </cell>
        </row>
        <row r="851">
          <cell r="D851" t="str">
            <v>M/S S.S. Enterprise-Norshingdi (C)</v>
          </cell>
          <cell r="E851" t="str">
            <v>01331</v>
          </cell>
        </row>
        <row r="852">
          <cell r="D852" t="str">
            <v>M/S S.S. Enterprise-Norshingdi (C)</v>
          </cell>
          <cell r="E852" t="str">
            <v>01331</v>
          </cell>
        </row>
        <row r="853">
          <cell r="D853" t="str">
            <v>M/S S.S. Enterprise-Norshingdi</v>
          </cell>
          <cell r="E853" t="str">
            <v>01118</v>
          </cell>
        </row>
        <row r="854">
          <cell r="D854" t="str">
            <v>M/S Samir Battery And Tyre</v>
          </cell>
          <cell r="E854" t="str">
            <v>01450</v>
          </cell>
        </row>
        <row r="855">
          <cell r="D855" t="str">
            <v>M/S Samir Battery And Tyre</v>
          </cell>
          <cell r="E855" t="str">
            <v>01450</v>
          </cell>
        </row>
        <row r="856">
          <cell r="D856" t="str">
            <v>M/S Samir Battery And Tyre</v>
          </cell>
          <cell r="E856" t="str">
            <v>01450</v>
          </cell>
        </row>
        <row r="857">
          <cell r="D857" t="str">
            <v>M/S Al - Mokka Enterprise (C)</v>
          </cell>
          <cell r="E857" t="str">
            <v>01553</v>
          </cell>
        </row>
        <row r="858">
          <cell r="D858" t="str">
            <v>M/S Al - Mokka Enterprise (C)</v>
          </cell>
          <cell r="E858" t="str">
            <v>01553</v>
          </cell>
        </row>
        <row r="859">
          <cell r="D859" t="str">
            <v>M/S New Dhaka Motors and Battery (C)</v>
          </cell>
          <cell r="E859" t="str">
            <v>01554</v>
          </cell>
        </row>
        <row r="860">
          <cell r="D860" t="str">
            <v>M/S New Dhaka Motors and Battery (C)</v>
          </cell>
          <cell r="E860" t="str">
            <v>01554</v>
          </cell>
        </row>
        <row r="861">
          <cell r="D861" t="str">
            <v>M/S Hemayetpur Battery House (C)</v>
          </cell>
          <cell r="E861" t="str">
            <v>01478</v>
          </cell>
        </row>
        <row r="862">
          <cell r="D862" t="str">
            <v>M/S Hemayetpur Battery House (C)</v>
          </cell>
          <cell r="E862" t="str">
            <v>01478</v>
          </cell>
        </row>
        <row r="863">
          <cell r="D863" t="str">
            <v>M/S Monir Auto &amp; Battery House</v>
          </cell>
          <cell r="E863" t="str">
            <v>00001</v>
          </cell>
        </row>
        <row r="864">
          <cell r="D864" t="str">
            <v>M/S Monir Auto &amp; Battery House</v>
          </cell>
          <cell r="E864" t="str">
            <v>00001</v>
          </cell>
        </row>
        <row r="865">
          <cell r="D865" t="str">
            <v>M/S Polash Battery and Auto Parts</v>
          </cell>
          <cell r="E865" t="str">
            <v>01244</v>
          </cell>
        </row>
        <row r="866">
          <cell r="D866" t="str">
            <v>M/S Polash Battery and Auto Parts</v>
          </cell>
          <cell r="E866" t="str">
            <v>01244</v>
          </cell>
        </row>
        <row r="867">
          <cell r="D867" t="str">
            <v>Mr. Nanindra Chandra Das</v>
          </cell>
          <cell r="E867" t="str">
            <v>01151</v>
          </cell>
        </row>
        <row r="868">
          <cell r="D868" t="str">
            <v>M/S S.K. Enterprise (C)</v>
          </cell>
          <cell r="E868" t="str">
            <v>01326</v>
          </cell>
        </row>
        <row r="869">
          <cell r="D869" t="str">
            <v>M/S S.K. Enterprise (C)</v>
          </cell>
          <cell r="E869" t="str">
            <v>01326</v>
          </cell>
        </row>
        <row r="870">
          <cell r="D870" t="str">
            <v>M/S S.K. Enterprise (C)</v>
          </cell>
          <cell r="E870" t="str">
            <v>01326</v>
          </cell>
        </row>
        <row r="871">
          <cell r="D871" t="str">
            <v>M/S Sangu Battery House</v>
          </cell>
          <cell r="E871" t="str">
            <v>00988</v>
          </cell>
        </row>
        <row r="872">
          <cell r="D872" t="str">
            <v>M/S Sadia Enterprise</v>
          </cell>
          <cell r="E872" t="str">
            <v>01490</v>
          </cell>
        </row>
        <row r="873">
          <cell r="D873" t="str">
            <v>M/S S.S. Enterprise-Norshingdi (C)</v>
          </cell>
          <cell r="E873" t="str">
            <v>01331</v>
          </cell>
        </row>
        <row r="874">
          <cell r="D874" t="str">
            <v>M/S S.S. Enterprise-Norshingdi (C)</v>
          </cell>
          <cell r="E874" t="str">
            <v>01331</v>
          </cell>
        </row>
        <row r="875">
          <cell r="D875" t="str">
            <v>M/S S.S. Enterprise-Norshingdi (C)</v>
          </cell>
          <cell r="E875" t="str">
            <v>01331</v>
          </cell>
        </row>
        <row r="876">
          <cell r="D876" t="str">
            <v>M/S Sajib Enterprise (C)</v>
          </cell>
          <cell r="E876" t="str">
            <v>01353</v>
          </cell>
        </row>
        <row r="877">
          <cell r="D877" t="str">
            <v>M/S Sajib Enterprise (C)</v>
          </cell>
          <cell r="E877" t="str">
            <v>01353</v>
          </cell>
        </row>
        <row r="878">
          <cell r="D878" t="str">
            <v>M/S Mayer Doya Auto Parts-Laksam</v>
          </cell>
          <cell r="E878" t="str">
            <v>00325</v>
          </cell>
        </row>
        <row r="879">
          <cell r="D879" t="str">
            <v>M/S Mokka Motors-Cumilla (C)</v>
          </cell>
          <cell r="E879" t="str">
            <v>01481</v>
          </cell>
        </row>
        <row r="880">
          <cell r="D880" t="str">
            <v>M/S Anas Battery &amp; Auto House</v>
          </cell>
          <cell r="E880" t="str">
            <v>01401</v>
          </cell>
        </row>
        <row r="881">
          <cell r="D881" t="str">
            <v>M/S Anik Motors &amp; Battery (C)</v>
          </cell>
          <cell r="E881" t="str">
            <v>01444</v>
          </cell>
        </row>
        <row r="882">
          <cell r="D882" t="str">
            <v>M/S Anik Motors &amp; Battery (C)</v>
          </cell>
          <cell r="E882" t="str">
            <v>01444</v>
          </cell>
        </row>
        <row r="883">
          <cell r="D883" t="str">
            <v>M/S Anik Motors &amp; Battery (C)</v>
          </cell>
          <cell r="E883" t="str">
            <v>01444</v>
          </cell>
        </row>
        <row r="884">
          <cell r="D884" t="str">
            <v>M/S Mahbub Motors-Patuakhali (C)</v>
          </cell>
          <cell r="E884" t="str">
            <v>01547</v>
          </cell>
        </row>
        <row r="885">
          <cell r="D885" t="str">
            <v>M/S Rajdhani Motors</v>
          </cell>
          <cell r="E885" t="str">
            <v>01463</v>
          </cell>
        </row>
        <row r="886">
          <cell r="D886" t="str">
            <v>M/S Shuvo Enterprise</v>
          </cell>
          <cell r="E886" t="str">
            <v>00622</v>
          </cell>
        </row>
        <row r="887">
          <cell r="D887" t="str">
            <v>M/S Shuvo Enterprise</v>
          </cell>
          <cell r="E887" t="str">
            <v>00622</v>
          </cell>
        </row>
        <row r="888">
          <cell r="D888" t="str">
            <v>M/S Supreme Auto (C)</v>
          </cell>
          <cell r="E888" t="str">
            <v>01300</v>
          </cell>
        </row>
        <row r="889">
          <cell r="D889" t="str">
            <v>M/S Supreme Auto (C)</v>
          </cell>
          <cell r="E889" t="str">
            <v>01300</v>
          </cell>
        </row>
        <row r="890">
          <cell r="D890" t="str">
            <v>M/S Setu Cycle Mart</v>
          </cell>
          <cell r="E890" t="str">
            <v>00471</v>
          </cell>
        </row>
        <row r="891">
          <cell r="D891" t="str">
            <v>M/S Setu Cycle Mart</v>
          </cell>
          <cell r="E891" t="str">
            <v>00471</v>
          </cell>
        </row>
        <row r="892">
          <cell r="D892" t="str">
            <v>M/S Setu Cycle Mart</v>
          </cell>
          <cell r="E892" t="str">
            <v>00471</v>
          </cell>
        </row>
        <row r="893">
          <cell r="D893" t="str">
            <v>M/S Setu Cycle Mart</v>
          </cell>
          <cell r="E893" t="str">
            <v>00471</v>
          </cell>
        </row>
        <row r="894">
          <cell r="D894" t="str">
            <v>M/S Setu Cycle Mart</v>
          </cell>
          <cell r="E894" t="str">
            <v>00471</v>
          </cell>
        </row>
        <row r="895">
          <cell r="D895" t="str">
            <v>M/S Setu Cycle Mart</v>
          </cell>
          <cell r="E895" t="str">
            <v>00471</v>
          </cell>
        </row>
        <row r="896">
          <cell r="D896" t="str">
            <v>M/S Bismillah Motors-Hinla</v>
          </cell>
          <cell r="E896" t="str">
            <v>01448</v>
          </cell>
        </row>
        <row r="897">
          <cell r="D897" t="str">
            <v>M/S Shah Mojidia Motor Parts</v>
          </cell>
          <cell r="E897" t="str">
            <v>00842</v>
          </cell>
        </row>
        <row r="898">
          <cell r="D898" t="str">
            <v>M/S Shah Mojidia Motor Parts</v>
          </cell>
          <cell r="E898" t="str">
            <v>00842</v>
          </cell>
        </row>
        <row r="899">
          <cell r="D899" t="str">
            <v>M/S Kalam Enterprise</v>
          </cell>
          <cell r="E899" t="str">
            <v>01341</v>
          </cell>
        </row>
        <row r="900">
          <cell r="D900" t="str">
            <v>M/S Kalam Enterprise</v>
          </cell>
          <cell r="E900" t="str">
            <v>01341</v>
          </cell>
        </row>
        <row r="901">
          <cell r="D901" t="str">
            <v>M/S S.M. Enterprise- Sunamgonj</v>
          </cell>
          <cell r="E901" t="str">
            <v>00390</v>
          </cell>
        </row>
        <row r="902">
          <cell r="D902" t="str">
            <v>M/S City Auto</v>
          </cell>
          <cell r="E902" t="str">
            <v>00398</v>
          </cell>
        </row>
        <row r="903">
          <cell r="D903" t="str">
            <v>M/S City Auto</v>
          </cell>
          <cell r="E903" t="str">
            <v>00398</v>
          </cell>
        </row>
        <row r="904">
          <cell r="D904" t="str">
            <v>M/S Jogotbondhu Battery &amp; Eng. Workshop</v>
          </cell>
          <cell r="E904" t="str">
            <v>00143</v>
          </cell>
        </row>
        <row r="905">
          <cell r="D905" t="str">
            <v>M/S Jogotbondhu Battery &amp; Eng. Workshop</v>
          </cell>
          <cell r="E905" t="str">
            <v>00143</v>
          </cell>
        </row>
        <row r="906">
          <cell r="D906" t="str">
            <v>M/S Setu Cycle Mart</v>
          </cell>
          <cell r="E906" t="str">
            <v>00471</v>
          </cell>
        </row>
        <row r="907">
          <cell r="D907" t="str">
            <v>M/S Setu Cycle Mart</v>
          </cell>
          <cell r="E907" t="str">
            <v>00471</v>
          </cell>
        </row>
        <row r="908">
          <cell r="D908" t="str">
            <v>M/S Setu Cycle Mart</v>
          </cell>
          <cell r="E908" t="str">
            <v>00471</v>
          </cell>
        </row>
        <row r="909">
          <cell r="D909" t="str">
            <v>M/S Sajib Enterprise (C)</v>
          </cell>
          <cell r="E909" t="str">
            <v>01353</v>
          </cell>
        </row>
        <row r="910">
          <cell r="D910" t="str">
            <v>M/S Sajib Enterprise (C)</v>
          </cell>
          <cell r="E910" t="str">
            <v>01353</v>
          </cell>
        </row>
        <row r="911">
          <cell r="D911" t="str">
            <v>M/S Sajib Enterprise (C)</v>
          </cell>
          <cell r="E911" t="str">
            <v>01353</v>
          </cell>
        </row>
        <row r="912">
          <cell r="D912" t="str">
            <v>M/S S.K. Enterprise (C)</v>
          </cell>
          <cell r="E912" t="str">
            <v>01326</v>
          </cell>
        </row>
        <row r="913">
          <cell r="D913" t="str">
            <v>M/S S.K. Enterprise (C)</v>
          </cell>
          <cell r="E913" t="str">
            <v>01326</v>
          </cell>
        </row>
        <row r="914">
          <cell r="D914" t="str">
            <v>M/S S.K. Enterprise (C)</v>
          </cell>
          <cell r="E914" t="str">
            <v>01326</v>
          </cell>
        </row>
        <row r="915">
          <cell r="D915" t="str">
            <v>M/S S.K. Enterprise (C)</v>
          </cell>
          <cell r="E915" t="str">
            <v>01326</v>
          </cell>
        </row>
        <row r="916">
          <cell r="D916" t="str">
            <v>M/S Anik Motors &amp; Battery (C)</v>
          </cell>
          <cell r="E916" t="str">
            <v>01444</v>
          </cell>
        </row>
        <row r="917">
          <cell r="D917" t="str">
            <v>M/S Anik Motors &amp; Battery (C)</v>
          </cell>
          <cell r="E917" t="str">
            <v>01444</v>
          </cell>
        </row>
        <row r="918">
          <cell r="D918" t="str">
            <v>M/S Khokon IPS &amp; Battery Center (C)</v>
          </cell>
          <cell r="E918" t="str">
            <v>01306</v>
          </cell>
        </row>
        <row r="919">
          <cell r="D919" t="str">
            <v>M/S Khokon IPS &amp; Battery Center (C)</v>
          </cell>
          <cell r="E919" t="str">
            <v>01306</v>
          </cell>
        </row>
        <row r="920">
          <cell r="D920" t="str">
            <v>M/S Khokon IPS &amp; Battery Center (C)</v>
          </cell>
          <cell r="E920" t="str">
            <v>01306</v>
          </cell>
        </row>
        <row r="921">
          <cell r="D921" t="str">
            <v>M/S Mayer Doya Auto Parts-Laksam</v>
          </cell>
          <cell r="E921" t="str">
            <v>00325</v>
          </cell>
        </row>
        <row r="922">
          <cell r="D922" t="str">
            <v>M/S Mayer Doya Auto Parts-Laksam</v>
          </cell>
          <cell r="E922" t="str">
            <v>00325</v>
          </cell>
        </row>
        <row r="923">
          <cell r="D923" t="str">
            <v>M/S Mayer Doya Auto Parts-Laksam</v>
          </cell>
          <cell r="E923" t="str">
            <v>00325</v>
          </cell>
        </row>
        <row r="924">
          <cell r="D924" t="str">
            <v>M/S S.S. Enterprise-Norshingdi</v>
          </cell>
          <cell r="E924" t="str">
            <v>01118</v>
          </cell>
        </row>
        <row r="925">
          <cell r="D925" t="str">
            <v>M/S S.S. Enterprise-Norshingdi</v>
          </cell>
          <cell r="E925" t="str">
            <v>01118</v>
          </cell>
        </row>
        <row r="926">
          <cell r="D926" t="str">
            <v>M/S S.S. Enterprise-Norshingdi</v>
          </cell>
          <cell r="E926" t="str">
            <v>01118</v>
          </cell>
        </row>
        <row r="927">
          <cell r="D927" t="str">
            <v>M/S Sajib Enterprise (C)</v>
          </cell>
          <cell r="E927" t="str">
            <v>01353</v>
          </cell>
        </row>
        <row r="928">
          <cell r="D928" t="str">
            <v>M/S Sajib Enterprise (C)</v>
          </cell>
          <cell r="E928" t="str">
            <v>01353</v>
          </cell>
        </row>
        <row r="929">
          <cell r="D929" t="str">
            <v>M/S Sajib Enterprise (C)</v>
          </cell>
          <cell r="E929" t="str">
            <v>01353</v>
          </cell>
        </row>
        <row r="930">
          <cell r="D930" t="str">
            <v>M/S Sajib Enterprise (C)</v>
          </cell>
          <cell r="E930" t="str">
            <v>01353</v>
          </cell>
        </row>
        <row r="931">
          <cell r="D931" t="str">
            <v>M/S Comilla Traders</v>
          </cell>
          <cell r="E931" t="str">
            <v>00334</v>
          </cell>
        </row>
        <row r="932">
          <cell r="D932" t="str">
            <v>M/S Bondhu Auto and CNG Workshop</v>
          </cell>
          <cell r="E932" t="str">
            <v>01149</v>
          </cell>
        </row>
        <row r="933">
          <cell r="D933" t="str">
            <v>M/S Samar Auto (C)</v>
          </cell>
          <cell r="E933" t="str">
            <v>01522</v>
          </cell>
        </row>
        <row r="934">
          <cell r="D934" t="str">
            <v>M/S Samar Auto (C)</v>
          </cell>
          <cell r="E934" t="str">
            <v>01522</v>
          </cell>
        </row>
        <row r="935">
          <cell r="D935" t="str">
            <v>M/S Bismillah Motors-Hinla</v>
          </cell>
          <cell r="E935" t="str">
            <v>01448</v>
          </cell>
        </row>
        <row r="936">
          <cell r="D936" t="str">
            <v>M/S Bismillah Motors-Hinla</v>
          </cell>
          <cell r="E936" t="str">
            <v>01448</v>
          </cell>
        </row>
        <row r="937">
          <cell r="D937" t="str">
            <v>M/S Bismillah Motors-Hinla</v>
          </cell>
          <cell r="E937" t="str">
            <v>01448</v>
          </cell>
        </row>
        <row r="938">
          <cell r="D938" t="str">
            <v>M/S Bismillah Motors-Hinla</v>
          </cell>
          <cell r="E938" t="str">
            <v>01448</v>
          </cell>
        </row>
        <row r="939">
          <cell r="D939" t="str">
            <v>M/S Bismillah Motors-Hinla</v>
          </cell>
          <cell r="E939" t="str">
            <v>01448</v>
          </cell>
        </row>
        <row r="940">
          <cell r="D940" t="str">
            <v>M/S Hasan Enterprise (C)</v>
          </cell>
          <cell r="E940" t="str">
            <v>01289</v>
          </cell>
        </row>
        <row r="941">
          <cell r="D941" t="str">
            <v>M/S Boalkhali Battery House (C)</v>
          </cell>
          <cell r="E941" t="str">
            <v>01550</v>
          </cell>
        </row>
        <row r="942">
          <cell r="D942" t="str">
            <v>M/S Banskhali Enterprise-Joldi (C)</v>
          </cell>
          <cell r="E942" t="str">
            <v>01312</v>
          </cell>
        </row>
        <row r="943">
          <cell r="D943" t="str">
            <v>M/S Sangu Battery House</v>
          </cell>
          <cell r="E943" t="str">
            <v>00988</v>
          </cell>
        </row>
        <row r="944">
          <cell r="D944" t="str">
            <v>M/S S.K. Enterprise (C)</v>
          </cell>
          <cell r="E944" t="str">
            <v>01326</v>
          </cell>
        </row>
        <row r="945">
          <cell r="D945" t="str">
            <v>M/S S.K. Enterprise (C)</v>
          </cell>
          <cell r="E945" t="str">
            <v>01326</v>
          </cell>
        </row>
        <row r="946">
          <cell r="D946" t="str">
            <v>M/S Boalkhali Battery House (C)</v>
          </cell>
          <cell r="E946" t="str">
            <v>01550</v>
          </cell>
        </row>
        <row r="947">
          <cell r="D947" t="str">
            <v>M/S Boalkhali Battery House (C)</v>
          </cell>
          <cell r="E947" t="str">
            <v>01550</v>
          </cell>
        </row>
        <row r="948">
          <cell r="D948" t="str">
            <v>M/S Sifa Motors</v>
          </cell>
          <cell r="E948" t="str">
            <v>01443</v>
          </cell>
        </row>
        <row r="949">
          <cell r="D949" t="str">
            <v>M/S Sifa Motors</v>
          </cell>
          <cell r="E949" t="str">
            <v>01443</v>
          </cell>
        </row>
        <row r="950">
          <cell r="D950" t="str">
            <v>M/S Hira Motors-Chokoria</v>
          </cell>
          <cell r="E950" t="str">
            <v>01441</v>
          </cell>
        </row>
        <row r="951">
          <cell r="D951" t="str">
            <v>M/S Hira Motors-Chokoria</v>
          </cell>
          <cell r="E951" t="str">
            <v>01441</v>
          </cell>
        </row>
        <row r="952">
          <cell r="D952" t="str">
            <v>M/S Khan Battery Recycling (C)</v>
          </cell>
          <cell r="E952" t="str">
            <v>01282</v>
          </cell>
        </row>
        <row r="953">
          <cell r="D953" t="str">
            <v>M/S Khan Battery Recycling (C)</v>
          </cell>
          <cell r="E953" t="str">
            <v>01282</v>
          </cell>
        </row>
        <row r="954">
          <cell r="D954" t="str">
            <v>M/S City Auto</v>
          </cell>
          <cell r="E954" t="str">
            <v>00398</v>
          </cell>
        </row>
        <row r="955">
          <cell r="D955" t="str">
            <v>M/S Mohi Enterprise</v>
          </cell>
          <cell r="E955" t="str">
            <v>01356</v>
          </cell>
        </row>
        <row r="956">
          <cell r="D956" t="str">
            <v>M/S Jhenaidah Bike Center  (C)</v>
          </cell>
          <cell r="E956" t="str">
            <v>01536</v>
          </cell>
        </row>
        <row r="957">
          <cell r="D957" t="str">
            <v>M/S Selim Battery House (C)</v>
          </cell>
          <cell r="E957" t="str">
            <v>01569</v>
          </cell>
        </row>
        <row r="958">
          <cell r="D958" t="str">
            <v>M/S Bogura Auto Center (C)</v>
          </cell>
          <cell r="E958" t="str">
            <v>01468</v>
          </cell>
        </row>
        <row r="959">
          <cell r="D959" t="str">
            <v>M/S Maa Auto Workshop &amp; Battery Center (C)</v>
          </cell>
          <cell r="E959" t="str">
            <v>01497</v>
          </cell>
        </row>
        <row r="960">
          <cell r="D960" t="str">
            <v>M/S Bhai Bhai Auto Center (C)</v>
          </cell>
          <cell r="E960" t="str">
            <v>01563</v>
          </cell>
        </row>
        <row r="961">
          <cell r="D961" t="str">
            <v>M/S Bondhu Auto House (C)</v>
          </cell>
          <cell r="E961" t="str">
            <v>01577</v>
          </cell>
        </row>
        <row r="962">
          <cell r="D962" t="str">
            <v>M/S Bondhu Auto House (C)</v>
          </cell>
          <cell r="E962" t="str">
            <v>01577</v>
          </cell>
        </row>
        <row r="963">
          <cell r="D963" t="str">
            <v>M/S Rafiq Vi Battery &amp; Auto (C)</v>
          </cell>
          <cell r="E963" t="str">
            <v>01576</v>
          </cell>
        </row>
      </sheetData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Dealer Wise Net Sales Register2"/>
      <sheetName val="Sheet3"/>
    </sheetNames>
    <sheetDataSet>
      <sheetData sheetId="0"/>
      <sheetData sheetId="1">
        <row r="8">
          <cell r="D8" t="str">
            <v>Customer Name</v>
          </cell>
          <cell r="E8" t="str">
            <v>Customer Code</v>
          </cell>
        </row>
        <row r="9">
          <cell r="D9" t="str">
            <v>M/S Oppo Parts &amp; Battery House</v>
          </cell>
          <cell r="E9" t="str">
            <v>01508</v>
          </cell>
        </row>
        <row r="10">
          <cell r="D10" t="str">
            <v>M/S Oppo Parts &amp; Battery House</v>
          </cell>
          <cell r="E10" t="str">
            <v>01508</v>
          </cell>
        </row>
        <row r="11">
          <cell r="D11" t="str">
            <v>M/S Master Motor's</v>
          </cell>
          <cell r="E11" t="str">
            <v>00217</v>
          </cell>
        </row>
        <row r="12">
          <cell r="D12" t="str">
            <v>M/S Oreya Enterprise</v>
          </cell>
          <cell r="E12" t="str">
            <v>00537</v>
          </cell>
        </row>
        <row r="13">
          <cell r="D13" t="str">
            <v>M/S Shikdar Auto House</v>
          </cell>
          <cell r="E13" t="str">
            <v>01493</v>
          </cell>
        </row>
        <row r="14">
          <cell r="D14" t="str">
            <v>M/S Modina Battery House</v>
          </cell>
          <cell r="E14" t="str">
            <v>00441</v>
          </cell>
        </row>
        <row r="15">
          <cell r="D15" t="str">
            <v>M/S Modina Battery House</v>
          </cell>
          <cell r="E15" t="str">
            <v>00441</v>
          </cell>
        </row>
        <row r="16">
          <cell r="D16" t="str">
            <v>M/S National Battery - Lalmonirhat</v>
          </cell>
          <cell r="E16" t="str">
            <v>00579</v>
          </cell>
        </row>
        <row r="17">
          <cell r="D17" t="str">
            <v>M/S National Battery - Lalmonirhat</v>
          </cell>
          <cell r="E17" t="str">
            <v>00579</v>
          </cell>
        </row>
        <row r="18">
          <cell r="D18" t="str">
            <v>M/S Power Battery And Tyre</v>
          </cell>
          <cell r="E18" t="str">
            <v>01477</v>
          </cell>
        </row>
        <row r="19">
          <cell r="D19" t="str">
            <v>M/S Bondhu Motors</v>
          </cell>
          <cell r="E19" t="str">
            <v>01147</v>
          </cell>
        </row>
        <row r="20">
          <cell r="D20" t="str">
            <v>M/S Bondhu Motors</v>
          </cell>
          <cell r="E20" t="str">
            <v>01147</v>
          </cell>
        </row>
        <row r="21">
          <cell r="D21" t="str">
            <v>M/S Bonna Enterprise</v>
          </cell>
          <cell r="E21" t="str">
            <v>00617</v>
          </cell>
        </row>
        <row r="22">
          <cell r="D22" t="str">
            <v>M/S Bonna Enterprise</v>
          </cell>
          <cell r="E22" t="str">
            <v>00617</v>
          </cell>
        </row>
        <row r="23">
          <cell r="D23" t="str">
            <v>M/S Gausia Mill Store</v>
          </cell>
          <cell r="E23" t="str">
            <v>00615</v>
          </cell>
        </row>
        <row r="24">
          <cell r="D24" t="str">
            <v>M/S Gausia Mill Store</v>
          </cell>
          <cell r="E24" t="str">
            <v>00615</v>
          </cell>
        </row>
        <row r="25">
          <cell r="D25" t="str">
            <v>M/S Tanim Traders and Battery House</v>
          </cell>
          <cell r="E25" t="str">
            <v>00160</v>
          </cell>
        </row>
        <row r="26">
          <cell r="D26" t="str">
            <v>M/S Tanim Traders and Battery House</v>
          </cell>
          <cell r="E26" t="str">
            <v>00160</v>
          </cell>
        </row>
        <row r="27">
          <cell r="D27" t="str">
            <v>M/S Taher Enterprise</v>
          </cell>
          <cell r="E27" t="str">
            <v>00366</v>
          </cell>
        </row>
        <row r="28">
          <cell r="D28" t="str">
            <v>M/S Taher Enterprise</v>
          </cell>
          <cell r="E28" t="str">
            <v>00366</v>
          </cell>
        </row>
        <row r="29">
          <cell r="D29" t="str">
            <v>M/S Gawsia Enterprise</v>
          </cell>
          <cell r="E29" t="str">
            <v>00348</v>
          </cell>
        </row>
        <row r="30">
          <cell r="D30" t="str">
            <v>M/S Gawsia Enterprise</v>
          </cell>
          <cell r="E30" t="str">
            <v>00348</v>
          </cell>
        </row>
        <row r="31">
          <cell r="D31" t="str">
            <v>M/S Al Madina Enterprise</v>
          </cell>
          <cell r="E31" t="str">
            <v>00814</v>
          </cell>
        </row>
        <row r="32">
          <cell r="D32" t="str">
            <v>M/S Oreya Enterprise</v>
          </cell>
          <cell r="E32" t="str">
            <v>00537</v>
          </cell>
        </row>
        <row r="33">
          <cell r="D33" t="str">
            <v>M/S Shikdar Auto House</v>
          </cell>
          <cell r="E33" t="str">
            <v>01493</v>
          </cell>
        </row>
        <row r="34">
          <cell r="D34" t="str">
            <v>M/S Shanta Hardware And Auto Parts</v>
          </cell>
          <cell r="E34" t="str">
            <v>01140</v>
          </cell>
        </row>
        <row r="35">
          <cell r="D35" t="str">
            <v>M/S Al Madina Enterprise</v>
          </cell>
          <cell r="E35" t="str">
            <v>00814</v>
          </cell>
        </row>
        <row r="36">
          <cell r="D36" t="str">
            <v>M/S Mashpi Battery &amp; Auto</v>
          </cell>
          <cell r="E36" t="str">
            <v>01152</v>
          </cell>
        </row>
        <row r="37">
          <cell r="D37" t="str">
            <v>M/S Pagla Mama Auto Parts</v>
          </cell>
          <cell r="E37" t="str">
            <v>01170</v>
          </cell>
        </row>
        <row r="38">
          <cell r="D38" t="str">
            <v>M/S Oreya Enterprise</v>
          </cell>
          <cell r="E38" t="str">
            <v>00537</v>
          </cell>
        </row>
        <row r="39">
          <cell r="D39" t="str">
            <v>M/S Shah Enterprise</v>
          </cell>
          <cell r="E39" t="str">
            <v>00600</v>
          </cell>
        </row>
        <row r="40">
          <cell r="D40" t="str">
            <v>M/S Mithila Auto Show Room</v>
          </cell>
          <cell r="E40" t="str">
            <v>01499</v>
          </cell>
        </row>
        <row r="41">
          <cell r="D41" t="str">
            <v>M/S Nasir Motors</v>
          </cell>
          <cell r="E41" t="str">
            <v>01248</v>
          </cell>
        </row>
        <row r="42">
          <cell r="D42" t="str">
            <v>M/S Oppo Parts &amp; Battery House</v>
          </cell>
          <cell r="E42" t="str">
            <v>01508</v>
          </cell>
        </row>
        <row r="43">
          <cell r="D43" t="str">
            <v>M/S Master Motor's</v>
          </cell>
          <cell r="E43" t="str">
            <v>00217</v>
          </cell>
        </row>
        <row r="44">
          <cell r="D44" t="str">
            <v>M/S Sadaf Auto &amp;  Vulcanizing Corner</v>
          </cell>
          <cell r="E44" t="str">
            <v>00089</v>
          </cell>
        </row>
        <row r="45">
          <cell r="D45" t="str">
            <v>M/S Oreya Enterprise</v>
          </cell>
          <cell r="E45" t="str">
            <v>00537</v>
          </cell>
        </row>
        <row r="46">
          <cell r="D46" t="str">
            <v>M/S Tanim Traders and Battery House</v>
          </cell>
          <cell r="E46" t="str">
            <v>00160</v>
          </cell>
        </row>
        <row r="47">
          <cell r="D47" t="str">
            <v>M/S Tanim Traders and Battery House</v>
          </cell>
          <cell r="E47" t="str">
            <v>00160</v>
          </cell>
        </row>
        <row r="48">
          <cell r="D48" t="str">
            <v>M/S Al Madina Enterprise</v>
          </cell>
          <cell r="E48" t="str">
            <v>00814</v>
          </cell>
        </row>
        <row r="49">
          <cell r="D49" t="str">
            <v>M/S Al Madina Enterprise</v>
          </cell>
          <cell r="E49" t="str">
            <v>00814</v>
          </cell>
        </row>
        <row r="50">
          <cell r="D50" t="str">
            <v>M/S Bondhu Motors</v>
          </cell>
          <cell r="E50" t="str">
            <v>01147</v>
          </cell>
        </row>
        <row r="51">
          <cell r="D51" t="str">
            <v>M/S Mizan Traders</v>
          </cell>
          <cell r="E51" t="str">
            <v>00179</v>
          </cell>
        </row>
        <row r="52">
          <cell r="D52" t="str">
            <v>M/S Shanta Hardware And Auto Parts</v>
          </cell>
          <cell r="E52" t="str">
            <v>01140</v>
          </cell>
        </row>
        <row r="53">
          <cell r="D53" t="str">
            <v>M/S Allahar Dan Enterprise-Norail</v>
          </cell>
          <cell r="E53" t="str">
            <v>01528</v>
          </cell>
        </row>
        <row r="54">
          <cell r="D54" t="str">
            <v>M/S Shikdar Auto House</v>
          </cell>
          <cell r="E54" t="str">
            <v>01493</v>
          </cell>
        </row>
        <row r="55">
          <cell r="D55" t="str">
            <v>M/S Ma Battery House</v>
          </cell>
          <cell r="E55" t="str">
            <v>01543</v>
          </cell>
        </row>
        <row r="56">
          <cell r="D56" t="str">
            <v>M/S Ma Battery House</v>
          </cell>
          <cell r="E56" t="str">
            <v>01543</v>
          </cell>
        </row>
        <row r="57">
          <cell r="D57" t="str">
            <v>M/S Ma Battery House</v>
          </cell>
          <cell r="E57" t="str">
            <v>01543</v>
          </cell>
        </row>
        <row r="58">
          <cell r="D58" t="str">
            <v>M/S Pagla Mama Auto Parts</v>
          </cell>
          <cell r="E58" t="str">
            <v>01170</v>
          </cell>
        </row>
        <row r="59">
          <cell r="D59" t="str">
            <v>M/S Miazi Electronics and Battery</v>
          </cell>
          <cell r="E59" t="str">
            <v>01106</v>
          </cell>
        </row>
        <row r="60">
          <cell r="D60" t="str">
            <v>M/S Ripon Tyre and Battery (C)</v>
          </cell>
          <cell r="E60" t="str">
            <v>01557</v>
          </cell>
        </row>
        <row r="61">
          <cell r="D61" t="str">
            <v>M/S Ripon Tyre and Battery (C)</v>
          </cell>
          <cell r="E61" t="str">
            <v>01557</v>
          </cell>
        </row>
        <row r="62">
          <cell r="D62" t="str">
            <v>M/S Ripon Tyre and Battery (C)</v>
          </cell>
          <cell r="E62" t="str">
            <v>01557</v>
          </cell>
        </row>
        <row r="63">
          <cell r="D63" t="str">
            <v>M/S Ripon Tyre and Battery (C)</v>
          </cell>
          <cell r="E63" t="str">
            <v>01557</v>
          </cell>
        </row>
        <row r="64">
          <cell r="D64" t="str">
            <v>M/S Raja Enterprise</v>
          </cell>
          <cell r="E64" t="str">
            <v>01077</v>
          </cell>
        </row>
        <row r="65">
          <cell r="D65" t="str">
            <v>M/S Anas Enterprise (C)</v>
          </cell>
          <cell r="E65" t="str">
            <v>01551</v>
          </cell>
        </row>
        <row r="66">
          <cell r="D66" t="str">
            <v>M/S Anas Enterprise (C)</v>
          </cell>
          <cell r="E66" t="str">
            <v>01551</v>
          </cell>
        </row>
        <row r="67">
          <cell r="D67" t="str">
            <v>M/S Anas Enterprise (C)</v>
          </cell>
          <cell r="E67" t="str">
            <v>01551</v>
          </cell>
        </row>
        <row r="68">
          <cell r="D68" t="str">
            <v>M/S Tanim Traders and Battery House</v>
          </cell>
          <cell r="E68" t="str">
            <v>00160</v>
          </cell>
        </row>
        <row r="69">
          <cell r="D69" t="str">
            <v>M/S Tanim Traders and Battery House</v>
          </cell>
          <cell r="E69" t="str">
            <v>00160</v>
          </cell>
        </row>
        <row r="70">
          <cell r="D70" t="str">
            <v>M/S New Dhaka Motors and Battery (C)</v>
          </cell>
          <cell r="E70" t="str">
            <v>01554</v>
          </cell>
        </row>
        <row r="71">
          <cell r="D71" t="str">
            <v>M/S Bhai Bhai Cycle Mart</v>
          </cell>
          <cell r="E71" t="str">
            <v>00823</v>
          </cell>
        </row>
        <row r="72">
          <cell r="D72" t="str">
            <v>M/S Modina Cycle Store (C)</v>
          </cell>
          <cell r="E72" t="str">
            <v>01519</v>
          </cell>
        </row>
        <row r="73">
          <cell r="D73" t="str">
            <v>M/S Mashpi Battery &amp; Auto</v>
          </cell>
          <cell r="E73" t="str">
            <v>01152</v>
          </cell>
        </row>
        <row r="74">
          <cell r="D74" t="str">
            <v>M/S Mashpi Battery &amp; Auto</v>
          </cell>
          <cell r="E74" t="str">
            <v>01152</v>
          </cell>
        </row>
        <row r="75">
          <cell r="D75" t="str">
            <v>M/S Gazipur Battery House (C)</v>
          </cell>
          <cell r="E75" t="str">
            <v>01549</v>
          </cell>
        </row>
        <row r="76">
          <cell r="D76" t="str">
            <v>M/S Gazipur Battery House (C)</v>
          </cell>
          <cell r="E76" t="str">
            <v>01549</v>
          </cell>
        </row>
        <row r="77">
          <cell r="D77" t="str">
            <v>M/S Oppo Parts &amp; Battery House</v>
          </cell>
          <cell r="E77" t="str">
            <v>01508</v>
          </cell>
        </row>
        <row r="78">
          <cell r="D78" t="str">
            <v>M/S Comilla Traders</v>
          </cell>
          <cell r="E78" t="str">
            <v>00334</v>
          </cell>
        </row>
        <row r="79">
          <cell r="D79" t="str">
            <v>M/S Shahjalal Traders</v>
          </cell>
          <cell r="E79" t="str">
            <v>01362</v>
          </cell>
        </row>
        <row r="80">
          <cell r="D80" t="str">
            <v>M/S Shahjalal Traders</v>
          </cell>
          <cell r="E80" t="str">
            <v>01362</v>
          </cell>
        </row>
        <row r="81">
          <cell r="D81" t="str">
            <v>M/S Khan Auto Bike &amp; Battery</v>
          </cell>
          <cell r="E81" t="str">
            <v>00180</v>
          </cell>
        </row>
        <row r="82">
          <cell r="D82" t="str">
            <v>M/S Khan Auto Bike &amp; Battery</v>
          </cell>
          <cell r="E82" t="str">
            <v>00180</v>
          </cell>
        </row>
        <row r="83">
          <cell r="D83" t="str">
            <v>M/S Khan Auto Bike &amp; Battery</v>
          </cell>
          <cell r="E83" t="str">
            <v>00180</v>
          </cell>
        </row>
        <row r="84">
          <cell r="D84" t="str">
            <v>M/S S.K. Trading Corporation (C)</v>
          </cell>
          <cell r="E84" t="str">
            <v>01523</v>
          </cell>
        </row>
        <row r="85">
          <cell r="D85" t="str">
            <v>M/S Raja Enterprise</v>
          </cell>
          <cell r="E85" t="str">
            <v>01077</v>
          </cell>
        </row>
        <row r="86">
          <cell r="D86" t="str">
            <v>M/S S.K. Trading Corporation (C)</v>
          </cell>
          <cell r="E86" t="str">
            <v>01523</v>
          </cell>
        </row>
        <row r="87">
          <cell r="D87" t="str">
            <v>M/S Adib Alifa Auto &amp; Battery House (C)</v>
          </cell>
          <cell r="E87" t="str">
            <v>01454</v>
          </cell>
        </row>
        <row r="88">
          <cell r="D88" t="str">
            <v>M/S Adib Alifa Auto &amp; Battery House (C)</v>
          </cell>
          <cell r="E88" t="str">
            <v>01454</v>
          </cell>
        </row>
        <row r="89">
          <cell r="D89" t="str">
            <v>M/S Oreya Enterprise</v>
          </cell>
          <cell r="E89" t="str">
            <v>00537</v>
          </cell>
        </row>
        <row r="90">
          <cell r="D90" t="str">
            <v>M/S Rajdhani Motors</v>
          </cell>
          <cell r="E90" t="str">
            <v>01463</v>
          </cell>
        </row>
        <row r="91">
          <cell r="D91" t="str">
            <v>M/S Oppo Parts &amp; Battery House</v>
          </cell>
          <cell r="E91" t="str">
            <v>01508</v>
          </cell>
        </row>
        <row r="92">
          <cell r="D92" t="str">
            <v>M/S Nabarun Auto Baik Parts</v>
          </cell>
          <cell r="E92" t="str">
            <v>00422</v>
          </cell>
        </row>
        <row r="93">
          <cell r="D93" t="str">
            <v>M/S Shopon Battery House (C)</v>
          </cell>
          <cell r="E93" t="str">
            <v>01320</v>
          </cell>
        </row>
        <row r="94">
          <cell r="D94" t="str">
            <v>M/S Nabarun Auto Baik Parts</v>
          </cell>
          <cell r="E94" t="str">
            <v>00422</v>
          </cell>
        </row>
        <row r="95">
          <cell r="D95" t="str">
            <v>M/S Aminul Battery House</v>
          </cell>
          <cell r="E95" t="str">
            <v>01250</v>
          </cell>
        </row>
        <row r="96">
          <cell r="D96" t="str">
            <v>M/S Lamia Battery (C)</v>
          </cell>
          <cell r="E96" t="str">
            <v>01345</v>
          </cell>
        </row>
        <row r="97">
          <cell r="D97" t="str">
            <v>M/S Oreya Enterprise</v>
          </cell>
          <cell r="E97" t="str">
            <v>00537</v>
          </cell>
        </row>
        <row r="98">
          <cell r="D98" t="str">
            <v>M/S Bondhu Motors</v>
          </cell>
          <cell r="E98" t="str">
            <v>01147</v>
          </cell>
        </row>
        <row r="99">
          <cell r="D99" t="str">
            <v>M/S Babul Enterprise (C)</v>
          </cell>
          <cell r="E99" t="str">
            <v>01292</v>
          </cell>
        </row>
        <row r="100">
          <cell r="D100" t="str">
            <v>M/S Oppo Parts &amp; Battery House</v>
          </cell>
          <cell r="E100" t="str">
            <v>01508</v>
          </cell>
        </row>
        <row r="101">
          <cell r="D101" t="str">
            <v>M/S Samar Auto (C)</v>
          </cell>
          <cell r="E101" t="str">
            <v>01522</v>
          </cell>
        </row>
        <row r="102">
          <cell r="D102" t="str">
            <v>M/S Oppo Parts &amp; Battery House</v>
          </cell>
          <cell r="E102" t="str">
            <v>01508</v>
          </cell>
        </row>
        <row r="103">
          <cell r="D103" t="str">
            <v>M/S Master Motor's</v>
          </cell>
          <cell r="E103" t="str">
            <v>00217</v>
          </cell>
        </row>
        <row r="104">
          <cell r="D104" t="str">
            <v>M/S Talukder Motors (C)</v>
          </cell>
          <cell r="E104" t="str">
            <v>01471</v>
          </cell>
        </row>
        <row r="105">
          <cell r="D105" t="str">
            <v>M/S Sur Sangit Mike &amp; Battery</v>
          </cell>
          <cell r="E105" t="str">
            <v>01561</v>
          </cell>
        </row>
        <row r="106">
          <cell r="D106" t="str">
            <v>M/S Farhan Auto (C)</v>
          </cell>
          <cell r="E106" t="str">
            <v>01298</v>
          </cell>
        </row>
        <row r="107">
          <cell r="D107" t="str">
            <v>M/S Farhan Auto (C)</v>
          </cell>
          <cell r="E107" t="str">
            <v>01298</v>
          </cell>
        </row>
        <row r="108">
          <cell r="D108" t="str">
            <v>M/S Nazrul Mike &amp; Battery</v>
          </cell>
          <cell r="E108" t="str">
            <v>00141</v>
          </cell>
        </row>
        <row r="109">
          <cell r="D109" t="str">
            <v>M/S Supreme Auto (C)</v>
          </cell>
          <cell r="E109" t="str">
            <v>01300</v>
          </cell>
        </row>
        <row r="110">
          <cell r="D110" t="str">
            <v>M/S Al Madina Enterprise</v>
          </cell>
          <cell r="E110" t="str">
            <v>00814</v>
          </cell>
        </row>
        <row r="111">
          <cell r="D111" t="str">
            <v>M/S Al Madina Enterprise</v>
          </cell>
          <cell r="E111" t="str">
            <v>00814</v>
          </cell>
        </row>
        <row r="112">
          <cell r="D112" t="str">
            <v>M/S Sajib Enterprise (C)</v>
          </cell>
          <cell r="E112" t="str">
            <v>01353</v>
          </cell>
        </row>
        <row r="113">
          <cell r="D113" t="str">
            <v>M/S Sajib Enterprise (C)</v>
          </cell>
          <cell r="E113" t="str">
            <v>01353</v>
          </cell>
        </row>
        <row r="114">
          <cell r="D114" t="str">
            <v>M/S A.P.L. Auto House (C)</v>
          </cell>
          <cell r="E114" t="str">
            <v>01305</v>
          </cell>
        </row>
        <row r="115">
          <cell r="D115" t="str">
            <v>M/S Rifat Enterprise</v>
          </cell>
          <cell r="E115" t="str">
            <v>00333</v>
          </cell>
        </row>
        <row r="116">
          <cell r="D116" t="str">
            <v>M/S Khokon IPS &amp; Battery Center (C)</v>
          </cell>
          <cell r="E116" t="str">
            <v>01306</v>
          </cell>
        </row>
        <row r="117">
          <cell r="D117" t="str">
            <v>M/S Mashpi Battery &amp; Auto</v>
          </cell>
          <cell r="E117" t="str">
            <v>01152</v>
          </cell>
        </row>
        <row r="118">
          <cell r="D118" t="str">
            <v>M/S Oppo Parts &amp; Battery House</v>
          </cell>
          <cell r="E118" t="str">
            <v>01508</v>
          </cell>
        </row>
        <row r="119">
          <cell r="D119" t="str">
            <v>M/S National Motors-Feni</v>
          </cell>
          <cell r="E119" t="str">
            <v>01102</v>
          </cell>
        </row>
        <row r="120">
          <cell r="D120" t="str">
            <v>M/S National Motors-Feni</v>
          </cell>
          <cell r="E120" t="str">
            <v>01102</v>
          </cell>
        </row>
        <row r="121">
          <cell r="D121" t="str">
            <v>M/S Oppo Parts &amp; Battery House</v>
          </cell>
          <cell r="E121" t="str">
            <v>01508</v>
          </cell>
        </row>
        <row r="122">
          <cell r="D122" t="str">
            <v>M/S Sarkar Motors and Battery</v>
          </cell>
          <cell r="E122" t="str">
            <v>01501</v>
          </cell>
        </row>
        <row r="123">
          <cell r="D123" t="str">
            <v>M/S Sohan Motors</v>
          </cell>
          <cell r="E123" t="str">
            <v>01385</v>
          </cell>
        </row>
        <row r="124">
          <cell r="D124" t="str">
            <v>M/S Khan Auto Bike &amp; Battery</v>
          </cell>
          <cell r="E124" t="str">
            <v>00180</v>
          </cell>
        </row>
        <row r="125">
          <cell r="D125" t="str">
            <v>M/S Bismillah Motors-Hinla</v>
          </cell>
          <cell r="E125" t="str">
            <v>01448</v>
          </cell>
        </row>
        <row r="126">
          <cell r="D126" t="str">
            <v>M/S Khan Auto Bike &amp; Battery</v>
          </cell>
          <cell r="E126" t="str">
            <v>00180</v>
          </cell>
        </row>
        <row r="127">
          <cell r="D127" t="str">
            <v>M/S Bismillah Motors-Hinla</v>
          </cell>
          <cell r="E127" t="str">
            <v>01448</v>
          </cell>
        </row>
        <row r="128">
          <cell r="D128" t="str">
            <v>M/S Mashpi Battery &amp; Auto</v>
          </cell>
          <cell r="E128" t="str">
            <v>01152</v>
          </cell>
        </row>
        <row r="129">
          <cell r="D129" t="str">
            <v>M/S Ekata Motors</v>
          </cell>
          <cell r="E129" t="str">
            <v>00419</v>
          </cell>
        </row>
        <row r="130">
          <cell r="D130" t="str">
            <v>M/S Modina Battery House</v>
          </cell>
          <cell r="E130" t="str">
            <v>00441</v>
          </cell>
        </row>
        <row r="131">
          <cell r="D131" t="str">
            <v>M/S Modina Battery House</v>
          </cell>
          <cell r="E131" t="str">
            <v>00441</v>
          </cell>
        </row>
        <row r="132">
          <cell r="D132" t="str">
            <v>M/S Kalam Auto Motor Parts And Battery House</v>
          </cell>
          <cell r="E132" t="str">
            <v>00420</v>
          </cell>
        </row>
        <row r="133">
          <cell r="D133" t="str">
            <v>M/S Oppo Parts &amp; Battery House</v>
          </cell>
          <cell r="E133" t="str">
            <v>01508</v>
          </cell>
        </row>
        <row r="134">
          <cell r="D134" t="str">
            <v>M/S Oppo Parts &amp; Battery House</v>
          </cell>
          <cell r="E134" t="str">
            <v>01508</v>
          </cell>
        </row>
        <row r="135">
          <cell r="D135" t="str">
            <v>M/S Boalkhali Battery House (C)</v>
          </cell>
          <cell r="E135" t="str">
            <v>01550</v>
          </cell>
        </row>
        <row r="136">
          <cell r="D136" t="str">
            <v>M/S Boalkhali Battery House (C)</v>
          </cell>
          <cell r="E136" t="str">
            <v>01550</v>
          </cell>
        </row>
        <row r="137">
          <cell r="D137" t="str">
            <v>M/S S.K. Enterprise (C)</v>
          </cell>
          <cell r="E137" t="str">
            <v>01326</v>
          </cell>
        </row>
        <row r="138">
          <cell r="D138" t="str">
            <v>M/S S.K. Enterprise (C)</v>
          </cell>
          <cell r="E138" t="str">
            <v>01326</v>
          </cell>
        </row>
        <row r="139">
          <cell r="D139" t="str">
            <v>M/S Al Madina Enterprise</v>
          </cell>
          <cell r="E139" t="str">
            <v>00814</v>
          </cell>
        </row>
        <row r="140">
          <cell r="D140" t="str">
            <v>M/S Oreya Enterprise</v>
          </cell>
          <cell r="E140" t="str">
            <v>00537</v>
          </cell>
        </row>
        <row r="141">
          <cell r="D141" t="str">
            <v>M/S Banskhali Enterprise-Joldi (C)</v>
          </cell>
          <cell r="E141" t="str">
            <v>01312</v>
          </cell>
        </row>
        <row r="142">
          <cell r="D142" t="str">
            <v>M/S Banskhali Enterprise-Joldi (C)</v>
          </cell>
          <cell r="E142" t="str">
            <v>01312</v>
          </cell>
        </row>
        <row r="143">
          <cell r="D143" t="str">
            <v>M/S Banskhali Enterprise-Joldi (C)</v>
          </cell>
          <cell r="E143" t="str">
            <v>01312</v>
          </cell>
        </row>
        <row r="144">
          <cell r="D144" t="str">
            <v>M/S Sarkar Motors and Battery</v>
          </cell>
          <cell r="E144" t="str">
            <v>01501</v>
          </cell>
        </row>
        <row r="145">
          <cell r="D145" t="str">
            <v>M/S Sadia Enterprise</v>
          </cell>
          <cell r="E145" t="str">
            <v>01490</v>
          </cell>
        </row>
        <row r="146">
          <cell r="D146" t="str">
            <v>M/S Ma Battery House</v>
          </cell>
          <cell r="E146" t="str">
            <v>01543</v>
          </cell>
        </row>
        <row r="147">
          <cell r="D147" t="str">
            <v>M/S New Mintu Motors (C)</v>
          </cell>
          <cell r="E147" t="str">
            <v>01552</v>
          </cell>
        </row>
        <row r="148">
          <cell r="D148" t="str">
            <v>M/S New Mintu Motors (C)</v>
          </cell>
          <cell r="E148" t="str">
            <v>01552</v>
          </cell>
        </row>
        <row r="149">
          <cell r="D149" t="str">
            <v>M/S New Mintu Motors (C)</v>
          </cell>
          <cell r="E149" t="str">
            <v>01552</v>
          </cell>
        </row>
        <row r="150">
          <cell r="D150" t="str">
            <v>M/S Ananna Battery &amp; Tyre</v>
          </cell>
          <cell r="E150" t="str">
            <v>01088</v>
          </cell>
        </row>
        <row r="151">
          <cell r="D151" t="str">
            <v>M/S Monir Auto &amp; Battery House</v>
          </cell>
          <cell r="E151" t="str">
            <v>00001</v>
          </cell>
        </row>
        <row r="152">
          <cell r="D152" t="str">
            <v>M/S Monir Auto &amp; Battery House</v>
          </cell>
          <cell r="E152" t="str">
            <v>00001</v>
          </cell>
        </row>
        <row r="153">
          <cell r="D153" t="str">
            <v>M/S Ma Tyre &amp; Battery  Shop</v>
          </cell>
          <cell r="E153" t="str">
            <v>00088</v>
          </cell>
        </row>
        <row r="154">
          <cell r="D154" t="str">
            <v>M/S Ma Tyre &amp; Battery  Shop</v>
          </cell>
          <cell r="E154" t="str">
            <v>00088</v>
          </cell>
        </row>
        <row r="155">
          <cell r="D155" t="str">
            <v>M/S Rumi Battery House</v>
          </cell>
          <cell r="E155" t="str">
            <v>00387</v>
          </cell>
        </row>
        <row r="156">
          <cell r="D156" t="str">
            <v>M/S Rumi Battery House</v>
          </cell>
          <cell r="E156" t="str">
            <v>00387</v>
          </cell>
        </row>
        <row r="157">
          <cell r="D157" t="str">
            <v>M/S Rumi Battery House</v>
          </cell>
          <cell r="E157" t="str">
            <v>00387</v>
          </cell>
        </row>
        <row r="158">
          <cell r="D158" t="str">
            <v>M/S Rumi Battery House</v>
          </cell>
          <cell r="E158" t="str">
            <v>00387</v>
          </cell>
        </row>
        <row r="159">
          <cell r="D159" t="str">
            <v>M/S Rumi Battery House</v>
          </cell>
          <cell r="E159" t="str">
            <v>00387</v>
          </cell>
        </row>
        <row r="160">
          <cell r="D160" t="str">
            <v>M/S Rumi Battery House</v>
          </cell>
          <cell r="E160" t="str">
            <v>00387</v>
          </cell>
        </row>
        <row r="161">
          <cell r="D161" t="str">
            <v>M/S City Auto</v>
          </cell>
          <cell r="E161" t="str">
            <v>00398</v>
          </cell>
        </row>
        <row r="162">
          <cell r="D162" t="str">
            <v>M/S B.P Battery House</v>
          </cell>
          <cell r="E162" t="str">
            <v>01130</v>
          </cell>
        </row>
        <row r="163">
          <cell r="D163" t="str">
            <v>M/S B.P Battery House</v>
          </cell>
          <cell r="E163" t="str">
            <v>01130</v>
          </cell>
        </row>
        <row r="164">
          <cell r="D164" t="str">
            <v>M/S Takwa Enterprise</v>
          </cell>
          <cell r="E164" t="str">
            <v>00847</v>
          </cell>
        </row>
        <row r="165">
          <cell r="D165" t="str">
            <v>M/S Takwa Enterprise</v>
          </cell>
          <cell r="E165" t="str">
            <v>00847</v>
          </cell>
        </row>
        <row r="166">
          <cell r="D166" t="str">
            <v>M/S Adhunik Enterprise</v>
          </cell>
          <cell r="E166" t="str">
            <v>01122</v>
          </cell>
        </row>
        <row r="167">
          <cell r="D167" t="str">
            <v>M/S Adhunik Enterprise</v>
          </cell>
          <cell r="E167" t="str">
            <v>01122</v>
          </cell>
        </row>
        <row r="168">
          <cell r="D168" t="str">
            <v>M/S Al Baraka Enterprise</v>
          </cell>
          <cell r="E168" t="str">
            <v>00159</v>
          </cell>
        </row>
        <row r="169">
          <cell r="D169" t="str">
            <v>M/S Kalam Store</v>
          </cell>
          <cell r="E169" t="str">
            <v>01436</v>
          </cell>
        </row>
        <row r="170">
          <cell r="D170" t="str">
            <v>M/S Kalam Store</v>
          </cell>
          <cell r="E170" t="str">
            <v>01436</v>
          </cell>
        </row>
        <row r="171">
          <cell r="D171" t="str">
            <v>M/S Kalam Store</v>
          </cell>
          <cell r="E171" t="str">
            <v>01436</v>
          </cell>
        </row>
        <row r="172">
          <cell r="D172" t="str">
            <v>M/S Setu Cycle Mart</v>
          </cell>
          <cell r="E172" t="str">
            <v>00471</v>
          </cell>
        </row>
        <row r="173">
          <cell r="D173" t="str">
            <v>M/S Setu Cycle Mart</v>
          </cell>
          <cell r="E173" t="str">
            <v>00471</v>
          </cell>
        </row>
        <row r="174">
          <cell r="D174" t="str">
            <v>M/S Setu Cycle Mart</v>
          </cell>
          <cell r="E174" t="str">
            <v>00471</v>
          </cell>
        </row>
        <row r="175">
          <cell r="D175" t="str">
            <v>M/S Shah Mojidia Motor Parts</v>
          </cell>
          <cell r="E175" t="str">
            <v>00842</v>
          </cell>
        </row>
        <row r="176">
          <cell r="D176" t="str">
            <v>M/S Shah Mojidia Motor Parts</v>
          </cell>
          <cell r="E176" t="str">
            <v>00842</v>
          </cell>
        </row>
        <row r="177">
          <cell r="D177" t="str">
            <v>M/S Sangu Battery House</v>
          </cell>
          <cell r="E177" t="str">
            <v>00988</v>
          </cell>
        </row>
        <row r="178">
          <cell r="D178" t="str">
            <v>M/S Sangu Battery House</v>
          </cell>
          <cell r="E178" t="str">
            <v>00988</v>
          </cell>
        </row>
        <row r="179">
          <cell r="D179" t="str">
            <v>M/S Bashkhali Enterprise</v>
          </cell>
          <cell r="E179" t="str">
            <v>00424</v>
          </cell>
        </row>
        <row r="180">
          <cell r="D180" t="str">
            <v>M/S Doyal Battery (C)</v>
          </cell>
          <cell r="E180" t="str">
            <v>01308</v>
          </cell>
        </row>
        <row r="181">
          <cell r="D181" t="str">
            <v>M/S Maa Auto Workshop &amp; Battery Center</v>
          </cell>
          <cell r="E181" t="str">
            <v>01131</v>
          </cell>
        </row>
        <row r="182">
          <cell r="D182" t="str">
            <v>M/S Al - Barakah Battery &amp; Auto Parts (C)</v>
          </cell>
          <cell r="E182" t="str">
            <v>01562</v>
          </cell>
        </row>
        <row r="183">
          <cell r="D183" t="str">
            <v>M/S Anas Battery &amp; Auto House</v>
          </cell>
          <cell r="E183" t="str">
            <v>01401</v>
          </cell>
        </row>
        <row r="184">
          <cell r="D184" t="str">
            <v>M/S Anas Battery &amp; Auto House</v>
          </cell>
          <cell r="E184" t="str">
            <v>01401</v>
          </cell>
        </row>
        <row r="185">
          <cell r="D185" t="str">
            <v>M/S Anas Battery &amp; Auto House</v>
          </cell>
          <cell r="E185" t="str">
            <v>01401</v>
          </cell>
        </row>
        <row r="186">
          <cell r="D186" t="str">
            <v>M/S Anas Battery &amp; Auto House</v>
          </cell>
          <cell r="E186" t="str">
            <v>01401</v>
          </cell>
        </row>
        <row r="187">
          <cell r="D187" t="str">
            <v>M/S S.S. Enterprise-Norshingdi (C)</v>
          </cell>
          <cell r="E187" t="str">
            <v>01331</v>
          </cell>
        </row>
        <row r="188">
          <cell r="D188" t="str">
            <v>M/S North Bengal Trading (C)</v>
          </cell>
          <cell r="E188" t="str">
            <v>01537</v>
          </cell>
        </row>
        <row r="189">
          <cell r="D189" t="str">
            <v>M/S Bogura Auto Center (C)</v>
          </cell>
          <cell r="E189" t="str">
            <v>01468</v>
          </cell>
        </row>
        <row r="190">
          <cell r="D190" t="str">
            <v>M/S New Mintu Motors (C)</v>
          </cell>
          <cell r="E190" t="str">
            <v>01552</v>
          </cell>
        </row>
        <row r="191">
          <cell r="D191" t="str">
            <v>M/S New Mintu Motors (C)</v>
          </cell>
          <cell r="E191" t="str">
            <v>01552</v>
          </cell>
        </row>
        <row r="192">
          <cell r="D192" t="str">
            <v>M/S Rakin Auto Parts</v>
          </cell>
          <cell r="E192" t="str">
            <v>00561</v>
          </cell>
        </row>
        <row r="193">
          <cell r="D193" t="str">
            <v>M/S Rakin Auto Parts</v>
          </cell>
          <cell r="E193" t="str">
            <v>00561</v>
          </cell>
        </row>
        <row r="194">
          <cell r="D194" t="str">
            <v>M/S Rakin Auto Parts</v>
          </cell>
          <cell r="E194" t="str">
            <v>00561</v>
          </cell>
        </row>
        <row r="195">
          <cell r="D195" t="str">
            <v>M/S Rakin Auto Parts</v>
          </cell>
          <cell r="E195" t="str">
            <v>00561</v>
          </cell>
        </row>
        <row r="196">
          <cell r="D196" t="str">
            <v>M/S Rakin Auto Parts</v>
          </cell>
          <cell r="E196" t="str">
            <v>00561</v>
          </cell>
        </row>
        <row r="197">
          <cell r="D197" t="str">
            <v>M/S Rakin Auto Parts</v>
          </cell>
          <cell r="E197" t="str">
            <v>00561</v>
          </cell>
        </row>
        <row r="198">
          <cell r="D198" t="str">
            <v>M/S Atik Auto</v>
          </cell>
          <cell r="E198" t="str">
            <v>00562</v>
          </cell>
        </row>
        <row r="199">
          <cell r="D199" t="str">
            <v>M/S Atik Auto</v>
          </cell>
          <cell r="E199" t="str">
            <v>00562</v>
          </cell>
        </row>
        <row r="200">
          <cell r="D200" t="str">
            <v>M/S Atik Auto</v>
          </cell>
          <cell r="E200" t="str">
            <v>00562</v>
          </cell>
        </row>
        <row r="201">
          <cell r="D201" t="str">
            <v>M/S Atik Auto</v>
          </cell>
          <cell r="E201" t="str">
            <v>00562</v>
          </cell>
        </row>
        <row r="202">
          <cell r="D202" t="str">
            <v>M/S Samir Battery And Tyre</v>
          </cell>
          <cell r="E202" t="str">
            <v>01450</v>
          </cell>
        </row>
        <row r="203">
          <cell r="D203" t="str">
            <v>M/S Samir Battery And Tyre</v>
          </cell>
          <cell r="E203" t="str">
            <v>01450</v>
          </cell>
        </row>
        <row r="204">
          <cell r="D204" t="str">
            <v>M/S Allahar Dan Battery</v>
          </cell>
          <cell r="E204" t="str">
            <v>01466</v>
          </cell>
        </row>
        <row r="205">
          <cell r="D205" t="str">
            <v>M/S Allahar Dan Battery</v>
          </cell>
          <cell r="E205" t="str">
            <v>01466</v>
          </cell>
        </row>
        <row r="206">
          <cell r="D206" t="str">
            <v>M/S Power Battery</v>
          </cell>
          <cell r="E206" t="str">
            <v>00324</v>
          </cell>
        </row>
        <row r="207">
          <cell r="D207" t="str">
            <v>M/S Power Battery</v>
          </cell>
          <cell r="E207" t="str">
            <v>00324</v>
          </cell>
        </row>
        <row r="208">
          <cell r="D208" t="str">
            <v>M/S Maa Battery Service</v>
          </cell>
          <cell r="E208" t="str">
            <v>00327</v>
          </cell>
        </row>
        <row r="209">
          <cell r="D209" t="str">
            <v>M/S Maa Battery Service</v>
          </cell>
          <cell r="E209" t="str">
            <v>00327</v>
          </cell>
        </row>
        <row r="210">
          <cell r="D210" t="str">
            <v>M/S Rajapur IPS &amp; Battery House</v>
          </cell>
          <cell r="E210" t="str">
            <v>01400</v>
          </cell>
        </row>
        <row r="211">
          <cell r="D211" t="str">
            <v>M/S Shepon Motors (C)</v>
          </cell>
          <cell r="E211" t="str">
            <v>01438</v>
          </cell>
        </row>
        <row r="212">
          <cell r="D212" t="str">
            <v>M/S Modina Enterprise - Savar</v>
          </cell>
          <cell r="E212" t="str">
            <v>01404</v>
          </cell>
        </row>
        <row r="213">
          <cell r="D213" t="str">
            <v>M/S Modina Enterprise - Savar</v>
          </cell>
          <cell r="E213" t="str">
            <v>01404</v>
          </cell>
        </row>
        <row r="214">
          <cell r="D214" t="str">
            <v>M/S Farhan Battery &amp; Auto Parts</v>
          </cell>
          <cell r="E214" t="str">
            <v>01470</v>
          </cell>
        </row>
        <row r="215">
          <cell r="D215" t="str">
            <v>M/S Farhan Battery &amp; Auto Parts</v>
          </cell>
          <cell r="E215" t="str">
            <v>01470</v>
          </cell>
        </row>
        <row r="216">
          <cell r="D216" t="str">
            <v>M/S Minara Traders</v>
          </cell>
          <cell r="E216" t="str">
            <v>01108</v>
          </cell>
        </row>
        <row r="217">
          <cell r="D217" t="str">
            <v>M/S Mayer Doya Auto Parts-Feni</v>
          </cell>
          <cell r="E217" t="str">
            <v>00373</v>
          </cell>
        </row>
        <row r="218">
          <cell r="D218" t="str">
            <v>M/S Battery And IPS Bazar (C)</v>
          </cell>
          <cell r="E218" t="str">
            <v>01505</v>
          </cell>
        </row>
        <row r="219">
          <cell r="D219" t="str">
            <v>M/S Battery And IPS Bazar (C)</v>
          </cell>
          <cell r="E219" t="str">
            <v>01505</v>
          </cell>
        </row>
        <row r="220">
          <cell r="D220" t="str">
            <v>M/S Doyal Battery</v>
          </cell>
          <cell r="E220" t="str">
            <v>00337</v>
          </cell>
        </row>
        <row r="221">
          <cell r="D221" t="str">
            <v>M/S Doyal Battery</v>
          </cell>
          <cell r="E221" t="str">
            <v>00337</v>
          </cell>
        </row>
        <row r="222">
          <cell r="D222" t="str">
            <v>M/S Boalkhali Battery House (C)</v>
          </cell>
          <cell r="E222" t="str">
            <v>01550</v>
          </cell>
        </row>
        <row r="223">
          <cell r="D223" t="str">
            <v>M/S Satata Battery House (C)</v>
          </cell>
          <cell r="E223" t="str">
            <v>01517</v>
          </cell>
        </row>
        <row r="224">
          <cell r="D224" t="str">
            <v>M/S Satata Battery House (C)</v>
          </cell>
          <cell r="E224" t="str">
            <v>01517</v>
          </cell>
        </row>
        <row r="225">
          <cell r="D225" t="str">
            <v>M/S Samir Battery And Tyre</v>
          </cell>
          <cell r="E225" t="str">
            <v>01450</v>
          </cell>
        </row>
        <row r="226">
          <cell r="D226" t="str">
            <v>M/S Samir Battery And Tyre</v>
          </cell>
          <cell r="E226" t="str">
            <v>01450</v>
          </cell>
        </row>
        <row r="227">
          <cell r="D227" t="str">
            <v>M/S Al - Mokka Enterprise</v>
          </cell>
          <cell r="E227" t="str">
            <v>01112</v>
          </cell>
        </row>
        <row r="228">
          <cell r="D228" t="str">
            <v>M/S Arafat Enterprise</v>
          </cell>
          <cell r="E228" t="str">
            <v>00094</v>
          </cell>
        </row>
        <row r="229">
          <cell r="D229" t="str">
            <v>M/S Mahtab Engineering Workshop</v>
          </cell>
          <cell r="E229" t="str">
            <v>01429</v>
          </cell>
        </row>
        <row r="230">
          <cell r="D230" t="str">
            <v>M/S Mahtab Engineering Workshop</v>
          </cell>
          <cell r="E230" t="str">
            <v>01429</v>
          </cell>
        </row>
        <row r="231">
          <cell r="D231" t="str">
            <v>M/S Ma Tyre &amp; Battery  Shop</v>
          </cell>
          <cell r="E231" t="str">
            <v>00088</v>
          </cell>
        </row>
        <row r="232">
          <cell r="D232" t="str">
            <v>M/S Ma Tyre &amp; Battery  Shop</v>
          </cell>
          <cell r="E232" t="str">
            <v>00088</v>
          </cell>
        </row>
        <row r="233">
          <cell r="D233" t="str">
            <v>M/S Al - Mokka Enterprise (C)</v>
          </cell>
          <cell r="E233" t="str">
            <v>01553</v>
          </cell>
        </row>
        <row r="234">
          <cell r="D234" t="str">
            <v>M/S Shoshi Enterprise (C)</v>
          </cell>
          <cell r="E234" t="str">
            <v>01335</v>
          </cell>
        </row>
        <row r="235">
          <cell r="D235" t="str">
            <v>M/S Shoshi Enterprise (C)</v>
          </cell>
          <cell r="E235" t="str">
            <v>01335</v>
          </cell>
        </row>
        <row r="236">
          <cell r="D236" t="str">
            <v>M/S Monir Auto &amp; Battery House</v>
          </cell>
          <cell r="E236" t="str">
            <v>00001</v>
          </cell>
        </row>
        <row r="237">
          <cell r="D237" t="str">
            <v>M/S Adnan Tyre and Battery House</v>
          </cell>
          <cell r="E237" t="str">
            <v>01371</v>
          </cell>
        </row>
        <row r="238">
          <cell r="D238" t="str">
            <v>M/S Ripon Tyre and Battery (C)</v>
          </cell>
          <cell r="E238" t="str">
            <v>01557</v>
          </cell>
        </row>
        <row r="239">
          <cell r="D239" t="str">
            <v>M/S Ripon Tyre and Battery (C)</v>
          </cell>
          <cell r="E239" t="str">
            <v>01557</v>
          </cell>
        </row>
        <row r="240">
          <cell r="D240" t="str">
            <v>M/S Ripon Tyre and Battery (C)</v>
          </cell>
          <cell r="E240" t="str">
            <v>01557</v>
          </cell>
        </row>
        <row r="241">
          <cell r="D241" t="str">
            <v>M/S Ripon Tyre and Battery (C)</v>
          </cell>
          <cell r="E241" t="str">
            <v>01557</v>
          </cell>
        </row>
        <row r="242">
          <cell r="D242" t="str">
            <v>M/S Ripon Tyre and Battery (C)</v>
          </cell>
          <cell r="E242" t="str">
            <v>01557</v>
          </cell>
        </row>
        <row r="243">
          <cell r="D243" t="str">
            <v>M/S Ripon Tyre and Battery (C)</v>
          </cell>
          <cell r="E243" t="str">
            <v>01557</v>
          </cell>
        </row>
        <row r="244">
          <cell r="D244" t="str">
            <v>M/S Anas Enterprise (C)</v>
          </cell>
          <cell r="E244" t="str">
            <v>01551</v>
          </cell>
        </row>
        <row r="245">
          <cell r="D245" t="str">
            <v>M/S Anas Enterprise (C)</v>
          </cell>
          <cell r="E245" t="str">
            <v>01551</v>
          </cell>
        </row>
        <row r="246">
          <cell r="D246" t="str">
            <v>M/S Anas Enterprise (C)</v>
          </cell>
          <cell r="E246" t="str">
            <v>01551</v>
          </cell>
        </row>
        <row r="247">
          <cell r="D247" t="str">
            <v>M/S Ananna Battery &amp; Tyre</v>
          </cell>
          <cell r="E247" t="str">
            <v>01088</v>
          </cell>
        </row>
        <row r="248">
          <cell r="D248" t="str">
            <v>M/S Modina Enterprise - Savar</v>
          </cell>
          <cell r="E248" t="str">
            <v>01404</v>
          </cell>
        </row>
        <row r="249">
          <cell r="D249" t="str">
            <v>M/S Modina Enterprise - Savar</v>
          </cell>
          <cell r="E249" t="str">
            <v>01404</v>
          </cell>
        </row>
        <row r="250">
          <cell r="D250" t="str">
            <v>M/S Modina Cycle Store (C)</v>
          </cell>
          <cell r="E250" t="str">
            <v>01519</v>
          </cell>
        </row>
        <row r="251">
          <cell r="D251" t="str">
            <v>M/S New Dhaka Motors and Battery (C)</v>
          </cell>
          <cell r="E251" t="str">
            <v>01554</v>
          </cell>
        </row>
        <row r="252">
          <cell r="D252" t="str">
            <v>M/S Boalkhali Battery House (C)</v>
          </cell>
          <cell r="E252" t="str">
            <v>01550</v>
          </cell>
        </row>
        <row r="253">
          <cell r="D253" t="str">
            <v>M/S Boalkhali Battery House (C)</v>
          </cell>
          <cell r="E253" t="str">
            <v>01550</v>
          </cell>
        </row>
        <row r="254">
          <cell r="D254" t="str">
            <v>M/S Sangu Battery House</v>
          </cell>
          <cell r="E254" t="str">
            <v>00988</v>
          </cell>
        </row>
        <row r="255">
          <cell r="D255" t="str">
            <v>M/S Sangu Battery House</v>
          </cell>
          <cell r="E255" t="str">
            <v>00988</v>
          </cell>
        </row>
        <row r="256">
          <cell r="D256" t="str">
            <v>M/S Sangu Battery House</v>
          </cell>
          <cell r="E256" t="str">
            <v>00988</v>
          </cell>
        </row>
        <row r="257">
          <cell r="D257" t="str">
            <v>M/S Kalam Auto Motor Parts And Battery House</v>
          </cell>
          <cell r="E257" t="str">
            <v>00420</v>
          </cell>
        </row>
        <row r="258">
          <cell r="D258" t="str">
            <v>M/S Kalam Auto Motor Parts And Battery House</v>
          </cell>
          <cell r="E258" t="str">
            <v>00420</v>
          </cell>
        </row>
        <row r="259">
          <cell r="D259" t="str">
            <v>M/S S.K. Enterprise (C)</v>
          </cell>
          <cell r="E259" t="str">
            <v>01326</v>
          </cell>
        </row>
        <row r="260">
          <cell r="D260" t="str">
            <v>M/S S.K. Enterprise (C)</v>
          </cell>
          <cell r="E260" t="str">
            <v>01326</v>
          </cell>
        </row>
        <row r="261">
          <cell r="D261" t="str">
            <v>M/S Bashkhali Enterprise</v>
          </cell>
          <cell r="E261" t="str">
            <v>00424</v>
          </cell>
        </row>
        <row r="262">
          <cell r="D262" t="str">
            <v>M/S Banskhali Enterprise-Joldi (C)</v>
          </cell>
          <cell r="E262" t="str">
            <v>01312</v>
          </cell>
        </row>
        <row r="263">
          <cell r="D263" t="str">
            <v>M/S Banskhali Enterprise-Joldi (C)</v>
          </cell>
          <cell r="E263" t="str">
            <v>01312</v>
          </cell>
        </row>
        <row r="264">
          <cell r="D264" t="str">
            <v>M/S Shah Mojidia Motor Parts</v>
          </cell>
          <cell r="E264" t="str">
            <v>00842</v>
          </cell>
        </row>
        <row r="265">
          <cell r="D265" t="str">
            <v>M/S Saiful Motors</v>
          </cell>
          <cell r="E265" t="str">
            <v>00482</v>
          </cell>
        </row>
        <row r="266">
          <cell r="D266" t="str">
            <v>M/S Anas Battery &amp; Auto House</v>
          </cell>
          <cell r="E266" t="str">
            <v>01401</v>
          </cell>
        </row>
        <row r="267">
          <cell r="D267" t="str">
            <v>M/S Anas Battery &amp; Auto House</v>
          </cell>
          <cell r="E267" t="str">
            <v>01401</v>
          </cell>
        </row>
        <row r="268">
          <cell r="D268" t="str">
            <v>M/S Anik Motors &amp; Battery (C)</v>
          </cell>
          <cell r="E268" t="str">
            <v>01444</v>
          </cell>
        </row>
        <row r="269">
          <cell r="D269" t="str">
            <v>M/S Rajapur IPS &amp; Battery House</v>
          </cell>
          <cell r="E269" t="str">
            <v>01400</v>
          </cell>
        </row>
        <row r="270">
          <cell r="D270" t="str">
            <v>M/S A.P.L. Auto House</v>
          </cell>
          <cell r="E270" t="str">
            <v>00328</v>
          </cell>
        </row>
        <row r="271">
          <cell r="D271" t="str">
            <v>M/S A.P.L. Auto House</v>
          </cell>
          <cell r="E271" t="str">
            <v>00328</v>
          </cell>
        </row>
        <row r="272">
          <cell r="D272" t="str">
            <v>M/S A.P.L. Auto House</v>
          </cell>
          <cell r="E272" t="str">
            <v>00328</v>
          </cell>
        </row>
        <row r="273">
          <cell r="D273" t="str">
            <v>M/S A.P.L. Auto House</v>
          </cell>
          <cell r="E273" t="str">
            <v>00328</v>
          </cell>
        </row>
        <row r="274">
          <cell r="D274" t="str">
            <v>M/S Laksam Battery House</v>
          </cell>
          <cell r="E274" t="str">
            <v>00336</v>
          </cell>
        </row>
        <row r="275">
          <cell r="D275" t="str">
            <v>M/S Laksam Battery House</v>
          </cell>
          <cell r="E275" t="str">
            <v>00336</v>
          </cell>
        </row>
        <row r="276">
          <cell r="D276" t="str">
            <v>M/S Laksam Battery House</v>
          </cell>
          <cell r="E276" t="str">
            <v>00336</v>
          </cell>
        </row>
        <row r="277">
          <cell r="D277" t="str">
            <v>M/S Mayer Doya Auto Parts-Laksam</v>
          </cell>
          <cell r="E277" t="str">
            <v>00325</v>
          </cell>
        </row>
        <row r="278">
          <cell r="D278" t="str">
            <v>M/S Mayer Doya Auto Parts-Laksam</v>
          </cell>
          <cell r="E278" t="str">
            <v>00325</v>
          </cell>
        </row>
        <row r="279">
          <cell r="D279" t="str">
            <v>M/S Mayer Doya Auto Parts-Laksam</v>
          </cell>
          <cell r="E279" t="str">
            <v>00325</v>
          </cell>
        </row>
        <row r="280">
          <cell r="D280" t="str">
            <v>M/S S.S. Enterprise-Norshingdi (C)</v>
          </cell>
          <cell r="E280" t="str">
            <v>01331</v>
          </cell>
        </row>
        <row r="281">
          <cell r="D281" t="str">
            <v>M/S S.S. Enterprise-Norshingdi (C)</v>
          </cell>
          <cell r="E281" t="str">
            <v>01331</v>
          </cell>
        </row>
        <row r="282">
          <cell r="D282" t="str">
            <v>M/S S.S. Enterprise-Norshingdi</v>
          </cell>
          <cell r="E282" t="str">
            <v>01118</v>
          </cell>
        </row>
        <row r="283">
          <cell r="D283" t="str">
            <v>M/S S.S. Enterprise-Norshingdi</v>
          </cell>
          <cell r="E283" t="str">
            <v>01118</v>
          </cell>
        </row>
        <row r="284">
          <cell r="D284" t="str">
            <v>M/S S.K. Trading Corporation (C)</v>
          </cell>
          <cell r="E284" t="str">
            <v>01523</v>
          </cell>
        </row>
        <row r="285">
          <cell r="D285" t="str">
            <v>M/S Farhan Battery &amp; Auto Parts</v>
          </cell>
          <cell r="E285" t="str">
            <v>01470</v>
          </cell>
        </row>
        <row r="286">
          <cell r="D286" t="str">
            <v>M/S Bhai Bhai Battery And Motors (C)</v>
          </cell>
          <cell r="E286" t="str">
            <v>01496</v>
          </cell>
        </row>
        <row r="287">
          <cell r="D287" t="str">
            <v>M/S Bhai Bhai Battery And Motors (C)</v>
          </cell>
          <cell r="E287" t="str">
            <v>01496</v>
          </cell>
        </row>
        <row r="288">
          <cell r="D288" t="str">
            <v>M/S Jony Motors - Faridpur (C)</v>
          </cell>
          <cell r="E288" t="str">
            <v>01534</v>
          </cell>
        </row>
        <row r="289">
          <cell r="D289" t="str">
            <v>M/S Souro Power Electric</v>
          </cell>
          <cell r="E289" t="str">
            <v>01285</v>
          </cell>
        </row>
        <row r="290">
          <cell r="D290" t="str">
            <v>M/S Souro Power Electric</v>
          </cell>
          <cell r="E290" t="str">
            <v>01285</v>
          </cell>
        </row>
        <row r="291">
          <cell r="D291" t="str">
            <v>M/S M.R. Enterprise- Dinajpur (C)</v>
          </cell>
          <cell r="E291" t="str">
            <v>01520</v>
          </cell>
        </row>
        <row r="292">
          <cell r="D292" t="str">
            <v>M/S Nobodhara Corporation</v>
          </cell>
          <cell r="E292" t="str">
            <v>01352</v>
          </cell>
        </row>
        <row r="293">
          <cell r="D293" t="str">
            <v>M/S Rafiq Vi Battery &amp; Auto</v>
          </cell>
          <cell r="E293" t="str">
            <v>01405</v>
          </cell>
        </row>
        <row r="294">
          <cell r="D294" t="str">
            <v>M/S Babul Enterprise (C)</v>
          </cell>
          <cell r="E294" t="str">
            <v>01292</v>
          </cell>
        </row>
        <row r="295">
          <cell r="D295" t="str">
            <v>M/S Talukder Motors (C)</v>
          </cell>
          <cell r="E295" t="str">
            <v>01471</v>
          </cell>
        </row>
        <row r="296">
          <cell r="D296" t="str">
            <v>M/S Talukder Motors (C)</v>
          </cell>
          <cell r="E296" t="str">
            <v>01471</v>
          </cell>
        </row>
        <row r="297">
          <cell r="D297" t="str">
            <v>M/S Ira Motors</v>
          </cell>
          <cell r="E297" t="str">
            <v>00133</v>
          </cell>
        </row>
        <row r="298">
          <cell r="D298" t="str">
            <v>M/S Farhan Auto (C)</v>
          </cell>
          <cell r="E298" t="str">
            <v>01298</v>
          </cell>
        </row>
        <row r="299">
          <cell r="D299" t="str">
            <v>M/S Farhan Auto (C)</v>
          </cell>
          <cell r="E299" t="str">
            <v>01298</v>
          </cell>
        </row>
        <row r="300">
          <cell r="D300" t="str">
            <v>M/S Farhan Auto (C)</v>
          </cell>
          <cell r="E300" t="str">
            <v>01298</v>
          </cell>
        </row>
        <row r="301">
          <cell r="D301" t="str">
            <v>M/S Farhan Auto (C)</v>
          </cell>
          <cell r="E301" t="str">
            <v>01298</v>
          </cell>
        </row>
        <row r="302">
          <cell r="D302" t="str">
            <v>M/S Farhan Auto (C)</v>
          </cell>
          <cell r="E302" t="str">
            <v>01298</v>
          </cell>
        </row>
        <row r="303">
          <cell r="D303" t="str">
            <v>M/S Farhan Auto (C)</v>
          </cell>
          <cell r="E303" t="str">
            <v>01298</v>
          </cell>
        </row>
        <row r="304">
          <cell r="D304" t="str">
            <v>M/S L D Poribahan &amp; Trading (C)</v>
          </cell>
          <cell r="E304" t="str">
            <v>01299</v>
          </cell>
        </row>
        <row r="305">
          <cell r="D305" t="str">
            <v>M/S L D Poribahan &amp; Trading (C)</v>
          </cell>
          <cell r="E305" t="str">
            <v>01299</v>
          </cell>
        </row>
        <row r="306">
          <cell r="D306" t="str">
            <v>M/S Supreme Auto (C)</v>
          </cell>
          <cell r="E306" t="str">
            <v>01300</v>
          </cell>
        </row>
        <row r="307">
          <cell r="D307" t="str">
            <v>M/S Doyal Battery</v>
          </cell>
          <cell r="E307" t="str">
            <v>00337</v>
          </cell>
        </row>
        <row r="308">
          <cell r="D308" t="str">
            <v>M/S Doyal Battery</v>
          </cell>
          <cell r="E308" t="str">
            <v>00337</v>
          </cell>
        </row>
        <row r="309">
          <cell r="D309" t="str">
            <v>M/S Bondhu Auto and CNG Workshop</v>
          </cell>
          <cell r="E309" t="str">
            <v>01149</v>
          </cell>
        </row>
        <row r="310">
          <cell r="D310" t="str">
            <v>M/S Bondhu Auto and CNG Workshop</v>
          </cell>
          <cell r="E310" t="str">
            <v>01149</v>
          </cell>
        </row>
        <row r="311">
          <cell r="D311" t="str">
            <v>M/S Bondhu Auto and CNG Workshop</v>
          </cell>
          <cell r="E311" t="str">
            <v>01149</v>
          </cell>
        </row>
        <row r="312">
          <cell r="D312" t="str">
            <v>M/S Comilla Traders</v>
          </cell>
          <cell r="E312" t="str">
            <v>00334</v>
          </cell>
        </row>
        <row r="313">
          <cell r="D313" t="str">
            <v>M/S Fateha Battery</v>
          </cell>
          <cell r="E313" t="str">
            <v>00388</v>
          </cell>
        </row>
        <row r="314">
          <cell r="D314" t="str">
            <v>M/S Fateha Battery</v>
          </cell>
          <cell r="E314" t="str">
            <v>00388</v>
          </cell>
        </row>
        <row r="315">
          <cell r="D315" t="str">
            <v>M/S Fateha Battery</v>
          </cell>
          <cell r="E315" t="str">
            <v>00388</v>
          </cell>
        </row>
        <row r="316">
          <cell r="D316" t="str">
            <v>M/S City Auto</v>
          </cell>
          <cell r="E316" t="str">
            <v>00398</v>
          </cell>
        </row>
        <row r="317">
          <cell r="D317" t="str">
            <v>M/S Mayer Doya Auto Parts-Laksam</v>
          </cell>
          <cell r="E317" t="str">
            <v>00325</v>
          </cell>
        </row>
        <row r="318">
          <cell r="D318" t="str">
            <v>M/S Mayer Doya Auto Parts-Laksam</v>
          </cell>
          <cell r="E318" t="str">
            <v>00325</v>
          </cell>
        </row>
        <row r="319">
          <cell r="D319" t="str">
            <v>M/S Mayer Doya Auto Parts-Laksam</v>
          </cell>
          <cell r="E319" t="str">
            <v>00325</v>
          </cell>
        </row>
        <row r="320">
          <cell r="D320" t="str">
            <v>M/S Mayer Doya Auto Parts-Laksam</v>
          </cell>
          <cell r="E320" t="str">
            <v>00325</v>
          </cell>
        </row>
        <row r="321">
          <cell r="D321" t="str">
            <v>M/S Shoshi Enterprise (C)</v>
          </cell>
          <cell r="E321" t="str">
            <v>01335</v>
          </cell>
        </row>
        <row r="322">
          <cell r="D322" t="str">
            <v>M/S Shoshi Enterprise (C)</v>
          </cell>
          <cell r="E322" t="str">
            <v>01335</v>
          </cell>
        </row>
        <row r="323">
          <cell r="D323" t="str">
            <v>M/S Samir Battery And Tyre</v>
          </cell>
          <cell r="E323" t="str">
            <v>01450</v>
          </cell>
        </row>
        <row r="324">
          <cell r="D324" t="str">
            <v>M/S Samir Battery And Tyre</v>
          </cell>
          <cell r="E324" t="str">
            <v>01450</v>
          </cell>
        </row>
        <row r="325">
          <cell r="D325" t="str">
            <v>M/S Allahar Dan Battery</v>
          </cell>
          <cell r="E325" t="str">
            <v>01466</v>
          </cell>
        </row>
        <row r="326">
          <cell r="D326" t="str">
            <v>M/S Allahar Dan Battery</v>
          </cell>
          <cell r="E326" t="str">
            <v>01466</v>
          </cell>
        </row>
        <row r="327">
          <cell r="D327" t="str">
            <v>M/S Modina Cycle Store (C)</v>
          </cell>
          <cell r="E327" t="str">
            <v>01519</v>
          </cell>
        </row>
        <row r="328">
          <cell r="D328" t="str">
            <v>M/S Monir Auto &amp; Battery House</v>
          </cell>
          <cell r="E328" t="str">
            <v>00001</v>
          </cell>
        </row>
        <row r="329">
          <cell r="D329" t="str">
            <v>M/S Monir Auto &amp; Battery House</v>
          </cell>
          <cell r="E329" t="str">
            <v>00001</v>
          </cell>
        </row>
        <row r="330">
          <cell r="D330" t="str">
            <v>M/S Monir Auto &amp; Battery House</v>
          </cell>
          <cell r="E330" t="str">
            <v>00001</v>
          </cell>
        </row>
        <row r="331">
          <cell r="D331" t="str">
            <v>M/S Monir Auto &amp; Battery House</v>
          </cell>
          <cell r="E331" t="str">
            <v>00001</v>
          </cell>
        </row>
        <row r="332">
          <cell r="D332" t="str">
            <v>M/S Anas Enterprise</v>
          </cell>
          <cell r="E332" t="str">
            <v>00817</v>
          </cell>
        </row>
        <row r="333">
          <cell r="D333" t="str">
            <v>M/S Anas Enterprise</v>
          </cell>
          <cell r="E333" t="str">
            <v>00817</v>
          </cell>
        </row>
        <row r="334">
          <cell r="D334" t="str">
            <v>M/S Khan Battery Recycling (C)</v>
          </cell>
          <cell r="E334" t="str">
            <v>01282</v>
          </cell>
        </row>
        <row r="335">
          <cell r="D335" t="str">
            <v>M/S Modina Enterprise - Savar</v>
          </cell>
          <cell r="E335" t="str">
            <v>01404</v>
          </cell>
        </row>
        <row r="336">
          <cell r="D336" t="str">
            <v>M/S Setu Cycle Mart</v>
          </cell>
          <cell r="E336" t="str">
            <v>00471</v>
          </cell>
        </row>
        <row r="337">
          <cell r="D337" t="str">
            <v>M/S Setu Cycle Mart</v>
          </cell>
          <cell r="E337" t="str">
            <v>00471</v>
          </cell>
        </row>
        <row r="338">
          <cell r="D338" t="str">
            <v>M/S Setu Cycle Mart</v>
          </cell>
          <cell r="E338" t="str">
            <v>00471</v>
          </cell>
        </row>
        <row r="339">
          <cell r="D339" t="str">
            <v>M/S Shah Mojidia Motor Parts</v>
          </cell>
          <cell r="E339" t="str">
            <v>00842</v>
          </cell>
        </row>
        <row r="340">
          <cell r="D340" t="str">
            <v>M/S Shah Mojidia Motor Parts</v>
          </cell>
          <cell r="E340" t="str">
            <v>00842</v>
          </cell>
        </row>
        <row r="341">
          <cell r="D341" t="str">
            <v>M/S Saiful Motors</v>
          </cell>
          <cell r="E341" t="str">
            <v>00482</v>
          </cell>
        </row>
        <row r="342">
          <cell r="D342" t="str">
            <v>M/S S.K. Enterprise (C)</v>
          </cell>
          <cell r="E342" t="str">
            <v>01326</v>
          </cell>
        </row>
        <row r="343">
          <cell r="D343" t="str">
            <v>M/S S.K. Enterprise (C)</v>
          </cell>
          <cell r="E343" t="str">
            <v>01326</v>
          </cell>
        </row>
        <row r="344">
          <cell r="D344" t="str">
            <v>M/S S.K. Enterprise (C)</v>
          </cell>
          <cell r="E344" t="str">
            <v>01326</v>
          </cell>
        </row>
        <row r="345">
          <cell r="D345" t="str">
            <v>M/S Boalkhali Battery House (C)</v>
          </cell>
          <cell r="E345" t="str">
            <v>01550</v>
          </cell>
        </row>
        <row r="346">
          <cell r="D346" t="str">
            <v>M/S Sangu Battery House</v>
          </cell>
          <cell r="E346" t="str">
            <v>00988</v>
          </cell>
        </row>
        <row r="347">
          <cell r="D347" t="str">
            <v>M/S Sangu Battery House</v>
          </cell>
          <cell r="E347" t="str">
            <v>00988</v>
          </cell>
        </row>
        <row r="348">
          <cell r="D348" t="str">
            <v>M/S Sangu Battery House</v>
          </cell>
          <cell r="E348" t="str">
            <v>00988</v>
          </cell>
        </row>
        <row r="349">
          <cell r="D349" t="str">
            <v>M/S Macca Tyre And battery House</v>
          </cell>
          <cell r="E349" t="str">
            <v>00439</v>
          </cell>
        </row>
        <row r="350">
          <cell r="D350" t="str">
            <v>M/S Kalam Auto Motor Parts And Battery House</v>
          </cell>
          <cell r="E350" t="str">
            <v>00420</v>
          </cell>
        </row>
        <row r="351">
          <cell r="D351" t="str">
            <v>M/S Banskhali Enterprise-Joldi (C)</v>
          </cell>
          <cell r="E351" t="str">
            <v>01312</v>
          </cell>
        </row>
        <row r="352">
          <cell r="D352" t="str">
            <v>M/S Boalkhali Battery House (C)</v>
          </cell>
          <cell r="E352" t="str">
            <v>01550</v>
          </cell>
        </row>
        <row r="353">
          <cell r="D353" t="str">
            <v>M/S Anas Battery &amp; Auto House</v>
          </cell>
          <cell r="E353" t="str">
            <v>01401</v>
          </cell>
        </row>
        <row r="354">
          <cell r="D354" t="str">
            <v>M/S Anas Battery &amp; Auto House</v>
          </cell>
          <cell r="E354" t="str">
            <v>01401</v>
          </cell>
        </row>
        <row r="355">
          <cell r="D355" t="str">
            <v>M/S Laksam Battery House</v>
          </cell>
          <cell r="E355" t="str">
            <v>00336</v>
          </cell>
        </row>
        <row r="356">
          <cell r="D356" t="str">
            <v>M/S Anik Motors &amp; Battery (C)</v>
          </cell>
          <cell r="E356" t="str">
            <v>01444</v>
          </cell>
        </row>
        <row r="357">
          <cell r="D357" t="str">
            <v>M/S Mokka Motors-Cumilla (C)</v>
          </cell>
          <cell r="E357" t="str">
            <v>01481</v>
          </cell>
        </row>
        <row r="358">
          <cell r="D358" t="str">
            <v>M/S Payar Auto Electric Works</v>
          </cell>
          <cell r="E358" t="str">
            <v>00371</v>
          </cell>
        </row>
        <row r="359">
          <cell r="D359" t="str">
            <v>M/S Khalaq Motors-Feni</v>
          </cell>
          <cell r="E359" t="str">
            <v>01133</v>
          </cell>
        </row>
        <row r="360">
          <cell r="D360" t="str">
            <v>M/S Unique Battery and Solar</v>
          </cell>
          <cell r="E360" t="str">
            <v>01157</v>
          </cell>
        </row>
        <row r="361">
          <cell r="D361" t="str">
            <v>M/S Rajapur IPS &amp; Battery House</v>
          </cell>
          <cell r="E361" t="str">
            <v>01400</v>
          </cell>
        </row>
        <row r="362">
          <cell r="D362" t="str">
            <v>M/S S.S. Enterprise-Norshingdi</v>
          </cell>
          <cell r="E362" t="str">
            <v>01118</v>
          </cell>
        </row>
        <row r="363">
          <cell r="D363" t="str">
            <v>M/S S.S. Enterprise-Norshingdi</v>
          </cell>
          <cell r="E363" t="str">
            <v>01118</v>
          </cell>
        </row>
        <row r="364">
          <cell r="D364" t="str">
            <v>M/S S.S. Enterprise-Norshingdi</v>
          </cell>
          <cell r="E364" t="str">
            <v>01118</v>
          </cell>
        </row>
        <row r="365">
          <cell r="D365" t="str">
            <v>M/S Shahjalal Traders</v>
          </cell>
          <cell r="E365" t="str">
            <v>01362</v>
          </cell>
        </row>
        <row r="366">
          <cell r="D366" t="str">
            <v>M/S Doyal Battery (C)</v>
          </cell>
          <cell r="E366" t="str">
            <v>01308</v>
          </cell>
        </row>
        <row r="367">
          <cell r="D367" t="str">
            <v>M/S Doyal Battery (C)</v>
          </cell>
          <cell r="E367" t="str">
            <v>01308</v>
          </cell>
        </row>
        <row r="368">
          <cell r="D368" t="str">
            <v>M/S Amir Auto House</v>
          </cell>
          <cell r="E368" t="str">
            <v>00138</v>
          </cell>
        </row>
        <row r="369">
          <cell r="D369" t="str">
            <v>M/S Amir Auto House</v>
          </cell>
          <cell r="E369" t="str">
            <v>00138</v>
          </cell>
        </row>
        <row r="370">
          <cell r="D370" t="str">
            <v>M/S Adhunik Enterprise</v>
          </cell>
          <cell r="E370" t="str">
            <v>01122</v>
          </cell>
        </row>
        <row r="371">
          <cell r="D371" t="str">
            <v>M/S S.B. Energy (C)</v>
          </cell>
          <cell r="E371" t="str">
            <v>01288</v>
          </cell>
        </row>
        <row r="372">
          <cell r="D372" t="str">
            <v>M/S S.B. Energy (C)</v>
          </cell>
          <cell r="E372" t="str">
            <v>01288</v>
          </cell>
        </row>
        <row r="373">
          <cell r="D373" t="str">
            <v>M/S S.B. Energy (C)</v>
          </cell>
          <cell r="E373" t="str">
            <v>01288</v>
          </cell>
        </row>
        <row r="374">
          <cell r="D374" t="str">
            <v>M/S S.B. Energy (C)</v>
          </cell>
          <cell r="E374" t="str">
            <v>01288</v>
          </cell>
        </row>
        <row r="375">
          <cell r="D375" t="str">
            <v>M/S S.B. Energy (C)</v>
          </cell>
          <cell r="E375" t="str">
            <v>01288</v>
          </cell>
        </row>
        <row r="376">
          <cell r="D376" t="str">
            <v>M/S Rumi Battery House</v>
          </cell>
          <cell r="E376" t="str">
            <v>00387</v>
          </cell>
        </row>
        <row r="377">
          <cell r="D377" t="str">
            <v>M/S City Auto</v>
          </cell>
          <cell r="E377" t="str">
            <v>00398</v>
          </cell>
        </row>
        <row r="378">
          <cell r="D378" t="str">
            <v>M/S S.M. Enterprise- Sunamgonj</v>
          </cell>
          <cell r="E378" t="str">
            <v>00390</v>
          </cell>
        </row>
        <row r="379">
          <cell r="D379" t="str">
            <v>M/S Ira Motors</v>
          </cell>
          <cell r="E379" t="str">
            <v>00133</v>
          </cell>
        </row>
        <row r="380">
          <cell r="D380" t="str">
            <v>M/S Ira Motors</v>
          </cell>
          <cell r="E380" t="str">
            <v>00133</v>
          </cell>
        </row>
        <row r="381">
          <cell r="D381" t="str">
            <v>M/S Ira Motors</v>
          </cell>
          <cell r="E381" t="str">
            <v>00133</v>
          </cell>
        </row>
        <row r="382">
          <cell r="D382" t="str">
            <v>M/S Al - Barakah Battery &amp; Auto Parts (C)</v>
          </cell>
          <cell r="E382" t="str">
            <v>01562</v>
          </cell>
        </row>
        <row r="383">
          <cell r="D383" t="str">
            <v>M/S Farhan Battery &amp; Auto Parts</v>
          </cell>
          <cell r="E383" t="str">
            <v>01470</v>
          </cell>
        </row>
        <row r="384">
          <cell r="D384" t="str">
            <v>M/S Bhai Bhai Battery And Motors (C)</v>
          </cell>
          <cell r="E384" t="str">
            <v>01496</v>
          </cell>
        </row>
        <row r="385">
          <cell r="D385" t="str">
            <v>M/S Bhai Bhai Battery And Motors (C)</v>
          </cell>
          <cell r="E385" t="str">
            <v>01496</v>
          </cell>
        </row>
        <row r="386">
          <cell r="D386" t="str">
            <v>M/S Jamuna Battery House (C)</v>
          </cell>
          <cell r="E386" t="str">
            <v>01558</v>
          </cell>
        </row>
        <row r="387">
          <cell r="D387" t="str">
            <v>M/S Shopon Battery House (C)</v>
          </cell>
          <cell r="E387" t="str">
            <v>01320</v>
          </cell>
        </row>
        <row r="388">
          <cell r="D388" t="str">
            <v>M/S Shopon Battery House (C)</v>
          </cell>
          <cell r="E388" t="str">
            <v>01320</v>
          </cell>
        </row>
        <row r="389">
          <cell r="D389" t="str">
            <v>M/S Jhenaidah Bike Center  (C)</v>
          </cell>
          <cell r="E389" t="str">
            <v>01536</v>
          </cell>
        </row>
        <row r="390">
          <cell r="D390" t="str">
            <v>M/S Lamia Battery (C)</v>
          </cell>
          <cell r="E390" t="str">
            <v>01345</v>
          </cell>
        </row>
        <row r="391">
          <cell r="D391" t="str">
            <v>M/S Housing Auto Bike</v>
          </cell>
          <cell r="E391" t="str">
            <v>00598</v>
          </cell>
        </row>
        <row r="392">
          <cell r="D392" t="str">
            <v>M/S Nobodhara Corporation</v>
          </cell>
          <cell r="E392" t="str">
            <v>01352</v>
          </cell>
        </row>
        <row r="393">
          <cell r="D393" t="str">
            <v>M/S Sompa Cycle Store (C)</v>
          </cell>
          <cell r="E393" t="str">
            <v>01545</v>
          </cell>
        </row>
        <row r="394">
          <cell r="D394" t="str">
            <v>M/S Bogura Auto Center (C)</v>
          </cell>
          <cell r="E394" t="str">
            <v>01468</v>
          </cell>
        </row>
        <row r="395">
          <cell r="D395" t="str">
            <v>M/S Bogura Auto Center (C)</v>
          </cell>
          <cell r="E395" t="str">
            <v>01468</v>
          </cell>
        </row>
        <row r="396">
          <cell r="D396" t="str">
            <v>M/S Rakin Auto Parts</v>
          </cell>
          <cell r="E396" t="str">
            <v>00561</v>
          </cell>
        </row>
        <row r="397">
          <cell r="D397" t="str">
            <v>M/S Rakin Auto Parts</v>
          </cell>
          <cell r="E397" t="str">
            <v>00561</v>
          </cell>
        </row>
        <row r="398">
          <cell r="D398" t="str">
            <v>M/S Farhan Auto (C)</v>
          </cell>
          <cell r="E398" t="str">
            <v>01298</v>
          </cell>
        </row>
        <row r="399">
          <cell r="D399" t="str">
            <v>M/S Farhan Auto (C)</v>
          </cell>
          <cell r="E399" t="str">
            <v>01298</v>
          </cell>
        </row>
        <row r="400">
          <cell r="D400" t="str">
            <v>M/S L D Poribahan &amp; Trading (C)</v>
          </cell>
          <cell r="E400" t="str">
            <v>01299</v>
          </cell>
        </row>
        <row r="401">
          <cell r="D401" t="str">
            <v>M/S L D Poribahan &amp; Trading (C)</v>
          </cell>
          <cell r="E401" t="str">
            <v>01299</v>
          </cell>
        </row>
        <row r="402">
          <cell r="D402" t="str">
            <v>M/S Supreme Auto (C)</v>
          </cell>
          <cell r="E402" t="str">
            <v>01300</v>
          </cell>
        </row>
        <row r="403">
          <cell r="D403" t="str">
            <v>M/S Aminul Battery House</v>
          </cell>
          <cell r="E403" t="str">
            <v>01250</v>
          </cell>
        </row>
        <row r="404">
          <cell r="D404" t="str">
            <v>M/S Satata Battery House (C)</v>
          </cell>
          <cell r="E404" t="str">
            <v>01517</v>
          </cell>
        </row>
        <row r="405">
          <cell r="D405" t="str">
            <v>M/S Satata Battery House (C)</v>
          </cell>
          <cell r="E405" t="str">
            <v>01517</v>
          </cell>
        </row>
        <row r="406">
          <cell r="D406" t="str">
            <v>M/S Allahar Dan Battery</v>
          </cell>
          <cell r="E406" t="str">
            <v>01466</v>
          </cell>
        </row>
        <row r="407">
          <cell r="D407" t="str">
            <v>M/S S.S. Enterprise-Norshingdi</v>
          </cell>
          <cell r="E407" t="str">
            <v>01118</v>
          </cell>
        </row>
        <row r="408">
          <cell r="D408" t="str">
            <v>M/S Samir Battery And Tyre</v>
          </cell>
          <cell r="E408" t="str">
            <v>01450</v>
          </cell>
        </row>
        <row r="409">
          <cell r="D409" t="str">
            <v>M/S Modina Enterprise - Savar</v>
          </cell>
          <cell r="E409" t="str">
            <v>01404</v>
          </cell>
        </row>
        <row r="410">
          <cell r="D410" t="str">
            <v>M/S Modina Enterprise - Savar</v>
          </cell>
          <cell r="E410" t="str">
            <v>01404</v>
          </cell>
        </row>
        <row r="411">
          <cell r="D411" t="str">
            <v>M/S Monir Auto &amp; Battery House</v>
          </cell>
          <cell r="E411" t="str">
            <v>00001</v>
          </cell>
        </row>
        <row r="412">
          <cell r="D412" t="str">
            <v>M/S Monir Auto &amp; Battery House</v>
          </cell>
          <cell r="E412" t="str">
            <v>00001</v>
          </cell>
        </row>
        <row r="413">
          <cell r="D413" t="str">
            <v>M/S Hemayetpur Battery House (C)</v>
          </cell>
          <cell r="E413" t="str">
            <v>01478</v>
          </cell>
        </row>
        <row r="414">
          <cell r="D414" t="str">
            <v>M/S Anas Enterprise (C)</v>
          </cell>
          <cell r="E414" t="str">
            <v>01551</v>
          </cell>
        </row>
        <row r="415">
          <cell r="D415" t="str">
            <v>M/S Anas Enterprise (C)</v>
          </cell>
          <cell r="E415" t="str">
            <v>01551</v>
          </cell>
        </row>
        <row r="416">
          <cell r="D416" t="str">
            <v>M/S Ripon Tyre and Battery (C)</v>
          </cell>
          <cell r="E416" t="str">
            <v>01557</v>
          </cell>
        </row>
        <row r="417">
          <cell r="D417" t="str">
            <v>M/S Khan Battery Recycling (C)</v>
          </cell>
          <cell r="E417" t="str">
            <v>01282</v>
          </cell>
        </row>
        <row r="418">
          <cell r="D418" t="str">
            <v>M/S Khan Battery Recycling (C)</v>
          </cell>
          <cell r="E418" t="str">
            <v>01282</v>
          </cell>
        </row>
        <row r="419">
          <cell r="D419" t="str">
            <v>M/S Adnan Tyre and Battery House</v>
          </cell>
          <cell r="E419" t="str">
            <v>01371</v>
          </cell>
        </row>
        <row r="420">
          <cell r="D420" t="str">
            <v>M/S Arafat Enterprise</v>
          </cell>
          <cell r="E420" t="str">
            <v>00094</v>
          </cell>
        </row>
        <row r="421">
          <cell r="D421" t="str">
            <v>M/S Sowa Motors &amp; Battery Shop (C)</v>
          </cell>
          <cell r="E421" t="str">
            <v>01287</v>
          </cell>
        </row>
        <row r="422">
          <cell r="D422" t="str">
            <v>M/S Sowa Motors &amp; Battery Shop (C)</v>
          </cell>
          <cell r="E422" t="str">
            <v>01287</v>
          </cell>
        </row>
        <row r="423">
          <cell r="D423" t="str">
            <v>M/S Sowa Motors &amp; Battery Shop (C)</v>
          </cell>
          <cell r="E423" t="str">
            <v>01287</v>
          </cell>
        </row>
        <row r="424">
          <cell r="D424" t="str">
            <v>M/S Sowa Motors &amp; Battery Shop (C)</v>
          </cell>
          <cell r="E424" t="str">
            <v>01287</v>
          </cell>
        </row>
        <row r="425">
          <cell r="D425" t="str">
            <v>M/S Al - Mokka Enterprise (C)</v>
          </cell>
          <cell r="E425" t="str">
            <v>01553</v>
          </cell>
        </row>
        <row r="426">
          <cell r="D426" t="str">
            <v>M/S Al - Mokka Enterprise (C)</v>
          </cell>
          <cell r="E426" t="str">
            <v>01553</v>
          </cell>
        </row>
        <row r="427">
          <cell r="D427" t="str">
            <v>M/S Bondhu Auto and CNG Workshop</v>
          </cell>
          <cell r="E427" t="str">
            <v>01149</v>
          </cell>
        </row>
        <row r="428">
          <cell r="D428" t="str">
            <v>M/S Bondhu Auto and CNG Workshop</v>
          </cell>
          <cell r="E428" t="str">
            <v>01149</v>
          </cell>
        </row>
        <row r="429">
          <cell r="D429" t="str">
            <v>M/S Bondhu Auto and CNG Workshop</v>
          </cell>
          <cell r="E429" t="str">
            <v>01149</v>
          </cell>
        </row>
        <row r="430">
          <cell r="D430" t="str">
            <v>M/S Bondhu Auto and CNG Workshop</v>
          </cell>
          <cell r="E430" t="str">
            <v>01149</v>
          </cell>
        </row>
        <row r="431">
          <cell r="D431" t="str">
            <v>M/S Adhunik Enterprise</v>
          </cell>
          <cell r="E431" t="str">
            <v>01122</v>
          </cell>
        </row>
        <row r="432">
          <cell r="D432" t="str">
            <v>M/S Comilla Traders</v>
          </cell>
          <cell r="E432" t="str">
            <v>00334</v>
          </cell>
        </row>
        <row r="433">
          <cell r="D433" t="str">
            <v>M/S City Auto</v>
          </cell>
          <cell r="E433" t="str">
            <v>00398</v>
          </cell>
        </row>
        <row r="434">
          <cell r="D434" t="str">
            <v>M/S City Auto</v>
          </cell>
          <cell r="E434" t="str">
            <v>00398</v>
          </cell>
        </row>
        <row r="435">
          <cell r="D435" t="str">
            <v>M/S S.K. Enterprise (C)</v>
          </cell>
          <cell r="E435" t="str">
            <v>01326</v>
          </cell>
        </row>
        <row r="436">
          <cell r="D436" t="str">
            <v>M/S S.K. Enterprise (C)</v>
          </cell>
          <cell r="E436" t="str">
            <v>01326</v>
          </cell>
        </row>
        <row r="437">
          <cell r="D437" t="str">
            <v>M/S Bashkhali Enterprise</v>
          </cell>
          <cell r="E437" t="str">
            <v>00424</v>
          </cell>
        </row>
        <row r="438">
          <cell r="D438" t="str">
            <v>M/S Bashkhali Enterprise</v>
          </cell>
          <cell r="E438" t="str">
            <v>00424</v>
          </cell>
        </row>
        <row r="439">
          <cell r="D439" t="str">
            <v>M/S Bashkhali Enterprise</v>
          </cell>
          <cell r="E439" t="str">
            <v>00424</v>
          </cell>
        </row>
        <row r="440">
          <cell r="D440" t="str">
            <v>M/S Sangu Battery House</v>
          </cell>
          <cell r="E440" t="str">
            <v>00988</v>
          </cell>
        </row>
        <row r="441">
          <cell r="D441" t="str">
            <v>M/S Sangu Battery House</v>
          </cell>
          <cell r="E441" t="str">
            <v>00988</v>
          </cell>
        </row>
        <row r="442">
          <cell r="D442" t="str">
            <v>M/S Sangu Battery House</v>
          </cell>
          <cell r="E442" t="str">
            <v>00988</v>
          </cell>
        </row>
        <row r="443">
          <cell r="D443" t="str">
            <v>M/S Macca Tyre And battery House</v>
          </cell>
          <cell r="E443" t="str">
            <v>00439</v>
          </cell>
        </row>
        <row r="444">
          <cell r="D444" t="str">
            <v>M/S Boalkhali Battery House (C)</v>
          </cell>
          <cell r="E444" t="str">
            <v>01550</v>
          </cell>
        </row>
        <row r="445">
          <cell r="D445" t="str">
            <v>M/S Banskhali Enterprise-Joldi (C)</v>
          </cell>
          <cell r="E445" t="str">
            <v>01312</v>
          </cell>
        </row>
        <row r="446">
          <cell r="D446" t="str">
            <v>M/S Banskhali Enterprise-Joldi (C)</v>
          </cell>
          <cell r="E446" t="str">
            <v>01312</v>
          </cell>
        </row>
        <row r="447">
          <cell r="D447" t="str">
            <v>M/S Setu Cycle Mart</v>
          </cell>
          <cell r="E447" t="str">
            <v>00471</v>
          </cell>
        </row>
        <row r="448">
          <cell r="D448" t="str">
            <v>M/S Setu Cycle Mart</v>
          </cell>
          <cell r="E448" t="str">
            <v>00471</v>
          </cell>
        </row>
        <row r="449">
          <cell r="D449" t="str">
            <v>M/S Setu Cycle Mart</v>
          </cell>
          <cell r="E449" t="str">
            <v>00471</v>
          </cell>
        </row>
        <row r="450">
          <cell r="D450" t="str">
            <v>M/S Setu Cycle Mart</v>
          </cell>
          <cell r="E450" t="str">
            <v>00471</v>
          </cell>
        </row>
        <row r="451">
          <cell r="D451" t="str">
            <v>M/S Setu Cycle Mart</v>
          </cell>
          <cell r="E451" t="str">
            <v>00471</v>
          </cell>
        </row>
        <row r="452">
          <cell r="D452" t="str">
            <v>M/S Setu Cycle Mart</v>
          </cell>
          <cell r="E452" t="str">
            <v>00471</v>
          </cell>
        </row>
        <row r="453">
          <cell r="D453" t="str">
            <v>M/S Shah Mojidia Motor Parts</v>
          </cell>
          <cell r="E453" t="str">
            <v>00842</v>
          </cell>
        </row>
        <row r="454">
          <cell r="D454" t="str">
            <v>M/S Shah Mojidia Motor Parts</v>
          </cell>
          <cell r="E454" t="str">
            <v>00842</v>
          </cell>
        </row>
        <row r="455">
          <cell r="D455" t="str">
            <v>M/S Sohan Motors</v>
          </cell>
          <cell r="E455" t="str">
            <v>01385</v>
          </cell>
        </row>
        <row r="456">
          <cell r="D456" t="str">
            <v>M/S Sohan Motors</v>
          </cell>
          <cell r="E456" t="str">
            <v>01385</v>
          </cell>
        </row>
        <row r="457">
          <cell r="D457" t="str">
            <v>M/S Hafiz Battery House</v>
          </cell>
          <cell r="E457" t="str">
            <v>01368</v>
          </cell>
        </row>
        <row r="458">
          <cell r="D458" t="str">
            <v>M/S Bismillah Motors-Hinla</v>
          </cell>
          <cell r="E458" t="str">
            <v>01448</v>
          </cell>
        </row>
        <row r="459">
          <cell r="D459" t="str">
            <v>M/S Bismillah Motors-Hinla</v>
          </cell>
          <cell r="E459" t="str">
            <v>01448</v>
          </cell>
        </row>
        <row r="460">
          <cell r="D460" t="str">
            <v>M/S Farhan Auto (C)</v>
          </cell>
          <cell r="E460" t="str">
            <v>01298</v>
          </cell>
        </row>
        <row r="461">
          <cell r="D461" t="str">
            <v>M/S Farhan Auto (C)</v>
          </cell>
          <cell r="E461" t="str">
            <v>01298</v>
          </cell>
        </row>
        <row r="462">
          <cell r="D462" t="str">
            <v>M/S Farhan Auto (C)</v>
          </cell>
          <cell r="E462" t="str">
            <v>01298</v>
          </cell>
        </row>
        <row r="463">
          <cell r="D463" t="str">
            <v>M/S Farhan Auto (C)</v>
          </cell>
          <cell r="E463" t="str">
            <v>01298</v>
          </cell>
        </row>
        <row r="464">
          <cell r="D464" t="str">
            <v>M/S L D Poribahan &amp; Trading (C)</v>
          </cell>
          <cell r="E464" t="str">
            <v>01299</v>
          </cell>
        </row>
        <row r="465">
          <cell r="D465" t="str">
            <v>M/S L D Poribahan &amp; Trading (C)</v>
          </cell>
          <cell r="E465" t="str">
            <v>01299</v>
          </cell>
        </row>
        <row r="466">
          <cell r="D466" t="str">
            <v>M/S L D Poribahan &amp; Trading (C)</v>
          </cell>
          <cell r="E466" t="str">
            <v>01299</v>
          </cell>
        </row>
        <row r="467">
          <cell r="D467" t="str">
            <v>M/S Eva Grill Workshop &amp; Hardware</v>
          </cell>
          <cell r="E467" t="str">
            <v>01440</v>
          </cell>
        </row>
        <row r="468">
          <cell r="D468" t="str">
            <v>M/S Babul Enterprise (C)</v>
          </cell>
          <cell r="E468" t="str">
            <v>01292</v>
          </cell>
        </row>
        <row r="469">
          <cell r="D469" t="str">
            <v>M/S Ira Motors</v>
          </cell>
          <cell r="E469" t="str">
            <v>00133</v>
          </cell>
        </row>
        <row r="470">
          <cell r="D470" t="str">
            <v>M/S Ira Motors</v>
          </cell>
          <cell r="E470" t="str">
            <v>00133</v>
          </cell>
        </row>
        <row r="471">
          <cell r="D471" t="str">
            <v>M/S Bogura Auto Center (C)</v>
          </cell>
          <cell r="E471" t="str">
            <v>01468</v>
          </cell>
        </row>
        <row r="472">
          <cell r="D472" t="str">
            <v>M/S Bogura Auto Center (C)</v>
          </cell>
          <cell r="E472" t="str">
            <v>01468</v>
          </cell>
        </row>
        <row r="473">
          <cell r="D473" t="str">
            <v>M/S Al-Amin Cycle &amp; Auto Parts (C)</v>
          </cell>
          <cell r="E473" t="str">
            <v>01507</v>
          </cell>
        </row>
        <row r="474">
          <cell r="D474" t="str">
            <v>M/S Maa Auto Workshop &amp; Battery Center (C)</v>
          </cell>
          <cell r="E474" t="str">
            <v>01497</v>
          </cell>
        </row>
        <row r="475">
          <cell r="D475" t="str">
            <v>M/S Sompa Cycle Store (C)</v>
          </cell>
          <cell r="E475" t="str">
            <v>01545</v>
          </cell>
        </row>
        <row r="476">
          <cell r="D476" t="str">
            <v>M/S S.K. Enterprise-Rangpur</v>
          </cell>
          <cell r="E476" t="str">
            <v>01462</v>
          </cell>
        </row>
        <row r="477">
          <cell r="D477" t="str">
            <v>M/S Anas Battery &amp; Auto House</v>
          </cell>
          <cell r="E477" t="str">
            <v>01401</v>
          </cell>
        </row>
        <row r="478">
          <cell r="D478" t="str">
            <v>M/S Anas Battery &amp; Auto House</v>
          </cell>
          <cell r="E478" t="str">
            <v>01401</v>
          </cell>
        </row>
        <row r="479">
          <cell r="D479" t="str">
            <v>M/S Anas Battery &amp; Auto House</v>
          </cell>
          <cell r="E479" t="str">
            <v>01401</v>
          </cell>
        </row>
        <row r="480">
          <cell r="D480" t="str">
            <v>M/S A.P.L. Auto House (C)</v>
          </cell>
          <cell r="E480" t="str">
            <v>01305</v>
          </cell>
        </row>
        <row r="481">
          <cell r="D481" t="str">
            <v>M/S A.P.L. Auto House (C)</v>
          </cell>
          <cell r="E481" t="str">
            <v>01305</v>
          </cell>
        </row>
        <row r="482">
          <cell r="D482" t="str">
            <v>M/S A.P.L. Auto House (C)</v>
          </cell>
          <cell r="E482" t="str">
            <v>01305</v>
          </cell>
        </row>
        <row r="483">
          <cell r="D483" t="str">
            <v>M/S Anik Motors &amp; Battery (C)</v>
          </cell>
          <cell r="E483" t="str">
            <v>01444</v>
          </cell>
        </row>
        <row r="484">
          <cell r="D484" t="str">
            <v>M/S Mokka Motors-Cumilla (C)</v>
          </cell>
          <cell r="E484" t="str">
            <v>01481</v>
          </cell>
        </row>
        <row r="485">
          <cell r="D485" t="str">
            <v>M/S Khalaq Motors-Feni</v>
          </cell>
          <cell r="E485" t="str">
            <v>01133</v>
          </cell>
        </row>
        <row r="486">
          <cell r="D486" t="str">
            <v>M/S Rajapur IPS &amp; Battery House</v>
          </cell>
          <cell r="E486" t="str">
            <v>01400</v>
          </cell>
        </row>
        <row r="487">
          <cell r="D487" t="str">
            <v>M/S Rajapur IPS &amp; Battery House</v>
          </cell>
          <cell r="E487" t="str">
            <v>01400</v>
          </cell>
        </row>
        <row r="488">
          <cell r="D488" t="str">
            <v>M/S Rajapur IPS &amp; Battery House</v>
          </cell>
          <cell r="E488" t="str">
            <v>01400</v>
          </cell>
        </row>
        <row r="489">
          <cell r="D489" t="str">
            <v>M/S Mayer Doya Auto Parts-Laksam</v>
          </cell>
          <cell r="E489" t="str">
            <v>00325</v>
          </cell>
        </row>
        <row r="490">
          <cell r="D490" t="str">
            <v>M/S Mayer Doya Auto Parts-Laksam</v>
          </cell>
          <cell r="E490" t="str">
            <v>00325</v>
          </cell>
        </row>
        <row r="491">
          <cell r="D491" t="str">
            <v>M/S Laksam Battery House</v>
          </cell>
          <cell r="E491" t="str">
            <v>00336</v>
          </cell>
        </row>
        <row r="492">
          <cell r="D492" t="str">
            <v>M/S Laksam Battery House</v>
          </cell>
          <cell r="E492" t="str">
            <v>00336</v>
          </cell>
        </row>
        <row r="493">
          <cell r="D493" t="str">
            <v>M/S National Motors-Feni</v>
          </cell>
          <cell r="E493" t="str">
            <v>01102</v>
          </cell>
        </row>
        <row r="494">
          <cell r="D494" t="str">
            <v>M/S Kalam Store</v>
          </cell>
          <cell r="E494" t="str">
            <v>01436</v>
          </cell>
        </row>
        <row r="495">
          <cell r="D495" t="str">
            <v>M/S Kalam Store</v>
          </cell>
          <cell r="E495" t="str">
            <v>01436</v>
          </cell>
        </row>
        <row r="496">
          <cell r="D496" t="str">
            <v>M/S Kalam Store</v>
          </cell>
          <cell r="E496" t="str">
            <v>01436</v>
          </cell>
        </row>
        <row r="497">
          <cell r="D497" t="str">
            <v>M/S Kalam Store</v>
          </cell>
          <cell r="E497" t="str">
            <v>01436</v>
          </cell>
        </row>
        <row r="498">
          <cell r="D498" t="str">
            <v>M/S Adib Alifa Auto &amp; Battery House (C)</v>
          </cell>
          <cell r="E498" t="str">
            <v>01454</v>
          </cell>
        </row>
        <row r="499">
          <cell r="D499" t="str">
            <v>M/S Adib Alifa Auto &amp; Battery House (C)</v>
          </cell>
          <cell r="E499" t="str">
            <v>01454</v>
          </cell>
        </row>
        <row r="500">
          <cell r="D500" t="str">
            <v>M/S Nirob Motors &amp; Battery</v>
          </cell>
          <cell r="E500" t="str">
            <v>01485</v>
          </cell>
        </row>
        <row r="501">
          <cell r="D501" t="str">
            <v>M/S Jamuna Battery House (C)</v>
          </cell>
          <cell r="E501" t="str">
            <v>01558</v>
          </cell>
        </row>
        <row r="502">
          <cell r="D502" t="str">
            <v>M/S Battery House - Pabna (C)</v>
          </cell>
          <cell r="E502" t="str">
            <v>01315</v>
          </cell>
        </row>
        <row r="503">
          <cell r="D503" t="str">
            <v>M/S S.K. Motors - Kushtia</v>
          </cell>
          <cell r="E503" t="str">
            <v>01057</v>
          </cell>
        </row>
        <row r="504">
          <cell r="D504" t="str">
            <v>M/S Sadiq Enterprise (C)</v>
          </cell>
          <cell r="E504" t="str">
            <v>01484</v>
          </cell>
        </row>
        <row r="505">
          <cell r="D505" t="str">
            <v>M/S Khan Battery Recycling (C)</v>
          </cell>
          <cell r="E505" t="str">
            <v>01282</v>
          </cell>
        </row>
        <row r="506">
          <cell r="D506" t="str">
            <v>M/S Battery House - Pabna (C)</v>
          </cell>
          <cell r="E506" t="str">
            <v>01315</v>
          </cell>
        </row>
        <row r="507">
          <cell r="D507" t="str">
            <v>M/S Hira Motors-Chokoria</v>
          </cell>
          <cell r="E507" t="str">
            <v>01441</v>
          </cell>
        </row>
        <row r="508">
          <cell r="D508" t="str">
            <v>M/S Hira Motors-Chokoria</v>
          </cell>
          <cell r="E508" t="str">
            <v>01441</v>
          </cell>
        </row>
        <row r="509">
          <cell r="D509" t="str">
            <v>M/S Sohan Motors</v>
          </cell>
          <cell r="E509" t="str">
            <v>01385</v>
          </cell>
        </row>
        <row r="510">
          <cell r="D510" t="str">
            <v>M/S Bismillah Motors-Hinla</v>
          </cell>
          <cell r="E510" t="str">
            <v>01448</v>
          </cell>
        </row>
        <row r="511">
          <cell r="D511" t="str">
            <v>M/S Nirob Motors &amp; Battery</v>
          </cell>
          <cell r="E511" t="str">
            <v>01485</v>
          </cell>
        </row>
        <row r="512">
          <cell r="D512" t="str">
            <v>M/S Nirob Motors &amp; Battery</v>
          </cell>
          <cell r="E512" t="str">
            <v>01485</v>
          </cell>
        </row>
        <row r="513">
          <cell r="D513" t="str">
            <v>M/S Sadia Enterprise</v>
          </cell>
          <cell r="E513" t="str">
            <v>01490</v>
          </cell>
        </row>
        <row r="514">
          <cell r="D514" t="str">
            <v>M/S Sadia Enterprise</v>
          </cell>
          <cell r="E514" t="str">
            <v>01490</v>
          </cell>
        </row>
        <row r="515">
          <cell r="D515" t="str">
            <v>M/S Ripon Tyre and Battery (C)</v>
          </cell>
          <cell r="E515" t="str">
            <v>01557</v>
          </cell>
        </row>
        <row r="516">
          <cell r="D516" t="str">
            <v>M/S Ripon Tyre and Battery (C)</v>
          </cell>
          <cell r="E516" t="str">
            <v>01557</v>
          </cell>
        </row>
        <row r="517">
          <cell r="D517" t="str">
            <v>M/S Ripon Tyre and Battery (C)</v>
          </cell>
          <cell r="E517" t="str">
            <v>01557</v>
          </cell>
        </row>
        <row r="518">
          <cell r="D518" t="str">
            <v>M/S Ripon Tyre and Battery (C)</v>
          </cell>
          <cell r="E518" t="str">
            <v>01557</v>
          </cell>
        </row>
        <row r="519">
          <cell r="D519" t="str">
            <v>M/S Ripon Tyre and Battery (C)</v>
          </cell>
          <cell r="E519" t="str">
            <v>01557</v>
          </cell>
        </row>
        <row r="520">
          <cell r="D520" t="str">
            <v>M/S Sohan Motors</v>
          </cell>
          <cell r="E520" t="str">
            <v>01385</v>
          </cell>
        </row>
        <row r="521">
          <cell r="D521" t="str">
            <v>M/S Sohan Motors</v>
          </cell>
          <cell r="E521" t="str">
            <v>01385</v>
          </cell>
        </row>
        <row r="522">
          <cell r="D522" t="str">
            <v>M/S Bismillah Motors-Hinla</v>
          </cell>
          <cell r="E522" t="str">
            <v>01448</v>
          </cell>
        </row>
        <row r="523">
          <cell r="D523" t="str">
            <v>M/S Apurbo Battery House</v>
          </cell>
          <cell r="E523" t="str">
            <v>01398</v>
          </cell>
        </row>
        <row r="524">
          <cell r="D524" t="str">
            <v>M/S Apurbo Battery House</v>
          </cell>
          <cell r="E524" t="str">
            <v>01398</v>
          </cell>
        </row>
        <row r="525">
          <cell r="D525" t="str">
            <v>M/S S.S. Enterprise-Norshingdi (C)</v>
          </cell>
          <cell r="E525" t="str">
            <v>01331</v>
          </cell>
        </row>
        <row r="526">
          <cell r="D526" t="str">
            <v>M/S S.S. Enterprise-Norshingdi (C)</v>
          </cell>
          <cell r="E526" t="str">
            <v>01331</v>
          </cell>
        </row>
        <row r="527">
          <cell r="D527" t="str">
            <v>M/S S.S. Enterprise-Norshingdi (C)</v>
          </cell>
          <cell r="E527" t="str">
            <v>01331</v>
          </cell>
        </row>
        <row r="528">
          <cell r="D528" t="str">
            <v>M/S S.S. Enterprise-Norshingdi (C)</v>
          </cell>
          <cell r="E528" t="str">
            <v>01331</v>
          </cell>
        </row>
        <row r="529">
          <cell r="D529" t="str">
            <v>M/S S.S. Enterprise-Norshingdi</v>
          </cell>
          <cell r="E529" t="str">
            <v>01118</v>
          </cell>
        </row>
        <row r="530">
          <cell r="D530" t="str">
            <v>M/S S.S. Enterprise-Norshingdi</v>
          </cell>
          <cell r="E530" t="str">
            <v>01118</v>
          </cell>
        </row>
        <row r="531">
          <cell r="D531" t="str">
            <v>M/S S.S. Enterprise-Norshingdi</v>
          </cell>
          <cell r="E531" t="str">
            <v>01118</v>
          </cell>
        </row>
        <row r="532">
          <cell r="D532" t="str">
            <v>M/S S.S. Enterprise-Norshingdi</v>
          </cell>
          <cell r="E532" t="str">
            <v>01118</v>
          </cell>
        </row>
        <row r="533">
          <cell r="D533" t="str">
            <v>M/S Jony Motors - Faridpur (C)</v>
          </cell>
          <cell r="E533" t="str">
            <v>01534</v>
          </cell>
        </row>
        <row r="534">
          <cell r="D534" t="str">
            <v>M/S Jony Motors - Faridpur (C)</v>
          </cell>
          <cell r="E534" t="str">
            <v>01534</v>
          </cell>
        </row>
        <row r="535">
          <cell r="D535" t="str">
            <v>M/S Sadia Auto Parts (C)</v>
          </cell>
          <cell r="E535" t="str">
            <v>01498</v>
          </cell>
        </row>
        <row r="536">
          <cell r="D536" t="str">
            <v>M/S Sadia Auto Parts (C)</v>
          </cell>
          <cell r="E536" t="str">
            <v>01498</v>
          </cell>
        </row>
        <row r="537">
          <cell r="D537" t="str">
            <v>M/S S.K. Trading Corporation (C)</v>
          </cell>
          <cell r="E537" t="str">
            <v>01523</v>
          </cell>
        </row>
        <row r="538">
          <cell r="D538" t="str">
            <v>M/S Molla Battery House (C)</v>
          </cell>
          <cell r="E538" t="str">
            <v>01428</v>
          </cell>
        </row>
        <row r="539">
          <cell r="D539" t="str">
            <v>M/S Molla Battery House (C)</v>
          </cell>
          <cell r="E539" t="str">
            <v>01428</v>
          </cell>
        </row>
        <row r="540">
          <cell r="D540" t="str">
            <v>M/S S.K. Motors - Kushtia</v>
          </cell>
          <cell r="E540" t="str">
            <v>01057</v>
          </cell>
        </row>
        <row r="541">
          <cell r="D541" t="str">
            <v>M/S Jhenaidah Bike Center  (C)</v>
          </cell>
          <cell r="E541" t="str">
            <v>01536</v>
          </cell>
        </row>
        <row r="542">
          <cell r="D542" t="str">
            <v>M/S Tanha Battery House (C)</v>
          </cell>
          <cell r="E542" t="str">
            <v>01457</v>
          </cell>
        </row>
        <row r="543">
          <cell r="D543" t="str">
            <v>M/S Tanha Battery House (C)</v>
          </cell>
          <cell r="E543" t="str">
            <v>01457</v>
          </cell>
        </row>
        <row r="544">
          <cell r="D544" t="str">
            <v>M/S Doyal Battery (C)</v>
          </cell>
          <cell r="E544" t="str">
            <v>01308</v>
          </cell>
        </row>
        <row r="545">
          <cell r="D545" t="str">
            <v>M/S Doyal Battery (C)</v>
          </cell>
          <cell r="E545" t="str">
            <v>01308</v>
          </cell>
        </row>
        <row r="546">
          <cell r="D546" t="str">
            <v>M/S Bondhu Auto and CNG Workshop</v>
          </cell>
          <cell r="E546" t="str">
            <v>01149</v>
          </cell>
        </row>
        <row r="547">
          <cell r="D547" t="str">
            <v>M/S Bondhu Auto and CNG Workshop</v>
          </cell>
          <cell r="E547" t="str">
            <v>01149</v>
          </cell>
        </row>
        <row r="548">
          <cell r="D548" t="str">
            <v>M/S Bondhu Auto and CNG Workshop</v>
          </cell>
          <cell r="E548" t="str">
            <v>01149</v>
          </cell>
        </row>
        <row r="549">
          <cell r="D549" t="str">
            <v>M/S Bondhu Auto and CNG Workshop</v>
          </cell>
          <cell r="E549" t="str">
            <v>01149</v>
          </cell>
        </row>
        <row r="550">
          <cell r="D550" t="str">
            <v>M/S Bondhu Auto and CNG Workshop</v>
          </cell>
          <cell r="E550" t="str">
            <v>01149</v>
          </cell>
        </row>
        <row r="551">
          <cell r="D551" t="str">
            <v>M/S Doyal Battery</v>
          </cell>
          <cell r="E551" t="str">
            <v>00337</v>
          </cell>
        </row>
        <row r="552">
          <cell r="D552" t="str">
            <v>M/S Shahjalal Traders</v>
          </cell>
          <cell r="E552" t="str">
            <v>01362</v>
          </cell>
        </row>
        <row r="553">
          <cell r="D553" t="str">
            <v>M/S Setu Cycle Mart</v>
          </cell>
          <cell r="E553" t="str">
            <v>00471</v>
          </cell>
        </row>
        <row r="554">
          <cell r="D554" t="str">
            <v>M/S Setu Cycle Mart</v>
          </cell>
          <cell r="E554" t="str">
            <v>00471</v>
          </cell>
        </row>
        <row r="555">
          <cell r="D555" t="str">
            <v>M/S Setu Cycle Mart</v>
          </cell>
          <cell r="E555" t="str">
            <v>00471</v>
          </cell>
        </row>
        <row r="556">
          <cell r="D556" t="str">
            <v>M/S Shah Mojidia Motor Parts</v>
          </cell>
          <cell r="E556" t="str">
            <v>00842</v>
          </cell>
        </row>
        <row r="557">
          <cell r="D557" t="str">
            <v>M/S Shah Mojidia Motor Parts</v>
          </cell>
          <cell r="E557" t="str">
            <v>00842</v>
          </cell>
        </row>
        <row r="558">
          <cell r="D558" t="str">
            <v>M/S Hafiz Battery House</v>
          </cell>
          <cell r="E558" t="str">
            <v>01368</v>
          </cell>
        </row>
        <row r="559">
          <cell r="D559" t="str">
            <v>M/S Bismillah Motors-Hinla</v>
          </cell>
          <cell r="E559" t="str">
            <v>01448</v>
          </cell>
        </row>
        <row r="560">
          <cell r="D560" t="str">
            <v>M/S Power Battery</v>
          </cell>
          <cell r="E560" t="str">
            <v>00324</v>
          </cell>
        </row>
        <row r="561">
          <cell r="D561" t="str">
            <v>M/S Anas Battery &amp; Auto House</v>
          </cell>
          <cell r="E561" t="str">
            <v>01401</v>
          </cell>
        </row>
        <row r="562">
          <cell r="D562" t="str">
            <v>M/S Anas Battery &amp; Auto House</v>
          </cell>
          <cell r="E562" t="str">
            <v>01401</v>
          </cell>
        </row>
        <row r="563">
          <cell r="D563" t="str">
            <v>M/S Anik Motors &amp; Battery (C)</v>
          </cell>
          <cell r="E563" t="str">
            <v>01444</v>
          </cell>
        </row>
        <row r="564">
          <cell r="D564" t="str">
            <v>M/S Anik Motors &amp; Battery (C)</v>
          </cell>
          <cell r="E564" t="str">
            <v>01444</v>
          </cell>
        </row>
        <row r="565">
          <cell r="D565" t="str">
            <v>M/S Satata Battery House (C)</v>
          </cell>
          <cell r="E565" t="str">
            <v>01517</v>
          </cell>
        </row>
        <row r="566">
          <cell r="D566" t="str">
            <v>M/S Satata Battery House (C)</v>
          </cell>
          <cell r="E566" t="str">
            <v>01517</v>
          </cell>
        </row>
        <row r="567">
          <cell r="D567" t="str">
            <v>M/S Allahar Dan Battery</v>
          </cell>
          <cell r="E567" t="str">
            <v>01466</v>
          </cell>
        </row>
        <row r="568">
          <cell r="D568" t="str">
            <v>M/S Mayer Doya Auto Parts-Laksam</v>
          </cell>
          <cell r="E568" t="str">
            <v>00325</v>
          </cell>
        </row>
        <row r="569">
          <cell r="D569" t="str">
            <v>M/S Lalmai Machineries &amp; Parts</v>
          </cell>
          <cell r="E569" t="str">
            <v>00329</v>
          </cell>
        </row>
        <row r="570">
          <cell r="D570" t="str">
            <v>M/S Farhan Auto (C)</v>
          </cell>
          <cell r="E570" t="str">
            <v>01298</v>
          </cell>
        </row>
        <row r="571">
          <cell r="D571" t="str">
            <v>M/S Farhan Auto (C)</v>
          </cell>
          <cell r="E571" t="str">
            <v>01298</v>
          </cell>
        </row>
        <row r="572">
          <cell r="D572" t="str">
            <v>M/S Supreme Auto (C)</v>
          </cell>
          <cell r="E572" t="str">
            <v>01300</v>
          </cell>
        </row>
        <row r="573">
          <cell r="D573" t="str">
            <v>M/S Prarthona Motors (C)</v>
          </cell>
          <cell r="E573" t="str">
            <v>01451</v>
          </cell>
        </row>
        <row r="574">
          <cell r="D574" t="str">
            <v>M/S Ira Motors</v>
          </cell>
          <cell r="E574" t="str">
            <v>00133</v>
          </cell>
        </row>
        <row r="575">
          <cell r="D575" t="str">
            <v>M/S Babul Enterprise (C)</v>
          </cell>
          <cell r="E575" t="str">
            <v>01292</v>
          </cell>
        </row>
        <row r="576">
          <cell r="D576" t="str">
            <v>M/S Talukder Motors (C)</v>
          </cell>
          <cell r="E576" t="str">
            <v>01471</v>
          </cell>
        </row>
        <row r="577">
          <cell r="D577" t="str">
            <v>M/S Babul Enterprise (C)</v>
          </cell>
          <cell r="E577" t="str">
            <v>01292</v>
          </cell>
        </row>
        <row r="578">
          <cell r="D578" t="str">
            <v>M/S Macca Tyre And battery House</v>
          </cell>
          <cell r="E578" t="str">
            <v>00439</v>
          </cell>
        </row>
        <row r="579">
          <cell r="D579" t="str">
            <v>M/S Boalkhali Battery House (C)</v>
          </cell>
          <cell r="E579" t="str">
            <v>01550</v>
          </cell>
        </row>
        <row r="580">
          <cell r="D580" t="str">
            <v>M/S Sangu Battery House</v>
          </cell>
          <cell r="E580" t="str">
            <v>00988</v>
          </cell>
        </row>
        <row r="581">
          <cell r="D581" t="str">
            <v>M/S Bashkhali Enterprise</v>
          </cell>
          <cell r="E581" t="str">
            <v>00424</v>
          </cell>
        </row>
        <row r="582">
          <cell r="D582" t="str">
            <v>M/S Boalkhali Battery House (C)</v>
          </cell>
          <cell r="E582" t="str">
            <v>01550</v>
          </cell>
        </row>
        <row r="583">
          <cell r="D583" t="str">
            <v>M/S S.K. Enterprise (C)</v>
          </cell>
          <cell r="E583" t="str">
            <v>01326</v>
          </cell>
        </row>
        <row r="584">
          <cell r="D584" t="str">
            <v>M/S S.K. Enterprise (C)</v>
          </cell>
          <cell r="E584" t="str">
            <v>01326</v>
          </cell>
        </row>
        <row r="585">
          <cell r="D585" t="str">
            <v>M/S S.K. Enterprise (C)</v>
          </cell>
          <cell r="E585" t="str">
            <v>01326</v>
          </cell>
        </row>
        <row r="586">
          <cell r="D586" t="str">
            <v>M/S Boalkhali Battery House (C)</v>
          </cell>
          <cell r="E586" t="str">
            <v>01550</v>
          </cell>
        </row>
        <row r="587">
          <cell r="D587" t="str">
            <v>M/S Boalkhali Battery House (C)</v>
          </cell>
          <cell r="E587" t="str">
            <v>01550</v>
          </cell>
        </row>
        <row r="588">
          <cell r="D588" t="str">
            <v>M/S Khalaq Motors-Feni</v>
          </cell>
          <cell r="E588" t="str">
            <v>01133</v>
          </cell>
        </row>
        <row r="589">
          <cell r="D589" t="str">
            <v>M/S Rajapur IPS &amp; Battery House</v>
          </cell>
          <cell r="E589" t="str">
            <v>01400</v>
          </cell>
        </row>
        <row r="590">
          <cell r="D590" t="str">
            <v>M/S Khan Battery Recycling (C)</v>
          </cell>
          <cell r="E590" t="str">
            <v>01282</v>
          </cell>
        </row>
        <row r="591">
          <cell r="D591" t="str">
            <v>M/S Sharif Battery House &amp; IPS Center (C)</v>
          </cell>
          <cell r="E591" t="str">
            <v>01491</v>
          </cell>
        </row>
        <row r="592">
          <cell r="D592" t="str">
            <v>M/S Ripon Tyre and Battery (C)</v>
          </cell>
          <cell r="E592" t="str">
            <v>01557</v>
          </cell>
        </row>
        <row r="593">
          <cell r="D593" t="str">
            <v>M/S Ripon Tyre and Battery (C)</v>
          </cell>
          <cell r="E593" t="str">
            <v>01557</v>
          </cell>
        </row>
        <row r="594">
          <cell r="D594" t="str">
            <v>M/S Modina Cycle Store (C)</v>
          </cell>
          <cell r="E594" t="str">
            <v>01519</v>
          </cell>
        </row>
        <row r="595">
          <cell r="D595" t="str">
            <v>M/S Hemayetpur Battery House (C)</v>
          </cell>
          <cell r="E595" t="str">
            <v>01478</v>
          </cell>
        </row>
        <row r="596">
          <cell r="D596" t="str">
            <v>M/S Ananna Battery &amp; Tyre</v>
          </cell>
          <cell r="E596" t="str">
            <v>01088</v>
          </cell>
        </row>
        <row r="597">
          <cell r="D597" t="str">
            <v>M/S Ananna Battery &amp; Tyre</v>
          </cell>
          <cell r="E597" t="str">
            <v>01088</v>
          </cell>
        </row>
        <row r="598">
          <cell r="D598" t="str">
            <v>M/S Ananna Battery &amp; Tyre</v>
          </cell>
          <cell r="E598" t="str">
            <v>01088</v>
          </cell>
        </row>
        <row r="599">
          <cell r="D599" t="str">
            <v>M/S Rumi Battery House</v>
          </cell>
          <cell r="E599" t="str">
            <v>00387</v>
          </cell>
        </row>
        <row r="600">
          <cell r="D600" t="str">
            <v>M/S Rumi Battery House</v>
          </cell>
          <cell r="E600" t="str">
            <v>00387</v>
          </cell>
        </row>
        <row r="601">
          <cell r="D601" t="str">
            <v>M/S Rumi Battery House</v>
          </cell>
          <cell r="E601" t="str">
            <v>00387</v>
          </cell>
        </row>
        <row r="602">
          <cell r="D602" t="str">
            <v>M/S S.M. Enterprise- Sunamgonj</v>
          </cell>
          <cell r="E602" t="str">
            <v>00390</v>
          </cell>
        </row>
        <row r="603">
          <cell r="D603" t="str">
            <v>M/S City Auto</v>
          </cell>
          <cell r="E603" t="str">
            <v>00398</v>
          </cell>
        </row>
        <row r="604">
          <cell r="D604" t="str">
            <v>M/S Minara Traders</v>
          </cell>
          <cell r="E604" t="str">
            <v>01108</v>
          </cell>
        </row>
        <row r="605">
          <cell r="D605" t="str">
            <v>M/S Mahtab Engineering Workshop</v>
          </cell>
          <cell r="E605" t="str">
            <v>01429</v>
          </cell>
        </row>
        <row r="606">
          <cell r="D606" t="str">
            <v>M/S Sowa Motors &amp; Battery Shop (C)</v>
          </cell>
          <cell r="E606" t="str">
            <v>01287</v>
          </cell>
        </row>
        <row r="607">
          <cell r="D607" t="str">
            <v>M/S New Mintu Motors (C)</v>
          </cell>
          <cell r="E607" t="str">
            <v>01552</v>
          </cell>
        </row>
        <row r="608">
          <cell r="D608" t="str">
            <v>M/S S S Trading</v>
          </cell>
          <cell r="E608" t="str">
            <v>00846</v>
          </cell>
        </row>
        <row r="609">
          <cell r="D609" t="str">
            <v>M/S Bhai Bhai Auto Center (C)</v>
          </cell>
          <cell r="E609" t="str">
            <v>01563</v>
          </cell>
        </row>
        <row r="610">
          <cell r="D610" t="str">
            <v>M/S Bhai Bhai Auto Center (C)</v>
          </cell>
          <cell r="E610" t="str">
            <v>01563</v>
          </cell>
        </row>
        <row r="611">
          <cell r="D611" t="str">
            <v>M/S Molla Battery House (C)</v>
          </cell>
          <cell r="E611" t="str">
            <v>01428</v>
          </cell>
        </row>
        <row r="612">
          <cell r="D612" t="str">
            <v>M/S Samir Battery And Tyre</v>
          </cell>
          <cell r="E612" t="str">
            <v>01450</v>
          </cell>
        </row>
        <row r="613">
          <cell r="D613" t="str">
            <v>M/S Samir Battery And Tyre</v>
          </cell>
          <cell r="E613" t="str">
            <v>01450</v>
          </cell>
        </row>
        <row r="614">
          <cell r="D614" t="str">
            <v>M/S Samir Battery And Tyre</v>
          </cell>
          <cell r="E614" t="str">
            <v>01450</v>
          </cell>
        </row>
        <row r="615">
          <cell r="D615" t="str">
            <v>M/S Sowa Motors &amp; Battery Shop (C)</v>
          </cell>
          <cell r="E615" t="str">
            <v>01287</v>
          </cell>
        </row>
        <row r="616">
          <cell r="D616" t="str">
            <v>M/S Al - Mokka Enterprise (C)</v>
          </cell>
          <cell r="E616" t="str">
            <v>01553</v>
          </cell>
        </row>
        <row r="617">
          <cell r="D617" t="str">
            <v>M/S Al - Mokka Enterprise (C)</v>
          </cell>
          <cell r="E617" t="str">
            <v>01553</v>
          </cell>
        </row>
        <row r="618">
          <cell r="D618" t="str">
            <v>M/S Hasan Enterprise (C)</v>
          </cell>
          <cell r="E618" t="str">
            <v>01289</v>
          </cell>
        </row>
        <row r="619">
          <cell r="D619" t="str">
            <v>M/S Hemayetpur Battery House (C)</v>
          </cell>
          <cell r="E619" t="str">
            <v>01478</v>
          </cell>
        </row>
        <row r="620">
          <cell r="D620" t="str">
            <v>M/S Ripon Tyre and Battery (C)</v>
          </cell>
          <cell r="E620" t="str">
            <v>01557</v>
          </cell>
        </row>
        <row r="621">
          <cell r="D621" t="str">
            <v>M/S Ripon Tyre and Battery (C)</v>
          </cell>
          <cell r="E621" t="str">
            <v>01557</v>
          </cell>
        </row>
        <row r="622">
          <cell r="D622" t="str">
            <v>M/S Ripon Tyre and Battery (C)</v>
          </cell>
          <cell r="E622" t="str">
            <v>01557</v>
          </cell>
        </row>
        <row r="623">
          <cell r="D623" t="str">
            <v>M/S Ripon Tyre and Battery (C)</v>
          </cell>
          <cell r="E623" t="str">
            <v>01557</v>
          </cell>
        </row>
        <row r="624">
          <cell r="D624" t="str">
            <v>M/S Ripon Tyre and Battery (C)</v>
          </cell>
          <cell r="E624" t="str">
            <v>01557</v>
          </cell>
        </row>
        <row r="625">
          <cell r="D625" t="str">
            <v>M/S Ripon Tyre and Battery (C)</v>
          </cell>
          <cell r="E625" t="str">
            <v>01557</v>
          </cell>
        </row>
        <row r="626">
          <cell r="D626" t="str">
            <v>M/S Modina Enterprise - Savar</v>
          </cell>
          <cell r="E626" t="str">
            <v>01404</v>
          </cell>
        </row>
        <row r="627">
          <cell r="D627" t="str">
            <v>M/S Modina Enterprise - Savar</v>
          </cell>
          <cell r="E627" t="str">
            <v>01404</v>
          </cell>
        </row>
        <row r="628">
          <cell r="D628" t="str">
            <v>M/S Anas Enterprise (C)</v>
          </cell>
          <cell r="E628" t="str">
            <v>01551</v>
          </cell>
        </row>
        <row r="629">
          <cell r="D629" t="str">
            <v>M/S Anas Enterprise (C)</v>
          </cell>
          <cell r="E629" t="str">
            <v>01551</v>
          </cell>
        </row>
        <row r="630">
          <cell r="D630" t="str">
            <v>M/S Anas Enterprise (C)</v>
          </cell>
          <cell r="E630" t="str">
            <v>01551</v>
          </cell>
        </row>
        <row r="631">
          <cell r="D631" t="str">
            <v>M/S New Dhaka Motors and Battery (C)</v>
          </cell>
          <cell r="E631" t="str">
            <v>01554</v>
          </cell>
        </row>
        <row r="632">
          <cell r="D632" t="str">
            <v>M/S Khan Battery Recycling (C)</v>
          </cell>
          <cell r="E632" t="str">
            <v>01282</v>
          </cell>
        </row>
        <row r="633">
          <cell r="D633" t="str">
            <v>M/S Khan Battery Recycling (C)</v>
          </cell>
          <cell r="E633" t="str">
            <v>01282</v>
          </cell>
        </row>
        <row r="634">
          <cell r="D634" t="str">
            <v>M/S Monir Auto &amp; Battery House</v>
          </cell>
          <cell r="E634" t="str">
            <v>00001</v>
          </cell>
        </row>
        <row r="635">
          <cell r="D635" t="str">
            <v>M/S Khan Battery Recycling (C)</v>
          </cell>
          <cell r="E635" t="str">
            <v>01282</v>
          </cell>
        </row>
        <row r="636">
          <cell r="D636" t="str">
            <v>M/S Snigdha Battery</v>
          </cell>
          <cell r="E636" t="str">
            <v>00134</v>
          </cell>
        </row>
        <row r="637">
          <cell r="D637" t="str">
            <v>M/S Snigdha Battery</v>
          </cell>
          <cell r="E637" t="str">
            <v>00134</v>
          </cell>
        </row>
        <row r="638">
          <cell r="D638" t="str">
            <v>M/S Snigdha Battery</v>
          </cell>
          <cell r="E638" t="str">
            <v>00134</v>
          </cell>
        </row>
        <row r="639">
          <cell r="D639" t="str">
            <v>M/S Ira Motors</v>
          </cell>
          <cell r="E639" t="str">
            <v>00133</v>
          </cell>
        </row>
        <row r="640">
          <cell r="D640" t="str">
            <v>M/S Babul Enterprise (C)</v>
          </cell>
          <cell r="E640" t="str">
            <v>01292</v>
          </cell>
        </row>
        <row r="641">
          <cell r="D641" t="str">
            <v>M/S Fateha Battery</v>
          </cell>
          <cell r="E641" t="str">
            <v>00388</v>
          </cell>
        </row>
        <row r="642">
          <cell r="D642" t="str">
            <v>M/S Rafi Battery House</v>
          </cell>
          <cell r="E642" t="str">
            <v>00410</v>
          </cell>
        </row>
        <row r="643">
          <cell r="D643" t="str">
            <v>M/S Bondhu Auto and CNG Workshop</v>
          </cell>
          <cell r="E643" t="str">
            <v>01149</v>
          </cell>
        </row>
        <row r="644">
          <cell r="D644" t="str">
            <v>M/S Adhunik Enterprise</v>
          </cell>
          <cell r="E644" t="str">
            <v>01122</v>
          </cell>
        </row>
        <row r="645">
          <cell r="D645" t="str">
            <v>M/S Setu Cycle Mart</v>
          </cell>
          <cell r="E645" t="str">
            <v>00471</v>
          </cell>
        </row>
        <row r="646">
          <cell r="D646" t="str">
            <v>M/S Setu Cycle Mart</v>
          </cell>
          <cell r="E646" t="str">
            <v>00471</v>
          </cell>
        </row>
        <row r="647">
          <cell r="D647" t="str">
            <v>M/S Setu Cycle Mart</v>
          </cell>
          <cell r="E647" t="str">
            <v>00471</v>
          </cell>
        </row>
        <row r="648">
          <cell r="D648" t="str">
            <v>M/S Setu Cycle Mart</v>
          </cell>
          <cell r="E648" t="str">
            <v>00471</v>
          </cell>
        </row>
        <row r="649">
          <cell r="D649" t="str">
            <v>M/S Setu Cycle Mart</v>
          </cell>
          <cell r="E649" t="str">
            <v>00471</v>
          </cell>
        </row>
        <row r="650">
          <cell r="D650" t="str">
            <v>M/S Shah Mojidia Motor Parts</v>
          </cell>
          <cell r="E650" t="str">
            <v>00842</v>
          </cell>
        </row>
        <row r="651">
          <cell r="D651" t="str">
            <v>M/S Shah Mojidia Motor Parts</v>
          </cell>
          <cell r="E651" t="str">
            <v>00842</v>
          </cell>
        </row>
        <row r="652">
          <cell r="D652" t="str">
            <v>M/S Sohan Motors</v>
          </cell>
          <cell r="E652" t="str">
            <v>01385</v>
          </cell>
        </row>
        <row r="653">
          <cell r="D653" t="str">
            <v>M/S Sifa Motors</v>
          </cell>
          <cell r="E653" t="str">
            <v>01443</v>
          </cell>
        </row>
        <row r="654">
          <cell r="D654" t="str">
            <v>M/S Hira Motors-Chokoria</v>
          </cell>
          <cell r="E654" t="str">
            <v>01441</v>
          </cell>
        </row>
        <row r="655">
          <cell r="D655" t="str">
            <v>M/S Hira Motors-Chokoria</v>
          </cell>
          <cell r="E655" t="str">
            <v>01441</v>
          </cell>
        </row>
        <row r="656">
          <cell r="D656" t="str">
            <v>M/S Bismillah Motors-Hinla</v>
          </cell>
          <cell r="E656" t="str">
            <v>01448</v>
          </cell>
        </row>
        <row r="657">
          <cell r="D657" t="str">
            <v>M/S Anas Battery &amp; Auto House</v>
          </cell>
          <cell r="E657" t="str">
            <v>01401</v>
          </cell>
        </row>
        <row r="658">
          <cell r="D658" t="str">
            <v>M/S Anas Battery &amp; Auto House</v>
          </cell>
          <cell r="E658" t="str">
            <v>01401</v>
          </cell>
        </row>
        <row r="659">
          <cell r="D659" t="str">
            <v>M/S A.P.L. Auto House (C)</v>
          </cell>
          <cell r="E659" t="str">
            <v>01305</v>
          </cell>
        </row>
        <row r="660">
          <cell r="D660" t="str">
            <v>M/S Khokon IPS &amp; Battery Center (C)</v>
          </cell>
          <cell r="E660" t="str">
            <v>01306</v>
          </cell>
        </row>
        <row r="661">
          <cell r="D661" t="str">
            <v>M/S Khokon IPS &amp; Battery Center (C)</v>
          </cell>
          <cell r="E661" t="str">
            <v>01306</v>
          </cell>
        </row>
        <row r="662">
          <cell r="D662" t="str">
            <v>M/S Khokon IPS &amp; Battery Center (C)</v>
          </cell>
          <cell r="E662" t="str">
            <v>01306</v>
          </cell>
        </row>
        <row r="663">
          <cell r="D663" t="str">
            <v>M/S Laksam Battery House</v>
          </cell>
          <cell r="E663" t="str">
            <v>00336</v>
          </cell>
        </row>
        <row r="664">
          <cell r="D664" t="str">
            <v>M/S Laksam Battery House</v>
          </cell>
          <cell r="E664" t="str">
            <v>00336</v>
          </cell>
        </row>
        <row r="665">
          <cell r="D665" t="str">
            <v>M/S Anik Motors &amp; Battery (C)</v>
          </cell>
          <cell r="E665" t="str">
            <v>01444</v>
          </cell>
        </row>
        <row r="666">
          <cell r="D666" t="str">
            <v>M/S Rajapur IPS &amp; Battery House</v>
          </cell>
          <cell r="E666" t="str">
            <v>01400</v>
          </cell>
        </row>
        <row r="667">
          <cell r="D667" t="str">
            <v>M/S Lalmai Machineries &amp; Parts</v>
          </cell>
          <cell r="E667" t="str">
            <v>00329</v>
          </cell>
        </row>
        <row r="668">
          <cell r="D668" t="str">
            <v>M/S Mayer Doya Auto Parts-Laksam</v>
          </cell>
          <cell r="E668" t="str">
            <v>00325</v>
          </cell>
        </row>
        <row r="669">
          <cell r="D669" t="str">
            <v>M/S Mayer Doya Auto Parts-Laksam</v>
          </cell>
          <cell r="E669" t="str">
            <v>00325</v>
          </cell>
        </row>
        <row r="670">
          <cell r="D670" t="str">
            <v>M/S Sangu Battery House</v>
          </cell>
          <cell r="E670" t="str">
            <v>00988</v>
          </cell>
        </row>
        <row r="671">
          <cell r="D671" t="str">
            <v>M/S Bashkhali Enterprise</v>
          </cell>
          <cell r="E671" t="str">
            <v>00424</v>
          </cell>
        </row>
        <row r="672">
          <cell r="D672" t="str">
            <v>M/S Boalkhali Battery House (C)</v>
          </cell>
          <cell r="E672" t="str">
            <v>01550</v>
          </cell>
        </row>
        <row r="673">
          <cell r="D673" t="str">
            <v>M/S S.K. Enterprise (C)</v>
          </cell>
          <cell r="E673" t="str">
            <v>01326</v>
          </cell>
        </row>
        <row r="674">
          <cell r="D674" t="str">
            <v>M/S S.K. Enterprise (C)</v>
          </cell>
          <cell r="E674" t="str">
            <v>01326</v>
          </cell>
        </row>
        <row r="675">
          <cell r="D675" t="str">
            <v>M/S S.K. Enterprise (C)</v>
          </cell>
          <cell r="E675" t="str">
            <v>01326</v>
          </cell>
        </row>
        <row r="676">
          <cell r="D676" t="str">
            <v>M/S S.K. Enterprise (C)</v>
          </cell>
          <cell r="E676" t="str">
            <v>01326</v>
          </cell>
        </row>
        <row r="677">
          <cell r="D677" t="str">
            <v>M/S S.K. Enterprise (C)</v>
          </cell>
          <cell r="E677" t="str">
            <v>01326</v>
          </cell>
        </row>
        <row r="678">
          <cell r="D678" t="str">
            <v>M/S S.K. Enterprise (C)</v>
          </cell>
          <cell r="E678" t="str">
            <v>01326</v>
          </cell>
        </row>
        <row r="679">
          <cell r="D679" t="str">
            <v>M/S S.K. Enterprise (C)</v>
          </cell>
          <cell r="E679" t="str">
            <v>01326</v>
          </cell>
        </row>
        <row r="680">
          <cell r="D680" t="str">
            <v>M/S S.K. Enterprise (C)</v>
          </cell>
          <cell r="E680" t="str">
            <v>01326</v>
          </cell>
        </row>
        <row r="681">
          <cell r="D681" t="str">
            <v>M/S Boalkhali Battery House (C)</v>
          </cell>
          <cell r="E681" t="str">
            <v>01550</v>
          </cell>
        </row>
        <row r="682">
          <cell r="D682" t="str">
            <v>M/S Boalkhali Battery House (C)</v>
          </cell>
          <cell r="E682" t="str">
            <v>01550</v>
          </cell>
        </row>
        <row r="683">
          <cell r="D683" t="str">
            <v>M/S Farhan Auto (C)</v>
          </cell>
          <cell r="E683" t="str">
            <v>01298</v>
          </cell>
        </row>
        <row r="684">
          <cell r="D684" t="str">
            <v>M/S Farhan Auto (C)</v>
          </cell>
          <cell r="E684" t="str">
            <v>01298</v>
          </cell>
        </row>
        <row r="685">
          <cell r="D685" t="str">
            <v>M/S Supreme Auto (C)</v>
          </cell>
          <cell r="E685" t="str">
            <v>01300</v>
          </cell>
        </row>
        <row r="686">
          <cell r="D686" t="str">
            <v>M/S Sajib Enterprise (C)</v>
          </cell>
          <cell r="E686" t="str">
            <v>01353</v>
          </cell>
        </row>
        <row r="687">
          <cell r="D687" t="str">
            <v>M/S Sajib Enterprise (C)</v>
          </cell>
          <cell r="E687" t="str">
            <v>01353</v>
          </cell>
        </row>
        <row r="688">
          <cell r="D688" t="str">
            <v>M/S Sajib Enterprise (C)</v>
          </cell>
          <cell r="E688" t="str">
            <v>01353</v>
          </cell>
        </row>
        <row r="689">
          <cell r="D689" t="str">
            <v>M/S Mayer Doya Auto Parts-Laksam</v>
          </cell>
          <cell r="E689" t="str">
            <v>00325</v>
          </cell>
        </row>
        <row r="690">
          <cell r="D690" t="str">
            <v>M/S S.K. Trading Corporation (C)</v>
          </cell>
          <cell r="E690" t="str">
            <v>01523</v>
          </cell>
        </row>
        <row r="691">
          <cell r="D691" t="str">
            <v>M/S S.K. Trading Corporation (C)</v>
          </cell>
          <cell r="E691" t="str">
            <v>01523</v>
          </cell>
        </row>
        <row r="692">
          <cell r="D692" t="str">
            <v>M/S Adib Alifa Auto &amp; Battery House (C)</v>
          </cell>
          <cell r="E692" t="str">
            <v>01454</v>
          </cell>
        </row>
        <row r="693">
          <cell r="D693" t="str">
            <v>M/S Anamika Auto Rickshow</v>
          </cell>
          <cell r="E693" t="str">
            <v>00496</v>
          </cell>
        </row>
        <row r="694">
          <cell r="D694" t="str">
            <v>M/S Bogura Auto Center (C)</v>
          </cell>
          <cell r="E694" t="str">
            <v>01468</v>
          </cell>
        </row>
        <row r="695">
          <cell r="D695" t="str">
            <v>M/S Bogura Auto Center (C)</v>
          </cell>
          <cell r="E695" t="str">
            <v>01468</v>
          </cell>
        </row>
        <row r="696">
          <cell r="D696" t="str">
            <v>M/S Maa Auto Workshop &amp; Battery Center (C)</v>
          </cell>
          <cell r="E696" t="str">
            <v>01497</v>
          </cell>
        </row>
        <row r="697">
          <cell r="D697" t="str">
            <v>M/S Maa Auto Workshop &amp; Battery Center (C)</v>
          </cell>
          <cell r="E697" t="str">
            <v>01497</v>
          </cell>
        </row>
        <row r="698">
          <cell r="D698" t="str">
            <v>M/S Atik Auto</v>
          </cell>
          <cell r="E698" t="str">
            <v>00562</v>
          </cell>
        </row>
        <row r="699">
          <cell r="D699" t="str">
            <v>M/S Rakin Auto Parts</v>
          </cell>
          <cell r="E699" t="str">
            <v>00561</v>
          </cell>
        </row>
        <row r="700">
          <cell r="D700" t="str">
            <v>M/S New Mintu Motors (C)</v>
          </cell>
          <cell r="E700" t="str">
            <v>01552</v>
          </cell>
        </row>
        <row r="701">
          <cell r="D701" t="str">
            <v>M/S Rafiq Vi Battery &amp; Auto</v>
          </cell>
          <cell r="E701" t="str">
            <v>01405</v>
          </cell>
        </row>
        <row r="702">
          <cell r="D702" t="str">
            <v>M/S M.R. Enterprise- Dinajpur (C)</v>
          </cell>
          <cell r="E702" t="str">
            <v>01520</v>
          </cell>
        </row>
        <row r="703">
          <cell r="D703" t="str">
            <v>M/S Anas Battery &amp; Auto House</v>
          </cell>
          <cell r="E703" t="str">
            <v>01401</v>
          </cell>
        </row>
        <row r="704">
          <cell r="D704" t="str">
            <v>M/S Rakin Auto Parts</v>
          </cell>
          <cell r="E704" t="str">
            <v>00561</v>
          </cell>
        </row>
        <row r="705">
          <cell r="D705" t="str">
            <v>M/S Al - Mokka Enterprise (C)</v>
          </cell>
          <cell r="E705" t="str">
            <v>01553</v>
          </cell>
        </row>
        <row r="706">
          <cell r="D706" t="str">
            <v>M/S Shoshi Enterprise (C)</v>
          </cell>
          <cell r="E706" t="str">
            <v>01335</v>
          </cell>
        </row>
        <row r="707">
          <cell r="D707" t="str">
            <v>M/S Samir Battery And Tyre</v>
          </cell>
          <cell r="E707" t="str">
            <v>01450</v>
          </cell>
        </row>
        <row r="708">
          <cell r="D708" t="str">
            <v>M/S Samir Battery And Tyre</v>
          </cell>
          <cell r="E708" t="str">
            <v>01450</v>
          </cell>
        </row>
        <row r="709">
          <cell r="D709" t="str">
            <v>M/S Anas Enterprise (C)</v>
          </cell>
          <cell r="E709" t="str">
            <v>01551</v>
          </cell>
        </row>
        <row r="710">
          <cell r="D710" t="str">
            <v>M/S Lutfor Auto Battery House</v>
          </cell>
          <cell r="E710" t="str">
            <v>00829</v>
          </cell>
        </row>
        <row r="711">
          <cell r="D711" t="str">
            <v>M/S Adnan Tyre and Battery House</v>
          </cell>
          <cell r="E711" t="str">
            <v>01371</v>
          </cell>
        </row>
        <row r="712">
          <cell r="D712" t="str">
            <v>M/S Ripon Tyre and Battery (C)</v>
          </cell>
          <cell r="E712" t="str">
            <v>01557</v>
          </cell>
        </row>
        <row r="713">
          <cell r="D713" t="str">
            <v>M/S Ananna Battery &amp; Tyre</v>
          </cell>
          <cell r="E713" t="str">
            <v>01088</v>
          </cell>
        </row>
        <row r="714">
          <cell r="D714" t="str">
            <v>M/S Ira Motors</v>
          </cell>
          <cell r="E714" t="str">
            <v>00133</v>
          </cell>
        </row>
        <row r="715">
          <cell r="D715" t="str">
            <v>M/S Snigdha Battery</v>
          </cell>
          <cell r="E715" t="str">
            <v>00134</v>
          </cell>
        </row>
        <row r="716">
          <cell r="D716" t="str">
            <v>M/S Snigdha Battery</v>
          </cell>
          <cell r="E716" t="str">
            <v>00134</v>
          </cell>
        </row>
        <row r="717">
          <cell r="D717" t="str">
            <v>M/S Snigdha Battery</v>
          </cell>
          <cell r="E717" t="str">
            <v>00134</v>
          </cell>
        </row>
        <row r="718">
          <cell r="D718" t="str">
            <v>M/S Talukder Motors (C)</v>
          </cell>
          <cell r="E718" t="str">
            <v>01471</v>
          </cell>
        </row>
        <row r="719">
          <cell r="D719" t="str">
            <v>M/S Setu Cycle Mart</v>
          </cell>
          <cell r="E719" t="str">
            <v>00471</v>
          </cell>
        </row>
        <row r="720">
          <cell r="D720" t="str">
            <v>M/S Setu Cycle Mart</v>
          </cell>
          <cell r="E720" t="str">
            <v>00471</v>
          </cell>
        </row>
        <row r="721">
          <cell r="D721" t="str">
            <v>M/S Setu Cycle Mart</v>
          </cell>
          <cell r="E721" t="str">
            <v>00471</v>
          </cell>
        </row>
        <row r="722">
          <cell r="D722" t="str">
            <v>M/S Setu Cycle Mart</v>
          </cell>
          <cell r="E722" t="str">
            <v>00471</v>
          </cell>
        </row>
        <row r="723">
          <cell r="D723" t="str">
            <v>M/S Setu Cycle Mart</v>
          </cell>
          <cell r="E723" t="str">
            <v>00471</v>
          </cell>
        </row>
        <row r="724">
          <cell r="D724" t="str">
            <v>M/S Shah Mojidia Motor Parts</v>
          </cell>
          <cell r="E724" t="str">
            <v>00842</v>
          </cell>
        </row>
        <row r="725">
          <cell r="D725" t="str">
            <v>M/S Shah Mojidia Motor Parts</v>
          </cell>
          <cell r="E725" t="str">
            <v>00842</v>
          </cell>
        </row>
        <row r="726">
          <cell r="D726" t="str">
            <v>M/S Saiful Motors</v>
          </cell>
          <cell r="E726" t="str">
            <v>00482</v>
          </cell>
        </row>
        <row r="727">
          <cell r="D727" t="str">
            <v>M/S Saiful Motors</v>
          </cell>
          <cell r="E727" t="str">
            <v>00482</v>
          </cell>
        </row>
        <row r="728">
          <cell r="D728" t="str">
            <v>M/S Hafiz Battery House</v>
          </cell>
          <cell r="E728" t="str">
            <v>01368</v>
          </cell>
        </row>
        <row r="729">
          <cell r="D729" t="str">
            <v>M/S Sifa Motors</v>
          </cell>
          <cell r="E729" t="str">
            <v>01443</v>
          </cell>
        </row>
        <row r="730">
          <cell r="D730" t="str">
            <v>M/S Bismillah Motors-Hinla</v>
          </cell>
          <cell r="E730" t="str">
            <v>01448</v>
          </cell>
        </row>
        <row r="731">
          <cell r="D731" t="str">
            <v>M/S Bismillah Motors-Hinla</v>
          </cell>
          <cell r="E731" t="str">
            <v>01448</v>
          </cell>
        </row>
        <row r="732">
          <cell r="D732" t="str">
            <v>M/S Sohan Motors</v>
          </cell>
          <cell r="E732" t="str">
            <v>01385</v>
          </cell>
        </row>
        <row r="733">
          <cell r="D733" t="str">
            <v>M/S Hira Motors-Chokoria</v>
          </cell>
          <cell r="E733" t="str">
            <v>01441</v>
          </cell>
        </row>
        <row r="734">
          <cell r="D734" t="str">
            <v>M/S Macca Tyre And battery House</v>
          </cell>
          <cell r="E734" t="str">
            <v>00439</v>
          </cell>
        </row>
        <row r="735">
          <cell r="D735" t="str">
            <v>M/S Sangu Battery House</v>
          </cell>
          <cell r="E735" t="str">
            <v>00988</v>
          </cell>
        </row>
        <row r="736">
          <cell r="D736" t="str">
            <v>M/S Boalkhali Battery House (C)</v>
          </cell>
          <cell r="E736" t="str">
            <v>01550</v>
          </cell>
        </row>
        <row r="737">
          <cell r="D737" t="str">
            <v>M/S Bashkhali Enterprise</v>
          </cell>
          <cell r="E737" t="str">
            <v>00424</v>
          </cell>
        </row>
        <row r="738">
          <cell r="D738" t="str">
            <v>M/S Bashkhali Enterprise</v>
          </cell>
          <cell r="E738" t="str">
            <v>00424</v>
          </cell>
        </row>
        <row r="739">
          <cell r="D739" t="str">
            <v>M/S Boalkhali Battery House (C)</v>
          </cell>
          <cell r="E739" t="str">
            <v>01550</v>
          </cell>
        </row>
        <row r="740">
          <cell r="D740" t="str">
            <v>M/S Boalkhali Battery House (C)</v>
          </cell>
          <cell r="E740" t="str">
            <v>01550</v>
          </cell>
        </row>
        <row r="741">
          <cell r="D741" t="str">
            <v>M/S Boalkhali Battery House (C)</v>
          </cell>
          <cell r="E741" t="str">
            <v>01550</v>
          </cell>
        </row>
        <row r="742">
          <cell r="D742" t="str">
            <v>M/S Boalkhali Battery House (C)</v>
          </cell>
          <cell r="E742" t="str">
            <v>01550</v>
          </cell>
        </row>
        <row r="743">
          <cell r="D743" t="str">
            <v>M/S L D Poribahan &amp; Trading (C)</v>
          </cell>
          <cell r="E743" t="str">
            <v>01299</v>
          </cell>
        </row>
        <row r="744">
          <cell r="D744" t="str">
            <v>M/S L D Poribahan &amp; Trading (C)</v>
          </cell>
          <cell r="E744" t="str">
            <v>01299</v>
          </cell>
        </row>
        <row r="745">
          <cell r="D745" t="str">
            <v>M/S Supreme Auto (C)</v>
          </cell>
          <cell r="E745" t="str">
            <v>01300</v>
          </cell>
        </row>
        <row r="746">
          <cell r="D746" t="str">
            <v>M/S Fateha Battery</v>
          </cell>
          <cell r="E746" t="str">
            <v>00388</v>
          </cell>
        </row>
        <row r="747">
          <cell r="D747" t="str">
            <v>M/S Fateha Battery</v>
          </cell>
          <cell r="E747" t="str">
            <v>00388</v>
          </cell>
        </row>
        <row r="748">
          <cell r="D748" t="str">
            <v>M/S Doyal Battery</v>
          </cell>
          <cell r="E748" t="str">
            <v>00337</v>
          </cell>
        </row>
        <row r="749">
          <cell r="D749" t="str">
            <v>M/S Doyal Battery (C)</v>
          </cell>
          <cell r="E749" t="str">
            <v>01308</v>
          </cell>
        </row>
        <row r="750">
          <cell r="D750" t="str">
            <v>M/S Doyal Battery (C)</v>
          </cell>
          <cell r="E750" t="str">
            <v>01308</v>
          </cell>
        </row>
        <row r="751">
          <cell r="D751" t="str">
            <v>M/S Anas Battery &amp; Auto House</v>
          </cell>
          <cell r="E751" t="str">
            <v>01401</v>
          </cell>
        </row>
        <row r="752">
          <cell r="D752" t="str">
            <v>M/S Anas Battery &amp; Auto House</v>
          </cell>
          <cell r="E752" t="str">
            <v>01401</v>
          </cell>
        </row>
        <row r="753">
          <cell r="D753" t="str">
            <v>M/S Anas Battery &amp; Auto House</v>
          </cell>
          <cell r="E753" t="str">
            <v>01401</v>
          </cell>
        </row>
        <row r="754">
          <cell r="D754" t="str">
            <v>M/S Sajib Enterprise (C)</v>
          </cell>
          <cell r="E754" t="str">
            <v>01353</v>
          </cell>
        </row>
        <row r="755">
          <cell r="D755" t="str">
            <v>M/S Mayer Doya Auto Parts-Laksam</v>
          </cell>
          <cell r="E755" t="str">
            <v>00325</v>
          </cell>
        </row>
        <row r="756">
          <cell r="D756" t="str">
            <v>M/S National Motors-Feni</v>
          </cell>
          <cell r="E756" t="str">
            <v>01102</v>
          </cell>
        </row>
        <row r="757">
          <cell r="D757" t="str">
            <v>M/S National Motors-Feni</v>
          </cell>
          <cell r="E757" t="str">
            <v>01102</v>
          </cell>
        </row>
        <row r="758">
          <cell r="D758" t="str">
            <v>M/S S.K. Trading Corporation (C)</v>
          </cell>
          <cell r="E758" t="str">
            <v>01523</v>
          </cell>
        </row>
        <row r="759">
          <cell r="D759" t="str">
            <v>M/S Jamuna Battery House (C)</v>
          </cell>
          <cell r="E759" t="str">
            <v>01558</v>
          </cell>
        </row>
        <row r="760">
          <cell r="D760" t="str">
            <v>M/S Aminul Battery House</v>
          </cell>
          <cell r="E760" t="str">
            <v>01250</v>
          </cell>
        </row>
        <row r="761">
          <cell r="D761" t="str">
            <v>M/S Jhenaidah Bike Center  (C)</v>
          </cell>
          <cell r="E761" t="str">
            <v>01536</v>
          </cell>
        </row>
        <row r="762">
          <cell r="D762" t="str">
            <v>M/S Sadiq Enterprise (C)</v>
          </cell>
          <cell r="E762" t="str">
            <v>01484</v>
          </cell>
        </row>
        <row r="763">
          <cell r="D763" t="str">
            <v>M/S Sadiq Enterprise (C)</v>
          </cell>
          <cell r="E763" t="str">
            <v>01484</v>
          </cell>
        </row>
        <row r="764">
          <cell r="D764" t="str">
            <v>M/S New Mintu Motors (C)</v>
          </cell>
          <cell r="E764" t="str">
            <v>01552</v>
          </cell>
        </row>
        <row r="765">
          <cell r="D765" t="str">
            <v>M/S Bhai Bhai Auto Center (C)</v>
          </cell>
          <cell r="E765" t="str">
            <v>01563</v>
          </cell>
        </row>
        <row r="766">
          <cell r="D766" t="str">
            <v>M/S Rafiq Vi Battery &amp; Auto</v>
          </cell>
          <cell r="E766" t="str">
            <v>01405</v>
          </cell>
        </row>
        <row r="767">
          <cell r="D767" t="str">
            <v>M/S Anas Battery &amp; Auto House</v>
          </cell>
          <cell r="E767" t="str">
            <v>01401</v>
          </cell>
        </row>
        <row r="768">
          <cell r="D768" t="str">
            <v>M/S Satata Battery House (C)</v>
          </cell>
          <cell r="E768" t="str">
            <v>01517</v>
          </cell>
        </row>
        <row r="769">
          <cell r="D769" t="str">
            <v>M/S Sowa Motors &amp; Battery Shop (C)</v>
          </cell>
          <cell r="E769" t="str">
            <v>01287</v>
          </cell>
        </row>
        <row r="770">
          <cell r="D770" t="str">
            <v>M/S Shoshi Enterprise (C)</v>
          </cell>
          <cell r="E770" t="str">
            <v>01335</v>
          </cell>
        </row>
        <row r="771">
          <cell r="D771" t="str">
            <v>M/S Arafat Enterprise</v>
          </cell>
          <cell r="E771" t="str">
            <v>00094</v>
          </cell>
        </row>
        <row r="772">
          <cell r="D772" t="str">
            <v>M/S Adnan Tyre and Battery House</v>
          </cell>
          <cell r="E772" t="str">
            <v>01371</v>
          </cell>
        </row>
        <row r="773">
          <cell r="D773" t="str">
            <v>M/S Monir Auto &amp; Battery House</v>
          </cell>
          <cell r="E773" t="str">
            <v>00001</v>
          </cell>
        </row>
        <row r="774">
          <cell r="D774" t="str">
            <v>M/S Setu Cycle Mart</v>
          </cell>
          <cell r="E774" t="str">
            <v>00471</v>
          </cell>
        </row>
        <row r="775">
          <cell r="D775" t="str">
            <v>M/S Setu Cycle Mart</v>
          </cell>
          <cell r="E775" t="str">
            <v>00471</v>
          </cell>
        </row>
        <row r="776">
          <cell r="D776" t="str">
            <v>M/S Setu Cycle Mart</v>
          </cell>
          <cell r="E776" t="str">
            <v>00471</v>
          </cell>
        </row>
        <row r="777">
          <cell r="D777" t="str">
            <v>M/S Setu Cycle Mart</v>
          </cell>
          <cell r="E777" t="str">
            <v>00471</v>
          </cell>
        </row>
        <row r="778">
          <cell r="D778" t="str">
            <v>M/S Shah Mojidia Motor Parts</v>
          </cell>
          <cell r="E778" t="str">
            <v>00842</v>
          </cell>
        </row>
        <row r="779">
          <cell r="D779" t="str">
            <v>M/S Shah Mojidia Motor Parts</v>
          </cell>
          <cell r="E779" t="str">
            <v>00842</v>
          </cell>
        </row>
        <row r="780">
          <cell r="D780" t="str">
            <v>M/S Hira Motors-Chokoria</v>
          </cell>
          <cell r="E780" t="str">
            <v>01441</v>
          </cell>
        </row>
        <row r="781">
          <cell r="D781" t="str">
            <v>M/S Hira Motors-Chokoria</v>
          </cell>
          <cell r="E781" t="str">
            <v>01441</v>
          </cell>
        </row>
        <row r="782">
          <cell r="D782" t="str">
            <v>M/S Sohan Motors</v>
          </cell>
          <cell r="E782" t="str">
            <v>01385</v>
          </cell>
        </row>
        <row r="783">
          <cell r="D783" t="str">
            <v>M/S Sohan Motors</v>
          </cell>
          <cell r="E783" t="str">
            <v>01385</v>
          </cell>
        </row>
        <row r="784">
          <cell r="D784" t="str">
            <v>M/S Bismillah Motors-Hinla</v>
          </cell>
          <cell r="E784" t="str">
            <v>01448</v>
          </cell>
        </row>
        <row r="785">
          <cell r="D785" t="str">
            <v>M/S Farhan Auto (C)</v>
          </cell>
          <cell r="E785" t="str">
            <v>01298</v>
          </cell>
        </row>
        <row r="786">
          <cell r="D786" t="str">
            <v>M/S Farhan Auto (C)</v>
          </cell>
          <cell r="E786" t="str">
            <v>01298</v>
          </cell>
        </row>
        <row r="787">
          <cell r="D787" t="str">
            <v>M/S Farhan Auto (C)</v>
          </cell>
          <cell r="E787" t="str">
            <v>01298</v>
          </cell>
        </row>
        <row r="788">
          <cell r="D788" t="str">
            <v>M/S Farhan Auto (C)</v>
          </cell>
          <cell r="E788" t="str">
            <v>01298</v>
          </cell>
        </row>
        <row r="789">
          <cell r="D789" t="str">
            <v>M/S S.K. Enterprise (C)</v>
          </cell>
          <cell r="E789" t="str">
            <v>01326</v>
          </cell>
        </row>
        <row r="790">
          <cell r="D790" t="str">
            <v>M/S S.K. Enterprise (C)</v>
          </cell>
          <cell r="E790" t="str">
            <v>01326</v>
          </cell>
        </row>
        <row r="791">
          <cell r="D791" t="str">
            <v>M/S S.K. Enterprise (C)</v>
          </cell>
          <cell r="E791" t="str">
            <v>01326</v>
          </cell>
        </row>
        <row r="792">
          <cell r="D792" t="str">
            <v>M/S Sangu Battery House</v>
          </cell>
          <cell r="E792" t="str">
            <v>00988</v>
          </cell>
        </row>
        <row r="793">
          <cell r="D793" t="str">
            <v>M/S Sangu Battery House</v>
          </cell>
          <cell r="E793" t="str">
            <v>00988</v>
          </cell>
        </row>
        <row r="794">
          <cell r="D794" t="str">
            <v>M/S Sangu Battery House</v>
          </cell>
          <cell r="E794" t="str">
            <v>00988</v>
          </cell>
        </row>
        <row r="795">
          <cell r="D795" t="str">
            <v>M/S Sangu Battery House</v>
          </cell>
          <cell r="E795" t="str">
            <v>00988</v>
          </cell>
        </row>
        <row r="796">
          <cell r="D796" t="str">
            <v>M/S Bashkhali Enterprise</v>
          </cell>
          <cell r="E796" t="str">
            <v>00424</v>
          </cell>
        </row>
        <row r="797">
          <cell r="D797" t="str">
            <v>M/S Bashkhali Enterprise</v>
          </cell>
          <cell r="E797" t="str">
            <v>00424</v>
          </cell>
        </row>
        <row r="798">
          <cell r="D798" t="str">
            <v>M/S Boalkhali Battery House (C)</v>
          </cell>
          <cell r="E798" t="str">
            <v>01550</v>
          </cell>
        </row>
        <row r="799">
          <cell r="D799" t="str">
            <v>M/S Boalkhali Battery House (C)</v>
          </cell>
          <cell r="E799" t="str">
            <v>01550</v>
          </cell>
        </row>
        <row r="800">
          <cell r="D800" t="str">
            <v>M/S Banskhali Enterprise-Joldi (C)</v>
          </cell>
          <cell r="E800" t="str">
            <v>01312</v>
          </cell>
        </row>
        <row r="801">
          <cell r="D801" t="str">
            <v>M/S Shahjalal Traders</v>
          </cell>
          <cell r="E801" t="str">
            <v>01362</v>
          </cell>
        </row>
        <row r="802">
          <cell r="D802" t="str">
            <v>M/S Shahjalal Traders</v>
          </cell>
          <cell r="E802" t="str">
            <v>01362</v>
          </cell>
        </row>
        <row r="803">
          <cell r="D803" t="str">
            <v>M/S Doyal Battery (C)</v>
          </cell>
          <cell r="E803" t="str">
            <v>01308</v>
          </cell>
        </row>
        <row r="804">
          <cell r="D804" t="str">
            <v>M/S Doyal Battery (C)</v>
          </cell>
          <cell r="E804" t="str">
            <v>01308</v>
          </cell>
        </row>
        <row r="805">
          <cell r="D805" t="str">
            <v>M/S Bondhu Auto and CNG Workshop</v>
          </cell>
          <cell r="E805" t="str">
            <v>01149</v>
          </cell>
        </row>
        <row r="806">
          <cell r="D806" t="str">
            <v>M/S Minara Traders</v>
          </cell>
          <cell r="E806" t="str">
            <v>01108</v>
          </cell>
        </row>
        <row r="807">
          <cell r="D807" t="str">
            <v>M/S Khokon IPS &amp; Battery Center (C)</v>
          </cell>
          <cell r="E807" t="str">
            <v>01306</v>
          </cell>
        </row>
        <row r="808">
          <cell r="D808" t="str">
            <v>M/S Anik Motors &amp; Battery (C)</v>
          </cell>
          <cell r="E808" t="str">
            <v>01444</v>
          </cell>
        </row>
        <row r="809">
          <cell r="D809" t="str">
            <v>M/S Anas Battery &amp; Auto House</v>
          </cell>
          <cell r="E809" t="str">
            <v>01401</v>
          </cell>
        </row>
        <row r="810">
          <cell r="D810" t="str">
            <v>M/S Babul Enterprise (C)</v>
          </cell>
          <cell r="E810" t="str">
            <v>01292</v>
          </cell>
        </row>
        <row r="811">
          <cell r="D811" t="str">
            <v>M/S Ira Motors</v>
          </cell>
          <cell r="E811" t="str">
            <v>00133</v>
          </cell>
        </row>
        <row r="812">
          <cell r="D812" t="str">
            <v>M/S Snigdha Battery</v>
          </cell>
          <cell r="E812" t="str">
            <v>00134</v>
          </cell>
        </row>
        <row r="813">
          <cell r="D813" t="str">
            <v>M/S Snigdha Battery</v>
          </cell>
          <cell r="E813" t="str">
            <v>00134</v>
          </cell>
        </row>
        <row r="814">
          <cell r="D814" t="str">
            <v>M/S Snigdha Battery</v>
          </cell>
          <cell r="E814" t="str">
            <v>00134</v>
          </cell>
        </row>
        <row r="815">
          <cell r="D815" t="str">
            <v>M/S Bhai Bhai Battery And Motors (C)</v>
          </cell>
          <cell r="E815" t="str">
            <v>01496</v>
          </cell>
        </row>
        <row r="816">
          <cell r="D816" t="str">
            <v>M/S Islam Parts Store</v>
          </cell>
          <cell r="E816" t="str">
            <v>01146</v>
          </cell>
        </row>
        <row r="817">
          <cell r="D817" t="str">
            <v>M/S Islam Parts Store</v>
          </cell>
          <cell r="E817" t="str">
            <v>01146</v>
          </cell>
        </row>
        <row r="818">
          <cell r="D818" t="str">
            <v>M/S Islam Parts Store</v>
          </cell>
          <cell r="E818" t="str">
            <v>01146</v>
          </cell>
        </row>
        <row r="819">
          <cell r="D819" t="str">
            <v>M/S Sompa Cycle Store (C)</v>
          </cell>
          <cell r="E819" t="str">
            <v>01545</v>
          </cell>
        </row>
        <row r="820">
          <cell r="D820" t="str">
            <v>M/S Bogura Auto Center (C)</v>
          </cell>
          <cell r="E820" t="str">
            <v>01468</v>
          </cell>
        </row>
        <row r="821">
          <cell r="D821" t="str">
            <v>M/S Bogura Auto Center (C)</v>
          </cell>
          <cell r="E821" t="str">
            <v>01468</v>
          </cell>
        </row>
        <row r="822">
          <cell r="D822" t="str">
            <v>M/S M.R. Enterprise- Dinajpur (C)</v>
          </cell>
          <cell r="E822" t="str">
            <v>01520</v>
          </cell>
        </row>
        <row r="823">
          <cell r="D823" t="str">
            <v>M/S Khan Battery Recycling (C)</v>
          </cell>
          <cell r="E823" t="str">
            <v>01282</v>
          </cell>
        </row>
        <row r="824">
          <cell r="D824" t="str">
            <v>Md. Moazzem Hossain D.M</v>
          </cell>
          <cell r="E824" t="str">
            <v>01355</v>
          </cell>
        </row>
        <row r="825">
          <cell r="D825" t="str">
            <v>M/S Satata Battery House (C)</v>
          </cell>
          <cell r="E825" t="str">
            <v>01517</v>
          </cell>
        </row>
        <row r="826">
          <cell r="D826" t="str">
            <v>M/S Allahar Dan Battery</v>
          </cell>
          <cell r="E826" t="str">
            <v>01466</v>
          </cell>
        </row>
        <row r="827">
          <cell r="D827" t="str">
            <v>M/S Samir Battery And Tyre</v>
          </cell>
          <cell r="E827" t="str">
            <v>01450</v>
          </cell>
        </row>
        <row r="828">
          <cell r="D828" t="str">
            <v>M/S Samir Battery And Tyre</v>
          </cell>
          <cell r="E828" t="str">
            <v>01450</v>
          </cell>
        </row>
        <row r="829">
          <cell r="D829" t="str">
            <v>M/S Hasan Enterprise (C)</v>
          </cell>
          <cell r="E829" t="str">
            <v>01289</v>
          </cell>
        </row>
        <row r="830">
          <cell r="D830" t="str">
            <v>M/S S.B. Energy (C)</v>
          </cell>
          <cell r="E830" t="str">
            <v>01288</v>
          </cell>
        </row>
        <row r="831">
          <cell r="D831" t="str">
            <v>M/S S.B. Energy (C)</v>
          </cell>
          <cell r="E831" t="str">
            <v>01288</v>
          </cell>
        </row>
        <row r="832">
          <cell r="D832" t="str">
            <v>M/S Gazipur Battery House (C)</v>
          </cell>
          <cell r="E832" t="str">
            <v>01549</v>
          </cell>
        </row>
        <row r="833">
          <cell r="D833" t="str">
            <v>M/S Gazipur Battery House (C)</v>
          </cell>
          <cell r="E833" t="str">
            <v>01549</v>
          </cell>
        </row>
        <row r="834">
          <cell r="D834" t="str">
            <v>M/S Gazipur Battery House (C)</v>
          </cell>
          <cell r="E834" t="str">
            <v>01549</v>
          </cell>
        </row>
        <row r="835">
          <cell r="D835" t="str">
            <v>M/S Gazipur Battery House (C)</v>
          </cell>
          <cell r="E835" t="str">
            <v>01549</v>
          </cell>
        </row>
        <row r="836">
          <cell r="D836" t="str">
            <v>M/S Al - Mokka Enterprise (C)</v>
          </cell>
          <cell r="E836" t="str">
            <v>01553</v>
          </cell>
        </row>
        <row r="837">
          <cell r="D837" t="str">
            <v>M/S Shoshi Enterprise (C)</v>
          </cell>
          <cell r="E837" t="str">
            <v>01335</v>
          </cell>
        </row>
        <row r="838">
          <cell r="D838" t="str">
            <v>M/S Setu Cycle Mart</v>
          </cell>
          <cell r="E838" t="str">
            <v>00471</v>
          </cell>
        </row>
        <row r="839">
          <cell r="D839" t="str">
            <v>M/S Setu Cycle Mart</v>
          </cell>
          <cell r="E839" t="str">
            <v>00471</v>
          </cell>
        </row>
        <row r="840">
          <cell r="D840" t="str">
            <v>M/S Setu Cycle Mart</v>
          </cell>
          <cell r="E840" t="str">
            <v>00471</v>
          </cell>
        </row>
        <row r="841">
          <cell r="D841" t="str">
            <v>M/S Setu Cycle Mart</v>
          </cell>
          <cell r="E841" t="str">
            <v>00471</v>
          </cell>
        </row>
        <row r="842">
          <cell r="D842" t="str">
            <v>M/S Setu Cycle Mart</v>
          </cell>
          <cell r="E842" t="str">
            <v>00471</v>
          </cell>
        </row>
        <row r="843">
          <cell r="D843" t="str">
            <v>M/S Setu Cycle Mart</v>
          </cell>
          <cell r="E843" t="str">
            <v>00471</v>
          </cell>
        </row>
        <row r="844">
          <cell r="D844" t="str">
            <v>M/S Setu Cycle Mart</v>
          </cell>
          <cell r="E844" t="str">
            <v>00471</v>
          </cell>
        </row>
        <row r="845">
          <cell r="D845" t="str">
            <v>M/S Shah Mojidia Motor Parts</v>
          </cell>
          <cell r="E845" t="str">
            <v>00842</v>
          </cell>
        </row>
        <row r="846">
          <cell r="D846" t="str">
            <v>M/S Shah Mojidia Motor Parts</v>
          </cell>
          <cell r="E846" t="str">
            <v>00842</v>
          </cell>
        </row>
        <row r="847">
          <cell r="D847" t="str">
            <v>M/S Shah Mojidia Motor Parts</v>
          </cell>
          <cell r="E847" t="str">
            <v>00842</v>
          </cell>
        </row>
        <row r="848">
          <cell r="D848" t="str">
            <v>M/S Saiful Motors</v>
          </cell>
          <cell r="E848" t="str">
            <v>00482</v>
          </cell>
        </row>
        <row r="849">
          <cell r="D849" t="str">
            <v>M/S Hira Motors-Chokoria</v>
          </cell>
          <cell r="E849" t="str">
            <v>01441</v>
          </cell>
        </row>
        <row r="850">
          <cell r="D850" t="str">
            <v>M/S Hira Motors-Chokoria</v>
          </cell>
          <cell r="E850" t="str">
            <v>01441</v>
          </cell>
        </row>
        <row r="851">
          <cell r="D851" t="str">
            <v>M/S Talukder Motors (C)</v>
          </cell>
          <cell r="E851" t="str">
            <v>01471</v>
          </cell>
        </row>
        <row r="852">
          <cell r="D852" t="str">
            <v>M/S Babul Enterprise (C)</v>
          </cell>
          <cell r="E852" t="str">
            <v>01292</v>
          </cell>
        </row>
        <row r="853">
          <cell r="D853" t="str">
            <v>M/S Snigdha Battery</v>
          </cell>
          <cell r="E853" t="str">
            <v>00134</v>
          </cell>
        </row>
        <row r="854">
          <cell r="D854" t="str">
            <v>M/S Snigdha Battery</v>
          </cell>
          <cell r="E854" t="str">
            <v>00134</v>
          </cell>
        </row>
        <row r="855">
          <cell r="D855" t="str">
            <v>M/S Snigdha Battery</v>
          </cell>
          <cell r="E855" t="str">
            <v>00134</v>
          </cell>
        </row>
        <row r="856">
          <cell r="D856" t="str">
            <v>M/S Snigdha Battery</v>
          </cell>
          <cell r="E856" t="str">
            <v>00134</v>
          </cell>
        </row>
        <row r="857">
          <cell r="D857" t="str">
            <v>M/S Ira Motors</v>
          </cell>
          <cell r="E857" t="str">
            <v>00133</v>
          </cell>
        </row>
        <row r="858">
          <cell r="D858" t="str">
            <v>M/S Al Baraka Enterprise</v>
          </cell>
          <cell r="E858" t="str">
            <v>00159</v>
          </cell>
        </row>
        <row r="859">
          <cell r="D859" t="str">
            <v>M/S Bondhu Auto and CNG Workshop</v>
          </cell>
          <cell r="E859" t="str">
            <v>01149</v>
          </cell>
        </row>
        <row r="860">
          <cell r="D860" t="str">
            <v>M/S Bondhu Auto and CNG Workshop</v>
          </cell>
          <cell r="E860" t="str">
            <v>01149</v>
          </cell>
        </row>
        <row r="861">
          <cell r="D861" t="str">
            <v>M/S Bondhu Auto and CNG Workshop</v>
          </cell>
          <cell r="E861" t="str">
            <v>01149</v>
          </cell>
        </row>
        <row r="862">
          <cell r="D862" t="str">
            <v>M/S Doyal Battery (C)</v>
          </cell>
          <cell r="E862" t="str">
            <v>01308</v>
          </cell>
        </row>
        <row r="863">
          <cell r="D863" t="str">
            <v>M/S Doyal Battery (C)</v>
          </cell>
          <cell r="E863" t="str">
            <v>01308</v>
          </cell>
        </row>
        <row r="864">
          <cell r="D864" t="str">
            <v>M/S Minara Traders</v>
          </cell>
          <cell r="E864" t="str">
            <v>01108</v>
          </cell>
        </row>
        <row r="865">
          <cell r="D865" t="str">
            <v>M/S Rumi Battery House</v>
          </cell>
          <cell r="E865" t="str">
            <v>00387</v>
          </cell>
        </row>
        <row r="866">
          <cell r="D866" t="str">
            <v>M/S New Dhaka Motors and Battery (C)</v>
          </cell>
          <cell r="E866" t="str">
            <v>01554</v>
          </cell>
        </row>
        <row r="867">
          <cell r="D867" t="str">
            <v>M/S New Dhaka Motors and Battery (C)</v>
          </cell>
          <cell r="E867" t="str">
            <v>01554</v>
          </cell>
        </row>
        <row r="868">
          <cell r="D868" t="str">
            <v>M/S Monir Auto &amp; Battery House</v>
          </cell>
          <cell r="E868" t="str">
            <v>00001</v>
          </cell>
        </row>
        <row r="869">
          <cell r="D869" t="str">
            <v>M/S Modina Enterprise - Savar</v>
          </cell>
          <cell r="E869" t="str">
            <v>01404</v>
          </cell>
        </row>
        <row r="870">
          <cell r="D870" t="str">
            <v>M/S Modina Cycle Store (C)</v>
          </cell>
          <cell r="E870" t="str">
            <v>01519</v>
          </cell>
        </row>
        <row r="871">
          <cell r="D871" t="str">
            <v>M/S Modina Cycle Store (C)</v>
          </cell>
          <cell r="E871" t="str">
            <v>01519</v>
          </cell>
        </row>
        <row r="872">
          <cell r="D872" t="str">
            <v>M/S Ripon Tyre and Battery (C)</v>
          </cell>
          <cell r="E872" t="str">
            <v>01557</v>
          </cell>
        </row>
        <row r="873">
          <cell r="D873" t="str">
            <v>M/S Ripon Tyre and Battery (C)</v>
          </cell>
          <cell r="E873" t="str">
            <v>01557</v>
          </cell>
        </row>
        <row r="874">
          <cell r="D874" t="str">
            <v>M/S Khan Battery Recycling (C)</v>
          </cell>
          <cell r="E874" t="str">
            <v>01282</v>
          </cell>
        </row>
        <row r="875">
          <cell r="D875" t="str">
            <v>M/S Khokon IPS &amp; Battery Center (C)</v>
          </cell>
          <cell r="E875" t="str">
            <v>01306</v>
          </cell>
        </row>
        <row r="876">
          <cell r="D876" t="str">
            <v>M/S Anik Motors &amp; Battery (C)</v>
          </cell>
          <cell r="E876" t="str">
            <v>01444</v>
          </cell>
        </row>
        <row r="877">
          <cell r="D877" t="str">
            <v>M/S Anik Motors &amp; Battery (C)</v>
          </cell>
          <cell r="E877" t="str">
            <v>01444</v>
          </cell>
        </row>
        <row r="878">
          <cell r="D878" t="str">
            <v>M/S Mayer Doya Auto Parts-Laksam</v>
          </cell>
          <cell r="E878" t="str">
            <v>00325</v>
          </cell>
        </row>
        <row r="879">
          <cell r="D879" t="str">
            <v>M/S Mayer Doya Auto Parts-Laksam</v>
          </cell>
          <cell r="E879" t="str">
            <v>00325</v>
          </cell>
        </row>
        <row r="880">
          <cell r="D880" t="str">
            <v>M/S Anas Battery &amp; Auto House</v>
          </cell>
          <cell r="E880" t="str">
            <v>01401</v>
          </cell>
        </row>
        <row r="881">
          <cell r="D881" t="str">
            <v>M/S Anas Battery &amp; Auto House</v>
          </cell>
          <cell r="E881" t="str">
            <v>01401</v>
          </cell>
        </row>
        <row r="882">
          <cell r="D882" t="str">
            <v>M/S Anas Battery &amp; Auto House</v>
          </cell>
          <cell r="E882" t="str">
            <v>01401</v>
          </cell>
        </row>
        <row r="883">
          <cell r="D883" t="str">
            <v>M/S A.P.L. Auto House (C)</v>
          </cell>
          <cell r="E883" t="str">
            <v>01305</v>
          </cell>
        </row>
        <row r="884">
          <cell r="D884" t="str">
            <v>M/S Sajib Enterprise (C)</v>
          </cell>
          <cell r="E884" t="str">
            <v>01353</v>
          </cell>
        </row>
        <row r="885">
          <cell r="D885" t="str">
            <v>M/S Sajib Enterprise (C)</v>
          </cell>
          <cell r="E885" t="str">
            <v>01353</v>
          </cell>
        </row>
        <row r="886">
          <cell r="D886" t="str">
            <v>M/S S.S. Enterprise-Norshingdi</v>
          </cell>
          <cell r="E886" t="str">
            <v>01118</v>
          </cell>
        </row>
        <row r="887">
          <cell r="D887" t="str">
            <v>M/S S.S. Enterprise-Norshingdi</v>
          </cell>
          <cell r="E887" t="str">
            <v>01118</v>
          </cell>
        </row>
        <row r="888">
          <cell r="D888" t="str">
            <v>M/S S.S. Enterprise-Norshingdi</v>
          </cell>
          <cell r="E888" t="str">
            <v>01118</v>
          </cell>
        </row>
        <row r="889">
          <cell r="D889" t="str">
            <v>M/S Farhan Auto (C)</v>
          </cell>
          <cell r="E889" t="str">
            <v>01298</v>
          </cell>
        </row>
        <row r="890">
          <cell r="D890" t="str">
            <v>M/S Farhan Auto (C)</v>
          </cell>
          <cell r="E890" t="str">
            <v>01298</v>
          </cell>
        </row>
        <row r="891">
          <cell r="D891" t="str">
            <v>M/S Farhan Auto (C)</v>
          </cell>
          <cell r="E891" t="str">
            <v>01298</v>
          </cell>
        </row>
        <row r="892">
          <cell r="D892" t="str">
            <v>M/S Supreme Auto (C)</v>
          </cell>
          <cell r="E892" t="str">
            <v>01300</v>
          </cell>
        </row>
        <row r="893">
          <cell r="D893" t="str">
            <v>M/S Ekata Motors</v>
          </cell>
          <cell r="E893" t="str">
            <v>00419</v>
          </cell>
        </row>
        <row r="894">
          <cell r="D894" t="str">
            <v>M/S Sangu Battery House</v>
          </cell>
          <cell r="E894" t="str">
            <v>00988</v>
          </cell>
        </row>
        <row r="895">
          <cell r="D895" t="str">
            <v>M/S Sangu Battery House</v>
          </cell>
          <cell r="E895" t="str">
            <v>00988</v>
          </cell>
        </row>
        <row r="896">
          <cell r="D896" t="str">
            <v>M/S Sangu Battery House</v>
          </cell>
          <cell r="E896" t="str">
            <v>00988</v>
          </cell>
        </row>
        <row r="897">
          <cell r="D897" t="str">
            <v>M/S S.K. Enterprise (C)</v>
          </cell>
          <cell r="E897" t="str">
            <v>01326</v>
          </cell>
        </row>
        <row r="898">
          <cell r="D898" t="str">
            <v>M/S S.K. Enterprise (C)</v>
          </cell>
          <cell r="E898" t="str">
            <v>01326</v>
          </cell>
        </row>
        <row r="899">
          <cell r="D899" t="str">
            <v>M/S S.K. Enterprise (C)</v>
          </cell>
          <cell r="E899" t="str">
            <v>01326</v>
          </cell>
        </row>
        <row r="900">
          <cell r="D900" t="str">
            <v>M/S Boalkhali Battery House (C)</v>
          </cell>
          <cell r="E900" t="str">
            <v>01550</v>
          </cell>
        </row>
        <row r="901">
          <cell r="D901" t="str">
            <v>M/S Shepon Motors (C)</v>
          </cell>
          <cell r="E901" t="str">
            <v>01438</v>
          </cell>
        </row>
        <row r="902">
          <cell r="D902" t="str">
            <v>M/S Shepon Motors (C)</v>
          </cell>
          <cell r="E902" t="str">
            <v>01438</v>
          </cell>
        </row>
        <row r="903">
          <cell r="D903" t="str">
            <v>M/S Shopon Battery House (C)</v>
          </cell>
          <cell r="E903" t="str">
            <v>01320</v>
          </cell>
        </row>
        <row r="904">
          <cell r="D904" t="str">
            <v>M/S Shopon Battery House (C)</v>
          </cell>
          <cell r="E904" t="str">
            <v>01320</v>
          </cell>
        </row>
        <row r="905">
          <cell r="D905" t="str">
            <v>M/S Shopon Battery House (C)</v>
          </cell>
          <cell r="E905" t="str">
            <v>01320</v>
          </cell>
        </row>
        <row r="906">
          <cell r="D906" t="str">
            <v>M/S Shopon Battery House (C)</v>
          </cell>
          <cell r="E906" t="str">
            <v>01320</v>
          </cell>
        </row>
        <row r="907">
          <cell r="D907" t="str">
            <v>M/S Bogura Auto Center (C)</v>
          </cell>
          <cell r="E907" t="str">
            <v>01468</v>
          </cell>
        </row>
        <row r="908">
          <cell r="D908" t="str">
            <v>M/S Bogura Auto Center (C)</v>
          </cell>
          <cell r="E908" t="str">
            <v>01468</v>
          </cell>
        </row>
        <row r="909">
          <cell r="D909" t="str">
            <v>M/S Bogura Auto Center (C)</v>
          </cell>
          <cell r="E909" t="str">
            <v>01468</v>
          </cell>
        </row>
        <row r="910">
          <cell r="D910" t="str">
            <v>M/S Salman Auto and Battery (C)</v>
          </cell>
          <cell r="E910" t="str">
            <v>01535</v>
          </cell>
        </row>
        <row r="911">
          <cell r="D911" t="str">
            <v>M/S Raju Battery</v>
          </cell>
          <cell r="E911" t="str">
            <v>00519</v>
          </cell>
        </row>
        <row r="912">
          <cell r="D912" t="str">
            <v>M/S Rafiq Vi Battery &amp; Auto</v>
          </cell>
          <cell r="E912" t="str">
            <v>01405</v>
          </cell>
        </row>
        <row r="913">
          <cell r="D913" t="str">
            <v>M/S Rafiq Vi Battery &amp; Auto</v>
          </cell>
          <cell r="E913" t="str">
            <v>01405</v>
          </cell>
        </row>
        <row r="914">
          <cell r="D914" t="str">
            <v>M/S Chapai Auto Battery House</v>
          </cell>
          <cell r="E914" t="str">
            <v>01487</v>
          </cell>
        </row>
        <row r="915">
          <cell r="D915" t="str">
            <v>M/S Jhenaidah Bike Center  (C)</v>
          </cell>
          <cell r="E915" t="str">
            <v>01536</v>
          </cell>
        </row>
        <row r="916">
          <cell r="D916" t="str">
            <v>M/S Sadiq Enterprise (C)</v>
          </cell>
          <cell r="E916" t="str">
            <v>01484</v>
          </cell>
        </row>
        <row r="917">
          <cell r="D917" t="str">
            <v>M/S Bhai Bhai Battery And Motors (C)</v>
          </cell>
          <cell r="E917" t="str">
            <v>01496</v>
          </cell>
        </row>
        <row r="918">
          <cell r="D918" t="str">
            <v>M/S Comilla Traders</v>
          </cell>
          <cell r="E918" t="str">
            <v>00334</v>
          </cell>
        </row>
        <row r="919">
          <cell r="D919" t="str">
            <v>M/S Sharif Battery House &amp; IPS Center</v>
          </cell>
          <cell r="E919" t="str">
            <v>01424</v>
          </cell>
        </row>
        <row r="920">
          <cell r="D920" t="str">
            <v>M/S Samir Battery And Tyre</v>
          </cell>
          <cell r="E920" t="str">
            <v>01450</v>
          </cell>
        </row>
        <row r="921">
          <cell r="D921" t="str">
            <v>M/S Samir Battery And Tyre</v>
          </cell>
          <cell r="E921" t="str">
            <v>01450</v>
          </cell>
        </row>
        <row r="922">
          <cell r="D922" t="str">
            <v>M/S Monir Auto &amp; Battery House</v>
          </cell>
          <cell r="E922" t="str">
            <v>00001</v>
          </cell>
        </row>
        <row r="923">
          <cell r="D923" t="str">
            <v>M/S Monir Auto &amp; Battery House</v>
          </cell>
          <cell r="E923" t="str">
            <v>00001</v>
          </cell>
        </row>
        <row r="924">
          <cell r="D924" t="str">
            <v>M/S S. K. Battery House (C)</v>
          </cell>
          <cell r="E924" t="str">
            <v>01530</v>
          </cell>
        </row>
        <row r="925">
          <cell r="D925" t="str">
            <v>M/S S. K. Battery House (C)</v>
          </cell>
          <cell r="E925" t="str">
            <v>01530</v>
          </cell>
        </row>
        <row r="926">
          <cell r="D926" t="str">
            <v>M/S S. K. Battery House (C)</v>
          </cell>
          <cell r="E926" t="str">
            <v>01530</v>
          </cell>
        </row>
        <row r="927">
          <cell r="D927" t="str">
            <v>M/S Khan Battery Recycling (C)</v>
          </cell>
          <cell r="E927" t="str">
            <v>01282</v>
          </cell>
        </row>
        <row r="928">
          <cell r="D928" t="str">
            <v>M/S Khan Battery Recycling (C)</v>
          </cell>
          <cell r="E928" t="str">
            <v>01282</v>
          </cell>
        </row>
        <row r="929">
          <cell r="D929" t="str">
            <v>M/S Khan Battery Recycling (C)</v>
          </cell>
          <cell r="E929" t="str">
            <v>01282</v>
          </cell>
        </row>
        <row r="930">
          <cell r="D930" t="str">
            <v>M/S Hemayetpur Battery House (C)</v>
          </cell>
          <cell r="E930" t="str">
            <v>01478</v>
          </cell>
        </row>
        <row r="931">
          <cell r="D931" t="str">
            <v>M/S New Dhaka Motors and Battery (C)</v>
          </cell>
          <cell r="E931" t="str">
            <v>01554</v>
          </cell>
        </row>
        <row r="932">
          <cell r="D932" t="str">
            <v>M/S Ripon Tyre and Battery (C)</v>
          </cell>
          <cell r="E932" t="str">
            <v>01557</v>
          </cell>
        </row>
        <row r="933">
          <cell r="D933" t="str">
            <v>M/S Ripon Tyre and Battery (C)</v>
          </cell>
          <cell r="E933" t="str">
            <v>01557</v>
          </cell>
        </row>
        <row r="934">
          <cell r="D934" t="str">
            <v>M/S Gazipur Battery House (C)</v>
          </cell>
          <cell r="E934" t="str">
            <v>01549</v>
          </cell>
        </row>
        <row r="935">
          <cell r="D935" t="str">
            <v>M/S Gazipur Battery House (C)</v>
          </cell>
          <cell r="E935" t="str">
            <v>01549</v>
          </cell>
        </row>
        <row r="936">
          <cell r="D936" t="str">
            <v>M/S Bondhu Auto and CNG Workshop</v>
          </cell>
          <cell r="E936" t="str">
            <v>01149</v>
          </cell>
        </row>
        <row r="937">
          <cell r="D937" t="str">
            <v>M/S Bondhu Auto and CNG Workshop</v>
          </cell>
          <cell r="E937" t="str">
            <v>01149</v>
          </cell>
        </row>
        <row r="938">
          <cell r="D938" t="str">
            <v>M/S Bondhu Auto and CNG Workshop</v>
          </cell>
          <cell r="E938" t="str">
            <v>01149</v>
          </cell>
        </row>
        <row r="939">
          <cell r="D939" t="str">
            <v>M/S Doyal Battery (C)</v>
          </cell>
          <cell r="E939" t="str">
            <v>01308</v>
          </cell>
        </row>
        <row r="940">
          <cell r="D940" t="str">
            <v>M/S Doyal Battery (C)</v>
          </cell>
          <cell r="E940" t="str">
            <v>01308</v>
          </cell>
        </row>
        <row r="941">
          <cell r="D941" t="str">
            <v>M/S Banskhali Enterprise-Joldi (C)</v>
          </cell>
          <cell r="E941" t="str">
            <v>01312</v>
          </cell>
        </row>
        <row r="942">
          <cell r="D942" t="str">
            <v>M/S Banskhali Enterprise-Joldi (C)</v>
          </cell>
          <cell r="E942" t="str">
            <v>01312</v>
          </cell>
        </row>
        <row r="943">
          <cell r="D943" t="str">
            <v>M/S S.K. Enterprise (C)</v>
          </cell>
          <cell r="E943" t="str">
            <v>01326</v>
          </cell>
        </row>
        <row r="944">
          <cell r="D944" t="str">
            <v>M/S S.K. Enterprise (C)</v>
          </cell>
          <cell r="E944" t="str">
            <v>01326</v>
          </cell>
        </row>
        <row r="945">
          <cell r="D945" t="str">
            <v>M/S S.K. Enterprise (C)</v>
          </cell>
          <cell r="E945" t="str">
            <v>01326</v>
          </cell>
        </row>
        <row r="946">
          <cell r="D946" t="str">
            <v>M/S Kalam Auto Motor Parts And Battery House</v>
          </cell>
          <cell r="E946" t="str">
            <v>00420</v>
          </cell>
        </row>
        <row r="947">
          <cell r="D947" t="str">
            <v>M/S Kalam Auto Motor Parts And Battery House</v>
          </cell>
          <cell r="E947" t="str">
            <v>00420</v>
          </cell>
        </row>
        <row r="948">
          <cell r="D948" t="str">
            <v>M/S Farhan Auto (C)</v>
          </cell>
          <cell r="E948" t="str">
            <v>01298</v>
          </cell>
        </row>
        <row r="949">
          <cell r="D949" t="str">
            <v>M/S Farhan Auto (C)</v>
          </cell>
          <cell r="E949" t="str">
            <v>01298</v>
          </cell>
        </row>
        <row r="950">
          <cell r="D950" t="str">
            <v>M/S Farhan Auto (C)</v>
          </cell>
          <cell r="E950" t="str">
            <v>01298</v>
          </cell>
        </row>
        <row r="951">
          <cell r="D951" t="str">
            <v>M/S L D Poribahan &amp; Trading (C)</v>
          </cell>
          <cell r="E951" t="str">
            <v>01299</v>
          </cell>
        </row>
        <row r="952">
          <cell r="D952" t="str">
            <v>M/S Setu Cycle Mart</v>
          </cell>
          <cell r="E952" t="str">
            <v>00471</v>
          </cell>
        </row>
        <row r="953">
          <cell r="D953" t="str">
            <v>M/S Setu Cycle Mart</v>
          </cell>
          <cell r="E953" t="str">
            <v>00471</v>
          </cell>
        </row>
        <row r="954">
          <cell r="D954" t="str">
            <v>M/S Setu Cycle Mart</v>
          </cell>
          <cell r="E954" t="str">
            <v>00471</v>
          </cell>
        </row>
        <row r="955">
          <cell r="D955" t="str">
            <v>M/S Shah Mojidia Motor Parts</v>
          </cell>
          <cell r="E955" t="str">
            <v>00842</v>
          </cell>
        </row>
        <row r="956">
          <cell r="D956" t="str">
            <v>M/S Shah Mojidia Motor Parts</v>
          </cell>
          <cell r="E956" t="str">
            <v>00842</v>
          </cell>
        </row>
        <row r="957">
          <cell r="D957" t="str">
            <v>M/S Shah Mojidia Motor Parts</v>
          </cell>
          <cell r="E957" t="str">
            <v>00842</v>
          </cell>
        </row>
        <row r="958">
          <cell r="D958" t="str">
            <v>M/S Shah Mojidia Motor Parts</v>
          </cell>
          <cell r="E958" t="str">
            <v>00842</v>
          </cell>
        </row>
        <row r="959">
          <cell r="D959" t="str">
            <v>M/S Shah Mojidia Motor Parts</v>
          </cell>
          <cell r="E959" t="str">
            <v>00842</v>
          </cell>
        </row>
        <row r="960">
          <cell r="D960" t="str">
            <v>M/S Bismillah Motors-Hinla</v>
          </cell>
          <cell r="E960" t="str">
            <v>01448</v>
          </cell>
        </row>
        <row r="961">
          <cell r="D961" t="str">
            <v>M/S Saiful Motors</v>
          </cell>
          <cell r="E961" t="str">
            <v>00482</v>
          </cell>
        </row>
        <row r="962">
          <cell r="D962" t="str">
            <v>M/S Ira Motors</v>
          </cell>
          <cell r="E962" t="str">
            <v>00133</v>
          </cell>
        </row>
        <row r="963">
          <cell r="D963" t="str">
            <v>M/S Ira Motors</v>
          </cell>
          <cell r="E963" t="str">
            <v>00133</v>
          </cell>
        </row>
        <row r="964">
          <cell r="D964" t="str">
            <v>M/S Snigdha Battery</v>
          </cell>
          <cell r="E964" t="str">
            <v>00134</v>
          </cell>
        </row>
        <row r="965">
          <cell r="D965" t="str">
            <v>M/S Snigdha Battery</v>
          </cell>
          <cell r="E965" t="str">
            <v>00134</v>
          </cell>
        </row>
        <row r="966">
          <cell r="D966" t="str">
            <v>M/S Snigdha Battery</v>
          </cell>
          <cell r="E966" t="str">
            <v>00134</v>
          </cell>
        </row>
        <row r="967">
          <cell r="D967" t="str">
            <v>M/S Talukder Motors (C)</v>
          </cell>
          <cell r="E967" t="str">
            <v>01471</v>
          </cell>
        </row>
        <row r="968">
          <cell r="D968" t="str">
            <v>M/S Sajib Enterprise (C)</v>
          </cell>
          <cell r="E968" t="str">
            <v>01353</v>
          </cell>
        </row>
        <row r="969">
          <cell r="D969" t="str">
            <v>M/S Sajib Enterprise (C)</v>
          </cell>
          <cell r="E969" t="str">
            <v>01353</v>
          </cell>
        </row>
        <row r="970">
          <cell r="D970" t="str">
            <v>M/S Khokon IPS &amp; Battery Center (C)</v>
          </cell>
          <cell r="E970" t="str">
            <v>01306</v>
          </cell>
        </row>
        <row r="971">
          <cell r="D971" t="str">
            <v>M/S Khokon IPS &amp; Battery Center (C)</v>
          </cell>
          <cell r="E971" t="str">
            <v>01306</v>
          </cell>
        </row>
        <row r="972">
          <cell r="D972" t="str">
            <v>M/S A.P.L. Auto House (C)</v>
          </cell>
          <cell r="E972" t="str">
            <v>01305</v>
          </cell>
        </row>
        <row r="973">
          <cell r="D973" t="str">
            <v>M/S A.P.L. Auto House (C)</v>
          </cell>
          <cell r="E973" t="str">
            <v>01305</v>
          </cell>
        </row>
        <row r="974">
          <cell r="D974" t="str">
            <v>M/S Khalaq Motors-Feni</v>
          </cell>
          <cell r="E974" t="str">
            <v>01133</v>
          </cell>
        </row>
        <row r="975">
          <cell r="D975" t="str">
            <v>M/S S.S. Enterprise-Norshingdi</v>
          </cell>
          <cell r="E975" t="str">
            <v>01118</v>
          </cell>
        </row>
        <row r="976">
          <cell r="D976" t="str">
            <v>M/S S.S. Enterprise-Norshingdi</v>
          </cell>
          <cell r="E976" t="str">
            <v>01118</v>
          </cell>
        </row>
        <row r="977">
          <cell r="D977" t="str">
            <v>M/S Anas Battery &amp; Auto House</v>
          </cell>
          <cell r="E977" t="str">
            <v>01401</v>
          </cell>
        </row>
        <row r="978">
          <cell r="D978" t="str">
            <v>M/S Bhai Bhai Battery And Motors (C)</v>
          </cell>
          <cell r="E978" t="str">
            <v>01496</v>
          </cell>
        </row>
        <row r="979">
          <cell r="D979" t="str">
            <v>M/S Roni Battery</v>
          </cell>
          <cell r="E979" t="str">
            <v>01379</v>
          </cell>
        </row>
        <row r="980">
          <cell r="D980" t="str">
            <v>M/S Adib Alifa Auto &amp; Battery House (C)</v>
          </cell>
          <cell r="E980" t="str">
            <v>01454</v>
          </cell>
        </row>
        <row r="981">
          <cell r="D981" t="str">
            <v>M/S S.S. Enterprise-Norshingdi</v>
          </cell>
          <cell r="E981" t="str">
            <v>01118</v>
          </cell>
        </row>
        <row r="982">
          <cell r="D982" t="str">
            <v>M/S M R Enterprise- Setabganj</v>
          </cell>
          <cell r="E982" t="str">
            <v>01564</v>
          </cell>
        </row>
        <row r="983">
          <cell r="D983" t="str">
            <v>M/S Tamim Enterprise</v>
          </cell>
          <cell r="E983" t="str">
            <v>01395</v>
          </cell>
        </row>
        <row r="984">
          <cell r="D984" t="str">
            <v>M/S Hasan Enterprise (C)</v>
          </cell>
          <cell r="E984" t="str">
            <v>01289</v>
          </cell>
        </row>
        <row r="985">
          <cell r="D985" t="str">
            <v>M/S S.B. Energy (C)</v>
          </cell>
          <cell r="E985" t="str">
            <v>01288</v>
          </cell>
        </row>
        <row r="986">
          <cell r="D986" t="str">
            <v>M/S S.B. Energy (C)</v>
          </cell>
          <cell r="E986" t="str">
            <v>01288</v>
          </cell>
        </row>
        <row r="987">
          <cell r="D987" t="str">
            <v>M/S S.B. Energy (C)</v>
          </cell>
          <cell r="E987" t="str">
            <v>01288</v>
          </cell>
        </row>
        <row r="988">
          <cell r="D988" t="str">
            <v>M/S S.B. Energy (C)</v>
          </cell>
          <cell r="E988" t="str">
            <v>01288</v>
          </cell>
        </row>
        <row r="989">
          <cell r="D989" t="str">
            <v>M/S New Dhaka Motors and Battery (C)</v>
          </cell>
          <cell r="E989" t="str">
            <v>01554</v>
          </cell>
        </row>
        <row r="990">
          <cell r="D990" t="str">
            <v>M/S New Dhaka Motors and Battery (C)</v>
          </cell>
          <cell r="E990" t="str">
            <v>01554</v>
          </cell>
        </row>
        <row r="991">
          <cell r="D991" t="str">
            <v>M/S New Dhaka Motors and Battery (C)</v>
          </cell>
          <cell r="E991" t="str">
            <v>01554</v>
          </cell>
        </row>
        <row r="992">
          <cell r="D992" t="str">
            <v>M/S Monir Auto &amp; Battery House</v>
          </cell>
          <cell r="E992" t="str">
            <v>00001</v>
          </cell>
        </row>
        <row r="993">
          <cell r="D993" t="str">
            <v>M/S Monir Auto &amp; Battery House</v>
          </cell>
          <cell r="E993" t="str">
            <v>00001</v>
          </cell>
        </row>
        <row r="994">
          <cell r="D994" t="str">
            <v>M/S New Asia Motors</v>
          </cell>
          <cell r="E994" t="str">
            <v>00051</v>
          </cell>
        </row>
        <row r="995">
          <cell r="D995" t="str">
            <v>M/S Khan Battery Recycling (C)</v>
          </cell>
          <cell r="E995" t="str">
            <v>01282</v>
          </cell>
        </row>
        <row r="996">
          <cell r="D996" t="str">
            <v>M/S Khan Battery Recycling (C)</v>
          </cell>
          <cell r="E996" t="str">
            <v>01282</v>
          </cell>
        </row>
        <row r="997">
          <cell r="D997" t="str">
            <v>M/S Khan Battery Recycling (C)</v>
          </cell>
          <cell r="E997" t="str">
            <v>01282</v>
          </cell>
        </row>
        <row r="998">
          <cell r="D998" t="str">
            <v>M/S Khan Battery Recycling (C)</v>
          </cell>
          <cell r="E998" t="str">
            <v>01282</v>
          </cell>
        </row>
        <row r="999">
          <cell r="D999" t="str">
            <v>M/S Hemayetpur Battery House (C)</v>
          </cell>
          <cell r="E999" t="str">
            <v>01478</v>
          </cell>
        </row>
        <row r="1000">
          <cell r="D1000" t="str">
            <v>M/S Ripon Tyre and Battery (C)</v>
          </cell>
          <cell r="E1000" t="str">
            <v>01557</v>
          </cell>
        </row>
        <row r="1001">
          <cell r="D1001" t="str">
            <v>M/S Ripon Tyre and Battery (C)</v>
          </cell>
          <cell r="E1001" t="str">
            <v>01557</v>
          </cell>
        </row>
        <row r="1002">
          <cell r="D1002" t="str">
            <v>M/S Ripon Tyre and Battery (C)</v>
          </cell>
          <cell r="E1002" t="str">
            <v>01557</v>
          </cell>
        </row>
        <row r="1003">
          <cell r="D1003" t="str">
            <v>M/S Rafi Battery House</v>
          </cell>
          <cell r="E1003" t="str">
            <v>00410</v>
          </cell>
        </row>
        <row r="1004">
          <cell r="D1004" t="str">
            <v>M/S Fateha Battery</v>
          </cell>
          <cell r="E1004" t="str">
            <v>00388</v>
          </cell>
        </row>
        <row r="1005">
          <cell r="D1005" t="str">
            <v>M/S Fateha Battery</v>
          </cell>
          <cell r="E1005" t="str">
            <v>00388</v>
          </cell>
        </row>
        <row r="1006">
          <cell r="D1006" t="str">
            <v>M/S Fateha Battery</v>
          </cell>
          <cell r="E1006" t="str">
            <v>00388</v>
          </cell>
        </row>
        <row r="1007">
          <cell r="D1007" t="str">
            <v>M/S Fateha Battery</v>
          </cell>
          <cell r="E1007" t="str">
            <v>00388</v>
          </cell>
        </row>
        <row r="1008">
          <cell r="D1008" t="str">
            <v>M/S Fateha Battery</v>
          </cell>
          <cell r="E1008" t="str">
            <v>00388</v>
          </cell>
        </row>
        <row r="1009">
          <cell r="D1009" t="str">
            <v>M/S Doyal Battery</v>
          </cell>
          <cell r="E1009" t="str">
            <v>00337</v>
          </cell>
        </row>
        <row r="1010">
          <cell r="D1010" t="str">
            <v>M/S Doyal Battery</v>
          </cell>
          <cell r="E1010" t="str">
            <v>00337</v>
          </cell>
        </row>
        <row r="1011">
          <cell r="D1011" t="str">
            <v>M/S Bondhu Auto and CNG Workshop</v>
          </cell>
          <cell r="E1011" t="str">
            <v>01149</v>
          </cell>
        </row>
        <row r="1012">
          <cell r="D1012" t="str">
            <v>M/S Bondhu Auto and CNG Workshop</v>
          </cell>
          <cell r="E1012" t="str">
            <v>01149</v>
          </cell>
        </row>
        <row r="1013">
          <cell r="D1013" t="str">
            <v>M/S Bondhu Auto and CNG Workshop</v>
          </cell>
          <cell r="E1013" t="str">
            <v>01149</v>
          </cell>
        </row>
        <row r="1014">
          <cell r="D1014" t="str">
            <v>M/S Setu Cycle Mart</v>
          </cell>
          <cell r="E1014" t="str">
            <v>00471</v>
          </cell>
        </row>
        <row r="1015">
          <cell r="D1015" t="str">
            <v>M/S Setu Cycle Mart</v>
          </cell>
          <cell r="E1015" t="str">
            <v>00471</v>
          </cell>
        </row>
        <row r="1016">
          <cell r="D1016" t="str">
            <v>M/S Shah Mojidia Motor Parts</v>
          </cell>
          <cell r="E1016" t="str">
            <v>00842</v>
          </cell>
        </row>
        <row r="1017">
          <cell r="D1017" t="str">
            <v>M/S Mohi Enterprise</v>
          </cell>
          <cell r="E1017" t="str">
            <v>01356</v>
          </cell>
        </row>
        <row r="1018">
          <cell r="D1018" t="str">
            <v>M/S Mohi Enterprise</v>
          </cell>
          <cell r="E1018" t="str">
            <v>01356</v>
          </cell>
        </row>
        <row r="1019">
          <cell r="D1019" t="str">
            <v>Kalam Enterprise</v>
          </cell>
          <cell r="E1019" t="str">
            <v>01341</v>
          </cell>
        </row>
        <row r="1020">
          <cell r="D1020" t="str">
            <v>Kalam Enterprise</v>
          </cell>
          <cell r="E1020" t="str">
            <v>01341</v>
          </cell>
        </row>
        <row r="1021">
          <cell r="D1021" t="str">
            <v>M/S Ira Motors</v>
          </cell>
          <cell r="E1021" t="str">
            <v>00133</v>
          </cell>
        </row>
        <row r="1022">
          <cell r="D1022" t="str">
            <v>M/S Prarthona Motors (C)</v>
          </cell>
          <cell r="E1022" t="str">
            <v>01451</v>
          </cell>
        </row>
        <row r="1023">
          <cell r="D1023" t="str">
            <v>M/S Talukder Motors (C)</v>
          </cell>
          <cell r="E1023" t="str">
            <v>01471</v>
          </cell>
        </row>
        <row r="1024">
          <cell r="D1024" t="str">
            <v>M/S Anas Battery &amp; Auto House</v>
          </cell>
          <cell r="E1024" t="str">
            <v>01401</v>
          </cell>
        </row>
        <row r="1025">
          <cell r="D1025" t="str">
            <v>M/S Anas Battery &amp; Auto House</v>
          </cell>
          <cell r="E1025" t="str">
            <v>01401</v>
          </cell>
        </row>
        <row r="1026">
          <cell r="D1026" t="str">
            <v>M/S Power Battery</v>
          </cell>
          <cell r="E1026" t="str">
            <v>00324</v>
          </cell>
        </row>
        <row r="1027">
          <cell r="D1027" t="str">
            <v>M/S Power Battery</v>
          </cell>
          <cell r="E1027" t="str">
            <v>00324</v>
          </cell>
        </row>
        <row r="1028">
          <cell r="D1028" t="str">
            <v>M/S Anik Motors &amp; Battery (C)</v>
          </cell>
          <cell r="E1028" t="str">
            <v>01444</v>
          </cell>
        </row>
        <row r="1029">
          <cell r="D1029" t="str">
            <v>M/S Lalmai Machineries &amp; Parts</v>
          </cell>
          <cell r="E1029" t="str">
            <v>00329</v>
          </cell>
        </row>
        <row r="1030">
          <cell r="D1030" t="str">
            <v>M/S Mayer Doya Auto Parts-Laksam</v>
          </cell>
          <cell r="E1030" t="str">
            <v>00325</v>
          </cell>
        </row>
        <row r="1031">
          <cell r="D1031" t="str">
            <v>M/S Mayer Doya Auto Parts-Laksam</v>
          </cell>
          <cell r="E1031" t="str">
            <v>00325</v>
          </cell>
        </row>
        <row r="1032">
          <cell r="D1032" t="str">
            <v>M/S Mayer Doya Auto Parts-Laksam</v>
          </cell>
          <cell r="E1032" t="str">
            <v>00325</v>
          </cell>
        </row>
        <row r="1033">
          <cell r="D1033" t="str">
            <v>M/S Mayer Doya Auto Parts-Laksam</v>
          </cell>
          <cell r="E1033" t="str">
            <v>00325</v>
          </cell>
        </row>
        <row r="1034">
          <cell r="D1034" t="str">
            <v>M/S Mayer Doya Auto Parts-Laksam</v>
          </cell>
          <cell r="E1034" t="str">
            <v>00325</v>
          </cell>
        </row>
        <row r="1035">
          <cell r="D1035" t="str">
            <v>M/S Khokon IPS &amp; Battery Center (C)</v>
          </cell>
          <cell r="E1035" t="str">
            <v>01306</v>
          </cell>
        </row>
        <row r="1036">
          <cell r="D1036" t="str">
            <v>M/S Khokon IPS &amp; Battery Center (C)</v>
          </cell>
          <cell r="E1036" t="str">
            <v>01306</v>
          </cell>
        </row>
        <row r="1037">
          <cell r="D1037" t="str">
            <v>M/S S.K. Enterprise (C)</v>
          </cell>
          <cell r="E1037" t="str">
            <v>01326</v>
          </cell>
        </row>
        <row r="1038">
          <cell r="D1038" t="str">
            <v>M/S S.K. Enterprise (C)</v>
          </cell>
          <cell r="E1038" t="str">
            <v>01326</v>
          </cell>
        </row>
        <row r="1039">
          <cell r="D1039" t="str">
            <v>M/S S.K. Enterprise (C)</v>
          </cell>
          <cell r="E1039" t="str">
            <v>01326</v>
          </cell>
        </row>
        <row r="1040">
          <cell r="D1040" t="str">
            <v>M/S Boalkhali Battery House (C)</v>
          </cell>
          <cell r="E1040" t="str">
            <v>01550</v>
          </cell>
        </row>
        <row r="1041">
          <cell r="D1041" t="str">
            <v>M/S Banskhali Enterprise-Joldi (C)</v>
          </cell>
          <cell r="E1041" t="str">
            <v>01312</v>
          </cell>
        </row>
        <row r="1042">
          <cell r="D1042" t="str">
            <v>M/S Banskhali Enterprise-Joldi (C)</v>
          </cell>
          <cell r="E1042" t="str">
            <v>01312</v>
          </cell>
        </row>
        <row r="1043">
          <cell r="D1043" t="str">
            <v>M/S Bhai Bhai Auto Center (C)</v>
          </cell>
          <cell r="E1043" t="str">
            <v>01563</v>
          </cell>
        </row>
        <row r="1044">
          <cell r="D1044" t="str">
            <v>M/S Hossen Traders</v>
          </cell>
          <cell r="E1044" t="str">
            <v>01107</v>
          </cell>
        </row>
        <row r="1045">
          <cell r="D1045" t="str">
            <v>M/S Aminul Battery House</v>
          </cell>
          <cell r="E1045" t="str">
            <v>01250</v>
          </cell>
        </row>
        <row r="1046">
          <cell r="D1046" t="str">
            <v>M/S Tanha Battery House (C)</v>
          </cell>
          <cell r="E1046" t="str">
            <v>01457</v>
          </cell>
        </row>
        <row r="1047">
          <cell r="D1047" t="str">
            <v>M/S Jamuna Battery House (C)</v>
          </cell>
          <cell r="E1047" t="str">
            <v>01558</v>
          </cell>
        </row>
        <row r="1048">
          <cell r="D1048" t="str">
            <v>M/S Al - Barakah Battery &amp; Auto Parts (C)</v>
          </cell>
          <cell r="E1048" t="str">
            <v>01562</v>
          </cell>
        </row>
        <row r="1049">
          <cell r="D1049" t="str">
            <v>M/S Shopon Battery House</v>
          </cell>
          <cell r="E1049" t="str">
            <v>00740</v>
          </cell>
        </row>
        <row r="1050">
          <cell r="D1050" t="str">
            <v>M/S Doyal Battery</v>
          </cell>
          <cell r="E1050" t="str">
            <v>00337</v>
          </cell>
        </row>
        <row r="1051">
          <cell r="D1051" t="str">
            <v>M/S Bondhu Auto and CNG Workshop</v>
          </cell>
          <cell r="E1051" t="str">
            <v>01149</v>
          </cell>
        </row>
        <row r="1052">
          <cell r="D1052" t="str">
            <v>M/S Bondhu Auto and CNG Workshop</v>
          </cell>
          <cell r="E1052" t="str">
            <v>01149</v>
          </cell>
        </row>
        <row r="1053">
          <cell r="D1053" t="str">
            <v>M/S Hira Motors-Chokoria</v>
          </cell>
          <cell r="E1053" t="str">
            <v>01441</v>
          </cell>
        </row>
        <row r="1054">
          <cell r="D1054" t="str">
            <v>Mr. Nanindra Chandra Das</v>
          </cell>
          <cell r="E1054" t="str">
            <v>01151</v>
          </cell>
        </row>
        <row r="1055">
          <cell r="D1055" t="str">
            <v>M/S Anas Battery &amp; Auto House</v>
          </cell>
          <cell r="E1055" t="str">
            <v>01401</v>
          </cell>
        </row>
        <row r="1056">
          <cell r="D1056" t="str">
            <v>M/S Anas Battery &amp; Auto House</v>
          </cell>
          <cell r="E1056" t="str">
            <v>01401</v>
          </cell>
        </row>
        <row r="1057">
          <cell r="D1057" t="str">
            <v>M/S Anas Battery &amp; Auto House</v>
          </cell>
          <cell r="E1057" t="str">
            <v>01401</v>
          </cell>
        </row>
        <row r="1058">
          <cell r="D1058" t="str">
            <v>M/S Anas Battery &amp; Auto House</v>
          </cell>
          <cell r="E1058" t="str">
            <v>01401</v>
          </cell>
        </row>
        <row r="1059">
          <cell r="D1059" t="str">
            <v>M/S Power Battery</v>
          </cell>
          <cell r="E1059" t="str">
            <v>00324</v>
          </cell>
        </row>
        <row r="1060">
          <cell r="D1060" t="str">
            <v>M/S Power Battery</v>
          </cell>
          <cell r="E1060" t="str">
            <v>00324</v>
          </cell>
        </row>
        <row r="1061">
          <cell r="D1061" t="str">
            <v>M/S Power Battery</v>
          </cell>
          <cell r="E1061" t="str">
            <v>00324</v>
          </cell>
        </row>
        <row r="1062">
          <cell r="D1062" t="str">
            <v>M/S Mokka Motors-Cumilla (C)</v>
          </cell>
          <cell r="E1062" t="str">
            <v>01481</v>
          </cell>
        </row>
        <row r="1063">
          <cell r="D1063" t="str">
            <v>M/S Sajib Enterprise (C)</v>
          </cell>
          <cell r="E1063" t="str">
            <v>01353</v>
          </cell>
        </row>
        <row r="1064">
          <cell r="D1064" t="str">
            <v>M/S S.S. Enterprise-Norshingdi</v>
          </cell>
          <cell r="E1064" t="str">
            <v>01118</v>
          </cell>
        </row>
        <row r="1065">
          <cell r="D1065" t="str">
            <v>M/S S.S. Enterprise-Norshingdi</v>
          </cell>
          <cell r="E1065" t="str">
            <v>01118</v>
          </cell>
        </row>
        <row r="1066">
          <cell r="D1066" t="str">
            <v>M/S S.S. Enterprise-Norshingdi (C)</v>
          </cell>
          <cell r="E1066" t="str">
            <v>01331</v>
          </cell>
        </row>
        <row r="1067">
          <cell r="D1067" t="str">
            <v>M/S S.S. Enterprise-Norshingdi (C)</v>
          </cell>
          <cell r="E1067" t="str">
            <v>01331</v>
          </cell>
        </row>
        <row r="1068">
          <cell r="D1068" t="str">
            <v>M/S Farhan Auto (C)</v>
          </cell>
          <cell r="E1068" t="str">
            <v>01298</v>
          </cell>
        </row>
        <row r="1069">
          <cell r="D1069" t="str">
            <v>M/S Farhan Auto (C)</v>
          </cell>
          <cell r="E1069" t="str">
            <v>01298</v>
          </cell>
        </row>
        <row r="1070">
          <cell r="D1070" t="str">
            <v>M/S Farhan Auto (C)</v>
          </cell>
          <cell r="E1070" t="str">
            <v>01298</v>
          </cell>
        </row>
        <row r="1071">
          <cell r="D1071" t="str">
            <v>M/S Farhan Auto (C)</v>
          </cell>
          <cell r="E1071" t="str">
            <v>01298</v>
          </cell>
        </row>
        <row r="1072">
          <cell r="D1072" t="str">
            <v>M/S Farhan Auto (C)</v>
          </cell>
          <cell r="E1072" t="str">
            <v>01298</v>
          </cell>
        </row>
        <row r="1073">
          <cell r="D1073" t="str">
            <v>M/S Farhan Auto (C)</v>
          </cell>
          <cell r="E1073" t="str">
            <v>01298</v>
          </cell>
        </row>
        <row r="1074">
          <cell r="D1074" t="str">
            <v>M/S L D Poribahan &amp; Trading (C)</v>
          </cell>
          <cell r="E1074" t="str">
            <v>01299</v>
          </cell>
        </row>
        <row r="1075">
          <cell r="D1075" t="str">
            <v>M/S L D Poribahan &amp; Trading (C)</v>
          </cell>
          <cell r="E1075" t="str">
            <v>01299</v>
          </cell>
        </row>
        <row r="1076">
          <cell r="D1076" t="str">
            <v>M/S L D Poribahan &amp; Trading (C)</v>
          </cell>
          <cell r="E1076" t="str">
            <v>01299</v>
          </cell>
        </row>
        <row r="1077">
          <cell r="D1077" t="str">
            <v>M/S Supreme Auto (C)</v>
          </cell>
          <cell r="E1077" t="str">
            <v>01300</v>
          </cell>
        </row>
        <row r="1078">
          <cell r="D1078" t="str">
            <v>M/S Supreme Auto (C)</v>
          </cell>
          <cell r="E1078" t="str">
            <v>01300</v>
          </cell>
        </row>
        <row r="1079">
          <cell r="D1079" t="str">
            <v>M/S Ma Tyre &amp; Battery  Shop</v>
          </cell>
          <cell r="E1079" t="str">
            <v>00088</v>
          </cell>
        </row>
        <row r="1080">
          <cell r="D1080" t="str">
            <v>M/S Al - Mokka Enterprise</v>
          </cell>
          <cell r="E1080" t="str">
            <v>01112</v>
          </cell>
        </row>
        <row r="1081">
          <cell r="D1081" t="str">
            <v>M/S S.B. Energy</v>
          </cell>
          <cell r="E1081" t="str">
            <v>00087</v>
          </cell>
        </row>
        <row r="1082">
          <cell r="D1082" t="str">
            <v>M/S Mahtab Engineering Workshop</v>
          </cell>
          <cell r="E1082" t="str">
            <v>01429</v>
          </cell>
        </row>
        <row r="1083">
          <cell r="D1083" t="str">
            <v>M/S Shoshi Enterprise</v>
          </cell>
          <cell r="E1083" t="str">
            <v>01153</v>
          </cell>
        </row>
        <row r="1084">
          <cell r="D1084" t="str">
            <v>M/S Al - Mokka Enterprise (C)</v>
          </cell>
          <cell r="E1084" t="str">
            <v>01553</v>
          </cell>
        </row>
        <row r="1085">
          <cell r="D1085" t="str">
            <v>M/S Al - Mokka Enterprise (C)</v>
          </cell>
          <cell r="E1085" t="str">
            <v>01553</v>
          </cell>
        </row>
        <row r="1086">
          <cell r="D1086" t="str">
            <v>M/S Al - Mokka Enterprise (C)</v>
          </cell>
          <cell r="E1086" t="str">
            <v>01553</v>
          </cell>
        </row>
        <row r="1087">
          <cell r="D1087" t="str">
            <v>M/S Al - Mokka Enterprise (C)</v>
          </cell>
          <cell r="E1087" t="str">
            <v>01553</v>
          </cell>
        </row>
        <row r="1088">
          <cell r="D1088" t="str">
            <v>M/S Hasan Enterprise (C)</v>
          </cell>
          <cell r="E1088" t="str">
            <v>01289</v>
          </cell>
        </row>
        <row r="1089">
          <cell r="D1089" t="str">
            <v>M/S Shoshi Enterprise (C)</v>
          </cell>
          <cell r="E1089" t="str">
            <v>01335</v>
          </cell>
        </row>
        <row r="1090">
          <cell r="D1090" t="str">
            <v>M/S Modina Cycle Store (C)</v>
          </cell>
          <cell r="E1090" t="str">
            <v>01519</v>
          </cell>
        </row>
        <row r="1091">
          <cell r="D1091" t="str">
            <v>M/S Modina Cycle Store (C)</v>
          </cell>
          <cell r="E1091" t="str">
            <v>01519</v>
          </cell>
        </row>
        <row r="1092">
          <cell r="D1092" t="str">
            <v>M/S Modina Enterprise - Savar</v>
          </cell>
          <cell r="E1092" t="str">
            <v>01404</v>
          </cell>
        </row>
        <row r="1093">
          <cell r="D1093" t="str">
            <v>M/S Anas Enterprise (C)</v>
          </cell>
          <cell r="E1093" t="str">
            <v>01551</v>
          </cell>
        </row>
        <row r="1094">
          <cell r="D1094" t="str">
            <v>M/S Anas Enterprise (C)</v>
          </cell>
          <cell r="E1094" t="str">
            <v>01551</v>
          </cell>
        </row>
        <row r="1095">
          <cell r="D1095" t="str">
            <v>M/S Anas Enterprise (C)</v>
          </cell>
          <cell r="E1095" t="str">
            <v>01551</v>
          </cell>
        </row>
        <row r="1096">
          <cell r="D1096" t="str">
            <v>M/S Anas Enterprise (C)</v>
          </cell>
          <cell r="E1096" t="str">
            <v>01551</v>
          </cell>
        </row>
        <row r="1097">
          <cell r="D1097" t="str">
            <v>M/S Anas Enterprise (C)</v>
          </cell>
          <cell r="E1097" t="str">
            <v>01551</v>
          </cell>
        </row>
        <row r="1098">
          <cell r="D1098" t="str">
            <v>M/S Hemayetpur Battery House (C)</v>
          </cell>
          <cell r="E1098" t="str">
            <v>01478</v>
          </cell>
        </row>
        <row r="1099">
          <cell r="D1099" t="str">
            <v>M/S Fateha Battery</v>
          </cell>
          <cell r="E1099" t="str">
            <v>00388</v>
          </cell>
        </row>
        <row r="1100">
          <cell r="D1100" t="str">
            <v>M/S Fateha Battery</v>
          </cell>
          <cell r="E1100" t="str">
            <v>00388</v>
          </cell>
        </row>
        <row r="1101">
          <cell r="D1101" t="str">
            <v>M/S Doyal Battery</v>
          </cell>
          <cell r="E1101" t="str">
            <v>00337</v>
          </cell>
        </row>
        <row r="1102">
          <cell r="D1102" t="str">
            <v>M/S Doyal Battery</v>
          </cell>
          <cell r="E1102" t="str">
            <v>00337</v>
          </cell>
        </row>
        <row r="1103">
          <cell r="D1103" t="str">
            <v>M/S Doyal Battery</v>
          </cell>
          <cell r="E1103" t="str">
            <v>00337</v>
          </cell>
        </row>
        <row r="1104">
          <cell r="D1104" t="str">
            <v>M/S Doyal Battery</v>
          </cell>
          <cell r="E1104" t="str">
            <v>00337</v>
          </cell>
        </row>
        <row r="1105">
          <cell r="D1105" t="str">
            <v>M/S Doyal Battery (C)</v>
          </cell>
          <cell r="E1105" t="str">
            <v>01308</v>
          </cell>
        </row>
        <row r="1106">
          <cell r="D1106" t="str">
            <v>M/S Doyal Battery (C)</v>
          </cell>
          <cell r="E1106" t="str">
            <v>01308</v>
          </cell>
        </row>
        <row r="1107">
          <cell r="D1107" t="str">
            <v>M/S Doyal Battery (C)</v>
          </cell>
          <cell r="E1107" t="str">
            <v>01308</v>
          </cell>
        </row>
        <row r="1108">
          <cell r="D1108" t="str">
            <v>M/S Bondhu Auto and CNG Workshop</v>
          </cell>
          <cell r="E1108" t="str">
            <v>01149</v>
          </cell>
        </row>
        <row r="1109">
          <cell r="D1109" t="str">
            <v>M/S Bondhu Auto and CNG Workshop</v>
          </cell>
          <cell r="E1109" t="str">
            <v>01149</v>
          </cell>
        </row>
        <row r="1110">
          <cell r="D1110" t="str">
            <v>M/S Bondhu Auto and CNG Workshop</v>
          </cell>
          <cell r="E1110" t="str">
            <v>01149</v>
          </cell>
        </row>
        <row r="1111">
          <cell r="D1111" t="str">
            <v>M/S Bondhu Auto and CNG Workshop</v>
          </cell>
          <cell r="E1111" t="str">
            <v>01149</v>
          </cell>
        </row>
        <row r="1112">
          <cell r="D1112" t="str">
            <v>M/S Bondhu Auto and CNG Workshop</v>
          </cell>
          <cell r="E1112" t="str">
            <v>01149</v>
          </cell>
        </row>
        <row r="1113">
          <cell r="D1113" t="str">
            <v>M/S Farhan Auto (C)</v>
          </cell>
          <cell r="E1113" t="str">
            <v>01298</v>
          </cell>
        </row>
        <row r="1114">
          <cell r="D1114" t="str">
            <v>M/S L D Poribahan &amp; Trading (C)</v>
          </cell>
          <cell r="E1114" t="str">
            <v>01299</v>
          </cell>
        </row>
        <row r="1115">
          <cell r="D1115" t="str">
            <v>M/S Supreme Auto (C)</v>
          </cell>
          <cell r="E1115" t="str">
            <v>01300</v>
          </cell>
        </row>
        <row r="1116">
          <cell r="D1116" t="str">
            <v>M/S Mohi Enterprise</v>
          </cell>
          <cell r="E1116" t="str">
            <v>01356</v>
          </cell>
        </row>
        <row r="1117">
          <cell r="D1117" t="str">
            <v>M/S Bismillah Motors-Hinla</v>
          </cell>
          <cell r="E1117" t="str">
            <v>01448</v>
          </cell>
        </row>
        <row r="1118">
          <cell r="D1118" t="str">
            <v>Kalam Enterprise</v>
          </cell>
          <cell r="E1118" t="str">
            <v>01341</v>
          </cell>
        </row>
        <row r="1119">
          <cell r="D1119" t="str">
            <v>Kalam Enterprise</v>
          </cell>
          <cell r="E1119" t="str">
            <v>01341</v>
          </cell>
        </row>
        <row r="1120">
          <cell r="D1120" t="str">
            <v>M/S Hira Motors-Chokoria</v>
          </cell>
          <cell r="E1120" t="str">
            <v>01441</v>
          </cell>
        </row>
        <row r="1121">
          <cell r="D1121" t="str">
            <v>M/S Setu Cycle Mart</v>
          </cell>
          <cell r="E1121" t="str">
            <v>00471</v>
          </cell>
        </row>
        <row r="1122">
          <cell r="D1122" t="str">
            <v>M/S Setu Cycle Mart</v>
          </cell>
          <cell r="E1122" t="str">
            <v>00471</v>
          </cell>
        </row>
        <row r="1123">
          <cell r="D1123" t="str">
            <v>M/S Setu Cycle Mart</v>
          </cell>
          <cell r="E1123" t="str">
            <v>00471</v>
          </cell>
        </row>
        <row r="1124">
          <cell r="D1124" t="str">
            <v>M/S Setu Cycle Mart</v>
          </cell>
          <cell r="E1124" t="str">
            <v>00471</v>
          </cell>
        </row>
        <row r="1125">
          <cell r="D1125" t="str">
            <v>M/S Setu Cycle Mart</v>
          </cell>
          <cell r="E1125" t="str">
            <v>00471</v>
          </cell>
        </row>
        <row r="1126">
          <cell r="D1126" t="str">
            <v>M/S Setu Cycle Mart</v>
          </cell>
          <cell r="E1126" t="str">
            <v>00471</v>
          </cell>
        </row>
        <row r="1127">
          <cell r="D1127" t="str">
            <v>M/S Shah Mojidia Motor Parts</v>
          </cell>
          <cell r="E1127" t="str">
            <v>00842</v>
          </cell>
        </row>
        <row r="1128">
          <cell r="D1128" t="str">
            <v>M/S Shah Mojidia Motor Parts</v>
          </cell>
          <cell r="E1128" t="str">
            <v>00842</v>
          </cell>
        </row>
        <row r="1129">
          <cell r="D1129" t="str">
            <v>M/S Shah Mojidia Motor Parts</v>
          </cell>
          <cell r="E1129" t="str">
            <v>00842</v>
          </cell>
        </row>
        <row r="1130">
          <cell r="D1130" t="str">
            <v>M/S Saiful Motors</v>
          </cell>
          <cell r="E1130" t="str">
            <v>00482</v>
          </cell>
        </row>
        <row r="1131">
          <cell r="D1131" t="str">
            <v>M/S S.K. Enterprise (C)</v>
          </cell>
          <cell r="E1131" t="str">
            <v>01326</v>
          </cell>
        </row>
        <row r="1132">
          <cell r="D1132" t="str">
            <v>M/S S.K. Enterprise (C)</v>
          </cell>
          <cell r="E1132" t="str">
            <v>01326</v>
          </cell>
        </row>
        <row r="1133">
          <cell r="D1133" t="str">
            <v>M/S S.K. Enterprise (C)</v>
          </cell>
          <cell r="E1133" t="str">
            <v>01326</v>
          </cell>
        </row>
        <row r="1134">
          <cell r="D1134" t="str">
            <v>M/S Boalkhali Battery House (C)</v>
          </cell>
          <cell r="E1134" t="str">
            <v>01550</v>
          </cell>
        </row>
        <row r="1135">
          <cell r="D1135" t="str">
            <v>M/S Boalkhali Battery House (C)</v>
          </cell>
          <cell r="E1135" t="str">
            <v>01550</v>
          </cell>
        </row>
        <row r="1136">
          <cell r="D1136" t="str">
            <v>M/S Macca Tyre And battery House</v>
          </cell>
          <cell r="E1136" t="str">
            <v>00439</v>
          </cell>
        </row>
        <row r="1137">
          <cell r="D1137" t="str">
            <v>M/S Banskhali Enterprise-Joldi (C)</v>
          </cell>
          <cell r="E1137" t="str">
            <v>01312</v>
          </cell>
        </row>
        <row r="1138">
          <cell r="D1138" t="str">
            <v>M/S Banskhali Enterprise-Joldi (C)</v>
          </cell>
          <cell r="E1138" t="str">
            <v>01312</v>
          </cell>
        </row>
        <row r="1139">
          <cell r="D1139" t="str">
            <v>M/S Sangu Battery House</v>
          </cell>
          <cell r="E1139" t="str">
            <v>00988</v>
          </cell>
        </row>
        <row r="1140">
          <cell r="D1140" t="str">
            <v>M/S Sangu Battery House</v>
          </cell>
          <cell r="E1140" t="str">
            <v>00988</v>
          </cell>
        </row>
        <row r="1141">
          <cell r="D1141" t="str">
            <v>M/S Sangu Battery House</v>
          </cell>
          <cell r="E1141" t="str">
            <v>00988</v>
          </cell>
        </row>
        <row r="1142">
          <cell r="D1142" t="str">
            <v>M/S Bashkhali Enterprise</v>
          </cell>
          <cell r="E1142" t="str">
            <v>00424</v>
          </cell>
        </row>
        <row r="1143">
          <cell r="D1143" t="str">
            <v>M/S Bashkhali Enterprise</v>
          </cell>
          <cell r="E1143" t="str">
            <v>00424</v>
          </cell>
        </row>
        <row r="1144">
          <cell r="D1144" t="str">
            <v>M/S Sangu Battery House</v>
          </cell>
          <cell r="E1144" t="str">
            <v>00988</v>
          </cell>
        </row>
        <row r="1145">
          <cell r="D1145" t="str">
            <v>M/S Boalkhali Battery House (C)</v>
          </cell>
          <cell r="E1145" t="str">
            <v>01550</v>
          </cell>
        </row>
        <row r="1146">
          <cell r="D1146" t="str">
            <v>M/S Boalkhali Battery House (C)</v>
          </cell>
          <cell r="E1146" t="str">
            <v>01550</v>
          </cell>
        </row>
        <row r="1147">
          <cell r="D1147" t="str">
            <v>M/S Boalkhali Battery House (C)</v>
          </cell>
          <cell r="E1147" t="str">
            <v>01550</v>
          </cell>
        </row>
        <row r="1148">
          <cell r="D1148" t="str">
            <v>M/S Boalkhali Battery House (C)</v>
          </cell>
          <cell r="E1148" t="str">
            <v>01550</v>
          </cell>
        </row>
        <row r="1149">
          <cell r="D1149" t="str">
            <v>M/S Tamim Enterprise</v>
          </cell>
          <cell r="E1149" t="str">
            <v>01395</v>
          </cell>
        </row>
        <row r="1150">
          <cell r="D1150" t="str">
            <v>M/S Ira Motors</v>
          </cell>
          <cell r="E1150" t="str">
            <v>00133</v>
          </cell>
        </row>
        <row r="1151">
          <cell r="D1151" t="str">
            <v>M/S Ira Motors</v>
          </cell>
          <cell r="E1151" t="str">
            <v>00133</v>
          </cell>
        </row>
        <row r="1152">
          <cell r="D1152" t="str">
            <v>M/S Babul Enterprise (C)</v>
          </cell>
          <cell r="E1152" t="str">
            <v>01292</v>
          </cell>
        </row>
        <row r="1153">
          <cell r="D1153" t="str">
            <v>M/S Ripon Tyre and Battery (C)</v>
          </cell>
          <cell r="E1153" t="str">
            <v>01557</v>
          </cell>
        </row>
        <row r="1154">
          <cell r="D1154" t="str">
            <v>M/S Ripon Tyre and Battery (C)</v>
          </cell>
          <cell r="E1154" t="str">
            <v>01557</v>
          </cell>
        </row>
        <row r="1155">
          <cell r="D1155" t="str">
            <v>M/S Ripon Tyre and Battery (C)</v>
          </cell>
          <cell r="E1155" t="str">
            <v>01557</v>
          </cell>
        </row>
        <row r="1156">
          <cell r="D1156" t="str">
            <v>M/S Ripon Tyre and Battery (C)</v>
          </cell>
          <cell r="E1156" t="str">
            <v>01557</v>
          </cell>
        </row>
        <row r="1157">
          <cell r="D1157" t="str">
            <v>M/S Ripon Tyre and Battery (C)</v>
          </cell>
          <cell r="E1157" t="str">
            <v>01557</v>
          </cell>
        </row>
        <row r="1158">
          <cell r="D1158" t="str">
            <v>M/S Ripon Tyre and Battery (C)</v>
          </cell>
          <cell r="E1158" t="str">
            <v>01557</v>
          </cell>
        </row>
        <row r="1159">
          <cell r="D1159" t="str">
            <v>M/S Ripon Tyre and Battery (C)</v>
          </cell>
          <cell r="E1159" t="str">
            <v>01557</v>
          </cell>
        </row>
        <row r="1160">
          <cell r="D1160" t="str">
            <v>M/S Ripon Tyre and Battery (C)</v>
          </cell>
          <cell r="E1160" t="str">
            <v>01557</v>
          </cell>
        </row>
        <row r="1161">
          <cell r="D1161" t="str">
            <v>M/S Monir Auto &amp; Battery House</v>
          </cell>
          <cell r="E1161" t="str">
            <v>00001</v>
          </cell>
        </row>
        <row r="1162">
          <cell r="D1162" t="str">
            <v>M/S Monir Auto &amp; Battery House</v>
          </cell>
          <cell r="E1162" t="str">
            <v>00001</v>
          </cell>
        </row>
        <row r="1163">
          <cell r="D1163" t="str">
            <v>M/S Monir Auto &amp; Battery House</v>
          </cell>
          <cell r="E1163" t="str">
            <v>00001</v>
          </cell>
        </row>
        <row r="1164">
          <cell r="D1164" t="str">
            <v>M/S Monir Auto &amp; Battery House</v>
          </cell>
          <cell r="E1164" t="str">
            <v>00001</v>
          </cell>
        </row>
        <row r="1165">
          <cell r="D1165" t="str">
            <v>M/S Monir Auto &amp; Battery House</v>
          </cell>
          <cell r="E1165" t="str">
            <v>00001</v>
          </cell>
        </row>
        <row r="1166">
          <cell r="D1166" t="str">
            <v>M/S Ripon Tyre and Battery (C)</v>
          </cell>
          <cell r="E1166" t="str">
            <v>01557</v>
          </cell>
        </row>
        <row r="1167">
          <cell r="D1167" t="str">
            <v>M/S Monir Auto &amp; Battery House</v>
          </cell>
          <cell r="E1167" t="str">
            <v>00001</v>
          </cell>
        </row>
        <row r="1168">
          <cell r="D1168" t="str">
            <v>M/S New Dhaka Motors and Battery (C)</v>
          </cell>
          <cell r="E1168" t="str">
            <v>01554</v>
          </cell>
        </row>
        <row r="1169">
          <cell r="D1169" t="str">
            <v>M/S New Dhaka Motors and Battery (C)</v>
          </cell>
          <cell r="E1169" t="str">
            <v>01554</v>
          </cell>
        </row>
        <row r="1170">
          <cell r="D1170" t="str">
            <v>M/S New Dhaka Motors and Battery (C)</v>
          </cell>
          <cell r="E1170" t="str">
            <v>01554</v>
          </cell>
        </row>
        <row r="1171">
          <cell r="D1171" t="str">
            <v>M/S Anas Battery &amp; Auto House</v>
          </cell>
          <cell r="E1171" t="str">
            <v>01401</v>
          </cell>
        </row>
        <row r="1172">
          <cell r="D1172" t="str">
            <v>M/S Anas Battery &amp; Auto House</v>
          </cell>
          <cell r="E1172" t="str">
            <v>01401</v>
          </cell>
        </row>
        <row r="1173">
          <cell r="D1173" t="str">
            <v>M/S Anas Battery &amp; Auto House</v>
          </cell>
          <cell r="E1173" t="str">
            <v>01401</v>
          </cell>
        </row>
        <row r="1174">
          <cell r="D1174" t="str">
            <v>M/S Anik Motors &amp; Battery (C)</v>
          </cell>
          <cell r="E1174" t="str">
            <v>01444</v>
          </cell>
        </row>
        <row r="1175">
          <cell r="D1175" t="str">
            <v>M/S Anik Motors &amp; Battery (C)</v>
          </cell>
          <cell r="E1175" t="str">
            <v>01444</v>
          </cell>
        </row>
        <row r="1176">
          <cell r="D1176" t="str">
            <v>M/S Anik Motors &amp; Battery (C)</v>
          </cell>
          <cell r="E1176" t="str">
            <v>01444</v>
          </cell>
        </row>
        <row r="1177">
          <cell r="D1177" t="str">
            <v>M/S A.P.L. Auto House (C)</v>
          </cell>
          <cell r="E1177" t="str">
            <v>01305</v>
          </cell>
        </row>
        <row r="1178">
          <cell r="D1178" t="str">
            <v>M/S A.P.L. Auto House (C)</v>
          </cell>
          <cell r="E1178" t="str">
            <v>01305</v>
          </cell>
        </row>
        <row r="1179">
          <cell r="D1179" t="str">
            <v>M/S Sajib Enterprise (C)</v>
          </cell>
          <cell r="E1179" t="str">
            <v>01353</v>
          </cell>
        </row>
        <row r="1180">
          <cell r="D1180" t="str">
            <v>M/S Sajib Enterprise (C)</v>
          </cell>
          <cell r="E1180" t="str">
            <v>01353</v>
          </cell>
        </row>
        <row r="1181">
          <cell r="D1181" t="str">
            <v>M/S Sajib Enterprise (C)</v>
          </cell>
          <cell r="E1181" t="str">
            <v>01353</v>
          </cell>
        </row>
        <row r="1182">
          <cell r="D1182" t="str">
            <v>M/S Sajib Enterprise (C)</v>
          </cell>
          <cell r="E1182" t="str">
            <v>01353</v>
          </cell>
        </row>
        <row r="1183">
          <cell r="D1183" t="str">
            <v>M/S Sajib Enterprise (C)</v>
          </cell>
          <cell r="E1183" t="str">
            <v>01353</v>
          </cell>
        </row>
        <row r="1184">
          <cell r="D1184" t="str">
            <v>M/S Khokon IPS &amp; Battery Center (C)</v>
          </cell>
          <cell r="E1184" t="str">
            <v>01306</v>
          </cell>
        </row>
        <row r="1185">
          <cell r="D1185" t="str">
            <v>M/S Khokon IPS &amp; Battery Center (C)</v>
          </cell>
          <cell r="E1185" t="str">
            <v>01306</v>
          </cell>
        </row>
        <row r="1186">
          <cell r="D1186" t="str">
            <v>M/S Mayer Doya Auto Parts-Laksam</v>
          </cell>
          <cell r="E1186" t="str">
            <v>00325</v>
          </cell>
        </row>
        <row r="1187">
          <cell r="D1187" t="str">
            <v>M/S Mayer Doya Auto Parts-Laksam</v>
          </cell>
          <cell r="E1187" t="str">
            <v>00325</v>
          </cell>
        </row>
        <row r="1188">
          <cell r="D1188" t="str">
            <v>M/S Mayer Doya Auto Parts-Laksam</v>
          </cell>
          <cell r="E1188" t="str">
            <v>00325</v>
          </cell>
        </row>
        <row r="1189">
          <cell r="D1189" t="str">
            <v>M/S Rasel Bettary Service</v>
          </cell>
          <cell r="E1189" t="str">
            <v>01380</v>
          </cell>
        </row>
        <row r="1190">
          <cell r="D1190" t="str">
            <v>M/S Jony Motors - Faridpur (C)</v>
          </cell>
          <cell r="E1190" t="str">
            <v>01534</v>
          </cell>
        </row>
        <row r="1191">
          <cell r="D1191" t="str">
            <v>M/S Jony Motors - Faridpur (C)</v>
          </cell>
          <cell r="E1191" t="str">
            <v>01534</v>
          </cell>
        </row>
        <row r="1192">
          <cell r="D1192" t="str">
            <v>M/S Kalam Store</v>
          </cell>
          <cell r="E1192" t="str">
            <v>01436</v>
          </cell>
        </row>
        <row r="1193">
          <cell r="D1193" t="str">
            <v>M/S Kalam Store</v>
          </cell>
          <cell r="E1193" t="str">
            <v>01436</v>
          </cell>
        </row>
        <row r="1194">
          <cell r="D1194" t="str">
            <v>M/S Kalam Store</v>
          </cell>
          <cell r="E1194" t="str">
            <v>01436</v>
          </cell>
        </row>
        <row r="1195">
          <cell r="D1195" t="str">
            <v>M/S Kalam Store</v>
          </cell>
          <cell r="E1195" t="str">
            <v>01436</v>
          </cell>
        </row>
        <row r="1196">
          <cell r="D1196" t="str">
            <v>M/S Kalam Store</v>
          </cell>
          <cell r="E1196" t="str">
            <v>01436</v>
          </cell>
        </row>
        <row r="1197">
          <cell r="D1197" t="str">
            <v>M/S Kalam Store</v>
          </cell>
          <cell r="E1197" t="str">
            <v>01436</v>
          </cell>
        </row>
        <row r="1198">
          <cell r="D1198" t="str">
            <v>M/S Shopon Battery House (C)</v>
          </cell>
          <cell r="E1198" t="str">
            <v>01320</v>
          </cell>
        </row>
        <row r="1199">
          <cell r="D1199" t="str">
            <v>M/S Rafiq Vi Battery &amp; Auto</v>
          </cell>
          <cell r="E1199" t="str">
            <v>01405</v>
          </cell>
        </row>
        <row r="1200">
          <cell r="D1200" t="str">
            <v>M/S Nobodhara Corporation</v>
          </cell>
          <cell r="E1200" t="str">
            <v>01352</v>
          </cell>
        </row>
        <row r="1201">
          <cell r="D1201" t="str">
            <v>M/S Sompa Cycle Store (C)</v>
          </cell>
          <cell r="E1201" t="str">
            <v>01545</v>
          </cell>
        </row>
        <row r="1202">
          <cell r="D1202" t="str">
            <v>M/S Bhai Bhai Auto Center (C)</v>
          </cell>
          <cell r="E1202" t="str">
            <v>01563</v>
          </cell>
        </row>
        <row r="1203">
          <cell r="D1203" t="str">
            <v>M/S Satata Battery House (C)</v>
          </cell>
          <cell r="E1203" t="str">
            <v>01517</v>
          </cell>
        </row>
        <row r="1204">
          <cell r="D1204" t="str">
            <v>M/S Satata Battery House (C)</v>
          </cell>
          <cell r="E1204" t="str">
            <v>01517</v>
          </cell>
        </row>
        <row r="1205">
          <cell r="D1205" t="str">
            <v>M/S Samir Battery And Tyre</v>
          </cell>
          <cell r="E1205" t="str">
            <v>01450</v>
          </cell>
        </row>
        <row r="1206">
          <cell r="D1206" t="str">
            <v>M/S Samir Battery And Tyre</v>
          </cell>
          <cell r="E1206" t="str">
            <v>01450</v>
          </cell>
        </row>
        <row r="1207">
          <cell r="D1207" t="str">
            <v>M/S Arafat Enterprise</v>
          </cell>
          <cell r="E1207" t="str">
            <v>00094</v>
          </cell>
        </row>
        <row r="1208">
          <cell r="D1208" t="str">
            <v>M/S Ma Tyre &amp; Battery  Shop</v>
          </cell>
          <cell r="E1208" t="str">
            <v>00088</v>
          </cell>
        </row>
        <row r="1209">
          <cell r="D1209" t="str">
            <v>M/S Ma Tyre &amp; Battery  Shop</v>
          </cell>
          <cell r="E1209" t="str">
            <v>00088</v>
          </cell>
        </row>
        <row r="1210">
          <cell r="D1210" t="str">
            <v>M/S Mahtab Engineering Workshop</v>
          </cell>
          <cell r="E1210" t="str">
            <v>01429</v>
          </cell>
        </row>
        <row r="1211">
          <cell r="D1211" t="str">
            <v>M/S S.B. Energy</v>
          </cell>
          <cell r="E1211" t="str">
            <v>00087</v>
          </cell>
        </row>
        <row r="1212">
          <cell r="D1212" t="str">
            <v>M/S S.B. Energy</v>
          </cell>
          <cell r="E1212" t="str">
            <v>00087</v>
          </cell>
        </row>
        <row r="1213">
          <cell r="D1213" t="str">
            <v>M/S S.B. Energy</v>
          </cell>
          <cell r="E1213" t="str">
            <v>00087</v>
          </cell>
        </row>
        <row r="1214">
          <cell r="D1214" t="str">
            <v>M/S Al - Mokka Enterprise (C)</v>
          </cell>
          <cell r="E1214" t="str">
            <v>01553</v>
          </cell>
        </row>
        <row r="1215">
          <cell r="D1215" t="str">
            <v>M/S Al - Mokka Enterprise (C)</v>
          </cell>
          <cell r="E1215" t="str">
            <v>01553</v>
          </cell>
        </row>
        <row r="1216">
          <cell r="D1216" t="str">
            <v>M/S Al - Mokka Enterprise (C)</v>
          </cell>
          <cell r="E1216" t="str">
            <v>01553</v>
          </cell>
        </row>
        <row r="1217">
          <cell r="D1217" t="str">
            <v>M/S Monir Auto &amp; Battery House</v>
          </cell>
          <cell r="E1217" t="str">
            <v>00001</v>
          </cell>
        </row>
        <row r="1218">
          <cell r="D1218" t="str">
            <v>M/S Anas Enterprise (C)</v>
          </cell>
          <cell r="E1218" t="str">
            <v>01551</v>
          </cell>
        </row>
        <row r="1219">
          <cell r="D1219" t="str">
            <v>M/S Anas Enterprise (C)</v>
          </cell>
          <cell r="E1219" t="str">
            <v>01551</v>
          </cell>
        </row>
        <row r="1220">
          <cell r="D1220" t="str">
            <v>M/S Adnan Tyre and Battery House</v>
          </cell>
          <cell r="E1220" t="str">
            <v>01371</v>
          </cell>
        </row>
        <row r="1221">
          <cell r="D1221" t="str">
            <v>M/S Ripon Tyre and Battery (C)</v>
          </cell>
          <cell r="E1221" t="str">
            <v>01557</v>
          </cell>
        </row>
        <row r="1222">
          <cell r="D1222" t="str">
            <v>M/S Ripon Tyre and Battery (C)</v>
          </cell>
          <cell r="E1222" t="str">
            <v>01557</v>
          </cell>
        </row>
        <row r="1223">
          <cell r="D1223" t="str">
            <v>M/S Ripon Tyre and Battery (C)</v>
          </cell>
          <cell r="E1223" t="str">
            <v>01557</v>
          </cell>
        </row>
        <row r="1224">
          <cell r="D1224" t="str">
            <v>M/S Ripon Tyre and Battery (C)</v>
          </cell>
          <cell r="E1224" t="str">
            <v>01557</v>
          </cell>
        </row>
        <row r="1225">
          <cell r="D1225" t="str">
            <v>M/S Ripon Tyre and Battery (C)</v>
          </cell>
          <cell r="E1225" t="str">
            <v>01557</v>
          </cell>
        </row>
        <row r="1226">
          <cell r="D1226" t="str">
            <v>M/S Farhan Auto (C)</v>
          </cell>
          <cell r="E1226" t="str">
            <v>01298</v>
          </cell>
        </row>
        <row r="1227">
          <cell r="D1227" t="str">
            <v>M/S Farhan Auto (C)</v>
          </cell>
          <cell r="E1227" t="str">
            <v>01298</v>
          </cell>
        </row>
        <row r="1228">
          <cell r="D1228" t="str">
            <v>M/S L D Poribahan &amp; Trading (C)</v>
          </cell>
          <cell r="E1228" t="str">
            <v>01299</v>
          </cell>
        </row>
        <row r="1229">
          <cell r="D1229" t="str">
            <v>M/S L D Poribahan &amp; Trading (C)</v>
          </cell>
          <cell r="E1229" t="str">
            <v>01299</v>
          </cell>
        </row>
        <row r="1230">
          <cell r="D1230" t="str">
            <v>M/S L D Poribahan &amp; Trading (C)</v>
          </cell>
          <cell r="E1230" t="str">
            <v>01299</v>
          </cell>
        </row>
        <row r="1231">
          <cell r="D1231" t="str">
            <v>M/S Setu Cycle Mart</v>
          </cell>
          <cell r="E1231" t="str">
            <v>00471</v>
          </cell>
        </row>
        <row r="1232">
          <cell r="D1232" t="str">
            <v>M/S Setu Cycle Mart</v>
          </cell>
          <cell r="E1232" t="str">
            <v>00471</v>
          </cell>
        </row>
        <row r="1233">
          <cell r="D1233" t="str">
            <v>M/S Setu Cycle Mart</v>
          </cell>
          <cell r="E1233" t="str">
            <v>00471</v>
          </cell>
        </row>
        <row r="1234">
          <cell r="D1234" t="str">
            <v>M/S Setu Cycle Mart</v>
          </cell>
          <cell r="E1234" t="str">
            <v>00471</v>
          </cell>
        </row>
        <row r="1235">
          <cell r="D1235" t="str">
            <v>M/S Hemayetpur Battery House (C)</v>
          </cell>
          <cell r="E1235" t="str">
            <v>01478</v>
          </cell>
        </row>
        <row r="1236">
          <cell r="D1236" t="str">
            <v>M/S S.K. Enterprise (C)</v>
          </cell>
          <cell r="E1236" t="str">
            <v>01326</v>
          </cell>
        </row>
        <row r="1237">
          <cell r="D1237" t="str">
            <v>M/S S.K. Enterprise (C)</v>
          </cell>
          <cell r="E1237" t="str">
            <v>01326</v>
          </cell>
        </row>
        <row r="1238">
          <cell r="D1238" t="str">
            <v>M/S Sangu Battery House</v>
          </cell>
          <cell r="E1238" t="str">
            <v>00988</v>
          </cell>
        </row>
        <row r="1239">
          <cell r="D1239" t="str">
            <v>M/S Sangu Battery House</v>
          </cell>
          <cell r="E1239" t="str">
            <v>00988</v>
          </cell>
        </row>
        <row r="1240">
          <cell r="D1240" t="str">
            <v>M/S Boalkhali Battery House (C)</v>
          </cell>
          <cell r="E1240" t="str">
            <v>01550</v>
          </cell>
        </row>
        <row r="1241">
          <cell r="D1241" t="str">
            <v>M/S Banskhali Enterprise-Joldi (C)</v>
          </cell>
          <cell r="E1241" t="str">
            <v>01312</v>
          </cell>
        </row>
        <row r="1242">
          <cell r="D1242" t="str">
            <v>M/S Banskhali Enterprise-Joldi (C)</v>
          </cell>
          <cell r="E1242" t="str">
            <v>01312</v>
          </cell>
        </row>
        <row r="1243">
          <cell r="D1243" t="str">
            <v>M/S Jogotbondhu Battery &amp; Eng. Workshop</v>
          </cell>
          <cell r="E1243" t="str">
            <v>00143</v>
          </cell>
        </row>
        <row r="1244">
          <cell r="D1244" t="str">
            <v>M/S Jogotbondhu Battery &amp; Eng. Workshop</v>
          </cell>
          <cell r="E1244" t="str">
            <v>00143</v>
          </cell>
        </row>
        <row r="1245">
          <cell r="D1245" t="str">
            <v>M/S Ira Motors</v>
          </cell>
          <cell r="E1245" t="str">
            <v>00133</v>
          </cell>
        </row>
        <row r="1246">
          <cell r="D1246" t="str">
            <v>M/S Snigdha Battery</v>
          </cell>
          <cell r="E1246" t="str">
            <v>00134</v>
          </cell>
        </row>
        <row r="1247">
          <cell r="D1247" t="str">
            <v>M/S Snigdha Battery</v>
          </cell>
          <cell r="E1247" t="str">
            <v>00134</v>
          </cell>
        </row>
        <row r="1248">
          <cell r="D1248" t="str">
            <v>M/S Power Battery</v>
          </cell>
          <cell r="E1248" t="str">
            <v>00324</v>
          </cell>
        </row>
        <row r="1249">
          <cell r="D1249" t="str">
            <v>M/S Anas Battery &amp; Auto House</v>
          </cell>
          <cell r="E1249" t="str">
            <v>01401</v>
          </cell>
        </row>
        <row r="1250">
          <cell r="D1250" t="str">
            <v>M/S Anas Battery &amp; Auto House</v>
          </cell>
          <cell r="E1250" t="str">
            <v>01401</v>
          </cell>
        </row>
        <row r="1251">
          <cell r="D1251" t="str">
            <v>M/S Anas Battery &amp; Auto House</v>
          </cell>
          <cell r="E1251" t="str">
            <v>01401</v>
          </cell>
        </row>
        <row r="1252">
          <cell r="D1252" t="str">
            <v>M/S Sajib Enterprise (C)</v>
          </cell>
          <cell r="E1252" t="str">
            <v>01353</v>
          </cell>
        </row>
        <row r="1253">
          <cell r="D1253" t="str">
            <v>M/S Sajib Enterprise (C)</v>
          </cell>
          <cell r="E1253" t="str">
            <v>01353</v>
          </cell>
        </row>
        <row r="1254">
          <cell r="D1254" t="str">
            <v>M/S Sajib Enterprise (C)</v>
          </cell>
          <cell r="E1254" t="str">
            <v>01353</v>
          </cell>
        </row>
        <row r="1255">
          <cell r="D1255" t="str">
            <v>M/S A.P.L. Auto House (C)</v>
          </cell>
          <cell r="E1255" t="str">
            <v>01305</v>
          </cell>
        </row>
        <row r="1256">
          <cell r="D1256" t="str">
            <v>M/S S.S. Enterprise-Norshingdi (C)</v>
          </cell>
          <cell r="E1256" t="str">
            <v>01331</v>
          </cell>
        </row>
        <row r="1257">
          <cell r="D1257" t="str">
            <v>M/S Mayer Doya Auto Parts-Laksam</v>
          </cell>
          <cell r="E1257" t="str">
            <v>00325</v>
          </cell>
        </row>
        <row r="1258">
          <cell r="D1258" t="str">
            <v>M/S Mayer Doya Auto Parts-Laksam</v>
          </cell>
          <cell r="E1258" t="str">
            <v>00325</v>
          </cell>
        </row>
        <row r="1259">
          <cell r="D1259" t="str">
            <v>M/S Mayer Doya Auto Parts-Laksam</v>
          </cell>
          <cell r="E1259" t="str">
            <v>00325</v>
          </cell>
        </row>
        <row r="1260">
          <cell r="D1260" t="str">
            <v>M/S Sawda Auto and Battery</v>
          </cell>
          <cell r="E1260" t="str">
            <v>01261</v>
          </cell>
        </row>
        <row r="1261">
          <cell r="D1261" t="str">
            <v>M/S Sawda Auto and Battery</v>
          </cell>
          <cell r="E1261" t="str">
            <v>01261</v>
          </cell>
        </row>
        <row r="1262">
          <cell r="D1262" t="str">
            <v>M/S Shahjalal Traders</v>
          </cell>
          <cell r="E1262" t="str">
            <v>01362</v>
          </cell>
        </row>
        <row r="1263">
          <cell r="D1263" t="str">
            <v>M/S Shahjalal Traders</v>
          </cell>
          <cell r="E1263" t="str">
            <v>01362</v>
          </cell>
        </row>
        <row r="1264">
          <cell r="D1264" t="str">
            <v>M/S Bondhu Auto and CNG Workshop</v>
          </cell>
          <cell r="E1264" t="str">
            <v>01149</v>
          </cell>
        </row>
        <row r="1265">
          <cell r="D1265" t="str">
            <v>M/S Bondhu Auto and CNG Workshop</v>
          </cell>
          <cell r="E1265" t="str">
            <v>01149</v>
          </cell>
        </row>
        <row r="1266">
          <cell r="D1266" t="str">
            <v>M/S Bondhu Auto and CNG Workshop</v>
          </cell>
          <cell r="E1266" t="str">
            <v>01149</v>
          </cell>
        </row>
        <row r="1267">
          <cell r="D1267" t="str">
            <v>M/S Doyal Battery (C)</v>
          </cell>
          <cell r="E1267" t="str">
            <v>01308</v>
          </cell>
        </row>
        <row r="1268">
          <cell r="D1268" t="str">
            <v>M/S Comilla Traders</v>
          </cell>
          <cell r="E1268" t="str">
            <v>00334</v>
          </cell>
        </row>
        <row r="1269">
          <cell r="D1269" t="str">
            <v>M/S Comilla Traders</v>
          </cell>
          <cell r="E1269" t="str">
            <v>00334</v>
          </cell>
        </row>
        <row r="1270">
          <cell r="D1270" t="str">
            <v>M/S Tanvir Battery House</v>
          </cell>
          <cell r="E1270" t="str">
            <v>01175</v>
          </cell>
        </row>
        <row r="1271">
          <cell r="D1271" t="str">
            <v>M/S City Auto</v>
          </cell>
          <cell r="E1271" t="str">
            <v>00398</v>
          </cell>
        </row>
        <row r="1272">
          <cell r="D1272" t="str">
            <v>M/S City Auto</v>
          </cell>
          <cell r="E1272" t="str">
            <v>00398</v>
          </cell>
        </row>
        <row r="1273">
          <cell r="D1273" t="str">
            <v>M/S City Auto</v>
          </cell>
          <cell r="E1273" t="str">
            <v>00398</v>
          </cell>
        </row>
        <row r="1274">
          <cell r="D1274" t="str">
            <v>M/S S.M. Enterprise- Sunamgonj</v>
          </cell>
          <cell r="E1274" t="str">
            <v>00390</v>
          </cell>
        </row>
        <row r="1275">
          <cell r="D1275" t="str">
            <v>M/S Bhai Bhai Battery And Motors (C)</v>
          </cell>
          <cell r="E1275" t="str">
            <v>01496</v>
          </cell>
        </row>
        <row r="1276">
          <cell r="D1276" t="str">
            <v>M/S S.K. Trading Corporation (C)</v>
          </cell>
          <cell r="E1276" t="str">
            <v>01523</v>
          </cell>
        </row>
        <row r="1277">
          <cell r="D1277" t="str">
            <v>M/S Jhenaidah Bike Center  (C)</v>
          </cell>
          <cell r="E1277" t="str">
            <v>01536</v>
          </cell>
        </row>
        <row r="1278">
          <cell r="D1278" t="str">
            <v>M/S Sadiq Enterprise (C)</v>
          </cell>
          <cell r="E1278" t="str">
            <v>01484</v>
          </cell>
        </row>
        <row r="1279">
          <cell r="D1279" t="str">
            <v>M/S Sadiq Enterprise (C)</v>
          </cell>
          <cell r="E1279" t="str">
            <v>01484</v>
          </cell>
        </row>
        <row r="1280">
          <cell r="D1280" t="str">
            <v>M/S Sadiq Enterprise (C)</v>
          </cell>
          <cell r="E1280" t="str">
            <v>01484</v>
          </cell>
        </row>
        <row r="1281">
          <cell r="D1281" t="str">
            <v>M/S Rafiq Vi Battery &amp; Auto</v>
          </cell>
          <cell r="E1281" t="str">
            <v>01405</v>
          </cell>
        </row>
        <row r="1282">
          <cell r="D1282" t="str">
            <v>M/S Sompa Cycle Store (C)</v>
          </cell>
          <cell r="E1282" t="str">
            <v>01545</v>
          </cell>
        </row>
        <row r="1283">
          <cell r="D1283" t="str">
            <v>M/S Sompa Cycle Store (C)</v>
          </cell>
          <cell r="E1283" t="str">
            <v>01545</v>
          </cell>
        </row>
        <row r="1284">
          <cell r="D1284" t="str">
            <v>M/S Bhai Bhai Auto Center (C)</v>
          </cell>
          <cell r="E1284" t="str">
            <v>01563</v>
          </cell>
        </row>
        <row r="1285">
          <cell r="D1285" t="str">
            <v>M/S Atik Auto</v>
          </cell>
          <cell r="E1285" t="str">
            <v>00562</v>
          </cell>
        </row>
        <row r="1286">
          <cell r="D1286" t="str">
            <v>M/S Atik Auto</v>
          </cell>
          <cell r="E1286" t="str">
            <v>00562</v>
          </cell>
        </row>
        <row r="1287">
          <cell r="D1287" t="str">
            <v>M/S Bogura Auto Center (C)</v>
          </cell>
          <cell r="E1287" t="str">
            <v>01468</v>
          </cell>
        </row>
        <row r="1288">
          <cell r="D1288" t="str">
            <v>M/S Babul Enterprise (C)</v>
          </cell>
          <cell r="E1288" t="str">
            <v>01292</v>
          </cell>
        </row>
        <row r="1289">
          <cell r="D1289" t="str">
            <v>M/S Babul Enterprise (C)</v>
          </cell>
          <cell r="E1289" t="str">
            <v>01292</v>
          </cell>
        </row>
        <row r="1290">
          <cell r="D1290" t="str">
            <v>M/S Samar Auto (C)</v>
          </cell>
          <cell r="E1290" t="str">
            <v>01522</v>
          </cell>
        </row>
        <row r="1291">
          <cell r="D1291" t="str">
            <v>M/S Samar Auto (C)</v>
          </cell>
          <cell r="E1291" t="str">
            <v>01522</v>
          </cell>
        </row>
        <row r="1292">
          <cell r="D1292" t="str">
            <v>M/S Babul Enterprise (C)</v>
          </cell>
          <cell r="E1292" t="str">
            <v>01292</v>
          </cell>
        </row>
        <row r="1293">
          <cell r="D1293" t="str">
            <v>M/S Hemayetpur Battery House (C)</v>
          </cell>
          <cell r="E1293" t="str">
            <v>01478</v>
          </cell>
        </row>
        <row r="1294">
          <cell r="D1294" t="str">
            <v>M/S Hemayetpur Battery House (C)</v>
          </cell>
          <cell r="E1294" t="str">
            <v>01478</v>
          </cell>
        </row>
        <row r="1295">
          <cell r="D1295" t="str">
            <v>M/S Khan Battery Recycling (C)</v>
          </cell>
          <cell r="E1295" t="str">
            <v>01282</v>
          </cell>
        </row>
        <row r="1296">
          <cell r="D1296" t="str">
            <v>M/S Anas Enterprise (C)</v>
          </cell>
          <cell r="E1296" t="str">
            <v>01551</v>
          </cell>
        </row>
        <row r="1297">
          <cell r="D1297" t="str">
            <v>M/S Anas Enterprise (C)</v>
          </cell>
          <cell r="E1297" t="str">
            <v>01551</v>
          </cell>
        </row>
        <row r="1298">
          <cell r="D1298" t="str">
            <v>M/S Anas Enterprise (C)</v>
          </cell>
          <cell r="E1298" t="str">
            <v>01551</v>
          </cell>
        </row>
        <row r="1299">
          <cell r="D1299" t="str">
            <v>M/S Monir Auto &amp; Battery House</v>
          </cell>
          <cell r="E1299" t="str">
            <v>00001</v>
          </cell>
        </row>
        <row r="1300">
          <cell r="D1300" t="str">
            <v>M/S Modina Enterprise - Savar</v>
          </cell>
          <cell r="E1300" t="str">
            <v>01404</v>
          </cell>
        </row>
        <row r="1301">
          <cell r="D1301" t="str">
            <v>M/S Al - Mokka Enterprise (C)</v>
          </cell>
          <cell r="E1301" t="str">
            <v>01553</v>
          </cell>
        </row>
        <row r="1302">
          <cell r="D1302" t="str">
            <v>M/S Doyal Battery</v>
          </cell>
          <cell r="E1302" t="str">
            <v>00337</v>
          </cell>
        </row>
        <row r="1303">
          <cell r="D1303" t="str">
            <v>M/S Doyal Battery</v>
          </cell>
          <cell r="E1303" t="str">
            <v>00337</v>
          </cell>
        </row>
        <row r="1304">
          <cell r="D1304" t="str">
            <v>M/S Sawda Auto and Battery</v>
          </cell>
          <cell r="E1304" t="str">
            <v>01261</v>
          </cell>
        </row>
        <row r="1305">
          <cell r="D1305" t="str">
            <v>M/S Sawda Auto and Battery</v>
          </cell>
          <cell r="E1305" t="str">
            <v>01261</v>
          </cell>
        </row>
        <row r="1306">
          <cell r="D1306" t="str">
            <v>M/S Anas Battery &amp; Auto House</v>
          </cell>
          <cell r="E1306" t="str">
            <v>01401</v>
          </cell>
        </row>
        <row r="1307">
          <cell r="D1307" t="str">
            <v>M/S Anas Battery &amp; Auto House</v>
          </cell>
          <cell r="E1307" t="str">
            <v>01401</v>
          </cell>
        </row>
        <row r="1308">
          <cell r="D1308" t="str">
            <v>M/S Anas Battery &amp; Auto House</v>
          </cell>
          <cell r="E1308" t="str">
            <v>01401</v>
          </cell>
        </row>
        <row r="1309">
          <cell r="D1309" t="str">
            <v>M/S Power Battery</v>
          </cell>
          <cell r="E1309" t="str">
            <v>00324</v>
          </cell>
        </row>
        <row r="1310">
          <cell r="D1310" t="str">
            <v>M/S Power Battery</v>
          </cell>
          <cell r="E1310" t="str">
            <v>00324</v>
          </cell>
        </row>
        <row r="1311">
          <cell r="D1311" t="str">
            <v>M/S Power Battery</v>
          </cell>
          <cell r="E1311" t="str">
            <v>00324</v>
          </cell>
        </row>
        <row r="1312">
          <cell r="D1312" t="str">
            <v>M/S Unique Battery and Solar</v>
          </cell>
          <cell r="E1312" t="str">
            <v>01157</v>
          </cell>
        </row>
        <row r="1313">
          <cell r="D1313" t="str">
            <v>M/S Khalaq Motors-Feni</v>
          </cell>
          <cell r="E1313" t="str">
            <v>01133</v>
          </cell>
        </row>
        <row r="1314">
          <cell r="D1314" t="str">
            <v>M/S National Motors-Feni</v>
          </cell>
          <cell r="E1314" t="str">
            <v>01102</v>
          </cell>
        </row>
        <row r="1315">
          <cell r="D1315" t="str">
            <v>M/S Sajib Enterprise (C)</v>
          </cell>
          <cell r="E1315" t="str">
            <v>01353</v>
          </cell>
        </row>
        <row r="1316">
          <cell r="D1316" t="str">
            <v>M/S Sajib Enterprise (C)</v>
          </cell>
          <cell r="E1316" t="str">
            <v>01353</v>
          </cell>
        </row>
        <row r="1317">
          <cell r="D1317" t="str">
            <v>M/S Sajib Enterprise (C)</v>
          </cell>
          <cell r="E1317" t="str">
            <v>01353</v>
          </cell>
        </row>
        <row r="1318">
          <cell r="D1318" t="str">
            <v>M/S Khokon IPS &amp; Battery Center (C)</v>
          </cell>
          <cell r="E1318" t="str">
            <v>01306</v>
          </cell>
        </row>
        <row r="1319">
          <cell r="D1319" t="str">
            <v>M/S Khokon IPS &amp; Battery Center (C)</v>
          </cell>
          <cell r="E1319" t="str">
            <v>01306</v>
          </cell>
        </row>
        <row r="1320">
          <cell r="D1320" t="str">
            <v>M/S Maa Battery Service</v>
          </cell>
          <cell r="E1320" t="str">
            <v>00327</v>
          </cell>
        </row>
        <row r="1321">
          <cell r="D1321" t="str">
            <v>M/S Anik Motors &amp; Battery (C)</v>
          </cell>
          <cell r="E1321" t="str">
            <v>01444</v>
          </cell>
        </row>
        <row r="1322">
          <cell r="D1322" t="str">
            <v>M/S S.K. Enterprise (C)</v>
          </cell>
          <cell r="E1322" t="str">
            <v>01326</v>
          </cell>
        </row>
        <row r="1323">
          <cell r="D1323" t="str">
            <v>M/S S.K. Enterprise (C)</v>
          </cell>
          <cell r="E1323" t="str">
            <v>01326</v>
          </cell>
        </row>
        <row r="1324">
          <cell r="D1324" t="str">
            <v>M/S S.K. Enterprise (C)</v>
          </cell>
          <cell r="E1324" t="str">
            <v>01326</v>
          </cell>
        </row>
        <row r="1325">
          <cell r="D1325" t="str">
            <v>M/S S.K. Enterprise (C)</v>
          </cell>
          <cell r="E1325" t="str">
            <v>01326</v>
          </cell>
        </row>
        <row r="1326">
          <cell r="D1326" t="str">
            <v>M/S Boalkhali Battery House (C)</v>
          </cell>
          <cell r="E1326" t="str">
            <v>01550</v>
          </cell>
        </row>
        <row r="1327">
          <cell r="D1327" t="str">
            <v>M/S City Auto</v>
          </cell>
          <cell r="E1327" t="str">
            <v>00398</v>
          </cell>
        </row>
        <row r="1328">
          <cell r="D1328" t="str">
            <v>M/S Manir Battery Charging Station (C)</v>
          </cell>
          <cell r="E1328" t="str">
            <v>01324</v>
          </cell>
        </row>
        <row r="1329">
          <cell r="D1329" t="str">
            <v>M/S Jhenaidah Bike Center  (C)</v>
          </cell>
          <cell r="E1329" t="str">
            <v>01536</v>
          </cell>
        </row>
        <row r="1330">
          <cell r="D1330" t="str">
            <v>M/S Sadiq Enterprise (C)</v>
          </cell>
          <cell r="E1330" t="str">
            <v>01484</v>
          </cell>
        </row>
        <row r="1331">
          <cell r="D1331" t="str">
            <v>M/S Sadiq Enterprise (C)</v>
          </cell>
          <cell r="E1331" t="str">
            <v>01484</v>
          </cell>
        </row>
        <row r="1332">
          <cell r="D1332" t="str">
            <v>M/S Lamia Battery</v>
          </cell>
          <cell r="E1332" t="str">
            <v>00701</v>
          </cell>
        </row>
        <row r="1333">
          <cell r="D1333" t="str">
            <v>M/S Sompa Cycle Store (C)</v>
          </cell>
          <cell r="E1333" t="str">
            <v>01545</v>
          </cell>
        </row>
        <row r="1334">
          <cell r="D1334" t="str">
            <v>M/S Bhai Bhai Auto Center (C)</v>
          </cell>
          <cell r="E1334" t="str">
            <v>01563</v>
          </cell>
        </row>
        <row r="1335">
          <cell r="D1335" t="str">
            <v>M/S Bhai Bhai Auto Center (C)</v>
          </cell>
          <cell r="E1335" t="str">
            <v>01563</v>
          </cell>
        </row>
        <row r="1336">
          <cell r="D1336" t="str">
            <v>M/S Bhai Bhai Auto Center (C)</v>
          </cell>
          <cell r="E1336" t="str">
            <v>01563</v>
          </cell>
        </row>
        <row r="1337">
          <cell r="D1337" t="str">
            <v>M/S Atik Auto</v>
          </cell>
          <cell r="E1337" t="str">
            <v>00562</v>
          </cell>
        </row>
        <row r="1338">
          <cell r="D1338" t="str">
            <v>M/S Bogura Auto Center (C)</v>
          </cell>
          <cell r="E1338" t="str">
            <v>01468</v>
          </cell>
        </row>
        <row r="1339">
          <cell r="D1339" t="str">
            <v>M/S Bogura Auto Center (C)</v>
          </cell>
          <cell r="E1339" t="str">
            <v>01468</v>
          </cell>
        </row>
        <row r="1340">
          <cell r="D1340" t="str">
            <v>M/S Bogura Auto Center (C)</v>
          </cell>
          <cell r="E1340" t="str">
            <v>01468</v>
          </cell>
        </row>
        <row r="1341">
          <cell r="D1341" t="str">
            <v>M/S Shepon Motors (C)</v>
          </cell>
          <cell r="E1341" t="str">
            <v>01438</v>
          </cell>
        </row>
        <row r="1342">
          <cell r="D1342" t="str">
            <v>M/S Shopon Battery House (C)</v>
          </cell>
          <cell r="E1342" t="str">
            <v>01320</v>
          </cell>
        </row>
        <row r="1343">
          <cell r="D1343" t="str">
            <v>M/S Shopon Battery House (C)</v>
          </cell>
          <cell r="E1343" t="str">
            <v>01320</v>
          </cell>
        </row>
        <row r="1344">
          <cell r="D1344" t="str">
            <v>M/S Bhai Bhai Battery And Motors (C)</v>
          </cell>
          <cell r="E1344" t="str">
            <v>01496</v>
          </cell>
        </row>
        <row r="1345">
          <cell r="D1345" t="str">
            <v>M/S Jinyuan Chemical Industry Ltd.</v>
          </cell>
          <cell r="E1345" t="str">
            <v>01565</v>
          </cell>
        </row>
        <row r="1346">
          <cell r="D1346" t="str">
            <v>M/S Rajdhani Motors</v>
          </cell>
          <cell r="E1346" t="str">
            <v>01463</v>
          </cell>
        </row>
        <row r="1347">
          <cell r="D1347" t="str">
            <v>M/S Satata Battery House (C)</v>
          </cell>
          <cell r="E1347" t="str">
            <v>01517</v>
          </cell>
        </row>
        <row r="1348">
          <cell r="D1348" t="str">
            <v>M/S New Asia Motors</v>
          </cell>
          <cell r="E1348" t="str">
            <v>00051</v>
          </cell>
        </row>
        <row r="1349">
          <cell r="D1349" t="str">
            <v>M/S New Asia Motors</v>
          </cell>
          <cell r="E1349" t="str">
            <v>00051</v>
          </cell>
        </row>
        <row r="1350">
          <cell r="D1350" t="str">
            <v>M/S Modina Enterprise - Savar</v>
          </cell>
          <cell r="E1350" t="str">
            <v>01404</v>
          </cell>
        </row>
        <row r="1351">
          <cell r="D1351" t="str">
            <v>M/S Rashed Enterprise</v>
          </cell>
          <cell r="E1351" t="str">
            <v>00030</v>
          </cell>
        </row>
        <row r="1352">
          <cell r="D1352" t="str">
            <v>M/S Rashed Enterprise</v>
          </cell>
          <cell r="E1352" t="str">
            <v>00030</v>
          </cell>
        </row>
        <row r="1353">
          <cell r="D1353" t="str">
            <v>M/S Rashed Enterprise</v>
          </cell>
          <cell r="E1353" t="str">
            <v>00030</v>
          </cell>
        </row>
        <row r="1354">
          <cell r="D1354" t="str">
            <v>M/S Rashed Enterprise</v>
          </cell>
          <cell r="E1354" t="str">
            <v>00030</v>
          </cell>
        </row>
        <row r="1355">
          <cell r="D1355" t="str">
            <v>M/S Rashed Enterprise</v>
          </cell>
          <cell r="E1355" t="str">
            <v>00030</v>
          </cell>
        </row>
        <row r="1356">
          <cell r="D1356" t="str">
            <v>M/S Rashed Enterprise</v>
          </cell>
          <cell r="E1356" t="str">
            <v>00030</v>
          </cell>
        </row>
        <row r="1357">
          <cell r="D1357" t="str">
            <v>M/S Hemayetpur Battery House (C)</v>
          </cell>
          <cell r="E1357" t="str">
            <v>01478</v>
          </cell>
        </row>
        <row r="1358">
          <cell r="D1358" t="str">
            <v>M/S Hemayetpur Battery House (C)</v>
          </cell>
          <cell r="E1358" t="str">
            <v>01478</v>
          </cell>
        </row>
        <row r="1359">
          <cell r="D1359" t="str">
            <v>M/S Anas Enterprise (C)</v>
          </cell>
          <cell r="E1359" t="str">
            <v>01551</v>
          </cell>
        </row>
        <row r="1360">
          <cell r="D1360" t="str">
            <v>M/S Anas Enterprise (C)</v>
          </cell>
          <cell r="E1360" t="str">
            <v>01551</v>
          </cell>
        </row>
        <row r="1361">
          <cell r="D1361" t="str">
            <v>M/S Anas Enterprise (C)</v>
          </cell>
          <cell r="E1361" t="str">
            <v>01551</v>
          </cell>
        </row>
        <row r="1362">
          <cell r="D1362" t="str">
            <v>M/S Anas Enterprise (C)</v>
          </cell>
          <cell r="E1362" t="str">
            <v>01551</v>
          </cell>
        </row>
        <row r="1363">
          <cell r="D1363" t="str">
            <v>M/S Ma Tyre &amp; Battery  Shop</v>
          </cell>
          <cell r="E1363" t="str">
            <v>00088</v>
          </cell>
        </row>
        <row r="1364">
          <cell r="D1364" t="str">
            <v>M/S Al - Mokka Enterprise (C)</v>
          </cell>
          <cell r="E1364" t="str">
            <v>01553</v>
          </cell>
        </row>
        <row r="1365">
          <cell r="D1365" t="str">
            <v>M/S Al - Mokka Enterprise (C)</v>
          </cell>
          <cell r="E1365" t="str">
            <v>01553</v>
          </cell>
        </row>
        <row r="1366">
          <cell r="D1366" t="str">
            <v>M/S Al - Mokka Enterprise (C)</v>
          </cell>
          <cell r="E1366" t="str">
            <v>01553</v>
          </cell>
        </row>
        <row r="1367">
          <cell r="D1367" t="str">
            <v>M/S Shoshi Enterprise (C)</v>
          </cell>
          <cell r="E1367" t="str">
            <v>01335</v>
          </cell>
        </row>
        <row r="1368">
          <cell r="D1368" t="str">
            <v>M/S Setu Cycle Mart</v>
          </cell>
          <cell r="E1368" t="str">
            <v>00471</v>
          </cell>
        </row>
        <row r="1369">
          <cell r="D1369" t="str">
            <v>M/S Setu Cycle Mart</v>
          </cell>
          <cell r="E1369" t="str">
            <v>00471</v>
          </cell>
        </row>
        <row r="1370">
          <cell r="D1370" t="str">
            <v>M/S Setu Cycle Mart</v>
          </cell>
          <cell r="E1370" t="str">
            <v>00471</v>
          </cell>
        </row>
        <row r="1371">
          <cell r="D1371" t="str">
            <v>M/S Setu Cycle Mart</v>
          </cell>
          <cell r="E1371" t="str">
            <v>00471</v>
          </cell>
        </row>
        <row r="1372">
          <cell r="D1372" t="str">
            <v>M/S Hira Motors-Chokoria</v>
          </cell>
          <cell r="E1372" t="str">
            <v>01441</v>
          </cell>
        </row>
        <row r="1373">
          <cell r="D1373" t="str">
            <v>M/S Saiful Motors</v>
          </cell>
          <cell r="E1373" t="str">
            <v>00482</v>
          </cell>
        </row>
        <row r="1374">
          <cell r="D1374" t="str">
            <v>M/S S.K. Enterprise (C)</v>
          </cell>
          <cell r="E1374" t="str">
            <v>01326</v>
          </cell>
        </row>
        <row r="1375">
          <cell r="D1375" t="str">
            <v>M/S S.K. Enterprise (C)</v>
          </cell>
          <cell r="E1375" t="str">
            <v>01326</v>
          </cell>
        </row>
        <row r="1376">
          <cell r="D1376" t="str">
            <v>M/S Sangu Battery House</v>
          </cell>
          <cell r="E1376" t="str">
            <v>00988</v>
          </cell>
        </row>
        <row r="1377">
          <cell r="D1377" t="str">
            <v>M/S Boalkhali Battery House (C)</v>
          </cell>
          <cell r="E1377" t="str">
            <v>01550</v>
          </cell>
        </row>
        <row r="1378">
          <cell r="D1378" t="str">
            <v>M/S Boalkhali Battery House (C)</v>
          </cell>
          <cell r="E1378" t="str">
            <v>01550</v>
          </cell>
        </row>
        <row r="1379">
          <cell r="D1379" t="str">
            <v>M/S Sangu Battery House</v>
          </cell>
          <cell r="E1379" t="str">
            <v>00988</v>
          </cell>
        </row>
        <row r="1380">
          <cell r="D1380" t="str">
            <v>M/S Macca Tyre And battery House</v>
          </cell>
          <cell r="E1380" t="str">
            <v>00439</v>
          </cell>
        </row>
        <row r="1381">
          <cell r="D1381" t="str">
            <v>M/S Boalkhali Battery House (C)</v>
          </cell>
          <cell r="E1381" t="str">
            <v>01550</v>
          </cell>
        </row>
        <row r="1382">
          <cell r="D1382" t="str">
            <v>M/S Banskhali Enterprise-Joldi (C)</v>
          </cell>
          <cell r="E1382" t="str">
            <v>01312</v>
          </cell>
        </row>
        <row r="1383">
          <cell r="D1383" t="str">
            <v>M/S Anas Battery &amp; Auto House</v>
          </cell>
          <cell r="E1383" t="str">
            <v>01401</v>
          </cell>
        </row>
        <row r="1384">
          <cell r="D1384" t="str">
            <v>M/S Anas Battery &amp; Auto House</v>
          </cell>
          <cell r="E1384" t="str">
            <v>01401</v>
          </cell>
        </row>
        <row r="1385">
          <cell r="D1385" t="str">
            <v>M/S Anas Battery &amp; Auto House</v>
          </cell>
          <cell r="E1385" t="str">
            <v>01401</v>
          </cell>
        </row>
        <row r="1386">
          <cell r="D1386" t="str">
            <v>M/S Sajib Enterprise (C)</v>
          </cell>
          <cell r="E1386" t="str">
            <v>01353</v>
          </cell>
        </row>
        <row r="1387">
          <cell r="D1387" t="str">
            <v>M/S Sajib Enterprise (C)</v>
          </cell>
          <cell r="E1387" t="str">
            <v>01353</v>
          </cell>
        </row>
        <row r="1388">
          <cell r="D1388" t="str">
            <v>M/S Sajib Enterprise (C)</v>
          </cell>
          <cell r="E1388" t="str">
            <v>01353</v>
          </cell>
        </row>
        <row r="1389">
          <cell r="D1389" t="str">
            <v>M/S Sajib Enterprise (C)</v>
          </cell>
          <cell r="E1389" t="str">
            <v>01353</v>
          </cell>
        </row>
        <row r="1390">
          <cell r="D1390" t="str">
            <v>M/S Sajib Enterprise (C)</v>
          </cell>
          <cell r="E1390" t="str">
            <v>01353</v>
          </cell>
        </row>
        <row r="1391">
          <cell r="D1391" t="str">
            <v>M/S Mokka Motors-Cumilla (C)</v>
          </cell>
          <cell r="E1391" t="str">
            <v>01481</v>
          </cell>
        </row>
        <row r="1392">
          <cell r="D1392" t="str">
            <v>M/S S.S. Enterprise-Norshingdi (C)</v>
          </cell>
          <cell r="E1392" t="str">
            <v>01331</v>
          </cell>
        </row>
        <row r="1393">
          <cell r="D1393" t="str">
            <v>M/S S.S. Enterprise-Norshingdi (C)</v>
          </cell>
          <cell r="E1393" t="str">
            <v>01331</v>
          </cell>
        </row>
        <row r="1394">
          <cell r="D1394" t="str">
            <v>M/S S.S. Enterprise-Norshingdi</v>
          </cell>
          <cell r="E1394" t="str">
            <v>01118</v>
          </cell>
        </row>
        <row r="1395">
          <cell r="D1395" t="str">
            <v>M/S S.S. Enterprise-Norshingdi</v>
          </cell>
          <cell r="E1395" t="str">
            <v>01118</v>
          </cell>
        </row>
        <row r="1396">
          <cell r="D1396" t="str">
            <v>M/S Khokon IPS &amp; Battery Center (C)</v>
          </cell>
          <cell r="E1396" t="str">
            <v>01306</v>
          </cell>
        </row>
        <row r="1397">
          <cell r="D1397" t="str">
            <v>M/S National Motors-Feni</v>
          </cell>
          <cell r="E1397" t="str">
            <v>01102</v>
          </cell>
        </row>
        <row r="1398">
          <cell r="D1398" t="str">
            <v>M/S New Saika Motors</v>
          </cell>
          <cell r="E1398" t="str">
            <v>00343</v>
          </cell>
        </row>
        <row r="1399">
          <cell r="D1399" t="str">
            <v>M/S Doyal Battery</v>
          </cell>
          <cell r="E1399" t="str">
            <v>00337</v>
          </cell>
        </row>
        <row r="1400">
          <cell r="D1400" t="str">
            <v>M/S Doyal Battery</v>
          </cell>
          <cell r="E1400" t="str">
            <v>00337</v>
          </cell>
        </row>
        <row r="1401">
          <cell r="D1401" t="str">
            <v>M/S Doyal Battery (C)</v>
          </cell>
          <cell r="E1401" t="str">
            <v>01308</v>
          </cell>
        </row>
        <row r="1402">
          <cell r="D1402" t="str">
            <v>M/S Doyal Battery (C)</v>
          </cell>
          <cell r="E1402" t="str">
            <v>01308</v>
          </cell>
        </row>
        <row r="1403">
          <cell r="D1403" t="str">
            <v>M/S Bondhu Auto and CNG Workshop</v>
          </cell>
          <cell r="E1403" t="str">
            <v>01149</v>
          </cell>
        </row>
        <row r="1404">
          <cell r="D1404" t="str">
            <v>M/S Bondhu Auto and CNG Workshop</v>
          </cell>
          <cell r="E1404" t="str">
            <v>01149</v>
          </cell>
        </row>
        <row r="1405">
          <cell r="D1405" t="str">
            <v>M/S City Auto</v>
          </cell>
          <cell r="E1405" t="str">
            <v>00398</v>
          </cell>
        </row>
        <row r="1406">
          <cell r="D1406" t="str">
            <v>M/S City Auto</v>
          </cell>
          <cell r="E1406" t="str">
            <v>00398</v>
          </cell>
        </row>
        <row r="1407">
          <cell r="D1407" t="str">
            <v>M/S L D Poribahan &amp; Trading (C)</v>
          </cell>
          <cell r="E1407" t="str">
            <v>01299</v>
          </cell>
        </row>
        <row r="1408">
          <cell r="D1408" t="str">
            <v>M/S L D Poribahan &amp; Trading (C)</v>
          </cell>
          <cell r="E1408" t="str">
            <v>01299</v>
          </cell>
        </row>
        <row r="1409">
          <cell r="D1409" t="str">
            <v>M/S L D Poribahan &amp; Trading (C)</v>
          </cell>
          <cell r="E1409" t="str">
            <v>01299</v>
          </cell>
        </row>
        <row r="1410">
          <cell r="D1410" t="str">
            <v>M/S Supreme Auto (C)</v>
          </cell>
          <cell r="E1410" t="str">
            <v>01300</v>
          </cell>
        </row>
        <row r="1411">
          <cell r="D1411" t="str">
            <v>M/S Islam Parts Store (C)</v>
          </cell>
          <cell r="E1411" t="str">
            <v>01439</v>
          </cell>
        </row>
        <row r="1412">
          <cell r="D1412" t="str">
            <v>M/S Adib Alifa Auto &amp; Battery House (C)</v>
          </cell>
          <cell r="E1412" t="str">
            <v>01454</v>
          </cell>
        </row>
        <row r="1413">
          <cell r="D1413" t="str">
            <v>M/S Shekh Enterprise - Khulna</v>
          </cell>
          <cell r="E1413" t="str">
            <v>01435</v>
          </cell>
        </row>
        <row r="1414">
          <cell r="D1414" t="str">
            <v>M/S Sadiq Enterprise (C)</v>
          </cell>
          <cell r="E1414" t="str">
            <v>01484</v>
          </cell>
        </row>
        <row r="1415">
          <cell r="D1415" t="str">
            <v>M/S M.R. Enterprise- Dinajpur (C)</v>
          </cell>
          <cell r="E1415" t="str">
            <v>01520</v>
          </cell>
        </row>
        <row r="1416">
          <cell r="D1416" t="str">
            <v>M/S Sompa Cycle Store (C)</v>
          </cell>
          <cell r="E1416" t="str">
            <v>01545</v>
          </cell>
        </row>
        <row r="1417">
          <cell r="D1417" t="str">
            <v>M/S Atik Auto</v>
          </cell>
          <cell r="E1417" t="str">
            <v>00562</v>
          </cell>
        </row>
        <row r="1418">
          <cell r="D1418" t="str">
            <v>M/S Rakin Auto Parts</v>
          </cell>
          <cell r="E1418" t="str">
            <v>00561</v>
          </cell>
        </row>
        <row r="1419">
          <cell r="D1419" t="str">
            <v>M/S Bogura Auto Center (C)</v>
          </cell>
          <cell r="E1419" t="str">
            <v>01468</v>
          </cell>
        </row>
        <row r="1420">
          <cell r="D1420" t="str">
            <v>M/S Bogura Auto Center (C)</v>
          </cell>
          <cell r="E1420" t="str">
            <v>01468</v>
          </cell>
        </row>
        <row r="1421">
          <cell r="D1421" t="str">
            <v>M/S Bogura Auto Center (C)</v>
          </cell>
          <cell r="E1421" t="str">
            <v>01468</v>
          </cell>
        </row>
        <row r="1422">
          <cell r="D1422" t="str">
            <v>M/S Bogura Auto Center (C)</v>
          </cell>
          <cell r="E1422" t="str">
            <v>01468</v>
          </cell>
        </row>
        <row r="1423">
          <cell r="D1423" t="str">
            <v>M/S Bogura Auto Center (C)</v>
          </cell>
          <cell r="E1423" t="str">
            <v>01468</v>
          </cell>
        </row>
        <row r="1424">
          <cell r="D1424" t="str">
            <v>M/S Maa Auto Workshop &amp; Battery Center (C)</v>
          </cell>
          <cell r="E1424" t="str">
            <v>01497</v>
          </cell>
        </row>
        <row r="1425">
          <cell r="D1425" t="str">
            <v>M/S Maa Auto Workshop &amp; Battery Center (C)</v>
          </cell>
          <cell r="E1425" t="str">
            <v>01497</v>
          </cell>
        </row>
        <row r="1426">
          <cell r="D1426" t="str">
            <v>M/S Farhan Auto (C)</v>
          </cell>
          <cell r="E1426" t="str">
            <v>01298</v>
          </cell>
        </row>
        <row r="1427">
          <cell r="D1427" t="str">
            <v>M/S Farhan Auto (C)</v>
          </cell>
          <cell r="E1427" t="str">
            <v>01298</v>
          </cell>
        </row>
        <row r="1428">
          <cell r="D1428" t="str">
            <v>M/S Farhan Auto (C)</v>
          </cell>
          <cell r="E1428" t="str">
            <v>01298</v>
          </cell>
        </row>
        <row r="1429">
          <cell r="D1429" t="str">
            <v>M/S Farhan Auto (C)</v>
          </cell>
          <cell r="E1429" t="str">
            <v>01298</v>
          </cell>
        </row>
        <row r="1430">
          <cell r="D1430" t="str">
            <v>M/S Farhan Auto (C)</v>
          </cell>
          <cell r="E1430" t="str">
            <v>01298</v>
          </cell>
        </row>
        <row r="1431">
          <cell r="D1431" t="str">
            <v>M/S S.B. Energy</v>
          </cell>
          <cell r="E1431" t="str">
            <v>00087</v>
          </cell>
        </row>
        <row r="1432">
          <cell r="D1432" t="str">
            <v>M/S Al - Mokka Enterprise (C)</v>
          </cell>
          <cell r="E1432" t="str">
            <v>01553</v>
          </cell>
        </row>
        <row r="1433">
          <cell r="D1433" t="str">
            <v>M/S Shoshi Enterprise (C)</v>
          </cell>
          <cell r="E1433" t="str">
            <v>01335</v>
          </cell>
        </row>
        <row r="1434">
          <cell r="D1434" t="str">
            <v>M/S Sharif Battery House &amp; IPS Center (C)</v>
          </cell>
          <cell r="E1434" t="str">
            <v>01491</v>
          </cell>
        </row>
        <row r="1435">
          <cell r="D1435" t="str">
            <v>M/S Modina Cycle Store (C)</v>
          </cell>
          <cell r="E1435" t="str">
            <v>01519</v>
          </cell>
        </row>
        <row r="1436">
          <cell r="D1436" t="str">
            <v>M/S Modina Cycle Store (C)</v>
          </cell>
          <cell r="E1436" t="str">
            <v>01519</v>
          </cell>
        </row>
        <row r="1437">
          <cell r="D1437" t="str">
            <v>M/S Modina Cycle Store (C)</v>
          </cell>
          <cell r="E1437" t="str">
            <v>01519</v>
          </cell>
        </row>
        <row r="1438">
          <cell r="D1438" t="str">
            <v>M/S Ripon Tyre and Battery (C)</v>
          </cell>
          <cell r="E1438" t="str">
            <v>01557</v>
          </cell>
        </row>
        <row r="1439">
          <cell r="D1439" t="str">
            <v>M/S Ripon Tyre and Battery (C)</v>
          </cell>
          <cell r="E1439" t="str">
            <v>01557</v>
          </cell>
        </row>
        <row r="1440">
          <cell r="D1440" t="str">
            <v>M/S Ripon Tyre and Battery (C)</v>
          </cell>
          <cell r="E1440" t="str">
            <v>01557</v>
          </cell>
        </row>
        <row r="1441">
          <cell r="D1441" t="str">
            <v>M/S Ripon Tyre and Battery (C)</v>
          </cell>
          <cell r="E1441" t="str">
            <v>01557</v>
          </cell>
        </row>
        <row r="1442">
          <cell r="D1442" t="str">
            <v>M/S Ripon Tyre and Battery (C)</v>
          </cell>
          <cell r="E1442" t="str">
            <v>01557</v>
          </cell>
        </row>
        <row r="1443">
          <cell r="D1443" t="str">
            <v>M/S Anas Enterprise (C)</v>
          </cell>
          <cell r="E1443" t="str">
            <v>01551</v>
          </cell>
        </row>
        <row r="1444">
          <cell r="D1444" t="str">
            <v>MD. Momen</v>
          </cell>
          <cell r="E1444" t="str">
            <v>01366</v>
          </cell>
        </row>
        <row r="1445">
          <cell r="D1445" t="str">
            <v>M/S Saiful Motors</v>
          </cell>
          <cell r="E1445" t="str">
            <v>00482</v>
          </cell>
        </row>
        <row r="1446">
          <cell r="D1446" t="str">
            <v>M/S Hafiz Battery House</v>
          </cell>
          <cell r="E1446" t="str">
            <v>01368</v>
          </cell>
        </row>
        <row r="1447">
          <cell r="D1447" t="str">
            <v>M/S Hira Motors-Chokoria</v>
          </cell>
          <cell r="E1447" t="str">
            <v>01441</v>
          </cell>
        </row>
        <row r="1448">
          <cell r="D1448" t="str">
            <v>M/S Setu Cycle Mart</v>
          </cell>
          <cell r="E1448" t="str">
            <v>00471</v>
          </cell>
        </row>
        <row r="1449">
          <cell r="D1449" t="str">
            <v>M/S Setu Cycle Mart</v>
          </cell>
          <cell r="E1449" t="str">
            <v>00471</v>
          </cell>
        </row>
        <row r="1450">
          <cell r="D1450" t="str">
            <v>M/S Setu Cycle Mart</v>
          </cell>
          <cell r="E1450" t="str">
            <v>00471</v>
          </cell>
        </row>
        <row r="1451">
          <cell r="D1451" t="str">
            <v>M/S Setu Cycle Mart</v>
          </cell>
          <cell r="E1451" t="str">
            <v>00471</v>
          </cell>
        </row>
        <row r="1452">
          <cell r="D1452" t="str">
            <v>M/S Setu Cycle Mart</v>
          </cell>
          <cell r="E1452" t="str">
            <v>00471</v>
          </cell>
        </row>
        <row r="1453">
          <cell r="D1453" t="str">
            <v>M/S Setu Cycle Mart</v>
          </cell>
          <cell r="E1453" t="str">
            <v>00471</v>
          </cell>
        </row>
        <row r="1454">
          <cell r="D1454" t="str">
            <v>M/S Sohan Motors</v>
          </cell>
          <cell r="E1454" t="str">
            <v>01385</v>
          </cell>
        </row>
        <row r="1455">
          <cell r="D1455" t="str">
            <v>M/S Sohan Motors</v>
          </cell>
          <cell r="E1455" t="str">
            <v>01385</v>
          </cell>
        </row>
        <row r="1456">
          <cell r="D1456" t="str">
            <v>M/S L D Poribahan &amp; Trading (C)</v>
          </cell>
          <cell r="E1456" t="str">
            <v>01299</v>
          </cell>
        </row>
        <row r="1457">
          <cell r="D1457" t="str">
            <v>M/S L D Poribahan &amp; Trading (C)</v>
          </cell>
          <cell r="E1457" t="str">
            <v>01299</v>
          </cell>
        </row>
        <row r="1458">
          <cell r="D1458" t="str">
            <v>M/S L D Poribahan &amp; Trading (C)</v>
          </cell>
          <cell r="E1458" t="str">
            <v>01299</v>
          </cell>
        </row>
        <row r="1459">
          <cell r="D1459" t="str">
            <v>M/S L D Poribahan &amp; Trading (C)</v>
          </cell>
          <cell r="E1459" t="str">
            <v>01299</v>
          </cell>
        </row>
        <row r="1460">
          <cell r="D1460" t="str">
            <v>M/S L D Poribahan &amp; Trading (C)</v>
          </cell>
          <cell r="E1460" t="str">
            <v>01299</v>
          </cell>
        </row>
        <row r="1461">
          <cell r="D1461" t="str">
            <v>M/S S.K. Enterprise (C)</v>
          </cell>
          <cell r="E1461" t="str">
            <v>01326</v>
          </cell>
        </row>
        <row r="1462">
          <cell r="D1462" t="str">
            <v>M/S S.K. Enterprise (C)</v>
          </cell>
          <cell r="E1462" t="str">
            <v>01326</v>
          </cell>
        </row>
        <row r="1463">
          <cell r="D1463" t="str">
            <v>M/S S.K. Enterprise (C)</v>
          </cell>
          <cell r="E1463" t="str">
            <v>01326</v>
          </cell>
        </row>
        <row r="1464">
          <cell r="D1464" t="str">
            <v>M/S Macca Tyre And battery House</v>
          </cell>
          <cell r="E1464" t="str">
            <v>00439</v>
          </cell>
        </row>
        <row r="1465">
          <cell r="D1465" t="str">
            <v>M/S Boalkhali Battery House (C)</v>
          </cell>
          <cell r="E1465" t="str">
            <v>01550</v>
          </cell>
        </row>
        <row r="1466">
          <cell r="D1466" t="str">
            <v>M/S Boalkhali Battery House (C)</v>
          </cell>
          <cell r="E1466" t="str">
            <v>01550</v>
          </cell>
        </row>
        <row r="1467">
          <cell r="D1467" t="str">
            <v>M/S Banskhali Enterprise-Joldi (C)</v>
          </cell>
          <cell r="E1467" t="str">
            <v>01312</v>
          </cell>
        </row>
        <row r="1468">
          <cell r="D1468" t="str">
            <v>M/S Anas Battery &amp; Auto House</v>
          </cell>
          <cell r="E1468" t="str">
            <v>01401</v>
          </cell>
        </row>
        <row r="1469">
          <cell r="D1469" t="str">
            <v>M/S Anas Battery &amp; Auto House</v>
          </cell>
          <cell r="E1469" t="str">
            <v>01401</v>
          </cell>
        </row>
        <row r="1470">
          <cell r="D1470" t="str">
            <v>M/S Anas Battery &amp; Auto House</v>
          </cell>
          <cell r="E1470" t="str">
            <v>01401</v>
          </cell>
        </row>
        <row r="1471">
          <cell r="D1471" t="str">
            <v>M/S Sajib Enterprise (C)</v>
          </cell>
          <cell r="E1471" t="str">
            <v>01353</v>
          </cell>
        </row>
        <row r="1472">
          <cell r="D1472" t="str">
            <v>M/S A.P.L. Auto House (C)</v>
          </cell>
          <cell r="E1472" t="str">
            <v>01305</v>
          </cell>
        </row>
        <row r="1473">
          <cell r="D1473" t="str">
            <v>M/S National Motors-Feni</v>
          </cell>
          <cell r="E1473" t="str">
            <v>01102</v>
          </cell>
        </row>
        <row r="1474">
          <cell r="D1474" t="str">
            <v>M/S Lalmai Machineries &amp; Parts</v>
          </cell>
          <cell r="E1474" t="str">
            <v>00329</v>
          </cell>
        </row>
        <row r="1475">
          <cell r="D1475" t="str">
            <v>M/S Doyal Battery</v>
          </cell>
          <cell r="E1475" t="str">
            <v>00337</v>
          </cell>
        </row>
        <row r="1476">
          <cell r="D1476" t="str">
            <v>M/S Doyal Battery</v>
          </cell>
          <cell r="E1476" t="str">
            <v>00337</v>
          </cell>
        </row>
        <row r="1477">
          <cell r="D1477" t="str">
            <v>M/S Doyal Battery</v>
          </cell>
          <cell r="E1477" t="str">
            <v>00337</v>
          </cell>
        </row>
        <row r="1478">
          <cell r="D1478" t="str">
            <v>M/S Doyal Battery (C)</v>
          </cell>
          <cell r="E1478" t="str">
            <v>01308</v>
          </cell>
        </row>
        <row r="1479">
          <cell r="D1479" t="str">
            <v>M/S Doyal Battery (C)</v>
          </cell>
          <cell r="E1479" t="str">
            <v>01308</v>
          </cell>
        </row>
        <row r="1480">
          <cell r="D1480" t="str">
            <v>M/S Doyal Battery (C)</v>
          </cell>
          <cell r="E1480" t="str">
            <v>01308</v>
          </cell>
        </row>
        <row r="1481">
          <cell r="D1481" t="str">
            <v>M/S Bondhu Auto and CNG Workshop</v>
          </cell>
          <cell r="E1481" t="str">
            <v>01149</v>
          </cell>
        </row>
        <row r="1482">
          <cell r="D1482" t="str">
            <v>M/S Bondhu Auto and CNG Workshop</v>
          </cell>
          <cell r="E1482" t="str">
            <v>01149</v>
          </cell>
        </row>
        <row r="1483">
          <cell r="D1483" t="str">
            <v>M/S Bondhu Auto and CNG Workshop</v>
          </cell>
          <cell r="E1483" t="str">
            <v>01149</v>
          </cell>
        </row>
        <row r="1484">
          <cell r="D1484" t="str">
            <v>M/S Shahjalal Traders</v>
          </cell>
          <cell r="E1484" t="str">
            <v>01362</v>
          </cell>
        </row>
        <row r="1485">
          <cell r="D1485" t="str">
            <v>M/S Shahjalal Traders</v>
          </cell>
          <cell r="E1485" t="str">
            <v>01362</v>
          </cell>
        </row>
        <row r="1486">
          <cell r="D1486" t="str">
            <v>M/S Islam Parts Store</v>
          </cell>
          <cell r="E1486" t="str">
            <v>01146</v>
          </cell>
        </row>
        <row r="1487">
          <cell r="D1487" t="str">
            <v>M/S Islam Parts Store</v>
          </cell>
          <cell r="E1487" t="str">
            <v>01146</v>
          </cell>
        </row>
        <row r="1488">
          <cell r="D1488" t="str">
            <v>M/S Adib Alifa Auto &amp; Battery House (C)</v>
          </cell>
          <cell r="E1488" t="str">
            <v>01454</v>
          </cell>
        </row>
        <row r="1489">
          <cell r="D1489" t="str">
            <v>M/S Chapai Auto Battery House</v>
          </cell>
          <cell r="E1489" t="str">
            <v>01487</v>
          </cell>
        </row>
        <row r="1490">
          <cell r="D1490" t="str">
            <v>M/S S. K. Battery and Motors</v>
          </cell>
          <cell r="E1490" t="str">
            <v>01458</v>
          </cell>
        </row>
        <row r="1491">
          <cell r="D1491" t="str">
            <v>M/S Mahbub Motors-Patuakhali (C)</v>
          </cell>
          <cell r="E1491" t="str">
            <v>01547</v>
          </cell>
        </row>
        <row r="1492">
          <cell r="D1492" t="str">
            <v>M/S Mahbub Motors-Patuakhali (C)</v>
          </cell>
          <cell r="E1492" t="str">
            <v>01547</v>
          </cell>
        </row>
        <row r="1493">
          <cell r="D1493" t="str">
            <v>M/S Anamika Auto Rickshow</v>
          </cell>
          <cell r="E1493" t="str">
            <v>00496</v>
          </cell>
        </row>
        <row r="1494">
          <cell r="D1494" t="str">
            <v>M/S Bhai Bhai Auto Center (C)</v>
          </cell>
          <cell r="E1494" t="str">
            <v>01563</v>
          </cell>
        </row>
        <row r="1495">
          <cell r="D1495" t="str">
            <v>M/S M.R. Enterprise- Dinajpur (C)</v>
          </cell>
          <cell r="E1495" t="str">
            <v>01520</v>
          </cell>
        </row>
        <row r="1496">
          <cell r="D1496" t="str">
            <v>M/S M.R. Enterprise- Dinajpur (C)</v>
          </cell>
          <cell r="E1496" t="str">
            <v>01520</v>
          </cell>
        </row>
        <row r="1497">
          <cell r="D1497" t="str">
            <v>M/S Molla Battery House (C)</v>
          </cell>
          <cell r="E1497" t="str">
            <v>01428</v>
          </cell>
        </row>
        <row r="1498">
          <cell r="D1498" t="str">
            <v>M/S Salman Battery House</v>
          </cell>
          <cell r="E1498" t="str">
            <v>01121</v>
          </cell>
        </row>
        <row r="1499">
          <cell r="D1499" t="str">
            <v>M/S S.K. Enterprise (C)</v>
          </cell>
          <cell r="E1499" t="str">
            <v>01326</v>
          </cell>
        </row>
        <row r="1500">
          <cell r="D1500" t="str">
            <v>M/S S.K. Enterprise (C)</v>
          </cell>
          <cell r="E1500" t="str">
            <v>01326</v>
          </cell>
        </row>
        <row r="1501">
          <cell r="D1501" t="str">
            <v>M/S S.K. Enterprise (C)</v>
          </cell>
          <cell r="E1501" t="str">
            <v>01326</v>
          </cell>
        </row>
        <row r="1502">
          <cell r="D1502" t="str">
            <v>M/S S.K. Enterprise (C)</v>
          </cell>
          <cell r="E1502" t="str">
            <v>01326</v>
          </cell>
        </row>
      </sheetData>
      <sheetData sheetId="2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Dealer Wise Net Sales Register1"/>
      <sheetName val="ET &amp; TRB"/>
      <sheetName val="Solar"/>
      <sheetName val="IPS"/>
      <sheetName val="Ayesha Apu Work"/>
      <sheetName val="Sheet5"/>
      <sheetName val="Sheet6"/>
      <sheetName val="Sheet4"/>
    </sheetNames>
    <sheetDataSet>
      <sheetData sheetId="0"/>
      <sheetData sheetId="1"/>
      <sheetData sheetId="2"/>
      <sheetData sheetId="3"/>
      <sheetData sheetId="4"/>
      <sheetData sheetId="5">
        <row r="4">
          <cell r="B4" t="str">
            <v>Customer Name</v>
          </cell>
        </row>
        <row r="6">
          <cell r="B6" t="str">
            <v>M/S Anamika Auto Rickshow</v>
          </cell>
          <cell r="C6" t="str">
            <v>Monthly</v>
          </cell>
        </row>
        <row r="7">
          <cell r="B7" t="str">
            <v>M/S Bogura Auto Center (C)</v>
          </cell>
          <cell r="C7" t="str">
            <v>Conver-Lead</v>
          </cell>
        </row>
        <row r="8">
          <cell r="B8" t="str">
            <v>M/S Maa Auto Workshop &amp; Battery Center (C)</v>
          </cell>
          <cell r="C8" t="str">
            <v>CONVERSION</v>
          </cell>
        </row>
        <row r="9">
          <cell r="B9" t="str">
            <v>M/S Raju Battery</v>
          </cell>
          <cell r="C9" t="str">
            <v>Monthly</v>
          </cell>
        </row>
        <row r="10">
          <cell r="B10" t="str">
            <v>M/S Salman Auto and Battery (C)</v>
          </cell>
          <cell r="C10" t="str">
            <v>Conversion</v>
          </cell>
        </row>
        <row r="11">
          <cell r="B11" t="str">
            <v>M/S Sompa Cycle Store (C)</v>
          </cell>
          <cell r="C11" t="str">
            <v>Conversion</v>
          </cell>
        </row>
        <row r="12">
          <cell r="C12">
            <v>0</v>
          </cell>
        </row>
        <row r="13">
          <cell r="B13" t="str">
            <v>M/S Adib Alifa Auto &amp; Battery House (C)</v>
          </cell>
          <cell r="C13" t="str">
            <v>CONVERSION</v>
          </cell>
        </row>
        <row r="14">
          <cell r="B14" t="str">
            <v>M/S Al Razzak Battery House (C)</v>
          </cell>
          <cell r="C14" t="str">
            <v>Conversion</v>
          </cell>
        </row>
        <row r="15">
          <cell r="B15" t="str">
            <v>M/S Bhai Bhai Battery And Motors (C)</v>
          </cell>
          <cell r="C15" t="str">
            <v>CONVERSION</v>
          </cell>
        </row>
        <row r="16">
          <cell r="B16" t="str">
            <v>M/S Farhan Battery &amp; Auto Parts</v>
          </cell>
          <cell r="C16" t="str">
            <v>Monthly</v>
          </cell>
        </row>
        <row r="17">
          <cell r="B17" t="str">
            <v>M/S Kalam Store</v>
          </cell>
          <cell r="C17" t="str">
            <v>Monthly</v>
          </cell>
        </row>
        <row r="18">
          <cell r="B18" t="str">
            <v>M/S Ma Battery House</v>
          </cell>
          <cell r="C18" t="str">
            <v>Cash</v>
          </cell>
        </row>
        <row r="19">
          <cell r="B19" t="str">
            <v>M/S Manir Battery Charging Station (C)</v>
          </cell>
          <cell r="C19" t="str">
            <v>CONVERSION</v>
          </cell>
        </row>
        <row r="20">
          <cell r="B20" t="str">
            <v>M/S S.K. Trading Corporation (C)</v>
          </cell>
          <cell r="C20" t="str">
            <v>CONVERSION</v>
          </cell>
        </row>
        <row r="21">
          <cell r="B21" t="str">
            <v>M/S Sohraf Store (C)</v>
          </cell>
          <cell r="C21" t="str">
            <v>Conversion</v>
          </cell>
        </row>
        <row r="22">
          <cell r="B22" t="str">
            <v>M/S Takia Battery House (C)</v>
          </cell>
          <cell r="C22" t="str">
            <v>Conversion</v>
          </cell>
        </row>
        <row r="23">
          <cell r="C23">
            <v>0</v>
          </cell>
        </row>
        <row r="24">
          <cell r="B24" t="str">
            <v>M/S AL Amin Parts Store</v>
          </cell>
          <cell r="C24" t="str">
            <v>Monthly</v>
          </cell>
        </row>
        <row r="25">
          <cell r="B25" t="str">
            <v>M/S Awlad Electronics</v>
          </cell>
          <cell r="C25" t="str">
            <v>Monthly</v>
          </cell>
        </row>
        <row r="26">
          <cell r="B26" t="str">
            <v>M/S Islam Parts Store (C)</v>
          </cell>
          <cell r="C26" t="str">
            <v>CONVERSION</v>
          </cell>
        </row>
        <row r="27">
          <cell r="B27" t="str">
            <v>M/S Molla Battery House (C)</v>
          </cell>
          <cell r="C27" t="str">
            <v>CONVERSION</v>
          </cell>
        </row>
        <row r="28">
          <cell r="B28" t="str">
            <v>M/S Shepon Motors (C)</v>
          </cell>
          <cell r="C28" t="str">
            <v>CONVERSION</v>
          </cell>
        </row>
        <row r="29">
          <cell r="B29" t="str">
            <v>M/S Shopon Battery House</v>
          </cell>
          <cell r="C29" t="str">
            <v>REGULAR</v>
          </cell>
        </row>
        <row r="30">
          <cell r="B30" t="str">
            <v>M/S Shopon Battery House (C)</v>
          </cell>
          <cell r="C30" t="str">
            <v>CONVERSION</v>
          </cell>
        </row>
        <row r="31">
          <cell r="B31" t="str">
            <v>M/S Souro Power Electric</v>
          </cell>
          <cell r="C31" t="str">
            <v>Monthly</v>
          </cell>
        </row>
        <row r="32">
          <cell r="B32" t="str">
            <v>M/S Souro Power Electric (C)</v>
          </cell>
          <cell r="C32" t="str">
            <v>CONVERSION</v>
          </cell>
        </row>
        <row r="33">
          <cell r="C33">
            <v>0</v>
          </cell>
        </row>
        <row r="34">
          <cell r="B34" t="str">
            <v>M/S Banskhali Enterprise-Joldi (C)</v>
          </cell>
          <cell r="C34" t="str">
            <v>CONVERSION</v>
          </cell>
        </row>
        <row r="35">
          <cell r="B35" t="str">
            <v>M/S Bashkhali Enterprise</v>
          </cell>
          <cell r="C35" t="str">
            <v>REGULAR</v>
          </cell>
        </row>
        <row r="36">
          <cell r="B36" t="str">
            <v>M/S Boalkhali Battery House (C)</v>
          </cell>
          <cell r="C36" t="str">
            <v>CONVERSION</v>
          </cell>
        </row>
        <row r="37">
          <cell r="B37" t="str">
            <v>M/S Ekata Motors</v>
          </cell>
          <cell r="C37" t="str">
            <v>REGULAR</v>
          </cell>
        </row>
        <row r="38">
          <cell r="B38" t="str">
            <v>M/S Hira Motors</v>
          </cell>
          <cell r="C38" t="str">
            <v>Monthly</v>
          </cell>
        </row>
        <row r="39">
          <cell r="B39" t="str">
            <v>M/S Kalam Auto Motor Parts And Battery House</v>
          </cell>
          <cell r="C39" t="str">
            <v>REGULAR</v>
          </cell>
        </row>
        <row r="40">
          <cell r="B40" t="str">
            <v>M/S Macca Tyre And battery House</v>
          </cell>
          <cell r="C40" t="str">
            <v>REGULAR</v>
          </cell>
        </row>
        <row r="41">
          <cell r="B41" t="str">
            <v>M/S Pagla Mama Auto Parts</v>
          </cell>
          <cell r="C41" t="str">
            <v>REGULAR</v>
          </cell>
        </row>
        <row r="42">
          <cell r="B42" t="str">
            <v>M/S S.K. Enterprise (C)</v>
          </cell>
          <cell r="C42" t="str">
            <v>CONVERSION</v>
          </cell>
        </row>
        <row r="43">
          <cell r="B43" t="str">
            <v>M/S Sangu Battery House</v>
          </cell>
          <cell r="C43" t="str">
            <v>Monthly</v>
          </cell>
        </row>
        <row r="44">
          <cell r="C44">
            <v>0</v>
          </cell>
        </row>
        <row r="45">
          <cell r="B45" t="str">
            <v>M/S Saiful Motors</v>
          </cell>
          <cell r="C45" t="str">
            <v>CASH</v>
          </cell>
        </row>
        <row r="46">
          <cell r="B46" t="str">
            <v>M/S Setu Cycle Mart</v>
          </cell>
          <cell r="C46" t="str">
            <v>REGULAR</v>
          </cell>
        </row>
        <row r="47">
          <cell r="B47" t="str">
            <v>M/S Shah Mojidia Motor Parts</v>
          </cell>
          <cell r="C47" t="str">
            <v>REGULAR</v>
          </cell>
        </row>
        <row r="48">
          <cell r="C48">
            <v>0</v>
          </cell>
        </row>
        <row r="49">
          <cell r="B49" t="str">
            <v>M/S A.P.L. Auto House (C)</v>
          </cell>
          <cell r="C49" t="str">
            <v>CONVERSION</v>
          </cell>
        </row>
        <row r="50">
          <cell r="B50" t="str">
            <v>M/S Anas Battery &amp; Auto House</v>
          </cell>
          <cell r="C50" t="str">
            <v>Monthly</v>
          </cell>
        </row>
        <row r="51">
          <cell r="B51" t="str">
            <v>M/S Anik Motors &amp; Battery</v>
          </cell>
          <cell r="C51" t="str">
            <v>CASH</v>
          </cell>
        </row>
        <row r="52">
          <cell r="B52" t="str">
            <v>M/S Anik Motors &amp; Battery (C)</v>
          </cell>
          <cell r="C52" t="str">
            <v>Conver-Lead</v>
          </cell>
        </row>
        <row r="53">
          <cell r="B53" t="str">
            <v>M/S Bondhu Motors</v>
          </cell>
          <cell r="C53" t="str">
            <v>CASH</v>
          </cell>
        </row>
        <row r="54">
          <cell r="B54" t="str">
            <v>M/S Khokon IPS &amp; Battery Center (C)</v>
          </cell>
          <cell r="C54" t="str">
            <v>CONVERSION</v>
          </cell>
        </row>
        <row r="55">
          <cell r="B55" t="str">
            <v>M/S Laksam Battery House</v>
          </cell>
          <cell r="C55" t="str">
            <v>REGULAR</v>
          </cell>
        </row>
        <row r="56">
          <cell r="B56" t="str">
            <v>M/S Lalmai Machineries &amp; Parts</v>
          </cell>
          <cell r="C56" t="str">
            <v>Monthly</v>
          </cell>
        </row>
        <row r="57">
          <cell r="B57" t="str">
            <v>M/S Maa Battery Service</v>
          </cell>
          <cell r="C57" t="str">
            <v>REGULAR</v>
          </cell>
        </row>
        <row r="58">
          <cell r="B58" t="str">
            <v>M/S Mayer Doya Auto Parts-Feni</v>
          </cell>
          <cell r="C58" t="str">
            <v>Monthly</v>
          </cell>
        </row>
        <row r="59">
          <cell r="B59" t="str">
            <v>M/S Mayer Doya Auto Parts-Laksam</v>
          </cell>
          <cell r="C59" t="str">
            <v>REGULAR</v>
          </cell>
        </row>
        <row r="60">
          <cell r="B60" t="str">
            <v>M/S Mokka Motors-Cumilla (C)</v>
          </cell>
          <cell r="C60" t="str">
            <v>CONVERSION</v>
          </cell>
        </row>
        <row r="61">
          <cell r="B61" t="str">
            <v>M/S National Motors-Feni</v>
          </cell>
          <cell r="C61" t="str">
            <v>CASH</v>
          </cell>
        </row>
        <row r="62">
          <cell r="B62" t="str">
            <v>M/S Payar Auto Electric Works</v>
          </cell>
          <cell r="C62" t="str">
            <v>CASH</v>
          </cell>
        </row>
        <row r="63">
          <cell r="B63" t="str">
            <v>M/S Power Battery</v>
          </cell>
          <cell r="C63" t="str">
            <v>REGULAR</v>
          </cell>
        </row>
        <row r="64">
          <cell r="B64" t="str">
            <v>M/S Rajapur IPS &amp; Battery House</v>
          </cell>
          <cell r="C64" t="str">
            <v>CASH</v>
          </cell>
        </row>
        <row r="65">
          <cell r="B65" t="str">
            <v>M/S S.S. Enterprise-Norshingdi</v>
          </cell>
          <cell r="C65" t="str">
            <v>REGULAR</v>
          </cell>
        </row>
        <row r="66">
          <cell r="B66" t="str">
            <v>M/S S.S. Enterprise-Norshingdi (C)</v>
          </cell>
          <cell r="C66" t="str">
            <v>CONVERSION</v>
          </cell>
        </row>
        <row r="67">
          <cell r="B67" t="str">
            <v>M/S Sajib Enterprise (C)</v>
          </cell>
          <cell r="C67" t="str">
            <v>CONVERSION</v>
          </cell>
        </row>
        <row r="68">
          <cell r="B68" t="str">
            <v>M/S Taher Enterprise</v>
          </cell>
          <cell r="C68" t="str">
            <v>Monthly</v>
          </cell>
        </row>
        <row r="69">
          <cell r="B69" t="str">
            <v>M/S Unique Battery and Solar</v>
          </cell>
          <cell r="C69" t="str">
            <v>Monthly</v>
          </cell>
        </row>
        <row r="70">
          <cell r="C70">
            <v>0</v>
          </cell>
        </row>
        <row r="71">
          <cell r="B71" t="str">
            <v>M/S Battery And IPS Bazar (C)</v>
          </cell>
          <cell r="C71" t="str">
            <v>CONVERSION</v>
          </cell>
        </row>
        <row r="72">
          <cell r="B72" t="str">
            <v>M/S Gausia Mill Store</v>
          </cell>
          <cell r="C72" t="str">
            <v>CASH</v>
          </cell>
        </row>
        <row r="73">
          <cell r="B73" t="str">
            <v>M/S Housing Auto Bike</v>
          </cell>
          <cell r="C73" t="str">
            <v>CASH</v>
          </cell>
        </row>
        <row r="74">
          <cell r="B74" t="str">
            <v>M/S M.R. Enterprise- Dinajpur (C)</v>
          </cell>
          <cell r="C74" t="str">
            <v>CONVERSION</v>
          </cell>
        </row>
        <row r="75">
          <cell r="B75" t="str">
            <v>M/S Mithila Auto Show Room</v>
          </cell>
          <cell r="C75" t="str">
            <v>CASH</v>
          </cell>
        </row>
        <row r="76">
          <cell r="B76" t="str">
            <v>M/S Nobodhara Corporation</v>
          </cell>
          <cell r="C76" t="str">
            <v>Monthly</v>
          </cell>
        </row>
        <row r="77">
          <cell r="B77" t="str">
            <v>M/S Rafiq Vi Battery &amp; Auto</v>
          </cell>
          <cell r="C77" t="str">
            <v>CASH</v>
          </cell>
        </row>
        <row r="78">
          <cell r="B78" t="str">
            <v>M/S Sanjida Auto</v>
          </cell>
          <cell r="C78" t="str">
            <v>CASH</v>
          </cell>
        </row>
        <row r="79">
          <cell r="C79">
            <v>0</v>
          </cell>
        </row>
        <row r="80">
          <cell r="B80" t="str">
            <v>M/S Al - Mokka Enterprise</v>
          </cell>
          <cell r="C80" t="str">
            <v>Monthly</v>
          </cell>
        </row>
        <row r="81">
          <cell r="B81" t="str">
            <v>M/S Al - Mokka Enterprise (C)</v>
          </cell>
          <cell r="C81" t="str">
            <v>Conversion</v>
          </cell>
        </row>
        <row r="82">
          <cell r="B82" t="str">
            <v>M/S Arafat Enterprise</v>
          </cell>
          <cell r="C82" t="str">
            <v>REGULAR</v>
          </cell>
        </row>
        <row r="83">
          <cell r="B83" t="str">
            <v>M/S Gazipur Battery House (C)</v>
          </cell>
          <cell r="C83" t="str">
            <v>Conversion</v>
          </cell>
        </row>
        <row r="84">
          <cell r="B84" t="str">
            <v>M/S Hasan Enterprise (C)</v>
          </cell>
          <cell r="C84" t="str">
            <v>Conversion</v>
          </cell>
        </row>
        <row r="85">
          <cell r="B85" t="str">
            <v>M/S Ma Tyre &amp; Battery  Shop</v>
          </cell>
          <cell r="C85" t="str">
            <v>REGULAR</v>
          </cell>
        </row>
        <row r="86">
          <cell r="B86" t="str">
            <v>M/S Mahtab Engineering Workshop</v>
          </cell>
          <cell r="C86" t="str">
            <v>Monthly</v>
          </cell>
        </row>
        <row r="87">
          <cell r="B87" t="str">
            <v>M/S Master Motor's</v>
          </cell>
          <cell r="C87" t="str">
            <v>Cash</v>
          </cell>
        </row>
        <row r="88">
          <cell r="B88" t="str">
            <v>M/S Musulli Enterprise</v>
          </cell>
          <cell r="C88" t="str">
            <v>CASH</v>
          </cell>
        </row>
        <row r="89">
          <cell r="B89" t="str">
            <v>M/S S.B. Energy</v>
          </cell>
          <cell r="C89" t="str">
            <v>Cash</v>
          </cell>
        </row>
        <row r="90">
          <cell r="B90" t="str">
            <v>M/S S.B. Energy (C)</v>
          </cell>
          <cell r="C90" t="str">
            <v>CONVERSION</v>
          </cell>
        </row>
        <row r="91">
          <cell r="B91" t="str">
            <v>M/S Sadaf Auto &amp;  Vulcanizing Corner</v>
          </cell>
          <cell r="C91" t="str">
            <v>REGULAR</v>
          </cell>
        </row>
        <row r="92">
          <cell r="B92" t="str">
            <v>M/S Shoshi Enterprise (C)</v>
          </cell>
          <cell r="C92" t="str">
            <v>CONVERSION</v>
          </cell>
        </row>
        <row r="93">
          <cell r="B93" t="str">
            <v>M/S Siddiquia Auto Parts</v>
          </cell>
          <cell r="C93" t="str">
            <v>CASH</v>
          </cell>
        </row>
        <row r="94">
          <cell r="B94" t="str">
            <v>M/S Sowa Motors &amp; Battery Shop (C)</v>
          </cell>
          <cell r="C94" t="str">
            <v>Conversion</v>
          </cell>
        </row>
        <row r="95">
          <cell r="C95">
            <v>0</v>
          </cell>
        </row>
        <row r="96">
          <cell r="B96" t="str">
            <v>M/S Adhunik Enterprise</v>
          </cell>
          <cell r="C96" t="str">
            <v>Monthly</v>
          </cell>
        </row>
        <row r="97">
          <cell r="B97" t="str">
            <v>M/S Al - Rafi Traders</v>
          </cell>
          <cell r="C97" t="str">
            <v>Monthly</v>
          </cell>
        </row>
        <row r="98">
          <cell r="B98" t="str">
            <v>M/S Al Baraka Enterprise</v>
          </cell>
          <cell r="C98" t="str">
            <v>Monthly</v>
          </cell>
        </row>
        <row r="99">
          <cell r="B99" t="str">
            <v>M/S Al Madina Enterprise</v>
          </cell>
          <cell r="C99" t="str">
            <v>CASH</v>
          </cell>
        </row>
        <row r="100">
          <cell r="B100" t="str">
            <v>M/S Amir Auto House</v>
          </cell>
          <cell r="C100" t="str">
            <v>Monthly</v>
          </cell>
        </row>
        <row r="101">
          <cell r="B101" t="str">
            <v>M/S B.P Battery House</v>
          </cell>
          <cell r="C101" t="str">
            <v>Monthly</v>
          </cell>
        </row>
        <row r="102">
          <cell r="B102" t="str">
            <v>M/S Bhai Bhai Cycle Mart</v>
          </cell>
          <cell r="C102" t="str">
            <v>CASH</v>
          </cell>
        </row>
        <row r="103">
          <cell r="B103" t="str">
            <v>M/S Bondhu Auto and CNG Workshop</v>
          </cell>
          <cell r="C103" t="str">
            <v>CASH</v>
          </cell>
        </row>
        <row r="104">
          <cell r="B104" t="str">
            <v>M/S Comilla Traders</v>
          </cell>
          <cell r="C104" t="str">
            <v>CASH</v>
          </cell>
        </row>
        <row r="105">
          <cell r="B105" t="str">
            <v>M/S Doyal Battery</v>
          </cell>
          <cell r="C105" t="str">
            <v>CASH</v>
          </cell>
        </row>
        <row r="106">
          <cell r="B106" t="str">
            <v>M/S Doyal Battery (C)</v>
          </cell>
          <cell r="C106" t="str">
            <v>Conversion</v>
          </cell>
        </row>
        <row r="107">
          <cell r="B107" t="str">
            <v>M/S Hridoy Auto Servicing Center</v>
          </cell>
          <cell r="C107" t="str">
            <v>Monthly</v>
          </cell>
        </row>
        <row r="108">
          <cell r="B108" t="str">
            <v>M/S Mashpi Battery &amp; Auto</v>
          </cell>
          <cell r="C108" t="str">
            <v>Monthly</v>
          </cell>
        </row>
        <row r="109">
          <cell r="B109" t="str">
            <v>M/S Nasir Motors</v>
          </cell>
          <cell r="C109" t="str">
            <v>CASH</v>
          </cell>
        </row>
        <row r="110">
          <cell r="B110" t="str">
            <v>M/S Raisa Radia  Battery House</v>
          </cell>
          <cell r="C110" t="str">
            <v>Monthly</v>
          </cell>
        </row>
        <row r="111">
          <cell r="B111" t="str">
            <v>M/S Sawda Auto and Battery</v>
          </cell>
          <cell r="C111" t="str">
            <v>CASH</v>
          </cell>
        </row>
        <row r="112">
          <cell r="B112" t="str">
            <v>M/S Shahjalal Traders</v>
          </cell>
          <cell r="C112" t="str">
            <v>CASH</v>
          </cell>
        </row>
        <row r="113">
          <cell r="B113" t="str">
            <v>M/S Siam Motors</v>
          </cell>
          <cell r="C113" t="str">
            <v>Monthly</v>
          </cell>
        </row>
        <row r="114">
          <cell r="B114" t="str">
            <v>M/S Takwa Enterprise</v>
          </cell>
          <cell r="C114" t="str">
            <v>Cash</v>
          </cell>
        </row>
        <row r="115">
          <cell r="B115" t="str">
            <v>M/S Tanim Traders and Battery House</v>
          </cell>
          <cell r="C115" t="str">
            <v>Monthly</v>
          </cell>
        </row>
        <row r="116">
          <cell r="C116">
            <v>0</v>
          </cell>
        </row>
        <row r="117">
          <cell r="B117" t="str">
            <v>M/S Afifa Traders (C)</v>
          </cell>
          <cell r="C117" t="str">
            <v>Conversion</v>
          </cell>
        </row>
        <row r="118">
          <cell r="B118" t="str">
            <v>M/S Allahar Dan Enterprise-Norail</v>
          </cell>
          <cell r="C118" t="str">
            <v>CASH</v>
          </cell>
        </row>
        <row r="119">
          <cell r="B119" t="str">
            <v>M/S Bonna Enterprise</v>
          </cell>
          <cell r="C119" t="str">
            <v>REGULAR</v>
          </cell>
        </row>
        <row r="120">
          <cell r="B120" t="str">
            <v>M/S Jhenaidah Bike Center  (C)</v>
          </cell>
          <cell r="C120" t="str">
            <v>Conver-Lead</v>
          </cell>
        </row>
        <row r="121">
          <cell r="B121" t="str">
            <v>M/S Jony Motors - Faridpur (C)</v>
          </cell>
          <cell r="C121" t="str">
            <v>Conversion</v>
          </cell>
        </row>
        <row r="122">
          <cell r="B122" t="str">
            <v>M/S Nazrul Battery and Mobil House</v>
          </cell>
          <cell r="C122" t="str">
            <v>CASH</v>
          </cell>
        </row>
        <row r="123">
          <cell r="B123" t="str">
            <v>M/S S.K. Motors - Kushtia</v>
          </cell>
          <cell r="C123" t="str">
            <v>CASH</v>
          </cell>
        </row>
        <row r="124">
          <cell r="B124" t="str">
            <v>M/S Sadia Auto Parts (C)</v>
          </cell>
          <cell r="C124" t="str">
            <v>CONVERSION</v>
          </cell>
        </row>
        <row r="125">
          <cell r="B125" t="str">
            <v>M/S Shamim Battery &amp; Tyre House (C)</v>
          </cell>
          <cell r="C125" t="str">
            <v>Conversion</v>
          </cell>
        </row>
        <row r="126">
          <cell r="B126" t="str">
            <v>M/S Shikdar Auto House</v>
          </cell>
          <cell r="C126" t="str">
            <v>CASH</v>
          </cell>
        </row>
        <row r="127">
          <cell r="B127" t="str">
            <v>M/S Shuvo Enterprise</v>
          </cell>
          <cell r="C127" t="str">
            <v>CASH</v>
          </cell>
        </row>
        <row r="128">
          <cell r="C128">
            <v>0</v>
          </cell>
        </row>
        <row r="129">
          <cell r="B129" t="str">
            <v>M/S Lamia Battery</v>
          </cell>
          <cell r="C129" t="str">
            <v>CASH</v>
          </cell>
        </row>
        <row r="130">
          <cell r="B130" t="str">
            <v>M/S Lamia Battery (C)</v>
          </cell>
          <cell r="C130" t="str">
            <v>Conver-Lead</v>
          </cell>
        </row>
        <row r="131">
          <cell r="B131" t="str">
            <v>M/S Raja Enterprise</v>
          </cell>
          <cell r="C131" t="str">
            <v>REGULAR</v>
          </cell>
        </row>
        <row r="132">
          <cell r="B132" t="str">
            <v>M/S Sadiq Enterprise</v>
          </cell>
          <cell r="C132" t="str">
            <v>CASH</v>
          </cell>
        </row>
        <row r="133">
          <cell r="B133" t="str">
            <v>M/S Sadiq Enterprise (C)</v>
          </cell>
          <cell r="C133" t="str">
            <v>Conver-Lead</v>
          </cell>
        </row>
        <row r="134">
          <cell r="B134" t="str">
            <v>M/S Shekh Enterprise - Khulna</v>
          </cell>
          <cell r="C134" t="str">
            <v>CASH</v>
          </cell>
        </row>
        <row r="135">
          <cell r="C135">
            <v>0</v>
          </cell>
        </row>
        <row r="136">
          <cell r="B136" t="str">
            <v>M/S Babul Enterprise (C)</v>
          </cell>
          <cell r="C136" t="str">
            <v>Conver-Lead</v>
          </cell>
        </row>
        <row r="137">
          <cell r="B137" t="str">
            <v>M/S Bhai Bhai Traders-Kendua</v>
          </cell>
          <cell r="C137" t="str">
            <v>CASH</v>
          </cell>
        </row>
        <row r="138">
          <cell r="B138" t="str">
            <v>M/S Bismillah Auto - Netrokona</v>
          </cell>
          <cell r="C138" t="str">
            <v>Monthly</v>
          </cell>
        </row>
        <row r="139">
          <cell r="B139" t="str">
            <v>M/S Bondhu Battery &amp; Auto</v>
          </cell>
          <cell r="C139" t="str">
            <v>Cash</v>
          </cell>
        </row>
        <row r="140">
          <cell r="B140" t="str">
            <v>M/S Ira Motors</v>
          </cell>
          <cell r="C140" t="str">
            <v>REGULAR</v>
          </cell>
        </row>
        <row r="141">
          <cell r="B141" t="str">
            <v>M/S Jogotbondhu Battery &amp; Eng. Workshop</v>
          </cell>
          <cell r="C141" t="str">
            <v>REGULAR</v>
          </cell>
        </row>
        <row r="142">
          <cell r="B142" t="str">
            <v>M/S Nazrul Mike &amp; Battery</v>
          </cell>
          <cell r="C142" t="str">
            <v>CASH</v>
          </cell>
        </row>
        <row r="143">
          <cell r="B143" t="str">
            <v>M/S Prarthona Motors (C)</v>
          </cell>
          <cell r="C143" t="str">
            <v>CONVERSION</v>
          </cell>
        </row>
        <row r="144">
          <cell r="B144" t="str">
            <v>M/S Samar Auto (C)</v>
          </cell>
          <cell r="C144" t="str">
            <v>Conversion</v>
          </cell>
        </row>
        <row r="145">
          <cell r="B145" t="str">
            <v>M/S Snigdha Battery</v>
          </cell>
          <cell r="C145" t="str">
            <v>REGULAR</v>
          </cell>
        </row>
        <row r="146">
          <cell r="B146" t="str">
            <v>M/S Talukder Motors (C)</v>
          </cell>
          <cell r="C146" t="str">
            <v>Conver-Lead</v>
          </cell>
        </row>
        <row r="147">
          <cell r="C147">
            <v>0</v>
          </cell>
        </row>
        <row r="148">
          <cell r="B148" t="str">
            <v>M/S Allahar Dan Battery</v>
          </cell>
          <cell r="C148" t="str">
            <v>CASH</v>
          </cell>
        </row>
        <row r="149">
          <cell r="B149" t="str">
            <v>M/S Power Battery And Tyre</v>
          </cell>
          <cell r="C149" t="str">
            <v>CASH</v>
          </cell>
        </row>
        <row r="150">
          <cell r="B150" t="str">
            <v>M/S Samir Battery And Tyre</v>
          </cell>
          <cell r="C150" t="str">
            <v>CASH</v>
          </cell>
        </row>
        <row r="151">
          <cell r="B151" t="str">
            <v>M/S Satata Battery House (C)</v>
          </cell>
          <cell r="C151" t="str">
            <v>Conver-Lead</v>
          </cell>
        </row>
        <row r="152">
          <cell r="C152">
            <v>0</v>
          </cell>
        </row>
        <row r="153">
          <cell r="B153" t="str">
            <v>M/S Arafat Battery House</v>
          </cell>
          <cell r="C153" t="str">
            <v>CASH</v>
          </cell>
        </row>
        <row r="154">
          <cell r="B154" t="str">
            <v>M/S Farhan Auto</v>
          </cell>
          <cell r="C154" t="str">
            <v>CASH</v>
          </cell>
        </row>
        <row r="155">
          <cell r="B155" t="str">
            <v>M/S Farhan Auto (C)</v>
          </cell>
          <cell r="C155" t="str">
            <v>CONVERSION</v>
          </cell>
        </row>
        <row r="156">
          <cell r="B156" t="str">
            <v>M/S Islamia Battery Service- Chandpur</v>
          </cell>
          <cell r="C156" t="str">
            <v>CASH</v>
          </cell>
        </row>
        <row r="157">
          <cell r="B157" t="str">
            <v>M/S L D Poribahan &amp; Trading (C)</v>
          </cell>
          <cell r="C157" t="str">
            <v>CONVERSION</v>
          </cell>
        </row>
        <row r="158">
          <cell r="B158" t="str">
            <v>M/S Mohshin Battery House</v>
          </cell>
          <cell r="C158" t="str">
            <v>Cash</v>
          </cell>
        </row>
        <row r="159">
          <cell r="B159" t="str">
            <v>M/S Supreme Auto (C)</v>
          </cell>
          <cell r="C159" t="str">
            <v>CONVERSION</v>
          </cell>
        </row>
        <row r="160">
          <cell r="C160">
            <v>0</v>
          </cell>
        </row>
        <row r="161">
          <cell r="B161" t="str">
            <v>M/S Aminul Battery House</v>
          </cell>
          <cell r="C161" t="str">
            <v>CASH</v>
          </cell>
        </row>
        <row r="162">
          <cell r="B162" t="str">
            <v>M/S Battery House - Pabna</v>
          </cell>
          <cell r="C162" t="str">
            <v>REGULAR</v>
          </cell>
        </row>
        <row r="163">
          <cell r="B163" t="str">
            <v>M/S Battery House - Pabna (C)</v>
          </cell>
          <cell r="C163" t="str">
            <v>Conver-Lead</v>
          </cell>
        </row>
        <row r="164">
          <cell r="B164" t="str">
            <v>M/S Chapai Auto Battery House</v>
          </cell>
          <cell r="C164" t="str">
            <v>CASH</v>
          </cell>
        </row>
        <row r="165">
          <cell r="B165" t="str">
            <v>M/S Oreya Enterprise</v>
          </cell>
          <cell r="C165" t="str">
            <v>CASH</v>
          </cell>
        </row>
        <row r="166">
          <cell r="B166" t="str">
            <v>M/S Road King Battery House-2</v>
          </cell>
          <cell r="C166" t="str">
            <v>REGULAR</v>
          </cell>
        </row>
        <row r="167">
          <cell r="B167" t="str">
            <v>M/S Shanta Hardware And Auto Parts</v>
          </cell>
          <cell r="C167" t="str">
            <v>CASH</v>
          </cell>
        </row>
        <row r="168">
          <cell r="C168">
            <v>0</v>
          </cell>
        </row>
        <row r="169">
          <cell r="B169" t="str">
            <v>M/S Al-Amin Cycle &amp; Auto Parts (C)</v>
          </cell>
          <cell r="C169" t="str">
            <v>Conver-Lead</v>
          </cell>
        </row>
        <row r="170">
          <cell r="B170" t="str">
            <v>M/S Atik Auto</v>
          </cell>
          <cell r="C170" t="str">
            <v>REGULAR</v>
          </cell>
        </row>
        <row r="171">
          <cell r="B171" t="str">
            <v>M/S Hossen Traders</v>
          </cell>
          <cell r="C171" t="str">
            <v>REGULAR</v>
          </cell>
        </row>
        <row r="172">
          <cell r="B172" t="str">
            <v>M/S Mama Vagina Auto Center</v>
          </cell>
          <cell r="C172" t="str">
            <v>Monthly</v>
          </cell>
        </row>
        <row r="173">
          <cell r="B173" t="str">
            <v>M/S National Battery - Lalmonirhat</v>
          </cell>
          <cell r="C173" t="str">
            <v>Monthly</v>
          </cell>
        </row>
        <row r="174">
          <cell r="B174" t="str">
            <v>M/S New Mintu Motors</v>
          </cell>
          <cell r="C174" t="str">
            <v>CASH</v>
          </cell>
        </row>
        <row r="175">
          <cell r="B175" t="str">
            <v>M/S New Mintu Motors (C)</v>
          </cell>
          <cell r="C175" t="str">
            <v>Conversion</v>
          </cell>
        </row>
        <row r="176">
          <cell r="B176" t="str">
            <v>M/S North Bengal Trading (C)</v>
          </cell>
          <cell r="C176" t="str">
            <v>Conversion</v>
          </cell>
        </row>
        <row r="177">
          <cell r="B177" t="str">
            <v>M/S Rakin Auto Parts</v>
          </cell>
          <cell r="C177" t="str">
            <v>REGULAR</v>
          </cell>
        </row>
        <row r="178">
          <cell r="B178" t="str">
            <v>M/S S S Trading</v>
          </cell>
          <cell r="C178" t="str">
            <v>REGULAR</v>
          </cell>
        </row>
        <row r="179">
          <cell r="B179" t="str">
            <v>M/S S.K. Enterprise-Rangpur</v>
          </cell>
          <cell r="C179" t="str">
            <v>Monthly</v>
          </cell>
        </row>
        <row r="180">
          <cell r="B180" t="str">
            <v>M/S Sarkar Motors and Battery (C)</v>
          </cell>
          <cell r="C180" t="str">
            <v>Conver-Lead</v>
          </cell>
        </row>
        <row r="181">
          <cell r="C181">
            <v>0</v>
          </cell>
        </row>
        <row r="182">
          <cell r="B182" t="str">
            <v>Kalam Enterprise</v>
          </cell>
          <cell r="C182" t="str">
            <v>CASH</v>
          </cell>
        </row>
        <row r="183">
          <cell r="B183" t="str">
            <v>M/S Adib Alifa Auto &amp; Battery House</v>
          </cell>
          <cell r="C183" t="str">
            <v>CASH</v>
          </cell>
        </row>
        <row r="184">
          <cell r="B184" t="str">
            <v>M/S Apurbo Battery House</v>
          </cell>
          <cell r="C184" t="str">
            <v>CASH</v>
          </cell>
        </row>
        <row r="185">
          <cell r="B185" t="str">
            <v>M/S Bismillah Motors-Hinla</v>
          </cell>
          <cell r="C185" t="str">
            <v>CASH</v>
          </cell>
        </row>
        <row r="186">
          <cell r="B186" t="str">
            <v>M/S Eva Grill Workshop &amp; Hardware</v>
          </cell>
          <cell r="C186" t="str">
            <v>CASH</v>
          </cell>
        </row>
        <row r="187">
          <cell r="B187" t="str">
            <v>M/S G. S Motors and Battery</v>
          </cell>
          <cell r="C187" t="str">
            <v>CASH</v>
          </cell>
        </row>
        <row r="188">
          <cell r="B188" t="str">
            <v>M/S Hafiz Battery House</v>
          </cell>
          <cell r="C188" t="str">
            <v>CASH</v>
          </cell>
        </row>
        <row r="189">
          <cell r="B189" t="str">
            <v>M/S Hira Motors-Chokoria</v>
          </cell>
          <cell r="C189" t="str">
            <v>CASH</v>
          </cell>
        </row>
        <row r="190">
          <cell r="B190" t="str">
            <v>M/S Islam Auto House</v>
          </cell>
          <cell r="C190" t="str">
            <v>REGULAR</v>
          </cell>
        </row>
        <row r="191">
          <cell r="B191" t="str">
            <v>M/S Jom Jom Battery &amp; Parts</v>
          </cell>
          <cell r="C191" t="str">
            <v>CASH</v>
          </cell>
        </row>
        <row r="192">
          <cell r="B192" t="str">
            <v>M/S Mahadi Enterprise</v>
          </cell>
          <cell r="C192" t="str">
            <v>CASH</v>
          </cell>
        </row>
        <row r="193">
          <cell r="B193" t="str">
            <v>M/S Mohi Enterprise</v>
          </cell>
          <cell r="C193" t="str">
            <v>Cash</v>
          </cell>
        </row>
        <row r="194">
          <cell r="B194" t="str">
            <v>M/S Oppo Parts &amp; Battery House</v>
          </cell>
          <cell r="C194" t="str">
            <v>CASH</v>
          </cell>
        </row>
        <row r="195">
          <cell r="B195" t="str">
            <v>M/S Rahim Motors</v>
          </cell>
          <cell r="C195" t="str">
            <v>Cash</v>
          </cell>
        </row>
        <row r="196">
          <cell r="B196" t="str">
            <v>M/S Rajdhani Motors</v>
          </cell>
          <cell r="C196" t="str">
            <v>CASH</v>
          </cell>
        </row>
        <row r="197">
          <cell r="B197" t="str">
            <v>M/S Roni Battery</v>
          </cell>
          <cell r="C197" t="str">
            <v>CASH</v>
          </cell>
        </row>
        <row r="198">
          <cell r="B198" t="str">
            <v>M/S Sadia Enterprise</v>
          </cell>
          <cell r="C198" t="str">
            <v>REGULAR</v>
          </cell>
        </row>
        <row r="199">
          <cell r="B199" t="str">
            <v>M/S Sagorika Motors</v>
          </cell>
          <cell r="C199" t="str">
            <v>CASH</v>
          </cell>
        </row>
        <row r="200">
          <cell r="B200" t="str">
            <v>M/S Shapla Battery &amp; Auto House</v>
          </cell>
          <cell r="C200" t="str">
            <v>CASH</v>
          </cell>
        </row>
        <row r="201">
          <cell r="B201" t="str">
            <v>M/S Sifa Motors</v>
          </cell>
          <cell r="C201" t="str">
            <v>CASH</v>
          </cell>
        </row>
        <row r="202">
          <cell r="B202" t="str">
            <v>M/S Sohan Motors</v>
          </cell>
          <cell r="C202" t="str">
            <v>CASH</v>
          </cell>
        </row>
        <row r="203">
          <cell r="B203" t="str">
            <v>M/S Tamim Enterprise</v>
          </cell>
          <cell r="C203" t="str">
            <v>CASH</v>
          </cell>
        </row>
        <row r="204">
          <cell r="B204" t="str">
            <v>Md. Moazzem Hossain D.M</v>
          </cell>
          <cell r="C204" t="str">
            <v>Cash</v>
          </cell>
        </row>
        <row r="205">
          <cell r="B205" t="str">
            <v>Md. Sabbir Hossain</v>
          </cell>
          <cell r="C205" t="str">
            <v>Cash</v>
          </cell>
        </row>
        <row r="206">
          <cell r="C206">
            <v>0</v>
          </cell>
        </row>
        <row r="207">
          <cell r="B207" t="str">
            <v>M/S B.R.S.  Sowra Bidduyt</v>
          </cell>
          <cell r="C207" t="str">
            <v>Monthly</v>
          </cell>
        </row>
        <row r="208">
          <cell r="B208" t="str">
            <v>M/S Bismillah Battery House -Sylhet</v>
          </cell>
          <cell r="C208" t="str">
            <v>CASH</v>
          </cell>
        </row>
        <row r="209">
          <cell r="B209" t="str">
            <v>M/S City Auto</v>
          </cell>
          <cell r="C209" t="str">
            <v>CASH</v>
          </cell>
        </row>
        <row r="210">
          <cell r="B210" t="str">
            <v>M/S Fateha Battery</v>
          </cell>
          <cell r="C210" t="str">
            <v>REGULAR</v>
          </cell>
        </row>
        <row r="211">
          <cell r="B211" t="str">
            <v>M/S Minara Traders</v>
          </cell>
          <cell r="C211" t="str">
            <v>CASH</v>
          </cell>
        </row>
        <row r="212">
          <cell r="B212" t="str">
            <v>M/S Rafi Battery House</v>
          </cell>
          <cell r="C212" t="str">
            <v>REGULAR</v>
          </cell>
        </row>
        <row r="213">
          <cell r="B213" t="str">
            <v>M/S Rumi Battery House</v>
          </cell>
          <cell r="C213" t="str">
            <v>Monthly</v>
          </cell>
        </row>
        <row r="214">
          <cell r="B214" t="str">
            <v>M/S S.M. Enterprise- Sunamgonj</v>
          </cell>
          <cell r="C214" t="str">
            <v>REGULAR</v>
          </cell>
        </row>
        <row r="215">
          <cell r="B215" t="str">
            <v>M/S Tanvir Battery House</v>
          </cell>
          <cell r="C215" t="str">
            <v>CASH</v>
          </cell>
        </row>
        <row r="216">
          <cell r="C216">
            <v>0</v>
          </cell>
        </row>
        <row r="217">
          <cell r="B217" t="str">
            <v>M/S Adnan Tyre and Battery House</v>
          </cell>
          <cell r="C217" t="str">
            <v>CASH</v>
          </cell>
        </row>
        <row r="218">
          <cell r="B218" t="str">
            <v>M/S Ananna Battery &amp; Tyre</v>
          </cell>
          <cell r="C218" t="str">
            <v>Monthly</v>
          </cell>
        </row>
        <row r="219">
          <cell r="B219" t="str">
            <v>M/S Anas Enterprise (C)</v>
          </cell>
          <cell r="C219" t="str">
            <v>Conversion</v>
          </cell>
        </row>
        <row r="220">
          <cell r="B220" t="str">
            <v>M/S Hemayetpur Battery House (C)</v>
          </cell>
          <cell r="C220" t="str">
            <v>CONVERSION</v>
          </cell>
        </row>
        <row r="221">
          <cell r="B221" t="str">
            <v>M/S Khan Battery Recycling (C)</v>
          </cell>
          <cell r="C221" t="str">
            <v>CONVERSION</v>
          </cell>
        </row>
        <row r="222">
          <cell r="B222" t="str">
            <v>M/S Lutfor Auto Battery House</v>
          </cell>
          <cell r="C222" t="str">
            <v>CASH</v>
          </cell>
        </row>
        <row r="223">
          <cell r="B223" t="str">
            <v>M/S Mizan Traders</v>
          </cell>
          <cell r="C223" t="str">
            <v>REGULAR</v>
          </cell>
        </row>
        <row r="224">
          <cell r="B224" t="str">
            <v>M/S Modina Cycle Store (C)</v>
          </cell>
          <cell r="C224" t="str">
            <v>CONVERSION</v>
          </cell>
        </row>
        <row r="225">
          <cell r="B225" t="str">
            <v>M/S Modina Enterprise - Savar</v>
          </cell>
          <cell r="C225" t="str">
            <v>Monthly</v>
          </cell>
        </row>
        <row r="226">
          <cell r="B226" t="str">
            <v>M/S Monir Auto &amp; Battery House</v>
          </cell>
          <cell r="C226" t="str">
            <v>REGULAR</v>
          </cell>
        </row>
        <row r="227">
          <cell r="B227" t="str">
            <v>M/S New Asia Motors</v>
          </cell>
          <cell r="C227" t="str">
            <v>CASH</v>
          </cell>
        </row>
        <row r="228">
          <cell r="B228" t="str">
            <v>M/S New Dhaka Motors and Battery (C)</v>
          </cell>
          <cell r="C228" t="str">
            <v>Conversion</v>
          </cell>
        </row>
        <row r="229">
          <cell r="B229" t="str">
            <v>M/S New Sagor Traders</v>
          </cell>
          <cell r="C229" t="str">
            <v>CASH</v>
          </cell>
        </row>
        <row r="230">
          <cell r="B230" t="str">
            <v>M/S Polash Battery and Auto Parts</v>
          </cell>
          <cell r="C230" t="str">
            <v>REGULAR</v>
          </cell>
        </row>
        <row r="231">
          <cell r="B231" t="str">
            <v>M/S Rashed Enterprise</v>
          </cell>
          <cell r="C231" t="str">
            <v>REGULAR</v>
          </cell>
        </row>
        <row r="232">
          <cell r="B232" t="str">
            <v>M/S Ripon Tyre and Battery</v>
          </cell>
          <cell r="C232" t="str">
            <v>REGULAR</v>
          </cell>
        </row>
        <row r="233">
          <cell r="B233" t="str">
            <v>M/S S. K. Battery House</v>
          </cell>
          <cell r="C233" t="str">
            <v>Cash</v>
          </cell>
        </row>
        <row r="234">
          <cell r="B234" t="str">
            <v>M/S S. K. Battery House (C)</v>
          </cell>
          <cell r="C234" t="str">
            <v>Conversion</v>
          </cell>
        </row>
        <row r="235">
          <cell r="B235" t="str">
            <v>M/S Sharif Battery House &amp; IPS Center (C)</v>
          </cell>
          <cell r="C235" t="str">
            <v>CONVERSION</v>
          </cell>
        </row>
        <row r="236">
          <cell r="B236" t="str">
            <v>M/S Taiyeba Motors</v>
          </cell>
          <cell r="C236" t="str">
            <v>CASH</v>
          </cell>
        </row>
      </sheetData>
      <sheetData sheetId="6"/>
      <sheetData sheetId="7"/>
      <sheetData sheetId="8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ales"/>
      <sheetName val="Sheet2"/>
    </sheetNames>
    <sheetDataSet>
      <sheetData sheetId="0" refreshError="1"/>
      <sheetData sheetId="1" refreshError="1">
        <row r="8">
          <cell r="D8" t="str">
            <v>Customer Name</v>
          </cell>
          <cell r="E8" t="str">
            <v>Pad Name</v>
          </cell>
        </row>
        <row r="9">
          <cell r="D9" t="str">
            <v>M/S New Surid Auto Parts</v>
          </cell>
          <cell r="E9" t="str">
            <v>00029</v>
          </cell>
        </row>
        <row r="10">
          <cell r="D10" t="str">
            <v>M/S New Surid Auto Parts</v>
          </cell>
          <cell r="E10" t="str">
            <v>00029</v>
          </cell>
        </row>
        <row r="11">
          <cell r="D11" t="str">
            <v>M/S Mahadi Motors</v>
          </cell>
          <cell r="E11" t="str">
            <v>01343</v>
          </cell>
        </row>
        <row r="12">
          <cell r="D12" t="str">
            <v>M/S Anas Enterprise</v>
          </cell>
          <cell r="E12" t="str">
            <v>00817</v>
          </cell>
        </row>
        <row r="13">
          <cell r="D13" t="str">
            <v>M/S Kalam Battery House</v>
          </cell>
          <cell r="E13" t="str">
            <v>01247</v>
          </cell>
        </row>
        <row r="14">
          <cell r="D14" t="str">
            <v>M/S Shahjalal Enterprise</v>
          </cell>
          <cell r="E14" t="str">
            <v>01090</v>
          </cell>
        </row>
        <row r="15">
          <cell r="D15" t="str">
            <v>M/S Modina Enterprise - Savar</v>
          </cell>
          <cell r="E15" t="str">
            <v>01404</v>
          </cell>
        </row>
        <row r="16">
          <cell r="D16" t="str">
            <v>M/S Modina Enterprise - Savar</v>
          </cell>
          <cell r="E16" t="str">
            <v>01404</v>
          </cell>
        </row>
        <row r="17">
          <cell r="D17" t="str">
            <v>M/S Modina Enterprise - Savar</v>
          </cell>
          <cell r="E17" t="str">
            <v>01404</v>
          </cell>
        </row>
        <row r="18">
          <cell r="D18" t="str">
            <v>M/S Sanjida Auto</v>
          </cell>
          <cell r="E18" t="str">
            <v>00603</v>
          </cell>
        </row>
        <row r="19">
          <cell r="D19" t="str">
            <v>M/S Al - Mokka Enterprise</v>
          </cell>
          <cell r="E19" t="str">
            <v>01112</v>
          </cell>
        </row>
        <row r="20">
          <cell r="D20" t="str">
            <v>M/S Al - Mokka Enterprise</v>
          </cell>
          <cell r="E20" t="str">
            <v>01112</v>
          </cell>
        </row>
        <row r="21">
          <cell r="D21" t="str">
            <v>M/S Al - Mokka Enterprise</v>
          </cell>
          <cell r="E21" t="str">
            <v>01112</v>
          </cell>
        </row>
        <row r="22">
          <cell r="D22" t="str">
            <v>M/S Gazipur Battery House</v>
          </cell>
          <cell r="E22" t="str">
            <v>00826</v>
          </cell>
        </row>
        <row r="23">
          <cell r="D23" t="str">
            <v>M/S Gazipur Battery House</v>
          </cell>
          <cell r="E23" t="str">
            <v>00826</v>
          </cell>
        </row>
        <row r="24">
          <cell r="D24" t="str">
            <v>M/S Arafat Enterprise</v>
          </cell>
          <cell r="E24" t="str">
            <v>00094</v>
          </cell>
        </row>
        <row r="25">
          <cell r="D25" t="str">
            <v>M/S Arafat Enterprise</v>
          </cell>
          <cell r="E25" t="str">
            <v>00094</v>
          </cell>
        </row>
        <row r="26">
          <cell r="D26" t="str">
            <v>M/S Arafat Enterprise</v>
          </cell>
          <cell r="E26" t="str">
            <v>00094</v>
          </cell>
        </row>
        <row r="27">
          <cell r="D27" t="str">
            <v>M/S Taher Enterprise</v>
          </cell>
          <cell r="E27" t="str">
            <v>00366</v>
          </cell>
        </row>
        <row r="28">
          <cell r="D28" t="str">
            <v>M/S Shoshi Enterprise</v>
          </cell>
          <cell r="E28" t="str">
            <v>01153</v>
          </cell>
        </row>
        <row r="29">
          <cell r="D29" t="str">
            <v>M/S Shoshi Enterprise</v>
          </cell>
          <cell r="E29" t="str">
            <v>01153</v>
          </cell>
        </row>
        <row r="30">
          <cell r="D30" t="str">
            <v>M/S Hira Motors</v>
          </cell>
          <cell r="E30" t="str">
            <v>01100</v>
          </cell>
        </row>
        <row r="31">
          <cell r="D31" t="str">
            <v>M/S L D Poribahan &amp; Trading (C)</v>
          </cell>
          <cell r="E31" t="str">
            <v>01299</v>
          </cell>
        </row>
        <row r="32">
          <cell r="D32" t="str">
            <v>M/S H.N. Enterprise</v>
          </cell>
          <cell r="E32" t="str">
            <v>00448</v>
          </cell>
        </row>
        <row r="33">
          <cell r="D33" t="str">
            <v>M/S Mayer Doya Auto Parts-Laksam</v>
          </cell>
          <cell r="E33" t="str">
            <v>00325</v>
          </cell>
        </row>
        <row r="34">
          <cell r="D34" t="str">
            <v>M/S Mayer Doya Auto Parts-Laksam</v>
          </cell>
          <cell r="E34" t="str">
            <v>00325</v>
          </cell>
        </row>
        <row r="35">
          <cell r="D35" t="str">
            <v>M/S Mayer Doya Auto Parts-Laksam</v>
          </cell>
          <cell r="E35" t="str">
            <v>00325</v>
          </cell>
        </row>
        <row r="36">
          <cell r="D36" t="str">
            <v>M/S H.N. Enterprise</v>
          </cell>
          <cell r="E36" t="str">
            <v>00448</v>
          </cell>
        </row>
        <row r="37">
          <cell r="D37" t="str">
            <v>M/S Mayer Doya Auto Parts-Laksam</v>
          </cell>
          <cell r="E37" t="str">
            <v>00325</v>
          </cell>
        </row>
        <row r="38">
          <cell r="D38" t="str">
            <v>M/S Kalam Store</v>
          </cell>
          <cell r="E38" t="str">
            <v>01436</v>
          </cell>
        </row>
        <row r="39">
          <cell r="D39" t="str">
            <v>M/S Kalam Store</v>
          </cell>
          <cell r="E39" t="str">
            <v>01436</v>
          </cell>
        </row>
        <row r="40">
          <cell r="D40" t="str">
            <v>M/S Kalam Store</v>
          </cell>
          <cell r="E40" t="str">
            <v>01436</v>
          </cell>
        </row>
        <row r="41">
          <cell r="D41" t="str">
            <v>M/S S.K. Enterprise (C)</v>
          </cell>
          <cell r="E41" t="str">
            <v>01326</v>
          </cell>
        </row>
        <row r="42">
          <cell r="D42" t="str">
            <v>M/S S.K. Enterprise (C)</v>
          </cell>
          <cell r="E42" t="str">
            <v>01326</v>
          </cell>
        </row>
        <row r="43">
          <cell r="D43" t="str">
            <v>M/S S.K. Enterprise (C)</v>
          </cell>
          <cell r="E43" t="str">
            <v>01326</v>
          </cell>
        </row>
        <row r="44">
          <cell r="D44" t="str">
            <v>M/S Kalam Auto Motor Parts And Battery House</v>
          </cell>
          <cell r="E44" t="str">
            <v>00420</v>
          </cell>
        </row>
        <row r="45">
          <cell r="D45" t="str">
            <v>M/S Kalam Auto Motor Parts And Battery House</v>
          </cell>
          <cell r="E45" t="str">
            <v>00420</v>
          </cell>
        </row>
        <row r="46">
          <cell r="D46" t="str">
            <v>M/S Pagla Mama Auto Parts</v>
          </cell>
          <cell r="E46" t="str">
            <v>01170</v>
          </cell>
        </row>
        <row r="47">
          <cell r="D47" t="str">
            <v>M/S Pagla Mama Auto Parts</v>
          </cell>
          <cell r="E47" t="str">
            <v>01170</v>
          </cell>
        </row>
        <row r="48">
          <cell r="D48" t="str">
            <v>M/S Monir Auto &amp; Battery House</v>
          </cell>
          <cell r="E48" t="str">
            <v>00001</v>
          </cell>
        </row>
        <row r="49">
          <cell r="D49" t="str">
            <v>M/S Monir Auto &amp; Battery House</v>
          </cell>
          <cell r="E49" t="str">
            <v>00001</v>
          </cell>
        </row>
        <row r="50">
          <cell r="D50" t="str">
            <v>M/S Monir Auto &amp; Battery House</v>
          </cell>
          <cell r="E50" t="str">
            <v>00001</v>
          </cell>
        </row>
        <row r="51">
          <cell r="D51" t="str">
            <v>M/S Monir Auto &amp; Battery House</v>
          </cell>
          <cell r="E51" t="str">
            <v>00001</v>
          </cell>
        </row>
        <row r="52">
          <cell r="D52" t="str">
            <v>M/S Monir Auto &amp; Battery House</v>
          </cell>
          <cell r="E52" t="str">
            <v>00001</v>
          </cell>
        </row>
        <row r="53">
          <cell r="D53" t="str">
            <v>M/S Monir Auto &amp; Battery House</v>
          </cell>
          <cell r="E53" t="str">
            <v>00001</v>
          </cell>
        </row>
        <row r="54">
          <cell r="D54" t="str">
            <v>M/S Rifat Enterprise</v>
          </cell>
          <cell r="E54" t="str">
            <v>00333</v>
          </cell>
        </row>
        <row r="55">
          <cell r="D55" t="str">
            <v>M/S Rifat Enterprise</v>
          </cell>
          <cell r="E55" t="str">
            <v>00333</v>
          </cell>
        </row>
        <row r="56">
          <cell r="D56" t="str">
            <v>M/S Rifat Enterprise</v>
          </cell>
          <cell r="E56" t="str">
            <v>00333</v>
          </cell>
        </row>
        <row r="57">
          <cell r="D57" t="str">
            <v>M/S Kalam Auto Motor Parts And Battery House</v>
          </cell>
          <cell r="E57" t="str">
            <v>00420</v>
          </cell>
        </row>
        <row r="58">
          <cell r="D58" t="str">
            <v>M/S Kalam Auto Motor Parts And Battery House</v>
          </cell>
          <cell r="E58" t="str">
            <v>00420</v>
          </cell>
        </row>
        <row r="59">
          <cell r="D59" t="str">
            <v>M/S Adhunik Battery And IPS Bitan</v>
          </cell>
          <cell r="E59" t="str">
            <v>01359</v>
          </cell>
        </row>
        <row r="60">
          <cell r="D60" t="str">
            <v>M/S Talukder Motors</v>
          </cell>
          <cell r="E60" t="str">
            <v>00161</v>
          </cell>
        </row>
        <row r="61">
          <cell r="D61" t="str">
            <v>M/S Sohan Motors</v>
          </cell>
          <cell r="E61" t="str">
            <v>01385</v>
          </cell>
        </row>
        <row r="62">
          <cell r="D62" t="str">
            <v>M/S Sohan Motors</v>
          </cell>
          <cell r="E62" t="str">
            <v>01385</v>
          </cell>
        </row>
        <row r="63">
          <cell r="D63" t="str">
            <v>M/S Bhai Bhai Cycle Mart</v>
          </cell>
          <cell r="E63" t="str">
            <v>00823</v>
          </cell>
        </row>
        <row r="64">
          <cell r="D64" t="str">
            <v>M/S Sohan Motors</v>
          </cell>
          <cell r="E64" t="str">
            <v>01385</v>
          </cell>
        </row>
        <row r="65">
          <cell r="D65" t="str">
            <v>Kalam Enterprise</v>
          </cell>
          <cell r="E65" t="str">
            <v>01341</v>
          </cell>
        </row>
        <row r="66">
          <cell r="D66" t="str">
            <v>M/S Bonna Enterprise</v>
          </cell>
          <cell r="E66" t="str">
            <v>00617</v>
          </cell>
        </row>
        <row r="67">
          <cell r="D67" t="str">
            <v>M/S Bonna Enterprise</v>
          </cell>
          <cell r="E67" t="str">
            <v>00617</v>
          </cell>
        </row>
        <row r="68">
          <cell r="D68" t="str">
            <v>Kalam Enterprise</v>
          </cell>
          <cell r="E68" t="str">
            <v>01341</v>
          </cell>
        </row>
        <row r="69">
          <cell r="D69" t="str">
            <v>M/S Mashpi Battery &amp; Auto</v>
          </cell>
          <cell r="E69" t="str">
            <v>01152</v>
          </cell>
        </row>
        <row r="70">
          <cell r="D70" t="str">
            <v>M/S Mayer Doya Auto Parts-Feni</v>
          </cell>
          <cell r="E70" t="str">
            <v>00373</v>
          </cell>
        </row>
        <row r="71">
          <cell r="D71" t="str">
            <v>M/S Talukder Motors</v>
          </cell>
          <cell r="E71" t="str">
            <v>00161</v>
          </cell>
        </row>
        <row r="72">
          <cell r="D72" t="str">
            <v>M/S Babul Enterprise (C)</v>
          </cell>
          <cell r="E72" t="str">
            <v>01292</v>
          </cell>
        </row>
        <row r="73">
          <cell r="D73" t="str">
            <v>M/S Laksam Battery House</v>
          </cell>
          <cell r="E73" t="str">
            <v>00336</v>
          </cell>
        </row>
        <row r="74">
          <cell r="D74" t="str">
            <v>M/S Bhai Bhai Cycle Mart</v>
          </cell>
          <cell r="E74" t="str">
            <v>00823</v>
          </cell>
        </row>
        <row r="75">
          <cell r="D75" t="str">
            <v>M/S Bhai Bhai Cycle Mart</v>
          </cell>
          <cell r="E75" t="str">
            <v>00823</v>
          </cell>
        </row>
        <row r="76">
          <cell r="D76" t="str">
            <v>M/S Laksam Battery House</v>
          </cell>
          <cell r="E76" t="str">
            <v>00336</v>
          </cell>
        </row>
        <row r="77">
          <cell r="D77" t="str">
            <v>M/S Laksam Battery House</v>
          </cell>
          <cell r="E77" t="str">
            <v>00336</v>
          </cell>
        </row>
        <row r="78">
          <cell r="D78" t="str">
            <v>M/S Nasir Motors</v>
          </cell>
          <cell r="E78" t="str">
            <v>01248</v>
          </cell>
        </row>
        <row r="79">
          <cell r="D79" t="str">
            <v>M/S Rasel Bettary Service</v>
          </cell>
          <cell r="E79" t="str">
            <v>01380</v>
          </cell>
        </row>
        <row r="80">
          <cell r="D80" t="str">
            <v>M/S Rasel Bettary Service</v>
          </cell>
          <cell r="E80" t="str">
            <v>01380</v>
          </cell>
        </row>
        <row r="81">
          <cell r="D81" t="str">
            <v>M/S Prarthona Motors</v>
          </cell>
          <cell r="E81" t="str">
            <v>01164</v>
          </cell>
        </row>
        <row r="82">
          <cell r="D82" t="str">
            <v>M/S Rifat Enterprise</v>
          </cell>
          <cell r="E82" t="str">
            <v>00333</v>
          </cell>
        </row>
        <row r="83">
          <cell r="D83" t="str">
            <v>M/S Rafiq Vi Battery &amp; Auto</v>
          </cell>
          <cell r="E83" t="str">
            <v>01405</v>
          </cell>
        </row>
        <row r="84">
          <cell r="D84" t="str">
            <v>M/S Rifat Enterprise</v>
          </cell>
          <cell r="E84" t="str">
            <v>00333</v>
          </cell>
        </row>
        <row r="85">
          <cell r="D85" t="str">
            <v>M/S Taher Enterprise</v>
          </cell>
          <cell r="E85" t="str">
            <v>00366</v>
          </cell>
        </row>
        <row r="86">
          <cell r="D86" t="str">
            <v>M/S Nobodhara Corporation</v>
          </cell>
          <cell r="E86" t="str">
            <v>01352</v>
          </cell>
        </row>
        <row r="87">
          <cell r="D87" t="str">
            <v>M/S Wohidul Enterprise</v>
          </cell>
          <cell r="E87" t="str">
            <v>00850</v>
          </cell>
        </row>
        <row r="88">
          <cell r="D88" t="str">
            <v>M/S Molla Battery House (C)</v>
          </cell>
          <cell r="E88" t="str">
            <v>01428</v>
          </cell>
        </row>
        <row r="89">
          <cell r="D89" t="str">
            <v>M/S Molla Battery House (C)</v>
          </cell>
          <cell r="E89" t="str">
            <v>01428</v>
          </cell>
        </row>
        <row r="90">
          <cell r="D90" t="str">
            <v>M/S Talukder Motors</v>
          </cell>
          <cell r="E90" t="str">
            <v>00161</v>
          </cell>
        </row>
        <row r="91">
          <cell r="D91" t="str">
            <v>M/S Shepon Motors (C)</v>
          </cell>
          <cell r="E91" t="str">
            <v>01438</v>
          </cell>
        </row>
        <row r="92">
          <cell r="D92" t="str">
            <v>M/S B.R.S.  Sowra Bidduyt</v>
          </cell>
          <cell r="E92" t="str">
            <v>00415</v>
          </cell>
        </row>
        <row r="93">
          <cell r="D93" t="str">
            <v>M/S Shahjalal Enterprise</v>
          </cell>
          <cell r="E93" t="str">
            <v>01090</v>
          </cell>
        </row>
        <row r="94">
          <cell r="D94" t="str">
            <v>M/S Souro Power Electric</v>
          </cell>
          <cell r="E94" t="str">
            <v>01285</v>
          </cell>
        </row>
        <row r="95">
          <cell r="D95" t="str">
            <v>M/S Sadiq Enterprise</v>
          </cell>
          <cell r="E95" t="str">
            <v>01067</v>
          </cell>
        </row>
        <row r="96">
          <cell r="D96" t="str">
            <v>M/S Bondhu Motors</v>
          </cell>
          <cell r="E96" t="str">
            <v>01147</v>
          </cell>
        </row>
        <row r="97">
          <cell r="D97" t="str">
            <v>M/S Bondhu Motors</v>
          </cell>
          <cell r="E97" t="str">
            <v>01147</v>
          </cell>
        </row>
        <row r="98">
          <cell r="D98" t="str">
            <v>M/S Shekh Enterprise - Khulna</v>
          </cell>
          <cell r="E98" t="str">
            <v>01435</v>
          </cell>
        </row>
        <row r="99">
          <cell r="D99" t="str">
            <v>M/S Talukder Motors</v>
          </cell>
          <cell r="E99" t="str">
            <v>00161</v>
          </cell>
        </row>
        <row r="100">
          <cell r="D100" t="str">
            <v>M/S S.S. Enterprise-Norshingdi</v>
          </cell>
          <cell r="E100" t="str">
            <v>01118</v>
          </cell>
        </row>
        <row r="101">
          <cell r="D101" t="str">
            <v>M/S Mashpi Battery &amp; Auto</v>
          </cell>
          <cell r="E101" t="str">
            <v>01152</v>
          </cell>
        </row>
        <row r="102">
          <cell r="D102" t="str">
            <v>M/S S.S. Enterprise-Norshingdi</v>
          </cell>
          <cell r="E102" t="str">
            <v>01118</v>
          </cell>
        </row>
        <row r="103">
          <cell r="D103" t="str">
            <v>M/S S.S. Enterprise-Norshingdi</v>
          </cell>
          <cell r="E103" t="str">
            <v>01118</v>
          </cell>
        </row>
        <row r="104">
          <cell r="D104" t="str">
            <v>M/S Amir Auto House</v>
          </cell>
          <cell r="E104" t="str">
            <v>00138</v>
          </cell>
        </row>
        <row r="105">
          <cell r="D105" t="str">
            <v>M/S Adhunik Enterprise</v>
          </cell>
          <cell r="E105" t="str">
            <v>01122</v>
          </cell>
        </row>
        <row r="106">
          <cell r="D106" t="str">
            <v>M/S Bashkhali Enterprise</v>
          </cell>
          <cell r="E106" t="str">
            <v>00424</v>
          </cell>
        </row>
        <row r="107">
          <cell r="D107" t="str">
            <v>M/S Bashkhali Enterprise</v>
          </cell>
          <cell r="E107" t="str">
            <v>00424</v>
          </cell>
        </row>
        <row r="108">
          <cell r="D108" t="str">
            <v>M/S Bashkhali Enterprise</v>
          </cell>
          <cell r="E108" t="str">
            <v>00424</v>
          </cell>
        </row>
        <row r="109">
          <cell r="D109" t="str">
            <v>M/S Hira Motors</v>
          </cell>
          <cell r="E109" t="str">
            <v>01100</v>
          </cell>
        </row>
        <row r="110">
          <cell r="D110" t="str">
            <v>M/S Bashkhali Enterprise</v>
          </cell>
          <cell r="E110" t="str">
            <v>00424</v>
          </cell>
        </row>
        <row r="111">
          <cell r="D111" t="str">
            <v>M/S Comilla Traders</v>
          </cell>
          <cell r="E111" t="str">
            <v>00334</v>
          </cell>
        </row>
        <row r="112">
          <cell r="D112" t="str">
            <v>M/S Comilla Traders</v>
          </cell>
          <cell r="E112" t="str">
            <v>00334</v>
          </cell>
        </row>
        <row r="113">
          <cell r="D113" t="str">
            <v>M/S B.R.S.  Sowra Bidduyt</v>
          </cell>
          <cell r="E113" t="str">
            <v>00415</v>
          </cell>
        </row>
        <row r="114">
          <cell r="D114" t="str">
            <v>M/S Comilla Traders</v>
          </cell>
          <cell r="E114" t="str">
            <v>00334</v>
          </cell>
        </row>
        <row r="115">
          <cell r="D115" t="str">
            <v>M/S Al Baraka Enterprise</v>
          </cell>
          <cell r="E115" t="str">
            <v>00159</v>
          </cell>
        </row>
        <row r="116">
          <cell r="D116" t="str">
            <v>M/S Ira Motors</v>
          </cell>
          <cell r="E116" t="str">
            <v>00133</v>
          </cell>
        </row>
        <row r="117">
          <cell r="D117" t="str">
            <v>M/S Ira Motors</v>
          </cell>
          <cell r="E117" t="str">
            <v>00133</v>
          </cell>
        </row>
        <row r="118">
          <cell r="D118" t="str">
            <v>M/S Ira Motors</v>
          </cell>
          <cell r="E118" t="str">
            <v>00133</v>
          </cell>
        </row>
        <row r="119">
          <cell r="D119" t="str">
            <v>M/S S.M. Enterprise- Sunamgonj</v>
          </cell>
          <cell r="E119" t="str">
            <v>00390</v>
          </cell>
        </row>
        <row r="120">
          <cell r="D120" t="str">
            <v>M/S S.M. Enterprise- Sunamgonj</v>
          </cell>
          <cell r="E120" t="str">
            <v>00390</v>
          </cell>
        </row>
        <row r="121">
          <cell r="D121" t="str">
            <v>M/S M.R. Enterprise- Dinajpur</v>
          </cell>
          <cell r="E121" t="str">
            <v>00601</v>
          </cell>
        </row>
        <row r="122">
          <cell r="D122" t="str">
            <v>M/S Sony Autos</v>
          </cell>
          <cell r="E122" t="str">
            <v>00495</v>
          </cell>
        </row>
        <row r="123">
          <cell r="D123" t="str">
            <v>M/S Setu Cycle Mart</v>
          </cell>
          <cell r="E123" t="str">
            <v>00471</v>
          </cell>
        </row>
        <row r="124">
          <cell r="D124" t="str">
            <v>M/S Setu Cycle Mart</v>
          </cell>
          <cell r="E124" t="str">
            <v>00471</v>
          </cell>
        </row>
        <row r="125">
          <cell r="D125" t="str">
            <v>M/S Setu Cycle Mart</v>
          </cell>
          <cell r="E125" t="str">
            <v>00471</v>
          </cell>
        </row>
        <row r="126">
          <cell r="D126" t="str">
            <v>M/S Setu Cycle Mart</v>
          </cell>
          <cell r="E126" t="str">
            <v>00471</v>
          </cell>
        </row>
        <row r="127">
          <cell r="D127" t="str">
            <v>M/S Setu Cycle Mart</v>
          </cell>
          <cell r="E127" t="str">
            <v>00471</v>
          </cell>
        </row>
        <row r="128">
          <cell r="D128" t="str">
            <v>M/S Setu Cycle Mart</v>
          </cell>
          <cell r="E128" t="str">
            <v>00471</v>
          </cell>
        </row>
        <row r="129">
          <cell r="D129" t="str">
            <v>M/S Setu Cycle Mart</v>
          </cell>
          <cell r="E129" t="str">
            <v>00471</v>
          </cell>
        </row>
        <row r="130">
          <cell r="D130" t="str">
            <v>M/S Setu Cycle Mart</v>
          </cell>
          <cell r="E130" t="str">
            <v>00471</v>
          </cell>
        </row>
        <row r="131">
          <cell r="D131" t="str">
            <v>M/S Setu Cycle Mart</v>
          </cell>
          <cell r="E131" t="str">
            <v>00471</v>
          </cell>
        </row>
        <row r="132">
          <cell r="D132" t="str">
            <v>M/S Setu Cycle Mart</v>
          </cell>
          <cell r="E132" t="str">
            <v>00471</v>
          </cell>
        </row>
        <row r="133">
          <cell r="D133" t="str">
            <v>M/S Taiyeba Motors</v>
          </cell>
          <cell r="E133" t="str">
            <v>01394</v>
          </cell>
        </row>
        <row r="134">
          <cell r="D134" t="str">
            <v>M/S Modina Enterprise - Savar</v>
          </cell>
          <cell r="E134" t="str">
            <v>01404</v>
          </cell>
        </row>
        <row r="135">
          <cell r="D135" t="str">
            <v>M/S New Asia Motors</v>
          </cell>
          <cell r="E135" t="str">
            <v>00051</v>
          </cell>
        </row>
        <row r="136">
          <cell r="D136" t="str">
            <v>M/S New Asia Motors</v>
          </cell>
          <cell r="E136" t="str">
            <v>00051</v>
          </cell>
        </row>
        <row r="137">
          <cell r="D137" t="str">
            <v>M/S Shoshi Enterprise</v>
          </cell>
          <cell r="E137" t="str">
            <v>01153</v>
          </cell>
        </row>
        <row r="138">
          <cell r="D138" t="str">
            <v>M/S S.K. Enterprise (C)</v>
          </cell>
          <cell r="E138" t="str">
            <v>01326</v>
          </cell>
        </row>
        <row r="139">
          <cell r="D139" t="str">
            <v>M/S S.K. Enterprise (C)</v>
          </cell>
          <cell r="E139" t="str">
            <v>01326</v>
          </cell>
        </row>
        <row r="140">
          <cell r="D140" t="str">
            <v>M/S S.K. Enterprise (C)</v>
          </cell>
          <cell r="E140" t="str">
            <v>01326</v>
          </cell>
        </row>
        <row r="141">
          <cell r="D141" t="str">
            <v>M/S S.K. Enterprise (C)</v>
          </cell>
          <cell r="E141" t="str">
            <v>01326</v>
          </cell>
        </row>
        <row r="142">
          <cell r="D142" t="str">
            <v>M/S S.K. Enterprise (C)</v>
          </cell>
          <cell r="E142" t="str">
            <v>01326</v>
          </cell>
        </row>
        <row r="143">
          <cell r="D143" t="str">
            <v>M/S Saiful Motors</v>
          </cell>
          <cell r="E143" t="str">
            <v>00482</v>
          </cell>
        </row>
        <row r="144">
          <cell r="D144" t="str">
            <v>M/S Saiful Motors</v>
          </cell>
          <cell r="E144" t="str">
            <v>00482</v>
          </cell>
        </row>
        <row r="145">
          <cell r="D145" t="str">
            <v>M/S Rajapur IPS &amp; Battery House</v>
          </cell>
          <cell r="E145" t="str">
            <v>01400</v>
          </cell>
        </row>
        <row r="146">
          <cell r="D146" t="str">
            <v>M/S Mayer Doya Auto Parts-Feni</v>
          </cell>
          <cell r="E146" t="str">
            <v>00373</v>
          </cell>
        </row>
        <row r="147">
          <cell r="D147" t="str">
            <v>M/S Ekata Motors</v>
          </cell>
          <cell r="E147" t="str">
            <v>00419</v>
          </cell>
        </row>
        <row r="148">
          <cell r="D148" t="str">
            <v>M/S Sangu Battery House</v>
          </cell>
          <cell r="E148" t="str">
            <v>00988</v>
          </cell>
        </row>
        <row r="149">
          <cell r="D149" t="str">
            <v>M/S Sangu Battery House</v>
          </cell>
          <cell r="E149" t="str">
            <v>00988</v>
          </cell>
        </row>
        <row r="150">
          <cell r="D150" t="str">
            <v>M/S Shah Mojidia Motor Parts</v>
          </cell>
          <cell r="E150" t="str">
            <v>00842</v>
          </cell>
        </row>
        <row r="151">
          <cell r="D151" t="str">
            <v>M/S Doyal Battery</v>
          </cell>
          <cell r="E151" t="str">
            <v>00337</v>
          </cell>
        </row>
        <row r="152">
          <cell r="D152" t="str">
            <v>M/S A.P.L. Auto House</v>
          </cell>
          <cell r="E152" t="str">
            <v>00328</v>
          </cell>
        </row>
        <row r="153">
          <cell r="D153" t="str">
            <v>M/S Tanvir Battery House</v>
          </cell>
          <cell r="E153" t="str">
            <v>01175</v>
          </cell>
        </row>
        <row r="154">
          <cell r="D154" t="str">
            <v>M/S Tanvir Battery House</v>
          </cell>
          <cell r="E154" t="str">
            <v>01175</v>
          </cell>
        </row>
        <row r="155">
          <cell r="D155" t="str">
            <v>M/S New Dhaka Motors and Battery</v>
          </cell>
          <cell r="E155" t="str">
            <v>00005</v>
          </cell>
        </row>
        <row r="156">
          <cell r="D156" t="str">
            <v>M/S Shoshi Enterprise</v>
          </cell>
          <cell r="E156" t="str">
            <v>01153</v>
          </cell>
        </row>
        <row r="157">
          <cell r="D157" t="str">
            <v>M/S Monir Auto &amp; Battery House</v>
          </cell>
          <cell r="E157" t="str">
            <v>00001</v>
          </cell>
        </row>
        <row r="158">
          <cell r="D158" t="str">
            <v>M/S Babul Enterprise (C)</v>
          </cell>
          <cell r="E158" t="str">
            <v>01292</v>
          </cell>
        </row>
        <row r="159">
          <cell r="D159" t="str">
            <v>M/S Shahjalal Traders</v>
          </cell>
          <cell r="E159" t="str">
            <v>01362</v>
          </cell>
        </row>
        <row r="160">
          <cell r="D160" t="str">
            <v>M/S Mayer Doya Auto Parts-Laksam</v>
          </cell>
          <cell r="E160" t="str">
            <v>00325</v>
          </cell>
        </row>
        <row r="161">
          <cell r="D161" t="str">
            <v>M/S Sohan Motors</v>
          </cell>
          <cell r="E161" t="str">
            <v>01385</v>
          </cell>
        </row>
        <row r="162">
          <cell r="D162" t="str">
            <v>M/S S.K. Enterprise (C)</v>
          </cell>
          <cell r="E162" t="str">
            <v>01326</v>
          </cell>
        </row>
        <row r="163">
          <cell r="D163" t="str">
            <v>M/S S.K. Enterprise (C)</v>
          </cell>
          <cell r="E163" t="str">
            <v>01326</v>
          </cell>
        </row>
        <row r="164">
          <cell r="D164" t="str">
            <v>M/S Bandhu Auto Centre</v>
          </cell>
          <cell r="E164" t="str">
            <v>00573</v>
          </cell>
        </row>
        <row r="165">
          <cell r="D165" t="str">
            <v>M/S Awlad Electronics</v>
          </cell>
          <cell r="E165" t="str">
            <v>01284</v>
          </cell>
        </row>
        <row r="166">
          <cell r="D166" t="str">
            <v>M/S Shopon Battery House (C)</v>
          </cell>
          <cell r="E166" t="str">
            <v>01320</v>
          </cell>
        </row>
        <row r="167">
          <cell r="D167" t="str">
            <v>M/S Ma Tyre &amp; Battery  Shop</v>
          </cell>
          <cell r="E167" t="str">
            <v>00088</v>
          </cell>
        </row>
        <row r="168">
          <cell r="D168" t="str">
            <v>M/S Ma Tyre &amp; Battery  Shop</v>
          </cell>
          <cell r="E168" t="str">
            <v>00088</v>
          </cell>
        </row>
        <row r="169">
          <cell r="D169" t="str">
            <v>M/S Payar Auto Electric Works</v>
          </cell>
          <cell r="E169" t="str">
            <v>00371</v>
          </cell>
        </row>
        <row r="170">
          <cell r="D170" t="str">
            <v>M/S Payar Auto Electric Works</v>
          </cell>
          <cell r="E170" t="str">
            <v>00371</v>
          </cell>
        </row>
        <row r="171">
          <cell r="D171" t="str">
            <v>Md. Al Amin(ID-16013)</v>
          </cell>
          <cell r="E171" t="str">
            <v>01387</v>
          </cell>
        </row>
        <row r="172">
          <cell r="D172" t="str">
            <v>M/S Farhan Auto (C)</v>
          </cell>
          <cell r="E172" t="str">
            <v>01298</v>
          </cell>
        </row>
        <row r="173">
          <cell r="D173" t="str">
            <v>M/S Farhan Auto (C)</v>
          </cell>
          <cell r="E173" t="str">
            <v>01298</v>
          </cell>
        </row>
        <row r="174">
          <cell r="D174" t="str">
            <v>M/S Farhan Auto (C)</v>
          </cell>
          <cell r="E174" t="str">
            <v>01298</v>
          </cell>
        </row>
        <row r="175">
          <cell r="D175" t="str">
            <v>M/S Comilla Traders</v>
          </cell>
          <cell r="E175" t="str">
            <v>00334</v>
          </cell>
        </row>
        <row r="176">
          <cell r="D176" t="str">
            <v>M/S Sawda Auto and Battery</v>
          </cell>
          <cell r="E176" t="str">
            <v>01261</v>
          </cell>
        </row>
        <row r="177">
          <cell r="D177" t="str">
            <v>M/S S.S. Enterprise-Norshingdi (C)</v>
          </cell>
          <cell r="E177" t="str">
            <v>01331</v>
          </cell>
        </row>
        <row r="178">
          <cell r="D178" t="str">
            <v>M/S S.S. Enterprise-Norshingdi (C)</v>
          </cell>
          <cell r="E178" t="str">
            <v>01331</v>
          </cell>
        </row>
        <row r="179">
          <cell r="D179" t="str">
            <v>M/S S.S. Enterprise-Norshingdi (C)</v>
          </cell>
          <cell r="E179" t="str">
            <v>01331</v>
          </cell>
        </row>
        <row r="180">
          <cell r="D180" t="str">
            <v>M/S Minara Traders</v>
          </cell>
          <cell r="E180" t="str">
            <v>01108</v>
          </cell>
        </row>
        <row r="181">
          <cell r="D181" t="str">
            <v>M/S Minara Traders</v>
          </cell>
          <cell r="E181" t="str">
            <v>01108</v>
          </cell>
        </row>
        <row r="182">
          <cell r="D182" t="str">
            <v>M/S Minara Traders</v>
          </cell>
          <cell r="E182" t="str">
            <v>01108</v>
          </cell>
        </row>
        <row r="183">
          <cell r="D183" t="str">
            <v>M/S Supreme Auto (C)</v>
          </cell>
          <cell r="E183" t="str">
            <v>01300</v>
          </cell>
        </row>
        <row r="184">
          <cell r="D184" t="str">
            <v>M/S Hira Motors-Chokoria</v>
          </cell>
          <cell r="E184" t="str">
            <v>01441</v>
          </cell>
        </row>
        <row r="185">
          <cell r="D185" t="str">
            <v>M/S Sohan Motors</v>
          </cell>
          <cell r="E185" t="str">
            <v>01385</v>
          </cell>
        </row>
        <row r="186">
          <cell r="D186" t="str">
            <v>M/S Sohan Motors</v>
          </cell>
          <cell r="E186" t="str">
            <v>01385</v>
          </cell>
        </row>
        <row r="187">
          <cell r="D187" t="str">
            <v>M/S Sangu Battery House</v>
          </cell>
          <cell r="E187" t="str">
            <v>00988</v>
          </cell>
        </row>
        <row r="188">
          <cell r="D188" t="str">
            <v>M/S Mahtab Engineering Workshop</v>
          </cell>
          <cell r="E188" t="str">
            <v>01429</v>
          </cell>
        </row>
        <row r="189">
          <cell r="D189" t="str">
            <v>M/S Lalmai Machineries &amp; Parts</v>
          </cell>
          <cell r="E189" t="str">
            <v>00329</v>
          </cell>
        </row>
        <row r="190">
          <cell r="D190" t="str">
            <v>M/S Doyal Battery</v>
          </cell>
          <cell r="E190" t="str">
            <v>00337</v>
          </cell>
        </row>
        <row r="191">
          <cell r="D191" t="str">
            <v>M/S Doyal Battery</v>
          </cell>
          <cell r="E191" t="str">
            <v>00337</v>
          </cell>
        </row>
        <row r="192">
          <cell r="D192" t="str">
            <v>M/S Doyal Battery</v>
          </cell>
          <cell r="E192" t="str">
            <v>00337</v>
          </cell>
        </row>
        <row r="193">
          <cell r="D193" t="str">
            <v>M/S Raisa Radia  Battery House</v>
          </cell>
          <cell r="E193" t="str">
            <v>00867</v>
          </cell>
        </row>
        <row r="194">
          <cell r="D194" t="str">
            <v>M/S Tamjid Enterprise</v>
          </cell>
          <cell r="E194" t="str">
            <v>01123</v>
          </cell>
        </row>
        <row r="195">
          <cell r="D195" t="str">
            <v>M/S Monir Auto &amp; Battery House</v>
          </cell>
          <cell r="E195" t="str">
            <v>00001</v>
          </cell>
        </row>
        <row r="196">
          <cell r="D196" t="str">
            <v>M/S Monir Auto &amp; Battery House</v>
          </cell>
          <cell r="E196" t="str">
            <v>00001</v>
          </cell>
        </row>
        <row r="197">
          <cell r="D197" t="str">
            <v>M/S City Auto</v>
          </cell>
          <cell r="E197" t="str">
            <v>00398</v>
          </cell>
        </row>
        <row r="198">
          <cell r="D198" t="str">
            <v>M/S Rafi Battery House</v>
          </cell>
          <cell r="E198" t="str">
            <v>00410</v>
          </cell>
        </row>
        <row r="199">
          <cell r="D199" t="str">
            <v>M/S Rafi Battery House</v>
          </cell>
          <cell r="E199" t="str">
            <v>00410</v>
          </cell>
        </row>
        <row r="200">
          <cell r="D200" t="str">
            <v>M/S Anamika Auto Rickshow</v>
          </cell>
          <cell r="E200" t="str">
            <v>00496</v>
          </cell>
        </row>
        <row r="201">
          <cell r="D201" t="str">
            <v>M/S Anamika Auto Rickshow</v>
          </cell>
          <cell r="E201" t="str">
            <v>00496</v>
          </cell>
        </row>
        <row r="202">
          <cell r="D202" t="str">
            <v>M/S Anamika Auto Rickshow</v>
          </cell>
          <cell r="E202" t="str">
            <v>00496</v>
          </cell>
        </row>
        <row r="203">
          <cell r="D203" t="str">
            <v>M/S Battery House - Pabna</v>
          </cell>
          <cell r="E203" t="str">
            <v>00534</v>
          </cell>
        </row>
        <row r="204">
          <cell r="D204" t="str">
            <v>M/S Battery House - Pabna</v>
          </cell>
          <cell r="E204" t="str">
            <v>00534</v>
          </cell>
        </row>
        <row r="205">
          <cell r="D205" t="str">
            <v>M/S Mayer Doya Auto Parts-Laksam</v>
          </cell>
          <cell r="E205" t="str">
            <v>00325</v>
          </cell>
        </row>
        <row r="206">
          <cell r="D206" t="str">
            <v>M/S S.B. Energy</v>
          </cell>
          <cell r="E206" t="str">
            <v>00087</v>
          </cell>
        </row>
        <row r="207">
          <cell r="D207" t="str">
            <v>M/S S.B. Energy</v>
          </cell>
          <cell r="E207" t="str">
            <v>00087</v>
          </cell>
        </row>
        <row r="208">
          <cell r="D208" t="str">
            <v>M/S S.B. Energy</v>
          </cell>
          <cell r="E208" t="str">
            <v>00087</v>
          </cell>
        </row>
        <row r="209">
          <cell r="D209" t="str">
            <v>M/S S.B. Energy</v>
          </cell>
          <cell r="E209" t="str">
            <v>00087</v>
          </cell>
        </row>
        <row r="210">
          <cell r="D210" t="str">
            <v>M/S Al - Mokka Enterprise</v>
          </cell>
          <cell r="E210" t="str">
            <v>01112</v>
          </cell>
        </row>
        <row r="211">
          <cell r="D211" t="str">
            <v>M/S Al - Mokka Enterprise</v>
          </cell>
          <cell r="E211" t="str">
            <v>01112</v>
          </cell>
        </row>
        <row r="212">
          <cell r="D212" t="str">
            <v>M/S Al - Mokka Enterprise</v>
          </cell>
          <cell r="E212" t="str">
            <v>01112</v>
          </cell>
        </row>
        <row r="213">
          <cell r="D213" t="str">
            <v>M/S Arafat Enterprise</v>
          </cell>
          <cell r="E213" t="str">
            <v>00094</v>
          </cell>
        </row>
        <row r="214">
          <cell r="D214" t="str">
            <v>M/S Arafat Enterprise</v>
          </cell>
          <cell r="E214" t="str">
            <v>00094</v>
          </cell>
        </row>
        <row r="215">
          <cell r="D215" t="str">
            <v>M/S Arafat Enterprise</v>
          </cell>
          <cell r="E215" t="str">
            <v>00094</v>
          </cell>
        </row>
        <row r="216">
          <cell r="D216" t="str">
            <v>M/S Ripon Tyre and Battery</v>
          </cell>
          <cell r="E216" t="str">
            <v>00002</v>
          </cell>
        </row>
        <row r="217">
          <cell r="D217" t="str">
            <v>M/S Ripon Tyre and Battery</v>
          </cell>
          <cell r="E217" t="str">
            <v>00002</v>
          </cell>
        </row>
        <row r="218">
          <cell r="D218" t="str">
            <v>M/S Ripon Tyre and Battery</v>
          </cell>
          <cell r="E218" t="str">
            <v>00002</v>
          </cell>
        </row>
        <row r="219">
          <cell r="D219" t="str">
            <v>M/S Anas Enterprise</v>
          </cell>
          <cell r="E219" t="str">
            <v>00817</v>
          </cell>
        </row>
        <row r="220">
          <cell r="D220" t="str">
            <v>M/S Siddiquia Auto Parts</v>
          </cell>
          <cell r="E220" t="str">
            <v>00093</v>
          </cell>
        </row>
        <row r="221">
          <cell r="D221" t="str">
            <v>M/S Bondhu Auto and CNG Workshop</v>
          </cell>
          <cell r="E221" t="str">
            <v>01149</v>
          </cell>
        </row>
        <row r="222">
          <cell r="D222" t="str">
            <v>M/S Bondhu Auto and CNG Workshop</v>
          </cell>
          <cell r="E222" t="str">
            <v>01149</v>
          </cell>
        </row>
        <row r="223">
          <cell r="D223" t="str">
            <v>M/S Bondhu Auto and CNG Workshop</v>
          </cell>
          <cell r="E223" t="str">
            <v>01149</v>
          </cell>
        </row>
        <row r="224">
          <cell r="D224" t="str">
            <v>M/S Bondhu Auto and CNG Workshop</v>
          </cell>
          <cell r="E224" t="str">
            <v>01149</v>
          </cell>
        </row>
        <row r="225">
          <cell r="D225" t="str">
            <v>M/S Kalam Auto Motor Parts And Battery House</v>
          </cell>
          <cell r="E225" t="str">
            <v>00420</v>
          </cell>
        </row>
        <row r="226">
          <cell r="D226" t="str">
            <v>M/S Kalam Auto Motor Parts And Battery House</v>
          </cell>
          <cell r="E226" t="str">
            <v>00420</v>
          </cell>
        </row>
        <row r="227">
          <cell r="D227" t="str">
            <v>M/S Kalam Auto Motor Parts And Battery House</v>
          </cell>
          <cell r="E227" t="str">
            <v>00420</v>
          </cell>
        </row>
        <row r="228">
          <cell r="D228" t="str">
            <v>M/S Kalam Auto Motor Parts And Battery House</v>
          </cell>
          <cell r="E228" t="str">
            <v>00420</v>
          </cell>
        </row>
        <row r="229">
          <cell r="D229" t="str">
            <v>M/S Comilla Traders</v>
          </cell>
          <cell r="E229" t="str">
            <v>00334</v>
          </cell>
        </row>
        <row r="230">
          <cell r="D230" t="str">
            <v>M/S Amir Auto House</v>
          </cell>
          <cell r="E230" t="str">
            <v>00138</v>
          </cell>
        </row>
        <row r="231">
          <cell r="D231" t="str">
            <v>M/S Monir Auto &amp; Battery House</v>
          </cell>
          <cell r="E231" t="str">
            <v>00001</v>
          </cell>
        </row>
        <row r="232">
          <cell r="D232" t="str">
            <v>M/S Anik Motors &amp; Battery (C)</v>
          </cell>
          <cell r="E232" t="str">
            <v>01444</v>
          </cell>
        </row>
        <row r="233">
          <cell r="D233" t="str">
            <v>M/S Anik Motors &amp; Battery (C)</v>
          </cell>
          <cell r="E233" t="str">
            <v>01444</v>
          </cell>
        </row>
        <row r="234">
          <cell r="D234" t="str">
            <v>M/S Anas Battery &amp; Auto House</v>
          </cell>
          <cell r="E234" t="str">
            <v>01401</v>
          </cell>
        </row>
        <row r="235">
          <cell r="D235" t="str">
            <v>M/S Laksam Battery House</v>
          </cell>
          <cell r="E235" t="str">
            <v>00336</v>
          </cell>
        </row>
        <row r="236">
          <cell r="D236" t="str">
            <v>M/S Laksam Battery House</v>
          </cell>
          <cell r="E236" t="str">
            <v>00336</v>
          </cell>
        </row>
        <row r="237">
          <cell r="D237" t="str">
            <v>Kalam Enterprise</v>
          </cell>
          <cell r="E237" t="str">
            <v>01341</v>
          </cell>
        </row>
        <row r="238">
          <cell r="D238" t="str">
            <v>M/S Sohan Motors</v>
          </cell>
          <cell r="E238" t="str">
            <v>01385</v>
          </cell>
        </row>
        <row r="239">
          <cell r="D239" t="str">
            <v>M/S Sohan Motors</v>
          </cell>
          <cell r="E239" t="str">
            <v>01385</v>
          </cell>
        </row>
        <row r="240">
          <cell r="D240" t="str">
            <v>M/S Banskhali Enterprise-Joldi (C)</v>
          </cell>
          <cell r="E240" t="str">
            <v>01312</v>
          </cell>
        </row>
        <row r="241">
          <cell r="D241" t="str">
            <v>M/S Banskhali Enterprise-Joldi (C)</v>
          </cell>
          <cell r="E241" t="str">
            <v>01312</v>
          </cell>
        </row>
        <row r="242">
          <cell r="D242" t="str">
            <v>M/S Hossen Traders</v>
          </cell>
          <cell r="E242" t="str">
            <v>01107</v>
          </cell>
        </row>
        <row r="243">
          <cell r="D243" t="str">
            <v>M/S Hossen Traders</v>
          </cell>
          <cell r="E243" t="str">
            <v>01107</v>
          </cell>
        </row>
        <row r="244">
          <cell r="D244" t="str">
            <v>M/S Molla Battery House (C)</v>
          </cell>
          <cell r="E244" t="str">
            <v>01428</v>
          </cell>
        </row>
        <row r="245">
          <cell r="D245" t="str">
            <v>M/S Shekh Enterprise - Khulna</v>
          </cell>
          <cell r="E245" t="str">
            <v>01435</v>
          </cell>
        </row>
        <row r="246">
          <cell r="D246" t="str">
            <v>M/S Shekh Enterprise - Khulna</v>
          </cell>
          <cell r="E246" t="str">
            <v>01435</v>
          </cell>
        </row>
        <row r="247">
          <cell r="D247" t="str">
            <v>M/S Lutfor Auto Battery House</v>
          </cell>
          <cell r="E247" t="str">
            <v>00829</v>
          </cell>
        </row>
        <row r="248">
          <cell r="D248" t="str">
            <v>M/S S.K. Enterprise (C)</v>
          </cell>
          <cell r="E248" t="str">
            <v>01326</v>
          </cell>
        </row>
        <row r="249">
          <cell r="D249" t="str">
            <v>M/S Bashkhali Enterprise</v>
          </cell>
          <cell r="E249" t="str">
            <v>00424</v>
          </cell>
        </row>
        <row r="250">
          <cell r="D250" t="str">
            <v>M/S S.K. Enterprise (C)</v>
          </cell>
          <cell r="E250" t="str">
            <v>01326</v>
          </cell>
        </row>
        <row r="251">
          <cell r="D251" t="str">
            <v>M/S Babul Enterprise (C)</v>
          </cell>
          <cell r="E251" t="str">
            <v>01292</v>
          </cell>
        </row>
        <row r="252">
          <cell r="D252" t="str">
            <v>M/S Rajapur IPS &amp; Battery House</v>
          </cell>
          <cell r="E252" t="str">
            <v>01400</v>
          </cell>
        </row>
        <row r="253">
          <cell r="D253" t="str">
            <v>M/S Nobodhara Corporation</v>
          </cell>
          <cell r="E253" t="str">
            <v>01352</v>
          </cell>
        </row>
        <row r="254">
          <cell r="D254" t="str">
            <v>M/S M.R. Enterprise- Dinajpur</v>
          </cell>
          <cell r="E254" t="str">
            <v>00601</v>
          </cell>
        </row>
        <row r="255">
          <cell r="D255" t="str">
            <v>M/S Sadiq Enterprise</v>
          </cell>
          <cell r="E255" t="str">
            <v>01067</v>
          </cell>
        </row>
        <row r="256">
          <cell r="D256" t="str">
            <v>M/S Al - Mokka Enterprise</v>
          </cell>
          <cell r="E256" t="str">
            <v>01112</v>
          </cell>
        </row>
        <row r="257">
          <cell r="D257" t="str">
            <v>M/S Arafat Enterprise</v>
          </cell>
          <cell r="E257" t="str">
            <v>00094</v>
          </cell>
        </row>
        <row r="258">
          <cell r="D258" t="str">
            <v>M/S Shah Mojidia Motor Parts</v>
          </cell>
          <cell r="E258" t="str">
            <v>00842</v>
          </cell>
        </row>
        <row r="259">
          <cell r="D259" t="str">
            <v>M/S Bondhu Auto and CNG Workshop</v>
          </cell>
          <cell r="E259" t="str">
            <v>01149</v>
          </cell>
        </row>
        <row r="260">
          <cell r="D260" t="str">
            <v>M/S Bondhu Auto and CNG Workshop</v>
          </cell>
          <cell r="E260" t="str">
            <v>01149</v>
          </cell>
        </row>
        <row r="261">
          <cell r="D261" t="str">
            <v>M/S Rubel Auto House</v>
          </cell>
          <cell r="E261" t="str">
            <v>01113</v>
          </cell>
        </row>
        <row r="262">
          <cell r="D262" t="str">
            <v>M/S S.S. Enterprise-Norshingdi</v>
          </cell>
          <cell r="E262" t="str">
            <v>01118</v>
          </cell>
        </row>
        <row r="263">
          <cell r="D263" t="str">
            <v>M/S Shapla Battery &amp; Auto House</v>
          </cell>
          <cell r="E263" t="str">
            <v>01447</v>
          </cell>
        </row>
        <row r="264">
          <cell r="D264" t="str">
            <v>M/S Khokon IPS &amp; Battery Center (C)</v>
          </cell>
          <cell r="E264" t="str">
            <v>01306</v>
          </cell>
        </row>
        <row r="265">
          <cell r="D265" t="str">
            <v>M/S Khokon IPS &amp; Battery Center (C)</v>
          </cell>
          <cell r="E265" t="str">
            <v>01306</v>
          </cell>
        </row>
        <row r="266">
          <cell r="D266" t="str">
            <v>M/S Khokon IPS &amp; Battery Center (C)</v>
          </cell>
          <cell r="E266" t="str">
            <v>01306</v>
          </cell>
        </row>
        <row r="267">
          <cell r="D267" t="str">
            <v>M/S L D Poribahan &amp; Trading (C)</v>
          </cell>
          <cell r="E267" t="str">
            <v>01299</v>
          </cell>
        </row>
        <row r="268">
          <cell r="D268" t="str">
            <v>M/S Sohan Motors</v>
          </cell>
          <cell r="E268" t="str">
            <v>01385</v>
          </cell>
        </row>
        <row r="269">
          <cell r="D269" t="str">
            <v>M/S Sohan Motors</v>
          </cell>
          <cell r="E269" t="str">
            <v>01385</v>
          </cell>
        </row>
        <row r="270">
          <cell r="D270" t="str">
            <v>M/S New Dhaka Motors and Battery</v>
          </cell>
          <cell r="E270" t="str">
            <v>00005</v>
          </cell>
        </row>
        <row r="271">
          <cell r="D271" t="str">
            <v>M/S Anik Motors &amp; Battery (C)</v>
          </cell>
          <cell r="E271" t="str">
            <v>01444</v>
          </cell>
        </row>
        <row r="272">
          <cell r="D272" t="str">
            <v>M/S Anik Motors &amp; Battery (C)</v>
          </cell>
          <cell r="E272" t="str">
            <v>01444</v>
          </cell>
        </row>
        <row r="273">
          <cell r="D273" t="str">
            <v>M/S Saiful Motors</v>
          </cell>
          <cell r="E273" t="str">
            <v>00482</v>
          </cell>
        </row>
        <row r="274">
          <cell r="D274" t="str">
            <v>M/S Saiful Motors</v>
          </cell>
          <cell r="E274" t="str">
            <v>00482</v>
          </cell>
        </row>
        <row r="275">
          <cell r="D275" t="str">
            <v>M/S Al Razzak Battery House</v>
          </cell>
          <cell r="E275" t="str">
            <v>01449</v>
          </cell>
        </row>
        <row r="276">
          <cell r="D276" t="str">
            <v>M/S Nazrul Battery and Mobil House</v>
          </cell>
          <cell r="E276" t="str">
            <v>00832</v>
          </cell>
        </row>
        <row r="277">
          <cell r="D277" t="str">
            <v>M/S Al - Mokka Enterprise</v>
          </cell>
          <cell r="E277" t="str">
            <v>01112</v>
          </cell>
        </row>
        <row r="278">
          <cell r="D278" t="str">
            <v>M/S Shah Mojidia Motor Parts</v>
          </cell>
          <cell r="E278" t="str">
            <v>00842</v>
          </cell>
        </row>
        <row r="279">
          <cell r="D279" t="str">
            <v>M/S Shah Mojidia Motor Parts</v>
          </cell>
          <cell r="E279" t="str">
            <v>00842</v>
          </cell>
        </row>
        <row r="280">
          <cell r="D280" t="str">
            <v>M/S Bondhu Auto and CNG Workshop</v>
          </cell>
          <cell r="E280" t="str">
            <v>01149</v>
          </cell>
        </row>
        <row r="281">
          <cell r="D281" t="str">
            <v>M/S Lamia Battery</v>
          </cell>
          <cell r="E281" t="str">
            <v>00701</v>
          </cell>
        </row>
        <row r="282">
          <cell r="D282" t="str">
            <v>M/S Doyal Battery</v>
          </cell>
          <cell r="E282" t="str">
            <v>00337</v>
          </cell>
        </row>
        <row r="283">
          <cell r="D283" t="str">
            <v>M/S Doyal Battery</v>
          </cell>
          <cell r="E283" t="str">
            <v>00337</v>
          </cell>
        </row>
        <row r="284">
          <cell r="D284" t="str">
            <v>M/S Doyal Battery</v>
          </cell>
          <cell r="E284" t="str">
            <v>00337</v>
          </cell>
        </row>
        <row r="285">
          <cell r="D285" t="str">
            <v>M/S Doyal Battery</v>
          </cell>
          <cell r="E285" t="str">
            <v>00337</v>
          </cell>
        </row>
        <row r="286">
          <cell r="D286" t="str">
            <v>M/S Setu Cycle Mart</v>
          </cell>
          <cell r="E286" t="str">
            <v>00471</v>
          </cell>
        </row>
        <row r="287">
          <cell r="D287" t="str">
            <v>M/S Setu Cycle Mart</v>
          </cell>
          <cell r="E287" t="str">
            <v>00471</v>
          </cell>
        </row>
        <row r="288">
          <cell r="D288" t="str">
            <v>M/S Setu Cycle Mart</v>
          </cell>
          <cell r="E288" t="str">
            <v>00471</v>
          </cell>
        </row>
        <row r="289">
          <cell r="D289" t="str">
            <v>M/S Setu Cycle Mart</v>
          </cell>
          <cell r="E289" t="str">
            <v>00471</v>
          </cell>
        </row>
        <row r="290">
          <cell r="D290" t="str">
            <v>M/S Setu Cycle Mart</v>
          </cell>
          <cell r="E290" t="str">
            <v>00471</v>
          </cell>
        </row>
        <row r="291">
          <cell r="D291" t="str">
            <v>M/S Comilla Traders</v>
          </cell>
          <cell r="E291" t="str">
            <v>00334</v>
          </cell>
        </row>
        <row r="292">
          <cell r="D292" t="str">
            <v>M/S Comilla Traders</v>
          </cell>
          <cell r="E292" t="str">
            <v>00334</v>
          </cell>
        </row>
        <row r="293">
          <cell r="D293" t="str">
            <v>M/S L D Poribahan &amp; Trading (C)</v>
          </cell>
          <cell r="E293" t="str">
            <v>01299</v>
          </cell>
        </row>
        <row r="294">
          <cell r="D294" t="str">
            <v>M/S L D Poribahan &amp; Trading (C)</v>
          </cell>
          <cell r="E294" t="str">
            <v>01299</v>
          </cell>
        </row>
        <row r="295">
          <cell r="D295" t="str">
            <v>Kalam Enterprise</v>
          </cell>
          <cell r="E295" t="str">
            <v>01341</v>
          </cell>
        </row>
        <row r="296">
          <cell r="D296" t="str">
            <v>Kalam Enterprise</v>
          </cell>
          <cell r="E296" t="str">
            <v>01341</v>
          </cell>
        </row>
        <row r="297">
          <cell r="D297" t="str">
            <v>M/S Khan Battery Recycling (C)</v>
          </cell>
          <cell r="E297" t="str">
            <v>01282</v>
          </cell>
        </row>
        <row r="298">
          <cell r="D298" t="str">
            <v>M/S Khan Battery Recycling (C)</v>
          </cell>
          <cell r="E298" t="str">
            <v>01282</v>
          </cell>
        </row>
        <row r="299">
          <cell r="D299" t="str">
            <v>M/S Mayer Doya Auto Parts-Laksam</v>
          </cell>
          <cell r="E299" t="str">
            <v>00325</v>
          </cell>
        </row>
        <row r="300">
          <cell r="D300" t="str">
            <v>M/S Farhan Auto (C)</v>
          </cell>
          <cell r="E300" t="str">
            <v>01298</v>
          </cell>
        </row>
        <row r="301">
          <cell r="D301" t="str">
            <v>M/S Sangu Battery House</v>
          </cell>
          <cell r="E301" t="str">
            <v>00988</v>
          </cell>
        </row>
        <row r="302">
          <cell r="D302" t="str">
            <v>M/S S.K. Enterprise (C)</v>
          </cell>
          <cell r="E302" t="str">
            <v>01326</v>
          </cell>
        </row>
        <row r="303">
          <cell r="D303" t="str">
            <v>M/S Modina Enterprise - Savar</v>
          </cell>
          <cell r="E303" t="str">
            <v>01404</v>
          </cell>
        </row>
        <row r="304">
          <cell r="D304" t="str">
            <v>M/S Samir Battery And Tyre</v>
          </cell>
          <cell r="E304" t="str">
            <v>01450</v>
          </cell>
        </row>
        <row r="305">
          <cell r="D305" t="str">
            <v>M/S Samir Battery And Tyre</v>
          </cell>
          <cell r="E305" t="str">
            <v>01450</v>
          </cell>
        </row>
        <row r="306">
          <cell r="D306" t="str">
            <v>M/S Bondhu Auto and CNG Workshop</v>
          </cell>
          <cell r="E306" t="str">
            <v>01149</v>
          </cell>
        </row>
        <row r="307">
          <cell r="D307" t="str">
            <v>M/S Bondhu Auto and CNG Workshop</v>
          </cell>
          <cell r="E307" t="str">
            <v>01149</v>
          </cell>
        </row>
        <row r="308">
          <cell r="D308" t="str">
            <v>M/S Bondhu Auto and CNG Workshop</v>
          </cell>
          <cell r="E308" t="str">
            <v>01149</v>
          </cell>
        </row>
        <row r="309">
          <cell r="D309" t="str">
            <v>M/S Bondhu Auto and CNG Workshop</v>
          </cell>
          <cell r="E309" t="str">
            <v>01149</v>
          </cell>
        </row>
        <row r="310">
          <cell r="D310" t="str">
            <v>M/S Akhi Battery &amp; Tyre</v>
          </cell>
          <cell r="E310" t="str">
            <v>00140</v>
          </cell>
        </row>
        <row r="311">
          <cell r="D311" t="str">
            <v>M/S B.P Battery House</v>
          </cell>
          <cell r="E311" t="str">
            <v>01130</v>
          </cell>
        </row>
        <row r="312">
          <cell r="D312" t="str">
            <v>M/S B.P Battery House</v>
          </cell>
          <cell r="E312" t="str">
            <v>01130</v>
          </cell>
        </row>
        <row r="313">
          <cell r="D313" t="str">
            <v>M/S Al - Modina Enterprise</v>
          </cell>
          <cell r="E313" t="str">
            <v>01442</v>
          </cell>
        </row>
        <row r="314">
          <cell r="D314" t="str">
            <v>M/S Al - Modina Enterprise</v>
          </cell>
          <cell r="E314" t="str">
            <v>01442</v>
          </cell>
        </row>
        <row r="315">
          <cell r="D315" t="str">
            <v>M/S Al - Modina Enterprise</v>
          </cell>
          <cell r="E315" t="str">
            <v>01442</v>
          </cell>
        </row>
        <row r="316">
          <cell r="D316" t="str">
            <v>M/S L D Poribahan &amp; Trading (C)</v>
          </cell>
          <cell r="E316" t="str">
            <v>01299</v>
          </cell>
        </row>
        <row r="317">
          <cell r="D317" t="str">
            <v>M/S Supreme Auto (C)</v>
          </cell>
          <cell r="E317" t="str">
            <v>01300</v>
          </cell>
        </row>
        <row r="318">
          <cell r="D318" t="str">
            <v>M/S Farhan Auto (C)</v>
          </cell>
          <cell r="E318" t="str">
            <v>01298</v>
          </cell>
        </row>
        <row r="319">
          <cell r="D319" t="str">
            <v>M/S Farhan Auto (C)</v>
          </cell>
          <cell r="E319" t="str">
            <v>01298</v>
          </cell>
        </row>
        <row r="320">
          <cell r="D320" t="str">
            <v>M/S S.S. Enterprise-Norshingdi (C)</v>
          </cell>
          <cell r="E320" t="str">
            <v>01331</v>
          </cell>
        </row>
        <row r="321">
          <cell r="D321" t="str">
            <v>M/S S.S. Enterprise-Norshingdi (C)</v>
          </cell>
          <cell r="E321" t="str">
            <v>01331</v>
          </cell>
        </row>
        <row r="322">
          <cell r="D322" t="str">
            <v>M/S S.S. Enterprise-Norshingdi (C)</v>
          </cell>
          <cell r="E322" t="str">
            <v>01331</v>
          </cell>
        </row>
        <row r="323">
          <cell r="D323" t="str">
            <v>M/S Rajapur IPS &amp; Battery House</v>
          </cell>
          <cell r="E323" t="str">
            <v>01400</v>
          </cell>
        </row>
        <row r="324">
          <cell r="D324" t="str">
            <v>M/S Khokon IPS &amp; Battery Center</v>
          </cell>
          <cell r="E324" t="str">
            <v>00330</v>
          </cell>
        </row>
        <row r="325">
          <cell r="D325" t="str">
            <v>M/S Anik Motors &amp; Battery (C)</v>
          </cell>
          <cell r="E325" t="str">
            <v>01444</v>
          </cell>
        </row>
        <row r="326">
          <cell r="D326" t="str">
            <v>M/S Gazipur Battery House</v>
          </cell>
          <cell r="E326" t="str">
            <v>00826</v>
          </cell>
        </row>
        <row r="327">
          <cell r="D327" t="str">
            <v>M/S Gazipur Battery House</v>
          </cell>
          <cell r="E327" t="str">
            <v>00826</v>
          </cell>
        </row>
        <row r="328">
          <cell r="D328" t="str">
            <v>M/S Sadiq Enterprise</v>
          </cell>
          <cell r="E328" t="str">
            <v>01067</v>
          </cell>
        </row>
        <row r="329">
          <cell r="D329" t="str">
            <v>M/S Khalaq Motors-Feni</v>
          </cell>
          <cell r="E329" t="str">
            <v>01133</v>
          </cell>
        </row>
        <row r="330">
          <cell r="D330" t="str">
            <v>M/S S.K. Enterprise (C)</v>
          </cell>
          <cell r="E330" t="str">
            <v>01326</v>
          </cell>
        </row>
        <row r="331">
          <cell r="D331" t="str">
            <v>M/S S.K. Enterprise (C)</v>
          </cell>
          <cell r="E331" t="str">
            <v>01326</v>
          </cell>
        </row>
        <row r="332">
          <cell r="D332" t="str">
            <v>M/S Sharif Battery House &amp; IPS Center</v>
          </cell>
          <cell r="E332" t="str">
            <v>01424</v>
          </cell>
        </row>
        <row r="333">
          <cell r="D333" t="str">
            <v>M/S Adhunik Battery And IPS Bitan</v>
          </cell>
          <cell r="E333" t="str">
            <v>01359</v>
          </cell>
        </row>
        <row r="334">
          <cell r="D334" t="str">
            <v>M/S Atik Auto</v>
          </cell>
          <cell r="E334" t="str">
            <v>00562</v>
          </cell>
        </row>
        <row r="335">
          <cell r="D335" t="str">
            <v>M/S Ananna Battery &amp; Tyre</v>
          </cell>
          <cell r="E335" t="str">
            <v>01088</v>
          </cell>
        </row>
        <row r="336">
          <cell r="D336" t="str">
            <v>M/S Ananna Battery &amp; Tyre</v>
          </cell>
          <cell r="E336" t="str">
            <v>01088</v>
          </cell>
        </row>
        <row r="337">
          <cell r="D337" t="str">
            <v>M/S Polash Battery and Auto Parts</v>
          </cell>
          <cell r="E337" t="str">
            <v>01244</v>
          </cell>
        </row>
        <row r="338">
          <cell r="D338" t="str">
            <v>M/S Polash Battery and Auto Parts</v>
          </cell>
          <cell r="E338" t="str">
            <v>01244</v>
          </cell>
        </row>
        <row r="339">
          <cell r="D339" t="str">
            <v>M/S Anas Battery &amp; Auto House</v>
          </cell>
          <cell r="E339" t="str">
            <v>01401</v>
          </cell>
        </row>
        <row r="340">
          <cell r="D340" t="str">
            <v>M/S Anas Battery &amp; Auto House</v>
          </cell>
          <cell r="E340" t="str">
            <v>01401</v>
          </cell>
        </row>
        <row r="341">
          <cell r="D341" t="str">
            <v>M/S Saiful Motors</v>
          </cell>
          <cell r="E341" t="str">
            <v>00482</v>
          </cell>
        </row>
        <row r="342">
          <cell r="D342" t="str">
            <v>M/S New Dhaka Motors and Battery</v>
          </cell>
          <cell r="E342" t="str">
            <v>00005</v>
          </cell>
        </row>
        <row r="343">
          <cell r="D343" t="str">
            <v>M/S New Dhaka Motors and Battery</v>
          </cell>
          <cell r="E343" t="str">
            <v>00005</v>
          </cell>
        </row>
        <row r="344">
          <cell r="D344" t="str">
            <v>M/S Anas Enterprise</v>
          </cell>
          <cell r="E344" t="str">
            <v>00817</v>
          </cell>
        </row>
        <row r="345">
          <cell r="D345" t="str">
            <v>M/S Comilla Traders</v>
          </cell>
          <cell r="E345" t="str">
            <v>00334</v>
          </cell>
        </row>
        <row r="346">
          <cell r="D346" t="str">
            <v>M/S Comilla Traders</v>
          </cell>
          <cell r="E346" t="str">
            <v>00334</v>
          </cell>
        </row>
        <row r="347">
          <cell r="D347" t="str">
            <v>M/S Modina Enterprise - Savar</v>
          </cell>
          <cell r="E347" t="str">
            <v>01404</v>
          </cell>
        </row>
        <row r="348">
          <cell r="D348" t="str">
            <v>M/S Modina Enterprise - Savar</v>
          </cell>
          <cell r="E348" t="str">
            <v>01404</v>
          </cell>
        </row>
        <row r="349">
          <cell r="D349" t="str">
            <v>M/S Gazipur Battery House</v>
          </cell>
          <cell r="E349" t="str">
            <v>00826</v>
          </cell>
        </row>
        <row r="350">
          <cell r="D350" t="str">
            <v>M/S Farhan Auto (C)</v>
          </cell>
          <cell r="E350" t="str">
            <v>01298</v>
          </cell>
        </row>
        <row r="351">
          <cell r="D351" t="str">
            <v>M/S Fateha Battery</v>
          </cell>
          <cell r="E351" t="str">
            <v>00388</v>
          </cell>
        </row>
        <row r="352">
          <cell r="D352" t="str">
            <v>M/S Friends Battery House</v>
          </cell>
          <cell r="E352" t="str">
            <v>01437</v>
          </cell>
        </row>
        <row r="353">
          <cell r="D353" t="str">
            <v>M/S Shuvo Enterprise</v>
          </cell>
          <cell r="E353" t="str">
            <v>00622</v>
          </cell>
        </row>
        <row r="354">
          <cell r="D354" t="str">
            <v>M/S Al - Modina Enterprise</v>
          </cell>
          <cell r="E354" t="str">
            <v>01442</v>
          </cell>
        </row>
        <row r="355">
          <cell r="D355" t="str">
            <v>M/S Satata Battery House</v>
          </cell>
          <cell r="E355" t="str">
            <v>01417</v>
          </cell>
        </row>
        <row r="356">
          <cell r="D356" t="str">
            <v>M/S Satata Battery House</v>
          </cell>
          <cell r="E356" t="str">
            <v>01417</v>
          </cell>
        </row>
        <row r="357">
          <cell r="D357" t="str">
            <v>M/S Doyal Battery</v>
          </cell>
          <cell r="E357" t="str">
            <v>00337</v>
          </cell>
        </row>
        <row r="358">
          <cell r="D358" t="str">
            <v>M/S City Auto</v>
          </cell>
          <cell r="E358" t="str">
            <v>00398</v>
          </cell>
        </row>
        <row r="359">
          <cell r="D359" t="str">
            <v>M/S Bismillah Battery House -Sylhet</v>
          </cell>
          <cell r="E359" t="str">
            <v>00389</v>
          </cell>
        </row>
        <row r="360">
          <cell r="D360" t="str">
            <v>M/S Prarthona Motors (C)</v>
          </cell>
          <cell r="E360" t="str">
            <v>01451</v>
          </cell>
        </row>
        <row r="361">
          <cell r="D361" t="str">
            <v>M/S Shekh Enterprise - Khulna</v>
          </cell>
          <cell r="E361" t="str">
            <v>01435</v>
          </cell>
        </row>
        <row r="362">
          <cell r="D362" t="str">
            <v>M/S Molla Battery House (C)</v>
          </cell>
          <cell r="E362" t="str">
            <v>01428</v>
          </cell>
        </row>
        <row r="363">
          <cell r="D363" t="str">
            <v>M/S New Al Modina Auto House</v>
          </cell>
          <cell r="E363" t="str">
            <v>01452</v>
          </cell>
        </row>
        <row r="364">
          <cell r="D364" t="str">
            <v>M/S New Al Modina Auto House</v>
          </cell>
          <cell r="E364" t="str">
            <v>01452</v>
          </cell>
        </row>
        <row r="365">
          <cell r="D365" t="str">
            <v>M/S Anas Enterprise</v>
          </cell>
          <cell r="E365" t="str">
            <v>00817</v>
          </cell>
        </row>
        <row r="366">
          <cell r="D366" t="str">
            <v>M/S Siddiquia Auto Parts</v>
          </cell>
          <cell r="E366" t="str">
            <v>00093</v>
          </cell>
        </row>
        <row r="367">
          <cell r="D367" t="str">
            <v>M/S Shoshi Enterprise</v>
          </cell>
          <cell r="E367" t="str">
            <v>01153</v>
          </cell>
        </row>
        <row r="368">
          <cell r="D368" t="str">
            <v>M/S Sawda Auto and Battery</v>
          </cell>
          <cell r="E368" t="str">
            <v>01261</v>
          </cell>
        </row>
        <row r="369">
          <cell r="D369" t="str">
            <v>M/S Shahjalal Traders</v>
          </cell>
          <cell r="E369" t="str">
            <v>01362</v>
          </cell>
        </row>
        <row r="370">
          <cell r="D370" t="str">
            <v>M/S S.M. Enterprise- Sunamgonj</v>
          </cell>
          <cell r="E370" t="str">
            <v>00390</v>
          </cell>
        </row>
        <row r="371">
          <cell r="D371" t="str">
            <v>M/S S.M. Enterprise- Sunamgonj</v>
          </cell>
          <cell r="E371" t="str">
            <v>00390</v>
          </cell>
        </row>
        <row r="372">
          <cell r="D372" t="str">
            <v>M/S Al - Mokka Enterprise</v>
          </cell>
          <cell r="E372" t="str">
            <v>01112</v>
          </cell>
        </row>
        <row r="373">
          <cell r="D373" t="str">
            <v>M/S Farhan Auto (C)</v>
          </cell>
          <cell r="E373" t="str">
            <v>01298</v>
          </cell>
        </row>
        <row r="374">
          <cell r="D374" t="str">
            <v>M/S Farhan Auto (C)</v>
          </cell>
          <cell r="E374" t="str">
            <v>01298</v>
          </cell>
        </row>
        <row r="375">
          <cell r="D375" t="str">
            <v>M/S Akhi Battery &amp; Tyre</v>
          </cell>
          <cell r="E375" t="str">
            <v>00140</v>
          </cell>
        </row>
        <row r="376">
          <cell r="D376" t="str">
            <v>M/S Molla Battery House (C)</v>
          </cell>
          <cell r="E376" t="str">
            <v>01428</v>
          </cell>
        </row>
        <row r="377">
          <cell r="D377" t="str">
            <v>M/S Adib Alifa Auto &amp; Battery House (C)</v>
          </cell>
          <cell r="E377" t="str">
            <v>01454</v>
          </cell>
        </row>
        <row r="378">
          <cell r="D378" t="str">
            <v>M/S Sony Autos</v>
          </cell>
          <cell r="E378" t="str">
            <v>00495</v>
          </cell>
        </row>
        <row r="379">
          <cell r="D379" t="str">
            <v>M/S Khokon IPS &amp; Battery Center (C)</v>
          </cell>
          <cell r="E379" t="str">
            <v>01306</v>
          </cell>
        </row>
        <row r="380">
          <cell r="D380" t="str">
            <v>M/S Anas Battery &amp; Auto House</v>
          </cell>
          <cell r="E380" t="str">
            <v>01401</v>
          </cell>
        </row>
        <row r="381">
          <cell r="D381" t="str">
            <v>M/S Shah Mojidia Motor Parts</v>
          </cell>
          <cell r="E381" t="str">
            <v>00842</v>
          </cell>
        </row>
        <row r="382">
          <cell r="D382" t="str">
            <v>M/S Housing Auto Bike</v>
          </cell>
          <cell r="E382" t="str">
            <v>00598</v>
          </cell>
        </row>
        <row r="383">
          <cell r="D383" t="str">
            <v>M/S Arafat Enterprise</v>
          </cell>
          <cell r="E383" t="str">
            <v>00094</v>
          </cell>
        </row>
        <row r="384">
          <cell r="D384" t="str">
            <v>M/S Arafat Enterprise</v>
          </cell>
          <cell r="E384" t="str">
            <v>00094</v>
          </cell>
        </row>
        <row r="385">
          <cell r="D385" t="str">
            <v>M/S Shopon Battery House</v>
          </cell>
          <cell r="E385" t="str">
            <v>00740</v>
          </cell>
        </row>
        <row r="386">
          <cell r="D386" t="str">
            <v>M/S Shopon Battery House</v>
          </cell>
          <cell r="E386" t="str">
            <v>00740</v>
          </cell>
        </row>
        <row r="387">
          <cell r="D387" t="str">
            <v>M/S Shopon Battery House</v>
          </cell>
          <cell r="E387" t="str">
            <v>00740</v>
          </cell>
        </row>
        <row r="388">
          <cell r="D388" t="str">
            <v>M/S Setu Cycle Mart</v>
          </cell>
          <cell r="E388" t="str">
            <v>00471</v>
          </cell>
        </row>
        <row r="389">
          <cell r="D389" t="str">
            <v>M/S Setu Cycle Mart</v>
          </cell>
          <cell r="E389" t="str">
            <v>00471</v>
          </cell>
        </row>
        <row r="390">
          <cell r="D390" t="str">
            <v>M/S Rashed Enterprise</v>
          </cell>
          <cell r="E390" t="str">
            <v>00030</v>
          </cell>
        </row>
        <row r="391">
          <cell r="D391" t="str">
            <v>M/S Rashed Enterprise</v>
          </cell>
          <cell r="E391" t="str">
            <v>00030</v>
          </cell>
        </row>
        <row r="392">
          <cell r="D392" t="str">
            <v>M/S Rashed Enterprise</v>
          </cell>
          <cell r="E392" t="str">
            <v>00030</v>
          </cell>
        </row>
        <row r="393">
          <cell r="D393" t="str">
            <v>M/S Rashed Enterprise</v>
          </cell>
          <cell r="E393" t="str">
            <v>00030</v>
          </cell>
        </row>
        <row r="394">
          <cell r="D394" t="str">
            <v>M/S A.P.L. Auto House</v>
          </cell>
          <cell r="E394" t="str">
            <v>00328</v>
          </cell>
        </row>
        <row r="395">
          <cell r="D395" t="str">
            <v>M/S Rajapur IPS &amp; Battery House</v>
          </cell>
          <cell r="E395" t="str">
            <v>01400</v>
          </cell>
        </row>
        <row r="396">
          <cell r="D396" t="str">
            <v>M/S Modina Enterprise - Savar</v>
          </cell>
          <cell r="E396" t="str">
            <v>01404</v>
          </cell>
        </row>
        <row r="397">
          <cell r="D397" t="str">
            <v>M/S Mohanagar Motors</v>
          </cell>
          <cell r="E397" t="str">
            <v>00331</v>
          </cell>
        </row>
        <row r="398">
          <cell r="D398" t="str">
            <v>M/S Mohanagar Motors</v>
          </cell>
          <cell r="E398" t="str">
            <v>00331</v>
          </cell>
        </row>
        <row r="399">
          <cell r="D399" t="str">
            <v>M/S A.P.L. Auto House</v>
          </cell>
          <cell r="E399" t="str">
            <v>00328</v>
          </cell>
        </row>
        <row r="400">
          <cell r="D400" t="str">
            <v>M/S Anas Battery &amp; Auto House</v>
          </cell>
          <cell r="E400" t="str">
            <v>01401</v>
          </cell>
        </row>
        <row r="401">
          <cell r="D401" t="str">
            <v>M/S Anik Motors &amp; Battery (C)</v>
          </cell>
          <cell r="E401" t="str">
            <v>01444</v>
          </cell>
        </row>
        <row r="402">
          <cell r="D402" t="str">
            <v>M/S Sajib Enterprise (C)</v>
          </cell>
          <cell r="E402" t="str">
            <v>01353</v>
          </cell>
        </row>
        <row r="403">
          <cell r="D403" t="str">
            <v>M/S Sajib Enterprise (C)</v>
          </cell>
          <cell r="E403" t="str">
            <v>01353</v>
          </cell>
        </row>
        <row r="404">
          <cell r="D404" t="str">
            <v>M/S Farhan Auto (C)</v>
          </cell>
          <cell r="E404" t="str">
            <v>01298</v>
          </cell>
        </row>
        <row r="405">
          <cell r="D405" t="str">
            <v>M/S Comilla Traders</v>
          </cell>
          <cell r="E405" t="str">
            <v>00334</v>
          </cell>
        </row>
        <row r="406">
          <cell r="D406" t="str">
            <v>M/S Comilla Traders</v>
          </cell>
          <cell r="E406" t="str">
            <v>00334</v>
          </cell>
        </row>
        <row r="407">
          <cell r="D407" t="str">
            <v>M/S Comilla Traders</v>
          </cell>
          <cell r="E407" t="str">
            <v>00334</v>
          </cell>
        </row>
        <row r="408">
          <cell r="D408" t="str">
            <v>M/S Comilla Traders</v>
          </cell>
          <cell r="E408" t="str">
            <v>00334</v>
          </cell>
        </row>
        <row r="409">
          <cell r="D409" t="str">
            <v>M/S Bondhu Auto and CNG Workshop</v>
          </cell>
          <cell r="E409" t="str">
            <v>01149</v>
          </cell>
        </row>
        <row r="410">
          <cell r="D410" t="str">
            <v>M/S Bondhu Auto and CNG Workshop</v>
          </cell>
          <cell r="E410" t="str">
            <v>01149</v>
          </cell>
        </row>
        <row r="411">
          <cell r="D411" t="str">
            <v>M/S Bondhu Auto and CNG Workshop</v>
          </cell>
          <cell r="E411" t="str">
            <v>01149</v>
          </cell>
        </row>
        <row r="412">
          <cell r="D412" t="str">
            <v>M/S Minara Traders</v>
          </cell>
          <cell r="E412" t="str">
            <v>01108</v>
          </cell>
        </row>
        <row r="413">
          <cell r="D413" t="str">
            <v>M/S Tanvir Battery House</v>
          </cell>
          <cell r="E413" t="str">
            <v>01175</v>
          </cell>
        </row>
        <row r="414">
          <cell r="D414" t="str">
            <v>M/S Tanvir Battery House</v>
          </cell>
          <cell r="E414" t="str">
            <v>01175</v>
          </cell>
        </row>
        <row r="415">
          <cell r="D415" t="str">
            <v>M/S Prarthona Motors (C)</v>
          </cell>
          <cell r="E415" t="str">
            <v>01451</v>
          </cell>
        </row>
        <row r="416">
          <cell r="D416" t="str">
            <v>M/S Hafiz Battery House</v>
          </cell>
          <cell r="E416" t="str">
            <v>01368</v>
          </cell>
        </row>
        <row r="417">
          <cell r="D417" t="str">
            <v>M/S Hafiz Battery House</v>
          </cell>
          <cell r="E417" t="str">
            <v>01368</v>
          </cell>
        </row>
        <row r="418">
          <cell r="D418" t="str">
            <v>M/S Hafiz Battery House</v>
          </cell>
          <cell r="E418" t="str">
            <v>01368</v>
          </cell>
        </row>
        <row r="419">
          <cell r="D419" t="str">
            <v>M/S Siam Motors</v>
          </cell>
          <cell r="E419" t="str">
            <v>00367</v>
          </cell>
        </row>
        <row r="420">
          <cell r="D420" t="str">
            <v>M/S Doyal Battery</v>
          </cell>
          <cell r="E420" t="str">
            <v>00337</v>
          </cell>
        </row>
        <row r="421">
          <cell r="D421" t="str">
            <v>M/S Doyal Battery</v>
          </cell>
          <cell r="E421" t="str">
            <v>00337</v>
          </cell>
        </row>
        <row r="422">
          <cell r="D422" t="str">
            <v>M/S Doyal Battery</v>
          </cell>
          <cell r="E422" t="str">
            <v>00337</v>
          </cell>
        </row>
        <row r="423">
          <cell r="D423" t="str">
            <v>M/S S.K. Enterprise (C)</v>
          </cell>
          <cell r="E423" t="str">
            <v>01326</v>
          </cell>
        </row>
        <row r="424">
          <cell r="D424" t="str">
            <v>M/S Bhai Bhai Battery And Motors</v>
          </cell>
          <cell r="E424" t="str">
            <v>01453</v>
          </cell>
        </row>
        <row r="425">
          <cell r="D425" t="str">
            <v>M/S Souro Power Electric</v>
          </cell>
          <cell r="E425" t="str">
            <v>01285</v>
          </cell>
        </row>
        <row r="426">
          <cell r="D426" t="str">
            <v>M/S Molla Battery House (C)</v>
          </cell>
          <cell r="E426" t="str">
            <v>01428</v>
          </cell>
        </row>
        <row r="427">
          <cell r="D427" t="str">
            <v>M/S Sony Autos</v>
          </cell>
          <cell r="E427" t="str">
            <v>00495</v>
          </cell>
        </row>
        <row r="428">
          <cell r="D428" t="str">
            <v>M/S City Auto</v>
          </cell>
          <cell r="E428" t="str">
            <v>00398</v>
          </cell>
        </row>
        <row r="429">
          <cell r="D429" t="str">
            <v>M/S Fateha Battery</v>
          </cell>
          <cell r="E429" t="str">
            <v>00388</v>
          </cell>
        </row>
        <row r="430">
          <cell r="D430" t="str">
            <v>M/S Bismillah Battery House -Sylhet</v>
          </cell>
          <cell r="E430" t="str">
            <v>00389</v>
          </cell>
        </row>
        <row r="431">
          <cell r="D431" t="str">
            <v>M/S Souro Power Electric (C)</v>
          </cell>
          <cell r="E431" t="str">
            <v>01455</v>
          </cell>
        </row>
        <row r="432">
          <cell r="D432" t="str">
            <v>M/S Shopon Battery House (C)</v>
          </cell>
          <cell r="E432" t="str">
            <v>01320</v>
          </cell>
        </row>
        <row r="433">
          <cell r="D433" t="str">
            <v>M/S Shopon Battery House (C)</v>
          </cell>
          <cell r="E433" t="str">
            <v>01320</v>
          </cell>
        </row>
        <row r="434">
          <cell r="D434" t="str">
            <v>M/S Shopon Battery House (C)</v>
          </cell>
          <cell r="E434" t="str">
            <v>01320</v>
          </cell>
        </row>
        <row r="435">
          <cell r="D435" t="str">
            <v>M/S Mahtab Engineering Workshop</v>
          </cell>
          <cell r="E435" t="str">
            <v>01429</v>
          </cell>
        </row>
        <row r="436">
          <cell r="D436" t="str">
            <v>M/S Mahtab Engineering Workshop</v>
          </cell>
          <cell r="E436" t="str">
            <v>01429</v>
          </cell>
        </row>
        <row r="437">
          <cell r="D437" t="str">
            <v>M/S Ripon Tyre and Battery</v>
          </cell>
          <cell r="E437" t="str">
            <v>00002</v>
          </cell>
        </row>
        <row r="438">
          <cell r="D438" t="str">
            <v>M/S Ripon Tyre and Battery</v>
          </cell>
          <cell r="E438" t="str">
            <v>00002</v>
          </cell>
        </row>
        <row r="439">
          <cell r="D439" t="str">
            <v>M/S Lutfor Auto Battery House</v>
          </cell>
          <cell r="E439" t="str">
            <v>00829</v>
          </cell>
        </row>
        <row r="440">
          <cell r="D440" t="str">
            <v>M/S Taiyeba Motors</v>
          </cell>
          <cell r="E440" t="str">
            <v>01394</v>
          </cell>
        </row>
        <row r="441">
          <cell r="D441" t="str">
            <v>M/S New Al-Amin Battery House</v>
          </cell>
          <cell r="E441" t="str">
            <v>00270</v>
          </cell>
        </row>
        <row r="442">
          <cell r="D442" t="str">
            <v>M/S Modina Enterprise - Savar</v>
          </cell>
          <cell r="E442" t="str">
            <v>01404</v>
          </cell>
        </row>
        <row r="443">
          <cell r="D443" t="str">
            <v>M/S Saiful Motors</v>
          </cell>
          <cell r="E443" t="str">
            <v>00482</v>
          </cell>
        </row>
        <row r="444">
          <cell r="D444" t="str">
            <v>Kalam Enterprise</v>
          </cell>
          <cell r="E444" t="str">
            <v>01341</v>
          </cell>
        </row>
        <row r="445">
          <cell r="D445" t="str">
            <v>Kalam Enterprise</v>
          </cell>
          <cell r="E445" t="str">
            <v>01341</v>
          </cell>
        </row>
        <row r="446">
          <cell r="D446" t="str">
            <v>M/S Farhan Auto (C)</v>
          </cell>
          <cell r="E446" t="str">
            <v>01298</v>
          </cell>
        </row>
        <row r="447">
          <cell r="D447" t="str">
            <v>M/S Farhan Auto (C)</v>
          </cell>
          <cell r="E447" t="str">
            <v>01298</v>
          </cell>
        </row>
        <row r="448">
          <cell r="D448" t="str">
            <v>M/S Monir Auto &amp; Battery House</v>
          </cell>
          <cell r="E448" t="str">
            <v>00001</v>
          </cell>
        </row>
        <row r="449">
          <cell r="D449" t="str">
            <v>M/S Ananna Battery &amp; Tyre</v>
          </cell>
          <cell r="E449" t="str">
            <v>01088</v>
          </cell>
        </row>
        <row r="450">
          <cell r="D450" t="str">
            <v>M/S Hira Motors-Chokoria</v>
          </cell>
          <cell r="E450" t="str">
            <v>01441</v>
          </cell>
        </row>
        <row r="451">
          <cell r="D451" t="str">
            <v>M/S Hira Motors-Chokoria</v>
          </cell>
          <cell r="E451" t="str">
            <v>01441</v>
          </cell>
        </row>
        <row r="452">
          <cell r="D452" t="str">
            <v>M/S Doyal Battery</v>
          </cell>
          <cell r="E452" t="str">
            <v>00337</v>
          </cell>
        </row>
        <row r="453">
          <cell r="D453" t="str">
            <v>M/S Doyal Battery</v>
          </cell>
          <cell r="E453" t="str">
            <v>00337</v>
          </cell>
        </row>
        <row r="454">
          <cell r="D454" t="str">
            <v>M/S Doyal Battery</v>
          </cell>
          <cell r="E454" t="str">
            <v>00337</v>
          </cell>
        </row>
        <row r="455">
          <cell r="D455" t="str">
            <v>M/S Raisa Radia  Battery House</v>
          </cell>
          <cell r="E455" t="str">
            <v>00867</v>
          </cell>
        </row>
        <row r="456">
          <cell r="D456" t="str">
            <v>M/S Rajapur IPS &amp; Battery House</v>
          </cell>
          <cell r="E456" t="str">
            <v>01400</v>
          </cell>
        </row>
        <row r="457">
          <cell r="D457" t="str">
            <v>M/S Rajapur IPS &amp; Battery House</v>
          </cell>
          <cell r="E457" t="str">
            <v>01400</v>
          </cell>
        </row>
        <row r="458">
          <cell r="D458" t="str">
            <v>M/S Khalaq Motors-Feni</v>
          </cell>
          <cell r="E458" t="str">
            <v>01133</v>
          </cell>
        </row>
        <row r="459">
          <cell r="D459" t="str">
            <v>M/S Setu Cycle Mart</v>
          </cell>
          <cell r="E459" t="str">
            <v>00471</v>
          </cell>
        </row>
        <row r="460">
          <cell r="D460" t="str">
            <v>M/S Setu Cycle Mart</v>
          </cell>
          <cell r="E460" t="str">
            <v>00471</v>
          </cell>
        </row>
        <row r="461">
          <cell r="D461" t="str">
            <v>M/S Setu Cycle Mart</v>
          </cell>
          <cell r="E461" t="str">
            <v>00471</v>
          </cell>
        </row>
        <row r="462">
          <cell r="D462" t="str">
            <v>M/S Setu Cycle Mart</v>
          </cell>
          <cell r="E462" t="str">
            <v>00471</v>
          </cell>
        </row>
        <row r="463">
          <cell r="D463" t="str">
            <v>M/S Setu Cycle Mart</v>
          </cell>
          <cell r="E463" t="str">
            <v>00471</v>
          </cell>
        </row>
        <row r="464">
          <cell r="D464" t="str">
            <v>M/S Fateha Battery</v>
          </cell>
          <cell r="E464" t="str">
            <v>00388</v>
          </cell>
        </row>
        <row r="465">
          <cell r="D465" t="str">
            <v>M/S Fateha Battery</v>
          </cell>
          <cell r="E465" t="str">
            <v>00388</v>
          </cell>
        </row>
        <row r="466">
          <cell r="D466" t="str">
            <v>M/S Tanha Battery House (C)</v>
          </cell>
          <cell r="E466" t="str">
            <v>01457</v>
          </cell>
        </row>
        <row r="467">
          <cell r="D467" t="str">
            <v>M/S Jamuna Battery House</v>
          </cell>
          <cell r="E467" t="str">
            <v>01456</v>
          </cell>
        </row>
        <row r="468">
          <cell r="D468" t="str">
            <v>M/S Jamuna Battery House</v>
          </cell>
          <cell r="E468" t="str">
            <v>01456</v>
          </cell>
        </row>
        <row r="469">
          <cell r="D469" t="str">
            <v>M/S Rafiq Vi Battery &amp; Auto</v>
          </cell>
          <cell r="E469" t="str">
            <v>01405</v>
          </cell>
        </row>
        <row r="470">
          <cell r="D470" t="str">
            <v>M/S Jogotbondhu Battery &amp; Eng. Workshop</v>
          </cell>
          <cell r="E470" t="str">
            <v>00143</v>
          </cell>
        </row>
        <row r="471">
          <cell r="D471" t="str">
            <v>M/S Jogotbondhu Battery &amp; Eng. Workshop</v>
          </cell>
          <cell r="E471" t="str">
            <v>00143</v>
          </cell>
        </row>
        <row r="472">
          <cell r="D472" t="str">
            <v>M/S Macca Tyre And battery House</v>
          </cell>
          <cell r="E472" t="str">
            <v>00439</v>
          </cell>
        </row>
        <row r="473">
          <cell r="D473" t="str">
            <v>M/S Macca Tyre And battery House</v>
          </cell>
          <cell r="E473" t="str">
            <v>00439</v>
          </cell>
        </row>
        <row r="474">
          <cell r="D474" t="str">
            <v>M/S Macca Tyre And battery House</v>
          </cell>
          <cell r="E474" t="str">
            <v>00439</v>
          </cell>
        </row>
        <row r="475">
          <cell r="D475" t="str">
            <v>M/S Power Battery</v>
          </cell>
          <cell r="E475" t="str">
            <v>00324</v>
          </cell>
        </row>
        <row r="476">
          <cell r="D476" t="str">
            <v>M/S Power Battery</v>
          </cell>
          <cell r="E476" t="str">
            <v>00324</v>
          </cell>
        </row>
        <row r="477">
          <cell r="D477" t="str">
            <v>M/S Power Battery</v>
          </cell>
          <cell r="E477" t="str">
            <v>00324</v>
          </cell>
        </row>
        <row r="478">
          <cell r="D478" t="str">
            <v>M/S S.K. Enterprise</v>
          </cell>
          <cell r="E478" t="str">
            <v>00845</v>
          </cell>
        </row>
        <row r="479">
          <cell r="D479" t="str">
            <v>M/S Modina Cycle Store</v>
          </cell>
          <cell r="E479" t="str">
            <v>01270</v>
          </cell>
        </row>
        <row r="480">
          <cell r="D480" t="str">
            <v>M/S Modina Cycle Store</v>
          </cell>
          <cell r="E480" t="str">
            <v>01270</v>
          </cell>
        </row>
        <row r="481">
          <cell r="D481" t="str">
            <v>M/S New Surid Auto Parts</v>
          </cell>
          <cell r="E481" t="str">
            <v>00029</v>
          </cell>
        </row>
        <row r="482">
          <cell r="D482" t="str">
            <v>M/S Samir Battery And Tyre</v>
          </cell>
          <cell r="E482" t="str">
            <v>01450</v>
          </cell>
        </row>
        <row r="483">
          <cell r="D483" t="str">
            <v>M/S Samir Battery And Tyre</v>
          </cell>
          <cell r="E483" t="str">
            <v>01450</v>
          </cell>
        </row>
        <row r="484">
          <cell r="D484" t="str">
            <v>M/S Sohan Motors</v>
          </cell>
          <cell r="E484" t="str">
            <v>01385</v>
          </cell>
        </row>
        <row r="485">
          <cell r="D485" t="str">
            <v>M/S Sohan Motors</v>
          </cell>
          <cell r="E485" t="str">
            <v>01385</v>
          </cell>
        </row>
        <row r="486">
          <cell r="D486" t="str">
            <v>M/S Shapla Battery &amp; Auto House</v>
          </cell>
          <cell r="E486" t="str">
            <v>01447</v>
          </cell>
        </row>
        <row r="487">
          <cell r="D487" t="str">
            <v>M/S Shapla Battery &amp; Auto House</v>
          </cell>
          <cell r="E487" t="str">
            <v>01447</v>
          </cell>
        </row>
        <row r="488">
          <cell r="D488" t="str">
            <v>M/S New Dhaka Motors and Battery</v>
          </cell>
          <cell r="E488" t="str">
            <v>00005</v>
          </cell>
        </row>
        <row r="489">
          <cell r="D489" t="str">
            <v>M/S Anas Battery &amp; Auto House</v>
          </cell>
          <cell r="E489" t="str">
            <v>01401</v>
          </cell>
        </row>
        <row r="490">
          <cell r="D490" t="str">
            <v>M/S Khalaq Motors-Feni</v>
          </cell>
          <cell r="E490" t="str">
            <v>01133</v>
          </cell>
        </row>
        <row r="491">
          <cell r="D491" t="str">
            <v>M/S S.S. Enterprise-Norshingdi</v>
          </cell>
          <cell r="E491" t="str">
            <v>01118</v>
          </cell>
        </row>
        <row r="492">
          <cell r="D492" t="str">
            <v>M/S Satata Battery House</v>
          </cell>
          <cell r="E492" t="str">
            <v>01417</v>
          </cell>
        </row>
        <row r="493">
          <cell r="D493" t="str">
            <v>M/S Babul Enterprise (C)</v>
          </cell>
          <cell r="E493" t="str">
            <v>01292</v>
          </cell>
        </row>
        <row r="494">
          <cell r="D494" t="str">
            <v>M/S Saiful Motors</v>
          </cell>
          <cell r="E494" t="str">
            <v>00482</v>
          </cell>
        </row>
        <row r="495">
          <cell r="D495" t="str">
            <v>M/S S.K. Enterprise (C)</v>
          </cell>
          <cell r="E495" t="str">
            <v>01326</v>
          </cell>
        </row>
        <row r="496">
          <cell r="D496" t="str">
            <v>M/S S.K. Enterprise (C)</v>
          </cell>
          <cell r="E496" t="str">
            <v>01326</v>
          </cell>
        </row>
        <row r="497">
          <cell r="D497" t="str">
            <v>M/S Macca Tyre And battery House</v>
          </cell>
          <cell r="E497" t="str">
            <v>00439</v>
          </cell>
        </row>
        <row r="498">
          <cell r="D498" t="str">
            <v>M/S Monir Auto &amp; Battery House</v>
          </cell>
          <cell r="E498" t="str">
            <v>00001</v>
          </cell>
        </row>
        <row r="499">
          <cell r="D499" t="str">
            <v>M/S Ananna Battery &amp; Tyre</v>
          </cell>
          <cell r="E499" t="str">
            <v>01088</v>
          </cell>
        </row>
        <row r="500">
          <cell r="D500" t="str">
            <v>M/S Ananna Battery &amp; Tyre</v>
          </cell>
          <cell r="E500" t="str">
            <v>01088</v>
          </cell>
        </row>
        <row r="501">
          <cell r="D501" t="str">
            <v>M/S AL Amin Parts Store (C)</v>
          </cell>
          <cell r="E501" t="str">
            <v>01354</v>
          </cell>
        </row>
        <row r="502">
          <cell r="D502" t="str">
            <v>M/S Molla Battery House (C)</v>
          </cell>
          <cell r="E502" t="str">
            <v>01428</v>
          </cell>
        </row>
        <row r="503">
          <cell r="D503" t="str">
            <v>M/S Battery House - Pabna (C)</v>
          </cell>
          <cell r="E503" t="str">
            <v>01315</v>
          </cell>
        </row>
        <row r="504">
          <cell r="D504" t="str">
            <v>M/S S. K. Battery and Motors</v>
          </cell>
          <cell r="E504" t="str">
            <v>01458</v>
          </cell>
        </row>
        <row r="505">
          <cell r="D505" t="str">
            <v>M/S Ira Motors</v>
          </cell>
          <cell r="E505" t="str">
            <v>00133</v>
          </cell>
        </row>
        <row r="506">
          <cell r="D506" t="str">
            <v>M/S Snigdha Battery</v>
          </cell>
          <cell r="E506" t="str">
            <v>00134</v>
          </cell>
        </row>
        <row r="507">
          <cell r="D507" t="str">
            <v>M/S Bondhu Auto and CNG Workshop</v>
          </cell>
          <cell r="E507" t="str">
            <v>01149</v>
          </cell>
        </row>
        <row r="508">
          <cell r="D508" t="str">
            <v>M/S Bondhu Auto and CNG Workshop</v>
          </cell>
          <cell r="E508" t="str">
            <v>01149</v>
          </cell>
        </row>
        <row r="509">
          <cell r="D509" t="str">
            <v>M/S Comilla Traders</v>
          </cell>
          <cell r="E509" t="str">
            <v>00334</v>
          </cell>
        </row>
        <row r="510">
          <cell r="D510" t="str">
            <v>M/S Comilla Traders</v>
          </cell>
          <cell r="E510" t="str">
            <v>00334</v>
          </cell>
        </row>
        <row r="511">
          <cell r="D511" t="str">
            <v>M/S A.P.L. Auto House</v>
          </cell>
          <cell r="E511" t="str">
            <v>00328</v>
          </cell>
        </row>
        <row r="512">
          <cell r="D512" t="str">
            <v>M/S Tanvir Battery House</v>
          </cell>
          <cell r="E512" t="str">
            <v>01175</v>
          </cell>
        </row>
        <row r="513">
          <cell r="D513" t="str">
            <v>M/S Tanvir Battery House</v>
          </cell>
          <cell r="E513" t="str">
            <v>01175</v>
          </cell>
        </row>
        <row r="514">
          <cell r="D514" t="str">
            <v>M/S Tanvir Battery House</v>
          </cell>
          <cell r="E514" t="str">
            <v>01175</v>
          </cell>
        </row>
        <row r="515">
          <cell r="D515" t="str">
            <v>M/S Fateha Battery</v>
          </cell>
          <cell r="E515" t="str">
            <v>00388</v>
          </cell>
        </row>
        <row r="516">
          <cell r="D516" t="str">
            <v>M/S Fateha Battery</v>
          </cell>
          <cell r="E516" t="str">
            <v>00388</v>
          </cell>
        </row>
      </sheetData>
      <sheetData sheetId="2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Dealer Wise Net Sales Register2"/>
      <sheetName val="Sheet2"/>
      <sheetName val="Sheet3"/>
    </sheetNames>
    <sheetDataSet>
      <sheetData sheetId="0" refreshError="1"/>
      <sheetData sheetId="1" refreshError="1">
        <row r="8">
          <cell r="D8" t="str">
            <v>Customer Name</v>
          </cell>
          <cell r="E8" t="str">
            <v>Pad Name</v>
          </cell>
        </row>
        <row r="9">
          <cell r="D9" t="str">
            <v>M/S Master Motor's</v>
          </cell>
          <cell r="E9" t="str">
            <v>00217</v>
          </cell>
        </row>
        <row r="10">
          <cell r="D10" t="str">
            <v>M/S Hira Motors</v>
          </cell>
          <cell r="E10" t="str">
            <v>01100</v>
          </cell>
        </row>
        <row r="11">
          <cell r="D11" t="str">
            <v>M/S Hazi Automobiles &amp; Service Centre</v>
          </cell>
          <cell r="E11" t="str">
            <v>00315</v>
          </cell>
        </row>
        <row r="12">
          <cell r="D12" t="str">
            <v>M/S Taher Enterprise</v>
          </cell>
          <cell r="E12" t="str">
            <v>00366</v>
          </cell>
        </row>
        <row r="13">
          <cell r="D13" t="str">
            <v>M/S Sanjida Auto</v>
          </cell>
          <cell r="E13" t="str">
            <v>00603</v>
          </cell>
        </row>
        <row r="14">
          <cell r="D14" t="str">
            <v>M/S New Mintu Motors</v>
          </cell>
          <cell r="E14" t="str">
            <v>00588</v>
          </cell>
        </row>
        <row r="15">
          <cell r="D15" t="str">
            <v>M/S Mizan Traders</v>
          </cell>
          <cell r="E15" t="str">
            <v>00179</v>
          </cell>
        </row>
        <row r="16">
          <cell r="D16" t="str">
            <v>M/S Al Madina Enterprise</v>
          </cell>
          <cell r="E16" t="str">
            <v>00814</v>
          </cell>
        </row>
        <row r="17">
          <cell r="D17" t="str">
            <v>M/S Shepon Motors</v>
          </cell>
          <cell r="E17" t="str">
            <v>00749</v>
          </cell>
        </row>
        <row r="18">
          <cell r="D18" t="str">
            <v>M/S Oreya Enterprise</v>
          </cell>
          <cell r="E18" t="str">
            <v>00537</v>
          </cell>
        </row>
        <row r="19">
          <cell r="D19" t="str">
            <v>M/S Gausia Mill Store</v>
          </cell>
          <cell r="E19" t="str">
            <v>00615</v>
          </cell>
        </row>
        <row r="20">
          <cell r="D20" t="str">
            <v>M/S Hira Motors</v>
          </cell>
          <cell r="E20" t="str">
            <v>01100</v>
          </cell>
        </row>
        <row r="21">
          <cell r="D21" t="str">
            <v>M/S Pagla Mama Auto Parts</v>
          </cell>
          <cell r="E21" t="str">
            <v>01170</v>
          </cell>
        </row>
        <row r="22">
          <cell r="D22" t="str">
            <v>M/S Pagla Mama Auto Parts</v>
          </cell>
          <cell r="E22" t="str">
            <v>01170</v>
          </cell>
        </row>
        <row r="23">
          <cell r="D23" t="str">
            <v>M/S Mashpi Battery &amp; Auto</v>
          </cell>
          <cell r="E23" t="str">
            <v>01152</v>
          </cell>
        </row>
        <row r="24">
          <cell r="D24" t="str">
            <v>M/S Mashpi Battery &amp; Auto</v>
          </cell>
          <cell r="E24" t="str">
            <v>01152</v>
          </cell>
        </row>
        <row r="25">
          <cell r="D25" t="str">
            <v>M/S Mashpi Battery &amp; Auto</v>
          </cell>
          <cell r="E25" t="str">
            <v>01152</v>
          </cell>
        </row>
        <row r="26">
          <cell r="D26" t="str">
            <v>M/S Al Madina Enterprise</v>
          </cell>
          <cell r="E26" t="str">
            <v>00814</v>
          </cell>
        </row>
        <row r="27">
          <cell r="D27" t="str">
            <v>M/S Oppo Parts &amp; Battery House</v>
          </cell>
          <cell r="E27" t="str">
            <v>01508</v>
          </cell>
        </row>
        <row r="28">
          <cell r="D28" t="str">
            <v>M/S Alam Battery House</v>
          </cell>
          <cell r="E28" t="str">
            <v>00442</v>
          </cell>
        </row>
        <row r="29">
          <cell r="D29" t="str">
            <v>M/S Oreya Enterprise</v>
          </cell>
          <cell r="E29" t="str">
            <v>00537</v>
          </cell>
        </row>
        <row r="30">
          <cell r="D30" t="str">
            <v>M/S Shikdar Auto House</v>
          </cell>
          <cell r="E30" t="str">
            <v>01493</v>
          </cell>
        </row>
        <row r="31">
          <cell r="D31" t="str">
            <v>M/S Satata Battery House (C)</v>
          </cell>
          <cell r="E31" t="str">
            <v>01517</v>
          </cell>
        </row>
        <row r="32">
          <cell r="D32" t="str">
            <v>M/S Satata Battery House (C)</v>
          </cell>
          <cell r="E32" t="str">
            <v>01517</v>
          </cell>
        </row>
        <row r="33">
          <cell r="D33" t="str">
            <v>M/S Sagorika Motors</v>
          </cell>
          <cell r="E33" t="str">
            <v>01503</v>
          </cell>
        </row>
        <row r="34">
          <cell r="D34" t="str">
            <v>M/S Al Madina Enterprise</v>
          </cell>
          <cell r="E34" t="str">
            <v>00814</v>
          </cell>
        </row>
        <row r="35">
          <cell r="D35" t="str">
            <v>M/S Allahar Dan Battery</v>
          </cell>
          <cell r="E35" t="str">
            <v>01466</v>
          </cell>
        </row>
        <row r="36">
          <cell r="D36" t="str">
            <v>M/S Oppo Parts &amp; Battery House</v>
          </cell>
          <cell r="E36" t="str">
            <v>01508</v>
          </cell>
        </row>
        <row r="37">
          <cell r="D37" t="str">
            <v>M/S New Al-Amin Battery House</v>
          </cell>
          <cell r="E37" t="str">
            <v>00270</v>
          </cell>
        </row>
        <row r="38">
          <cell r="D38" t="str">
            <v>M/S Oppo Parts &amp; Battery House</v>
          </cell>
          <cell r="E38" t="str">
            <v>01508</v>
          </cell>
        </row>
        <row r="39">
          <cell r="D39" t="str">
            <v>M/S New Al-Amin Battery House</v>
          </cell>
          <cell r="E39" t="str">
            <v>00270</v>
          </cell>
        </row>
        <row r="40">
          <cell r="D40" t="str">
            <v>M/S Shikdar Auto House</v>
          </cell>
          <cell r="E40" t="str">
            <v>01493</v>
          </cell>
        </row>
        <row r="41">
          <cell r="D41" t="str">
            <v>M/S Arafat Enterprise</v>
          </cell>
          <cell r="E41" t="str">
            <v>00094</v>
          </cell>
        </row>
        <row r="42">
          <cell r="D42" t="str">
            <v>M/S Arafat Enterprise</v>
          </cell>
          <cell r="E42" t="str">
            <v>00094</v>
          </cell>
        </row>
        <row r="43">
          <cell r="D43" t="str">
            <v>M/S Arafat Enterprise</v>
          </cell>
          <cell r="E43" t="str">
            <v>00094</v>
          </cell>
        </row>
        <row r="44">
          <cell r="D44" t="str">
            <v>M/S Shoshi Enterprise</v>
          </cell>
          <cell r="E44" t="str">
            <v>01153</v>
          </cell>
        </row>
        <row r="45">
          <cell r="D45" t="str">
            <v>M/S Mithila Auto Show Room</v>
          </cell>
          <cell r="E45" t="str">
            <v>01499</v>
          </cell>
        </row>
        <row r="46">
          <cell r="D46" t="str">
            <v>M/S Mahtab Engineering Workshop</v>
          </cell>
          <cell r="E46" t="str">
            <v>01429</v>
          </cell>
        </row>
        <row r="47">
          <cell r="D47" t="str">
            <v>M/S New Mintu Motors</v>
          </cell>
          <cell r="E47" t="str">
            <v>00588</v>
          </cell>
        </row>
        <row r="48">
          <cell r="D48" t="str">
            <v>M/S Mahtab Engineering Workshop</v>
          </cell>
          <cell r="E48" t="str">
            <v>01429</v>
          </cell>
        </row>
        <row r="49">
          <cell r="D49" t="str">
            <v>M/S New Mintu Motors</v>
          </cell>
          <cell r="E49" t="str">
            <v>00588</v>
          </cell>
        </row>
        <row r="50">
          <cell r="D50" t="str">
            <v>M/S Gazipur Battery House</v>
          </cell>
          <cell r="E50" t="str">
            <v>00826</v>
          </cell>
        </row>
        <row r="51">
          <cell r="D51" t="str">
            <v>M/S National Battery - Lalmonirhat</v>
          </cell>
          <cell r="E51" t="str">
            <v>00579</v>
          </cell>
        </row>
        <row r="52">
          <cell r="D52" t="str">
            <v>M/S Gazipur Battery House</v>
          </cell>
          <cell r="E52" t="str">
            <v>00826</v>
          </cell>
        </row>
        <row r="53">
          <cell r="D53" t="str">
            <v>M/S National Battery - Lalmonirhat</v>
          </cell>
          <cell r="E53" t="str">
            <v>00579</v>
          </cell>
        </row>
        <row r="54">
          <cell r="D54" t="str">
            <v>M/S National Battery - Lalmonirhat</v>
          </cell>
          <cell r="E54" t="str">
            <v>00579</v>
          </cell>
        </row>
        <row r="55">
          <cell r="D55" t="str">
            <v>M/S S.B. Energy</v>
          </cell>
          <cell r="E55" t="str">
            <v>00087</v>
          </cell>
        </row>
        <row r="56">
          <cell r="D56" t="str">
            <v>M/S Mashpi Battery &amp; Auto</v>
          </cell>
          <cell r="E56" t="str">
            <v>01152</v>
          </cell>
        </row>
        <row r="57">
          <cell r="D57" t="str">
            <v>M/S Modina Enterprise - Savar</v>
          </cell>
          <cell r="E57" t="str">
            <v>01404</v>
          </cell>
        </row>
        <row r="58">
          <cell r="D58" t="str">
            <v>M/S Taher Enterprise</v>
          </cell>
          <cell r="E58" t="str">
            <v>00366</v>
          </cell>
        </row>
        <row r="59">
          <cell r="D59" t="str">
            <v>M/S Raja Enterprise</v>
          </cell>
          <cell r="E59" t="str">
            <v>01077</v>
          </cell>
        </row>
        <row r="60">
          <cell r="D60" t="str">
            <v>M/S Ananna Battery &amp; Tyre</v>
          </cell>
          <cell r="E60" t="str">
            <v>01088</v>
          </cell>
        </row>
        <row r="61">
          <cell r="D61" t="str">
            <v>M/S Ananna Battery &amp; Tyre</v>
          </cell>
          <cell r="E61" t="str">
            <v>01088</v>
          </cell>
        </row>
        <row r="62">
          <cell r="D62" t="str">
            <v>M/S Rashed Enterprise</v>
          </cell>
          <cell r="E62" t="str">
            <v>00030</v>
          </cell>
        </row>
        <row r="63">
          <cell r="D63" t="str">
            <v>M/S Hazi Automobiles &amp; Service Centre</v>
          </cell>
          <cell r="E63" t="str">
            <v>00315</v>
          </cell>
        </row>
        <row r="64">
          <cell r="D64" t="str">
            <v>M/S Raja Enterprise</v>
          </cell>
          <cell r="E64" t="str">
            <v>01077</v>
          </cell>
        </row>
        <row r="65">
          <cell r="D65" t="str">
            <v>M/S Anas Enterprise</v>
          </cell>
          <cell r="E65" t="str">
            <v>00817</v>
          </cell>
        </row>
        <row r="66">
          <cell r="D66" t="str">
            <v>M/S Anas Enterprise</v>
          </cell>
          <cell r="E66" t="str">
            <v>00817</v>
          </cell>
        </row>
        <row r="67">
          <cell r="D67" t="str">
            <v>M/S New Dhaka Motors and Battery</v>
          </cell>
          <cell r="E67" t="str">
            <v>00005</v>
          </cell>
        </row>
        <row r="68">
          <cell r="D68" t="str">
            <v>M/S Mama Vagina Auto Center</v>
          </cell>
          <cell r="E68" t="str">
            <v>01516</v>
          </cell>
        </row>
        <row r="69">
          <cell r="D69" t="str">
            <v>M/S New Dhaka Motors and Battery</v>
          </cell>
          <cell r="E69" t="str">
            <v>00005</v>
          </cell>
        </row>
        <row r="70">
          <cell r="D70" t="str">
            <v>M/S Adnan Tyre and Battery House</v>
          </cell>
          <cell r="E70" t="str">
            <v>01371</v>
          </cell>
        </row>
        <row r="71">
          <cell r="D71" t="str">
            <v>M/S New Mintu Motors</v>
          </cell>
          <cell r="E71" t="str">
            <v>00588</v>
          </cell>
        </row>
        <row r="72">
          <cell r="D72" t="str">
            <v>M/S Khan Auto Bike &amp; Battery</v>
          </cell>
          <cell r="E72" t="str">
            <v>00180</v>
          </cell>
        </row>
        <row r="73">
          <cell r="D73" t="str">
            <v>M/S S.K. Enterprise (C)</v>
          </cell>
          <cell r="E73" t="str">
            <v>01326</v>
          </cell>
        </row>
        <row r="74">
          <cell r="D74" t="str">
            <v>M/S S.K. Enterprise (C)</v>
          </cell>
          <cell r="E74" t="str">
            <v>01326</v>
          </cell>
        </row>
        <row r="75">
          <cell r="D75" t="str">
            <v>M/S S.K. Enterprise (C)</v>
          </cell>
          <cell r="E75" t="str">
            <v>01326</v>
          </cell>
        </row>
        <row r="76">
          <cell r="D76" t="str">
            <v>M/S S.K. Enterprise (C)</v>
          </cell>
          <cell r="E76" t="str">
            <v>01326</v>
          </cell>
        </row>
        <row r="77">
          <cell r="D77" t="str">
            <v>M/S S.K. Enterprise (C)</v>
          </cell>
          <cell r="E77" t="str">
            <v>01326</v>
          </cell>
        </row>
        <row r="78">
          <cell r="D78" t="str">
            <v>M/S Khan Auto Bike &amp; Battery</v>
          </cell>
          <cell r="E78" t="str">
            <v>00180</v>
          </cell>
        </row>
        <row r="79">
          <cell r="D79" t="str">
            <v>M/S S.K. Enterprise (C)</v>
          </cell>
          <cell r="E79" t="str">
            <v>01326</v>
          </cell>
        </row>
        <row r="80">
          <cell r="D80" t="str">
            <v>M/S Oppo Parts &amp; Battery House</v>
          </cell>
          <cell r="E80" t="str">
            <v>01508</v>
          </cell>
        </row>
        <row r="81">
          <cell r="D81" t="str">
            <v>M/S Oppo Parts &amp; Battery House</v>
          </cell>
          <cell r="E81" t="str">
            <v>01508</v>
          </cell>
        </row>
        <row r="82">
          <cell r="D82" t="str">
            <v>M/S S.K. Enterprise (C)</v>
          </cell>
          <cell r="E82" t="str">
            <v>01326</v>
          </cell>
        </row>
        <row r="83">
          <cell r="D83" t="str">
            <v>M/S S.K. Enterprise (C)</v>
          </cell>
          <cell r="E83" t="str">
            <v>01326</v>
          </cell>
        </row>
        <row r="84">
          <cell r="D84" t="str">
            <v>M/S Oppo Parts &amp; Battery House</v>
          </cell>
          <cell r="E84" t="str">
            <v>01508</v>
          </cell>
        </row>
        <row r="85">
          <cell r="D85" t="str">
            <v>M/S Bhai Bhai Cycle Mart</v>
          </cell>
          <cell r="E85" t="str">
            <v>00823</v>
          </cell>
        </row>
        <row r="86">
          <cell r="D86" t="str">
            <v>M/S Belal Battery House</v>
          </cell>
          <cell r="E86" t="str">
            <v>01461</v>
          </cell>
        </row>
        <row r="87">
          <cell r="D87" t="str">
            <v>M/S Gausia Mill Store</v>
          </cell>
          <cell r="E87" t="str">
            <v>00615</v>
          </cell>
        </row>
        <row r="88">
          <cell r="D88" t="str">
            <v>M/S Kalam Auto Motor Parts And Battery House</v>
          </cell>
          <cell r="E88" t="str">
            <v>00420</v>
          </cell>
        </row>
        <row r="89">
          <cell r="D89" t="str">
            <v>M/S Gausia Mill Store</v>
          </cell>
          <cell r="E89" t="str">
            <v>00615</v>
          </cell>
        </row>
        <row r="90">
          <cell r="D90" t="str">
            <v>M/S Gausia Mill Store</v>
          </cell>
          <cell r="E90" t="str">
            <v>00615</v>
          </cell>
        </row>
        <row r="91">
          <cell r="D91" t="str">
            <v>M/S Gausia Mill Store</v>
          </cell>
          <cell r="E91" t="str">
            <v>00615</v>
          </cell>
        </row>
        <row r="92">
          <cell r="D92" t="str">
            <v>M/S Mama Vagina Auto Center</v>
          </cell>
          <cell r="E92" t="str">
            <v>01516</v>
          </cell>
        </row>
        <row r="93">
          <cell r="D93" t="str">
            <v>M/S Kalam Auto Motor Parts And Battery House</v>
          </cell>
          <cell r="E93" t="str">
            <v>00420</v>
          </cell>
        </row>
        <row r="94">
          <cell r="D94" t="str">
            <v>M/S Kalam Auto Motor Parts And Battery House</v>
          </cell>
          <cell r="E94" t="str">
            <v>00420</v>
          </cell>
        </row>
        <row r="95">
          <cell r="D95" t="str">
            <v>M/S Kalam Auto Motor Parts And Battery House</v>
          </cell>
          <cell r="E95" t="str">
            <v>00420</v>
          </cell>
        </row>
        <row r="96">
          <cell r="D96" t="str">
            <v>M/S Kalam Auto Motor Parts And Battery House</v>
          </cell>
          <cell r="E96" t="str">
            <v>00420</v>
          </cell>
        </row>
        <row r="97">
          <cell r="D97" t="str">
            <v>M/S Farhan Auto (C)</v>
          </cell>
          <cell r="E97" t="str">
            <v>01298</v>
          </cell>
        </row>
        <row r="98">
          <cell r="D98" t="str">
            <v>M/S Farhan Auto (C)</v>
          </cell>
          <cell r="E98" t="str">
            <v>01298</v>
          </cell>
        </row>
        <row r="99">
          <cell r="D99" t="str">
            <v>M/S Master Motor's</v>
          </cell>
          <cell r="E99" t="str">
            <v>00217</v>
          </cell>
        </row>
        <row r="100">
          <cell r="D100" t="str">
            <v>M/S Supreme Auto (C)</v>
          </cell>
          <cell r="E100" t="str">
            <v>01300</v>
          </cell>
        </row>
        <row r="101">
          <cell r="D101" t="str">
            <v>M/S Master Motor's</v>
          </cell>
          <cell r="E101" t="str">
            <v>00217</v>
          </cell>
        </row>
        <row r="102">
          <cell r="D102" t="str">
            <v>M/S Nabarun Auto Baik Parts</v>
          </cell>
          <cell r="E102" t="str">
            <v>00422</v>
          </cell>
        </row>
        <row r="103">
          <cell r="D103" t="str">
            <v>M/S Mayer Doya Auto Parts-Feni</v>
          </cell>
          <cell r="E103" t="str">
            <v>00373</v>
          </cell>
        </row>
        <row r="104">
          <cell r="D104" t="str">
            <v>M/S Allahar Dan Enterprise-Norail</v>
          </cell>
          <cell r="E104" t="str">
            <v>01528</v>
          </cell>
        </row>
        <row r="105">
          <cell r="D105" t="str">
            <v>M/S Allahar Dan Enterprise-Norail</v>
          </cell>
          <cell r="E105" t="str">
            <v>01528</v>
          </cell>
        </row>
        <row r="106">
          <cell r="D106" t="str">
            <v>M/S Mayer Doya Auto Parts-Laksam</v>
          </cell>
          <cell r="E106" t="str">
            <v>00325</v>
          </cell>
        </row>
        <row r="107">
          <cell r="D107" t="str">
            <v>M/S Allahar Dan Enterprise-Norail</v>
          </cell>
          <cell r="E107" t="str">
            <v>01528</v>
          </cell>
        </row>
        <row r="108">
          <cell r="D108" t="str">
            <v>M/S Allahar Dan Enterprise-Norail</v>
          </cell>
          <cell r="E108" t="str">
            <v>01528</v>
          </cell>
        </row>
        <row r="109">
          <cell r="D109" t="str">
            <v>M/S Mayer Doya Auto Parts-Laksam</v>
          </cell>
          <cell r="E109" t="str">
            <v>00325</v>
          </cell>
        </row>
        <row r="110">
          <cell r="D110" t="str">
            <v>M/S Khokon IPS &amp; Battery Center (C)</v>
          </cell>
          <cell r="E110" t="str">
            <v>01306</v>
          </cell>
        </row>
        <row r="111">
          <cell r="D111" t="str">
            <v>M/S Anis Auto</v>
          </cell>
          <cell r="E111" t="str">
            <v>00685</v>
          </cell>
        </row>
        <row r="112">
          <cell r="D112" t="str">
            <v>M/S Mahadi Motors</v>
          </cell>
          <cell r="E112" t="str">
            <v>01343</v>
          </cell>
        </row>
        <row r="113">
          <cell r="D113" t="str">
            <v>M/S Sajib Enterprise (C)</v>
          </cell>
          <cell r="E113" t="str">
            <v>01353</v>
          </cell>
        </row>
        <row r="114">
          <cell r="D114" t="str">
            <v>M/S S.S. Enterprise-Norshingdi (C)</v>
          </cell>
          <cell r="E114" t="str">
            <v>01331</v>
          </cell>
        </row>
        <row r="115">
          <cell r="D115" t="str">
            <v>M/S S.S. Enterprise-Norshingdi (C)</v>
          </cell>
          <cell r="E115" t="str">
            <v>01331</v>
          </cell>
        </row>
        <row r="116">
          <cell r="D116" t="str">
            <v>M/S S.S. Enterprise-Norshingdi (C)</v>
          </cell>
          <cell r="E116" t="str">
            <v>01331</v>
          </cell>
        </row>
        <row r="117">
          <cell r="D117" t="str">
            <v>M/S S.S. Enterprise-Norshingdi (C)</v>
          </cell>
          <cell r="E117" t="str">
            <v>01331</v>
          </cell>
        </row>
        <row r="118">
          <cell r="D118" t="str">
            <v>M/S Sadaf Auto &amp;  Vulcanizing Corner</v>
          </cell>
          <cell r="E118" t="str">
            <v>00089</v>
          </cell>
        </row>
        <row r="119">
          <cell r="D119" t="str">
            <v>M/S Monir Auto &amp; Battery House</v>
          </cell>
          <cell r="E119" t="str">
            <v>00001</v>
          </cell>
        </row>
        <row r="120">
          <cell r="D120" t="str">
            <v>M/S Monir Auto &amp; Battery House</v>
          </cell>
          <cell r="E120" t="str">
            <v>00001</v>
          </cell>
        </row>
        <row r="121">
          <cell r="D121" t="str">
            <v>M/S Monir Auto &amp; Battery House</v>
          </cell>
          <cell r="E121" t="str">
            <v>00001</v>
          </cell>
        </row>
        <row r="122">
          <cell r="D122" t="str">
            <v>M/S Hazi Automobiles &amp; Service Centre</v>
          </cell>
          <cell r="E122" t="str">
            <v>00315</v>
          </cell>
        </row>
        <row r="123">
          <cell r="D123" t="str">
            <v>M/S Monir Auto &amp; Battery House</v>
          </cell>
          <cell r="E123" t="str">
            <v>00001</v>
          </cell>
        </row>
        <row r="124">
          <cell r="D124" t="str">
            <v>M/S Monir Auto &amp; Battery House</v>
          </cell>
          <cell r="E124" t="str">
            <v>00001</v>
          </cell>
        </row>
        <row r="125">
          <cell r="D125" t="str">
            <v>M/S Oppo Parts &amp; Battery House</v>
          </cell>
          <cell r="E125" t="str">
            <v>01508</v>
          </cell>
        </row>
        <row r="126">
          <cell r="D126" t="str">
            <v>M/S Khan Battery Recycling (C)</v>
          </cell>
          <cell r="E126" t="str">
            <v>01282</v>
          </cell>
        </row>
        <row r="127">
          <cell r="D127" t="str">
            <v>M/S Oppo Parts &amp; Battery House</v>
          </cell>
          <cell r="E127" t="str">
            <v>01508</v>
          </cell>
        </row>
        <row r="128">
          <cell r="D128" t="str">
            <v>M/S Jom Jom Battery &amp; Parts</v>
          </cell>
          <cell r="E128" t="str">
            <v>01492</v>
          </cell>
        </row>
        <row r="129">
          <cell r="D129" t="str">
            <v>M/S Sawda Auto and Battery</v>
          </cell>
          <cell r="E129" t="str">
            <v>01261</v>
          </cell>
        </row>
        <row r="130">
          <cell r="D130" t="str">
            <v>M/S Nasir Motors</v>
          </cell>
          <cell r="E130" t="str">
            <v>01248</v>
          </cell>
        </row>
        <row r="131">
          <cell r="D131" t="str">
            <v>M/S Bismillah Battery House -Sylhet</v>
          </cell>
          <cell r="E131" t="str">
            <v>00389</v>
          </cell>
        </row>
        <row r="132">
          <cell r="D132" t="str">
            <v>M/S Allahar Dan Enterprise-Norail</v>
          </cell>
          <cell r="E132" t="str">
            <v>01528</v>
          </cell>
        </row>
        <row r="133">
          <cell r="D133" t="str">
            <v>M/S Sohan Motors</v>
          </cell>
          <cell r="E133" t="str">
            <v>01385</v>
          </cell>
        </row>
        <row r="134">
          <cell r="D134" t="str">
            <v>M/S Sohan Motors</v>
          </cell>
          <cell r="E134" t="str">
            <v>01385</v>
          </cell>
        </row>
        <row r="135">
          <cell r="D135" t="str">
            <v>M/S Bismillah Motors-Hinla</v>
          </cell>
          <cell r="E135" t="str">
            <v>01448</v>
          </cell>
        </row>
        <row r="136">
          <cell r="D136" t="str">
            <v>M/S Power Battery And Tyre</v>
          </cell>
          <cell r="E136" t="str">
            <v>01477</v>
          </cell>
        </row>
        <row r="137">
          <cell r="D137" t="str">
            <v>M/S Shikdar Auto House</v>
          </cell>
          <cell r="E137" t="str">
            <v>01493</v>
          </cell>
        </row>
        <row r="138">
          <cell r="D138" t="str">
            <v>Kalam Enterprise</v>
          </cell>
          <cell r="E138" t="str">
            <v>01341</v>
          </cell>
        </row>
        <row r="139">
          <cell r="D139" t="str">
            <v>M/S Ira Motors</v>
          </cell>
          <cell r="E139" t="str">
            <v>00133</v>
          </cell>
        </row>
        <row r="140">
          <cell r="D140" t="str">
            <v>M/S Gausia Mill Store</v>
          </cell>
          <cell r="E140" t="str">
            <v>00615</v>
          </cell>
        </row>
        <row r="141">
          <cell r="D141" t="str">
            <v>M/S Gausia Mill Store</v>
          </cell>
          <cell r="E141" t="str">
            <v>00615</v>
          </cell>
        </row>
        <row r="142">
          <cell r="D142" t="str">
            <v>M/S Ira Motors</v>
          </cell>
          <cell r="E142" t="str">
            <v>00133</v>
          </cell>
        </row>
        <row r="143">
          <cell r="D143" t="str">
            <v>M/S Gausia Mill Store</v>
          </cell>
          <cell r="E143" t="str">
            <v>00615</v>
          </cell>
        </row>
        <row r="144">
          <cell r="D144" t="str">
            <v>M/S Islamia Battery Service- Chandpur</v>
          </cell>
          <cell r="E144" t="str">
            <v>00306</v>
          </cell>
        </row>
        <row r="145">
          <cell r="D145" t="str">
            <v>M/S Babul Enterprise (C)</v>
          </cell>
          <cell r="E145" t="str">
            <v>01292</v>
          </cell>
        </row>
        <row r="146">
          <cell r="D146" t="str">
            <v>M/S Babul Enterprise (C)</v>
          </cell>
          <cell r="E146" t="str">
            <v>01292</v>
          </cell>
        </row>
        <row r="147">
          <cell r="D147" t="str">
            <v>M/S Talukder Motors (C)</v>
          </cell>
          <cell r="E147" t="str">
            <v>01471</v>
          </cell>
        </row>
        <row r="148">
          <cell r="D148" t="str">
            <v>M/S Talukder Motors (C)</v>
          </cell>
          <cell r="E148" t="str">
            <v>01471</v>
          </cell>
        </row>
        <row r="149">
          <cell r="D149" t="str">
            <v>M/S Al Madina Enterprise</v>
          </cell>
          <cell r="E149" t="str">
            <v>00814</v>
          </cell>
        </row>
        <row r="150">
          <cell r="D150" t="str">
            <v>M/S Joynal Electric &amp; Solar</v>
          </cell>
          <cell r="E150" t="str">
            <v>01532</v>
          </cell>
        </row>
        <row r="151">
          <cell r="D151" t="str">
            <v>M/S Joynal Electric &amp; Solar</v>
          </cell>
          <cell r="E151" t="str">
            <v>01532</v>
          </cell>
        </row>
        <row r="152">
          <cell r="D152" t="str">
            <v>M/S Joynal Electric &amp; Solar</v>
          </cell>
          <cell r="E152" t="str">
            <v>01532</v>
          </cell>
        </row>
        <row r="153">
          <cell r="D153" t="str">
            <v>M/S S.K. Trading Corporation (C)</v>
          </cell>
          <cell r="E153" t="str">
            <v>01523</v>
          </cell>
        </row>
        <row r="154">
          <cell r="D154" t="str">
            <v>M/S S.K. Trading Corporation (C)</v>
          </cell>
          <cell r="E154" t="str">
            <v>01523</v>
          </cell>
        </row>
        <row r="155">
          <cell r="D155" t="str">
            <v>M/S Joynal Electric &amp; Solar</v>
          </cell>
          <cell r="E155" t="str">
            <v>01532</v>
          </cell>
        </row>
        <row r="156">
          <cell r="D156" t="str">
            <v>M/S Joynal Electric &amp; Solar</v>
          </cell>
          <cell r="E156" t="str">
            <v>01532</v>
          </cell>
        </row>
        <row r="157">
          <cell r="D157" t="str">
            <v>M/S Master Motor's</v>
          </cell>
          <cell r="E157" t="str">
            <v>00217</v>
          </cell>
        </row>
        <row r="158">
          <cell r="D158" t="str">
            <v>M/S Awlad Electronics</v>
          </cell>
          <cell r="E158" t="str">
            <v>01284</v>
          </cell>
        </row>
        <row r="159">
          <cell r="D159" t="str">
            <v>M/S Shopon Battery House (C)</v>
          </cell>
          <cell r="E159" t="str">
            <v>01320</v>
          </cell>
        </row>
        <row r="160">
          <cell r="D160" t="str">
            <v>M/S Shopon Battery House (C)</v>
          </cell>
          <cell r="E160" t="str">
            <v>01320</v>
          </cell>
        </row>
        <row r="161">
          <cell r="D161" t="str">
            <v>M/S Shopon Battery House (C)</v>
          </cell>
          <cell r="E161" t="str">
            <v>01320</v>
          </cell>
        </row>
        <row r="162">
          <cell r="D162" t="str">
            <v>M/S Bhai Bhai Traders-Kendua</v>
          </cell>
          <cell r="E162" t="str">
            <v>00165</v>
          </cell>
        </row>
        <row r="163">
          <cell r="D163" t="str">
            <v>M/S Shopon Battery House (C)</v>
          </cell>
          <cell r="E163" t="str">
            <v>01320</v>
          </cell>
        </row>
        <row r="164">
          <cell r="D164" t="str">
            <v>M/S Jom Jom Battery &amp; Parts</v>
          </cell>
          <cell r="E164" t="str">
            <v>01492</v>
          </cell>
        </row>
        <row r="165">
          <cell r="D165" t="str">
            <v>M/S Shopon Battery House (C)</v>
          </cell>
          <cell r="E165" t="str">
            <v>01320</v>
          </cell>
        </row>
        <row r="166">
          <cell r="D166" t="str">
            <v>M/S Molla Battery House (C)</v>
          </cell>
          <cell r="E166" t="str">
            <v>01428</v>
          </cell>
        </row>
        <row r="167">
          <cell r="D167" t="str">
            <v>M/S Master Motor's</v>
          </cell>
          <cell r="E167" t="str">
            <v>00217</v>
          </cell>
        </row>
        <row r="168">
          <cell r="D168" t="str">
            <v>M/S Oppo Parts &amp; Battery House</v>
          </cell>
          <cell r="E168" t="str">
            <v>01508</v>
          </cell>
        </row>
        <row r="169">
          <cell r="D169" t="str">
            <v>M/S Manir Battery Charging Station (C)</v>
          </cell>
          <cell r="E169" t="str">
            <v>01324</v>
          </cell>
        </row>
        <row r="170">
          <cell r="D170" t="str">
            <v>M/S Al Madina Enterprise</v>
          </cell>
          <cell r="E170" t="str">
            <v>00814</v>
          </cell>
        </row>
        <row r="171">
          <cell r="D171" t="str">
            <v>M/S Farhan Battery &amp; Auto Parts</v>
          </cell>
          <cell r="E171" t="str">
            <v>01470</v>
          </cell>
        </row>
        <row r="172">
          <cell r="D172" t="str">
            <v>M/S Bogura Auto Center (C)</v>
          </cell>
          <cell r="E172" t="str">
            <v>01468</v>
          </cell>
        </row>
        <row r="173">
          <cell r="D173" t="str">
            <v>M/S Bogura Auto Center (C)</v>
          </cell>
          <cell r="E173" t="str">
            <v>01468</v>
          </cell>
        </row>
        <row r="174">
          <cell r="D174" t="str">
            <v>M/S Hira Motors</v>
          </cell>
          <cell r="E174" t="str">
            <v>01100</v>
          </cell>
        </row>
        <row r="175">
          <cell r="D175" t="str">
            <v>M/S Nobodhara Corporation</v>
          </cell>
          <cell r="E175" t="str">
            <v>01352</v>
          </cell>
        </row>
        <row r="176">
          <cell r="D176" t="str">
            <v>M/S Hazi Automobiles &amp; Service Centre</v>
          </cell>
          <cell r="E176" t="str">
            <v>00315</v>
          </cell>
        </row>
        <row r="177">
          <cell r="D177" t="str">
            <v>M/S Jim Enterprise</v>
          </cell>
          <cell r="E177" t="str">
            <v>01474</v>
          </cell>
        </row>
        <row r="178">
          <cell r="D178" t="str">
            <v>M/S Samir Battery And Tyre</v>
          </cell>
          <cell r="E178" t="str">
            <v>01450</v>
          </cell>
        </row>
        <row r="179">
          <cell r="D179" t="str">
            <v>M/S Samir Battery And Tyre</v>
          </cell>
          <cell r="E179" t="str">
            <v>01450</v>
          </cell>
        </row>
        <row r="180">
          <cell r="D180" t="str">
            <v>M/S Khokon IPS &amp; Battery Center</v>
          </cell>
          <cell r="E180" t="str">
            <v>00330</v>
          </cell>
        </row>
        <row r="181">
          <cell r="D181" t="str">
            <v>M/S Mithila Auto Show Room</v>
          </cell>
          <cell r="E181" t="str">
            <v>01499</v>
          </cell>
        </row>
        <row r="182">
          <cell r="D182" t="str">
            <v>M/S Ripon Tyre and Battery</v>
          </cell>
          <cell r="E182" t="str">
            <v>00002</v>
          </cell>
        </row>
        <row r="183">
          <cell r="D183" t="str">
            <v>M/S Ripon Tyre and Battery</v>
          </cell>
          <cell r="E183" t="str">
            <v>00002</v>
          </cell>
        </row>
        <row r="184">
          <cell r="D184" t="str">
            <v>M/S Ripon Tyre and Battery</v>
          </cell>
          <cell r="E184" t="str">
            <v>00002</v>
          </cell>
        </row>
        <row r="185">
          <cell r="D185" t="str">
            <v>M/S Ripon Tyre and Battery</v>
          </cell>
          <cell r="E185" t="str">
            <v>00002</v>
          </cell>
        </row>
        <row r="186">
          <cell r="D186" t="str">
            <v>M/S Ripon Tyre and Battery</v>
          </cell>
          <cell r="E186" t="str">
            <v>00002</v>
          </cell>
        </row>
        <row r="187">
          <cell r="D187" t="str">
            <v>M/S Ripon Tyre and Battery</v>
          </cell>
          <cell r="E187" t="str">
            <v>00002</v>
          </cell>
        </row>
        <row r="188">
          <cell r="D188" t="str">
            <v>M/S Ripon Tyre and Battery</v>
          </cell>
          <cell r="E188" t="str">
            <v>00002</v>
          </cell>
        </row>
        <row r="189">
          <cell r="D189" t="str">
            <v>M/S Mashpi Battery &amp; Auto</v>
          </cell>
          <cell r="E189" t="str">
            <v>01152</v>
          </cell>
        </row>
        <row r="190">
          <cell r="D190" t="str">
            <v>M/S Mashpi Battery &amp; Auto</v>
          </cell>
          <cell r="E190" t="str">
            <v>01152</v>
          </cell>
        </row>
        <row r="191">
          <cell r="D191" t="str">
            <v>M/S Shepon Motors</v>
          </cell>
          <cell r="E191" t="str">
            <v>00749</v>
          </cell>
        </row>
        <row r="192">
          <cell r="D192" t="str">
            <v>M/S Amir Auto House</v>
          </cell>
          <cell r="E192" t="str">
            <v>00138</v>
          </cell>
        </row>
        <row r="193">
          <cell r="D193" t="str">
            <v>M/S City Auto</v>
          </cell>
          <cell r="E193" t="str">
            <v>00398</v>
          </cell>
        </row>
        <row r="194">
          <cell r="D194" t="str">
            <v>M/S Raja Enterprise</v>
          </cell>
          <cell r="E194" t="str">
            <v>01077</v>
          </cell>
        </row>
        <row r="195">
          <cell r="D195" t="str">
            <v>M/S City Auto</v>
          </cell>
          <cell r="E195" t="str">
            <v>00398</v>
          </cell>
        </row>
        <row r="196">
          <cell r="D196" t="str">
            <v>M/S Al Madina Enterprise</v>
          </cell>
          <cell r="E196" t="str">
            <v>00814</v>
          </cell>
        </row>
        <row r="197">
          <cell r="D197" t="str">
            <v>M/S S.M. Enterprise- Sunamgonj</v>
          </cell>
          <cell r="E197" t="str">
            <v>00390</v>
          </cell>
        </row>
        <row r="198">
          <cell r="D198" t="str">
            <v>M/S Setu Cycle Mart</v>
          </cell>
          <cell r="E198" t="str">
            <v>00471</v>
          </cell>
        </row>
        <row r="199">
          <cell r="D199" t="str">
            <v>M/S Setu Cycle Mart</v>
          </cell>
          <cell r="E199" t="str">
            <v>00471</v>
          </cell>
        </row>
        <row r="200">
          <cell r="D200" t="str">
            <v>M/S Setu Cycle Mart</v>
          </cell>
          <cell r="E200" t="str">
            <v>00471</v>
          </cell>
        </row>
        <row r="201">
          <cell r="D201" t="str">
            <v>M/S Setu Cycle Mart</v>
          </cell>
          <cell r="E201" t="str">
            <v>00471</v>
          </cell>
        </row>
        <row r="202">
          <cell r="D202" t="str">
            <v>M/S Hira Motors</v>
          </cell>
          <cell r="E202" t="str">
            <v>01100</v>
          </cell>
        </row>
        <row r="203">
          <cell r="D203" t="str">
            <v>M/S Saiful Motors</v>
          </cell>
          <cell r="E203" t="str">
            <v>00482</v>
          </cell>
        </row>
        <row r="204">
          <cell r="D204" t="str">
            <v>M/S Gausia Mill Store</v>
          </cell>
          <cell r="E204" t="str">
            <v>00615</v>
          </cell>
        </row>
        <row r="205">
          <cell r="D205" t="str">
            <v>M/S Gausia Mill Store</v>
          </cell>
          <cell r="E205" t="str">
            <v>00615</v>
          </cell>
        </row>
        <row r="206">
          <cell r="D206" t="str">
            <v>M/S Shah Mojidia Motor Parts</v>
          </cell>
          <cell r="E206" t="str">
            <v>00842</v>
          </cell>
        </row>
        <row r="207">
          <cell r="D207" t="str">
            <v>M/S Mama Vagina Auto Center</v>
          </cell>
          <cell r="E207" t="str">
            <v>01516</v>
          </cell>
        </row>
        <row r="208">
          <cell r="D208" t="str">
            <v>M/S Kalam Store</v>
          </cell>
          <cell r="E208" t="str">
            <v>01436</v>
          </cell>
        </row>
        <row r="209">
          <cell r="D209" t="str">
            <v>M/S Kalam Store</v>
          </cell>
          <cell r="E209" t="str">
            <v>01436</v>
          </cell>
        </row>
        <row r="210">
          <cell r="D210" t="str">
            <v>M/S Kalam Store</v>
          </cell>
          <cell r="E210" t="str">
            <v>01436</v>
          </cell>
        </row>
        <row r="211">
          <cell r="D211" t="str">
            <v>M/S Kalam Store</v>
          </cell>
          <cell r="E211" t="str">
            <v>01436</v>
          </cell>
        </row>
        <row r="212">
          <cell r="D212" t="str">
            <v>M/S Gawsia Enterprise</v>
          </cell>
          <cell r="E212" t="str">
            <v>00348</v>
          </cell>
        </row>
        <row r="213">
          <cell r="D213" t="str">
            <v>M/S New Raju Battery</v>
          </cell>
          <cell r="E213" t="str">
            <v>00498</v>
          </cell>
        </row>
        <row r="214">
          <cell r="D214" t="str">
            <v>M/S Anamika Auto Rickshow</v>
          </cell>
          <cell r="E214" t="str">
            <v>00496</v>
          </cell>
        </row>
        <row r="215">
          <cell r="D215" t="str">
            <v>M/S Anamika Auto Rickshow</v>
          </cell>
          <cell r="E215" t="str">
            <v>00496</v>
          </cell>
        </row>
        <row r="216">
          <cell r="D216" t="str">
            <v>M/S Sangu Battery House</v>
          </cell>
          <cell r="E216" t="str">
            <v>00988</v>
          </cell>
        </row>
        <row r="217">
          <cell r="D217" t="str">
            <v>M/S Sangu Battery House</v>
          </cell>
          <cell r="E217" t="str">
            <v>00988</v>
          </cell>
        </row>
        <row r="218">
          <cell r="D218" t="str">
            <v>M/S S.S. Enterprise-Norshingdi</v>
          </cell>
          <cell r="E218" t="str">
            <v>01118</v>
          </cell>
        </row>
        <row r="219">
          <cell r="D219" t="str">
            <v>M/S Doyal Battery</v>
          </cell>
          <cell r="E219" t="str">
            <v>00337</v>
          </cell>
        </row>
        <row r="220">
          <cell r="D220" t="str">
            <v>M/S Doyal Battery</v>
          </cell>
          <cell r="E220" t="str">
            <v>00337</v>
          </cell>
        </row>
        <row r="221">
          <cell r="D221" t="str">
            <v>M/S Doyal Battery</v>
          </cell>
          <cell r="E221" t="str">
            <v>00337</v>
          </cell>
        </row>
        <row r="222">
          <cell r="D222" t="str">
            <v>M/S Doyal Battery</v>
          </cell>
          <cell r="E222" t="str">
            <v>00337</v>
          </cell>
        </row>
        <row r="223">
          <cell r="D223" t="str">
            <v>M/S Doyal Battery</v>
          </cell>
          <cell r="E223" t="str">
            <v>00337</v>
          </cell>
        </row>
        <row r="224">
          <cell r="D224" t="str">
            <v>M/S Bondhu Auto and CNG Workshop</v>
          </cell>
          <cell r="E224" t="str">
            <v>01149</v>
          </cell>
        </row>
        <row r="225">
          <cell r="D225" t="str">
            <v>M/S Bondhu Auto and CNG Workshop</v>
          </cell>
          <cell r="E225" t="str">
            <v>01149</v>
          </cell>
        </row>
        <row r="226">
          <cell r="D226" t="str">
            <v>M/S Bondhu Auto and CNG Workshop</v>
          </cell>
          <cell r="E226" t="str">
            <v>01149</v>
          </cell>
        </row>
        <row r="227">
          <cell r="D227" t="str">
            <v>M/S Modina Cycle Store (C)</v>
          </cell>
          <cell r="E227" t="str">
            <v>01519</v>
          </cell>
        </row>
        <row r="228">
          <cell r="D228" t="str">
            <v>M/S Anas Enterprise</v>
          </cell>
          <cell r="E228" t="str">
            <v>00817</v>
          </cell>
        </row>
        <row r="229">
          <cell r="D229" t="str">
            <v>M/S Ripon Tyre and Battery</v>
          </cell>
          <cell r="E229" t="str">
            <v>00002</v>
          </cell>
        </row>
        <row r="230">
          <cell r="D230" t="str">
            <v>M/S Modina Enterprise - Savar</v>
          </cell>
          <cell r="E230" t="str">
            <v>01404</v>
          </cell>
        </row>
        <row r="231">
          <cell r="D231" t="str">
            <v>M/S New Dhaka Motors and Battery</v>
          </cell>
          <cell r="E231" t="str">
            <v>00005</v>
          </cell>
        </row>
        <row r="232">
          <cell r="D232" t="str">
            <v>M/S Ananna Battery &amp; Tyre</v>
          </cell>
          <cell r="E232" t="str">
            <v>01088</v>
          </cell>
        </row>
        <row r="233">
          <cell r="D233" t="str">
            <v>M/S Khan Battery Recycling (C)</v>
          </cell>
          <cell r="E233" t="str">
            <v>01282</v>
          </cell>
        </row>
        <row r="234">
          <cell r="D234" t="str">
            <v>M/S Monir Auto &amp; Battery House</v>
          </cell>
          <cell r="E234" t="str">
            <v>00001</v>
          </cell>
        </row>
        <row r="235">
          <cell r="D235" t="str">
            <v>M/S Ma Tyre &amp; Battery  Shop</v>
          </cell>
          <cell r="E235" t="str">
            <v>00088</v>
          </cell>
        </row>
        <row r="236">
          <cell r="D236" t="str">
            <v>M/S Shoshi Enterprise (C)</v>
          </cell>
          <cell r="E236" t="str">
            <v>01335</v>
          </cell>
        </row>
        <row r="237">
          <cell r="D237" t="str">
            <v>M/S Shoshi Enterprise (C)</v>
          </cell>
          <cell r="E237" t="str">
            <v>01335</v>
          </cell>
        </row>
        <row r="238">
          <cell r="D238" t="str">
            <v>M/S S.B. Energy (C)</v>
          </cell>
          <cell r="E238" t="str">
            <v>01288</v>
          </cell>
        </row>
        <row r="239">
          <cell r="D239" t="str">
            <v>M/S Adhunik Battery And IPS Bitan</v>
          </cell>
          <cell r="E239" t="str">
            <v>01359</v>
          </cell>
        </row>
        <row r="240">
          <cell r="D240" t="str">
            <v>M/S S.K. Enterprise (C)</v>
          </cell>
          <cell r="E240" t="str">
            <v>01326</v>
          </cell>
        </row>
        <row r="241">
          <cell r="D241" t="str">
            <v>M/S S.K. Enterprise (C)</v>
          </cell>
          <cell r="E241" t="str">
            <v>01326</v>
          </cell>
        </row>
        <row r="242">
          <cell r="D242" t="str">
            <v>M/S S.K. Enterprise (C)</v>
          </cell>
          <cell r="E242" t="str">
            <v>01326</v>
          </cell>
        </row>
        <row r="243">
          <cell r="D243" t="str">
            <v>M/S S.K. Enterprise (C)</v>
          </cell>
          <cell r="E243" t="str">
            <v>01326</v>
          </cell>
        </row>
        <row r="244">
          <cell r="D244" t="str">
            <v>M/S S.K. Enterprise (C)</v>
          </cell>
          <cell r="E244" t="str">
            <v>01326</v>
          </cell>
        </row>
        <row r="245">
          <cell r="D245" t="str">
            <v>M/S Kalam Auto Motor Parts And Battery House</v>
          </cell>
          <cell r="E245" t="str">
            <v>00420</v>
          </cell>
        </row>
        <row r="246">
          <cell r="D246" t="str">
            <v>M/S Anas Battery &amp; Auto House</v>
          </cell>
          <cell r="E246" t="str">
            <v>01401</v>
          </cell>
        </row>
        <row r="247">
          <cell r="D247" t="str">
            <v>M/S Anas Battery &amp; Auto House</v>
          </cell>
          <cell r="E247" t="str">
            <v>01401</v>
          </cell>
        </row>
        <row r="248">
          <cell r="D248" t="str">
            <v>M/S Sajib Enterprise (C)</v>
          </cell>
          <cell r="E248" t="str">
            <v>01353</v>
          </cell>
        </row>
        <row r="249">
          <cell r="D249" t="str">
            <v>M/S Sajib Enterprise (C)</v>
          </cell>
          <cell r="E249" t="str">
            <v>01353</v>
          </cell>
        </row>
        <row r="250">
          <cell r="D250" t="str">
            <v>M/S Sajib Enterprise (C)</v>
          </cell>
          <cell r="E250" t="str">
            <v>01353</v>
          </cell>
        </row>
        <row r="251">
          <cell r="D251" t="str">
            <v>M/S Sajib Enterprise (C)</v>
          </cell>
          <cell r="E251" t="str">
            <v>01353</v>
          </cell>
        </row>
        <row r="252">
          <cell r="D252" t="str">
            <v>M/S Sajib Enterprise (C)</v>
          </cell>
          <cell r="E252" t="str">
            <v>01353</v>
          </cell>
        </row>
        <row r="253">
          <cell r="D253" t="str">
            <v>M/S Khokon IPS &amp; Battery Center (C)</v>
          </cell>
          <cell r="E253" t="str">
            <v>01306</v>
          </cell>
        </row>
        <row r="254">
          <cell r="D254" t="str">
            <v>M/S Khokon IPS &amp; Battery Center (C)</v>
          </cell>
          <cell r="E254" t="str">
            <v>01306</v>
          </cell>
        </row>
        <row r="255">
          <cell r="D255" t="str">
            <v>M/S Mayer Doya Auto Parts-Laksam</v>
          </cell>
          <cell r="E255" t="str">
            <v>00325</v>
          </cell>
        </row>
        <row r="256">
          <cell r="D256" t="str">
            <v>M/S Mayer Doya Auto Parts-Laksam</v>
          </cell>
          <cell r="E256" t="str">
            <v>00325</v>
          </cell>
        </row>
        <row r="257">
          <cell r="D257" t="str">
            <v>M/S Babul Enterprise (C)</v>
          </cell>
          <cell r="E257" t="str">
            <v>01292</v>
          </cell>
        </row>
        <row r="258">
          <cell r="D258" t="str">
            <v>M/S Babul Enterprise (C)</v>
          </cell>
          <cell r="E258" t="str">
            <v>01292</v>
          </cell>
        </row>
        <row r="259">
          <cell r="D259" t="str">
            <v>M/S Talukder Motors (C)</v>
          </cell>
          <cell r="E259" t="str">
            <v>01471</v>
          </cell>
        </row>
        <row r="260">
          <cell r="D260" t="str">
            <v>M/S Talukder Motors (C)</v>
          </cell>
          <cell r="E260" t="str">
            <v>01471</v>
          </cell>
        </row>
        <row r="261">
          <cell r="D261" t="str">
            <v>M/S Bondhu Battery &amp; Auto</v>
          </cell>
          <cell r="E261" t="str">
            <v>00163</v>
          </cell>
        </row>
        <row r="262">
          <cell r="D262" t="str">
            <v>M/S Sadia Enterprise</v>
          </cell>
          <cell r="E262" t="str">
            <v>01490</v>
          </cell>
        </row>
        <row r="263">
          <cell r="D263" t="str">
            <v>M/S Sohan Motors</v>
          </cell>
          <cell r="E263" t="str">
            <v>01385</v>
          </cell>
        </row>
        <row r="264">
          <cell r="D264" t="str">
            <v>M/S Bismillah Motors-Hinla</v>
          </cell>
          <cell r="E264" t="str">
            <v>01448</v>
          </cell>
        </row>
        <row r="265">
          <cell r="D265" t="str">
            <v>M/S Bismillah Motors-Hinla</v>
          </cell>
          <cell r="E265" t="str">
            <v>01448</v>
          </cell>
        </row>
        <row r="266">
          <cell r="D266" t="str">
            <v>M/S G. S Motors and Battery</v>
          </cell>
          <cell r="E266" t="str">
            <v>01420</v>
          </cell>
        </row>
        <row r="267">
          <cell r="D267" t="str">
            <v>M/S Hira Motors-Chokoria</v>
          </cell>
          <cell r="E267" t="str">
            <v>01441</v>
          </cell>
        </row>
        <row r="268">
          <cell r="D268" t="str">
            <v>M/S Shah Mojidia Motor Parts</v>
          </cell>
          <cell r="E268" t="str">
            <v>00842</v>
          </cell>
        </row>
        <row r="269">
          <cell r="D269" t="str">
            <v>M/S Shah Mojidia Motor Parts</v>
          </cell>
          <cell r="E269" t="str">
            <v>00842</v>
          </cell>
        </row>
        <row r="270">
          <cell r="D270" t="str">
            <v>M/S Saiful Motors</v>
          </cell>
          <cell r="E270" t="str">
            <v>00482</v>
          </cell>
        </row>
        <row r="271">
          <cell r="D271" t="str">
            <v>M/S Shahjalal Traders</v>
          </cell>
          <cell r="E271" t="str">
            <v>01362</v>
          </cell>
        </row>
        <row r="272">
          <cell r="D272" t="str">
            <v>M/S Shahjalal Traders</v>
          </cell>
          <cell r="E272" t="str">
            <v>01362</v>
          </cell>
        </row>
        <row r="273">
          <cell r="D273" t="str">
            <v>M/S S.M. Enterprise- Sunamgonj</v>
          </cell>
          <cell r="E273" t="str">
            <v>00390</v>
          </cell>
        </row>
        <row r="274">
          <cell r="D274" t="str">
            <v>M/S City Auto</v>
          </cell>
          <cell r="E274" t="str">
            <v>00398</v>
          </cell>
        </row>
        <row r="275">
          <cell r="D275" t="str">
            <v>M/S City Auto</v>
          </cell>
          <cell r="E275" t="str">
            <v>00398</v>
          </cell>
        </row>
        <row r="276">
          <cell r="D276" t="str">
            <v>M/S L D Poribahan &amp; Trading (C)</v>
          </cell>
          <cell r="E276" t="str">
            <v>01299</v>
          </cell>
        </row>
        <row r="277">
          <cell r="D277" t="str">
            <v>M/S L D Poribahan &amp; Trading (C)</v>
          </cell>
          <cell r="E277" t="str">
            <v>01299</v>
          </cell>
        </row>
        <row r="278">
          <cell r="D278" t="str">
            <v>M/S L D Poribahan &amp; Trading (C)</v>
          </cell>
          <cell r="E278" t="str">
            <v>01299</v>
          </cell>
        </row>
        <row r="279">
          <cell r="D279" t="str">
            <v>M/S Farhan Auto (C)</v>
          </cell>
          <cell r="E279" t="str">
            <v>01298</v>
          </cell>
        </row>
        <row r="280">
          <cell r="D280" t="str">
            <v>M/S Manir Battery Charging Station (C)</v>
          </cell>
          <cell r="E280" t="str">
            <v>01324</v>
          </cell>
        </row>
        <row r="281">
          <cell r="D281" t="str">
            <v>M/S Manir Battery Charging Station (C)</v>
          </cell>
          <cell r="E281" t="str">
            <v>01324</v>
          </cell>
        </row>
        <row r="282">
          <cell r="D282" t="str">
            <v>M/S Bhai Bhai Battery And Motors</v>
          </cell>
          <cell r="E282" t="str">
            <v>01453</v>
          </cell>
        </row>
        <row r="283">
          <cell r="D283" t="str">
            <v>M/S Bhai Bhai Battery And Motors (C)</v>
          </cell>
          <cell r="E283" t="str">
            <v>01496</v>
          </cell>
        </row>
        <row r="284">
          <cell r="D284" t="str">
            <v>M/S Kalam Store</v>
          </cell>
          <cell r="E284" t="str">
            <v>01436</v>
          </cell>
        </row>
        <row r="285">
          <cell r="D285" t="str">
            <v>M/S Kalam Store</v>
          </cell>
          <cell r="E285" t="str">
            <v>01436</v>
          </cell>
        </row>
        <row r="286">
          <cell r="D286" t="str">
            <v>M/S Shopon Battery House (C)</v>
          </cell>
          <cell r="E286" t="str">
            <v>01320</v>
          </cell>
        </row>
        <row r="287">
          <cell r="D287" t="str">
            <v>M/S Molla Battery House (C)</v>
          </cell>
          <cell r="E287" t="str">
            <v>01428</v>
          </cell>
        </row>
        <row r="288">
          <cell r="D288" t="str">
            <v>M/S Molla Battery House (C)</v>
          </cell>
          <cell r="E288" t="str">
            <v>01428</v>
          </cell>
        </row>
        <row r="289">
          <cell r="D289" t="str">
            <v>M/S Awlad Electronics</v>
          </cell>
          <cell r="E289" t="str">
            <v>01284</v>
          </cell>
        </row>
        <row r="290">
          <cell r="D290" t="str">
            <v>M/S Awlad Electronics</v>
          </cell>
          <cell r="E290" t="str">
            <v>01284</v>
          </cell>
        </row>
        <row r="291">
          <cell r="D291" t="str">
            <v>M/S Awlad Electronics</v>
          </cell>
          <cell r="E291" t="str">
            <v>01284</v>
          </cell>
        </row>
        <row r="292">
          <cell r="D292" t="str">
            <v>M/S Sadiq Enterprise (C)</v>
          </cell>
          <cell r="E292" t="str">
            <v>01484</v>
          </cell>
        </row>
        <row r="293">
          <cell r="D293" t="str">
            <v>M/S Sadiq Enterprise (C)</v>
          </cell>
          <cell r="E293" t="str">
            <v>01484</v>
          </cell>
        </row>
        <row r="294">
          <cell r="D294" t="str">
            <v>M/S Battery House - Pabna (C)</v>
          </cell>
          <cell r="E294" t="str">
            <v>01315</v>
          </cell>
        </row>
        <row r="295">
          <cell r="D295" t="str">
            <v>Md. Moazzem Hossain D.M</v>
          </cell>
          <cell r="E295" t="str">
            <v>01355</v>
          </cell>
        </row>
        <row r="296">
          <cell r="D296" t="str">
            <v>M/S Sangu Battery House</v>
          </cell>
          <cell r="E296" t="str">
            <v>00988</v>
          </cell>
        </row>
        <row r="297">
          <cell r="D297" t="str">
            <v>M/S Lalmai Machineries &amp; Parts</v>
          </cell>
          <cell r="E297" t="str">
            <v>00329</v>
          </cell>
        </row>
        <row r="298">
          <cell r="D298" t="str">
            <v>M/S Payar Auto Electric Works</v>
          </cell>
          <cell r="E298" t="str">
            <v>00371</v>
          </cell>
        </row>
        <row r="299">
          <cell r="D299" t="str">
            <v>M/S Payar Auto Electric Works</v>
          </cell>
          <cell r="E299" t="str">
            <v>00371</v>
          </cell>
        </row>
        <row r="300">
          <cell r="D300" t="str">
            <v>M/S Snigdha Battery</v>
          </cell>
          <cell r="E300" t="str">
            <v>00134</v>
          </cell>
        </row>
        <row r="301">
          <cell r="D301" t="str">
            <v>M/S Snigdha Battery</v>
          </cell>
          <cell r="E301" t="str">
            <v>00134</v>
          </cell>
        </row>
        <row r="302">
          <cell r="D302" t="str">
            <v>M/S Setu Cycle Mart</v>
          </cell>
          <cell r="E302" t="str">
            <v>00471</v>
          </cell>
        </row>
        <row r="303">
          <cell r="D303" t="str">
            <v>M/S Setu Cycle Mart</v>
          </cell>
          <cell r="E303" t="str">
            <v>00471</v>
          </cell>
        </row>
        <row r="304">
          <cell r="D304" t="str">
            <v>M/S Setu Cycle Mart</v>
          </cell>
          <cell r="E304" t="str">
            <v>00471</v>
          </cell>
        </row>
        <row r="305">
          <cell r="D305" t="str">
            <v>M/S Comilla Traders</v>
          </cell>
          <cell r="E305" t="str">
            <v>00334</v>
          </cell>
        </row>
        <row r="306">
          <cell r="D306" t="str">
            <v>M/S Al - Rafi Traders</v>
          </cell>
          <cell r="E306" t="str">
            <v>00816</v>
          </cell>
        </row>
        <row r="307">
          <cell r="D307" t="str">
            <v>M/S Rafi Battery House</v>
          </cell>
          <cell r="E307" t="str">
            <v>00410</v>
          </cell>
        </row>
        <row r="308">
          <cell r="D308" t="str">
            <v>M/S Rafi Battery House</v>
          </cell>
          <cell r="E308" t="str">
            <v>00410</v>
          </cell>
        </row>
        <row r="309">
          <cell r="D309" t="str">
            <v>M/S Battery House - Pabna</v>
          </cell>
          <cell r="E309" t="str">
            <v>00534</v>
          </cell>
        </row>
        <row r="310">
          <cell r="D310" t="str">
            <v>M/S M.R. Enterprise- Dinajpur</v>
          </cell>
          <cell r="E310" t="str">
            <v>00601</v>
          </cell>
        </row>
        <row r="311">
          <cell r="D311" t="str">
            <v>M/S Rakin Auto Parts</v>
          </cell>
          <cell r="E311" t="str">
            <v>00561</v>
          </cell>
        </row>
        <row r="312">
          <cell r="D312" t="str">
            <v>M/S Rakin Auto Parts</v>
          </cell>
          <cell r="E312" t="str">
            <v>00561</v>
          </cell>
        </row>
        <row r="313">
          <cell r="D313" t="str">
            <v>M/S Rakin Auto Parts</v>
          </cell>
          <cell r="E313" t="str">
            <v>00561</v>
          </cell>
        </row>
        <row r="314">
          <cell r="D314" t="str">
            <v>M/S Satata Battery House (C)</v>
          </cell>
          <cell r="E314" t="str">
            <v>01517</v>
          </cell>
        </row>
        <row r="315">
          <cell r="D315" t="str">
            <v>M/S Ma Tyre &amp; Battery  Shop</v>
          </cell>
          <cell r="E315" t="str">
            <v>00088</v>
          </cell>
        </row>
        <row r="316">
          <cell r="D316" t="str">
            <v>M/S Arafat Enterprise</v>
          </cell>
          <cell r="E316" t="str">
            <v>00094</v>
          </cell>
        </row>
        <row r="317">
          <cell r="D317" t="str">
            <v>M/S Ananna Battery &amp; Tyre</v>
          </cell>
          <cell r="E317" t="str">
            <v>01088</v>
          </cell>
        </row>
        <row r="318">
          <cell r="D318" t="str">
            <v>M/S Anas Enterprise</v>
          </cell>
          <cell r="E318" t="str">
            <v>00817</v>
          </cell>
        </row>
        <row r="319">
          <cell r="D319" t="str">
            <v>M/S Mayer Doya Auto Parts-Laksam</v>
          </cell>
          <cell r="E319" t="str">
            <v>00325</v>
          </cell>
        </row>
        <row r="320">
          <cell r="D320" t="str">
            <v>M/S Sajib Enterprise (C)</v>
          </cell>
          <cell r="E320" t="str">
            <v>01353</v>
          </cell>
        </row>
        <row r="321">
          <cell r="D321" t="str">
            <v>M/S Sajib Enterprise (C)</v>
          </cell>
          <cell r="E321" t="str">
            <v>01353</v>
          </cell>
        </row>
        <row r="322">
          <cell r="D322" t="str">
            <v>M/S Sajib Enterprise (C)</v>
          </cell>
          <cell r="E322" t="str">
            <v>01353</v>
          </cell>
        </row>
        <row r="323">
          <cell r="D323" t="str">
            <v>M/S S.S. Enterprise-Norshingdi (C)</v>
          </cell>
          <cell r="E323" t="str">
            <v>01331</v>
          </cell>
        </row>
        <row r="324">
          <cell r="D324" t="str">
            <v>M/S Payar Auto Electric Works</v>
          </cell>
          <cell r="E324" t="str">
            <v>00371</v>
          </cell>
        </row>
        <row r="325">
          <cell r="D325" t="str">
            <v>M/S Rajapur IPS &amp; Battery House</v>
          </cell>
          <cell r="E325" t="str">
            <v>01400</v>
          </cell>
        </row>
        <row r="326">
          <cell r="D326" t="str">
            <v>M/S Bashkhali Enterprise</v>
          </cell>
          <cell r="E326" t="str">
            <v>00424</v>
          </cell>
        </row>
        <row r="327">
          <cell r="D327" t="str">
            <v>M/S S.K. Enterprise (C)</v>
          </cell>
          <cell r="E327" t="str">
            <v>01326</v>
          </cell>
        </row>
        <row r="328">
          <cell r="D328" t="str">
            <v>M/S S.K. Enterprise (C)</v>
          </cell>
          <cell r="E328" t="str">
            <v>01326</v>
          </cell>
        </row>
        <row r="329">
          <cell r="D329" t="str">
            <v>M/S S.K. Enterprise (C)</v>
          </cell>
          <cell r="E329" t="str">
            <v>01326</v>
          </cell>
        </row>
        <row r="330">
          <cell r="D330" t="str">
            <v>M/S Banskhali Enterprise-Joldi (C)</v>
          </cell>
          <cell r="E330" t="str">
            <v>01312</v>
          </cell>
        </row>
        <row r="331">
          <cell r="D331" t="str">
            <v>M/S Shah Mojidia Motor Parts</v>
          </cell>
          <cell r="E331" t="str">
            <v>00842</v>
          </cell>
        </row>
        <row r="332">
          <cell r="D332" t="str">
            <v>M/S Sohan Motors</v>
          </cell>
          <cell r="E332" t="str">
            <v>01385</v>
          </cell>
        </row>
        <row r="333">
          <cell r="D333" t="str">
            <v>M/S Ira Motors</v>
          </cell>
          <cell r="E333" t="str">
            <v>00133</v>
          </cell>
        </row>
        <row r="334">
          <cell r="D334" t="str">
            <v>M/S Ira Motors</v>
          </cell>
          <cell r="E334" t="str">
            <v>00133</v>
          </cell>
        </row>
        <row r="335">
          <cell r="D335" t="str">
            <v>M/S Ira Motors</v>
          </cell>
          <cell r="E335" t="str">
            <v>00133</v>
          </cell>
        </row>
        <row r="336">
          <cell r="D336" t="str">
            <v>M/S Babul Enterprise (C)</v>
          </cell>
          <cell r="E336" t="str">
            <v>01292</v>
          </cell>
        </row>
        <row r="337">
          <cell r="D337" t="str">
            <v>M/S Anas Battery &amp; Auto House</v>
          </cell>
          <cell r="E337" t="str">
            <v>01401</v>
          </cell>
        </row>
        <row r="338">
          <cell r="D338" t="str">
            <v>M/S Comilla Traders</v>
          </cell>
          <cell r="E338" t="str">
            <v>00334</v>
          </cell>
        </row>
        <row r="339">
          <cell r="D339" t="str">
            <v>M/S Shahjalal Traders</v>
          </cell>
          <cell r="E339" t="str">
            <v>01362</v>
          </cell>
        </row>
        <row r="340">
          <cell r="D340" t="str">
            <v>M/S Bismillah Battery House -Sylhet</v>
          </cell>
          <cell r="E340" t="str">
            <v>00389</v>
          </cell>
        </row>
        <row r="341">
          <cell r="D341" t="str">
            <v>M/S Bhai Bhai Battery And Motors (C)</v>
          </cell>
          <cell r="E341" t="str">
            <v>01496</v>
          </cell>
        </row>
        <row r="342">
          <cell r="D342" t="str">
            <v>M/S Ariyan Electronics</v>
          </cell>
          <cell r="E342" t="str">
            <v>01386</v>
          </cell>
        </row>
        <row r="343">
          <cell r="D343" t="str">
            <v>M/S Awlad Electronics</v>
          </cell>
          <cell r="E343" t="str">
            <v>01284</v>
          </cell>
        </row>
        <row r="344">
          <cell r="D344" t="str">
            <v>M/S M.R. Enterprise- Dinajpur</v>
          </cell>
          <cell r="E344" t="str">
            <v>00601</v>
          </cell>
        </row>
        <row r="345">
          <cell r="D345" t="str">
            <v>M/S M.R. Enterprise- Dinajpur</v>
          </cell>
          <cell r="E345" t="str">
            <v>00601</v>
          </cell>
        </row>
        <row r="346">
          <cell r="D346" t="str">
            <v>M/S M.R. Enterprise- Dinajpur (C)</v>
          </cell>
          <cell r="E346" t="str">
            <v>01520</v>
          </cell>
        </row>
        <row r="347">
          <cell r="D347" t="str">
            <v>M/S Baizid Motors</v>
          </cell>
          <cell r="E347" t="str">
            <v>01365</v>
          </cell>
        </row>
        <row r="348">
          <cell r="D348" t="str">
            <v>M/S Chapai Auto Battery House</v>
          </cell>
          <cell r="E348" t="str">
            <v>01487</v>
          </cell>
        </row>
        <row r="349">
          <cell r="D349" t="str">
            <v>M/S Salman Battery House</v>
          </cell>
          <cell r="E349" t="str">
            <v>01121</v>
          </cell>
        </row>
        <row r="350">
          <cell r="D350" t="str">
            <v>M/S Samir Battery And Tyre</v>
          </cell>
          <cell r="E350" t="str">
            <v>01450</v>
          </cell>
        </row>
        <row r="351">
          <cell r="D351" t="str">
            <v>M/S Samir Battery And Tyre</v>
          </cell>
          <cell r="E351" t="str">
            <v>01450</v>
          </cell>
        </row>
        <row r="352">
          <cell r="D352" t="str">
            <v>M/S Ripon Tyre and Battery</v>
          </cell>
          <cell r="E352" t="str">
            <v>00002</v>
          </cell>
        </row>
        <row r="353">
          <cell r="D353" t="str">
            <v>M/S Snigdha Battery</v>
          </cell>
          <cell r="E353" t="str">
            <v>00134</v>
          </cell>
        </row>
        <row r="354">
          <cell r="D354" t="str">
            <v>M/S Bondhu Auto and CNG Workshop</v>
          </cell>
          <cell r="E354" t="str">
            <v>01149</v>
          </cell>
        </row>
        <row r="355">
          <cell r="D355" t="str">
            <v>M/S Bondhu Auto and CNG Workshop</v>
          </cell>
          <cell r="E355" t="str">
            <v>01149</v>
          </cell>
        </row>
        <row r="356">
          <cell r="D356" t="str">
            <v>M/S Bondhu Auto and CNG Workshop</v>
          </cell>
          <cell r="E356" t="str">
            <v>01149</v>
          </cell>
        </row>
        <row r="357">
          <cell r="D357" t="str">
            <v>M/S Fateha Battery</v>
          </cell>
          <cell r="E357" t="str">
            <v>00388</v>
          </cell>
        </row>
        <row r="358">
          <cell r="D358" t="str">
            <v>M/S Fateha Battery</v>
          </cell>
          <cell r="E358" t="str">
            <v>00388</v>
          </cell>
        </row>
        <row r="359">
          <cell r="D359" t="str">
            <v>M/S S.M. Enterprise- Sunamgonj</v>
          </cell>
          <cell r="E359" t="str">
            <v>00390</v>
          </cell>
        </row>
        <row r="360">
          <cell r="D360" t="str">
            <v>M/S Khan Battery Recycling (C)</v>
          </cell>
          <cell r="E360" t="str">
            <v>01282</v>
          </cell>
        </row>
        <row r="361">
          <cell r="D361" t="str">
            <v>M/S Shepon Motors (C)</v>
          </cell>
          <cell r="E361" t="str">
            <v>01438</v>
          </cell>
        </row>
        <row r="362">
          <cell r="D362" t="str">
            <v>M/S Anik Motors &amp; Battery (C)</v>
          </cell>
          <cell r="E362" t="str">
            <v>01444</v>
          </cell>
        </row>
        <row r="363">
          <cell r="D363" t="str">
            <v>M/S S.S. Enterprise-Norshingdi</v>
          </cell>
          <cell r="E363" t="str">
            <v>01118</v>
          </cell>
        </row>
        <row r="364">
          <cell r="D364" t="str">
            <v>M/S Afifa Traders</v>
          </cell>
          <cell r="E364" t="str">
            <v>01514</v>
          </cell>
        </row>
        <row r="365">
          <cell r="D365" t="str">
            <v>M/S Ma Tyre &amp; Battery  Shop</v>
          </cell>
          <cell r="E365" t="str">
            <v>00088</v>
          </cell>
        </row>
        <row r="366">
          <cell r="D366" t="str">
            <v>M/S Ma Tyre &amp; Battery  Shop</v>
          </cell>
          <cell r="E366" t="str">
            <v>00088</v>
          </cell>
        </row>
        <row r="367">
          <cell r="D367" t="str">
            <v>M/S Arafat Enterprise</v>
          </cell>
          <cell r="E367" t="str">
            <v>00094</v>
          </cell>
        </row>
        <row r="368">
          <cell r="D368" t="str">
            <v>M/S Sharif Battery House &amp; IPS Center (C)</v>
          </cell>
          <cell r="E368" t="str">
            <v>01491</v>
          </cell>
        </row>
        <row r="369">
          <cell r="D369" t="str">
            <v>M/S Modina Cycle Store (C)</v>
          </cell>
          <cell r="E369" t="str">
            <v>01519</v>
          </cell>
        </row>
        <row r="370">
          <cell r="D370" t="str">
            <v>M/S Modina Cycle Store (C)</v>
          </cell>
          <cell r="E370" t="str">
            <v>01519</v>
          </cell>
        </row>
        <row r="371">
          <cell r="D371" t="str">
            <v>M/S Anas Enterprise</v>
          </cell>
          <cell r="E371" t="str">
            <v>00817</v>
          </cell>
        </row>
        <row r="372">
          <cell r="D372" t="str">
            <v>M/S Hemayetpur Battery House (C)</v>
          </cell>
          <cell r="E372" t="str">
            <v>01478</v>
          </cell>
        </row>
        <row r="373">
          <cell r="D373" t="str">
            <v>M/S Monir Auto &amp; Battery House</v>
          </cell>
          <cell r="E373" t="str">
            <v>00001</v>
          </cell>
        </row>
        <row r="374">
          <cell r="D374" t="str">
            <v>M/S Sawda Auto and Battery</v>
          </cell>
          <cell r="E374" t="str">
            <v>01261</v>
          </cell>
        </row>
        <row r="375">
          <cell r="D375" t="str">
            <v>M/S Shahjalal Traders</v>
          </cell>
          <cell r="E375" t="str">
            <v>01362</v>
          </cell>
        </row>
        <row r="376">
          <cell r="D376" t="str">
            <v>M/S Bashkhali Enterprise</v>
          </cell>
          <cell r="E376" t="str">
            <v>00424</v>
          </cell>
        </row>
        <row r="377">
          <cell r="D377" t="str">
            <v>M/S Bashkhali Enterprise</v>
          </cell>
          <cell r="E377" t="str">
            <v>00424</v>
          </cell>
        </row>
        <row r="378">
          <cell r="D378" t="str">
            <v>M/S Bashkhali Enterprise</v>
          </cell>
          <cell r="E378" t="str">
            <v>00424</v>
          </cell>
        </row>
        <row r="379">
          <cell r="D379" t="str">
            <v>M/S Kalam Auto Motor Parts And Battery House</v>
          </cell>
          <cell r="E379" t="str">
            <v>00420</v>
          </cell>
        </row>
        <row r="380">
          <cell r="D380" t="str">
            <v>M/S S.K. Enterprise (C)</v>
          </cell>
          <cell r="E380" t="str">
            <v>01326</v>
          </cell>
        </row>
        <row r="381">
          <cell r="D381" t="str">
            <v>M/S Banskhali Enterprise-Joldi (C)</v>
          </cell>
          <cell r="E381" t="str">
            <v>01312</v>
          </cell>
        </row>
        <row r="382">
          <cell r="D382" t="str">
            <v>M/S Ira Motors</v>
          </cell>
          <cell r="E382" t="str">
            <v>00133</v>
          </cell>
        </row>
        <row r="383">
          <cell r="D383" t="str">
            <v>M/S Ira Motors</v>
          </cell>
          <cell r="E383" t="str">
            <v>00133</v>
          </cell>
        </row>
        <row r="384">
          <cell r="D384" t="str">
            <v>M/S Ira Motors</v>
          </cell>
          <cell r="E384" t="str">
            <v>00133</v>
          </cell>
        </row>
        <row r="385">
          <cell r="D385" t="str">
            <v>M/S Ira Motors</v>
          </cell>
          <cell r="E385" t="str">
            <v>00133</v>
          </cell>
        </row>
        <row r="386">
          <cell r="D386" t="str">
            <v>M/S Babul Enterprise (C)</v>
          </cell>
          <cell r="E386" t="str">
            <v>01292</v>
          </cell>
        </row>
        <row r="387">
          <cell r="D387" t="str">
            <v>M/S Sajib Enterprise (C)</v>
          </cell>
          <cell r="E387" t="str">
            <v>01353</v>
          </cell>
        </row>
        <row r="388">
          <cell r="D388" t="str">
            <v>M/S Sajib Enterprise (C)</v>
          </cell>
          <cell r="E388" t="str">
            <v>01353</v>
          </cell>
        </row>
        <row r="389">
          <cell r="D389" t="str">
            <v>M/S Anas Battery &amp; Auto House</v>
          </cell>
          <cell r="E389" t="str">
            <v>01401</v>
          </cell>
        </row>
        <row r="390">
          <cell r="D390" t="str">
            <v>M/S Anik Motors &amp; Battery (C)</v>
          </cell>
          <cell r="E390" t="str">
            <v>01444</v>
          </cell>
        </row>
        <row r="391">
          <cell r="D391" t="str">
            <v>M/S S.S. Enterprise-Norshingdi (C)</v>
          </cell>
          <cell r="E391" t="str">
            <v>01331</v>
          </cell>
        </row>
        <row r="392">
          <cell r="D392" t="str">
            <v>M/S S.S. Enterprise-Norshingdi (C)</v>
          </cell>
          <cell r="E392" t="str">
            <v>01331</v>
          </cell>
        </row>
        <row r="393">
          <cell r="D393" t="str">
            <v>M/S Bismillah Motors-Hinla</v>
          </cell>
          <cell r="E393" t="str">
            <v>01448</v>
          </cell>
        </row>
        <row r="394">
          <cell r="D394" t="str">
            <v>M/S Bismillah Motors-Hinla</v>
          </cell>
          <cell r="E394" t="str">
            <v>01448</v>
          </cell>
        </row>
        <row r="395">
          <cell r="D395" t="str">
            <v>M/S Bismillah Motors-Hinla</v>
          </cell>
          <cell r="E395" t="str">
            <v>01448</v>
          </cell>
        </row>
        <row r="396">
          <cell r="D396" t="str">
            <v>M/S Sohan Motors</v>
          </cell>
          <cell r="E396" t="str">
            <v>01385</v>
          </cell>
        </row>
        <row r="397">
          <cell r="D397" t="str">
            <v>M/S Hira Motors-Chokoria</v>
          </cell>
          <cell r="E397" t="str">
            <v>01441</v>
          </cell>
        </row>
        <row r="398">
          <cell r="D398" t="str">
            <v>M/S Shah Mojidia Motor Parts</v>
          </cell>
          <cell r="E398" t="str">
            <v>00842</v>
          </cell>
        </row>
        <row r="399">
          <cell r="D399" t="str">
            <v>M/S Shah Mojidia Motor Parts</v>
          </cell>
          <cell r="E399" t="str">
            <v>00842</v>
          </cell>
        </row>
        <row r="400">
          <cell r="D400" t="str">
            <v>M/S Saiful Motors</v>
          </cell>
          <cell r="E400" t="str">
            <v>00482</v>
          </cell>
        </row>
        <row r="401">
          <cell r="D401" t="str">
            <v>M/S Farhan Auto (C)</v>
          </cell>
          <cell r="E401" t="str">
            <v>01298</v>
          </cell>
        </row>
        <row r="402">
          <cell r="D402" t="str">
            <v>M/S Farhan Auto (C)</v>
          </cell>
          <cell r="E402" t="str">
            <v>01298</v>
          </cell>
        </row>
        <row r="403">
          <cell r="D403" t="str">
            <v>M/S Farhan Auto (C)</v>
          </cell>
          <cell r="E403" t="str">
            <v>01298</v>
          </cell>
        </row>
        <row r="404">
          <cell r="D404" t="str">
            <v>M/S Tanvir Battery House</v>
          </cell>
          <cell r="E404" t="str">
            <v>01175</v>
          </cell>
        </row>
        <row r="405">
          <cell r="D405" t="str">
            <v>Md. Moazzem Hossain D.M</v>
          </cell>
          <cell r="E405" t="str">
            <v>01355</v>
          </cell>
        </row>
        <row r="406">
          <cell r="D406" t="str">
            <v>M/S Khokon IPS &amp; Battery Center</v>
          </cell>
          <cell r="E406" t="str">
            <v>00330</v>
          </cell>
        </row>
        <row r="407">
          <cell r="D407" t="str">
            <v>M/S Khokon IPS &amp; Battery Center</v>
          </cell>
          <cell r="E407" t="str">
            <v>00330</v>
          </cell>
        </row>
        <row r="408">
          <cell r="D408" t="str">
            <v>M/S Khokon IPS &amp; Battery Center (C)</v>
          </cell>
          <cell r="E408" t="str">
            <v>01306</v>
          </cell>
        </row>
        <row r="409">
          <cell r="D409" t="str">
            <v>M/S Al - Barakah Battery &amp; Auto Parts</v>
          </cell>
          <cell r="E409" t="str">
            <v>01476</v>
          </cell>
        </row>
        <row r="410">
          <cell r="D410" t="str">
            <v>M/S Adib Alifa Auto &amp; Battery House</v>
          </cell>
          <cell r="E410" t="str">
            <v>01465</v>
          </cell>
        </row>
        <row r="411">
          <cell r="D411" t="str">
            <v>M/S Takia Battery House (C)</v>
          </cell>
          <cell r="E411" t="str">
            <v>01527</v>
          </cell>
        </row>
        <row r="412">
          <cell r="D412" t="str">
            <v>M/S Shopon Battery House (C)</v>
          </cell>
          <cell r="E412" t="str">
            <v>01320</v>
          </cell>
        </row>
        <row r="413">
          <cell r="D413" t="str">
            <v>M/S Molla Battery House (C)</v>
          </cell>
          <cell r="E413" t="str">
            <v>01428</v>
          </cell>
        </row>
        <row r="414">
          <cell r="D414" t="str">
            <v>M/S Molla Battery House (C)</v>
          </cell>
          <cell r="E414" t="str">
            <v>01428</v>
          </cell>
        </row>
        <row r="415">
          <cell r="D415" t="str">
            <v>M/S Battery House - Pabna (C)</v>
          </cell>
          <cell r="E415" t="str">
            <v>01315</v>
          </cell>
        </row>
        <row r="416">
          <cell r="D416" t="str">
            <v>M/S Sadiq Enterprise</v>
          </cell>
          <cell r="E416" t="str">
            <v>01067</v>
          </cell>
        </row>
        <row r="417">
          <cell r="D417" t="str">
            <v>M/S Sarkar Motors and Battery (C)</v>
          </cell>
          <cell r="E417" t="str">
            <v>01502</v>
          </cell>
        </row>
        <row r="418">
          <cell r="D418" t="str">
            <v>M/S Bogura Auto Center (C)</v>
          </cell>
          <cell r="E418" t="str">
            <v>01468</v>
          </cell>
        </row>
        <row r="419">
          <cell r="D419" t="str">
            <v>M/S Samir Battery And Tyre</v>
          </cell>
          <cell r="E419" t="str">
            <v>01450</v>
          </cell>
        </row>
        <row r="420">
          <cell r="D420" t="str">
            <v>M/S Bondhu Auto and CNG Workshop</v>
          </cell>
          <cell r="E420" t="str">
            <v>01149</v>
          </cell>
        </row>
        <row r="421">
          <cell r="D421" t="str">
            <v>M/S Bondhu Auto and CNG Workshop</v>
          </cell>
          <cell r="E421" t="str">
            <v>01149</v>
          </cell>
        </row>
        <row r="422">
          <cell r="D422" t="str">
            <v>M/S Ekata Motors</v>
          </cell>
          <cell r="E422" t="str">
            <v>00419</v>
          </cell>
        </row>
        <row r="423">
          <cell r="D423" t="str">
            <v>M/S Snigdha Battery</v>
          </cell>
          <cell r="E423" t="str">
            <v>00134</v>
          </cell>
        </row>
        <row r="424">
          <cell r="D424" t="str">
            <v>M/S Setu Cycle Mart</v>
          </cell>
          <cell r="E424" t="str">
            <v>00471</v>
          </cell>
        </row>
        <row r="425">
          <cell r="D425" t="str">
            <v>M/S Setu Cycle Mart</v>
          </cell>
          <cell r="E425" t="str">
            <v>00471</v>
          </cell>
        </row>
        <row r="426">
          <cell r="D426" t="str">
            <v>M/S Setu Cycle Mart</v>
          </cell>
          <cell r="E426" t="str">
            <v>00471</v>
          </cell>
        </row>
        <row r="427">
          <cell r="D427" t="str">
            <v>M/S Setu Cycle Mart</v>
          </cell>
          <cell r="E427" t="str">
            <v>00471</v>
          </cell>
        </row>
        <row r="428">
          <cell r="D428" t="str">
            <v>M/S Setu Cycle Mart</v>
          </cell>
          <cell r="E428" t="str">
            <v>00471</v>
          </cell>
        </row>
        <row r="429">
          <cell r="D429" t="str">
            <v>M/S Rafi Battery House</v>
          </cell>
          <cell r="E429" t="str">
            <v>00410</v>
          </cell>
        </row>
        <row r="430">
          <cell r="D430" t="str">
            <v>M/S Atik Auto</v>
          </cell>
          <cell r="E430" t="str">
            <v>00562</v>
          </cell>
        </row>
        <row r="431">
          <cell r="D431" t="str">
            <v>M/S Atik Auto</v>
          </cell>
          <cell r="E431" t="str">
            <v>00562</v>
          </cell>
        </row>
        <row r="432">
          <cell r="D432" t="str">
            <v>M/S Atik Auto</v>
          </cell>
          <cell r="E432" t="str">
            <v>00562</v>
          </cell>
        </row>
        <row r="433">
          <cell r="D433" t="str">
            <v>M/S Anamika Auto Rickshow</v>
          </cell>
          <cell r="E433" t="str">
            <v>00496</v>
          </cell>
        </row>
        <row r="434">
          <cell r="D434" t="str">
            <v>M/S Musulli Enterprise</v>
          </cell>
          <cell r="E434" t="str">
            <v>00091</v>
          </cell>
        </row>
        <row r="435">
          <cell r="D435" t="str">
            <v>M/S Arafat Enterprise</v>
          </cell>
          <cell r="E435" t="str">
            <v>00094</v>
          </cell>
        </row>
        <row r="436">
          <cell r="D436" t="str">
            <v>M/S S.B. Energy</v>
          </cell>
          <cell r="E436" t="str">
            <v>00087</v>
          </cell>
        </row>
        <row r="437">
          <cell r="D437" t="str">
            <v>M/S S.B. Energy (C)</v>
          </cell>
          <cell r="E437" t="str">
            <v>01288</v>
          </cell>
        </row>
        <row r="438">
          <cell r="D438" t="str">
            <v>M/S S.B. Energy (C)</v>
          </cell>
          <cell r="E438" t="str">
            <v>01288</v>
          </cell>
        </row>
        <row r="439">
          <cell r="D439" t="str">
            <v>M/S Mahtab Engineering Workshop</v>
          </cell>
          <cell r="E439" t="str">
            <v>01429</v>
          </cell>
        </row>
        <row r="440">
          <cell r="D440" t="str">
            <v>M/S Gazipur Battery House</v>
          </cell>
          <cell r="E440" t="str">
            <v>00826</v>
          </cell>
        </row>
        <row r="441">
          <cell r="D441" t="str">
            <v>M/S Uzzal Battery &amp; Auto Electric</v>
          </cell>
          <cell r="E441" t="str">
            <v>01469</v>
          </cell>
        </row>
        <row r="442">
          <cell r="D442" t="str">
            <v>M/S Modina Cycle Store (C)</v>
          </cell>
          <cell r="E442" t="str">
            <v>01519</v>
          </cell>
        </row>
        <row r="443">
          <cell r="D443" t="str">
            <v>M/S L D Poribahan &amp; Trading (C)</v>
          </cell>
          <cell r="E443" t="str">
            <v>01299</v>
          </cell>
        </row>
        <row r="444">
          <cell r="D444" t="str">
            <v>M/S L D Poribahan &amp; Trading (C)</v>
          </cell>
          <cell r="E444" t="str">
            <v>01299</v>
          </cell>
        </row>
        <row r="445">
          <cell r="D445" t="str">
            <v>M/S L D Poribahan &amp; Trading (C)</v>
          </cell>
          <cell r="E445" t="str">
            <v>01299</v>
          </cell>
        </row>
        <row r="446">
          <cell r="D446" t="str">
            <v>M/S Farhan Auto (C)</v>
          </cell>
          <cell r="E446" t="str">
            <v>01298</v>
          </cell>
        </row>
        <row r="447">
          <cell r="D447" t="str">
            <v>M/S Comilla Traders</v>
          </cell>
          <cell r="E447" t="str">
            <v>00334</v>
          </cell>
        </row>
        <row r="448">
          <cell r="D448" t="str">
            <v>M/S Sawda Auto and Battery</v>
          </cell>
          <cell r="E448" t="str">
            <v>01261</v>
          </cell>
        </row>
        <row r="449">
          <cell r="D449" t="str">
            <v>M/S Mayer Doya Auto Parts-Laksam</v>
          </cell>
          <cell r="E449" t="str">
            <v>00325</v>
          </cell>
        </row>
        <row r="450">
          <cell r="D450" t="str">
            <v>M/S Mayer Doya Auto Parts-Laksam</v>
          </cell>
          <cell r="E450" t="str">
            <v>00325</v>
          </cell>
        </row>
        <row r="451">
          <cell r="D451" t="str">
            <v>M/S Lalmai Machineries &amp; Parts</v>
          </cell>
          <cell r="E451" t="str">
            <v>00329</v>
          </cell>
        </row>
        <row r="452">
          <cell r="D452" t="str">
            <v>M/S Sajib Enterprise (C)</v>
          </cell>
          <cell r="E452" t="str">
            <v>01353</v>
          </cell>
        </row>
        <row r="453">
          <cell r="D453" t="str">
            <v>M/S Sajib Enterprise (C)</v>
          </cell>
          <cell r="E453" t="str">
            <v>01353</v>
          </cell>
        </row>
        <row r="454">
          <cell r="D454" t="str">
            <v>M/S Anik Motors &amp; Battery (C)</v>
          </cell>
          <cell r="E454" t="str">
            <v>01444</v>
          </cell>
        </row>
        <row r="455">
          <cell r="D455" t="str">
            <v>M/S Anik Motors &amp; Battery (C)</v>
          </cell>
          <cell r="E455" t="str">
            <v>01444</v>
          </cell>
        </row>
        <row r="456">
          <cell r="D456" t="str">
            <v>M/S Anik Motors &amp; Battery (C)</v>
          </cell>
          <cell r="E456" t="str">
            <v>01444</v>
          </cell>
        </row>
        <row r="457">
          <cell r="D457" t="str">
            <v>M/S Anas Battery &amp; Auto House</v>
          </cell>
          <cell r="E457" t="str">
            <v>01401</v>
          </cell>
        </row>
        <row r="458">
          <cell r="D458" t="str">
            <v>M/S Anas Battery &amp; Auto House</v>
          </cell>
          <cell r="E458" t="str">
            <v>01401</v>
          </cell>
        </row>
        <row r="459">
          <cell r="D459" t="str">
            <v>M/S Khokon IPS &amp; Battery Center (C)</v>
          </cell>
          <cell r="E459" t="str">
            <v>01306</v>
          </cell>
        </row>
        <row r="460">
          <cell r="D460" t="str">
            <v>M/S Babul Enterprise (C)</v>
          </cell>
          <cell r="E460" t="str">
            <v>01292</v>
          </cell>
        </row>
        <row r="461">
          <cell r="D461" t="str">
            <v>M/S Hira Motors-Chokoria</v>
          </cell>
          <cell r="E461" t="str">
            <v>01441</v>
          </cell>
        </row>
        <row r="462">
          <cell r="D462" t="str">
            <v>M/S Bismillah Motors-Hinla</v>
          </cell>
          <cell r="E462" t="str">
            <v>01448</v>
          </cell>
        </row>
        <row r="463">
          <cell r="D463" t="str">
            <v>M/S Hafiz Battery House</v>
          </cell>
          <cell r="E463" t="str">
            <v>01368</v>
          </cell>
        </row>
        <row r="464">
          <cell r="D464" t="str">
            <v>M/S Sifa Motors</v>
          </cell>
          <cell r="E464" t="str">
            <v>01443</v>
          </cell>
        </row>
        <row r="465">
          <cell r="D465" t="str">
            <v>M/S Shah Mojidia Motor Parts</v>
          </cell>
          <cell r="E465" t="str">
            <v>00842</v>
          </cell>
        </row>
        <row r="466">
          <cell r="D466" t="str">
            <v>M/S Saiful Motors</v>
          </cell>
          <cell r="E466" t="str">
            <v>00482</v>
          </cell>
        </row>
        <row r="467">
          <cell r="D467" t="str">
            <v>M/S S.K. Enterprise (C)</v>
          </cell>
          <cell r="E467" t="str">
            <v>01326</v>
          </cell>
        </row>
        <row r="468">
          <cell r="D468" t="str">
            <v>M/S S.K. Enterprise (C)</v>
          </cell>
          <cell r="E468" t="str">
            <v>01326</v>
          </cell>
        </row>
        <row r="469">
          <cell r="D469" t="str">
            <v>M/S S.K. Enterprise (C)</v>
          </cell>
          <cell r="E469" t="str">
            <v>01326</v>
          </cell>
        </row>
        <row r="470">
          <cell r="D470" t="str">
            <v>M/S S.K. Enterprise (C)</v>
          </cell>
          <cell r="E470" t="str">
            <v>01326</v>
          </cell>
        </row>
        <row r="471">
          <cell r="D471" t="str">
            <v>M/S S.K. Enterprise (C)</v>
          </cell>
          <cell r="E471" t="str">
            <v>01326</v>
          </cell>
        </row>
        <row r="472">
          <cell r="D472" t="str">
            <v>M/S Monir Auto &amp; Battery House</v>
          </cell>
          <cell r="E472" t="str">
            <v>00001</v>
          </cell>
        </row>
        <row r="473">
          <cell r="D473" t="str">
            <v>M/S Monir Auto &amp; Battery House</v>
          </cell>
          <cell r="E473" t="str">
            <v>00001</v>
          </cell>
        </row>
        <row r="474">
          <cell r="D474" t="str">
            <v>M/S Ananna Battery &amp; Tyre</v>
          </cell>
          <cell r="E474" t="str">
            <v>01088</v>
          </cell>
        </row>
        <row r="475">
          <cell r="D475" t="str">
            <v>M/S Afifa Traders</v>
          </cell>
          <cell r="E475" t="str">
            <v>01514</v>
          </cell>
        </row>
        <row r="476">
          <cell r="D476" t="str">
            <v>M/S Shopon Battery House (C)</v>
          </cell>
          <cell r="E476" t="str">
            <v>01320</v>
          </cell>
        </row>
        <row r="477">
          <cell r="D477" t="str">
            <v>M/S Molla Battery House (C)</v>
          </cell>
          <cell r="E477" t="str">
            <v>01428</v>
          </cell>
        </row>
        <row r="478">
          <cell r="D478" t="str">
            <v>M/S Bhai Bhai Battery And Motors (C)</v>
          </cell>
          <cell r="E478" t="str">
            <v>01496</v>
          </cell>
        </row>
        <row r="479">
          <cell r="D479" t="str">
            <v>M/S Bhai Bhai Battery And Motors (C)</v>
          </cell>
          <cell r="E479" t="str">
            <v>01496</v>
          </cell>
        </row>
        <row r="480">
          <cell r="D480" t="str">
            <v>M/S Souro Power Electric</v>
          </cell>
          <cell r="E480" t="str">
            <v>01285</v>
          </cell>
        </row>
        <row r="481">
          <cell r="D481" t="str">
            <v>M/S Battery House - Pabna (C)</v>
          </cell>
          <cell r="E481" t="str">
            <v>01315</v>
          </cell>
        </row>
        <row r="482">
          <cell r="D482" t="str">
            <v>M/S Sadiq Enterprise (C)</v>
          </cell>
          <cell r="E482" t="str">
            <v>01484</v>
          </cell>
        </row>
        <row r="483">
          <cell r="D483" t="str">
            <v>M/S Sadiq Enterprise (C)</v>
          </cell>
          <cell r="E483" t="str">
            <v>01484</v>
          </cell>
        </row>
        <row r="484">
          <cell r="D484" t="str">
            <v>M/S Lamia Battery (C)</v>
          </cell>
          <cell r="E484" t="str">
            <v>01345</v>
          </cell>
        </row>
        <row r="485">
          <cell r="D485" t="str">
            <v>M/S Sonali Traders</v>
          </cell>
          <cell r="E485" t="str">
            <v>00558</v>
          </cell>
        </row>
        <row r="486">
          <cell r="D486" t="str">
            <v>M/S Nazrul Battery and Mobil House</v>
          </cell>
          <cell r="E486" t="str">
            <v>00832</v>
          </cell>
        </row>
        <row r="487">
          <cell r="D487" t="str">
            <v>M/S Bogura Auto Center (C)</v>
          </cell>
          <cell r="E487" t="str">
            <v>01468</v>
          </cell>
        </row>
        <row r="488">
          <cell r="D488" t="str">
            <v>M/S M.R. Enterprise- Dinajpur</v>
          </cell>
          <cell r="E488" t="str">
            <v>00601</v>
          </cell>
        </row>
        <row r="489">
          <cell r="D489" t="str">
            <v>M/S Baizid Motors</v>
          </cell>
          <cell r="E489" t="str">
            <v>01365</v>
          </cell>
        </row>
        <row r="490">
          <cell r="D490" t="str">
            <v>M/S Al-Amin Cycle &amp; Auto Parts (C)</v>
          </cell>
          <cell r="E490" t="str">
            <v>01507</v>
          </cell>
        </row>
        <row r="491">
          <cell r="D491" t="str">
            <v>M/S Doyal Battery</v>
          </cell>
          <cell r="E491" t="str">
            <v>00337</v>
          </cell>
        </row>
        <row r="492">
          <cell r="D492" t="str">
            <v>M/S Bondhu Auto and CNG Workshop</v>
          </cell>
          <cell r="E492" t="str">
            <v>01149</v>
          </cell>
        </row>
        <row r="493">
          <cell r="D493" t="str">
            <v>M/S Bondhu Auto and CNG Workshop</v>
          </cell>
          <cell r="E493" t="str">
            <v>01149</v>
          </cell>
        </row>
        <row r="494">
          <cell r="D494" t="str">
            <v>M/S Rubel Auto House</v>
          </cell>
          <cell r="E494" t="str">
            <v>01113</v>
          </cell>
        </row>
        <row r="495">
          <cell r="D495" t="str">
            <v>M/S A.P.L. Auto House</v>
          </cell>
          <cell r="E495" t="str">
            <v>00328</v>
          </cell>
        </row>
        <row r="496">
          <cell r="D496" t="str">
            <v>M/S A.P.L. Auto House</v>
          </cell>
          <cell r="E496" t="str">
            <v>00328</v>
          </cell>
        </row>
        <row r="497">
          <cell r="D497" t="str">
            <v>M/S Ira Motors</v>
          </cell>
          <cell r="E497" t="str">
            <v>00133</v>
          </cell>
        </row>
        <row r="498">
          <cell r="D498" t="str">
            <v>M/S Ira Motors</v>
          </cell>
          <cell r="E498" t="str">
            <v>00133</v>
          </cell>
        </row>
        <row r="499">
          <cell r="D499" t="str">
            <v>M/S Snigdha Battery</v>
          </cell>
          <cell r="E499" t="str">
            <v>00134</v>
          </cell>
        </row>
        <row r="500">
          <cell r="D500" t="str">
            <v>M/S Snigdha Battery</v>
          </cell>
          <cell r="E500" t="str">
            <v>00134</v>
          </cell>
        </row>
        <row r="501">
          <cell r="D501" t="str">
            <v>M/S Snigdha Battery</v>
          </cell>
          <cell r="E501" t="str">
            <v>00134</v>
          </cell>
        </row>
        <row r="502">
          <cell r="D502" t="str">
            <v>M/S Setu Cycle Mart</v>
          </cell>
          <cell r="E502" t="str">
            <v>00471</v>
          </cell>
        </row>
        <row r="503">
          <cell r="D503" t="str">
            <v>M/S Setu Cycle Mart</v>
          </cell>
          <cell r="E503" t="str">
            <v>00471</v>
          </cell>
        </row>
        <row r="504">
          <cell r="D504" t="str">
            <v>M/S Setu Cycle Mart</v>
          </cell>
          <cell r="E504" t="str">
            <v>00471</v>
          </cell>
        </row>
        <row r="505">
          <cell r="D505" t="str">
            <v>M/S Sangu Battery House</v>
          </cell>
          <cell r="E505" t="str">
            <v>00988</v>
          </cell>
        </row>
        <row r="506">
          <cell r="D506" t="str">
            <v>M/S Ripon Tyre and Battery</v>
          </cell>
          <cell r="E506" t="str">
            <v>00002</v>
          </cell>
        </row>
        <row r="507">
          <cell r="D507" t="str">
            <v>M/S Ripon Tyre and Battery</v>
          </cell>
          <cell r="E507" t="str">
            <v>00002</v>
          </cell>
        </row>
        <row r="508">
          <cell r="D508" t="str">
            <v>M/S Ripon Tyre and Battery</v>
          </cell>
          <cell r="E508" t="str">
            <v>00002</v>
          </cell>
        </row>
        <row r="509">
          <cell r="D509" t="str">
            <v>M/S Atik Auto</v>
          </cell>
          <cell r="E509" t="str">
            <v>00562</v>
          </cell>
        </row>
        <row r="510">
          <cell r="D510" t="str">
            <v>M/S Minara Traders</v>
          </cell>
          <cell r="E510" t="str">
            <v>01108</v>
          </cell>
        </row>
        <row r="511">
          <cell r="D511" t="str">
            <v>M/S Minara Traders</v>
          </cell>
          <cell r="E511" t="str">
            <v>01108</v>
          </cell>
        </row>
        <row r="512">
          <cell r="D512" t="str">
            <v>M/S Rifat Enterprise (C)</v>
          </cell>
          <cell r="E512" t="str">
            <v>01531</v>
          </cell>
        </row>
        <row r="513">
          <cell r="D513" t="str">
            <v>M/S Satata Battery House (C)</v>
          </cell>
          <cell r="E513" t="str">
            <v>01517</v>
          </cell>
        </row>
        <row r="514">
          <cell r="D514" t="str">
            <v>M/S Satata Battery House (C)</v>
          </cell>
          <cell r="E514" t="str">
            <v>01517</v>
          </cell>
        </row>
        <row r="515">
          <cell r="D515" t="str">
            <v>M/S Hemayetpur Battery House (C)</v>
          </cell>
          <cell r="E515" t="str">
            <v>01478</v>
          </cell>
        </row>
        <row r="516">
          <cell r="D516" t="str">
            <v>M/S Mahtab Engineering Workshop</v>
          </cell>
          <cell r="E516" t="str">
            <v>01429</v>
          </cell>
        </row>
        <row r="517">
          <cell r="D517" t="str">
            <v>M/S Monir Auto &amp; Battery House</v>
          </cell>
          <cell r="E517" t="str">
            <v>00001</v>
          </cell>
        </row>
        <row r="518">
          <cell r="D518" t="str">
            <v>M/S Monir Auto &amp; Battery House</v>
          </cell>
          <cell r="E518" t="str">
            <v>00001</v>
          </cell>
        </row>
        <row r="519">
          <cell r="D519" t="str">
            <v>M/S S. K. Battery House (C)</v>
          </cell>
          <cell r="E519" t="str">
            <v>01530</v>
          </cell>
        </row>
        <row r="520">
          <cell r="D520" t="str">
            <v>M/S S. K. Battery House (C)</v>
          </cell>
          <cell r="E520" t="str">
            <v>01530</v>
          </cell>
        </row>
        <row r="521">
          <cell r="D521" t="str">
            <v>M/S Khan Battery Recycling (C)</v>
          </cell>
          <cell r="E521" t="str">
            <v>01282</v>
          </cell>
        </row>
        <row r="522">
          <cell r="D522" t="str">
            <v>M/S Minara Traders</v>
          </cell>
          <cell r="E522" t="str">
            <v>01108</v>
          </cell>
        </row>
        <row r="523">
          <cell r="D523" t="str">
            <v>M/S Farhan Auto (C)</v>
          </cell>
          <cell r="E523" t="str">
            <v>01298</v>
          </cell>
        </row>
        <row r="524">
          <cell r="D524" t="str">
            <v>M/S Farhan Auto (C)</v>
          </cell>
          <cell r="E524" t="str">
            <v>01298</v>
          </cell>
        </row>
        <row r="525">
          <cell r="D525" t="str">
            <v>M/S A.P.L. Auto House</v>
          </cell>
          <cell r="E525" t="str">
            <v>00328</v>
          </cell>
        </row>
        <row r="526">
          <cell r="D526" t="str">
            <v>M/S A.P.L. Auto House</v>
          </cell>
          <cell r="E526" t="str">
            <v>00328</v>
          </cell>
        </row>
        <row r="527">
          <cell r="D527" t="str">
            <v>M/S Khokon IPS &amp; Battery Center (C)</v>
          </cell>
          <cell r="E527" t="str">
            <v>01306</v>
          </cell>
        </row>
        <row r="528">
          <cell r="D528" t="str">
            <v>M/S Khokon IPS &amp; Battery Center (C)</v>
          </cell>
          <cell r="E528" t="str">
            <v>01306</v>
          </cell>
        </row>
        <row r="529">
          <cell r="D529" t="str">
            <v>M/S Anas Battery &amp; Auto House</v>
          </cell>
          <cell r="E529" t="str">
            <v>01401</v>
          </cell>
        </row>
        <row r="530">
          <cell r="D530" t="str">
            <v>M/S Sajib Enterprise (C)</v>
          </cell>
          <cell r="E530" t="str">
            <v>01353</v>
          </cell>
        </row>
        <row r="531">
          <cell r="D531" t="str">
            <v>M/S Sajib Enterprise (C)</v>
          </cell>
          <cell r="E531" t="str">
            <v>01353</v>
          </cell>
        </row>
        <row r="532">
          <cell r="D532" t="str">
            <v>M/S Mayer Doya Auto Parts-Laksam</v>
          </cell>
          <cell r="E532" t="str">
            <v>00325</v>
          </cell>
        </row>
        <row r="533">
          <cell r="D533" t="str">
            <v>M/S Mayer Doya Auto Parts-Laksam</v>
          </cell>
          <cell r="E533" t="str">
            <v>00325</v>
          </cell>
        </row>
        <row r="534">
          <cell r="D534" t="str">
            <v>M/S Lalmai Machineries &amp; Parts</v>
          </cell>
          <cell r="E534" t="str">
            <v>00329</v>
          </cell>
        </row>
        <row r="535">
          <cell r="D535" t="str">
            <v>M/S Lalmai Machineries &amp; Parts</v>
          </cell>
          <cell r="E535" t="str">
            <v>00329</v>
          </cell>
        </row>
        <row r="536">
          <cell r="D536" t="str">
            <v>M/S S.K. Enterprise (C)</v>
          </cell>
          <cell r="E536" t="str">
            <v>01326</v>
          </cell>
        </row>
        <row r="537">
          <cell r="D537" t="str">
            <v>M/S Bashkhali Enterprise</v>
          </cell>
          <cell r="E537" t="str">
            <v>00424</v>
          </cell>
        </row>
        <row r="538">
          <cell r="D538" t="str">
            <v>M/S Bashkhali Enterprise</v>
          </cell>
          <cell r="E538" t="str">
            <v>00424</v>
          </cell>
        </row>
        <row r="539">
          <cell r="D539" t="str">
            <v>M/S Ekata Motors</v>
          </cell>
          <cell r="E539" t="str">
            <v>00419</v>
          </cell>
        </row>
        <row r="540">
          <cell r="D540" t="str">
            <v>M/S S.K. Enterprise (C)</v>
          </cell>
          <cell r="E540" t="str">
            <v>01326</v>
          </cell>
        </row>
        <row r="541">
          <cell r="D541" t="str">
            <v>M/S Babul Enterprise (C)</v>
          </cell>
          <cell r="E541" t="str">
            <v>01292</v>
          </cell>
        </row>
        <row r="542">
          <cell r="D542" t="str">
            <v>M/S Talukder Motors (C)</v>
          </cell>
          <cell r="E542" t="str">
            <v>01471</v>
          </cell>
        </row>
        <row r="543">
          <cell r="D543" t="str">
            <v>M/S Talukder Motors (C)</v>
          </cell>
          <cell r="E543" t="str">
            <v>01471</v>
          </cell>
        </row>
        <row r="544">
          <cell r="D544" t="str">
            <v>M/S Sifa Motors</v>
          </cell>
          <cell r="E544" t="str">
            <v>01443</v>
          </cell>
        </row>
        <row r="545">
          <cell r="D545" t="str">
            <v>Kalam Enterprise</v>
          </cell>
          <cell r="E545" t="str">
            <v>01341</v>
          </cell>
        </row>
        <row r="546">
          <cell r="D546" t="str">
            <v>M/S Hafiz Battery House</v>
          </cell>
          <cell r="E546" t="str">
            <v>01368</v>
          </cell>
        </row>
        <row r="547">
          <cell r="D547" t="str">
            <v>M/S Hafiz Battery House</v>
          </cell>
          <cell r="E547" t="str">
            <v>01368</v>
          </cell>
        </row>
        <row r="548">
          <cell r="D548" t="str">
            <v>M/S Bismillah Motors-Hinla</v>
          </cell>
          <cell r="E548" t="str">
            <v>01448</v>
          </cell>
        </row>
        <row r="549">
          <cell r="D549" t="str">
            <v>M/S Bismillah Motors-Hinla</v>
          </cell>
          <cell r="E549" t="str">
            <v>01448</v>
          </cell>
        </row>
        <row r="550">
          <cell r="D550" t="str">
            <v>M/S Sohan Motors</v>
          </cell>
          <cell r="E550" t="str">
            <v>01385</v>
          </cell>
        </row>
        <row r="551">
          <cell r="D551" t="str">
            <v>M/S Sohan Motors</v>
          </cell>
          <cell r="E551" t="str">
            <v>01385</v>
          </cell>
        </row>
        <row r="552">
          <cell r="D552" t="str">
            <v>M/S Shah Mojidia Motor Parts</v>
          </cell>
          <cell r="E552" t="str">
            <v>00842</v>
          </cell>
        </row>
        <row r="553">
          <cell r="D553" t="str">
            <v>M/S Saiful Motors</v>
          </cell>
          <cell r="E553" t="str">
            <v>00482</v>
          </cell>
        </row>
        <row r="554">
          <cell r="D554" t="str">
            <v>M/S Saiful Motors</v>
          </cell>
          <cell r="E554" t="str">
            <v>00482</v>
          </cell>
        </row>
        <row r="555">
          <cell r="D555" t="str">
            <v>MD. Momen</v>
          </cell>
          <cell r="E555" t="str">
            <v>01366</v>
          </cell>
        </row>
        <row r="556">
          <cell r="D556" t="str">
            <v>M/S Takia Battery House (C)</v>
          </cell>
          <cell r="E556" t="str">
            <v>01527</v>
          </cell>
        </row>
        <row r="557">
          <cell r="D557" t="str">
            <v>M/S Adib Alifa Auto &amp; Battery House (C)</v>
          </cell>
          <cell r="E557" t="str">
            <v>01454</v>
          </cell>
        </row>
        <row r="558">
          <cell r="D558" t="str">
            <v>M/S Bhai Bhai Battery And Motors (C)</v>
          </cell>
          <cell r="E558" t="str">
            <v>01496</v>
          </cell>
        </row>
        <row r="559">
          <cell r="D559" t="str">
            <v>Mr. Karar Rabib, Senior AGM, Head of sales &amp; Marke</v>
          </cell>
          <cell r="E559" t="str">
            <v>01268</v>
          </cell>
        </row>
        <row r="560">
          <cell r="D560" t="str">
            <v>M/S Aminul Battery House</v>
          </cell>
          <cell r="E560" t="str">
            <v>01250</v>
          </cell>
        </row>
        <row r="561">
          <cell r="D561" t="str">
            <v>M/S Aminul Battery House</v>
          </cell>
          <cell r="E561" t="str">
            <v>01250</v>
          </cell>
        </row>
        <row r="562">
          <cell r="D562" t="str">
            <v>M/S Sadiq Enterprise (C)</v>
          </cell>
          <cell r="E562" t="str">
            <v>01484</v>
          </cell>
        </row>
        <row r="563">
          <cell r="D563" t="str">
            <v>M/S Al-Amin Cycle &amp; Auto Parts (C)</v>
          </cell>
          <cell r="E563" t="str">
            <v>01507</v>
          </cell>
        </row>
        <row r="564">
          <cell r="D564" t="str">
            <v>M/S M.R. Enterprise- Dinajpur (C)</v>
          </cell>
          <cell r="E564" t="str">
            <v>01520</v>
          </cell>
        </row>
        <row r="565">
          <cell r="D565" t="str">
            <v>M/S M.R. Enterprise- Dinajpur</v>
          </cell>
          <cell r="E565" t="str">
            <v>00601</v>
          </cell>
        </row>
        <row r="566">
          <cell r="D566" t="str">
            <v>M/S Samir Battery And Tyre</v>
          </cell>
          <cell r="E566" t="str">
            <v>01450</v>
          </cell>
        </row>
        <row r="567">
          <cell r="D567" t="str">
            <v>M/S Samir Battery And Tyre</v>
          </cell>
          <cell r="E567" t="str">
            <v>01450</v>
          </cell>
        </row>
        <row r="568">
          <cell r="D568" t="str">
            <v>M/S Ripon Tyre and Battery</v>
          </cell>
          <cell r="E568" t="str">
            <v>00002</v>
          </cell>
        </row>
        <row r="569">
          <cell r="D569" t="str">
            <v>M/S Ripon Tyre and Battery</v>
          </cell>
          <cell r="E569" t="str">
            <v>00002</v>
          </cell>
        </row>
        <row r="570">
          <cell r="D570" t="str">
            <v>M/S Ripon Tyre and Battery</v>
          </cell>
          <cell r="E570" t="str">
            <v>00002</v>
          </cell>
        </row>
        <row r="571">
          <cell r="D571" t="str">
            <v>M/S Ripon Tyre and Battery</v>
          </cell>
          <cell r="E571" t="str">
            <v>00002</v>
          </cell>
        </row>
        <row r="572">
          <cell r="D572" t="str">
            <v>M/S Monir Auto &amp; Battery House</v>
          </cell>
          <cell r="E572" t="str">
            <v>00001</v>
          </cell>
        </row>
        <row r="573">
          <cell r="D573" t="str">
            <v>M/S Rumi Battery House</v>
          </cell>
          <cell r="E573" t="str">
            <v>00387</v>
          </cell>
        </row>
        <row r="574">
          <cell r="D574" t="str">
            <v>M/S National Motors-Feni</v>
          </cell>
          <cell r="E574" t="str">
            <v>01102</v>
          </cell>
        </row>
        <row r="575">
          <cell r="D575" t="str">
            <v>M/S Siam Motors</v>
          </cell>
          <cell r="E575" t="str">
            <v>00367</v>
          </cell>
        </row>
        <row r="576">
          <cell r="D576" t="str">
            <v>M/S Siam Motors</v>
          </cell>
          <cell r="E576" t="str">
            <v>00367</v>
          </cell>
        </row>
        <row r="577">
          <cell r="D577" t="str">
            <v>M/S Bondhu Auto and CNG Workshop</v>
          </cell>
          <cell r="E577" t="str">
            <v>01149</v>
          </cell>
        </row>
        <row r="578">
          <cell r="D578" t="str">
            <v>M/S Bondhu Auto and CNG Workshop</v>
          </cell>
          <cell r="E578" t="str">
            <v>01149</v>
          </cell>
        </row>
        <row r="579">
          <cell r="D579" t="str">
            <v>M/S Doyal Battery</v>
          </cell>
          <cell r="E579" t="str">
            <v>00337</v>
          </cell>
        </row>
        <row r="580">
          <cell r="D580" t="str">
            <v>M/S Snigdha Battery</v>
          </cell>
          <cell r="E580" t="str">
            <v>00134</v>
          </cell>
        </row>
        <row r="581">
          <cell r="D581" t="str">
            <v>M/S Snigdha Battery</v>
          </cell>
          <cell r="E581" t="str">
            <v>00134</v>
          </cell>
        </row>
        <row r="582">
          <cell r="D582" t="str">
            <v>M/S Snigdha Battery</v>
          </cell>
          <cell r="E582" t="str">
            <v>00134</v>
          </cell>
        </row>
        <row r="583">
          <cell r="D583" t="str">
            <v>M/S Setu Cycle Mart</v>
          </cell>
          <cell r="E583" t="str">
            <v>00471</v>
          </cell>
        </row>
        <row r="584">
          <cell r="D584" t="str">
            <v>M/S Setu Cycle Mart</v>
          </cell>
          <cell r="E584" t="str">
            <v>00471</v>
          </cell>
        </row>
        <row r="585">
          <cell r="D585" t="str">
            <v>M/S Setu Cycle Mart</v>
          </cell>
          <cell r="E585" t="str">
            <v>00471</v>
          </cell>
        </row>
        <row r="586">
          <cell r="D586" t="str">
            <v>M/S Shekh Enterprise - Khulna</v>
          </cell>
          <cell r="E586" t="str">
            <v>01435</v>
          </cell>
        </row>
        <row r="587">
          <cell r="D587" t="str">
            <v>M/S Housing Auto Bike</v>
          </cell>
          <cell r="E587" t="str">
            <v>00598</v>
          </cell>
        </row>
        <row r="588">
          <cell r="D588" t="str">
            <v>M/S Rifat Enterprise (C)</v>
          </cell>
          <cell r="E588" t="str">
            <v>01531</v>
          </cell>
        </row>
        <row r="589">
          <cell r="D589" t="str">
            <v>M/S Satata Battery House (C)</v>
          </cell>
          <cell r="E589" t="str">
            <v>01517</v>
          </cell>
        </row>
        <row r="590">
          <cell r="D590" t="str">
            <v>M/S Lutfor Auto Battery House</v>
          </cell>
          <cell r="E590" t="str">
            <v>00829</v>
          </cell>
        </row>
        <row r="591">
          <cell r="D591" t="str">
            <v>M/S Modina Enterprise - Savar</v>
          </cell>
          <cell r="E591" t="str">
            <v>01404</v>
          </cell>
        </row>
        <row r="592">
          <cell r="D592" t="str">
            <v>M/S Modina Enterprise - Savar</v>
          </cell>
          <cell r="E592" t="str">
            <v>01404</v>
          </cell>
        </row>
        <row r="593">
          <cell r="D593" t="str">
            <v>M/S Khan Battery Recycling (C)</v>
          </cell>
          <cell r="E593" t="str">
            <v>01282</v>
          </cell>
        </row>
        <row r="594">
          <cell r="D594" t="str">
            <v>M/S Al - Mokka Enterprise</v>
          </cell>
          <cell r="E594" t="str">
            <v>01112</v>
          </cell>
        </row>
        <row r="595">
          <cell r="D595" t="str">
            <v>M/S Minara Traders</v>
          </cell>
          <cell r="E595" t="str">
            <v>01108</v>
          </cell>
        </row>
        <row r="596">
          <cell r="D596" t="str">
            <v>M/S Minara Traders</v>
          </cell>
          <cell r="E596" t="str">
            <v>01108</v>
          </cell>
        </row>
        <row r="597">
          <cell r="D597" t="str">
            <v>M/S Hira Motors-Chokoria</v>
          </cell>
          <cell r="E597" t="str">
            <v>01441</v>
          </cell>
        </row>
        <row r="598">
          <cell r="D598" t="str">
            <v>M/S Bismillah Motors-Hinla</v>
          </cell>
          <cell r="E598" t="str">
            <v>01448</v>
          </cell>
        </row>
        <row r="599">
          <cell r="D599" t="str">
            <v>M/S Bismillah Motors-Hinla</v>
          </cell>
          <cell r="E599" t="str">
            <v>01448</v>
          </cell>
        </row>
        <row r="600">
          <cell r="D600" t="str">
            <v>M/S Sifa Motors</v>
          </cell>
          <cell r="E600" t="str">
            <v>01443</v>
          </cell>
        </row>
        <row r="601">
          <cell r="D601" t="str">
            <v>M/S Sifa Motors</v>
          </cell>
          <cell r="E601" t="str">
            <v>01443</v>
          </cell>
        </row>
        <row r="602">
          <cell r="D602" t="str">
            <v>M/S Shah Mojidia Motor Parts</v>
          </cell>
          <cell r="E602" t="str">
            <v>00842</v>
          </cell>
        </row>
        <row r="603">
          <cell r="D603" t="str">
            <v>M/S Shah Mojidia Motor Parts</v>
          </cell>
          <cell r="E603" t="str">
            <v>00842</v>
          </cell>
        </row>
        <row r="604">
          <cell r="D604" t="str">
            <v>M/S Shah Mojidia Motor Parts</v>
          </cell>
          <cell r="E604" t="str">
            <v>00842</v>
          </cell>
        </row>
        <row r="605">
          <cell r="D605" t="str">
            <v>M/S Shah Mojidia Motor Parts</v>
          </cell>
          <cell r="E605" t="str">
            <v>00842</v>
          </cell>
        </row>
        <row r="606">
          <cell r="D606" t="str">
            <v>M/S S.K. Enterprise (C)</v>
          </cell>
          <cell r="E606" t="str">
            <v>01326</v>
          </cell>
        </row>
        <row r="607">
          <cell r="D607" t="str">
            <v>M/S S.K. Enterprise (C)</v>
          </cell>
          <cell r="E607" t="str">
            <v>01326</v>
          </cell>
        </row>
        <row r="608">
          <cell r="D608" t="str">
            <v>M/S Bashkhali Enterprise</v>
          </cell>
          <cell r="E608" t="str">
            <v>00424</v>
          </cell>
        </row>
        <row r="609">
          <cell r="D609" t="str">
            <v>M/S Bashkhali Enterprise</v>
          </cell>
          <cell r="E609" t="str">
            <v>00424</v>
          </cell>
        </row>
        <row r="610">
          <cell r="D610" t="str">
            <v>M/S Kalam Auto Motor Parts And Battery House</v>
          </cell>
          <cell r="E610" t="str">
            <v>00420</v>
          </cell>
        </row>
        <row r="611">
          <cell r="D611" t="str">
            <v>M/S Banskhali Enterprise-Joldi (C)</v>
          </cell>
          <cell r="E611" t="str">
            <v>01312</v>
          </cell>
        </row>
        <row r="612">
          <cell r="D612" t="str">
            <v>M/S Banskhali Enterprise-Joldi (C)</v>
          </cell>
          <cell r="E612" t="str">
            <v>01312</v>
          </cell>
        </row>
        <row r="613">
          <cell r="D613" t="str">
            <v>M/S Sajib Enterprise (C)</v>
          </cell>
          <cell r="E613" t="str">
            <v>01353</v>
          </cell>
        </row>
        <row r="614">
          <cell r="D614" t="str">
            <v>M/S Sajib Enterprise (C)</v>
          </cell>
          <cell r="E614" t="str">
            <v>01353</v>
          </cell>
        </row>
        <row r="615">
          <cell r="D615" t="str">
            <v>M/S Sajib Enterprise (C)</v>
          </cell>
          <cell r="E615" t="str">
            <v>01353</v>
          </cell>
        </row>
        <row r="616">
          <cell r="D616" t="str">
            <v>M/S Anas Battery &amp; Auto House</v>
          </cell>
          <cell r="E616" t="str">
            <v>01401</v>
          </cell>
        </row>
        <row r="617">
          <cell r="D617" t="str">
            <v>M/S Anik Motors &amp; Battery (C)</v>
          </cell>
          <cell r="E617" t="str">
            <v>01444</v>
          </cell>
        </row>
        <row r="618">
          <cell r="D618" t="str">
            <v>M/S Anik Motors &amp; Battery (C)</v>
          </cell>
          <cell r="E618" t="str">
            <v>01444</v>
          </cell>
        </row>
        <row r="619">
          <cell r="D619" t="str">
            <v>M/S Anik Motors &amp; Battery (C)</v>
          </cell>
          <cell r="E619" t="str">
            <v>01444</v>
          </cell>
        </row>
        <row r="620">
          <cell r="D620" t="str">
            <v>M/S Anik Motors &amp; Battery (C)</v>
          </cell>
          <cell r="E620" t="str">
            <v>01444</v>
          </cell>
        </row>
        <row r="621">
          <cell r="D621" t="str">
            <v>M/S Anik Motors &amp; Battery (C)</v>
          </cell>
          <cell r="E621" t="str">
            <v>01444</v>
          </cell>
        </row>
        <row r="622">
          <cell r="D622" t="str">
            <v>M/S Khokon IPS &amp; Battery Center (C)</v>
          </cell>
          <cell r="E622" t="str">
            <v>01306</v>
          </cell>
        </row>
        <row r="623">
          <cell r="D623" t="str">
            <v>M/S A.P.L. Auto House</v>
          </cell>
          <cell r="E623" t="str">
            <v>00328</v>
          </cell>
        </row>
        <row r="624">
          <cell r="D624" t="str">
            <v>M/S A.P.L. Auto House</v>
          </cell>
          <cell r="E624" t="str">
            <v>00328</v>
          </cell>
        </row>
        <row r="625">
          <cell r="D625" t="str">
            <v>M/S S.S. Enterprise-Norshingdi (C)</v>
          </cell>
          <cell r="E625" t="str">
            <v>01331</v>
          </cell>
        </row>
        <row r="626">
          <cell r="D626" t="str">
            <v>M/S S.S. Enterprise-Norshingdi (C)</v>
          </cell>
          <cell r="E626" t="str">
            <v>01331</v>
          </cell>
        </row>
        <row r="627">
          <cell r="D627" t="str">
            <v>M/S S.S. Enterprise-Norshingdi (C)</v>
          </cell>
          <cell r="E627" t="str">
            <v>01331</v>
          </cell>
        </row>
        <row r="628">
          <cell r="D628" t="str">
            <v>M/S Talukder Motors (C)</v>
          </cell>
          <cell r="E628" t="str">
            <v>01471</v>
          </cell>
        </row>
        <row r="629">
          <cell r="D629" t="str">
            <v>M/S Talukder Motors (C)</v>
          </cell>
          <cell r="E629" t="str">
            <v>01471</v>
          </cell>
        </row>
        <row r="630">
          <cell r="D630" t="str">
            <v>M/S Farhan Auto (C)</v>
          </cell>
          <cell r="E630" t="str">
            <v>01298</v>
          </cell>
        </row>
        <row r="631">
          <cell r="D631" t="str">
            <v>M/S Farhan Auto (C)</v>
          </cell>
          <cell r="E631" t="str">
            <v>01298</v>
          </cell>
        </row>
        <row r="632">
          <cell r="D632" t="str">
            <v>M/S Farhan Auto (C)</v>
          </cell>
          <cell r="E632" t="str">
            <v>01298</v>
          </cell>
        </row>
        <row r="633">
          <cell r="D633" t="str">
            <v>M/S L D Poribahan &amp; Trading (C)</v>
          </cell>
          <cell r="E633" t="str">
            <v>01299</v>
          </cell>
        </row>
        <row r="634">
          <cell r="D634" t="str">
            <v>M/S L D Poribahan &amp; Trading (C)</v>
          </cell>
          <cell r="E634" t="str">
            <v>01299</v>
          </cell>
        </row>
        <row r="635">
          <cell r="D635" t="str">
            <v>M/S Adib Alifa Auto &amp; Battery House (C)</v>
          </cell>
          <cell r="E635" t="str">
            <v>01454</v>
          </cell>
        </row>
        <row r="636">
          <cell r="D636" t="str">
            <v>M/S Adib Alifa Auto &amp; Battery House (C)</v>
          </cell>
          <cell r="E636" t="str">
            <v>01454</v>
          </cell>
        </row>
        <row r="637">
          <cell r="D637" t="str">
            <v>M/S Bhai Bhai Battery And Motors (C)</v>
          </cell>
          <cell r="E637" t="str">
            <v>01496</v>
          </cell>
        </row>
        <row r="638">
          <cell r="D638" t="str">
            <v>M/S Bhai Bhai Battery And Motors (C)</v>
          </cell>
          <cell r="E638" t="str">
            <v>01496</v>
          </cell>
        </row>
        <row r="639">
          <cell r="D639" t="str">
            <v>M/S S.K. Trading Corporation (C)</v>
          </cell>
          <cell r="E639" t="str">
            <v>01523</v>
          </cell>
        </row>
        <row r="640">
          <cell r="D640" t="str">
            <v>M/S Shopon Battery House (C)</v>
          </cell>
          <cell r="E640" t="str">
            <v>01320</v>
          </cell>
        </row>
        <row r="641">
          <cell r="D641" t="str">
            <v>M/S Shopon Battery House (C)</v>
          </cell>
          <cell r="E641" t="str">
            <v>01320</v>
          </cell>
        </row>
        <row r="642">
          <cell r="D642" t="str">
            <v>M/S Sadiq Enterprise (C)</v>
          </cell>
          <cell r="E642" t="str">
            <v>01484</v>
          </cell>
        </row>
        <row r="643">
          <cell r="D643" t="str">
            <v>M/S Sadiq Enterprise</v>
          </cell>
          <cell r="E643" t="str">
            <v>01067</v>
          </cell>
        </row>
        <row r="644">
          <cell r="D644" t="str">
            <v>M/S AL - Modina Traders (C)</v>
          </cell>
          <cell r="E644" t="str">
            <v>01525</v>
          </cell>
        </row>
        <row r="645">
          <cell r="D645" t="str">
            <v>M/S AL - Modina Traders (C)</v>
          </cell>
          <cell r="E645" t="str">
            <v>01525</v>
          </cell>
        </row>
        <row r="646">
          <cell r="D646" t="str">
            <v>M/S Rafiq Vi Battery &amp; Auto</v>
          </cell>
          <cell r="E646" t="str">
            <v>01405</v>
          </cell>
        </row>
        <row r="647">
          <cell r="D647" t="str">
            <v>M/S Arafat Enterprise</v>
          </cell>
          <cell r="E647" t="str">
            <v>00094</v>
          </cell>
        </row>
        <row r="648">
          <cell r="D648" t="str">
            <v>M/S Arafat Enterprise</v>
          </cell>
          <cell r="E648" t="str">
            <v>00094</v>
          </cell>
        </row>
        <row r="649">
          <cell r="D649" t="str">
            <v>M/S Arafat Enterprise</v>
          </cell>
          <cell r="E649" t="str">
            <v>00094</v>
          </cell>
        </row>
        <row r="650">
          <cell r="D650" t="str">
            <v>M/S Ripon Tyre and Battery</v>
          </cell>
          <cell r="E650" t="str">
            <v>00002</v>
          </cell>
        </row>
        <row r="651">
          <cell r="D651" t="str">
            <v>M/S Ripon Tyre and Battery</v>
          </cell>
          <cell r="E651" t="str">
            <v>00002</v>
          </cell>
        </row>
        <row r="652">
          <cell r="D652" t="str">
            <v>M/S Ripon Tyre and Battery</v>
          </cell>
          <cell r="E652" t="str">
            <v>00002</v>
          </cell>
        </row>
        <row r="653">
          <cell r="D653" t="str">
            <v>M/S Bondhu Auto and CNG Workshop</v>
          </cell>
          <cell r="E653" t="str">
            <v>01149</v>
          </cell>
        </row>
        <row r="654">
          <cell r="D654" t="str">
            <v>M/S Bondhu Auto and CNG Workshop</v>
          </cell>
          <cell r="E654" t="str">
            <v>01149</v>
          </cell>
        </row>
        <row r="655">
          <cell r="D655" t="str">
            <v>M/S Bondhu Auto and CNG Workshop</v>
          </cell>
          <cell r="E655" t="str">
            <v>01149</v>
          </cell>
        </row>
        <row r="656">
          <cell r="D656" t="str">
            <v>M/S Bondhu Auto and CNG Workshop</v>
          </cell>
          <cell r="E656" t="str">
            <v>01149</v>
          </cell>
        </row>
        <row r="657">
          <cell r="D657" t="str">
            <v>M/S Bondhu Auto and CNG Workshop</v>
          </cell>
          <cell r="E657" t="str">
            <v>01149</v>
          </cell>
        </row>
        <row r="658">
          <cell r="D658" t="str">
            <v>M/S Bondhu Auto and CNG Workshop</v>
          </cell>
          <cell r="E658" t="str">
            <v>01149</v>
          </cell>
        </row>
        <row r="659">
          <cell r="D659" t="str">
            <v>M/S Doyal Battery</v>
          </cell>
          <cell r="E659" t="str">
            <v>00337</v>
          </cell>
        </row>
        <row r="660">
          <cell r="D660" t="str">
            <v>M/S Doyal Battery</v>
          </cell>
          <cell r="E660" t="str">
            <v>00337</v>
          </cell>
        </row>
        <row r="661">
          <cell r="D661" t="str">
            <v>M/S Doyal Battery</v>
          </cell>
          <cell r="E661" t="str">
            <v>00337</v>
          </cell>
        </row>
        <row r="662">
          <cell r="D662" t="str">
            <v>M/S Setu Cycle Mart</v>
          </cell>
          <cell r="E662" t="str">
            <v>00471</v>
          </cell>
        </row>
        <row r="663">
          <cell r="D663" t="str">
            <v>M/S Setu Cycle Mart</v>
          </cell>
          <cell r="E663" t="str">
            <v>00471</v>
          </cell>
        </row>
        <row r="664">
          <cell r="D664" t="str">
            <v>M/S Setu Cycle Mart</v>
          </cell>
          <cell r="E664" t="str">
            <v>00471</v>
          </cell>
        </row>
        <row r="665">
          <cell r="D665" t="str">
            <v>M/S Setu Cycle Mart</v>
          </cell>
          <cell r="E665" t="str">
            <v>00471</v>
          </cell>
        </row>
        <row r="666">
          <cell r="D666" t="str">
            <v>M/S Setu Cycle Mart</v>
          </cell>
          <cell r="E666" t="str">
            <v>00471</v>
          </cell>
        </row>
        <row r="667">
          <cell r="D667" t="str">
            <v>M/S Saiful Motors</v>
          </cell>
          <cell r="E667" t="str">
            <v>00482</v>
          </cell>
        </row>
        <row r="668">
          <cell r="D668" t="str">
            <v>M/S Sangu Battery House</v>
          </cell>
          <cell r="E668" t="str">
            <v>00988</v>
          </cell>
        </row>
        <row r="669">
          <cell r="D669" t="str">
            <v>M/S Snigdha Battery</v>
          </cell>
          <cell r="E669" t="str">
            <v>00134</v>
          </cell>
        </row>
        <row r="670">
          <cell r="D670" t="str">
            <v>M/S Snigdha Battery</v>
          </cell>
          <cell r="E670" t="str">
            <v>00134</v>
          </cell>
        </row>
        <row r="671">
          <cell r="D671" t="str">
            <v>M/S Jogotbondhu Battery &amp; Eng. Workshop</v>
          </cell>
          <cell r="E671" t="str">
            <v>00143</v>
          </cell>
        </row>
        <row r="672">
          <cell r="D672" t="str">
            <v>M/S Kalam Store</v>
          </cell>
          <cell r="E672" t="str">
            <v>01436</v>
          </cell>
        </row>
        <row r="673">
          <cell r="D673" t="str">
            <v>M/S Kalam Store</v>
          </cell>
          <cell r="E673" t="str">
            <v>01436</v>
          </cell>
        </row>
        <row r="674">
          <cell r="D674" t="str">
            <v>M/S Kalam Store</v>
          </cell>
          <cell r="E674" t="str">
            <v>01436</v>
          </cell>
        </row>
        <row r="675">
          <cell r="D675" t="str">
            <v>M/S S.K. Motors - Kushtia</v>
          </cell>
          <cell r="E675" t="str">
            <v>01057</v>
          </cell>
        </row>
        <row r="676">
          <cell r="D676" t="str">
            <v>M/S S S Trading</v>
          </cell>
          <cell r="E676" t="str">
            <v>00846</v>
          </cell>
        </row>
        <row r="677">
          <cell r="D677" t="str">
            <v>M/S New Asia Motors</v>
          </cell>
          <cell r="E677" t="str">
            <v>00051</v>
          </cell>
        </row>
        <row r="678">
          <cell r="D678" t="str">
            <v>M/S Hemayetpur Battery House (C)</v>
          </cell>
          <cell r="E678" t="str">
            <v>01478</v>
          </cell>
        </row>
        <row r="679">
          <cell r="D679" t="str">
            <v>M/S Anas Enterprise</v>
          </cell>
          <cell r="E679" t="str">
            <v>00817</v>
          </cell>
        </row>
        <row r="680">
          <cell r="D680" t="str">
            <v>M/S Modina Enterprise - Savar</v>
          </cell>
          <cell r="E680" t="str">
            <v>01404</v>
          </cell>
        </row>
        <row r="681">
          <cell r="D681" t="str">
            <v>M/S Samir Battery And Tyre</v>
          </cell>
          <cell r="E681" t="str">
            <v>01450</v>
          </cell>
        </row>
        <row r="682">
          <cell r="D682" t="str">
            <v>M/S Samir Battery And Tyre</v>
          </cell>
          <cell r="E682" t="str">
            <v>01450</v>
          </cell>
        </row>
        <row r="683">
          <cell r="D683" t="str">
            <v>M/S Samir Battery And Tyre</v>
          </cell>
          <cell r="E683" t="str">
            <v>01450</v>
          </cell>
        </row>
        <row r="684">
          <cell r="D684" t="str">
            <v>M/S Samir Battery And Tyre</v>
          </cell>
          <cell r="E684" t="str">
            <v>01450</v>
          </cell>
        </row>
        <row r="685">
          <cell r="D685" t="str">
            <v>M/S Satata Battery House (C)</v>
          </cell>
          <cell r="E685" t="str">
            <v>01517</v>
          </cell>
        </row>
        <row r="686">
          <cell r="D686" t="str">
            <v>M/S Satata Battery House (C)</v>
          </cell>
          <cell r="E686" t="str">
            <v>01517</v>
          </cell>
        </row>
        <row r="687">
          <cell r="D687" t="str">
            <v>M/S Allahar Dan Battery</v>
          </cell>
          <cell r="E687" t="str">
            <v>01466</v>
          </cell>
        </row>
        <row r="688">
          <cell r="D688" t="str">
            <v>M/S Ma Tyre &amp; Battery  Shop</v>
          </cell>
          <cell r="E688" t="str">
            <v>00088</v>
          </cell>
        </row>
        <row r="689">
          <cell r="D689" t="str">
            <v>M/S Sakib Enterprise</v>
          </cell>
          <cell r="E689" t="str">
            <v>01467</v>
          </cell>
        </row>
        <row r="690">
          <cell r="D690" t="str">
            <v>M/S Rifat Enterprise (C)</v>
          </cell>
          <cell r="E690" t="str">
            <v>01531</v>
          </cell>
        </row>
        <row r="691">
          <cell r="D691" t="str">
            <v>M/S Shoshi Enterprise (C)</v>
          </cell>
          <cell r="E691" t="str">
            <v>01335</v>
          </cell>
        </row>
        <row r="692">
          <cell r="D692" t="str">
            <v>M/S Lutfor Auto Battery House</v>
          </cell>
          <cell r="E692" t="str">
            <v>00829</v>
          </cell>
        </row>
        <row r="693">
          <cell r="D693" t="str">
            <v>M/S Lutfor Auto Battery House</v>
          </cell>
          <cell r="E693" t="str">
            <v>00829</v>
          </cell>
        </row>
        <row r="694">
          <cell r="D694" t="str">
            <v>M/S Rashed Enterprise</v>
          </cell>
          <cell r="E694" t="str">
            <v>00030</v>
          </cell>
        </row>
        <row r="695">
          <cell r="D695" t="str">
            <v>M/S Tanvir Battery House</v>
          </cell>
          <cell r="E695" t="str">
            <v>01175</v>
          </cell>
        </row>
        <row r="696">
          <cell r="D696" t="str">
            <v>M/S Rafiq Enterprise</v>
          </cell>
          <cell r="E696" t="str">
            <v>00003</v>
          </cell>
        </row>
        <row r="697">
          <cell r="D697" t="str">
            <v>M/S L D Poribahan &amp; Trading (C)</v>
          </cell>
          <cell r="E697" t="str">
            <v>01299</v>
          </cell>
        </row>
        <row r="698">
          <cell r="D698" t="str">
            <v>M/S L D Poribahan &amp; Trading (C)</v>
          </cell>
          <cell r="E698" t="str">
            <v>01299</v>
          </cell>
        </row>
        <row r="699">
          <cell r="D699" t="str">
            <v>M/S L D Poribahan &amp; Trading (C)</v>
          </cell>
          <cell r="E699" t="str">
            <v>01299</v>
          </cell>
        </row>
        <row r="700">
          <cell r="D700" t="str">
            <v>M/S Farhan Auto (C)</v>
          </cell>
          <cell r="E700" t="str">
            <v>01298</v>
          </cell>
        </row>
        <row r="701">
          <cell r="D701" t="str">
            <v>M/S Farhan Auto (C)</v>
          </cell>
          <cell r="E701" t="str">
            <v>01298</v>
          </cell>
        </row>
        <row r="702">
          <cell r="D702" t="str">
            <v>M/S Siam Motors</v>
          </cell>
          <cell r="E702" t="str">
            <v>00367</v>
          </cell>
        </row>
        <row r="703">
          <cell r="D703" t="str">
            <v>M/S Samar Auto (C)</v>
          </cell>
          <cell r="E703" t="str">
            <v>01522</v>
          </cell>
        </row>
        <row r="704">
          <cell r="D704" t="str">
            <v>M/S Talukder Motors (C)</v>
          </cell>
          <cell r="E704" t="str">
            <v>01471</v>
          </cell>
        </row>
        <row r="705">
          <cell r="D705" t="str">
            <v>M/S Bashkhali Enterprise</v>
          </cell>
          <cell r="E705" t="str">
            <v>00424</v>
          </cell>
        </row>
        <row r="706">
          <cell r="D706" t="str">
            <v>M/S Kalam Auto Motor Parts And Battery House</v>
          </cell>
          <cell r="E706" t="str">
            <v>00420</v>
          </cell>
        </row>
        <row r="707">
          <cell r="D707" t="str">
            <v>M/S Banskhali Enterprise-Joldi (C)</v>
          </cell>
          <cell r="E707" t="str">
            <v>01312</v>
          </cell>
        </row>
        <row r="708">
          <cell r="D708" t="str">
            <v>M/S Banskhali Enterprise-Joldi (C)</v>
          </cell>
          <cell r="E708" t="str">
            <v>01312</v>
          </cell>
        </row>
        <row r="709">
          <cell r="D709" t="str">
            <v>M/S Adhunik Battery And IPS Bitan</v>
          </cell>
          <cell r="E709" t="str">
            <v>01359</v>
          </cell>
        </row>
        <row r="710">
          <cell r="D710" t="str">
            <v>M/S S.K. Enterprise (C)</v>
          </cell>
          <cell r="E710" t="str">
            <v>01326</v>
          </cell>
        </row>
        <row r="711">
          <cell r="D711" t="str">
            <v>M/S S.K. Enterprise (C)</v>
          </cell>
          <cell r="E711" t="str">
            <v>01326</v>
          </cell>
        </row>
        <row r="712">
          <cell r="D712" t="str">
            <v>M/S S.K. Enterprise (C)</v>
          </cell>
          <cell r="E712" t="str">
            <v>01326</v>
          </cell>
        </row>
        <row r="713">
          <cell r="D713" t="str">
            <v>M/S S.K. Enterprise (C)</v>
          </cell>
          <cell r="E713" t="str">
            <v>01326</v>
          </cell>
        </row>
        <row r="714">
          <cell r="D714" t="str">
            <v>M/S Belal Battery House</v>
          </cell>
          <cell r="E714" t="str">
            <v>01461</v>
          </cell>
        </row>
        <row r="715">
          <cell r="D715" t="str">
            <v>M/S Hafiz Battery House</v>
          </cell>
          <cell r="E715" t="str">
            <v>01368</v>
          </cell>
        </row>
        <row r="716">
          <cell r="D716" t="str">
            <v>M/S Bismillah Motors-Hinla</v>
          </cell>
          <cell r="E716" t="str">
            <v>01448</v>
          </cell>
        </row>
        <row r="717">
          <cell r="D717" t="str">
            <v>M/S Bismillah Motors-Hinla</v>
          </cell>
          <cell r="E717" t="str">
            <v>01448</v>
          </cell>
        </row>
        <row r="718">
          <cell r="D718" t="str">
            <v>M/S Sohan Motors</v>
          </cell>
          <cell r="E718" t="str">
            <v>01385</v>
          </cell>
        </row>
        <row r="719">
          <cell r="D719" t="str">
            <v>M/S Anas Battery &amp; Auto House</v>
          </cell>
          <cell r="E719" t="str">
            <v>01401</v>
          </cell>
        </row>
        <row r="720">
          <cell r="D720" t="str">
            <v>M/S Sajib Enterprise (C)</v>
          </cell>
          <cell r="E720" t="str">
            <v>01353</v>
          </cell>
        </row>
        <row r="721">
          <cell r="D721" t="str">
            <v>M/S Sajib Enterprise (C)</v>
          </cell>
          <cell r="E721" t="str">
            <v>01353</v>
          </cell>
        </row>
        <row r="722">
          <cell r="D722" t="str">
            <v>M/S A.P.L. Auto House</v>
          </cell>
          <cell r="E722" t="str">
            <v>00328</v>
          </cell>
        </row>
        <row r="723">
          <cell r="D723" t="str">
            <v>M/S A.P.L. Auto House</v>
          </cell>
          <cell r="E723" t="str">
            <v>00328</v>
          </cell>
        </row>
        <row r="724">
          <cell r="D724" t="str">
            <v>M/S Anik Motors &amp; Battery (C)</v>
          </cell>
          <cell r="E724" t="str">
            <v>01444</v>
          </cell>
        </row>
        <row r="725">
          <cell r="D725" t="str">
            <v>M/S Anik Motors &amp; Battery (C)</v>
          </cell>
          <cell r="E725" t="str">
            <v>01444</v>
          </cell>
        </row>
        <row r="726">
          <cell r="D726" t="str">
            <v>M/S S.B. Energy (C)</v>
          </cell>
          <cell r="E726" t="str">
            <v>01288</v>
          </cell>
        </row>
        <row r="727">
          <cell r="D727" t="str">
            <v>M/S S.B. Energy (C)</v>
          </cell>
          <cell r="E727" t="str">
            <v>01288</v>
          </cell>
        </row>
        <row r="728">
          <cell r="D728" t="str">
            <v>M/S S.B. Energy (C)</v>
          </cell>
          <cell r="E728" t="str">
            <v>01288</v>
          </cell>
        </row>
        <row r="729">
          <cell r="D729" t="str">
            <v>M/S S.B. Energy (C)</v>
          </cell>
          <cell r="E729" t="str">
            <v>01288</v>
          </cell>
        </row>
        <row r="730">
          <cell r="D730" t="str">
            <v>M/S S.B. Energy (C)</v>
          </cell>
          <cell r="E730" t="str">
            <v>01288</v>
          </cell>
        </row>
        <row r="731">
          <cell r="D731" t="str">
            <v>M/S New Dhaka Motors and Battery</v>
          </cell>
          <cell r="E731" t="str">
            <v>00005</v>
          </cell>
        </row>
        <row r="732">
          <cell r="D732" t="str">
            <v>M/S New Dhaka Motors and Battery</v>
          </cell>
          <cell r="E732" t="str">
            <v>00005</v>
          </cell>
        </row>
        <row r="733">
          <cell r="D733" t="str">
            <v>M/S New Dhaka Motors and Battery</v>
          </cell>
          <cell r="E733" t="str">
            <v>00005</v>
          </cell>
        </row>
        <row r="734">
          <cell r="D734" t="str">
            <v>M/S Ananna Battery &amp; Tyre</v>
          </cell>
          <cell r="E734" t="str">
            <v>01088</v>
          </cell>
        </row>
        <row r="735">
          <cell r="D735" t="str">
            <v>M/S Ananna Battery &amp; Tyre</v>
          </cell>
          <cell r="E735" t="str">
            <v>01088</v>
          </cell>
        </row>
        <row r="736">
          <cell r="D736" t="str">
            <v>M/S Ananna Battery &amp; Tyre</v>
          </cell>
          <cell r="E736" t="str">
            <v>01088</v>
          </cell>
        </row>
        <row r="737">
          <cell r="D737" t="str">
            <v>M/S Adnan Tyre and Battery House</v>
          </cell>
          <cell r="E737" t="str">
            <v>01371</v>
          </cell>
        </row>
        <row r="738">
          <cell r="D738" t="str">
            <v>M/S Adnan Tyre and Battery House</v>
          </cell>
          <cell r="E738" t="str">
            <v>01371</v>
          </cell>
        </row>
        <row r="739">
          <cell r="D739" t="str">
            <v>M/S Comilla Traders</v>
          </cell>
          <cell r="E739" t="str">
            <v>00334</v>
          </cell>
        </row>
        <row r="740">
          <cell r="D740" t="str">
            <v>M/S Adib Alifa Auto &amp; Battery House (C)</v>
          </cell>
          <cell r="E740" t="str">
            <v>01454</v>
          </cell>
        </row>
        <row r="741">
          <cell r="D741" t="str">
            <v>M/S S.K. Trading Corporation (C)</v>
          </cell>
          <cell r="E741" t="str">
            <v>01523</v>
          </cell>
        </row>
        <row r="742">
          <cell r="D742" t="str">
            <v>M/S S.M. Imran Battery House(C)</v>
          </cell>
          <cell r="E742" t="str">
            <v>01533</v>
          </cell>
        </row>
        <row r="743">
          <cell r="D743" t="str">
            <v>M/S Souro Power Electric</v>
          </cell>
          <cell r="E743" t="str">
            <v>01285</v>
          </cell>
        </row>
        <row r="744">
          <cell r="D744" t="str">
            <v>M/S Souro Power Electric</v>
          </cell>
          <cell r="E744" t="str">
            <v>01285</v>
          </cell>
        </row>
        <row r="745">
          <cell r="D745" t="str">
            <v>M/S Shopon Battery House (C)</v>
          </cell>
          <cell r="E745" t="str">
            <v>01320</v>
          </cell>
        </row>
        <row r="746">
          <cell r="D746" t="str">
            <v>M/S Shopon Battery House (C)</v>
          </cell>
          <cell r="E746" t="str">
            <v>01320</v>
          </cell>
        </row>
        <row r="747">
          <cell r="D747" t="str">
            <v>M/S Shopon Battery House (C)</v>
          </cell>
          <cell r="E747" t="str">
            <v>01320</v>
          </cell>
        </row>
        <row r="748">
          <cell r="D748" t="str">
            <v>M/S Awlad Electronics</v>
          </cell>
          <cell r="E748" t="str">
            <v>01284</v>
          </cell>
        </row>
        <row r="749">
          <cell r="D749" t="str">
            <v>M/S Sadiq Enterprise</v>
          </cell>
          <cell r="E749" t="str">
            <v>01067</v>
          </cell>
        </row>
        <row r="750">
          <cell r="D750" t="str">
            <v>M/S Tanha Battery House (C)</v>
          </cell>
          <cell r="E750" t="str">
            <v>01457</v>
          </cell>
        </row>
        <row r="751">
          <cell r="D751" t="str">
            <v>M/S Smart Electronics</v>
          </cell>
          <cell r="E751" t="str">
            <v>01432</v>
          </cell>
        </row>
        <row r="752">
          <cell r="D752" t="str">
            <v>M/S Nazrul Battery and Mobil House</v>
          </cell>
          <cell r="E752" t="str">
            <v>00832</v>
          </cell>
        </row>
        <row r="753">
          <cell r="D753" t="str">
            <v>M/S Roni Battery</v>
          </cell>
          <cell r="E753" t="str">
            <v>01379</v>
          </cell>
        </row>
        <row r="754">
          <cell r="D754" t="str">
            <v>M/S Raju Battery</v>
          </cell>
          <cell r="E754" t="str">
            <v>00519</v>
          </cell>
        </row>
        <row r="755">
          <cell r="D755" t="str">
            <v>M/S Arafat Enterprise</v>
          </cell>
          <cell r="E755" t="str">
            <v>00094</v>
          </cell>
        </row>
        <row r="756">
          <cell r="D756" t="str">
            <v>M/S Bondhu Auto and CNG Workshop</v>
          </cell>
          <cell r="E756" t="str">
            <v>01149</v>
          </cell>
        </row>
        <row r="757">
          <cell r="D757" t="str">
            <v>Mr. Nanindra Chandra Das</v>
          </cell>
          <cell r="E757" t="str">
            <v>01151</v>
          </cell>
        </row>
        <row r="758">
          <cell r="D758" t="str">
            <v>M/S Doyal Battery</v>
          </cell>
          <cell r="E758" t="str">
            <v>00337</v>
          </cell>
        </row>
        <row r="759">
          <cell r="D759" t="str">
            <v>M/S Doyal Battery</v>
          </cell>
          <cell r="E759" t="str">
            <v>00337</v>
          </cell>
        </row>
        <row r="760">
          <cell r="D760" t="str">
            <v>M/S Doyal Battery</v>
          </cell>
          <cell r="E760" t="str">
            <v>00337</v>
          </cell>
        </row>
        <row r="761">
          <cell r="D761" t="str">
            <v>M/S Sangu Battery House</v>
          </cell>
          <cell r="E761" t="str">
            <v>00988</v>
          </cell>
        </row>
        <row r="762">
          <cell r="D762" t="str">
            <v>M/S Saiful Motors</v>
          </cell>
          <cell r="E762" t="str">
            <v>00482</v>
          </cell>
        </row>
        <row r="763">
          <cell r="D763" t="str">
            <v>M/S Setu Cycle Mart</v>
          </cell>
          <cell r="E763" t="str">
            <v>00471</v>
          </cell>
        </row>
        <row r="764">
          <cell r="D764" t="str">
            <v>M/S Setu Cycle Mart</v>
          </cell>
          <cell r="E764" t="str">
            <v>00471</v>
          </cell>
        </row>
        <row r="765">
          <cell r="D765" t="str">
            <v>M/S Setu Cycle Mart</v>
          </cell>
          <cell r="E765" t="str">
            <v>00471</v>
          </cell>
        </row>
        <row r="766">
          <cell r="D766" t="str">
            <v>M/S Setu Cycle Mart</v>
          </cell>
          <cell r="E766" t="str">
            <v>00471</v>
          </cell>
        </row>
        <row r="767">
          <cell r="D767" t="str">
            <v>M/S Setu Cycle Mart</v>
          </cell>
          <cell r="E767" t="str">
            <v>00471</v>
          </cell>
        </row>
        <row r="768">
          <cell r="D768" t="str">
            <v>M/S Setu Cycle Mart</v>
          </cell>
          <cell r="E768" t="str">
            <v>00471</v>
          </cell>
        </row>
        <row r="769">
          <cell r="D769" t="str">
            <v>M/S Shah Mojidia Motor Parts</v>
          </cell>
          <cell r="E769" t="str">
            <v>00842</v>
          </cell>
        </row>
        <row r="770">
          <cell r="D770" t="str">
            <v>M/S Shah Mojidia Motor Parts</v>
          </cell>
          <cell r="E770" t="str">
            <v>00842</v>
          </cell>
        </row>
        <row r="771">
          <cell r="D771" t="str">
            <v>M/S Power Battery</v>
          </cell>
          <cell r="E771" t="str">
            <v>00324</v>
          </cell>
        </row>
        <row r="772">
          <cell r="D772" t="str">
            <v>M/S S.S. Enterprise-Norshingdi</v>
          </cell>
          <cell r="E772" t="str">
            <v>01118</v>
          </cell>
        </row>
        <row r="773">
          <cell r="D773" t="str">
            <v>M/S Mayer Doya Auto Parts-Laksam</v>
          </cell>
          <cell r="E773" t="str">
            <v>00325</v>
          </cell>
        </row>
        <row r="774">
          <cell r="D774" t="str">
            <v>M/S Mayer Doya Auto Parts-Laksam</v>
          </cell>
          <cell r="E774" t="str">
            <v>00325</v>
          </cell>
        </row>
        <row r="775">
          <cell r="D775" t="str">
            <v>M/S Mayer Doya Auto Parts-Laksam</v>
          </cell>
          <cell r="E775" t="str">
            <v>00325</v>
          </cell>
        </row>
        <row r="776">
          <cell r="D776" t="str">
            <v>M/S S S Trading</v>
          </cell>
          <cell r="E776" t="str">
            <v>00846</v>
          </cell>
        </row>
        <row r="777">
          <cell r="D777" t="str">
            <v>M/S Bondhu Auto and CNG Workshop</v>
          </cell>
          <cell r="E777" t="str">
            <v>01149</v>
          </cell>
        </row>
        <row r="778">
          <cell r="D778" t="str">
            <v>M/S Bondhu Auto and CNG Workshop</v>
          </cell>
          <cell r="E778" t="str">
            <v>01149</v>
          </cell>
        </row>
        <row r="779">
          <cell r="D779" t="str">
            <v>M/S Bondhu Auto and CNG Workshop</v>
          </cell>
          <cell r="E779" t="str">
            <v>01149</v>
          </cell>
        </row>
        <row r="780">
          <cell r="D780" t="str">
            <v>M/S Sangu Battery House</v>
          </cell>
          <cell r="E780" t="str">
            <v>00988</v>
          </cell>
        </row>
        <row r="781">
          <cell r="D781" t="str">
            <v>M/S Sangu Battery House</v>
          </cell>
          <cell r="E781" t="str">
            <v>00988</v>
          </cell>
        </row>
        <row r="782">
          <cell r="D782" t="str">
            <v>M/S Bhai Bhai Battery And Motors</v>
          </cell>
          <cell r="E782" t="str">
            <v>01453</v>
          </cell>
        </row>
        <row r="783">
          <cell r="D783" t="str">
            <v>M/S Sakib Enterprise</v>
          </cell>
          <cell r="E783" t="str">
            <v>01467</v>
          </cell>
        </row>
        <row r="784">
          <cell r="D784" t="str">
            <v>M/S Mahtab Engineering Workshop</v>
          </cell>
          <cell r="E784" t="str">
            <v>01429</v>
          </cell>
        </row>
        <row r="785">
          <cell r="D785" t="str">
            <v>M/S Mahtab Engineering Workshop</v>
          </cell>
          <cell r="E785" t="str">
            <v>01429</v>
          </cell>
        </row>
        <row r="786">
          <cell r="D786" t="str">
            <v>M/S Shoshi Enterprise</v>
          </cell>
          <cell r="E786" t="str">
            <v>01153</v>
          </cell>
        </row>
        <row r="787">
          <cell r="D787" t="str">
            <v>M/S Gazipur Battery House</v>
          </cell>
          <cell r="E787" t="str">
            <v>00826</v>
          </cell>
        </row>
        <row r="788">
          <cell r="D788" t="str">
            <v>M/S Rashed Enterprise</v>
          </cell>
          <cell r="E788" t="str">
            <v>00030</v>
          </cell>
        </row>
        <row r="789">
          <cell r="D789" t="str">
            <v>M/S Rashed Enterprise</v>
          </cell>
          <cell r="E789" t="str">
            <v>00030</v>
          </cell>
        </row>
        <row r="790">
          <cell r="D790" t="str">
            <v>M/S Hemayetpur Battery House (C)</v>
          </cell>
          <cell r="E790" t="str">
            <v>01478</v>
          </cell>
        </row>
        <row r="791">
          <cell r="D791" t="str">
            <v>M/S Mohanagar Motors</v>
          </cell>
          <cell r="E791" t="str">
            <v>00331</v>
          </cell>
        </row>
        <row r="792">
          <cell r="D792" t="str">
            <v>M/S Mohanagar Motors</v>
          </cell>
          <cell r="E792" t="str">
            <v>00331</v>
          </cell>
        </row>
        <row r="793">
          <cell r="D793" t="str">
            <v>M/S Rafiq Enterprise</v>
          </cell>
          <cell r="E793" t="str">
            <v>00003</v>
          </cell>
        </row>
        <row r="794">
          <cell r="D794" t="str">
            <v>M/S Farhan Auto (C)</v>
          </cell>
          <cell r="E794" t="str">
            <v>01298</v>
          </cell>
        </row>
        <row r="795">
          <cell r="D795" t="str">
            <v>M/S Farhan Auto (C)</v>
          </cell>
          <cell r="E795" t="str">
            <v>01298</v>
          </cell>
        </row>
        <row r="796">
          <cell r="D796" t="str">
            <v>M/S L D Poribahan &amp; Trading (C)</v>
          </cell>
          <cell r="E796" t="str">
            <v>01299</v>
          </cell>
        </row>
        <row r="797">
          <cell r="D797" t="str">
            <v>M/S L D Poribahan &amp; Trading (C)</v>
          </cell>
          <cell r="E797" t="str">
            <v>01299</v>
          </cell>
        </row>
        <row r="798">
          <cell r="D798" t="str">
            <v>M/S Eva Grill Workshop &amp; Hardware</v>
          </cell>
          <cell r="E798" t="str">
            <v>01440</v>
          </cell>
        </row>
        <row r="799">
          <cell r="D799" t="str">
            <v>M/S Shah Mojidia Motor Parts</v>
          </cell>
          <cell r="E799" t="str">
            <v>00842</v>
          </cell>
        </row>
        <row r="800">
          <cell r="D800" t="str">
            <v>M/S Shah Mojidia Motor Parts</v>
          </cell>
          <cell r="E800" t="str">
            <v>00842</v>
          </cell>
        </row>
        <row r="801">
          <cell r="D801" t="str">
            <v>M/S Shah Mojidia Motor Parts</v>
          </cell>
          <cell r="E801" t="str">
            <v>00842</v>
          </cell>
        </row>
        <row r="802">
          <cell r="D802" t="str">
            <v>M/S Bismillah Motors-Hinla</v>
          </cell>
          <cell r="E802" t="str">
            <v>01448</v>
          </cell>
        </row>
        <row r="803">
          <cell r="D803" t="str">
            <v>M/S Sadia Enterprise</v>
          </cell>
          <cell r="E803" t="str">
            <v>01490</v>
          </cell>
        </row>
        <row r="804">
          <cell r="D804" t="str">
            <v>M/S Sadia Enterprise</v>
          </cell>
          <cell r="E804" t="str">
            <v>01490</v>
          </cell>
        </row>
        <row r="805">
          <cell r="D805" t="str">
            <v>M/S Anas Battery &amp; Auto House</v>
          </cell>
          <cell r="E805" t="str">
            <v>01401</v>
          </cell>
        </row>
        <row r="806">
          <cell r="D806" t="str">
            <v>M/S Sajib Enterprise (C)</v>
          </cell>
          <cell r="E806" t="str">
            <v>01353</v>
          </cell>
        </row>
        <row r="807">
          <cell r="D807" t="str">
            <v>M/S Sajib Enterprise (C)</v>
          </cell>
          <cell r="E807" t="str">
            <v>01353</v>
          </cell>
        </row>
        <row r="808">
          <cell r="D808" t="str">
            <v>M/S Sajib Enterprise (C)</v>
          </cell>
          <cell r="E808" t="str">
            <v>01353</v>
          </cell>
        </row>
        <row r="809">
          <cell r="D809" t="str">
            <v>M/S Khokon IPS &amp; Battery Center (C)</v>
          </cell>
          <cell r="E809" t="str">
            <v>01306</v>
          </cell>
        </row>
        <row r="810">
          <cell r="D810" t="str">
            <v>M/S National Motors-Feni</v>
          </cell>
          <cell r="E810" t="str">
            <v>01102</v>
          </cell>
        </row>
        <row r="811">
          <cell r="D811" t="str">
            <v>M/S Anik Motors &amp; Battery (C)</v>
          </cell>
          <cell r="E811" t="str">
            <v>01444</v>
          </cell>
        </row>
        <row r="812">
          <cell r="D812" t="str">
            <v>M/S Rajapur IPS &amp; Battery House</v>
          </cell>
          <cell r="E812" t="str">
            <v>01400</v>
          </cell>
        </row>
        <row r="813">
          <cell r="D813" t="str">
            <v>M/S S.S. Enterprise-Norshingdi (C)</v>
          </cell>
          <cell r="E813" t="str">
            <v>01331</v>
          </cell>
        </row>
        <row r="814">
          <cell r="D814" t="str">
            <v>M/S S.S. Enterprise-Norshingdi (C)</v>
          </cell>
          <cell r="E814" t="str">
            <v>01331</v>
          </cell>
        </row>
        <row r="815">
          <cell r="D815" t="str">
            <v>M/S S.K. Enterprise (C)</v>
          </cell>
          <cell r="E815" t="str">
            <v>01326</v>
          </cell>
        </row>
        <row r="816">
          <cell r="D816" t="str">
            <v>M/S S.K. Enterprise (C)</v>
          </cell>
          <cell r="E816" t="str">
            <v>01326</v>
          </cell>
        </row>
        <row r="817">
          <cell r="D817" t="str">
            <v>M/S S.K. Enterprise (C)</v>
          </cell>
          <cell r="E817" t="str">
            <v>01326</v>
          </cell>
        </row>
        <row r="818">
          <cell r="D818" t="str">
            <v>M/S S.K. Enterprise (C)</v>
          </cell>
          <cell r="E818" t="str">
            <v>01326</v>
          </cell>
        </row>
        <row r="819">
          <cell r="D819" t="str">
            <v>M/S S.K. Enterprise (C)</v>
          </cell>
          <cell r="E819" t="str">
            <v>01326</v>
          </cell>
        </row>
        <row r="820">
          <cell r="D820" t="str">
            <v>M/S Shahjalal Traders</v>
          </cell>
          <cell r="E820" t="str">
            <v>01362</v>
          </cell>
        </row>
        <row r="821">
          <cell r="D821" t="str">
            <v>M/S Adib Alifa Auto &amp; Battery House (C)</v>
          </cell>
          <cell r="E821" t="str">
            <v>01454</v>
          </cell>
        </row>
        <row r="822">
          <cell r="D822" t="str">
            <v>M/S Manir Battery Charging Station (C)</v>
          </cell>
          <cell r="E822" t="str">
            <v>01324</v>
          </cell>
        </row>
        <row r="823">
          <cell r="D823" t="str">
            <v>M/S Islam Auto House</v>
          </cell>
          <cell r="E823" t="str">
            <v>01391</v>
          </cell>
        </row>
        <row r="824">
          <cell r="D824" t="str">
            <v>M/S Awlad Electronics</v>
          </cell>
          <cell r="E824" t="str">
            <v>01284</v>
          </cell>
        </row>
        <row r="825">
          <cell r="D825" t="str">
            <v>M/S Nazrul Battery and Mobil House</v>
          </cell>
          <cell r="E825" t="str">
            <v>00832</v>
          </cell>
        </row>
        <row r="826">
          <cell r="D826" t="str">
            <v>M/S Roni Battery</v>
          </cell>
          <cell r="E826" t="str">
            <v>01379</v>
          </cell>
        </row>
        <row r="827">
          <cell r="D827" t="str">
            <v>M/S Sirajgonj Auto Corner (C)</v>
          </cell>
          <cell r="E827" t="str">
            <v>01494</v>
          </cell>
        </row>
        <row r="828">
          <cell r="D828" t="str">
            <v>M/S Saiful Motors</v>
          </cell>
          <cell r="E828" t="str">
            <v>00482</v>
          </cell>
        </row>
        <row r="829">
          <cell r="D829" t="str">
            <v>M/S Snigdha Battery</v>
          </cell>
          <cell r="E829" t="str">
            <v>00134</v>
          </cell>
        </row>
        <row r="830">
          <cell r="D830" t="str">
            <v>M/S Snigdha Battery</v>
          </cell>
          <cell r="E830" t="str">
            <v>00134</v>
          </cell>
        </row>
        <row r="831">
          <cell r="D831" t="str">
            <v>M/S Tamim Enterprise</v>
          </cell>
          <cell r="E831" t="str">
            <v>01395</v>
          </cell>
        </row>
        <row r="832">
          <cell r="D832" t="str">
            <v>M/S Power Battery</v>
          </cell>
          <cell r="E832" t="str">
            <v>00324</v>
          </cell>
        </row>
        <row r="833">
          <cell r="D833" t="str">
            <v>M/S Power Battery</v>
          </cell>
          <cell r="E833" t="str">
            <v>00324</v>
          </cell>
        </row>
        <row r="834">
          <cell r="D834" t="str">
            <v>M/S Power Battery</v>
          </cell>
          <cell r="E834" t="str">
            <v>00324</v>
          </cell>
        </row>
        <row r="835">
          <cell r="D835" t="str">
            <v>M/S Minara Traders</v>
          </cell>
          <cell r="E835" t="str">
            <v>01108</v>
          </cell>
        </row>
        <row r="836">
          <cell r="D836" t="str">
            <v>M/S Minara Traders</v>
          </cell>
          <cell r="E836" t="str">
            <v>01108</v>
          </cell>
        </row>
        <row r="837">
          <cell r="D837" t="str">
            <v>M/S Tanvir Battery House</v>
          </cell>
          <cell r="E837" t="str">
            <v>01175</v>
          </cell>
        </row>
        <row r="838">
          <cell r="D838" t="str">
            <v>M/S Rumi Battery House</v>
          </cell>
          <cell r="E838" t="str">
            <v>00387</v>
          </cell>
        </row>
        <row r="839">
          <cell r="D839" t="str">
            <v>M/S Takwa Enterprise</v>
          </cell>
          <cell r="E839" t="str">
            <v>00847</v>
          </cell>
        </row>
        <row r="840">
          <cell r="D840" t="str">
            <v>M/S Al Baraka Enterprise</v>
          </cell>
          <cell r="E840" t="str">
            <v>00159</v>
          </cell>
        </row>
        <row r="841">
          <cell r="D841" t="str">
            <v>M/S Raisa Radia  Battery House</v>
          </cell>
          <cell r="E841" t="str">
            <v>00867</v>
          </cell>
        </row>
        <row r="842">
          <cell r="D842" t="str">
            <v>M/S Raisa Radia  Battery House</v>
          </cell>
          <cell r="E842" t="str">
            <v>00867</v>
          </cell>
        </row>
        <row r="843">
          <cell r="D843" t="str">
            <v>M/S Tamjid Enterprise</v>
          </cell>
          <cell r="E843" t="str">
            <v>01123</v>
          </cell>
        </row>
        <row r="844">
          <cell r="D844" t="str">
            <v>M/S Tamjid Enterprise</v>
          </cell>
          <cell r="E844" t="str">
            <v>01123</v>
          </cell>
        </row>
        <row r="845">
          <cell r="D845" t="str">
            <v>M/S Bondhu Auto and CNG Workshop</v>
          </cell>
          <cell r="E845" t="str">
            <v>01149</v>
          </cell>
        </row>
        <row r="846">
          <cell r="D846" t="str">
            <v>M/S Bondhu Auto and CNG Workshop</v>
          </cell>
          <cell r="E846" t="str">
            <v>01149</v>
          </cell>
        </row>
        <row r="847">
          <cell r="D847" t="str">
            <v>M/S Doyal Battery</v>
          </cell>
          <cell r="E847" t="str">
            <v>00337</v>
          </cell>
        </row>
        <row r="848">
          <cell r="D848" t="str">
            <v>M/S Doyal Battery</v>
          </cell>
          <cell r="E848" t="str">
            <v>00337</v>
          </cell>
        </row>
        <row r="849">
          <cell r="D849" t="str">
            <v>M/S Battery House - Pabna</v>
          </cell>
          <cell r="E849" t="str">
            <v>00534</v>
          </cell>
        </row>
        <row r="850">
          <cell r="D850" t="str">
            <v>M/S Bandhu Auto Centre</v>
          </cell>
          <cell r="E850" t="str">
            <v>00573</v>
          </cell>
        </row>
        <row r="851">
          <cell r="D851" t="str">
            <v>M/S Hossen Traders</v>
          </cell>
          <cell r="E851" t="str">
            <v>01107</v>
          </cell>
        </row>
        <row r="852">
          <cell r="D852" t="str">
            <v>M/S Rakin Auto Parts</v>
          </cell>
          <cell r="E852" t="str">
            <v>00561</v>
          </cell>
        </row>
        <row r="853">
          <cell r="D853" t="str">
            <v>M/S Samir Battery And Tyre</v>
          </cell>
          <cell r="E853" t="str">
            <v>01450</v>
          </cell>
        </row>
        <row r="854">
          <cell r="D854" t="str">
            <v>M/S Satata Battery House (C)</v>
          </cell>
          <cell r="E854" t="str">
            <v>01517</v>
          </cell>
        </row>
        <row r="855">
          <cell r="D855" t="str">
            <v>M/S Al - Mokka Enterprise</v>
          </cell>
          <cell r="E855" t="str">
            <v>01112</v>
          </cell>
        </row>
        <row r="856">
          <cell r="D856" t="str">
            <v>M/S Al - Mokka Enterprise</v>
          </cell>
          <cell r="E856" t="str">
            <v>01112</v>
          </cell>
        </row>
        <row r="857">
          <cell r="D857" t="str">
            <v>M/S S.B. Energy (C)</v>
          </cell>
          <cell r="E857" t="str">
            <v>01288</v>
          </cell>
        </row>
        <row r="858">
          <cell r="D858" t="str">
            <v>M/S Anas Enterprise</v>
          </cell>
          <cell r="E858" t="str">
            <v>00817</v>
          </cell>
        </row>
        <row r="859">
          <cell r="D859" t="str">
            <v>M/S Rashed Enterprise</v>
          </cell>
          <cell r="E859" t="str">
            <v>00030</v>
          </cell>
        </row>
        <row r="860">
          <cell r="D860" t="str">
            <v>M/S Rashed Enterprise</v>
          </cell>
          <cell r="E860" t="str">
            <v>00030</v>
          </cell>
        </row>
        <row r="861">
          <cell r="D861" t="str">
            <v>M/S Rashed Enterprise</v>
          </cell>
          <cell r="E861" t="str">
            <v>00030</v>
          </cell>
        </row>
        <row r="862">
          <cell r="D862" t="str">
            <v>M/S Rashed Enterprise</v>
          </cell>
          <cell r="E862" t="str">
            <v>00030</v>
          </cell>
        </row>
        <row r="863">
          <cell r="D863" t="str">
            <v>M/S Modina Cycle Store (C)</v>
          </cell>
          <cell r="E863" t="str">
            <v>01519</v>
          </cell>
        </row>
        <row r="864">
          <cell r="D864" t="str">
            <v>M/S Khan Battery Recycling (C)</v>
          </cell>
          <cell r="E864" t="str">
            <v>01282</v>
          </cell>
        </row>
        <row r="865">
          <cell r="D865" t="str">
            <v>M/S Arafat Battery House</v>
          </cell>
          <cell r="E865" t="str">
            <v>01445</v>
          </cell>
        </row>
        <row r="866">
          <cell r="D866" t="str">
            <v>M/S S.K. Enterprise (C)</v>
          </cell>
          <cell r="E866" t="str">
            <v>01326</v>
          </cell>
        </row>
        <row r="867">
          <cell r="D867" t="str">
            <v>M/S S.K. Enterprise (C)</v>
          </cell>
          <cell r="E867" t="str">
            <v>01326</v>
          </cell>
        </row>
        <row r="868">
          <cell r="D868" t="str">
            <v>M/S S.K. Enterprise (C)</v>
          </cell>
          <cell r="E868" t="str">
            <v>01326</v>
          </cell>
        </row>
        <row r="869">
          <cell r="D869" t="str">
            <v>M/S S.K. Enterprise (C)</v>
          </cell>
          <cell r="E869" t="str">
            <v>01326</v>
          </cell>
        </row>
        <row r="870">
          <cell r="D870" t="str">
            <v>M/S S.K. Enterprise (C)</v>
          </cell>
          <cell r="E870" t="str">
            <v>01326</v>
          </cell>
        </row>
        <row r="871">
          <cell r="D871" t="str">
            <v>M/S S.K. Enterprise (C)</v>
          </cell>
          <cell r="E871" t="str">
            <v>01326</v>
          </cell>
        </row>
        <row r="872">
          <cell r="D872" t="str">
            <v>M/S S.K. Enterprise (C)</v>
          </cell>
          <cell r="E872" t="str">
            <v>01326</v>
          </cell>
        </row>
        <row r="873">
          <cell r="D873" t="str">
            <v>M/S Anas Battery &amp; Auto House</v>
          </cell>
          <cell r="E873" t="str">
            <v>01401</v>
          </cell>
        </row>
        <row r="874">
          <cell r="D874" t="str">
            <v>M/S Sajib Enterprise (C)</v>
          </cell>
          <cell r="E874" t="str">
            <v>01353</v>
          </cell>
        </row>
        <row r="875">
          <cell r="D875" t="str">
            <v>M/S Sajib Enterprise (C)</v>
          </cell>
          <cell r="E875" t="str">
            <v>01353</v>
          </cell>
        </row>
        <row r="876">
          <cell r="D876" t="str">
            <v>M/S Sajib Enterprise (C)</v>
          </cell>
          <cell r="E876" t="str">
            <v>01353</v>
          </cell>
        </row>
        <row r="877">
          <cell r="D877" t="str">
            <v>M/S Sajib Enterprise (C)</v>
          </cell>
          <cell r="E877" t="str">
            <v>01353</v>
          </cell>
        </row>
        <row r="878">
          <cell r="D878" t="str">
            <v>M/S Payar Auto Electric Works</v>
          </cell>
          <cell r="E878" t="str">
            <v>00371</v>
          </cell>
        </row>
        <row r="879">
          <cell r="D879" t="str">
            <v>M/S Khokon IPS &amp; Battery Center (C)</v>
          </cell>
          <cell r="E879" t="str">
            <v>01306</v>
          </cell>
        </row>
        <row r="880">
          <cell r="D880" t="str">
            <v>M/S Anik Motors &amp; Battery (C)</v>
          </cell>
          <cell r="E880" t="str">
            <v>01444</v>
          </cell>
        </row>
        <row r="881">
          <cell r="D881" t="str">
            <v>M/S Mokka Motors-Cumilla (C)</v>
          </cell>
          <cell r="E881" t="str">
            <v>01481</v>
          </cell>
        </row>
        <row r="882">
          <cell r="D882" t="str">
            <v>M/S Rajapur IPS &amp; Battery House</v>
          </cell>
          <cell r="E882" t="str">
            <v>01400</v>
          </cell>
        </row>
        <row r="883">
          <cell r="D883" t="str">
            <v>M/S Talukder Motors (C)</v>
          </cell>
          <cell r="E883" t="str">
            <v>01471</v>
          </cell>
        </row>
        <row r="884">
          <cell r="D884" t="str">
            <v>M/S Talukder Motors (C)</v>
          </cell>
          <cell r="E884" t="str">
            <v>01471</v>
          </cell>
        </row>
        <row r="885">
          <cell r="D885" t="str">
            <v>M/S Talukder Motors (C)</v>
          </cell>
          <cell r="E885" t="str">
            <v>01471</v>
          </cell>
        </row>
        <row r="886">
          <cell r="D886" t="str">
            <v>M/S Samar Auto (C)</v>
          </cell>
          <cell r="E886" t="str">
            <v>01522</v>
          </cell>
        </row>
        <row r="887">
          <cell r="D887" t="str">
            <v>M/S Babul Enterprise</v>
          </cell>
          <cell r="E887" t="str">
            <v>00135</v>
          </cell>
        </row>
        <row r="888">
          <cell r="D888" t="str">
            <v>M/S Shah Mojidia Motor Parts</v>
          </cell>
          <cell r="E888" t="str">
            <v>00842</v>
          </cell>
        </row>
        <row r="889">
          <cell r="D889" t="str">
            <v>M/S Shah Mojidia Motor Parts</v>
          </cell>
          <cell r="E889" t="str">
            <v>00842</v>
          </cell>
        </row>
        <row r="890">
          <cell r="D890" t="str">
            <v>Kalam Enterprise</v>
          </cell>
          <cell r="E890" t="str">
            <v>01341</v>
          </cell>
        </row>
        <row r="891">
          <cell r="D891" t="str">
            <v>Kalam Enterprise</v>
          </cell>
          <cell r="E891" t="str">
            <v>01341</v>
          </cell>
        </row>
        <row r="892">
          <cell r="D892" t="str">
            <v>M/S Sifa Motors</v>
          </cell>
          <cell r="E892" t="str">
            <v>01443</v>
          </cell>
        </row>
        <row r="893">
          <cell r="D893" t="str">
            <v>M/S Bismillah Motors-Hinla</v>
          </cell>
          <cell r="E893" t="str">
            <v>01448</v>
          </cell>
        </row>
        <row r="894">
          <cell r="D894" t="str">
            <v>M/S Adnan Tyre and Battery House</v>
          </cell>
          <cell r="E894" t="str">
            <v>01371</v>
          </cell>
        </row>
        <row r="895">
          <cell r="D895" t="str">
            <v>M/S Adnan Tyre and Battery House</v>
          </cell>
          <cell r="E895" t="str">
            <v>01371</v>
          </cell>
        </row>
        <row r="896">
          <cell r="D896" t="str">
            <v>M/S Shepon Motors (C)</v>
          </cell>
          <cell r="E896" t="str">
            <v>01438</v>
          </cell>
        </row>
        <row r="897">
          <cell r="D897" t="str">
            <v>M/S Sadia Auto Parts (C)</v>
          </cell>
          <cell r="E897" t="str">
            <v>01498</v>
          </cell>
        </row>
        <row r="898">
          <cell r="D898" t="str">
            <v>M/S Afifa Traders (C)</v>
          </cell>
          <cell r="E898" t="str">
            <v>01515</v>
          </cell>
        </row>
        <row r="899">
          <cell r="D899" t="str">
            <v>M/S Jony Motors - Faridpur (C)</v>
          </cell>
          <cell r="E899" t="str">
            <v>01534</v>
          </cell>
        </row>
        <row r="900">
          <cell r="D900" t="str">
            <v>M/S S.K. Trading Corporation (C)</v>
          </cell>
          <cell r="E900" t="str">
            <v>01523</v>
          </cell>
        </row>
        <row r="901">
          <cell r="D901" t="str">
            <v>M/S Tanha Battery House (C)</v>
          </cell>
          <cell r="E901" t="str">
            <v>01457</v>
          </cell>
        </row>
        <row r="902">
          <cell r="D902" t="str">
            <v>M/S Rafiq Vi Battery &amp; Auto</v>
          </cell>
          <cell r="E902" t="str">
            <v>01405</v>
          </cell>
        </row>
        <row r="903">
          <cell r="D903" t="str">
            <v>M/S Bogura Auto Center (C)</v>
          </cell>
          <cell r="E903" t="str">
            <v>01468</v>
          </cell>
        </row>
        <row r="904">
          <cell r="D904" t="str">
            <v>M/S Salman Battery House</v>
          </cell>
          <cell r="E904" t="str">
            <v>01121</v>
          </cell>
        </row>
        <row r="905">
          <cell r="D905" t="str">
            <v>M/S Salman Battery House</v>
          </cell>
          <cell r="E905" t="str">
            <v>01121</v>
          </cell>
        </row>
        <row r="906">
          <cell r="D906" t="str">
            <v>M/S Salman Auto and Battery (C)</v>
          </cell>
          <cell r="E906" t="str">
            <v>01535</v>
          </cell>
        </row>
        <row r="907">
          <cell r="D907" t="str">
            <v>M/S Arafat Enterprise</v>
          </cell>
          <cell r="E907" t="str">
            <v>00094</v>
          </cell>
        </row>
        <row r="908">
          <cell r="D908" t="str">
            <v>M/S B.P Battery House</v>
          </cell>
          <cell r="E908" t="str">
            <v>01130</v>
          </cell>
        </row>
        <row r="909">
          <cell r="D909" t="str">
            <v>M/S Bondhu Auto and CNG Workshop</v>
          </cell>
          <cell r="E909" t="str">
            <v>01149</v>
          </cell>
        </row>
        <row r="910">
          <cell r="D910" t="str">
            <v>M/S Bondhu Auto and CNG Workshop</v>
          </cell>
          <cell r="E910" t="str">
            <v>01149</v>
          </cell>
        </row>
        <row r="911">
          <cell r="D911" t="str">
            <v>M/S Bondhu Auto and CNG Workshop</v>
          </cell>
          <cell r="E911" t="str">
            <v>01149</v>
          </cell>
        </row>
        <row r="912">
          <cell r="D912" t="str">
            <v>M/S Bondhu Auto and CNG Workshop</v>
          </cell>
          <cell r="E912" t="str">
            <v>01149</v>
          </cell>
        </row>
        <row r="913">
          <cell r="D913" t="str">
            <v>M/S Bondhu Auto and CNG Workshop</v>
          </cell>
          <cell r="E913" t="str">
            <v>01149</v>
          </cell>
        </row>
        <row r="914">
          <cell r="D914" t="str">
            <v>M/S Doyal Battery</v>
          </cell>
          <cell r="E914" t="str">
            <v>00337</v>
          </cell>
        </row>
        <row r="915">
          <cell r="D915" t="str">
            <v>M/S Doyal Battery</v>
          </cell>
          <cell r="E915" t="str">
            <v>00337</v>
          </cell>
        </row>
        <row r="916">
          <cell r="D916" t="str">
            <v>M/S Sangu Battery House</v>
          </cell>
          <cell r="E916" t="str">
            <v>00988</v>
          </cell>
        </row>
        <row r="917">
          <cell r="D917" t="str">
            <v>M/S Sangu Battery House</v>
          </cell>
          <cell r="E917" t="str">
            <v>00988</v>
          </cell>
        </row>
        <row r="918">
          <cell r="D918" t="str">
            <v>M/S Sangu Battery House</v>
          </cell>
          <cell r="E918" t="str">
            <v>00988</v>
          </cell>
        </row>
        <row r="919">
          <cell r="D919" t="str">
            <v>M/S Power Battery</v>
          </cell>
          <cell r="E919" t="str">
            <v>00324</v>
          </cell>
        </row>
        <row r="920">
          <cell r="D920" t="str">
            <v>M/S Mayer Doya Auto Parts-Laksam</v>
          </cell>
          <cell r="E920" t="str">
            <v>00325</v>
          </cell>
        </row>
        <row r="921">
          <cell r="D921" t="str">
            <v>M/S Ira Motors</v>
          </cell>
          <cell r="E921" t="str">
            <v>00133</v>
          </cell>
        </row>
        <row r="922">
          <cell r="D922" t="str">
            <v>M/S Akhi Battery &amp; Tyre</v>
          </cell>
          <cell r="E922" t="str">
            <v>00140</v>
          </cell>
        </row>
        <row r="923">
          <cell r="D923" t="str">
            <v>M/S Setu Cycle Mart</v>
          </cell>
          <cell r="E923" t="str">
            <v>00471</v>
          </cell>
        </row>
        <row r="924">
          <cell r="D924" t="str">
            <v>M/S Setu Cycle Mart</v>
          </cell>
          <cell r="E924" t="str">
            <v>00471</v>
          </cell>
        </row>
        <row r="925">
          <cell r="D925" t="str">
            <v>M/S Saiful Motors</v>
          </cell>
          <cell r="E925" t="str">
            <v>00482</v>
          </cell>
        </row>
        <row r="926">
          <cell r="D926" t="str">
            <v>M/S Rakin Auto Parts</v>
          </cell>
          <cell r="E926" t="str">
            <v>00561</v>
          </cell>
        </row>
        <row r="927">
          <cell r="D927" t="str">
            <v>M/S Sadia Enterprise</v>
          </cell>
          <cell r="E927" t="str">
            <v>01490</v>
          </cell>
        </row>
        <row r="928">
          <cell r="D928" t="str">
            <v>M/S Sadia Enterprise</v>
          </cell>
          <cell r="E928" t="str">
            <v>01490</v>
          </cell>
        </row>
        <row r="929">
          <cell r="D929" t="str">
            <v>M/S Sadia Enterprise</v>
          </cell>
          <cell r="E929" t="str">
            <v>01490</v>
          </cell>
        </row>
        <row r="930">
          <cell r="D930" t="str">
            <v>M/S Shapla Battery &amp; Auto House</v>
          </cell>
          <cell r="E930" t="str">
            <v>01447</v>
          </cell>
        </row>
        <row r="931">
          <cell r="D931" t="str">
            <v>Md. Sabbir Hossain</v>
          </cell>
          <cell r="E931" t="str">
            <v>01142</v>
          </cell>
        </row>
        <row r="932">
          <cell r="D932" t="str">
            <v>M/S Satata Battery House (C)</v>
          </cell>
          <cell r="E932" t="str">
            <v>01517</v>
          </cell>
        </row>
        <row r="933">
          <cell r="D933" t="str">
            <v>M/S Mahtab Engineering Workshop</v>
          </cell>
          <cell r="E933" t="str">
            <v>01429</v>
          </cell>
        </row>
        <row r="934">
          <cell r="D934" t="str">
            <v>M/S Modina Cycle Store (C)</v>
          </cell>
          <cell r="E934" t="str">
            <v>01519</v>
          </cell>
        </row>
        <row r="935">
          <cell r="D935" t="str">
            <v>M/S Modina Cycle Store (C)</v>
          </cell>
          <cell r="E935" t="str">
            <v>01519</v>
          </cell>
        </row>
        <row r="936">
          <cell r="D936" t="str">
            <v>M/S Uzzal Battery &amp; Auto Electric</v>
          </cell>
          <cell r="E936" t="str">
            <v>01469</v>
          </cell>
        </row>
        <row r="937">
          <cell r="D937" t="str">
            <v>M/S New Dhaka Motors and Battery</v>
          </cell>
          <cell r="E937" t="str">
            <v>00005</v>
          </cell>
        </row>
        <row r="938">
          <cell r="D938" t="str">
            <v>M/S New Dhaka Motors and Battery</v>
          </cell>
          <cell r="E938" t="str">
            <v>00005</v>
          </cell>
        </row>
        <row r="939">
          <cell r="D939" t="str">
            <v>M/S Khan Battery Recycling (C)</v>
          </cell>
          <cell r="E939" t="str">
            <v>01282</v>
          </cell>
        </row>
        <row r="940">
          <cell r="D940" t="str">
            <v>M/S Adnan Tyre and Battery House</v>
          </cell>
          <cell r="E940" t="str">
            <v>01371</v>
          </cell>
        </row>
        <row r="941">
          <cell r="D941" t="str">
            <v>M/S Shahjalal Traders</v>
          </cell>
          <cell r="E941" t="str">
            <v>01362</v>
          </cell>
        </row>
        <row r="942">
          <cell r="D942" t="str">
            <v>M/S Shahjalal Traders</v>
          </cell>
          <cell r="E942" t="str">
            <v>01362</v>
          </cell>
        </row>
        <row r="943">
          <cell r="D943" t="str">
            <v>M/S National Motors-Feni</v>
          </cell>
          <cell r="E943" t="str">
            <v>01102</v>
          </cell>
        </row>
        <row r="944">
          <cell r="D944" t="str">
            <v>M/S Sajib Enterprise (C)</v>
          </cell>
          <cell r="E944" t="str">
            <v>01353</v>
          </cell>
        </row>
        <row r="945">
          <cell r="D945" t="str">
            <v>M/S Sajib Enterprise (C)</v>
          </cell>
          <cell r="E945" t="str">
            <v>01353</v>
          </cell>
        </row>
        <row r="946">
          <cell r="D946" t="str">
            <v>M/S Sajib Enterprise (C)</v>
          </cell>
          <cell r="E946" t="str">
            <v>01353</v>
          </cell>
        </row>
        <row r="947">
          <cell r="D947" t="str">
            <v>M/S Sajib Enterprise (C)</v>
          </cell>
          <cell r="E947" t="str">
            <v>01353</v>
          </cell>
        </row>
        <row r="948">
          <cell r="D948" t="str">
            <v>M/S Sajib Enterprise (C)</v>
          </cell>
          <cell r="E948" t="str">
            <v>01353</v>
          </cell>
        </row>
        <row r="949">
          <cell r="D949" t="str">
            <v>M/S A.P.L. Auto House</v>
          </cell>
          <cell r="E949" t="str">
            <v>00328</v>
          </cell>
        </row>
        <row r="950">
          <cell r="D950" t="str">
            <v>M/S Anik Motors &amp; Battery (C)</v>
          </cell>
          <cell r="E950" t="str">
            <v>01444</v>
          </cell>
        </row>
        <row r="951">
          <cell r="D951" t="str">
            <v>M/S Khokon IPS &amp; Battery Center (C)</v>
          </cell>
          <cell r="E951" t="str">
            <v>01306</v>
          </cell>
        </row>
        <row r="952">
          <cell r="D952" t="str">
            <v>M/S Khokon IPS &amp; Battery Center (C)</v>
          </cell>
          <cell r="E952" t="str">
            <v>01306</v>
          </cell>
        </row>
        <row r="953">
          <cell r="D953" t="str">
            <v>M/S S.S. Enterprise-Norshingdi (C)</v>
          </cell>
          <cell r="E953" t="str">
            <v>01331</v>
          </cell>
        </row>
        <row r="954">
          <cell r="D954" t="str">
            <v>M/S S.S. Enterprise-Norshingdi (C)</v>
          </cell>
          <cell r="E954" t="str">
            <v>01331</v>
          </cell>
        </row>
        <row r="955">
          <cell r="D955" t="str">
            <v>M/S City Auto</v>
          </cell>
          <cell r="E955" t="str">
            <v>00398</v>
          </cell>
        </row>
        <row r="956">
          <cell r="D956" t="str">
            <v>M/S Farhan Auto (C)</v>
          </cell>
          <cell r="E956" t="str">
            <v>01298</v>
          </cell>
        </row>
        <row r="957">
          <cell r="D957" t="str">
            <v>M/S Farhan Auto (C)</v>
          </cell>
          <cell r="E957" t="str">
            <v>01298</v>
          </cell>
        </row>
        <row r="958">
          <cell r="D958" t="str">
            <v>M/S Farhan Auto (C)</v>
          </cell>
          <cell r="E958" t="str">
            <v>01298</v>
          </cell>
        </row>
        <row r="959">
          <cell r="D959" t="str">
            <v>M/S Farhan Auto (C)</v>
          </cell>
          <cell r="E959" t="str">
            <v>01298</v>
          </cell>
        </row>
        <row r="960">
          <cell r="D960" t="str">
            <v>M/S Farhan Auto (C)</v>
          </cell>
          <cell r="E960" t="str">
            <v>01298</v>
          </cell>
        </row>
        <row r="961">
          <cell r="D961" t="str">
            <v>M/S Eva Grill Workshop &amp; Hardware</v>
          </cell>
          <cell r="E961" t="str">
            <v>01440</v>
          </cell>
        </row>
        <row r="962">
          <cell r="D962" t="str">
            <v>M/S Bismillah Auto - Netrokona (C)</v>
          </cell>
          <cell r="E962" t="str">
            <v>01294</v>
          </cell>
        </row>
        <row r="963">
          <cell r="D963" t="str">
            <v>M/S Bismillah Auto - Netrokona (C)</v>
          </cell>
          <cell r="E963" t="str">
            <v>01294</v>
          </cell>
        </row>
        <row r="964">
          <cell r="D964" t="str">
            <v>M/S Bismillah Auto - Netrokona (C)</v>
          </cell>
          <cell r="E964" t="str">
            <v>01294</v>
          </cell>
        </row>
        <row r="965">
          <cell r="D965" t="str">
            <v>M/S Talukder Motors (C)</v>
          </cell>
          <cell r="E965" t="str">
            <v>01471</v>
          </cell>
        </row>
        <row r="966">
          <cell r="D966" t="str">
            <v>M/S Talukder Motors (C)</v>
          </cell>
          <cell r="E966" t="str">
            <v>01471</v>
          </cell>
        </row>
        <row r="967">
          <cell r="D967" t="str">
            <v>M/S Tamim Enterprise</v>
          </cell>
          <cell r="E967" t="str">
            <v>01395</v>
          </cell>
        </row>
        <row r="968">
          <cell r="D968" t="str">
            <v>M/S G. S Motors and Battery</v>
          </cell>
          <cell r="E968" t="str">
            <v>01420</v>
          </cell>
        </row>
        <row r="969">
          <cell r="D969" t="str">
            <v>M/S G. S Motors and Battery</v>
          </cell>
          <cell r="E969" t="str">
            <v>01420</v>
          </cell>
        </row>
        <row r="970">
          <cell r="D970" t="str">
            <v>M/S Bismillah Motors-Hinla</v>
          </cell>
          <cell r="E970" t="str">
            <v>01448</v>
          </cell>
        </row>
        <row r="971">
          <cell r="D971" t="str">
            <v>M/S Bismillah Motors-Hinla</v>
          </cell>
          <cell r="E971" t="str">
            <v>01448</v>
          </cell>
        </row>
        <row r="972">
          <cell r="D972" t="str">
            <v>M/S Macca Tyre And battery House</v>
          </cell>
          <cell r="E972" t="str">
            <v>00439</v>
          </cell>
        </row>
        <row r="973">
          <cell r="D973" t="str">
            <v>M/S Banskhali Enterprise-Joldi (C)</v>
          </cell>
          <cell r="E973" t="str">
            <v>01312</v>
          </cell>
        </row>
        <row r="974">
          <cell r="D974" t="str">
            <v>M/S Banskhali Enterprise-Joldi (C)</v>
          </cell>
          <cell r="E974" t="str">
            <v>01312</v>
          </cell>
        </row>
        <row r="975">
          <cell r="D975" t="str">
            <v>M/S Sifa Motors</v>
          </cell>
          <cell r="E975" t="str">
            <v>01443</v>
          </cell>
        </row>
        <row r="976">
          <cell r="D976" t="str">
            <v>M/S Anas Battery &amp; Auto House</v>
          </cell>
          <cell r="E976" t="str">
            <v>01401</v>
          </cell>
        </row>
        <row r="977">
          <cell r="D977" t="str">
            <v>M/S Takia Battery House (C)</v>
          </cell>
          <cell r="E977" t="str">
            <v>01527</v>
          </cell>
        </row>
        <row r="978">
          <cell r="D978" t="str">
            <v>M/S AL Amin Parts Store</v>
          </cell>
          <cell r="E978" t="str">
            <v>01283</v>
          </cell>
        </row>
        <row r="979">
          <cell r="D979" t="str">
            <v>M/S S.M. Imran Battery House(C)</v>
          </cell>
          <cell r="E979" t="str">
            <v>01533</v>
          </cell>
        </row>
        <row r="980">
          <cell r="D980" t="str">
            <v>M/S S.M. Imran Battery House(C)</v>
          </cell>
          <cell r="E980" t="str">
            <v>01533</v>
          </cell>
        </row>
        <row r="981">
          <cell r="D981" t="str">
            <v>M/S Tanha Battery House (C)</v>
          </cell>
          <cell r="E981" t="str">
            <v>01457</v>
          </cell>
        </row>
        <row r="982">
          <cell r="D982" t="str">
            <v>M/S Mosabbir Traders</v>
          </cell>
          <cell r="E982" t="str">
            <v>00560</v>
          </cell>
        </row>
        <row r="983">
          <cell r="D983" t="str">
            <v>M/S Hossen Traders</v>
          </cell>
          <cell r="E983" t="str">
            <v>01107</v>
          </cell>
        </row>
        <row r="984">
          <cell r="D984" t="str">
            <v>M/S Housing Auto Bike</v>
          </cell>
          <cell r="E984" t="str">
            <v>00598</v>
          </cell>
        </row>
        <row r="985">
          <cell r="D985" t="str">
            <v>M/S Rafiq Vi Battery &amp; Auto</v>
          </cell>
          <cell r="E985" t="str">
            <v>01405</v>
          </cell>
        </row>
        <row r="986">
          <cell r="D986" t="str">
            <v>M/S Souro Power Electric</v>
          </cell>
          <cell r="E986" t="str">
            <v>01285</v>
          </cell>
        </row>
        <row r="987">
          <cell r="D987" t="str">
            <v>M/S Ripon Tyre and Battery</v>
          </cell>
          <cell r="E987" t="str">
            <v>00002</v>
          </cell>
        </row>
        <row r="988">
          <cell r="D988" t="str">
            <v>M/S Ripon Tyre and Battery</v>
          </cell>
          <cell r="E988" t="str">
            <v>00002</v>
          </cell>
        </row>
        <row r="989">
          <cell r="D989" t="str">
            <v>M/S Ripon Tyre and Battery</v>
          </cell>
          <cell r="E989" t="str">
            <v>00002</v>
          </cell>
        </row>
        <row r="990">
          <cell r="D990" t="str">
            <v>M/S Ripon Tyre and Battery</v>
          </cell>
          <cell r="E990" t="str">
            <v>00002</v>
          </cell>
        </row>
        <row r="991">
          <cell r="D991" t="str">
            <v>M/S Doyal Battery</v>
          </cell>
          <cell r="E991" t="str">
            <v>00337</v>
          </cell>
        </row>
        <row r="992">
          <cell r="D992" t="str">
            <v>M/S Doyal Battery</v>
          </cell>
          <cell r="E992" t="str">
            <v>00337</v>
          </cell>
        </row>
        <row r="993">
          <cell r="D993" t="str">
            <v>M/S Doyal Battery</v>
          </cell>
          <cell r="E993" t="str">
            <v>00337</v>
          </cell>
        </row>
        <row r="994">
          <cell r="D994" t="str">
            <v>M/S Bondhu Auto and CNG Workshop</v>
          </cell>
          <cell r="E994" t="str">
            <v>01149</v>
          </cell>
        </row>
        <row r="995">
          <cell r="D995" t="str">
            <v>M/S Bondhu Auto and CNG Workshop</v>
          </cell>
          <cell r="E995" t="str">
            <v>01149</v>
          </cell>
        </row>
        <row r="996">
          <cell r="D996" t="str">
            <v>M/S Bondhu Auto and CNG Workshop</v>
          </cell>
          <cell r="E996" t="str">
            <v>01149</v>
          </cell>
        </row>
        <row r="997">
          <cell r="D997" t="str">
            <v>M/S Power Battery</v>
          </cell>
          <cell r="E997" t="str">
            <v>00324</v>
          </cell>
        </row>
        <row r="998">
          <cell r="D998" t="str">
            <v>M/S Power Battery</v>
          </cell>
          <cell r="E998" t="str">
            <v>00324</v>
          </cell>
        </row>
        <row r="999">
          <cell r="D999" t="str">
            <v>M/S Lalmai Machineries &amp; Parts</v>
          </cell>
          <cell r="E999" t="str">
            <v>00329</v>
          </cell>
        </row>
        <row r="1000">
          <cell r="D1000" t="str">
            <v>M/S Rafi Battery House</v>
          </cell>
          <cell r="E1000" t="str">
            <v>00410</v>
          </cell>
        </row>
        <row r="1001">
          <cell r="D1001" t="str">
            <v>M/S Ira Motors</v>
          </cell>
          <cell r="E1001" t="str">
            <v>00133</v>
          </cell>
        </row>
        <row r="1002">
          <cell r="D1002" t="str">
            <v>M/S Sangu Battery House</v>
          </cell>
          <cell r="E1002" t="str">
            <v>00988</v>
          </cell>
        </row>
        <row r="1003">
          <cell r="D1003" t="str">
            <v>M/S Kalam Auto Motor Parts And Battery House</v>
          </cell>
          <cell r="E1003" t="str">
            <v>00420</v>
          </cell>
        </row>
        <row r="1004">
          <cell r="D1004" t="str">
            <v>M/S Setu Cycle Mart</v>
          </cell>
          <cell r="E1004" t="str">
            <v>00471</v>
          </cell>
        </row>
        <row r="1005">
          <cell r="D1005" t="str">
            <v>M/S Setu Cycle Mart</v>
          </cell>
          <cell r="E1005" t="str">
            <v>00471</v>
          </cell>
        </row>
        <row r="1006">
          <cell r="D1006" t="str">
            <v>M/S Setu Cycle Mart</v>
          </cell>
          <cell r="E1006" t="str">
            <v>00471</v>
          </cell>
        </row>
        <row r="1007">
          <cell r="D1007" t="str">
            <v>M/S Saiful Motors</v>
          </cell>
          <cell r="E1007" t="str">
            <v>00482</v>
          </cell>
        </row>
        <row r="1008">
          <cell r="D1008" t="str">
            <v>M/S Atik Auto</v>
          </cell>
          <cell r="E1008" t="str">
            <v>00562</v>
          </cell>
        </row>
        <row r="1009">
          <cell r="D1009" t="str">
            <v>M/S S S Trading</v>
          </cell>
          <cell r="E1009" t="str">
            <v>00846</v>
          </cell>
        </row>
        <row r="1010">
          <cell r="D1010" t="str">
            <v>M/S Sakib Enterprise</v>
          </cell>
          <cell r="E1010" t="str">
            <v>01467</v>
          </cell>
        </row>
        <row r="1011">
          <cell r="D1011" t="str">
            <v>M/S Sakib Enterprise</v>
          </cell>
          <cell r="E1011" t="str">
            <v>01467</v>
          </cell>
        </row>
        <row r="1012">
          <cell r="D1012" t="str">
            <v>M/S Ma Tyre &amp; Battery  Shop</v>
          </cell>
          <cell r="E1012" t="str">
            <v>00088</v>
          </cell>
        </row>
        <row r="1013">
          <cell r="D1013" t="str">
            <v>M/S Gazipur Battery House</v>
          </cell>
          <cell r="E1013" t="str">
            <v>00826</v>
          </cell>
        </row>
        <row r="1014">
          <cell r="D1014" t="str">
            <v>M/S Hasan Enterprise (C)</v>
          </cell>
          <cell r="E1014" t="str">
            <v>01289</v>
          </cell>
        </row>
        <row r="1015">
          <cell r="D1015" t="str">
            <v>M/S S.B. Energy (C)</v>
          </cell>
          <cell r="E1015" t="str">
            <v>01288</v>
          </cell>
        </row>
        <row r="1016">
          <cell r="D1016" t="str">
            <v>M/S Sharif Battery House &amp; IPS Center (C)</v>
          </cell>
          <cell r="E1016" t="str">
            <v>01491</v>
          </cell>
        </row>
        <row r="1017">
          <cell r="D1017" t="str">
            <v>M/S Hemayetpur Battery House (C)</v>
          </cell>
          <cell r="E1017" t="str">
            <v>01478</v>
          </cell>
        </row>
        <row r="1018">
          <cell r="D1018" t="str">
            <v>M/S Khan Battery Recycling (C)</v>
          </cell>
          <cell r="E1018" t="str">
            <v>01282</v>
          </cell>
        </row>
        <row r="1019">
          <cell r="D1019" t="str">
            <v>M/S Anas Enterprise</v>
          </cell>
          <cell r="E1019" t="str">
            <v>00817</v>
          </cell>
        </row>
        <row r="1020">
          <cell r="D1020" t="str">
            <v>M/S Modina Enterprise - Savar</v>
          </cell>
          <cell r="E1020" t="str">
            <v>01404</v>
          </cell>
        </row>
        <row r="1021">
          <cell r="D1021" t="str">
            <v>M/S New Surid Auto Parts</v>
          </cell>
          <cell r="E1021" t="str">
            <v>00029</v>
          </cell>
        </row>
        <row r="1022">
          <cell r="D1022" t="str">
            <v>M/S Rafiq Enterprise</v>
          </cell>
          <cell r="E1022" t="str">
            <v>00003</v>
          </cell>
        </row>
        <row r="1023">
          <cell r="D1023" t="str">
            <v>M/S Rafiq Enterprise</v>
          </cell>
          <cell r="E1023" t="str">
            <v>00003</v>
          </cell>
        </row>
        <row r="1024">
          <cell r="D1024" t="str">
            <v>M/S Ananna Battery &amp; Tyre</v>
          </cell>
          <cell r="E1024" t="str">
            <v>01088</v>
          </cell>
        </row>
        <row r="1025">
          <cell r="D1025" t="str">
            <v>M/S Ananna Battery &amp; Tyre</v>
          </cell>
          <cell r="E1025" t="str">
            <v>01088</v>
          </cell>
        </row>
        <row r="1026">
          <cell r="D1026" t="str">
            <v>M/S Ananna Battery &amp; Tyre</v>
          </cell>
          <cell r="E1026" t="str">
            <v>01088</v>
          </cell>
        </row>
        <row r="1027">
          <cell r="D1027" t="str">
            <v>M/S New Dhaka Motors and Battery</v>
          </cell>
          <cell r="E1027" t="str">
            <v>00005</v>
          </cell>
        </row>
        <row r="1028">
          <cell r="D1028" t="str">
            <v>M/S S.K. Enterprise (C)</v>
          </cell>
          <cell r="E1028" t="str">
            <v>01326</v>
          </cell>
        </row>
        <row r="1029">
          <cell r="D1029" t="str">
            <v>M/S Macca Tyre And battery House</v>
          </cell>
          <cell r="E1029" t="str">
            <v>00439</v>
          </cell>
        </row>
        <row r="1030">
          <cell r="D1030" t="str">
            <v>M/S Banskhali Enterprise-Joldi (C)</v>
          </cell>
          <cell r="E1030" t="str">
            <v>01312</v>
          </cell>
        </row>
        <row r="1031">
          <cell r="D1031" t="str">
            <v>M/S Banskhali Enterprise-Joldi (C)</v>
          </cell>
          <cell r="E1031" t="str">
            <v>01312</v>
          </cell>
        </row>
        <row r="1032">
          <cell r="D1032" t="str">
            <v>M/S S.K. Enterprise (C)</v>
          </cell>
          <cell r="E1032" t="str">
            <v>01326</v>
          </cell>
        </row>
        <row r="1033">
          <cell r="D1033" t="str">
            <v>M/S S.K. Enterprise (C)</v>
          </cell>
          <cell r="E1033" t="str">
            <v>01326</v>
          </cell>
        </row>
        <row r="1034">
          <cell r="D1034" t="str">
            <v>M/S Khokon IPS &amp; Battery Center (C)</v>
          </cell>
          <cell r="E1034" t="str">
            <v>01306</v>
          </cell>
        </row>
        <row r="1035">
          <cell r="D1035" t="str">
            <v>M/S Sajib Enterprise (C)</v>
          </cell>
          <cell r="E1035" t="str">
            <v>01353</v>
          </cell>
        </row>
        <row r="1036">
          <cell r="D1036" t="str">
            <v>M/S Sajib Enterprise (C)</v>
          </cell>
          <cell r="E1036" t="str">
            <v>01353</v>
          </cell>
        </row>
        <row r="1037">
          <cell r="D1037" t="str">
            <v>M/S A.P.L. Auto House</v>
          </cell>
          <cell r="E1037" t="str">
            <v>00328</v>
          </cell>
        </row>
        <row r="1038">
          <cell r="D1038" t="str">
            <v>M/S S.S. Enterprise-Norshingdi (C)</v>
          </cell>
          <cell r="E1038" t="str">
            <v>01331</v>
          </cell>
        </row>
        <row r="1039">
          <cell r="D1039" t="str">
            <v>M/S S.S. Enterprise-Norshingdi (C)</v>
          </cell>
          <cell r="E1039" t="str">
            <v>01331</v>
          </cell>
        </row>
        <row r="1040">
          <cell r="D1040" t="str">
            <v>M/S S.S. Enterprise-Norshingdi (C)</v>
          </cell>
          <cell r="E1040" t="str">
            <v>01331</v>
          </cell>
        </row>
        <row r="1041">
          <cell r="D1041" t="str">
            <v>M/S Rajapur IPS &amp; Battery House</v>
          </cell>
          <cell r="E1041" t="str">
            <v>01400</v>
          </cell>
        </row>
        <row r="1042">
          <cell r="D1042" t="str">
            <v>M/S Sawda Auto and Battery</v>
          </cell>
          <cell r="E1042" t="str">
            <v>01261</v>
          </cell>
        </row>
        <row r="1043">
          <cell r="D1043" t="str">
            <v>M/S L D Poribahan &amp; Trading (C)</v>
          </cell>
          <cell r="E1043" t="str">
            <v>01299</v>
          </cell>
        </row>
        <row r="1044">
          <cell r="D1044" t="str">
            <v>M/S L D Poribahan &amp; Trading (C)</v>
          </cell>
          <cell r="E1044" t="str">
            <v>01299</v>
          </cell>
        </row>
        <row r="1045">
          <cell r="D1045" t="str">
            <v>M/S Farhan Auto</v>
          </cell>
          <cell r="E1045" t="str">
            <v>00300</v>
          </cell>
        </row>
        <row r="1046">
          <cell r="D1046" t="str">
            <v>M/S Farhan Auto</v>
          </cell>
          <cell r="E1046" t="str">
            <v>00300</v>
          </cell>
        </row>
        <row r="1047">
          <cell r="D1047" t="str">
            <v>M/S Farhan Auto (C)</v>
          </cell>
          <cell r="E1047" t="str">
            <v>01298</v>
          </cell>
        </row>
        <row r="1048">
          <cell r="D1048" t="str">
            <v>M/S Fateha Battery</v>
          </cell>
          <cell r="E1048" t="str">
            <v>00388</v>
          </cell>
        </row>
        <row r="1049">
          <cell r="D1049" t="str">
            <v>M/S Babul Enterprise (C)</v>
          </cell>
          <cell r="E1049" t="str">
            <v>01292</v>
          </cell>
        </row>
        <row r="1050">
          <cell r="D1050" t="str">
            <v>M/S Babul Enterprise (C)</v>
          </cell>
          <cell r="E1050" t="str">
            <v>01292</v>
          </cell>
        </row>
        <row r="1051">
          <cell r="D1051" t="str">
            <v>M/S Samar Auto (C)</v>
          </cell>
          <cell r="E1051" t="str">
            <v>01522</v>
          </cell>
        </row>
        <row r="1052">
          <cell r="D1052" t="str">
            <v>M/S Salman Auto and Battery (C)</v>
          </cell>
          <cell r="E1052" t="str">
            <v>01535</v>
          </cell>
        </row>
        <row r="1053">
          <cell r="D1053" t="str">
            <v>M/S Sirajgonj Auto Corner (C)</v>
          </cell>
          <cell r="E1053" t="str">
            <v>01494</v>
          </cell>
        </row>
        <row r="1054">
          <cell r="D1054" t="str">
            <v>M/S Bogura Auto Center (C)</v>
          </cell>
          <cell r="E1054" t="str">
            <v>01468</v>
          </cell>
        </row>
        <row r="1055">
          <cell r="D1055" t="str">
            <v>M/S Roni Battery</v>
          </cell>
          <cell r="E1055" t="str">
            <v>01379</v>
          </cell>
        </row>
        <row r="1056">
          <cell r="D1056" t="str">
            <v>M/S Roni Battery</v>
          </cell>
          <cell r="E1056" t="str">
            <v>01379</v>
          </cell>
        </row>
        <row r="1057">
          <cell r="D1057" t="str">
            <v>M/S Sarkar Motors and Battery (C)</v>
          </cell>
          <cell r="E1057" t="str">
            <v>01502</v>
          </cell>
        </row>
        <row r="1058">
          <cell r="D1058" t="str">
            <v>M/S Nazrul Battery and Mobil House</v>
          </cell>
          <cell r="E1058" t="str">
            <v>00832</v>
          </cell>
        </row>
        <row r="1059">
          <cell r="D1059" t="str">
            <v>M/S Bismillah Motors-Hinla</v>
          </cell>
          <cell r="E1059" t="str">
            <v>01448</v>
          </cell>
        </row>
        <row r="1060">
          <cell r="D1060" t="str">
            <v>M/S Hafiz Battery House</v>
          </cell>
          <cell r="E1060" t="str">
            <v>01368</v>
          </cell>
        </row>
        <row r="1061">
          <cell r="D1061" t="str">
            <v>M/S Hira Motors-Chokoria</v>
          </cell>
          <cell r="E1061" t="str">
            <v>01441</v>
          </cell>
        </row>
        <row r="1062">
          <cell r="D1062" t="str">
            <v>M/S Hira Motors-Chokoria</v>
          </cell>
          <cell r="E1062" t="str">
            <v>01441</v>
          </cell>
        </row>
        <row r="1063">
          <cell r="D1063" t="str">
            <v>M/S Hira Motors-Chokoria</v>
          </cell>
          <cell r="E1063" t="str">
            <v>01441</v>
          </cell>
        </row>
        <row r="1064">
          <cell r="D1064" t="str">
            <v>M/S Souro Power Electric</v>
          </cell>
          <cell r="E1064" t="str">
            <v>01285</v>
          </cell>
        </row>
        <row r="1065">
          <cell r="D1065" t="str">
            <v>M/S Souro Power Electric</v>
          </cell>
          <cell r="E1065" t="str">
            <v>01285</v>
          </cell>
        </row>
        <row r="1066">
          <cell r="D1066" t="str">
            <v>M/S Souro Power Electric</v>
          </cell>
          <cell r="E1066" t="str">
            <v>01285</v>
          </cell>
        </row>
        <row r="1067">
          <cell r="D1067" t="str">
            <v>M/S Souro Power Electric</v>
          </cell>
          <cell r="E1067" t="str">
            <v>01285</v>
          </cell>
        </row>
        <row r="1068">
          <cell r="D1068" t="str">
            <v>M/S Awlad Electronics</v>
          </cell>
          <cell r="E1068" t="str">
            <v>01284</v>
          </cell>
        </row>
        <row r="1069">
          <cell r="D1069" t="str">
            <v>M/S Adib Alifa Auto &amp; Battery House</v>
          </cell>
          <cell r="E1069" t="str">
            <v>01465</v>
          </cell>
        </row>
        <row r="1070">
          <cell r="D1070" t="str">
            <v>M/S Bashkhali Enterprise</v>
          </cell>
          <cell r="E1070" t="str">
            <v>00424</v>
          </cell>
        </row>
        <row r="1071">
          <cell r="D1071" t="str">
            <v>M/S Sangu Battery House</v>
          </cell>
          <cell r="E1071" t="str">
            <v>00988</v>
          </cell>
        </row>
        <row r="1072">
          <cell r="D1072" t="str">
            <v>M/S Sangu Battery House</v>
          </cell>
          <cell r="E1072" t="str">
            <v>00988</v>
          </cell>
        </row>
        <row r="1073">
          <cell r="D1073" t="str">
            <v>M/S Lalmai Machineries &amp; Parts</v>
          </cell>
          <cell r="E1073" t="str">
            <v>00329</v>
          </cell>
        </row>
        <row r="1074">
          <cell r="D1074" t="str">
            <v>M/S Lalmai Machineries &amp; Parts</v>
          </cell>
          <cell r="E1074" t="str">
            <v>00329</v>
          </cell>
        </row>
        <row r="1075">
          <cell r="D1075" t="str">
            <v>M/S Lalmai Machineries &amp; Parts</v>
          </cell>
          <cell r="E1075" t="str">
            <v>00329</v>
          </cell>
        </row>
        <row r="1076">
          <cell r="D1076" t="str">
            <v>M/S Maa Battery Service</v>
          </cell>
          <cell r="E1076" t="str">
            <v>00327</v>
          </cell>
        </row>
        <row r="1077">
          <cell r="D1077" t="str">
            <v>M/S Maa Battery Service</v>
          </cell>
          <cell r="E1077" t="str">
            <v>00327</v>
          </cell>
        </row>
        <row r="1078">
          <cell r="D1078" t="str">
            <v>M/S Maa Battery Service</v>
          </cell>
          <cell r="E1078" t="str">
            <v>00327</v>
          </cell>
        </row>
        <row r="1079">
          <cell r="D1079" t="str">
            <v>M/S Doyal Battery</v>
          </cell>
          <cell r="E1079" t="str">
            <v>00337</v>
          </cell>
        </row>
        <row r="1080">
          <cell r="D1080" t="str">
            <v>M/S Doyal Battery</v>
          </cell>
          <cell r="E1080" t="str">
            <v>00337</v>
          </cell>
        </row>
        <row r="1081">
          <cell r="D1081" t="str">
            <v>M/S Doyal Battery</v>
          </cell>
          <cell r="E1081" t="str">
            <v>00337</v>
          </cell>
        </row>
        <row r="1082">
          <cell r="D1082" t="str">
            <v>M/S Doyal Battery</v>
          </cell>
          <cell r="E1082" t="str">
            <v>00337</v>
          </cell>
        </row>
        <row r="1083">
          <cell r="D1083" t="str">
            <v>M/S Bondhu Auto and CNG Workshop</v>
          </cell>
          <cell r="E1083" t="str">
            <v>01149</v>
          </cell>
        </row>
        <row r="1084">
          <cell r="D1084" t="str">
            <v>M/S Bondhu Auto and CNG Workshop</v>
          </cell>
          <cell r="E1084" t="str">
            <v>01149</v>
          </cell>
        </row>
        <row r="1085">
          <cell r="D1085" t="str">
            <v>M/S Bondhu Auto and CNG Workshop</v>
          </cell>
          <cell r="E1085" t="str">
            <v>01149</v>
          </cell>
        </row>
        <row r="1086">
          <cell r="D1086" t="str">
            <v>M/S Bondhu Auto and CNG Workshop</v>
          </cell>
          <cell r="E1086" t="str">
            <v>01149</v>
          </cell>
        </row>
        <row r="1087">
          <cell r="D1087" t="str">
            <v>M/S Minara Traders</v>
          </cell>
          <cell r="E1087" t="str">
            <v>01108</v>
          </cell>
        </row>
        <row r="1088">
          <cell r="D1088" t="str">
            <v>M/S Ira Motors</v>
          </cell>
          <cell r="E1088" t="str">
            <v>00133</v>
          </cell>
        </row>
        <row r="1089">
          <cell r="D1089" t="str">
            <v>M/S Saiful Motors</v>
          </cell>
          <cell r="E1089" t="str">
            <v>00482</v>
          </cell>
        </row>
        <row r="1090">
          <cell r="D1090" t="str">
            <v>M/S Kalam Store</v>
          </cell>
          <cell r="E1090" t="str">
            <v>01436</v>
          </cell>
        </row>
        <row r="1091">
          <cell r="D1091" t="str">
            <v>M/S Kalam Store</v>
          </cell>
          <cell r="E1091" t="str">
            <v>01436</v>
          </cell>
        </row>
        <row r="1092">
          <cell r="D1092" t="str">
            <v>M/S Kalam Store</v>
          </cell>
          <cell r="E1092" t="str">
            <v>01436</v>
          </cell>
        </row>
        <row r="1093">
          <cell r="D1093" t="str">
            <v>M/S Kalam Store</v>
          </cell>
          <cell r="E1093" t="str">
            <v>01436</v>
          </cell>
        </row>
        <row r="1094">
          <cell r="D1094" t="str">
            <v>M/S Kalam Store</v>
          </cell>
          <cell r="E1094" t="str">
            <v>01436</v>
          </cell>
        </row>
        <row r="1095">
          <cell r="D1095" t="str">
            <v>M/S Kalam Store</v>
          </cell>
          <cell r="E1095" t="str">
            <v>01436</v>
          </cell>
        </row>
        <row r="1096">
          <cell r="D1096" t="str">
            <v>M/S Kalam Store</v>
          </cell>
          <cell r="E1096" t="str">
            <v>01436</v>
          </cell>
        </row>
        <row r="1097">
          <cell r="D1097" t="str">
            <v>M/S Sohan Motors</v>
          </cell>
          <cell r="E1097" t="str">
            <v>01385</v>
          </cell>
        </row>
        <row r="1098">
          <cell r="D1098" t="str">
            <v>M/S Sohan Motors</v>
          </cell>
          <cell r="E1098" t="str">
            <v>01385</v>
          </cell>
        </row>
        <row r="1099">
          <cell r="D1099" t="str">
            <v>M/S Sohan Motors</v>
          </cell>
          <cell r="E1099" t="str">
            <v>01385</v>
          </cell>
        </row>
        <row r="1100">
          <cell r="D1100" t="str">
            <v>M/S Shoshi Enterprise (C)</v>
          </cell>
          <cell r="E1100" t="str">
            <v>01335</v>
          </cell>
        </row>
        <row r="1101">
          <cell r="D1101" t="str">
            <v>M/S Souro Power Electric</v>
          </cell>
          <cell r="E1101" t="str">
            <v>01285</v>
          </cell>
        </row>
        <row r="1102">
          <cell r="D1102" t="str">
            <v>M/S Souro Power Electric</v>
          </cell>
          <cell r="E1102" t="str">
            <v>01285</v>
          </cell>
        </row>
        <row r="1103">
          <cell r="D1103" t="str">
            <v>M/S Souro Power Electric</v>
          </cell>
          <cell r="E1103" t="str">
            <v>01285</v>
          </cell>
        </row>
        <row r="1104">
          <cell r="D1104" t="str">
            <v>M/S Souro Power Electric</v>
          </cell>
          <cell r="E1104" t="str">
            <v>01285</v>
          </cell>
        </row>
        <row r="1105">
          <cell r="D1105" t="str">
            <v>M/S Sadia Enterprise</v>
          </cell>
          <cell r="E1105" t="str">
            <v>01490</v>
          </cell>
        </row>
        <row r="1106">
          <cell r="D1106" t="str">
            <v>M/S Sadia Enterprise</v>
          </cell>
          <cell r="E1106" t="str">
            <v>01490</v>
          </cell>
        </row>
        <row r="1107">
          <cell r="D1107" t="str">
            <v>M/S Sadia Enterprise</v>
          </cell>
          <cell r="E1107" t="str">
            <v>01490</v>
          </cell>
        </row>
        <row r="1108">
          <cell r="D1108" t="str">
            <v>M/S Tamim Enterprise</v>
          </cell>
          <cell r="E1108" t="str">
            <v>01395</v>
          </cell>
        </row>
        <row r="1109">
          <cell r="D1109" t="str">
            <v>M/S Tamim Enterprise</v>
          </cell>
          <cell r="E1109" t="str">
            <v>01395</v>
          </cell>
        </row>
        <row r="1110">
          <cell r="D1110" t="str">
            <v>M/S Satata Battery House (C)</v>
          </cell>
          <cell r="E1110" t="str">
            <v>01517</v>
          </cell>
        </row>
        <row r="1111">
          <cell r="D1111" t="str">
            <v>M/S Satata Battery House (C)</v>
          </cell>
          <cell r="E1111" t="str">
            <v>01517</v>
          </cell>
        </row>
        <row r="1112">
          <cell r="D1112" t="str">
            <v>M/S Satata Battery House (C)</v>
          </cell>
          <cell r="E1112" t="str">
            <v>01517</v>
          </cell>
        </row>
        <row r="1113">
          <cell r="D1113" t="str">
            <v>M/S Al - Mokka Enterprise</v>
          </cell>
          <cell r="E1113" t="str">
            <v>01112</v>
          </cell>
        </row>
        <row r="1114">
          <cell r="D1114" t="str">
            <v>M/S Sowa Motors &amp; Battery Shop (C)</v>
          </cell>
          <cell r="E1114" t="str">
            <v>01287</v>
          </cell>
        </row>
        <row r="1115">
          <cell r="D1115" t="str">
            <v>M/S Sowa Motors &amp; Battery Shop (C)</v>
          </cell>
          <cell r="E1115" t="str">
            <v>01287</v>
          </cell>
        </row>
        <row r="1116">
          <cell r="D1116" t="str">
            <v>M/S Sowa Motors &amp; Battery Shop (C)</v>
          </cell>
          <cell r="E1116" t="str">
            <v>01287</v>
          </cell>
        </row>
        <row r="1117">
          <cell r="D1117" t="str">
            <v>M/S Monir Auto &amp; Battery House</v>
          </cell>
          <cell r="E1117" t="str">
            <v>00001</v>
          </cell>
        </row>
        <row r="1118">
          <cell r="D1118" t="str">
            <v>M/S Monir Auto &amp; Battery House</v>
          </cell>
          <cell r="E1118" t="str">
            <v>00001</v>
          </cell>
        </row>
        <row r="1119">
          <cell r="D1119" t="str">
            <v>M/S Monir Auto &amp; Battery House</v>
          </cell>
          <cell r="E1119" t="str">
            <v>00001</v>
          </cell>
        </row>
        <row r="1120">
          <cell r="D1120" t="str">
            <v>M/S S. K. Battery House (C)</v>
          </cell>
          <cell r="E1120" t="str">
            <v>01530</v>
          </cell>
        </row>
        <row r="1121">
          <cell r="D1121" t="str">
            <v>M/S Rafiq Enterprise</v>
          </cell>
          <cell r="E1121" t="str">
            <v>00003</v>
          </cell>
        </row>
        <row r="1122">
          <cell r="D1122" t="str">
            <v>M/S New Dhaka Motors and Battery</v>
          </cell>
          <cell r="E1122" t="str">
            <v>00005</v>
          </cell>
        </row>
        <row r="1123">
          <cell r="D1123" t="str">
            <v>M/S Farhan Auto (C)</v>
          </cell>
          <cell r="E1123" t="str">
            <v>01298</v>
          </cell>
        </row>
        <row r="1124">
          <cell r="D1124" t="str">
            <v>M/S Farhan Auto (C)</v>
          </cell>
          <cell r="E1124" t="str">
            <v>01298</v>
          </cell>
        </row>
        <row r="1125">
          <cell r="D1125" t="str">
            <v>M/S Comilla Traders</v>
          </cell>
          <cell r="E1125" t="str">
            <v>00334</v>
          </cell>
        </row>
        <row r="1126">
          <cell r="D1126" t="str">
            <v>M/S Comilla Traders</v>
          </cell>
          <cell r="E1126" t="str">
            <v>00334</v>
          </cell>
        </row>
        <row r="1127">
          <cell r="D1127" t="str">
            <v>M/S Raisa Radia  Battery House</v>
          </cell>
          <cell r="E1127" t="str">
            <v>00867</v>
          </cell>
        </row>
        <row r="1128">
          <cell r="D1128" t="str">
            <v>M/S Sajib Enterprise (C)</v>
          </cell>
          <cell r="E1128" t="str">
            <v>01353</v>
          </cell>
        </row>
        <row r="1129">
          <cell r="D1129" t="str">
            <v>M/S Anik Motors &amp; Battery (C)</v>
          </cell>
          <cell r="E1129" t="str">
            <v>01444</v>
          </cell>
        </row>
        <row r="1130">
          <cell r="D1130" t="str">
            <v>M/S Anik Motors &amp; Battery (C)</v>
          </cell>
          <cell r="E1130" t="str">
            <v>01444</v>
          </cell>
        </row>
        <row r="1131">
          <cell r="D1131" t="str">
            <v>M/S Anik Motors &amp; Battery (C)</v>
          </cell>
          <cell r="E1131" t="str">
            <v>01444</v>
          </cell>
        </row>
        <row r="1132">
          <cell r="D1132" t="str">
            <v>M/S Maa Battery Service</v>
          </cell>
          <cell r="E1132" t="str">
            <v>00327</v>
          </cell>
        </row>
        <row r="1133">
          <cell r="D1133" t="str">
            <v>M/S Maa Battery Service</v>
          </cell>
          <cell r="E1133" t="str">
            <v>00327</v>
          </cell>
        </row>
        <row r="1134">
          <cell r="D1134" t="str">
            <v>M/S Anas Battery &amp; Auto House</v>
          </cell>
          <cell r="E1134" t="str">
            <v>01401</v>
          </cell>
        </row>
        <row r="1135">
          <cell r="D1135" t="str">
            <v>M/S Anas Battery &amp; Auto House</v>
          </cell>
          <cell r="E1135" t="str">
            <v>01401</v>
          </cell>
        </row>
        <row r="1136">
          <cell r="D1136" t="str">
            <v>M/S Babul Enterprise (C)</v>
          </cell>
          <cell r="E1136" t="str">
            <v>01292</v>
          </cell>
        </row>
        <row r="1137">
          <cell r="D1137" t="str">
            <v>M/S Samar Auto (C)</v>
          </cell>
          <cell r="E1137" t="str">
            <v>01522</v>
          </cell>
        </row>
        <row r="1138">
          <cell r="D1138" t="str">
            <v>M/S Jogotbondhu Battery &amp; Eng. Workshop</v>
          </cell>
          <cell r="E1138" t="str">
            <v>00143</v>
          </cell>
        </row>
        <row r="1139">
          <cell r="D1139" t="str">
            <v>M/S Jogotbondhu Battery &amp; Eng. Workshop</v>
          </cell>
          <cell r="E1139" t="str">
            <v>00143</v>
          </cell>
        </row>
        <row r="1140">
          <cell r="D1140" t="str">
            <v>M/S G. S Motors and Battery</v>
          </cell>
          <cell r="E1140" t="str">
            <v>01420</v>
          </cell>
        </row>
        <row r="1141">
          <cell r="D1141" t="str">
            <v>M/S Sifa Motors</v>
          </cell>
          <cell r="E1141" t="str">
            <v>01443</v>
          </cell>
        </row>
        <row r="1142">
          <cell r="D1142" t="str">
            <v>M/S Sifa Motors</v>
          </cell>
          <cell r="E1142" t="str">
            <v>01443</v>
          </cell>
        </row>
        <row r="1143">
          <cell r="D1143" t="str">
            <v>M/S Sohan Motors</v>
          </cell>
          <cell r="E1143" t="str">
            <v>01385</v>
          </cell>
        </row>
        <row r="1144">
          <cell r="D1144" t="str">
            <v>M/S S.K. Enterprise (C)</v>
          </cell>
          <cell r="E1144" t="str">
            <v>01326</v>
          </cell>
        </row>
        <row r="1145">
          <cell r="D1145" t="str">
            <v>M/S S.K. Enterprise (C)</v>
          </cell>
          <cell r="E1145" t="str">
            <v>01326</v>
          </cell>
        </row>
        <row r="1146">
          <cell r="D1146" t="str">
            <v>M/S Macca Tyre And battery House</v>
          </cell>
          <cell r="E1146" t="str">
            <v>00439</v>
          </cell>
        </row>
        <row r="1147">
          <cell r="D1147" t="str">
            <v>M/S Macca Tyre And battery House</v>
          </cell>
          <cell r="E1147" t="str">
            <v>00439</v>
          </cell>
        </row>
        <row r="1148">
          <cell r="D1148" t="str">
            <v>M/S Macca Tyre And battery House</v>
          </cell>
          <cell r="E1148" t="str">
            <v>00439</v>
          </cell>
        </row>
        <row r="1149">
          <cell r="D1149" t="str">
            <v>M/S Banskhali Enterprise-Joldi (C)</v>
          </cell>
          <cell r="E1149" t="str">
            <v>01312</v>
          </cell>
        </row>
        <row r="1150">
          <cell r="D1150" t="str">
            <v>M/S S.K. Enterprise (C)</v>
          </cell>
          <cell r="E1150" t="str">
            <v>01326</v>
          </cell>
        </row>
        <row r="1151">
          <cell r="D1151" t="str">
            <v>M/S S.K. Enterprise (C)</v>
          </cell>
          <cell r="E1151" t="str">
            <v>01326</v>
          </cell>
        </row>
        <row r="1152">
          <cell r="D1152" t="str">
            <v>M/S S.K. Enterprise (C)</v>
          </cell>
          <cell r="E1152" t="str">
            <v>01326</v>
          </cell>
        </row>
        <row r="1153">
          <cell r="D1153" t="str">
            <v>M/S Khan Battery Recycling (C)</v>
          </cell>
          <cell r="E1153" t="str">
            <v>01282</v>
          </cell>
        </row>
        <row r="1154">
          <cell r="D1154" t="str">
            <v>M/S Ananna Battery &amp; Tyre</v>
          </cell>
          <cell r="E1154" t="str">
            <v>01088</v>
          </cell>
        </row>
        <row r="1155">
          <cell r="D1155" t="str">
            <v>M/S Al Razzak Battery House (C)</v>
          </cell>
          <cell r="E1155" t="str">
            <v>01538</v>
          </cell>
        </row>
        <row r="1156">
          <cell r="D1156" t="str">
            <v>M/S Al Razzak Battery House (C)</v>
          </cell>
          <cell r="E1156" t="str">
            <v>01538</v>
          </cell>
        </row>
        <row r="1157">
          <cell r="D1157" t="str">
            <v>M/S Afifa Traders (C)</v>
          </cell>
          <cell r="E1157" t="str">
            <v>01515</v>
          </cell>
        </row>
        <row r="1158">
          <cell r="D1158" t="str">
            <v>M/S Jony Motors - Faridpur (C)</v>
          </cell>
          <cell r="E1158" t="str">
            <v>01534</v>
          </cell>
        </row>
        <row r="1159">
          <cell r="D1159" t="str">
            <v>M/S Bhai Bhai Battery And Motors (C)</v>
          </cell>
          <cell r="E1159" t="str">
            <v>01496</v>
          </cell>
        </row>
        <row r="1160">
          <cell r="D1160" t="str">
            <v>M/S Bhai Bhai Battery And Motors (C)</v>
          </cell>
          <cell r="E1160" t="str">
            <v>01496</v>
          </cell>
        </row>
        <row r="1161">
          <cell r="D1161" t="str">
            <v>M/S Adib Alifa Auto &amp; Battery House</v>
          </cell>
          <cell r="E1161" t="str">
            <v>01465</v>
          </cell>
        </row>
        <row r="1162">
          <cell r="D1162" t="str">
            <v>M/S Adib Alifa Auto &amp; Battery House (C)</v>
          </cell>
          <cell r="E1162" t="str">
            <v>01454</v>
          </cell>
        </row>
        <row r="1163">
          <cell r="D1163" t="str">
            <v>M/S Shopon Battery House (C)</v>
          </cell>
          <cell r="E1163" t="str">
            <v>01320</v>
          </cell>
        </row>
        <row r="1164">
          <cell r="D1164" t="str">
            <v>M/S Shopon Battery House (C)</v>
          </cell>
          <cell r="E1164" t="str">
            <v>01320</v>
          </cell>
        </row>
        <row r="1165">
          <cell r="D1165" t="str">
            <v>M/S Shepon Motors (C)</v>
          </cell>
          <cell r="E1165" t="str">
            <v>01438</v>
          </cell>
        </row>
        <row r="1166">
          <cell r="D1166" t="str">
            <v>M/S Jhenaidah Bike Center  (C)</v>
          </cell>
          <cell r="E1166" t="str">
            <v>01536</v>
          </cell>
        </row>
        <row r="1167">
          <cell r="D1167" t="str">
            <v>M/S Jhenaidah Bike Center  (C)</v>
          </cell>
          <cell r="E1167" t="str">
            <v>01536</v>
          </cell>
        </row>
        <row r="1168">
          <cell r="D1168" t="str">
            <v>M/S Tanha Battery House (C)</v>
          </cell>
          <cell r="E1168" t="str">
            <v>01457</v>
          </cell>
        </row>
        <row r="1169">
          <cell r="D1169" t="str">
            <v>M/S Salman Auto and Battery (C)</v>
          </cell>
          <cell r="E1169" t="str">
            <v>01535</v>
          </cell>
        </row>
        <row r="1170">
          <cell r="D1170" t="str">
            <v>M/S M.R. Enterprise- Dinajpur (C)</v>
          </cell>
          <cell r="E1170" t="str">
            <v>01520</v>
          </cell>
        </row>
        <row r="1171">
          <cell r="D1171" t="str">
            <v>M/S Sirajgonj Auto Corner (C)</v>
          </cell>
          <cell r="E1171" t="str">
            <v>01494</v>
          </cell>
        </row>
        <row r="1172">
          <cell r="D1172" t="str">
            <v>M/S Al-Amin Cycle &amp; Auto Parts (C)</v>
          </cell>
          <cell r="E1172" t="str">
            <v>01507</v>
          </cell>
        </row>
        <row r="1173">
          <cell r="D1173" t="str">
            <v>M/S Doyal Battery</v>
          </cell>
          <cell r="E1173" t="str">
            <v>00337</v>
          </cell>
        </row>
        <row r="1174">
          <cell r="D1174" t="str">
            <v>M/S Doyal Battery</v>
          </cell>
          <cell r="E1174" t="str">
            <v>00337</v>
          </cell>
        </row>
        <row r="1175">
          <cell r="D1175" t="str">
            <v>M/S Doyal Battery</v>
          </cell>
          <cell r="E1175" t="str">
            <v>00337</v>
          </cell>
        </row>
        <row r="1176">
          <cell r="D1176" t="str">
            <v>M/S Doyal Battery</v>
          </cell>
          <cell r="E1176" t="str">
            <v>00337</v>
          </cell>
        </row>
        <row r="1177">
          <cell r="D1177" t="str">
            <v>M/S Doyal Battery</v>
          </cell>
          <cell r="E1177" t="str">
            <v>00337</v>
          </cell>
        </row>
        <row r="1178">
          <cell r="D1178" t="str">
            <v>M/S Minara Traders</v>
          </cell>
          <cell r="E1178" t="str">
            <v>01108</v>
          </cell>
        </row>
        <row r="1179">
          <cell r="D1179" t="str">
            <v>M/S Minara Traders</v>
          </cell>
          <cell r="E1179" t="str">
            <v>01108</v>
          </cell>
        </row>
        <row r="1180">
          <cell r="D1180" t="str">
            <v>M/S Saiful Motors</v>
          </cell>
          <cell r="E1180" t="str">
            <v>00482</v>
          </cell>
        </row>
        <row r="1181">
          <cell r="D1181" t="str">
            <v>M/S Setu Cycle Mart</v>
          </cell>
          <cell r="E1181" t="str">
            <v>00471</v>
          </cell>
        </row>
        <row r="1182">
          <cell r="D1182" t="str">
            <v>M/S Setu Cycle Mart</v>
          </cell>
          <cell r="E1182" t="str">
            <v>00471</v>
          </cell>
        </row>
        <row r="1183">
          <cell r="D1183" t="str">
            <v>M/S Setu Cycle Mart</v>
          </cell>
          <cell r="E1183" t="str">
            <v>00471</v>
          </cell>
        </row>
        <row r="1184">
          <cell r="D1184" t="str">
            <v>M/S Sangu Battery House</v>
          </cell>
          <cell r="E1184" t="str">
            <v>00988</v>
          </cell>
        </row>
        <row r="1185">
          <cell r="D1185" t="str">
            <v>M/S Nazrul Battery and Mobil House</v>
          </cell>
          <cell r="E1185" t="str">
            <v>00832</v>
          </cell>
        </row>
        <row r="1186">
          <cell r="D1186" t="str">
            <v>M/S Sompa Cycle Store</v>
          </cell>
          <cell r="E1186" t="str">
            <v>01252</v>
          </cell>
        </row>
        <row r="1187">
          <cell r="D1187" t="str">
            <v>M/S S.K. Enterprise-Rangpur</v>
          </cell>
          <cell r="E1187" t="str">
            <v>01462</v>
          </cell>
        </row>
        <row r="1188">
          <cell r="D1188" t="str">
            <v>M/S S.K. Enterprise (C)</v>
          </cell>
          <cell r="E1188" t="str">
            <v>01326</v>
          </cell>
        </row>
        <row r="1189">
          <cell r="D1189" t="str">
            <v>M/S S.K. Enterprise (C)</v>
          </cell>
          <cell r="E1189" t="str">
            <v>01326</v>
          </cell>
        </row>
        <row r="1190">
          <cell r="D1190" t="str">
            <v>M/S S.K. Enterprise (C)</v>
          </cell>
          <cell r="E1190" t="str">
            <v>01326</v>
          </cell>
        </row>
        <row r="1191">
          <cell r="D1191" t="str">
            <v>M/S S.K. Enterprise (C)</v>
          </cell>
          <cell r="E1191" t="str">
            <v>01326</v>
          </cell>
        </row>
        <row r="1192">
          <cell r="D1192" t="str">
            <v>M/S New Saika Motors</v>
          </cell>
          <cell r="E1192" t="str">
            <v>00343</v>
          </cell>
        </row>
        <row r="1193">
          <cell r="D1193" t="str">
            <v>M/S Arafat Enterprise</v>
          </cell>
          <cell r="E1193" t="str">
            <v>00094</v>
          </cell>
        </row>
        <row r="1194">
          <cell r="D1194" t="str">
            <v>M/S Modina Cycle Store (C)</v>
          </cell>
          <cell r="E1194" t="str">
            <v>01519</v>
          </cell>
        </row>
        <row r="1195">
          <cell r="D1195" t="str">
            <v>M/S Modina Cycle Store (C)</v>
          </cell>
          <cell r="E1195" t="str">
            <v>01519</v>
          </cell>
        </row>
        <row r="1196">
          <cell r="D1196" t="str">
            <v>M/S Modina Cycle Store (C)</v>
          </cell>
          <cell r="E1196" t="str">
            <v>01519</v>
          </cell>
        </row>
        <row r="1197">
          <cell r="D1197" t="str">
            <v>M/S Khan Battery Recycling (C)</v>
          </cell>
          <cell r="E1197" t="str">
            <v>01282</v>
          </cell>
        </row>
        <row r="1198">
          <cell r="D1198" t="str">
            <v>M/S Hemayetpur Battery House (C)</v>
          </cell>
          <cell r="E1198" t="str">
            <v>01478</v>
          </cell>
        </row>
        <row r="1199">
          <cell r="D1199" t="str">
            <v>M/S Hemayetpur Battery House (C)</v>
          </cell>
          <cell r="E1199" t="str">
            <v>01478</v>
          </cell>
        </row>
        <row r="1200">
          <cell r="D1200" t="str">
            <v>M/S Sajib Enterprise (C)</v>
          </cell>
          <cell r="E1200" t="str">
            <v>01353</v>
          </cell>
        </row>
        <row r="1201">
          <cell r="D1201" t="str">
            <v>M/S Sajib Enterprise (C)</v>
          </cell>
          <cell r="E1201" t="str">
            <v>01353</v>
          </cell>
        </row>
        <row r="1202">
          <cell r="D1202" t="str">
            <v>M/S Sajib Enterprise (C)</v>
          </cell>
          <cell r="E1202" t="str">
            <v>01353</v>
          </cell>
        </row>
        <row r="1203">
          <cell r="D1203" t="str">
            <v>M/S Sajib Enterprise (C)</v>
          </cell>
          <cell r="E1203" t="str">
            <v>01353</v>
          </cell>
        </row>
        <row r="1204">
          <cell r="D1204" t="str">
            <v>M/S Anik Motors &amp; Battery (C)</v>
          </cell>
          <cell r="E1204" t="str">
            <v>01444</v>
          </cell>
        </row>
        <row r="1205">
          <cell r="D1205" t="str">
            <v>M/S Anik Motors &amp; Battery (C)</v>
          </cell>
          <cell r="E1205" t="str">
            <v>01444</v>
          </cell>
        </row>
        <row r="1206">
          <cell r="D1206" t="str">
            <v>M/S Khokon IPS &amp; Battery Center (C)</v>
          </cell>
          <cell r="E1206" t="str">
            <v>01306</v>
          </cell>
        </row>
        <row r="1207">
          <cell r="D1207" t="str">
            <v>M/S Khokon IPS &amp; Battery Center (C)</v>
          </cell>
          <cell r="E1207" t="str">
            <v>01306</v>
          </cell>
        </row>
        <row r="1208">
          <cell r="D1208" t="str">
            <v>M/S S.S. Enterprise-Norshingdi (C)</v>
          </cell>
          <cell r="E1208" t="str">
            <v>01331</v>
          </cell>
        </row>
        <row r="1209">
          <cell r="D1209" t="str">
            <v>M/S Anas Battery &amp; Auto House</v>
          </cell>
          <cell r="E1209" t="str">
            <v>01401</v>
          </cell>
        </row>
        <row r="1210">
          <cell r="D1210" t="str">
            <v>M/S Anas Battery &amp; Auto House</v>
          </cell>
          <cell r="E1210" t="str">
            <v>01401</v>
          </cell>
        </row>
        <row r="1211">
          <cell r="D1211" t="str">
            <v>M/S Anas Battery &amp; Auto House</v>
          </cell>
          <cell r="E1211" t="str">
            <v>01401</v>
          </cell>
        </row>
        <row r="1212">
          <cell r="D1212" t="str">
            <v>M/S Banskhali Enterprise-Joldi (C)</v>
          </cell>
          <cell r="E1212" t="str">
            <v>01312</v>
          </cell>
        </row>
        <row r="1213">
          <cell r="D1213" t="str">
            <v>M/S Banskhali Enterprise-Joldi (C)</v>
          </cell>
          <cell r="E1213" t="str">
            <v>01312</v>
          </cell>
        </row>
        <row r="1214">
          <cell r="D1214" t="str">
            <v>M/S S.K. Enterprise (C)</v>
          </cell>
          <cell r="E1214" t="str">
            <v>01326</v>
          </cell>
        </row>
        <row r="1215">
          <cell r="D1215" t="str">
            <v>M/S S.K. Enterprise (C)</v>
          </cell>
          <cell r="E1215" t="str">
            <v>01326</v>
          </cell>
        </row>
        <row r="1216">
          <cell r="D1216" t="str">
            <v>M/S S.K. Enterprise (C)</v>
          </cell>
          <cell r="E1216" t="str">
            <v>01326</v>
          </cell>
        </row>
        <row r="1217">
          <cell r="D1217" t="str">
            <v>M/S Farhan Auto (C)</v>
          </cell>
          <cell r="E1217" t="str">
            <v>01298</v>
          </cell>
        </row>
        <row r="1218">
          <cell r="D1218" t="str">
            <v>M/S Farhan Auto (C)</v>
          </cell>
          <cell r="E1218" t="str">
            <v>01298</v>
          </cell>
        </row>
        <row r="1219">
          <cell r="D1219" t="str">
            <v>M/S Eva Grill Workshop &amp; Hardware</v>
          </cell>
          <cell r="E1219" t="str">
            <v>01440</v>
          </cell>
        </row>
        <row r="1220">
          <cell r="D1220" t="str">
            <v>M/S Tamim Enterprise</v>
          </cell>
          <cell r="E1220" t="str">
            <v>01395</v>
          </cell>
        </row>
        <row r="1221">
          <cell r="D1221" t="str">
            <v>M/S Jogotbondhu Battery &amp; Eng. Workshop</v>
          </cell>
          <cell r="E1221" t="str">
            <v>00143</v>
          </cell>
        </row>
        <row r="1222">
          <cell r="D1222" t="str">
            <v>M/S Bismillah Motors-Hinla</v>
          </cell>
          <cell r="E1222" t="str">
            <v>01448</v>
          </cell>
        </row>
        <row r="1223">
          <cell r="D1223" t="str">
            <v>M/S Bismillah Motors-Hinla</v>
          </cell>
          <cell r="E1223" t="str">
            <v>01448</v>
          </cell>
        </row>
        <row r="1224">
          <cell r="D1224" t="str">
            <v>M/S Bismillah Motors-Hinla</v>
          </cell>
          <cell r="E1224" t="str">
            <v>01448</v>
          </cell>
        </row>
        <row r="1225">
          <cell r="D1225" t="str">
            <v>M/S Bismillah Motors-Hinla</v>
          </cell>
          <cell r="E1225" t="str">
            <v>01448</v>
          </cell>
        </row>
        <row r="1226">
          <cell r="D1226" t="str">
            <v>M/S Hira Motors-Chokoria</v>
          </cell>
          <cell r="E1226" t="str">
            <v>01441</v>
          </cell>
        </row>
        <row r="1227">
          <cell r="D1227" t="str">
            <v>Md. Rubel(ID No.10719)</v>
          </cell>
          <cell r="E1227" t="str">
            <v>01397</v>
          </cell>
        </row>
        <row r="1228">
          <cell r="D1228" t="str">
            <v>M/S Afifa Traders (C)</v>
          </cell>
          <cell r="E1228" t="str">
            <v>01515</v>
          </cell>
        </row>
        <row r="1229">
          <cell r="D1229" t="str">
            <v>M/S S.K. Trading Corporation (C)</v>
          </cell>
          <cell r="E1229" t="str">
            <v>01523</v>
          </cell>
        </row>
        <row r="1230">
          <cell r="D1230" t="str">
            <v>M/S Bhai Bhai Battery And Motors (C)</v>
          </cell>
          <cell r="E1230" t="str">
            <v>01496</v>
          </cell>
        </row>
        <row r="1231">
          <cell r="D1231" t="str">
            <v>M/S Bhai Bhai Battery And Motors (C)</v>
          </cell>
          <cell r="E1231" t="str">
            <v>01496</v>
          </cell>
        </row>
        <row r="1232">
          <cell r="D1232" t="str">
            <v>M/S Shuvo Enterprise</v>
          </cell>
          <cell r="E1232" t="str">
            <v>00622</v>
          </cell>
        </row>
        <row r="1233">
          <cell r="D1233" t="str">
            <v>M/S Shuvo Enterprise</v>
          </cell>
          <cell r="E1233" t="str">
            <v>00622</v>
          </cell>
        </row>
        <row r="1234">
          <cell r="D1234" t="str">
            <v>M/S Chapai Auto Battery House (C)</v>
          </cell>
          <cell r="E1234" t="str">
            <v>01539</v>
          </cell>
        </row>
        <row r="1235">
          <cell r="D1235" t="str">
            <v>M/S Sadiq Enterprise (C)</v>
          </cell>
          <cell r="E1235" t="str">
            <v>01484</v>
          </cell>
        </row>
        <row r="1236">
          <cell r="D1236" t="str">
            <v>M/S Sarkar Motors and Battery (C)</v>
          </cell>
          <cell r="E1236" t="str">
            <v>01502</v>
          </cell>
        </row>
        <row r="1237">
          <cell r="D1237" t="str">
            <v>M/S Sirajgonj Auto Corner (C)</v>
          </cell>
          <cell r="E1237" t="str">
            <v>01494</v>
          </cell>
        </row>
        <row r="1238">
          <cell r="D1238" t="str">
            <v>M/S Al-Amin Cycle &amp; Auto Parts (C)</v>
          </cell>
          <cell r="E1238" t="str">
            <v>01507</v>
          </cell>
        </row>
        <row r="1239">
          <cell r="D1239" t="str">
            <v>M/S Rafiq Vi Battery &amp; Auto</v>
          </cell>
          <cell r="E1239" t="str">
            <v>01405</v>
          </cell>
        </row>
        <row r="1240">
          <cell r="D1240" t="str">
            <v>M/S M.R. Enterprise- Dinajpur</v>
          </cell>
          <cell r="E1240" t="str">
            <v>00601</v>
          </cell>
        </row>
        <row r="1241">
          <cell r="D1241" t="str">
            <v>M/S Bondhu Battery &amp; Auto</v>
          </cell>
          <cell r="E1241" t="str">
            <v>00163</v>
          </cell>
        </row>
        <row r="1242">
          <cell r="D1242" t="str">
            <v>M/S Ripon Tyre and Battery</v>
          </cell>
          <cell r="E1242" t="str">
            <v>00002</v>
          </cell>
        </row>
        <row r="1243">
          <cell r="D1243" t="str">
            <v>M/S Ripon Tyre and Battery</v>
          </cell>
          <cell r="E1243" t="str">
            <v>00002</v>
          </cell>
        </row>
        <row r="1244">
          <cell r="D1244" t="str">
            <v>M/S Ripon Tyre and Battery</v>
          </cell>
          <cell r="E1244" t="str">
            <v>00002</v>
          </cell>
        </row>
        <row r="1245">
          <cell r="D1245" t="str">
            <v>M/S Ripon Tyre and Battery</v>
          </cell>
          <cell r="E1245" t="str">
            <v>00002</v>
          </cell>
        </row>
        <row r="1246">
          <cell r="D1246" t="str">
            <v>M/S Sangu Battery House</v>
          </cell>
          <cell r="E1246" t="str">
            <v>00988</v>
          </cell>
        </row>
        <row r="1247">
          <cell r="D1247" t="str">
            <v>M/S Setu Cycle Mart</v>
          </cell>
          <cell r="E1247" t="str">
            <v>00471</v>
          </cell>
        </row>
        <row r="1248">
          <cell r="D1248" t="str">
            <v>M/S Setu Cycle Mart</v>
          </cell>
          <cell r="E1248" t="str">
            <v>00471</v>
          </cell>
        </row>
        <row r="1249">
          <cell r="D1249" t="str">
            <v>M/S Setu Cycle Mart</v>
          </cell>
          <cell r="E1249" t="str">
            <v>00471</v>
          </cell>
        </row>
        <row r="1250">
          <cell r="D1250" t="str">
            <v>M/S Setu Cycle Mart</v>
          </cell>
          <cell r="E1250" t="str">
            <v>00471</v>
          </cell>
        </row>
        <row r="1251">
          <cell r="D1251" t="str">
            <v>M/S Doyal Battery</v>
          </cell>
          <cell r="E1251" t="str">
            <v>00337</v>
          </cell>
        </row>
        <row r="1252">
          <cell r="D1252" t="str">
            <v>M/S Minara Traders</v>
          </cell>
          <cell r="E1252" t="str">
            <v>01108</v>
          </cell>
        </row>
        <row r="1253">
          <cell r="D1253" t="str">
            <v>M/S Minara Traders</v>
          </cell>
          <cell r="E1253" t="str">
            <v>01108</v>
          </cell>
        </row>
        <row r="1254">
          <cell r="D1254" t="str">
            <v>M/S Minara Traders</v>
          </cell>
          <cell r="E1254" t="str">
            <v>01108</v>
          </cell>
        </row>
        <row r="1255">
          <cell r="D1255" t="str">
            <v>M/S Kalam Store</v>
          </cell>
          <cell r="E1255" t="str">
            <v>01436</v>
          </cell>
        </row>
        <row r="1256">
          <cell r="D1256" t="str">
            <v>M/S S.K. Enterprise-Rangpur</v>
          </cell>
          <cell r="E1256" t="str">
            <v>01462</v>
          </cell>
        </row>
      </sheetData>
      <sheetData sheetId="2" refreshError="1"/>
      <sheetData sheetId="3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Sheet4"/>
      <sheetName val="Dealer wise total summery"/>
      <sheetName val="Sheet5"/>
    </sheetNames>
    <sheetDataSet>
      <sheetData sheetId="0" refreshError="1"/>
      <sheetData sheetId="1" refreshError="1">
        <row r="8">
          <cell r="D8" t="str">
            <v>Customer Name</v>
          </cell>
          <cell r="E8" t="str">
            <v>Pad Name</v>
          </cell>
        </row>
        <row r="9">
          <cell r="D9" t="str">
            <v>M/S Shopon Battery House (C)</v>
          </cell>
          <cell r="E9" t="str">
            <v>01320</v>
          </cell>
        </row>
        <row r="10">
          <cell r="D10" t="str">
            <v>M/S New Mintu Motors</v>
          </cell>
          <cell r="E10" t="str">
            <v>00588</v>
          </cell>
        </row>
        <row r="11">
          <cell r="D11" t="str">
            <v>M/S Shopon Battery House (C)</v>
          </cell>
          <cell r="E11" t="str">
            <v>01320</v>
          </cell>
        </row>
        <row r="12">
          <cell r="D12" t="str">
            <v>M/S Shikder Auto Parts</v>
          </cell>
          <cell r="E12" t="str">
            <v>01078</v>
          </cell>
        </row>
        <row r="13">
          <cell r="D13" t="str">
            <v>M/S Shikder Auto Parts</v>
          </cell>
          <cell r="E13" t="str">
            <v>01078</v>
          </cell>
        </row>
        <row r="14">
          <cell r="D14" t="str">
            <v>M/S Bogura Auto Center (C)</v>
          </cell>
          <cell r="E14" t="str">
            <v>01468</v>
          </cell>
        </row>
        <row r="15">
          <cell r="D15" t="str">
            <v>M/S Bogura Auto Center (C)</v>
          </cell>
          <cell r="E15" t="str">
            <v>01468</v>
          </cell>
        </row>
        <row r="16">
          <cell r="D16" t="str">
            <v>M/S Master Motor's</v>
          </cell>
          <cell r="E16" t="str">
            <v>00217</v>
          </cell>
        </row>
        <row r="17">
          <cell r="D17" t="str">
            <v>M/S Bondhu Motors</v>
          </cell>
          <cell r="E17" t="str">
            <v>01147</v>
          </cell>
        </row>
        <row r="18">
          <cell r="D18" t="str">
            <v>M/S Anas Battery &amp; Auto House</v>
          </cell>
          <cell r="E18" t="str">
            <v>01401</v>
          </cell>
        </row>
        <row r="19">
          <cell r="D19" t="str">
            <v>M/S Sanjida Auto</v>
          </cell>
          <cell r="E19" t="str">
            <v>00603</v>
          </cell>
        </row>
        <row r="20">
          <cell r="D20" t="str">
            <v>M/S Farhan Auto (C)</v>
          </cell>
          <cell r="E20" t="str">
            <v>01298</v>
          </cell>
        </row>
        <row r="21">
          <cell r="D21" t="str">
            <v>M/S Farhan Auto (C)</v>
          </cell>
          <cell r="E21" t="str">
            <v>01298</v>
          </cell>
        </row>
        <row r="22">
          <cell r="D22" t="str">
            <v>M/S Raja Enterprise</v>
          </cell>
          <cell r="E22" t="str">
            <v>01077</v>
          </cell>
        </row>
        <row r="23">
          <cell r="D23" t="str">
            <v>M/S Mahadi Motors</v>
          </cell>
          <cell r="E23" t="str">
            <v>01343</v>
          </cell>
        </row>
        <row r="24">
          <cell r="D24" t="str">
            <v>M/S Rakin Auto Parts</v>
          </cell>
          <cell r="E24" t="str">
            <v>00561</v>
          </cell>
        </row>
        <row r="25">
          <cell r="D25" t="str">
            <v>M/S Rakin Auto Parts</v>
          </cell>
          <cell r="E25" t="str">
            <v>00561</v>
          </cell>
        </row>
        <row r="26">
          <cell r="D26" t="str">
            <v>M/S Rakin Auto Parts</v>
          </cell>
          <cell r="E26" t="str">
            <v>00561</v>
          </cell>
        </row>
        <row r="27">
          <cell r="D27" t="str">
            <v>M/S Pagla Mama Auto Parts</v>
          </cell>
          <cell r="E27" t="str">
            <v>01170</v>
          </cell>
        </row>
        <row r="28">
          <cell r="D28" t="str">
            <v>M/S Rakin Auto Parts</v>
          </cell>
          <cell r="E28" t="str">
            <v>00561</v>
          </cell>
        </row>
        <row r="29">
          <cell r="D29" t="str">
            <v>M/S Hira Motors</v>
          </cell>
          <cell r="E29" t="str">
            <v>01100</v>
          </cell>
        </row>
        <row r="30">
          <cell r="D30" t="str">
            <v>M/S Souro Power Electric (C)</v>
          </cell>
          <cell r="E30" t="str">
            <v>01455</v>
          </cell>
        </row>
        <row r="31">
          <cell r="D31" t="str">
            <v>M/S Banskhali Enterprise-Joldi (C)</v>
          </cell>
          <cell r="E31" t="str">
            <v>01312</v>
          </cell>
        </row>
        <row r="32">
          <cell r="D32" t="str">
            <v>M/S Mizan Traders</v>
          </cell>
          <cell r="E32" t="str">
            <v>00179</v>
          </cell>
        </row>
        <row r="33">
          <cell r="D33" t="str">
            <v>M/S Hossen Traders</v>
          </cell>
          <cell r="E33" t="str">
            <v>01107</v>
          </cell>
        </row>
        <row r="34">
          <cell r="D34" t="str">
            <v>M/S Nabarun Auto Baik Parts</v>
          </cell>
          <cell r="E34" t="str">
            <v>00422</v>
          </cell>
        </row>
        <row r="35">
          <cell r="D35" t="str">
            <v>M/S Kalam Store</v>
          </cell>
          <cell r="E35" t="str">
            <v>01436</v>
          </cell>
        </row>
        <row r="36">
          <cell r="D36" t="str">
            <v>M/S Hira Motors</v>
          </cell>
          <cell r="E36" t="str">
            <v>01100</v>
          </cell>
        </row>
        <row r="37">
          <cell r="D37" t="str">
            <v>M/S Rashed Enterprise</v>
          </cell>
          <cell r="E37" t="str">
            <v>00030</v>
          </cell>
        </row>
        <row r="38">
          <cell r="D38" t="str">
            <v>M/S Jom Jom Battery &amp; Parts</v>
          </cell>
          <cell r="E38" t="str">
            <v>01492</v>
          </cell>
        </row>
        <row r="39">
          <cell r="D39" t="str">
            <v>M/S Oreya Enterprise</v>
          </cell>
          <cell r="E39" t="str">
            <v>00537</v>
          </cell>
        </row>
        <row r="40">
          <cell r="D40" t="str">
            <v>M/S Battery And IPS Bazar</v>
          </cell>
          <cell r="E40" t="str">
            <v>01480</v>
          </cell>
        </row>
        <row r="41">
          <cell r="D41" t="str">
            <v>M/S Bhai Bhai Traders-Kendua</v>
          </cell>
          <cell r="E41" t="str">
            <v>00165</v>
          </cell>
        </row>
        <row r="42">
          <cell r="D42" t="str">
            <v>M/S Gazipur Battery House</v>
          </cell>
          <cell r="E42" t="str">
            <v>00826</v>
          </cell>
        </row>
        <row r="43">
          <cell r="D43" t="str">
            <v>M/S Gazipur Battery House</v>
          </cell>
          <cell r="E43" t="str">
            <v>00826</v>
          </cell>
        </row>
        <row r="44">
          <cell r="D44" t="str">
            <v>M/S Raja Enterprise</v>
          </cell>
          <cell r="E44" t="str">
            <v>01077</v>
          </cell>
        </row>
        <row r="45">
          <cell r="D45" t="str">
            <v>M/S Ma Tyre &amp; Battery  Shop</v>
          </cell>
          <cell r="E45" t="str">
            <v>00088</v>
          </cell>
        </row>
        <row r="46">
          <cell r="D46" t="str">
            <v>M/S Ma Tyre &amp; Battery  Shop</v>
          </cell>
          <cell r="E46" t="str">
            <v>00088</v>
          </cell>
        </row>
        <row r="47">
          <cell r="D47" t="str">
            <v>M/S Bonna Enterprise</v>
          </cell>
          <cell r="E47" t="str">
            <v>00617</v>
          </cell>
        </row>
        <row r="48">
          <cell r="D48" t="str">
            <v>M/S Modina Enterprise - Savar</v>
          </cell>
          <cell r="E48" t="str">
            <v>01404</v>
          </cell>
        </row>
        <row r="49">
          <cell r="D49" t="str">
            <v>M/S Modina Enterprise - Savar</v>
          </cell>
          <cell r="E49" t="str">
            <v>01404</v>
          </cell>
        </row>
        <row r="50">
          <cell r="D50" t="str">
            <v>M/S Taher Enterprise</v>
          </cell>
          <cell r="E50" t="str">
            <v>00366</v>
          </cell>
        </row>
        <row r="51">
          <cell r="D51" t="str">
            <v>M/S Rashed Enterprise</v>
          </cell>
          <cell r="E51" t="str">
            <v>00030</v>
          </cell>
        </row>
        <row r="52">
          <cell r="D52" t="str">
            <v>M/S Khan Battery Recycling (C)</v>
          </cell>
          <cell r="E52" t="str">
            <v>01282</v>
          </cell>
        </row>
        <row r="53">
          <cell r="D53" t="str">
            <v>M/S Khan Battery Recycling (C)</v>
          </cell>
          <cell r="E53" t="str">
            <v>01282</v>
          </cell>
        </row>
        <row r="54">
          <cell r="D54" t="str">
            <v>M/S Pagla Mama Auto Parts</v>
          </cell>
          <cell r="E54" t="str">
            <v>01170</v>
          </cell>
        </row>
        <row r="55">
          <cell r="D55" t="str">
            <v>M/S Tanim Traders and Battery House</v>
          </cell>
          <cell r="E55" t="str">
            <v>00160</v>
          </cell>
        </row>
        <row r="56">
          <cell r="D56" t="str">
            <v>M/S Farhan Auto (C)</v>
          </cell>
          <cell r="E56" t="str">
            <v>01298</v>
          </cell>
        </row>
        <row r="57">
          <cell r="D57" t="str">
            <v>M/S National Battery - Lalmonirhat</v>
          </cell>
          <cell r="E57" t="str">
            <v>00579</v>
          </cell>
        </row>
        <row r="58">
          <cell r="D58" t="str">
            <v>M/S Farhan Auto (C)</v>
          </cell>
          <cell r="E58" t="str">
            <v>01298</v>
          </cell>
        </row>
        <row r="59">
          <cell r="D59" t="str">
            <v>M/S Farhan Auto (C)</v>
          </cell>
          <cell r="E59" t="str">
            <v>01298</v>
          </cell>
        </row>
        <row r="60">
          <cell r="D60" t="str">
            <v>M/S Rifat Enterprise</v>
          </cell>
          <cell r="E60" t="str">
            <v>00333</v>
          </cell>
        </row>
        <row r="61">
          <cell r="D61" t="str">
            <v>M/S L D Poribahan &amp; Trading (C)</v>
          </cell>
          <cell r="E61" t="str">
            <v>01299</v>
          </cell>
        </row>
        <row r="62">
          <cell r="D62" t="str">
            <v>M/S Rifat Enterprise</v>
          </cell>
          <cell r="E62" t="str">
            <v>00333</v>
          </cell>
        </row>
        <row r="63">
          <cell r="D63" t="str">
            <v>M/S L D Poribahan &amp; Trading (C)</v>
          </cell>
          <cell r="E63" t="str">
            <v>01299</v>
          </cell>
        </row>
        <row r="64">
          <cell r="D64" t="str">
            <v>M/S L D Poribahan &amp; Trading (C)</v>
          </cell>
          <cell r="E64" t="str">
            <v>01299</v>
          </cell>
        </row>
        <row r="65">
          <cell r="D65" t="str">
            <v>M/S Anas Battery &amp; Auto House</v>
          </cell>
          <cell r="E65" t="str">
            <v>01401</v>
          </cell>
        </row>
        <row r="66">
          <cell r="D66" t="str">
            <v>M/S Mayer Doya Auto Parts-Laksam</v>
          </cell>
          <cell r="E66" t="str">
            <v>00325</v>
          </cell>
        </row>
        <row r="67">
          <cell r="D67" t="str">
            <v>M/S Bhai Bhai Traders-Kendua</v>
          </cell>
          <cell r="E67" t="str">
            <v>00165</v>
          </cell>
        </row>
        <row r="68">
          <cell r="D68" t="str">
            <v>M/S Mizan Traders</v>
          </cell>
          <cell r="E68" t="str">
            <v>00179</v>
          </cell>
        </row>
        <row r="69">
          <cell r="D69" t="str">
            <v>M/S Anik Motors &amp; Battery (C)</v>
          </cell>
          <cell r="E69" t="str">
            <v>01444</v>
          </cell>
        </row>
        <row r="70">
          <cell r="D70" t="str">
            <v>M/S Hira Motors</v>
          </cell>
          <cell r="E70" t="str">
            <v>01100</v>
          </cell>
        </row>
        <row r="71">
          <cell r="D71" t="str">
            <v>M/S Mayer Doya Auto Parts-Feni</v>
          </cell>
          <cell r="E71" t="str">
            <v>00373</v>
          </cell>
        </row>
        <row r="72">
          <cell r="D72" t="str">
            <v>M/S S.S. Enterprise-Norshingdi (C)</v>
          </cell>
          <cell r="E72" t="str">
            <v>01331</v>
          </cell>
        </row>
        <row r="73">
          <cell r="D73" t="str">
            <v>M/S S.S. Enterprise-Norshingdi (C)</v>
          </cell>
          <cell r="E73" t="str">
            <v>01331</v>
          </cell>
        </row>
        <row r="74">
          <cell r="D74" t="str">
            <v>M/S H.N. Enterprise</v>
          </cell>
          <cell r="E74" t="str">
            <v>00448</v>
          </cell>
        </row>
        <row r="75">
          <cell r="D75" t="str">
            <v>M/S Hira Motors-Chokoria</v>
          </cell>
          <cell r="E75" t="str">
            <v>01441</v>
          </cell>
        </row>
        <row r="76">
          <cell r="D76" t="str">
            <v>M/S Hira Motors-Chokoria</v>
          </cell>
          <cell r="E76" t="str">
            <v>01441</v>
          </cell>
        </row>
        <row r="77">
          <cell r="D77" t="str">
            <v>M/S Mahadi Motors</v>
          </cell>
          <cell r="E77" t="str">
            <v>01343</v>
          </cell>
        </row>
        <row r="78">
          <cell r="D78" t="str">
            <v>M/S Bismillah Motors-Hinla</v>
          </cell>
          <cell r="E78" t="str">
            <v>01448</v>
          </cell>
        </row>
        <row r="79">
          <cell r="D79" t="str">
            <v>M/S B.R.S.  Sowra Bidduyt</v>
          </cell>
          <cell r="E79" t="str">
            <v>00415</v>
          </cell>
        </row>
        <row r="80">
          <cell r="D80" t="str">
            <v>M/S B.R.S.  Sowra Bidduyt</v>
          </cell>
          <cell r="E80" t="str">
            <v>00415</v>
          </cell>
        </row>
        <row r="81">
          <cell r="D81" t="str">
            <v>M/S Hafiz Battery House</v>
          </cell>
          <cell r="E81" t="str">
            <v>01368</v>
          </cell>
        </row>
        <row r="82">
          <cell r="D82" t="str">
            <v>M/S Sadaf Auto &amp;  Vulcanizing Corner</v>
          </cell>
          <cell r="E82" t="str">
            <v>00089</v>
          </cell>
        </row>
        <row r="83">
          <cell r="D83" t="str">
            <v>M/S Sohan Motors</v>
          </cell>
          <cell r="E83" t="str">
            <v>01385</v>
          </cell>
        </row>
        <row r="84">
          <cell r="D84" t="str">
            <v>M/S Monir Auto &amp; Battery House</v>
          </cell>
          <cell r="E84" t="str">
            <v>00001</v>
          </cell>
        </row>
        <row r="85">
          <cell r="D85" t="str">
            <v>M/S Monir Auto &amp; Battery House</v>
          </cell>
          <cell r="E85" t="str">
            <v>00001</v>
          </cell>
        </row>
        <row r="86">
          <cell r="D86" t="str">
            <v>M/S Monir Auto &amp; Battery House</v>
          </cell>
          <cell r="E86" t="str">
            <v>00001</v>
          </cell>
        </row>
        <row r="87">
          <cell r="D87" t="str">
            <v>M/S Nobodhara Corporation</v>
          </cell>
          <cell r="E87" t="str">
            <v>01352</v>
          </cell>
        </row>
        <row r="88">
          <cell r="D88" t="str">
            <v>M/S Shopon Battery House (C)</v>
          </cell>
          <cell r="E88" t="str">
            <v>01320</v>
          </cell>
        </row>
        <row r="89">
          <cell r="D89" t="str">
            <v>M/S Raja Enterprise</v>
          </cell>
          <cell r="E89" t="str">
            <v>01077</v>
          </cell>
        </row>
        <row r="90">
          <cell r="D90" t="str">
            <v>M/S Shopon Battery House (C)</v>
          </cell>
          <cell r="E90" t="str">
            <v>01320</v>
          </cell>
        </row>
        <row r="91">
          <cell r="D91" t="str">
            <v>M/S Awlad Electronics</v>
          </cell>
          <cell r="E91" t="str">
            <v>01284</v>
          </cell>
        </row>
        <row r="92">
          <cell r="D92" t="str">
            <v>M/S Gausia Mill Store</v>
          </cell>
          <cell r="E92" t="str">
            <v>00615</v>
          </cell>
        </row>
        <row r="93">
          <cell r="D93" t="str">
            <v>M/S Awlad Electronics</v>
          </cell>
          <cell r="E93" t="str">
            <v>01284</v>
          </cell>
        </row>
        <row r="94">
          <cell r="D94" t="str">
            <v>M/S Al Madina Enterprise</v>
          </cell>
          <cell r="E94" t="str">
            <v>00814</v>
          </cell>
        </row>
        <row r="95">
          <cell r="D95" t="str">
            <v>M/S Adib Alifa Auto &amp; Battery House (C)</v>
          </cell>
          <cell r="E95" t="str">
            <v>01454</v>
          </cell>
        </row>
        <row r="96">
          <cell r="D96" t="str">
            <v>M/S Bhai Bhai Battery And Motors (C)</v>
          </cell>
          <cell r="E96" t="str">
            <v>01496</v>
          </cell>
        </row>
        <row r="97">
          <cell r="D97" t="str">
            <v>M/S Master Motor's</v>
          </cell>
          <cell r="E97" t="str">
            <v>00217</v>
          </cell>
        </row>
        <row r="98">
          <cell r="D98" t="str">
            <v>M/S Jom Jom Battery &amp; Parts</v>
          </cell>
          <cell r="E98" t="str">
            <v>01492</v>
          </cell>
        </row>
        <row r="99">
          <cell r="D99" t="str">
            <v>M/S Bhai Bhai Battery And Motors</v>
          </cell>
          <cell r="E99" t="str">
            <v>01453</v>
          </cell>
        </row>
        <row r="100">
          <cell r="D100" t="str">
            <v>M/S Sirajgonj Auto Corner (C)</v>
          </cell>
          <cell r="E100" t="str">
            <v>01494</v>
          </cell>
        </row>
        <row r="101">
          <cell r="D101" t="str">
            <v>M/S Anis Auto</v>
          </cell>
          <cell r="E101" t="str">
            <v>00685</v>
          </cell>
        </row>
        <row r="102">
          <cell r="D102" t="str">
            <v>M/S Sirajgonj Auto Corner (C)</v>
          </cell>
          <cell r="E102" t="str">
            <v>01494</v>
          </cell>
        </row>
        <row r="103">
          <cell r="D103" t="str">
            <v>M/S S.K. Enterprise (C)</v>
          </cell>
          <cell r="E103" t="str">
            <v>01326</v>
          </cell>
        </row>
        <row r="104">
          <cell r="D104" t="str">
            <v>M/S S.K. Enterprise (C)</v>
          </cell>
          <cell r="E104" t="str">
            <v>01326</v>
          </cell>
        </row>
        <row r="105">
          <cell r="D105" t="str">
            <v>M/S S.K. Enterprise (C)</v>
          </cell>
          <cell r="E105" t="str">
            <v>01326</v>
          </cell>
        </row>
        <row r="106">
          <cell r="D106" t="str">
            <v>M/S Master Motor's</v>
          </cell>
          <cell r="E106" t="str">
            <v>00217</v>
          </cell>
        </row>
        <row r="107">
          <cell r="D107" t="str">
            <v>M/S Tructor &amp; Salo</v>
          </cell>
          <cell r="E107" t="str">
            <v>00665</v>
          </cell>
        </row>
        <row r="108">
          <cell r="D108" t="str">
            <v>M/S Banskhali Enterprise-Joldi (C)</v>
          </cell>
          <cell r="E108" t="str">
            <v>01312</v>
          </cell>
        </row>
        <row r="109">
          <cell r="D109" t="str">
            <v>M/S Hira Motors</v>
          </cell>
          <cell r="E109" t="str">
            <v>01100</v>
          </cell>
        </row>
        <row r="110">
          <cell r="D110" t="str">
            <v>M/S New Raju Battery</v>
          </cell>
          <cell r="E110" t="str">
            <v>00498</v>
          </cell>
        </row>
        <row r="111">
          <cell r="D111" t="str">
            <v>M/S Ira Motors</v>
          </cell>
          <cell r="E111" t="str">
            <v>00133</v>
          </cell>
        </row>
        <row r="112">
          <cell r="D112" t="str">
            <v>M/S Ira Motors</v>
          </cell>
          <cell r="E112" t="str">
            <v>00133</v>
          </cell>
        </row>
        <row r="113">
          <cell r="D113" t="str">
            <v>M/S Ira Motors</v>
          </cell>
          <cell r="E113" t="str">
            <v>00133</v>
          </cell>
        </row>
        <row r="114">
          <cell r="D114" t="str">
            <v>M/S Samar Auto</v>
          </cell>
          <cell r="E114" t="str">
            <v>01434</v>
          </cell>
        </row>
        <row r="115">
          <cell r="D115" t="str">
            <v>M/S B.R.S.  Sowra Bidduyt</v>
          </cell>
          <cell r="E115" t="str">
            <v>00415</v>
          </cell>
        </row>
        <row r="116">
          <cell r="D116" t="str">
            <v>M/S B.R.S.  Sowra Bidduyt</v>
          </cell>
          <cell r="E116" t="str">
            <v>00415</v>
          </cell>
        </row>
        <row r="117">
          <cell r="D117" t="str">
            <v>M/S B.R.S.  Sowra Bidduyt</v>
          </cell>
          <cell r="E117" t="str">
            <v>00415</v>
          </cell>
        </row>
        <row r="118">
          <cell r="D118" t="str">
            <v>M/S Tamim Tyre &amp; Battery Shop</v>
          </cell>
          <cell r="E118" t="str">
            <v>00116</v>
          </cell>
        </row>
        <row r="119">
          <cell r="D119" t="str">
            <v>M/S Musulli Enterprise</v>
          </cell>
          <cell r="E119" t="str">
            <v>00091</v>
          </cell>
        </row>
        <row r="120">
          <cell r="D120" t="str">
            <v>M/S A.P.L. Auto House</v>
          </cell>
          <cell r="E120" t="str">
            <v>00328</v>
          </cell>
        </row>
        <row r="121">
          <cell r="D121" t="str">
            <v>M/S New Mintu Motors</v>
          </cell>
          <cell r="E121" t="str">
            <v>00588</v>
          </cell>
        </row>
        <row r="122">
          <cell r="D122" t="str">
            <v>M/S A.P.L. Auto House</v>
          </cell>
          <cell r="E122" t="str">
            <v>00328</v>
          </cell>
        </row>
        <row r="123">
          <cell r="D123" t="str">
            <v>M/S Anis Auto</v>
          </cell>
          <cell r="E123" t="str">
            <v>00685</v>
          </cell>
        </row>
        <row r="124">
          <cell r="D124" t="str">
            <v>M/S Lalmai Machineries &amp; Parts</v>
          </cell>
          <cell r="E124" t="str">
            <v>00329</v>
          </cell>
        </row>
        <row r="125">
          <cell r="D125" t="str">
            <v>M/S Shikdar Auto House</v>
          </cell>
          <cell r="E125" t="str">
            <v>01493</v>
          </cell>
        </row>
        <row r="126">
          <cell r="D126" t="str">
            <v>M/S Shah Mojidia Motor Parts</v>
          </cell>
          <cell r="E126" t="str">
            <v>00842</v>
          </cell>
        </row>
        <row r="127">
          <cell r="D127" t="str">
            <v>M/S Shah Mojidia Motor Parts</v>
          </cell>
          <cell r="E127" t="str">
            <v>00842</v>
          </cell>
        </row>
        <row r="128">
          <cell r="D128" t="str">
            <v>M/S Shah Mojidia Motor Parts</v>
          </cell>
          <cell r="E128" t="str">
            <v>00842</v>
          </cell>
        </row>
        <row r="129">
          <cell r="D129" t="str">
            <v>M/S Tamim Tyre &amp; Battery Shop</v>
          </cell>
          <cell r="E129" t="str">
            <v>00116</v>
          </cell>
        </row>
        <row r="130">
          <cell r="D130" t="str">
            <v>M/S Setu Cycle Mart</v>
          </cell>
          <cell r="E130" t="str">
            <v>00471</v>
          </cell>
        </row>
        <row r="131">
          <cell r="D131" t="str">
            <v>M/S Setu Cycle Mart</v>
          </cell>
          <cell r="E131" t="str">
            <v>00471</v>
          </cell>
        </row>
        <row r="132">
          <cell r="D132" t="str">
            <v>M/S Setu Cycle Mart</v>
          </cell>
          <cell r="E132" t="str">
            <v>00471</v>
          </cell>
        </row>
        <row r="133">
          <cell r="D133" t="str">
            <v>M/S Atik Auto</v>
          </cell>
          <cell r="E133" t="str">
            <v>00562</v>
          </cell>
        </row>
        <row r="134">
          <cell r="D134" t="str">
            <v>M/S Bondhu Motors</v>
          </cell>
          <cell r="E134" t="str">
            <v>01147</v>
          </cell>
        </row>
        <row r="135">
          <cell r="D135" t="str">
            <v>M/S Oreya Enterprise</v>
          </cell>
          <cell r="E135" t="str">
            <v>00537</v>
          </cell>
        </row>
        <row r="136">
          <cell r="D136" t="str">
            <v>M/S Bandhu Auto Centre</v>
          </cell>
          <cell r="E136" t="str">
            <v>00573</v>
          </cell>
        </row>
        <row r="137">
          <cell r="D137" t="str">
            <v>M/S Anamika Auto Rickshow</v>
          </cell>
          <cell r="E137" t="str">
            <v>00496</v>
          </cell>
        </row>
        <row r="138">
          <cell r="D138" t="str">
            <v>M/S Pagla Mama Auto Parts</v>
          </cell>
          <cell r="E138" t="str">
            <v>01170</v>
          </cell>
        </row>
        <row r="139">
          <cell r="D139" t="str">
            <v>M/S Gausia Mill Store</v>
          </cell>
          <cell r="E139" t="str">
            <v>00615</v>
          </cell>
        </row>
        <row r="140">
          <cell r="D140" t="str">
            <v>M/S Kalam Store</v>
          </cell>
          <cell r="E140" t="str">
            <v>01436</v>
          </cell>
        </row>
        <row r="141">
          <cell r="D141" t="str">
            <v>M/S Kalam Store</v>
          </cell>
          <cell r="E141" t="str">
            <v>01436</v>
          </cell>
        </row>
        <row r="142">
          <cell r="D142" t="str">
            <v>M/S Al Madina Enterprise</v>
          </cell>
          <cell r="E142" t="str">
            <v>00814</v>
          </cell>
        </row>
        <row r="143">
          <cell r="D143" t="str">
            <v>M/S Jhenaidah Bike Center</v>
          </cell>
          <cell r="E143" t="str">
            <v>01358</v>
          </cell>
        </row>
        <row r="144">
          <cell r="D144" t="str">
            <v>M/S Al Madina Enterprise</v>
          </cell>
          <cell r="E144" t="str">
            <v>00814</v>
          </cell>
        </row>
        <row r="145">
          <cell r="D145" t="str">
            <v>M/S Bashkhali Enterprise</v>
          </cell>
          <cell r="E145" t="str">
            <v>00424</v>
          </cell>
        </row>
        <row r="146">
          <cell r="D146" t="str">
            <v>M/S Mashpi Battery &amp; Auto</v>
          </cell>
          <cell r="E146" t="str">
            <v>01152</v>
          </cell>
        </row>
        <row r="147">
          <cell r="D147" t="str">
            <v>M/S Bashkhali Enterprise</v>
          </cell>
          <cell r="E147" t="str">
            <v>00424</v>
          </cell>
        </row>
        <row r="148">
          <cell r="D148" t="str">
            <v>M/S Macca Tyre And battery House</v>
          </cell>
          <cell r="E148" t="str">
            <v>00439</v>
          </cell>
        </row>
        <row r="149">
          <cell r="D149" t="str">
            <v>M/S Macca Tyre And battery House</v>
          </cell>
          <cell r="E149" t="str">
            <v>00439</v>
          </cell>
        </row>
        <row r="150">
          <cell r="D150" t="str">
            <v>M/S Mizan Traders</v>
          </cell>
          <cell r="E150" t="str">
            <v>00179</v>
          </cell>
        </row>
        <row r="151">
          <cell r="D151" t="str">
            <v>M/S Sangu Battery House</v>
          </cell>
          <cell r="E151" t="str">
            <v>00988</v>
          </cell>
        </row>
        <row r="152">
          <cell r="D152" t="str">
            <v>M/S Tamim Tyre &amp; Battery Shop</v>
          </cell>
          <cell r="E152" t="str">
            <v>00116</v>
          </cell>
        </row>
        <row r="153">
          <cell r="D153" t="str">
            <v>M/S Ekata Motors</v>
          </cell>
          <cell r="E153" t="str">
            <v>00419</v>
          </cell>
        </row>
        <row r="154">
          <cell r="D154" t="str">
            <v>M/S Gausia Mill Store</v>
          </cell>
          <cell r="E154" t="str">
            <v>00615</v>
          </cell>
        </row>
        <row r="155">
          <cell r="D155" t="str">
            <v>M/S Rubel Auto House</v>
          </cell>
          <cell r="E155" t="str">
            <v>01113</v>
          </cell>
        </row>
        <row r="156">
          <cell r="D156" t="str">
            <v>M/S Gausia Mill Store</v>
          </cell>
          <cell r="E156" t="str">
            <v>00615</v>
          </cell>
        </row>
        <row r="157">
          <cell r="D157" t="str">
            <v>M/S Gausia Mill Store</v>
          </cell>
          <cell r="E157" t="str">
            <v>00615</v>
          </cell>
        </row>
        <row r="158">
          <cell r="D158" t="str">
            <v>M/S Gazipur Battery House</v>
          </cell>
          <cell r="E158" t="str">
            <v>00826</v>
          </cell>
        </row>
        <row r="159">
          <cell r="D159" t="str">
            <v>M/S Sadaf Auto &amp;  Vulcanizing Corner</v>
          </cell>
          <cell r="E159" t="str">
            <v>00089</v>
          </cell>
        </row>
        <row r="160">
          <cell r="D160" t="str">
            <v>M/S Tamim Tyre &amp; Battery Shop</v>
          </cell>
          <cell r="E160" t="str">
            <v>00116</v>
          </cell>
        </row>
        <row r="161">
          <cell r="D161" t="str">
            <v>M/S Samir Battery And Tyre</v>
          </cell>
          <cell r="E161" t="str">
            <v>01450</v>
          </cell>
        </row>
        <row r="162">
          <cell r="D162" t="str">
            <v>M/S Arafat Enterprise</v>
          </cell>
          <cell r="E162" t="str">
            <v>00094</v>
          </cell>
        </row>
        <row r="163">
          <cell r="D163" t="str">
            <v>M/S Bismillah Motors -Nalitabari</v>
          </cell>
          <cell r="E163" t="str">
            <v>01085</v>
          </cell>
        </row>
        <row r="164">
          <cell r="D164" t="str">
            <v>M/S Bhai Bhai Traders-Kendua</v>
          </cell>
          <cell r="E164" t="str">
            <v>00165</v>
          </cell>
        </row>
        <row r="165">
          <cell r="D165" t="str">
            <v>M/S Shoshi Enterprise</v>
          </cell>
          <cell r="E165" t="str">
            <v>01153</v>
          </cell>
        </row>
        <row r="166">
          <cell r="D166" t="str">
            <v>M/S Sagorika Motors</v>
          </cell>
          <cell r="E166" t="str">
            <v>01503</v>
          </cell>
        </row>
        <row r="167">
          <cell r="D167" t="str">
            <v>M/S Ma Tyre &amp; Battery  Shop</v>
          </cell>
          <cell r="E167" t="str">
            <v>00088</v>
          </cell>
        </row>
        <row r="168">
          <cell r="D168" t="str">
            <v>M/S Modina Cycle Store</v>
          </cell>
          <cell r="E168" t="str">
            <v>01270</v>
          </cell>
        </row>
        <row r="169">
          <cell r="D169" t="str">
            <v>M/S Shikdar Auto House</v>
          </cell>
          <cell r="E169" t="str">
            <v>01493</v>
          </cell>
        </row>
        <row r="170">
          <cell r="D170" t="str">
            <v>M/S Gausia Mill Store</v>
          </cell>
          <cell r="E170" t="str">
            <v>00615</v>
          </cell>
        </row>
        <row r="171">
          <cell r="D171" t="str">
            <v>M/S Gausia Mill Store</v>
          </cell>
          <cell r="E171" t="str">
            <v>00615</v>
          </cell>
        </row>
        <row r="172">
          <cell r="D172" t="str">
            <v>M/S Anas Enterprise</v>
          </cell>
          <cell r="E172" t="str">
            <v>00817</v>
          </cell>
        </row>
        <row r="173">
          <cell r="D173" t="str">
            <v>M/S Gausia Mill Store</v>
          </cell>
          <cell r="E173" t="str">
            <v>00615</v>
          </cell>
        </row>
        <row r="174">
          <cell r="D174" t="str">
            <v>M/S Gausia Mill Store</v>
          </cell>
          <cell r="E174" t="str">
            <v>00615</v>
          </cell>
        </row>
        <row r="175">
          <cell r="D175" t="str">
            <v>M/S Modina Enterprise - Savar</v>
          </cell>
          <cell r="E175" t="str">
            <v>01404</v>
          </cell>
        </row>
        <row r="176">
          <cell r="D176" t="str">
            <v>M/S Gausia Mill Store</v>
          </cell>
          <cell r="E176" t="str">
            <v>00615</v>
          </cell>
        </row>
        <row r="177">
          <cell r="D177" t="str">
            <v>M/S New Sagor Traders</v>
          </cell>
          <cell r="E177" t="str">
            <v>00182</v>
          </cell>
        </row>
        <row r="178">
          <cell r="D178" t="str">
            <v>M/S Rashed Enterprise</v>
          </cell>
          <cell r="E178" t="str">
            <v>00030</v>
          </cell>
        </row>
        <row r="179">
          <cell r="D179" t="str">
            <v>M/S Rashed Enterprise</v>
          </cell>
          <cell r="E179" t="str">
            <v>00030</v>
          </cell>
        </row>
        <row r="180">
          <cell r="D180" t="str">
            <v>M/S B.R.S.  Sowra Bidduyt</v>
          </cell>
          <cell r="E180" t="str">
            <v>00415</v>
          </cell>
        </row>
        <row r="181">
          <cell r="D181" t="str">
            <v>M/S Shah Mojidia Motor Parts</v>
          </cell>
          <cell r="E181" t="str">
            <v>00842</v>
          </cell>
        </row>
        <row r="182">
          <cell r="D182" t="str">
            <v>M/S B.R.S.  Sowra Bidduyt</v>
          </cell>
          <cell r="E182" t="str">
            <v>00415</v>
          </cell>
        </row>
        <row r="183">
          <cell r="D183" t="str">
            <v>M/S Bismillah Motors-Hinla</v>
          </cell>
          <cell r="E183" t="str">
            <v>01448</v>
          </cell>
        </row>
        <row r="184">
          <cell r="D184" t="str">
            <v>M/S Bismillah Motors-Hinla</v>
          </cell>
          <cell r="E184" t="str">
            <v>01448</v>
          </cell>
        </row>
        <row r="185">
          <cell r="D185" t="str">
            <v>M/S Anis Auto</v>
          </cell>
          <cell r="E185" t="str">
            <v>00685</v>
          </cell>
        </row>
        <row r="186">
          <cell r="D186" t="str">
            <v>M/S Hafiz Battery House</v>
          </cell>
          <cell r="E186" t="str">
            <v>01368</v>
          </cell>
        </row>
        <row r="187">
          <cell r="D187" t="str">
            <v>M/S Shikdar Auto House</v>
          </cell>
          <cell r="E187" t="str">
            <v>01493</v>
          </cell>
        </row>
        <row r="188">
          <cell r="D188" t="str">
            <v>M/S Bashkhali Enterprise</v>
          </cell>
          <cell r="E188" t="str">
            <v>00424</v>
          </cell>
        </row>
        <row r="189">
          <cell r="D189" t="str">
            <v>M/S New Mintu Motors</v>
          </cell>
          <cell r="E189" t="str">
            <v>00588</v>
          </cell>
        </row>
        <row r="190">
          <cell r="D190" t="str">
            <v>M/S New Mintu Motors</v>
          </cell>
          <cell r="E190" t="str">
            <v>00588</v>
          </cell>
        </row>
        <row r="191">
          <cell r="D191" t="str">
            <v>M/S Gausia Mill Store</v>
          </cell>
          <cell r="E191" t="str">
            <v>00615</v>
          </cell>
        </row>
        <row r="192">
          <cell r="D192" t="str">
            <v>M/S Gausia Mill Store</v>
          </cell>
          <cell r="E192" t="str">
            <v>00615</v>
          </cell>
        </row>
        <row r="193">
          <cell r="D193" t="str">
            <v>M/S S.K. Enterprise (C)</v>
          </cell>
          <cell r="E193" t="str">
            <v>01326</v>
          </cell>
        </row>
        <row r="194">
          <cell r="D194" t="str">
            <v>M/S S.K. Enterprise (C)</v>
          </cell>
          <cell r="E194" t="str">
            <v>01326</v>
          </cell>
        </row>
        <row r="195">
          <cell r="D195" t="str">
            <v>M/S S.K. Enterprise (C)</v>
          </cell>
          <cell r="E195" t="str">
            <v>01326</v>
          </cell>
        </row>
        <row r="196">
          <cell r="D196" t="str">
            <v>M/S S.K. Enterprise (C)</v>
          </cell>
          <cell r="E196" t="str">
            <v>01326</v>
          </cell>
        </row>
        <row r="197">
          <cell r="D197" t="str">
            <v>M/S S.K. Enterprise (C)</v>
          </cell>
          <cell r="E197" t="str">
            <v>01326</v>
          </cell>
        </row>
        <row r="198">
          <cell r="D198" t="str">
            <v>M/S National Battery - Lalmonirhat</v>
          </cell>
          <cell r="E198" t="str">
            <v>00579</v>
          </cell>
        </row>
        <row r="199">
          <cell r="D199" t="str">
            <v>M/S National Battery - Lalmonirhat</v>
          </cell>
          <cell r="E199" t="str">
            <v>00579</v>
          </cell>
        </row>
        <row r="200">
          <cell r="D200" t="str">
            <v>M/S National Battery - Lalmonirhat</v>
          </cell>
          <cell r="E200" t="str">
            <v>00579</v>
          </cell>
        </row>
        <row r="201">
          <cell r="D201" t="str">
            <v>M/S Ira Motors</v>
          </cell>
          <cell r="E201" t="str">
            <v>00133</v>
          </cell>
        </row>
        <row r="202">
          <cell r="D202" t="str">
            <v>M/S Ira Motors</v>
          </cell>
          <cell r="E202" t="str">
            <v>00133</v>
          </cell>
        </row>
        <row r="203">
          <cell r="D203" t="str">
            <v>M/S Mashpi Battery &amp; Auto</v>
          </cell>
          <cell r="E203" t="str">
            <v>01152</v>
          </cell>
        </row>
        <row r="204">
          <cell r="D204" t="str">
            <v>M/S Mashpi Battery &amp; Auto</v>
          </cell>
          <cell r="E204" t="str">
            <v>01152</v>
          </cell>
        </row>
        <row r="205">
          <cell r="D205" t="str">
            <v>M/S Sadaf Auto &amp;  Vulcanizing Corner</v>
          </cell>
          <cell r="E205" t="str">
            <v>00089</v>
          </cell>
        </row>
        <row r="206">
          <cell r="D206" t="str">
            <v>M/S Tamim Enterprise</v>
          </cell>
          <cell r="E206" t="str">
            <v>01395</v>
          </cell>
        </row>
        <row r="207">
          <cell r="D207" t="str">
            <v>M/S Tanim Traders and Battery House</v>
          </cell>
          <cell r="E207" t="str">
            <v>00160</v>
          </cell>
        </row>
        <row r="208">
          <cell r="D208" t="str">
            <v>M/S Bismillah Battery House -Sylhet</v>
          </cell>
          <cell r="E208" t="str">
            <v>00389</v>
          </cell>
        </row>
        <row r="209">
          <cell r="D209" t="str">
            <v>M/S Power Battery And Tyre</v>
          </cell>
          <cell r="E209" t="str">
            <v>01477</v>
          </cell>
        </row>
        <row r="210">
          <cell r="D210" t="str">
            <v>M/S City Auto</v>
          </cell>
          <cell r="E210" t="str">
            <v>00398</v>
          </cell>
        </row>
        <row r="211">
          <cell r="D211" t="str">
            <v>M/S Power Battery And Tyre</v>
          </cell>
          <cell r="E211" t="str">
            <v>01477</v>
          </cell>
        </row>
        <row r="212">
          <cell r="D212" t="str">
            <v>M/S City Auto</v>
          </cell>
          <cell r="E212" t="str">
            <v>00398</v>
          </cell>
        </row>
        <row r="213">
          <cell r="D213" t="str">
            <v>M/S Mahadi Motors</v>
          </cell>
          <cell r="E213" t="str">
            <v>01343</v>
          </cell>
        </row>
        <row r="214">
          <cell r="D214" t="str">
            <v>M/S New Dhaka Motors and Battery</v>
          </cell>
          <cell r="E214" t="str">
            <v>00005</v>
          </cell>
        </row>
        <row r="215">
          <cell r="D215" t="str">
            <v>M/S New Dhaka Motors and Battery</v>
          </cell>
          <cell r="E215" t="str">
            <v>00005</v>
          </cell>
        </row>
        <row r="216">
          <cell r="D216" t="str">
            <v>M/S Khan Battery Recycling (C)</v>
          </cell>
          <cell r="E216" t="str">
            <v>01282</v>
          </cell>
        </row>
        <row r="217">
          <cell r="D217" t="str">
            <v>M/S Gausia Mill Store</v>
          </cell>
          <cell r="E217" t="str">
            <v>00615</v>
          </cell>
        </row>
        <row r="218">
          <cell r="D218" t="str">
            <v>M/S Adnan Tyre and Battery House</v>
          </cell>
          <cell r="E218" t="str">
            <v>01371</v>
          </cell>
        </row>
        <row r="219">
          <cell r="D219" t="str">
            <v>M/S Gausia Mill Store</v>
          </cell>
          <cell r="E219" t="str">
            <v>00615</v>
          </cell>
        </row>
        <row r="220">
          <cell r="D220" t="str">
            <v>M/S Gausia Mill Store</v>
          </cell>
          <cell r="E220" t="str">
            <v>00615</v>
          </cell>
        </row>
        <row r="221">
          <cell r="D221" t="str">
            <v>M/S Monir Auto &amp; Battery House</v>
          </cell>
          <cell r="E221" t="str">
            <v>00001</v>
          </cell>
        </row>
        <row r="222">
          <cell r="D222" t="str">
            <v>M/S Farhan Auto (C)</v>
          </cell>
          <cell r="E222" t="str">
            <v>01298</v>
          </cell>
        </row>
        <row r="223">
          <cell r="D223" t="str">
            <v>M/S Farhan Auto (C)</v>
          </cell>
          <cell r="E223" t="str">
            <v>01298</v>
          </cell>
        </row>
        <row r="224">
          <cell r="D224" t="str">
            <v>M/S Farhan Auto (C)</v>
          </cell>
          <cell r="E224" t="str">
            <v>01298</v>
          </cell>
        </row>
        <row r="225">
          <cell r="D225" t="str">
            <v>M/S Gausia Mill Store</v>
          </cell>
          <cell r="E225" t="str">
            <v>00615</v>
          </cell>
        </row>
        <row r="226">
          <cell r="D226" t="str">
            <v>M/S Farhan Auto (C)</v>
          </cell>
          <cell r="E226" t="str">
            <v>01298</v>
          </cell>
        </row>
        <row r="227">
          <cell r="D227" t="str">
            <v>M/S L D Poribahan &amp; Trading (C)</v>
          </cell>
          <cell r="E227" t="str">
            <v>01299</v>
          </cell>
        </row>
        <row r="228">
          <cell r="D228" t="str">
            <v>M/S Gausia Mill Store</v>
          </cell>
          <cell r="E228" t="str">
            <v>00615</v>
          </cell>
        </row>
        <row r="229">
          <cell r="D229" t="str">
            <v>M/S L D Poribahan &amp; Trading (C)</v>
          </cell>
          <cell r="E229" t="str">
            <v>01299</v>
          </cell>
        </row>
        <row r="230">
          <cell r="D230" t="str">
            <v>M/S Bonna Enterprise</v>
          </cell>
          <cell r="E230" t="str">
            <v>00617</v>
          </cell>
        </row>
        <row r="231">
          <cell r="D231" t="str">
            <v>M/S Khokon IPS &amp; Battery Center</v>
          </cell>
          <cell r="E231" t="str">
            <v>00330</v>
          </cell>
        </row>
        <row r="232">
          <cell r="D232" t="str">
            <v>M/S Hira Motors</v>
          </cell>
          <cell r="E232" t="str">
            <v>01100</v>
          </cell>
        </row>
        <row r="233">
          <cell r="D233" t="str">
            <v>M/S Lalmai Machineries &amp; Parts</v>
          </cell>
          <cell r="E233" t="str">
            <v>00329</v>
          </cell>
        </row>
        <row r="234">
          <cell r="D234" t="str">
            <v>M/S New Raju Battery</v>
          </cell>
          <cell r="E234" t="str">
            <v>00498</v>
          </cell>
        </row>
        <row r="235">
          <cell r="D235" t="str">
            <v>M/S Anik Motors &amp; Battery (C)</v>
          </cell>
          <cell r="E235" t="str">
            <v>01444</v>
          </cell>
        </row>
        <row r="236">
          <cell r="D236" t="str">
            <v>M/S Anik Motors &amp; Battery (C)</v>
          </cell>
          <cell r="E236" t="str">
            <v>01444</v>
          </cell>
        </row>
        <row r="237">
          <cell r="D237" t="str">
            <v>M/S Gausia Mill Store</v>
          </cell>
          <cell r="E237" t="str">
            <v>00615</v>
          </cell>
        </row>
        <row r="238">
          <cell r="D238" t="str">
            <v>M/S Rajapur IPS &amp; Battery House</v>
          </cell>
          <cell r="E238" t="str">
            <v>01400</v>
          </cell>
        </row>
        <row r="239">
          <cell r="D239" t="str">
            <v>M/S Gausia Mill Store</v>
          </cell>
          <cell r="E239" t="str">
            <v>00615</v>
          </cell>
        </row>
        <row r="240">
          <cell r="D240" t="str">
            <v>M/S Gausia Mill Store</v>
          </cell>
          <cell r="E240" t="str">
            <v>00615</v>
          </cell>
        </row>
        <row r="241">
          <cell r="D241" t="str">
            <v>M/S Anas Battery &amp; Auto House</v>
          </cell>
          <cell r="E241" t="str">
            <v>01401</v>
          </cell>
        </row>
        <row r="242">
          <cell r="D242" t="str">
            <v>M/S Anis Auto</v>
          </cell>
          <cell r="E242" t="str">
            <v>00685</v>
          </cell>
        </row>
        <row r="243">
          <cell r="D243" t="str">
            <v>M/S Mayer Doya Auto Parts-Feni</v>
          </cell>
          <cell r="E243" t="str">
            <v>00373</v>
          </cell>
        </row>
        <row r="244">
          <cell r="D244" t="str">
            <v>M/S Mayer Doya Auto Parts-Feni</v>
          </cell>
          <cell r="E244" t="str">
            <v>00373</v>
          </cell>
        </row>
        <row r="245">
          <cell r="D245" t="str">
            <v>M/S A.P.L. Auto House</v>
          </cell>
          <cell r="E245" t="str">
            <v>00328</v>
          </cell>
        </row>
        <row r="246">
          <cell r="D246" t="str">
            <v>M/S Jom Jom Battery &amp; Parts</v>
          </cell>
          <cell r="E246" t="str">
            <v>01492</v>
          </cell>
        </row>
        <row r="247">
          <cell r="D247" t="str">
            <v>M/S S.S. Enterprise-Norshingdi (C)</v>
          </cell>
          <cell r="E247" t="str">
            <v>01331</v>
          </cell>
        </row>
        <row r="248">
          <cell r="D248" t="str">
            <v>M/S S.S. Enterprise-Norshingdi (C)</v>
          </cell>
          <cell r="E248" t="str">
            <v>01331</v>
          </cell>
        </row>
        <row r="249">
          <cell r="D249" t="str">
            <v>M/S Sajib Enterprise (C)</v>
          </cell>
          <cell r="E249" t="str">
            <v>01353</v>
          </cell>
        </row>
        <row r="250">
          <cell r="D250" t="str">
            <v>M/S Al Madina Enterprise</v>
          </cell>
          <cell r="E250" t="str">
            <v>00814</v>
          </cell>
        </row>
        <row r="251">
          <cell r="D251" t="str">
            <v>M/S Sajib Enterprise (C)</v>
          </cell>
          <cell r="E251" t="str">
            <v>01353</v>
          </cell>
        </row>
        <row r="252">
          <cell r="D252" t="str">
            <v>M/S New Mintu Motors</v>
          </cell>
          <cell r="E252" t="str">
            <v>00588</v>
          </cell>
        </row>
        <row r="253">
          <cell r="D253" t="str">
            <v>M/S Shikdar Auto House</v>
          </cell>
          <cell r="E253" t="str">
            <v>01493</v>
          </cell>
        </row>
        <row r="254">
          <cell r="D254" t="str">
            <v>M/S Rafiq Vi Battery &amp; Auto</v>
          </cell>
          <cell r="E254" t="str">
            <v>01405</v>
          </cell>
        </row>
        <row r="255">
          <cell r="D255" t="str">
            <v>M/S Anamika Auto Rickshow</v>
          </cell>
          <cell r="E255" t="str">
            <v>00496</v>
          </cell>
        </row>
        <row r="256">
          <cell r="D256" t="str">
            <v>M/S AL - Modina Traders</v>
          </cell>
          <cell r="E256" t="str">
            <v>01500</v>
          </cell>
        </row>
        <row r="257">
          <cell r="D257" t="str">
            <v>M/S Anamika Auto Rickshow</v>
          </cell>
          <cell r="E257" t="str">
            <v>00496</v>
          </cell>
        </row>
        <row r="258">
          <cell r="D258" t="str">
            <v>M/S Bhai Bhai Battery And Motors (C)</v>
          </cell>
          <cell r="E258" t="str">
            <v>01496</v>
          </cell>
        </row>
        <row r="259">
          <cell r="D259" t="str">
            <v>M/S Golden Bike</v>
          </cell>
          <cell r="E259" t="str">
            <v>00625</v>
          </cell>
        </row>
        <row r="260">
          <cell r="D260" t="str">
            <v>M/S Anis Auto</v>
          </cell>
          <cell r="E260" t="str">
            <v>00685</v>
          </cell>
        </row>
        <row r="261">
          <cell r="D261" t="str">
            <v>M/S Molla Battery House (C)</v>
          </cell>
          <cell r="E261" t="str">
            <v>01428</v>
          </cell>
        </row>
        <row r="262">
          <cell r="D262" t="str">
            <v>M/S Rubel Auto House</v>
          </cell>
          <cell r="E262" t="str">
            <v>01113</v>
          </cell>
        </row>
        <row r="263">
          <cell r="D263" t="str">
            <v>M/S Rubel Auto House</v>
          </cell>
          <cell r="E263" t="str">
            <v>01113</v>
          </cell>
        </row>
        <row r="264">
          <cell r="D264" t="str">
            <v>M/S Bondhu Auto and CNG Workshop</v>
          </cell>
          <cell r="E264" t="str">
            <v>01149</v>
          </cell>
        </row>
        <row r="265">
          <cell r="D265" t="str">
            <v>M/S Bondhu Auto and CNG Workshop</v>
          </cell>
          <cell r="E265" t="str">
            <v>01149</v>
          </cell>
        </row>
        <row r="266">
          <cell r="D266" t="str">
            <v>M/S Doyal Battery</v>
          </cell>
          <cell r="E266" t="str">
            <v>00337</v>
          </cell>
        </row>
        <row r="267">
          <cell r="D267" t="str">
            <v>M/S Doyal Battery</v>
          </cell>
          <cell r="E267" t="str">
            <v>00337</v>
          </cell>
        </row>
        <row r="268">
          <cell r="D268" t="str">
            <v>M/S Doyal Battery</v>
          </cell>
          <cell r="E268" t="str">
            <v>00337</v>
          </cell>
        </row>
        <row r="269">
          <cell r="D269" t="str">
            <v>M/S Mahadi Motors</v>
          </cell>
          <cell r="E269" t="str">
            <v>01343</v>
          </cell>
        </row>
        <row r="270">
          <cell r="D270" t="str">
            <v>M/S Setu Cycle Mart</v>
          </cell>
          <cell r="E270" t="str">
            <v>00471</v>
          </cell>
        </row>
        <row r="271">
          <cell r="D271" t="str">
            <v>M/S Setu Cycle Mart</v>
          </cell>
          <cell r="E271" t="str">
            <v>00471</v>
          </cell>
        </row>
        <row r="272">
          <cell r="D272" t="str">
            <v>M/S Setu Cycle Mart</v>
          </cell>
          <cell r="E272" t="str">
            <v>00471</v>
          </cell>
        </row>
        <row r="273">
          <cell r="D273" t="str">
            <v>M/S Setu Cycle Mart</v>
          </cell>
          <cell r="E273" t="str">
            <v>00471</v>
          </cell>
        </row>
        <row r="274">
          <cell r="D274" t="str">
            <v>M/S Shikder Auto Parts</v>
          </cell>
          <cell r="E274" t="str">
            <v>01078</v>
          </cell>
        </row>
        <row r="275">
          <cell r="D275" t="str">
            <v>M/S Macca Tyre And battery House</v>
          </cell>
          <cell r="E275" t="str">
            <v>00439</v>
          </cell>
        </row>
        <row r="276">
          <cell r="D276" t="str">
            <v>M/S Mahadi Motors</v>
          </cell>
          <cell r="E276" t="str">
            <v>01343</v>
          </cell>
        </row>
        <row r="277">
          <cell r="D277" t="str">
            <v>M/S Sangu Battery House</v>
          </cell>
          <cell r="E277" t="str">
            <v>00988</v>
          </cell>
        </row>
        <row r="278">
          <cell r="D278" t="str">
            <v>M/S Jogotbondhu Battery &amp; Eng. Workshop</v>
          </cell>
          <cell r="E278" t="str">
            <v>00143</v>
          </cell>
        </row>
        <row r="279">
          <cell r="D279" t="str">
            <v>M/S Rifat Enterprise</v>
          </cell>
          <cell r="E279" t="str">
            <v>00333</v>
          </cell>
        </row>
        <row r="280">
          <cell r="D280" t="str">
            <v>M/S Snigdha Battery</v>
          </cell>
          <cell r="E280" t="str">
            <v>00134</v>
          </cell>
        </row>
        <row r="281">
          <cell r="D281" t="str">
            <v>M/S Anis Auto</v>
          </cell>
          <cell r="E281" t="str">
            <v>00685</v>
          </cell>
        </row>
        <row r="282">
          <cell r="D282" t="str">
            <v>M/S Rumi Battery House</v>
          </cell>
          <cell r="E282" t="str">
            <v>00387</v>
          </cell>
        </row>
        <row r="283">
          <cell r="D283" t="str">
            <v>M/S Rumi Battery House</v>
          </cell>
          <cell r="E283" t="str">
            <v>00387</v>
          </cell>
        </row>
        <row r="284">
          <cell r="D284" t="str">
            <v>M/S Golden Bike</v>
          </cell>
          <cell r="E284" t="str">
            <v>00625</v>
          </cell>
        </row>
        <row r="285">
          <cell r="D285" t="str">
            <v>M/S Rumi Battery House</v>
          </cell>
          <cell r="E285" t="str">
            <v>00387</v>
          </cell>
        </row>
        <row r="286">
          <cell r="D286" t="str">
            <v>M/S Mizan Traders</v>
          </cell>
          <cell r="E286" t="str">
            <v>00179</v>
          </cell>
        </row>
        <row r="287">
          <cell r="D287" t="str">
            <v>M/S Minara Traders</v>
          </cell>
          <cell r="E287" t="str">
            <v>01108</v>
          </cell>
        </row>
        <row r="288">
          <cell r="D288" t="str">
            <v>M/S Minara Traders</v>
          </cell>
          <cell r="E288" t="str">
            <v>01108</v>
          </cell>
        </row>
        <row r="289">
          <cell r="D289" t="str">
            <v>M/S Minara Traders</v>
          </cell>
          <cell r="E289" t="str">
            <v>01108</v>
          </cell>
        </row>
        <row r="290">
          <cell r="D290" t="str">
            <v>M/S Sadaf Auto &amp;  Vulcanizing Corner</v>
          </cell>
          <cell r="E290" t="str">
            <v>00089</v>
          </cell>
        </row>
        <row r="291">
          <cell r="D291" t="str">
            <v>M/S Rafi Battery House</v>
          </cell>
          <cell r="E291" t="str">
            <v>00410</v>
          </cell>
        </row>
        <row r="292">
          <cell r="D292" t="str">
            <v>M/S Atik Auto</v>
          </cell>
          <cell r="E292" t="str">
            <v>00562</v>
          </cell>
        </row>
        <row r="293">
          <cell r="D293" t="str">
            <v>M/S Atik Auto</v>
          </cell>
          <cell r="E293" t="str">
            <v>00562</v>
          </cell>
        </row>
        <row r="294">
          <cell r="D294" t="str">
            <v>M/S Nasir Motors</v>
          </cell>
          <cell r="E294" t="str">
            <v>01248</v>
          </cell>
        </row>
        <row r="295">
          <cell r="D295" t="str">
            <v>M/S Al Madina Enterprise</v>
          </cell>
          <cell r="E295" t="str">
            <v>00814</v>
          </cell>
        </row>
        <row r="296">
          <cell r="D296" t="str">
            <v>M/S Al Madina Enterprise</v>
          </cell>
          <cell r="E296" t="str">
            <v>00814</v>
          </cell>
        </row>
        <row r="297">
          <cell r="D297" t="str">
            <v>M/S Housing Auto Bike</v>
          </cell>
          <cell r="E297" t="str">
            <v>00598</v>
          </cell>
        </row>
        <row r="298">
          <cell r="D298" t="str">
            <v>M/S M.R. Enterprise- Dinajpur</v>
          </cell>
          <cell r="E298" t="str">
            <v>00601</v>
          </cell>
        </row>
        <row r="299">
          <cell r="D299" t="str">
            <v>M/S Hira Motors</v>
          </cell>
          <cell r="E299" t="str">
            <v>01100</v>
          </cell>
        </row>
        <row r="300">
          <cell r="D300" t="str">
            <v>M/S Kalam Store</v>
          </cell>
          <cell r="E300" t="str">
            <v>01436</v>
          </cell>
        </row>
        <row r="301">
          <cell r="D301" t="str">
            <v>M/S New Mintu Motors</v>
          </cell>
          <cell r="E301" t="str">
            <v>00588</v>
          </cell>
        </row>
        <row r="302">
          <cell r="D302" t="str">
            <v>M/S Kalam Store</v>
          </cell>
          <cell r="E302" t="str">
            <v>01436</v>
          </cell>
        </row>
        <row r="303">
          <cell r="D303" t="str">
            <v>M/S Kalam Store</v>
          </cell>
          <cell r="E303" t="str">
            <v>01436</v>
          </cell>
        </row>
        <row r="304">
          <cell r="D304" t="str">
            <v>M/S Kalam Store</v>
          </cell>
          <cell r="E304" t="str">
            <v>01436</v>
          </cell>
        </row>
        <row r="305">
          <cell r="D305" t="str">
            <v>M/S Master Motor's</v>
          </cell>
          <cell r="E305" t="str">
            <v>00217</v>
          </cell>
        </row>
        <row r="306">
          <cell r="D306" t="str">
            <v>M/S Nazrul Battery and Mobil House</v>
          </cell>
          <cell r="E306" t="str">
            <v>00832</v>
          </cell>
        </row>
        <row r="307">
          <cell r="D307" t="str">
            <v>M/S S.K. Motors - Kushtia</v>
          </cell>
          <cell r="E307" t="str">
            <v>01057</v>
          </cell>
        </row>
        <row r="308">
          <cell r="D308" t="str">
            <v>M/S Power Battery And Tyre</v>
          </cell>
          <cell r="E308" t="str">
            <v>01477</v>
          </cell>
        </row>
        <row r="309">
          <cell r="D309" t="str">
            <v>M/S Sadiq Enterprise</v>
          </cell>
          <cell r="E309" t="str">
            <v>01067</v>
          </cell>
        </row>
        <row r="310">
          <cell r="D310" t="str">
            <v>M/S Hazi Automobiles &amp; Service Centre</v>
          </cell>
          <cell r="E310" t="str">
            <v>00315</v>
          </cell>
        </row>
        <row r="311">
          <cell r="D311" t="str">
            <v>M/S Atik Auto</v>
          </cell>
          <cell r="E311" t="str">
            <v>00562</v>
          </cell>
        </row>
        <row r="312">
          <cell r="D312" t="str">
            <v>M/S Master Motor's</v>
          </cell>
          <cell r="E312" t="str">
            <v>00217</v>
          </cell>
        </row>
        <row r="313">
          <cell r="D313" t="str">
            <v>M/S Rifat Enterprise</v>
          </cell>
          <cell r="E313" t="str">
            <v>00333</v>
          </cell>
        </row>
        <row r="314">
          <cell r="D314" t="str">
            <v>M/S Rifat Enterprise</v>
          </cell>
          <cell r="E314" t="str">
            <v>00333</v>
          </cell>
        </row>
        <row r="315">
          <cell r="D315" t="str">
            <v>M/S Modina Enterprise - Savar</v>
          </cell>
          <cell r="E315" t="str">
            <v>01404</v>
          </cell>
        </row>
        <row r="316">
          <cell r="D316" t="str">
            <v>M/S Rashed Enterprise</v>
          </cell>
          <cell r="E316" t="str">
            <v>00030</v>
          </cell>
        </row>
        <row r="317">
          <cell r="D317" t="str">
            <v>M/S Sadaf Auto &amp;  Vulcanizing Corner</v>
          </cell>
          <cell r="E317" t="str">
            <v>00089</v>
          </cell>
        </row>
        <row r="318">
          <cell r="D318" t="str">
            <v>M/S Rashed Enterprise</v>
          </cell>
          <cell r="E318" t="str">
            <v>00030</v>
          </cell>
        </row>
        <row r="319">
          <cell r="D319" t="str">
            <v>M/S Nabarun Auto Baik Parts</v>
          </cell>
          <cell r="E319" t="str">
            <v>00422</v>
          </cell>
        </row>
        <row r="320">
          <cell r="D320" t="str">
            <v>M/S Gazipur Battery House</v>
          </cell>
          <cell r="E320" t="str">
            <v>00826</v>
          </cell>
        </row>
        <row r="321">
          <cell r="D321" t="str">
            <v>M/S Gausia Mill Store</v>
          </cell>
          <cell r="E321" t="str">
            <v>00615</v>
          </cell>
        </row>
        <row r="322">
          <cell r="D322" t="str">
            <v>M/S Gausia Mill Store</v>
          </cell>
          <cell r="E322" t="str">
            <v>00615</v>
          </cell>
        </row>
        <row r="323">
          <cell r="D323" t="str">
            <v>M/S Musulli Enterprise</v>
          </cell>
          <cell r="E323" t="str">
            <v>00091</v>
          </cell>
        </row>
        <row r="324">
          <cell r="D324" t="str">
            <v>M/S Samir Battery And Tyre</v>
          </cell>
          <cell r="E324" t="str">
            <v>01450</v>
          </cell>
        </row>
        <row r="325">
          <cell r="D325" t="str">
            <v>M/S Gausia Mill Store</v>
          </cell>
          <cell r="E325" t="str">
            <v>00615</v>
          </cell>
        </row>
        <row r="326">
          <cell r="D326" t="str">
            <v>M/S Ira Motors</v>
          </cell>
          <cell r="E326" t="str">
            <v>00133</v>
          </cell>
        </row>
        <row r="327">
          <cell r="D327" t="str">
            <v>M/S Gausia Mill Store</v>
          </cell>
          <cell r="E327" t="str">
            <v>00615</v>
          </cell>
        </row>
        <row r="328">
          <cell r="D328" t="str">
            <v>M/S Talukder Motors (C)</v>
          </cell>
          <cell r="E328" t="str">
            <v>01471</v>
          </cell>
        </row>
        <row r="329">
          <cell r="D329" t="str">
            <v>M/S Gausia Mill Store</v>
          </cell>
          <cell r="E329" t="str">
            <v>00615</v>
          </cell>
        </row>
        <row r="330">
          <cell r="D330" t="str">
            <v>M/S Mohanagar Motors</v>
          </cell>
          <cell r="E330" t="str">
            <v>00331</v>
          </cell>
        </row>
        <row r="331">
          <cell r="D331" t="str">
            <v>M/S Gausia Mill Store</v>
          </cell>
          <cell r="E331" t="str">
            <v>00615</v>
          </cell>
        </row>
        <row r="332">
          <cell r="D332" t="str">
            <v>M/S New Dhaka Motors and Battery</v>
          </cell>
          <cell r="E332" t="str">
            <v>00005</v>
          </cell>
        </row>
        <row r="333">
          <cell r="D333" t="str">
            <v>M/S New Mintu Motors</v>
          </cell>
          <cell r="E333" t="str">
            <v>00588</v>
          </cell>
        </row>
        <row r="334">
          <cell r="D334" t="str">
            <v>M/S Anis Auto</v>
          </cell>
          <cell r="E334" t="str">
            <v>00685</v>
          </cell>
        </row>
        <row r="335">
          <cell r="D335" t="str">
            <v>M/S Farhan Auto (C)</v>
          </cell>
          <cell r="E335" t="str">
            <v>01298</v>
          </cell>
        </row>
        <row r="336">
          <cell r="D336" t="str">
            <v>M/S Farhan Auto (C)</v>
          </cell>
          <cell r="E336" t="str">
            <v>01298</v>
          </cell>
        </row>
        <row r="337">
          <cell r="D337" t="str">
            <v>M/S Supreme Auto (C)</v>
          </cell>
          <cell r="E337" t="str">
            <v>01300</v>
          </cell>
        </row>
        <row r="338">
          <cell r="D338" t="str">
            <v>M/S Bhai Bhai Traders-Kendua</v>
          </cell>
          <cell r="E338" t="str">
            <v>00165</v>
          </cell>
        </row>
        <row r="339">
          <cell r="D339" t="str">
            <v>M/S Tamim Tyre &amp; Battery Shop</v>
          </cell>
          <cell r="E339" t="str">
            <v>00116</v>
          </cell>
        </row>
        <row r="340">
          <cell r="D340" t="str">
            <v>M/S Adhunik Battery And IPS Bitan</v>
          </cell>
          <cell r="E340" t="str">
            <v>01359</v>
          </cell>
        </row>
        <row r="341">
          <cell r="D341" t="str">
            <v>M/S S.K. Enterprise (C)</v>
          </cell>
          <cell r="E341" t="str">
            <v>01326</v>
          </cell>
        </row>
        <row r="342">
          <cell r="D342" t="str">
            <v>M/S S.K. Enterprise (C)</v>
          </cell>
          <cell r="E342" t="str">
            <v>01326</v>
          </cell>
        </row>
        <row r="343">
          <cell r="D343" t="str">
            <v>M/S S.K. Enterprise (C)</v>
          </cell>
          <cell r="E343" t="str">
            <v>01326</v>
          </cell>
        </row>
        <row r="344">
          <cell r="D344" t="str">
            <v>M/S S.K. Enterprise (C)</v>
          </cell>
          <cell r="E344" t="str">
            <v>01326</v>
          </cell>
        </row>
        <row r="345">
          <cell r="D345" t="str">
            <v>M/S New Mintu Motors</v>
          </cell>
          <cell r="E345" t="str">
            <v>00588</v>
          </cell>
        </row>
        <row r="346">
          <cell r="D346" t="str">
            <v>M/S New Mintu Motors</v>
          </cell>
          <cell r="E346" t="str">
            <v>00588</v>
          </cell>
        </row>
        <row r="347">
          <cell r="D347" t="str">
            <v>M/S Bashkhali Enterprise</v>
          </cell>
          <cell r="E347" t="str">
            <v>00424</v>
          </cell>
        </row>
        <row r="348">
          <cell r="D348" t="str">
            <v>M/S S.K. Enterprise (C)</v>
          </cell>
          <cell r="E348" t="str">
            <v>01326</v>
          </cell>
        </row>
        <row r="349">
          <cell r="D349" t="str">
            <v>M/S S.K. Enterprise (C)</v>
          </cell>
          <cell r="E349" t="str">
            <v>01326</v>
          </cell>
        </row>
        <row r="350">
          <cell r="D350" t="str">
            <v>M/S Bonna Enterprise</v>
          </cell>
          <cell r="E350" t="str">
            <v>00617</v>
          </cell>
        </row>
        <row r="351">
          <cell r="D351" t="str">
            <v>Kalam Enterprise</v>
          </cell>
          <cell r="E351" t="str">
            <v>01341</v>
          </cell>
        </row>
        <row r="352">
          <cell r="D352" t="str">
            <v>Kalam Enterprise</v>
          </cell>
          <cell r="E352" t="str">
            <v>01341</v>
          </cell>
        </row>
        <row r="353">
          <cell r="D353" t="str">
            <v>M/S Al Madina Enterprise</v>
          </cell>
          <cell r="E353" t="str">
            <v>00814</v>
          </cell>
        </row>
        <row r="354">
          <cell r="D354" t="str">
            <v>M/S Sohan Motors</v>
          </cell>
          <cell r="E354" t="str">
            <v>01385</v>
          </cell>
        </row>
        <row r="355">
          <cell r="D355" t="str">
            <v>M/S New Mintu Motors</v>
          </cell>
          <cell r="E355" t="str">
            <v>00588</v>
          </cell>
        </row>
        <row r="356">
          <cell r="D356" t="str">
            <v>M/S Sohan Motors</v>
          </cell>
          <cell r="E356" t="str">
            <v>01385</v>
          </cell>
        </row>
        <row r="357">
          <cell r="D357" t="str">
            <v>M/S Shah Mojidia Motor Parts</v>
          </cell>
          <cell r="E357" t="str">
            <v>00842</v>
          </cell>
        </row>
        <row r="358">
          <cell r="D358" t="str">
            <v>M/S Tamim Tyre &amp; Battery Shop</v>
          </cell>
          <cell r="E358" t="str">
            <v>00116</v>
          </cell>
        </row>
        <row r="359">
          <cell r="D359" t="str">
            <v>M/S Tamim Tyre &amp; Battery Shop</v>
          </cell>
          <cell r="E359" t="str">
            <v>00116</v>
          </cell>
        </row>
        <row r="360">
          <cell r="D360" t="str">
            <v>M/S Monir Auto &amp; Battery House</v>
          </cell>
          <cell r="E360" t="str">
            <v>00001</v>
          </cell>
        </row>
        <row r="361">
          <cell r="D361" t="str">
            <v>M/S Tructor &amp; Salo</v>
          </cell>
          <cell r="E361" t="str">
            <v>00665</v>
          </cell>
        </row>
        <row r="362">
          <cell r="D362" t="str">
            <v>M/S Monir Auto &amp; Battery House</v>
          </cell>
          <cell r="E362" t="str">
            <v>00001</v>
          </cell>
        </row>
        <row r="363">
          <cell r="D363" t="str">
            <v>M/S New Mintu Motors</v>
          </cell>
          <cell r="E363" t="str">
            <v>00588</v>
          </cell>
        </row>
        <row r="364">
          <cell r="D364" t="str">
            <v>M/S Mayer Doya Auto Parts-Feni</v>
          </cell>
          <cell r="E364" t="str">
            <v>00373</v>
          </cell>
        </row>
        <row r="365">
          <cell r="D365" t="str">
            <v>M/S Gausia Mill Store</v>
          </cell>
          <cell r="E365" t="str">
            <v>00615</v>
          </cell>
        </row>
        <row r="366">
          <cell r="D366" t="str">
            <v>M/S Gausia Mill Store</v>
          </cell>
          <cell r="E366" t="str">
            <v>00615</v>
          </cell>
        </row>
        <row r="367">
          <cell r="D367" t="str">
            <v>M/S Rasel Bettary Service</v>
          </cell>
          <cell r="E367" t="str">
            <v>01380</v>
          </cell>
        </row>
        <row r="368">
          <cell r="D368" t="str">
            <v>M/S Rasel Bettary Service</v>
          </cell>
          <cell r="E368" t="str">
            <v>01380</v>
          </cell>
        </row>
        <row r="369">
          <cell r="D369" t="str">
            <v>M/S Hira Motors</v>
          </cell>
          <cell r="E369" t="str">
            <v>01100</v>
          </cell>
        </row>
        <row r="370">
          <cell r="D370" t="str">
            <v>M/S New Mintu Motors</v>
          </cell>
          <cell r="E370" t="str">
            <v>00588</v>
          </cell>
        </row>
        <row r="371">
          <cell r="D371" t="str">
            <v>M/S Anas Battery &amp; Auto House</v>
          </cell>
          <cell r="E371" t="str">
            <v>01401</v>
          </cell>
        </row>
        <row r="372">
          <cell r="D372" t="str">
            <v>M/S Lalmai Machineries &amp; Parts</v>
          </cell>
          <cell r="E372" t="str">
            <v>00329</v>
          </cell>
        </row>
        <row r="373">
          <cell r="D373" t="str">
            <v>M/S Hazi Automobiles &amp; Service Centre</v>
          </cell>
          <cell r="E373" t="str">
            <v>00315</v>
          </cell>
        </row>
        <row r="374">
          <cell r="D374" t="str">
            <v>M/S Tructor &amp; Salo</v>
          </cell>
          <cell r="E374" t="str">
            <v>00665</v>
          </cell>
        </row>
        <row r="375">
          <cell r="D375" t="str">
            <v>M/S S.S. Enterprise-Norshingdi (C)</v>
          </cell>
          <cell r="E375" t="str">
            <v>01331</v>
          </cell>
        </row>
        <row r="376">
          <cell r="D376" t="str">
            <v>M/S S.S. Enterprise-Norshingdi (C)</v>
          </cell>
          <cell r="E376" t="str">
            <v>01331</v>
          </cell>
        </row>
        <row r="377">
          <cell r="D377" t="str">
            <v>M/S Sajib Enterprise (C)</v>
          </cell>
          <cell r="E377" t="str">
            <v>01353</v>
          </cell>
        </row>
        <row r="378">
          <cell r="D378" t="str">
            <v>M/S Tructor &amp; Salo</v>
          </cell>
          <cell r="E378" t="str">
            <v>00665</v>
          </cell>
        </row>
        <row r="379">
          <cell r="D379" t="str">
            <v>M/S Shopon Battery House (C)</v>
          </cell>
          <cell r="E379" t="str">
            <v>01320</v>
          </cell>
        </row>
        <row r="380">
          <cell r="D380" t="str">
            <v>M/S Shopon Battery House (C)</v>
          </cell>
          <cell r="E380" t="str">
            <v>01320</v>
          </cell>
        </row>
        <row r="381">
          <cell r="D381" t="str">
            <v>M/S Tructor &amp; Salo</v>
          </cell>
          <cell r="E381" t="str">
            <v>00665</v>
          </cell>
        </row>
        <row r="382">
          <cell r="D382" t="str">
            <v>M/S Molla Battery House (C)</v>
          </cell>
          <cell r="E382" t="str">
            <v>01428</v>
          </cell>
        </row>
        <row r="383">
          <cell r="D383" t="str">
            <v>M/S Tructor &amp; Salo</v>
          </cell>
          <cell r="E383" t="str">
            <v>00665</v>
          </cell>
        </row>
        <row r="384">
          <cell r="D384" t="str">
            <v>M/S Molla Battery House (C)</v>
          </cell>
          <cell r="E384" t="str">
            <v>01428</v>
          </cell>
        </row>
        <row r="385">
          <cell r="D385" t="str">
            <v>M/S Islam Parts Store (C)</v>
          </cell>
          <cell r="E385" t="str">
            <v>01439</v>
          </cell>
        </row>
        <row r="386">
          <cell r="D386" t="str">
            <v>M/S Islam Parts Store (C)</v>
          </cell>
          <cell r="E386" t="str">
            <v>01439</v>
          </cell>
        </row>
        <row r="387">
          <cell r="D387" t="str">
            <v>M/S Tructor &amp; Salo</v>
          </cell>
          <cell r="E387" t="str">
            <v>00665</v>
          </cell>
        </row>
        <row r="388">
          <cell r="D388" t="str">
            <v>M/S Kazi Enterpeise</v>
          </cell>
          <cell r="E388" t="str">
            <v>00428</v>
          </cell>
        </row>
        <row r="389">
          <cell r="D389" t="str">
            <v>M/S Farhan Battery &amp; Auto Parts</v>
          </cell>
          <cell r="E389" t="str">
            <v>01470</v>
          </cell>
        </row>
        <row r="390">
          <cell r="D390" t="str">
            <v>M/S Gawsia Enterprise</v>
          </cell>
          <cell r="E390" t="str">
            <v>00348</v>
          </cell>
        </row>
        <row r="391">
          <cell r="D391" t="str">
            <v>M/S Nobodhara Corporation</v>
          </cell>
          <cell r="E391" t="str">
            <v>01352</v>
          </cell>
        </row>
        <row r="392">
          <cell r="D392" t="str">
            <v>M/S Rafiq Vi Battery &amp; Auto</v>
          </cell>
          <cell r="E392" t="str">
            <v>01405</v>
          </cell>
        </row>
        <row r="393">
          <cell r="D393" t="str">
            <v>M/S New Mintu Motors</v>
          </cell>
          <cell r="E393" t="str">
            <v>00588</v>
          </cell>
        </row>
        <row r="394">
          <cell r="D394" t="str">
            <v>M/S Ripon Tyre and Battery</v>
          </cell>
          <cell r="E394" t="str">
            <v>00002</v>
          </cell>
        </row>
        <row r="395">
          <cell r="D395" t="str">
            <v>M/S Comilla Traders</v>
          </cell>
          <cell r="E395" t="str">
            <v>00334</v>
          </cell>
        </row>
        <row r="396">
          <cell r="D396" t="str">
            <v>M/S Comilla Traders</v>
          </cell>
          <cell r="E396" t="str">
            <v>00334</v>
          </cell>
        </row>
        <row r="397">
          <cell r="D397" t="str">
            <v>M/S Comilla Traders</v>
          </cell>
          <cell r="E397" t="str">
            <v>00334</v>
          </cell>
        </row>
        <row r="398">
          <cell r="D398" t="str">
            <v>M/S Macca Tyre And battery House</v>
          </cell>
          <cell r="E398" t="str">
            <v>00439</v>
          </cell>
        </row>
        <row r="399">
          <cell r="D399" t="str">
            <v>M/S Setu Cycle Mart</v>
          </cell>
          <cell r="E399" t="str">
            <v>00471</v>
          </cell>
        </row>
        <row r="400">
          <cell r="D400" t="str">
            <v>M/S Setu Cycle Mart</v>
          </cell>
          <cell r="E400" t="str">
            <v>00471</v>
          </cell>
        </row>
        <row r="401">
          <cell r="D401" t="str">
            <v>M/S Setu Cycle Mart</v>
          </cell>
          <cell r="E401" t="str">
            <v>00471</v>
          </cell>
        </row>
        <row r="402">
          <cell r="D402" t="str">
            <v>M/S S.K. Enterprise-Rangpur</v>
          </cell>
          <cell r="E402" t="str">
            <v>01462</v>
          </cell>
        </row>
        <row r="403">
          <cell r="D403" t="str">
            <v>M/S Kalam Store</v>
          </cell>
          <cell r="E403" t="str">
            <v>01436</v>
          </cell>
        </row>
        <row r="404">
          <cell r="D404" t="str">
            <v>M/S S S Trading</v>
          </cell>
          <cell r="E404" t="str">
            <v>00846</v>
          </cell>
        </row>
        <row r="405">
          <cell r="D405" t="str">
            <v>M/S Atik Auto</v>
          </cell>
          <cell r="E405" t="str">
            <v>00562</v>
          </cell>
        </row>
        <row r="406">
          <cell r="D406" t="str">
            <v>M/S Rakin Auto Parts</v>
          </cell>
          <cell r="E406" t="str">
            <v>00561</v>
          </cell>
        </row>
        <row r="407">
          <cell r="D407" t="str">
            <v>M/S Jhenaidah Bike Center</v>
          </cell>
          <cell r="E407" t="str">
            <v>01358</v>
          </cell>
        </row>
        <row r="408">
          <cell r="D408" t="str">
            <v>M/S New Al-Amin Battery House</v>
          </cell>
          <cell r="E408" t="str">
            <v>00270</v>
          </cell>
        </row>
        <row r="409">
          <cell r="D409" t="str">
            <v>M/S Al - Mokka Enterprise</v>
          </cell>
          <cell r="E409" t="str">
            <v>01112</v>
          </cell>
        </row>
        <row r="410">
          <cell r="D410" t="str">
            <v>M/S Al - Mokka Enterprise</v>
          </cell>
          <cell r="E410" t="str">
            <v>01112</v>
          </cell>
        </row>
        <row r="411">
          <cell r="D411" t="str">
            <v>M/S Gazipur Battery House</v>
          </cell>
          <cell r="E411" t="str">
            <v>00826</v>
          </cell>
        </row>
        <row r="412">
          <cell r="D412" t="str">
            <v>M/S Arafat Enterprise</v>
          </cell>
          <cell r="E412" t="str">
            <v>00094</v>
          </cell>
        </row>
        <row r="413">
          <cell r="D413" t="str">
            <v>M/S Ma Tyre &amp; Battery  Shop</v>
          </cell>
          <cell r="E413" t="str">
            <v>00088</v>
          </cell>
        </row>
        <row r="414">
          <cell r="D414" t="str">
            <v>M/S Ripon Tyre and Battery</v>
          </cell>
          <cell r="E414" t="str">
            <v>00002</v>
          </cell>
        </row>
        <row r="415">
          <cell r="D415" t="str">
            <v>M/S Ripon Tyre and Battery</v>
          </cell>
          <cell r="E415" t="str">
            <v>00002</v>
          </cell>
        </row>
        <row r="416">
          <cell r="D416" t="str">
            <v>M/S Ripon Tyre and Battery</v>
          </cell>
          <cell r="E416" t="str">
            <v>00002</v>
          </cell>
        </row>
        <row r="417">
          <cell r="D417" t="str">
            <v>M/S Ripon Tyre and Battery</v>
          </cell>
          <cell r="E417" t="str">
            <v>00002</v>
          </cell>
        </row>
        <row r="418">
          <cell r="D418" t="str">
            <v>M/S Ananna Battery &amp; Tyre</v>
          </cell>
          <cell r="E418" t="str">
            <v>01088</v>
          </cell>
        </row>
        <row r="419">
          <cell r="D419" t="str">
            <v>M/S Ananna Battery &amp; Tyre</v>
          </cell>
          <cell r="E419" t="str">
            <v>01088</v>
          </cell>
        </row>
        <row r="420">
          <cell r="D420" t="str">
            <v>M/S Adnan Tyre and Battery House</v>
          </cell>
          <cell r="E420" t="str">
            <v>01371</v>
          </cell>
        </row>
        <row r="421">
          <cell r="D421" t="str">
            <v>M/S Adnan Tyre and Battery House</v>
          </cell>
          <cell r="E421" t="str">
            <v>01371</v>
          </cell>
        </row>
        <row r="422">
          <cell r="D422" t="str">
            <v>M/S Rashed Enterprise</v>
          </cell>
          <cell r="E422" t="str">
            <v>00030</v>
          </cell>
        </row>
        <row r="423">
          <cell r="D423" t="str">
            <v>M/S Rashed Enterprise</v>
          </cell>
          <cell r="E423" t="str">
            <v>00030</v>
          </cell>
        </row>
        <row r="424">
          <cell r="D424" t="str">
            <v>M/S Khokon IPS &amp; Battery Center</v>
          </cell>
          <cell r="E424" t="str">
            <v>00330</v>
          </cell>
        </row>
        <row r="425">
          <cell r="D425" t="str">
            <v>M/S Khokon IPS &amp; Battery Center</v>
          </cell>
          <cell r="E425" t="str">
            <v>00330</v>
          </cell>
        </row>
        <row r="426">
          <cell r="D426" t="str">
            <v>M/S Lalmai Machineries &amp; Parts</v>
          </cell>
          <cell r="E426" t="str">
            <v>00329</v>
          </cell>
        </row>
        <row r="427">
          <cell r="D427" t="str">
            <v>M/S Anas Battery &amp; Auto House</v>
          </cell>
          <cell r="E427" t="str">
            <v>01401</v>
          </cell>
        </row>
        <row r="428">
          <cell r="D428" t="str">
            <v>M/S Anas Battery &amp; Auto House</v>
          </cell>
          <cell r="E428" t="str">
            <v>01401</v>
          </cell>
        </row>
        <row r="429">
          <cell r="D429" t="str">
            <v>M/S Mayer Doya Auto Parts-Laksam</v>
          </cell>
          <cell r="E429" t="str">
            <v>00325</v>
          </cell>
        </row>
        <row r="430">
          <cell r="D430" t="str">
            <v>M/S Mayer Doya Auto Parts-Laksam</v>
          </cell>
          <cell r="E430" t="str">
            <v>00325</v>
          </cell>
        </row>
        <row r="431">
          <cell r="D431" t="str">
            <v>M/S Laksam Battery House</v>
          </cell>
          <cell r="E431" t="str">
            <v>00336</v>
          </cell>
        </row>
        <row r="432">
          <cell r="D432" t="str">
            <v>M/S A.P.L. Auto House</v>
          </cell>
          <cell r="E432" t="str">
            <v>00328</v>
          </cell>
        </row>
        <row r="433">
          <cell r="D433" t="str">
            <v>M/S A.P.L. Auto House</v>
          </cell>
          <cell r="E433" t="str">
            <v>00328</v>
          </cell>
        </row>
        <row r="434">
          <cell r="D434" t="str">
            <v>M/S S.S. Enterprise-Norshingdi (C)</v>
          </cell>
          <cell r="E434" t="str">
            <v>01331</v>
          </cell>
        </row>
        <row r="435">
          <cell r="D435" t="str">
            <v>M/S S.S. Enterprise-Norshingdi (C)</v>
          </cell>
          <cell r="E435" t="str">
            <v>01331</v>
          </cell>
        </row>
        <row r="436">
          <cell r="D436" t="str">
            <v>M/S Sajib Enterprise (C)</v>
          </cell>
          <cell r="E436" t="str">
            <v>01353</v>
          </cell>
        </row>
        <row r="437">
          <cell r="D437" t="str">
            <v>M/S Sajib Enterprise (C)</v>
          </cell>
          <cell r="E437" t="str">
            <v>01353</v>
          </cell>
        </row>
        <row r="438">
          <cell r="D438" t="str">
            <v>M/S Ekata Motors</v>
          </cell>
          <cell r="E438" t="str">
            <v>00419</v>
          </cell>
        </row>
        <row r="439">
          <cell r="D439" t="str">
            <v>M/S Kalam Auto Motor Parts And Battery House</v>
          </cell>
          <cell r="E439" t="str">
            <v>00420</v>
          </cell>
        </row>
        <row r="440">
          <cell r="D440" t="str">
            <v>M/S Anik Motors &amp; Battery (C)</v>
          </cell>
          <cell r="E440" t="str">
            <v>01444</v>
          </cell>
        </row>
        <row r="441">
          <cell r="D441" t="str">
            <v>M/S S.K. Enterprise (C)</v>
          </cell>
          <cell r="E441" t="str">
            <v>01326</v>
          </cell>
        </row>
        <row r="442">
          <cell r="D442" t="str">
            <v>M/S S.K. Enterprise (C)</v>
          </cell>
          <cell r="E442" t="str">
            <v>01326</v>
          </cell>
        </row>
        <row r="443">
          <cell r="D443" t="str">
            <v>M/S S.K. Enterprise (C)</v>
          </cell>
          <cell r="E443" t="str">
            <v>01326</v>
          </cell>
        </row>
        <row r="444">
          <cell r="D444" t="str">
            <v>M/S S.K. Enterprise (C)</v>
          </cell>
          <cell r="E444" t="str">
            <v>01326</v>
          </cell>
        </row>
        <row r="445">
          <cell r="D445" t="str">
            <v>M/S S.K. Enterprise (C)</v>
          </cell>
          <cell r="E445" t="str">
            <v>01326</v>
          </cell>
        </row>
        <row r="446">
          <cell r="D446" t="str">
            <v>M/S Bashkhali Enterprise</v>
          </cell>
          <cell r="E446" t="str">
            <v>00424</v>
          </cell>
        </row>
        <row r="447">
          <cell r="D447" t="str">
            <v>M/S S.K. Enterprise (C)</v>
          </cell>
          <cell r="E447" t="str">
            <v>01326</v>
          </cell>
        </row>
        <row r="448">
          <cell r="D448" t="str">
            <v>M/S S.K. Enterprise (C)</v>
          </cell>
          <cell r="E448" t="str">
            <v>01326</v>
          </cell>
        </row>
        <row r="449">
          <cell r="D449" t="str">
            <v>M/S Banskhali Enterprise-Joldi (C)</v>
          </cell>
          <cell r="E449" t="str">
            <v>01312</v>
          </cell>
        </row>
        <row r="450">
          <cell r="D450" t="str">
            <v>M/S L D Poribahan &amp; Trading (C)</v>
          </cell>
          <cell r="E450" t="str">
            <v>01299</v>
          </cell>
        </row>
        <row r="451">
          <cell r="D451" t="str">
            <v>M/S L D Poribahan &amp; Trading (C)</v>
          </cell>
          <cell r="E451" t="str">
            <v>01299</v>
          </cell>
        </row>
        <row r="452">
          <cell r="D452" t="str">
            <v>M/S Supreme Auto (C)</v>
          </cell>
          <cell r="E452" t="str">
            <v>01300</v>
          </cell>
        </row>
        <row r="453">
          <cell r="D453" t="str">
            <v>M/S Farhan Auto (C)</v>
          </cell>
          <cell r="E453" t="str">
            <v>01298</v>
          </cell>
        </row>
        <row r="454">
          <cell r="D454" t="str">
            <v>M/S Farhan Auto (C)</v>
          </cell>
          <cell r="E454" t="str">
            <v>01298</v>
          </cell>
        </row>
        <row r="455">
          <cell r="D455" t="str">
            <v>M/S Eva Grill Workshop &amp; Hardware</v>
          </cell>
          <cell r="E455" t="str">
            <v>01440</v>
          </cell>
        </row>
        <row r="456">
          <cell r="D456" t="str">
            <v>M/S Sohan Motors</v>
          </cell>
          <cell r="E456" t="str">
            <v>01385</v>
          </cell>
        </row>
        <row r="457">
          <cell r="D457" t="str">
            <v>M/S Sohan Motors</v>
          </cell>
          <cell r="E457" t="str">
            <v>01385</v>
          </cell>
        </row>
        <row r="458">
          <cell r="D458" t="str">
            <v>M/S Bismillah Motors-Hinla</v>
          </cell>
          <cell r="E458" t="str">
            <v>01448</v>
          </cell>
        </row>
        <row r="459">
          <cell r="D459" t="str">
            <v>M/S Hira Motors-Chokoria</v>
          </cell>
          <cell r="E459" t="str">
            <v>01441</v>
          </cell>
        </row>
        <row r="460">
          <cell r="D460" t="str">
            <v>M/S Hira Motors-Chokoria</v>
          </cell>
          <cell r="E460" t="str">
            <v>01441</v>
          </cell>
        </row>
        <row r="461">
          <cell r="D461" t="str">
            <v>M/S Shah Mojidia Motor Parts</v>
          </cell>
          <cell r="E461" t="str">
            <v>00842</v>
          </cell>
        </row>
        <row r="462">
          <cell r="D462" t="str">
            <v>M/S City Auto</v>
          </cell>
          <cell r="E462" t="str">
            <v>00398</v>
          </cell>
        </row>
        <row r="463">
          <cell r="D463" t="str">
            <v>M/S City Auto</v>
          </cell>
          <cell r="E463" t="str">
            <v>00398</v>
          </cell>
        </row>
        <row r="464">
          <cell r="D464" t="str">
            <v>M/S S.M. Enterprise- Sunamgonj</v>
          </cell>
          <cell r="E464" t="str">
            <v>00390</v>
          </cell>
        </row>
        <row r="465">
          <cell r="D465" t="str">
            <v>M/S Shahjalal Traders</v>
          </cell>
          <cell r="E465" t="str">
            <v>01362</v>
          </cell>
        </row>
        <row r="466">
          <cell r="D466" t="str">
            <v>M/S Shahjalal Traders</v>
          </cell>
          <cell r="E466" t="str">
            <v>01362</v>
          </cell>
        </row>
        <row r="467">
          <cell r="D467" t="str">
            <v>M/S Al - Rafi Traders</v>
          </cell>
          <cell r="E467" t="str">
            <v>00816</v>
          </cell>
        </row>
        <row r="468">
          <cell r="D468" t="str">
            <v>M/S Doyal Battery</v>
          </cell>
          <cell r="E468" t="str">
            <v>00337</v>
          </cell>
        </row>
        <row r="469">
          <cell r="D469" t="str">
            <v>M/S Doyal Battery</v>
          </cell>
          <cell r="E469" t="str">
            <v>00337</v>
          </cell>
        </row>
        <row r="470">
          <cell r="D470" t="str">
            <v>M/S Monir Auto &amp; Battery House</v>
          </cell>
          <cell r="E470" t="str">
            <v>00001</v>
          </cell>
        </row>
        <row r="471">
          <cell r="D471" t="str">
            <v>M/S Talukder Motors (C)</v>
          </cell>
          <cell r="E471" t="str">
            <v>01471</v>
          </cell>
        </row>
        <row r="472">
          <cell r="D472" t="str">
            <v>M/S Jogotbondhu Battery &amp; Eng. Workshop</v>
          </cell>
          <cell r="E472" t="str">
            <v>00143</v>
          </cell>
        </row>
        <row r="473">
          <cell r="D473" t="str">
            <v>M/S Ira Motors</v>
          </cell>
          <cell r="E473" t="str">
            <v>00133</v>
          </cell>
        </row>
        <row r="474">
          <cell r="D474" t="str">
            <v>M/S Ira Motors</v>
          </cell>
          <cell r="E474" t="str">
            <v>00133</v>
          </cell>
        </row>
        <row r="475">
          <cell r="D475" t="str">
            <v>M/S Ira Motors</v>
          </cell>
          <cell r="E475" t="str">
            <v>00133</v>
          </cell>
        </row>
        <row r="476">
          <cell r="D476" t="str">
            <v>M/S Shopon Battery House (C)</v>
          </cell>
          <cell r="E476" t="str">
            <v>01320</v>
          </cell>
        </row>
        <row r="477">
          <cell r="D477" t="str">
            <v>M/S Shopon Battery House (C)</v>
          </cell>
          <cell r="E477" t="str">
            <v>01320</v>
          </cell>
        </row>
        <row r="478">
          <cell r="D478" t="str">
            <v>M/S Molla Battery House (C)</v>
          </cell>
          <cell r="E478" t="str">
            <v>01428</v>
          </cell>
        </row>
        <row r="479">
          <cell r="D479" t="str">
            <v>M/S Molla Battery House (C)</v>
          </cell>
          <cell r="E479" t="str">
            <v>01428</v>
          </cell>
        </row>
        <row r="480">
          <cell r="D480" t="str">
            <v>M/S AL Amin Parts Store (C)</v>
          </cell>
          <cell r="E480" t="str">
            <v>01354</v>
          </cell>
        </row>
        <row r="481">
          <cell r="D481" t="str">
            <v>M/S Souro Power Electric</v>
          </cell>
          <cell r="E481" t="str">
            <v>01285</v>
          </cell>
        </row>
        <row r="482">
          <cell r="D482" t="str">
            <v>M/S Adib Alifa Auto &amp; Battery House (C)</v>
          </cell>
          <cell r="E482" t="str">
            <v>01454</v>
          </cell>
        </row>
        <row r="483">
          <cell r="D483" t="str">
            <v>M/S Bhai Bhai Battery And Motors (C)</v>
          </cell>
          <cell r="E483" t="str">
            <v>01496</v>
          </cell>
        </row>
        <row r="484">
          <cell r="D484" t="str">
            <v>M/S S.K. Enterprise-Rangpur</v>
          </cell>
          <cell r="E484" t="str">
            <v>01462</v>
          </cell>
        </row>
        <row r="485">
          <cell r="D485" t="str">
            <v>M/S Bogura Auto Center (C)</v>
          </cell>
          <cell r="E485" t="str">
            <v>01468</v>
          </cell>
        </row>
        <row r="486">
          <cell r="D486" t="str">
            <v>M/S Bogura Auto Center (C)</v>
          </cell>
          <cell r="E486" t="str">
            <v>01468</v>
          </cell>
        </row>
        <row r="487">
          <cell r="D487" t="str">
            <v>M/S S.S. Enterprise-Norshingdi</v>
          </cell>
          <cell r="E487" t="str">
            <v>01118</v>
          </cell>
        </row>
        <row r="488">
          <cell r="D488" t="str">
            <v>M/S Sangu Battery House</v>
          </cell>
          <cell r="E488" t="str">
            <v>00988</v>
          </cell>
        </row>
        <row r="489">
          <cell r="D489" t="str">
            <v>M/S Sangu Battery House</v>
          </cell>
          <cell r="E489" t="str">
            <v>00988</v>
          </cell>
        </row>
        <row r="490">
          <cell r="D490" t="str">
            <v>M/S Setu Cycle Mart</v>
          </cell>
          <cell r="E490" t="str">
            <v>00471</v>
          </cell>
        </row>
        <row r="491">
          <cell r="D491" t="str">
            <v>M/S Setu Cycle Mart</v>
          </cell>
          <cell r="E491" t="str">
            <v>00471</v>
          </cell>
        </row>
        <row r="492">
          <cell r="D492" t="str">
            <v>M/S Setu Cycle Mart</v>
          </cell>
          <cell r="E492" t="str">
            <v>00471</v>
          </cell>
        </row>
        <row r="493">
          <cell r="D493" t="str">
            <v>M/S Fateha Battery</v>
          </cell>
          <cell r="E493" t="str">
            <v>00388</v>
          </cell>
        </row>
        <row r="494">
          <cell r="D494" t="str">
            <v>M/S Snigdha Battery</v>
          </cell>
          <cell r="E494" t="str">
            <v>00134</v>
          </cell>
        </row>
        <row r="495">
          <cell r="D495" t="str">
            <v>M/S Atik Auto</v>
          </cell>
          <cell r="E495" t="str">
            <v>00562</v>
          </cell>
        </row>
        <row r="496">
          <cell r="D496" t="str">
            <v>M/S Rakin Auto Parts</v>
          </cell>
          <cell r="E496" t="str">
            <v>00561</v>
          </cell>
        </row>
        <row r="497">
          <cell r="D497" t="str">
            <v>M/S Rakin Auto Parts</v>
          </cell>
          <cell r="E497" t="str">
            <v>00561</v>
          </cell>
        </row>
        <row r="498">
          <cell r="D498" t="str">
            <v>M/S S.K. Motors - Kushtia</v>
          </cell>
          <cell r="E498" t="str">
            <v>01057</v>
          </cell>
        </row>
        <row r="499">
          <cell r="D499" t="str">
            <v>M/S Anamika Auto Rickshow</v>
          </cell>
          <cell r="E499" t="str">
            <v>00496</v>
          </cell>
        </row>
        <row r="500">
          <cell r="D500" t="str">
            <v>M/S Anamika Auto Rickshow</v>
          </cell>
          <cell r="E500" t="str">
            <v>00496</v>
          </cell>
        </row>
        <row r="501">
          <cell r="D501" t="str">
            <v>M/S Anamika Auto Rickshow</v>
          </cell>
          <cell r="E501" t="str">
            <v>00496</v>
          </cell>
        </row>
        <row r="502">
          <cell r="D502" t="str">
            <v>M/S New Al-Amin Battery House</v>
          </cell>
          <cell r="E502" t="str">
            <v>00270</v>
          </cell>
        </row>
        <row r="503">
          <cell r="D503" t="str">
            <v>M/S Ananna Battery &amp; Tyre</v>
          </cell>
          <cell r="E503" t="str">
            <v>01088</v>
          </cell>
        </row>
        <row r="504">
          <cell r="D504" t="str">
            <v>M/S Ananna Battery &amp; Tyre</v>
          </cell>
          <cell r="E504" t="str">
            <v>01088</v>
          </cell>
        </row>
        <row r="505">
          <cell r="D505" t="str">
            <v>M/S Anas Enterprise</v>
          </cell>
          <cell r="E505" t="str">
            <v>00817</v>
          </cell>
        </row>
        <row r="506">
          <cell r="D506" t="str">
            <v>M/S Ripon Tyre and Battery</v>
          </cell>
          <cell r="E506" t="str">
            <v>00002</v>
          </cell>
        </row>
        <row r="507">
          <cell r="D507" t="str">
            <v>M/S Al - Mokka Enterprise</v>
          </cell>
          <cell r="E507" t="str">
            <v>01112</v>
          </cell>
        </row>
        <row r="508">
          <cell r="D508" t="str">
            <v>M/S Ma Tyre &amp; Battery  Shop</v>
          </cell>
          <cell r="E508" t="str">
            <v>00088</v>
          </cell>
        </row>
        <row r="509">
          <cell r="D509" t="str">
            <v>M/S Monir Auto &amp; Battery House</v>
          </cell>
          <cell r="E509" t="str">
            <v>00001</v>
          </cell>
        </row>
        <row r="510">
          <cell r="D510" t="str">
            <v>M/S Monir Auto &amp; Battery House</v>
          </cell>
          <cell r="E510" t="str">
            <v>00001</v>
          </cell>
        </row>
        <row r="511">
          <cell r="D511" t="str">
            <v>M/S Macca Tyre And battery House</v>
          </cell>
          <cell r="E511" t="str">
            <v>00439</v>
          </cell>
        </row>
        <row r="512">
          <cell r="D512" t="str">
            <v>M/S Mayer Doya Auto Parts-Laksam</v>
          </cell>
          <cell r="E512" t="str">
            <v>00325</v>
          </cell>
        </row>
        <row r="513">
          <cell r="D513" t="str">
            <v>M/S Mayer Doya Auto Parts-Laksam</v>
          </cell>
          <cell r="E513" t="str">
            <v>00325</v>
          </cell>
        </row>
        <row r="514">
          <cell r="D514" t="str">
            <v>M/S S.S. Enterprise-Norshingdi</v>
          </cell>
          <cell r="E514" t="str">
            <v>01118</v>
          </cell>
        </row>
        <row r="515">
          <cell r="D515" t="str">
            <v>M/S S.S. Enterprise-Norshingdi</v>
          </cell>
          <cell r="E515" t="str">
            <v>01118</v>
          </cell>
        </row>
        <row r="516">
          <cell r="D516" t="str">
            <v>M/S S.S. Enterprise-Norshingdi</v>
          </cell>
          <cell r="E516" t="str">
            <v>01118</v>
          </cell>
        </row>
        <row r="517">
          <cell r="D517" t="str">
            <v>M/S Khokon IPS &amp; Battery Center (C)</v>
          </cell>
          <cell r="E517" t="str">
            <v>01306</v>
          </cell>
        </row>
        <row r="518">
          <cell r="D518" t="str">
            <v>M/S Khokon IPS &amp; Battery Center (C)</v>
          </cell>
          <cell r="E518" t="str">
            <v>01306</v>
          </cell>
        </row>
        <row r="519">
          <cell r="D519" t="str">
            <v>M/S Shah Mojidia Motor Parts</v>
          </cell>
          <cell r="E519" t="str">
            <v>00842</v>
          </cell>
        </row>
        <row r="520">
          <cell r="D520" t="str">
            <v>M/S Shah Mojidia Motor Parts</v>
          </cell>
          <cell r="E520" t="str">
            <v>00842</v>
          </cell>
        </row>
        <row r="521">
          <cell r="D521" t="str">
            <v>M/S Comilla Traders</v>
          </cell>
          <cell r="E521" t="str">
            <v>00334</v>
          </cell>
        </row>
        <row r="522">
          <cell r="D522" t="str">
            <v>M/S Comilla Traders</v>
          </cell>
          <cell r="E522" t="str">
            <v>00334</v>
          </cell>
        </row>
        <row r="523">
          <cell r="D523" t="str">
            <v>M/S Shekh Enterprise - Khulna</v>
          </cell>
          <cell r="E523" t="str">
            <v>01435</v>
          </cell>
        </row>
        <row r="524">
          <cell r="D524" t="str">
            <v>M/S Housing Auto Bike</v>
          </cell>
          <cell r="E524" t="str">
            <v>00598</v>
          </cell>
        </row>
        <row r="525">
          <cell r="D525" t="str">
            <v>M/S Rafiq Vi Battery &amp; Auto</v>
          </cell>
          <cell r="E525" t="str">
            <v>01405</v>
          </cell>
        </row>
        <row r="526">
          <cell r="D526" t="str">
            <v>M/S R.B.M. Auto Center</v>
          </cell>
          <cell r="E526" t="str">
            <v>01263</v>
          </cell>
        </row>
        <row r="527">
          <cell r="D527" t="str">
            <v>M/S Mayer Doya Auto Parts-Laksam</v>
          </cell>
          <cell r="E527" t="str">
            <v>00325</v>
          </cell>
        </row>
        <row r="528">
          <cell r="D528" t="str">
            <v>M/S Mayer Doya Auto Parts-Laksam</v>
          </cell>
          <cell r="E528" t="str">
            <v>00325</v>
          </cell>
        </row>
        <row r="529">
          <cell r="D529" t="str">
            <v>M/S Mayer Doya Auto Parts-Laksam</v>
          </cell>
          <cell r="E529" t="str">
            <v>00325</v>
          </cell>
        </row>
        <row r="530">
          <cell r="D530" t="str">
            <v>M/S Arafat Enterprise</v>
          </cell>
          <cell r="E530" t="str">
            <v>00094</v>
          </cell>
        </row>
        <row r="531">
          <cell r="D531" t="str">
            <v>M/S Arafat Enterprise</v>
          </cell>
          <cell r="E531" t="str">
            <v>00094</v>
          </cell>
        </row>
        <row r="532">
          <cell r="D532" t="str">
            <v>M/S Al - Mokka Enterprise</v>
          </cell>
          <cell r="E532" t="str">
            <v>01112</v>
          </cell>
        </row>
        <row r="533">
          <cell r="D533" t="str">
            <v>M/S Al - Mokka Enterprise</v>
          </cell>
          <cell r="E533" t="str">
            <v>01112</v>
          </cell>
        </row>
        <row r="534">
          <cell r="D534" t="str">
            <v>M/S Anas Enterprise</v>
          </cell>
          <cell r="E534" t="str">
            <v>00817</v>
          </cell>
        </row>
        <row r="535">
          <cell r="D535" t="str">
            <v>M/S Anas Enterprise</v>
          </cell>
          <cell r="E535" t="str">
            <v>00817</v>
          </cell>
        </row>
        <row r="536">
          <cell r="D536" t="str">
            <v>M/S Laksam Battery House</v>
          </cell>
          <cell r="E536" t="str">
            <v>00336</v>
          </cell>
        </row>
        <row r="537">
          <cell r="D537" t="str">
            <v>M/S Laksam Battery House</v>
          </cell>
          <cell r="E537" t="str">
            <v>00336</v>
          </cell>
        </row>
        <row r="538">
          <cell r="D538" t="str">
            <v>M/S Rafiq Vi Battery &amp; Auto</v>
          </cell>
          <cell r="E538" t="str">
            <v>01405</v>
          </cell>
        </row>
        <row r="539">
          <cell r="D539" t="str">
            <v>M/S Rafiq Vi Battery &amp; Auto</v>
          </cell>
          <cell r="E539" t="str">
            <v>01405</v>
          </cell>
        </row>
        <row r="540">
          <cell r="D540" t="str">
            <v>M/S Nazrul Battery and Mobil House</v>
          </cell>
          <cell r="E540" t="str">
            <v>00832</v>
          </cell>
        </row>
        <row r="541">
          <cell r="D541" t="str">
            <v>M/S Kalam Auto Motor Parts And Battery House</v>
          </cell>
          <cell r="E541" t="str">
            <v>00420</v>
          </cell>
        </row>
        <row r="542">
          <cell r="D542" t="str">
            <v>M/S Kalam Auto Motor Parts And Battery House</v>
          </cell>
          <cell r="E542" t="str">
            <v>00420</v>
          </cell>
        </row>
        <row r="543">
          <cell r="D543" t="str">
            <v>M/S Al - Mokka Enterprise</v>
          </cell>
          <cell r="E543" t="str">
            <v>01112</v>
          </cell>
        </row>
        <row r="544">
          <cell r="D544" t="str">
            <v>M/S Al - Mokka Enterprise</v>
          </cell>
          <cell r="E544" t="str">
            <v>01112</v>
          </cell>
        </row>
        <row r="545">
          <cell r="D545" t="str">
            <v>M/S Arafat Enterprise</v>
          </cell>
          <cell r="E545" t="str">
            <v>00094</v>
          </cell>
        </row>
        <row r="546">
          <cell r="D546" t="str">
            <v>M/S Arafat Enterprise</v>
          </cell>
          <cell r="E546" t="str">
            <v>00094</v>
          </cell>
        </row>
        <row r="547">
          <cell r="D547" t="str">
            <v>M/S Shoshi Enterprise</v>
          </cell>
          <cell r="E547" t="str">
            <v>01153</v>
          </cell>
        </row>
        <row r="548">
          <cell r="D548" t="str">
            <v>M/S Anas Enterprise</v>
          </cell>
          <cell r="E548" t="str">
            <v>00817</v>
          </cell>
        </row>
        <row r="549">
          <cell r="D549" t="str">
            <v>M/S Ripon Tyre and Battery</v>
          </cell>
          <cell r="E549" t="str">
            <v>00002</v>
          </cell>
        </row>
        <row r="550">
          <cell r="D550" t="str">
            <v>M/S Ripon Tyre and Battery</v>
          </cell>
          <cell r="E550" t="str">
            <v>00002</v>
          </cell>
        </row>
        <row r="551">
          <cell r="D551" t="str">
            <v>M/S Rashed Enterprise</v>
          </cell>
          <cell r="E551" t="str">
            <v>00030</v>
          </cell>
        </row>
        <row r="552">
          <cell r="D552" t="str">
            <v>M/S Monir Auto &amp; Battery House</v>
          </cell>
          <cell r="E552" t="str">
            <v>00001</v>
          </cell>
        </row>
        <row r="553">
          <cell r="D553" t="str">
            <v>M/S Monir Auto &amp; Battery House</v>
          </cell>
          <cell r="E553" t="str">
            <v>00001</v>
          </cell>
        </row>
        <row r="554">
          <cell r="D554" t="str">
            <v>M/S Monir Auto &amp; Battery House</v>
          </cell>
          <cell r="E554" t="str">
            <v>00001</v>
          </cell>
        </row>
        <row r="555">
          <cell r="D555" t="str">
            <v>M/S Monir Auto &amp; Battery House</v>
          </cell>
          <cell r="E555" t="str">
            <v>00001</v>
          </cell>
        </row>
        <row r="556">
          <cell r="D556" t="str">
            <v>M/S Anik Motors &amp; Battery</v>
          </cell>
          <cell r="E556" t="str">
            <v>01262</v>
          </cell>
        </row>
        <row r="557">
          <cell r="D557" t="str">
            <v>M/S Mayer Doya Auto Parts-Laksam</v>
          </cell>
          <cell r="E557" t="str">
            <v>00325</v>
          </cell>
        </row>
        <row r="558">
          <cell r="D558" t="str">
            <v>M/S Mayer Doya Auto Parts-Laksam</v>
          </cell>
          <cell r="E558" t="str">
            <v>00325</v>
          </cell>
        </row>
        <row r="559">
          <cell r="D559" t="str">
            <v>M/S S.S. Enterprise-Norshingdi</v>
          </cell>
          <cell r="E559" t="str">
            <v>01118</v>
          </cell>
        </row>
        <row r="560">
          <cell r="D560" t="str">
            <v>M/S Shah Mojidia Motor Parts</v>
          </cell>
          <cell r="E560" t="str">
            <v>00842</v>
          </cell>
        </row>
        <row r="561">
          <cell r="D561" t="str">
            <v>M/S Ira Motors</v>
          </cell>
          <cell r="E561" t="str">
            <v>00133</v>
          </cell>
        </row>
        <row r="562">
          <cell r="D562" t="str">
            <v>M/S Ira Motors</v>
          </cell>
          <cell r="E562" t="str">
            <v>00133</v>
          </cell>
        </row>
        <row r="563">
          <cell r="D563" t="str">
            <v>M/S Ira Motors</v>
          </cell>
          <cell r="E563" t="str">
            <v>00133</v>
          </cell>
        </row>
        <row r="564">
          <cell r="D564" t="str">
            <v>M/S Bashkhali Enterprise</v>
          </cell>
          <cell r="E564" t="str">
            <v>00424</v>
          </cell>
        </row>
        <row r="565">
          <cell r="D565" t="str">
            <v>M/S Takwa Enterprise</v>
          </cell>
          <cell r="E565" t="str">
            <v>00847</v>
          </cell>
        </row>
        <row r="566">
          <cell r="D566" t="str">
            <v>M/S Takwa Enterprise</v>
          </cell>
          <cell r="E566" t="str">
            <v>00847</v>
          </cell>
        </row>
        <row r="567">
          <cell r="D567" t="str">
            <v>M/S Comilla Traders</v>
          </cell>
          <cell r="E567" t="str">
            <v>00334</v>
          </cell>
        </row>
        <row r="568">
          <cell r="D568" t="str">
            <v>M/S Minara Traders</v>
          </cell>
          <cell r="E568" t="str">
            <v>01108</v>
          </cell>
        </row>
        <row r="569">
          <cell r="D569" t="str">
            <v>M/S Souro Power Electric</v>
          </cell>
          <cell r="E569" t="str">
            <v>01285</v>
          </cell>
        </row>
        <row r="570">
          <cell r="D570" t="str">
            <v>M/S Souro Power Electric</v>
          </cell>
          <cell r="E570" t="str">
            <v>01285</v>
          </cell>
        </row>
        <row r="571">
          <cell r="D571" t="str">
            <v>M/S Manir Battery Charging Station</v>
          </cell>
          <cell r="E571" t="str">
            <v>00833</v>
          </cell>
        </row>
        <row r="572">
          <cell r="D572" t="str">
            <v>M/S Sompa Cycle Store</v>
          </cell>
          <cell r="E572" t="str">
            <v>01252</v>
          </cell>
        </row>
        <row r="573">
          <cell r="D573" t="str">
            <v>M/S Sompa Cycle Store</v>
          </cell>
          <cell r="E573" t="str">
            <v>01252</v>
          </cell>
        </row>
        <row r="574">
          <cell r="D574" t="str">
            <v>M/S Housing Auto Bike</v>
          </cell>
          <cell r="E574" t="str">
            <v>00598</v>
          </cell>
        </row>
        <row r="575">
          <cell r="D575" t="str">
            <v>M/S Samir Battery And Tyre</v>
          </cell>
          <cell r="E575" t="str">
            <v>01450</v>
          </cell>
        </row>
        <row r="576">
          <cell r="D576" t="str">
            <v>M/S Samir Battery And Tyre</v>
          </cell>
          <cell r="E576" t="str">
            <v>01450</v>
          </cell>
        </row>
        <row r="577">
          <cell r="D577" t="str">
            <v>M/S Gazipur Battery House</v>
          </cell>
          <cell r="E577" t="str">
            <v>00826</v>
          </cell>
        </row>
        <row r="578">
          <cell r="D578" t="str">
            <v>M/S Al - Mokka Enterprise</v>
          </cell>
          <cell r="E578" t="str">
            <v>01112</v>
          </cell>
        </row>
        <row r="579">
          <cell r="D579" t="str">
            <v>M/S Musulli Enterprise</v>
          </cell>
          <cell r="E579" t="str">
            <v>00091</v>
          </cell>
        </row>
        <row r="580">
          <cell r="D580" t="str">
            <v>M/S Rashed Enterprise</v>
          </cell>
          <cell r="E580" t="str">
            <v>00030</v>
          </cell>
        </row>
        <row r="581">
          <cell r="D581" t="str">
            <v>M/S City Auto</v>
          </cell>
          <cell r="E581" t="str">
            <v>00398</v>
          </cell>
        </row>
        <row r="582">
          <cell r="D582" t="str">
            <v>M/S City Auto</v>
          </cell>
          <cell r="E582" t="str">
            <v>00398</v>
          </cell>
        </row>
        <row r="583">
          <cell r="D583" t="str">
            <v>M/S Shahjalal Traders</v>
          </cell>
          <cell r="E583" t="str">
            <v>01362</v>
          </cell>
        </row>
        <row r="584">
          <cell r="D584" t="str">
            <v>M/S Shah Mojidia Motor Parts</v>
          </cell>
          <cell r="E584" t="str">
            <v>00842</v>
          </cell>
        </row>
        <row r="585">
          <cell r="D585" t="str">
            <v>M/S Shah Mojidia Motor Parts</v>
          </cell>
          <cell r="E585" t="str">
            <v>00842</v>
          </cell>
        </row>
        <row r="586">
          <cell r="D586" t="str">
            <v>M/S Laksam Battery House</v>
          </cell>
          <cell r="E586" t="str">
            <v>00336</v>
          </cell>
        </row>
        <row r="587">
          <cell r="D587" t="str">
            <v>M/S Payar Auto Electric Works</v>
          </cell>
          <cell r="E587" t="str">
            <v>00371</v>
          </cell>
        </row>
        <row r="588">
          <cell r="D588" t="str">
            <v>M/S Payar Auto Electric Works</v>
          </cell>
          <cell r="E588" t="str">
            <v>00371</v>
          </cell>
        </row>
        <row r="589">
          <cell r="D589" t="str">
            <v>M/S Al - Mokka Enterprise</v>
          </cell>
          <cell r="E589" t="str">
            <v>01112</v>
          </cell>
        </row>
        <row r="590">
          <cell r="D590" t="str">
            <v>M/S Polash Battery and Auto Parts</v>
          </cell>
          <cell r="E590" t="str">
            <v>01244</v>
          </cell>
        </row>
        <row r="591">
          <cell r="D591" t="str">
            <v>M/S Rashed Enterprise</v>
          </cell>
          <cell r="E591" t="str">
            <v>00030</v>
          </cell>
        </row>
        <row r="592">
          <cell r="D592" t="str">
            <v>M/S Rashed Enterprise</v>
          </cell>
          <cell r="E592" t="str">
            <v>00030</v>
          </cell>
        </row>
        <row r="593">
          <cell r="D593" t="str">
            <v>M/S Ripon Tyre and Battery</v>
          </cell>
          <cell r="E593" t="str">
            <v>00002</v>
          </cell>
        </row>
        <row r="594">
          <cell r="D594" t="str">
            <v>M/S Comilla Traders</v>
          </cell>
          <cell r="E594" t="str">
            <v>00334</v>
          </cell>
        </row>
        <row r="595">
          <cell r="D595" t="str">
            <v>M/S Comilla Traders</v>
          </cell>
          <cell r="E595" t="str">
            <v>00334</v>
          </cell>
        </row>
        <row r="596">
          <cell r="D596" t="str">
            <v>M/S Minara Traders</v>
          </cell>
          <cell r="E596" t="str">
            <v>01108</v>
          </cell>
        </row>
        <row r="597">
          <cell r="D597" t="str">
            <v>M/S A.P.L. Auto House</v>
          </cell>
          <cell r="E597" t="str">
            <v>00328</v>
          </cell>
        </row>
        <row r="598">
          <cell r="D598" t="str">
            <v>M/S A.P.L. Auto House</v>
          </cell>
          <cell r="E598" t="str">
            <v>00328</v>
          </cell>
        </row>
        <row r="599">
          <cell r="D599" t="str">
            <v>M/S Banskhali Enterprise-Joldi (C)</v>
          </cell>
          <cell r="E599" t="str">
            <v>01312</v>
          </cell>
        </row>
        <row r="600">
          <cell r="D600" t="str">
            <v>M/S Bashkhali Enterprise</v>
          </cell>
          <cell r="E600" t="str">
            <v>00424</v>
          </cell>
        </row>
        <row r="601">
          <cell r="D601" t="str">
            <v>M/S Setu Cycle Mart</v>
          </cell>
          <cell r="E601" t="str">
            <v>00471</v>
          </cell>
        </row>
        <row r="602">
          <cell r="D602" t="str">
            <v>M/S Setu Cycle Mart</v>
          </cell>
          <cell r="E602" t="str">
            <v>00471</v>
          </cell>
        </row>
        <row r="603">
          <cell r="D603" t="str">
            <v>M/S Setu Cycle Mart</v>
          </cell>
          <cell r="E603" t="str">
            <v>00471</v>
          </cell>
        </row>
        <row r="604">
          <cell r="D604" t="str">
            <v>M/S Setu Cycle Mart</v>
          </cell>
          <cell r="E604" t="str">
            <v>00471</v>
          </cell>
        </row>
        <row r="605">
          <cell r="D605" t="str">
            <v>M/S Shah Mojidia Motor Parts</v>
          </cell>
          <cell r="E605" t="str">
            <v>00842</v>
          </cell>
        </row>
        <row r="606">
          <cell r="D606" t="str">
            <v>M/S Shah Mojidia Motor Parts</v>
          </cell>
          <cell r="E606" t="str">
            <v>00842</v>
          </cell>
        </row>
        <row r="607">
          <cell r="D607" t="str">
            <v>M/S Monir Auto &amp; Battery House</v>
          </cell>
          <cell r="E607" t="str">
            <v>00001</v>
          </cell>
        </row>
        <row r="608">
          <cell r="D608" t="str">
            <v>M/S Monir Auto &amp; Battery House</v>
          </cell>
          <cell r="E608" t="str">
            <v>00001</v>
          </cell>
        </row>
        <row r="609">
          <cell r="D609" t="str">
            <v>M/S Bondhu Auto and CNG Workshop</v>
          </cell>
          <cell r="E609" t="str">
            <v>01149</v>
          </cell>
        </row>
        <row r="610">
          <cell r="D610" t="str">
            <v>M/S Bondhu Auto and CNG Workshop</v>
          </cell>
          <cell r="E610" t="str">
            <v>01149</v>
          </cell>
        </row>
        <row r="611">
          <cell r="D611" t="str">
            <v>M/S Bondhu Auto and CNG Workshop</v>
          </cell>
          <cell r="E611" t="str">
            <v>01149</v>
          </cell>
        </row>
        <row r="612">
          <cell r="D612" t="str">
            <v>M/S Doyal Battery</v>
          </cell>
          <cell r="E612" t="str">
            <v>00337</v>
          </cell>
        </row>
        <row r="613">
          <cell r="D613" t="str">
            <v>M/S Doyal Battery</v>
          </cell>
          <cell r="E613" t="str">
            <v>00337</v>
          </cell>
        </row>
        <row r="614">
          <cell r="D614" t="str">
            <v>M/S Tanvir Battery House</v>
          </cell>
          <cell r="E614" t="str">
            <v>01175</v>
          </cell>
        </row>
        <row r="615">
          <cell r="D615" t="str">
            <v>M/S Sajib Enterprise (C)</v>
          </cell>
          <cell r="E615" t="str">
            <v>01353</v>
          </cell>
        </row>
        <row r="616">
          <cell r="D616" t="str">
            <v>M/S Sajib Enterprise (C)</v>
          </cell>
          <cell r="E616" t="str">
            <v>01353</v>
          </cell>
        </row>
        <row r="617">
          <cell r="D617" t="str">
            <v>M/S Power Battery</v>
          </cell>
          <cell r="E617" t="str">
            <v>00324</v>
          </cell>
        </row>
        <row r="618">
          <cell r="D618" t="str">
            <v>M/S Power Battery</v>
          </cell>
          <cell r="E618" t="str">
            <v>00324</v>
          </cell>
        </row>
        <row r="619">
          <cell r="D619" t="str">
            <v>M/S Power Battery</v>
          </cell>
          <cell r="E619" t="str">
            <v>00324</v>
          </cell>
        </row>
        <row r="620">
          <cell r="D620" t="str">
            <v>M/S Power Battery</v>
          </cell>
          <cell r="E620" t="str">
            <v>00324</v>
          </cell>
        </row>
        <row r="621">
          <cell r="D621" t="str">
            <v>M/S Khokon IPS &amp; Battery Center (C)</v>
          </cell>
          <cell r="E621" t="str">
            <v>01306</v>
          </cell>
        </row>
        <row r="622">
          <cell r="D622" t="str">
            <v>M/S Khokon IPS &amp; Battery Center (C)</v>
          </cell>
          <cell r="E622" t="str">
            <v>01306</v>
          </cell>
        </row>
        <row r="623">
          <cell r="D623" t="str">
            <v>M/S National Motors-Feni</v>
          </cell>
          <cell r="E623" t="str">
            <v>01102</v>
          </cell>
        </row>
        <row r="624">
          <cell r="D624" t="str">
            <v>M/S National Motors-Feni</v>
          </cell>
          <cell r="E624" t="str">
            <v>01102</v>
          </cell>
        </row>
        <row r="625">
          <cell r="D625" t="str">
            <v>M/S Shapla Battery &amp; Auto House</v>
          </cell>
          <cell r="E625" t="str">
            <v>01447</v>
          </cell>
        </row>
        <row r="626">
          <cell r="D626" t="str">
            <v>M/S Tamim Enterprise</v>
          </cell>
          <cell r="E626" t="str">
            <v>01395</v>
          </cell>
        </row>
        <row r="627">
          <cell r="D627" t="str">
            <v>M/S Babul Enterprise (C)</v>
          </cell>
          <cell r="E627" t="str">
            <v>01292</v>
          </cell>
        </row>
        <row r="628">
          <cell r="D628" t="str">
            <v>M/S Arafat Battery House</v>
          </cell>
          <cell r="E628" t="str">
            <v>01445</v>
          </cell>
        </row>
        <row r="629">
          <cell r="D629" t="str">
            <v>M/S L D Poribahan &amp; Trading (C)</v>
          </cell>
          <cell r="E629" t="str">
            <v>01299</v>
          </cell>
        </row>
        <row r="630">
          <cell r="D630" t="str">
            <v>M/S L D Poribahan &amp; Trading (C)</v>
          </cell>
          <cell r="E630" t="str">
            <v>01299</v>
          </cell>
        </row>
        <row r="631">
          <cell r="D631" t="str">
            <v>M/S Supreme Auto (C)</v>
          </cell>
          <cell r="E631" t="str">
            <v>01300</v>
          </cell>
        </row>
        <row r="632">
          <cell r="D632" t="str">
            <v>M/S Supreme Auto (C)</v>
          </cell>
          <cell r="E632" t="str">
            <v>01300</v>
          </cell>
        </row>
        <row r="633">
          <cell r="D633" t="str">
            <v>M/S Khan Battery Recycling (C)</v>
          </cell>
          <cell r="E633" t="str">
            <v>01282</v>
          </cell>
        </row>
        <row r="634">
          <cell r="D634" t="str">
            <v>M/S Mahtab Engineering Workshop</v>
          </cell>
          <cell r="E634" t="str">
            <v>01429</v>
          </cell>
        </row>
        <row r="635">
          <cell r="D635" t="str">
            <v>M/S Sawda Auto and Battery</v>
          </cell>
          <cell r="E635" t="str">
            <v>01261</v>
          </cell>
        </row>
        <row r="636">
          <cell r="D636" t="str">
            <v>M/S Shahjalal Traders</v>
          </cell>
          <cell r="E636" t="str">
            <v>01362</v>
          </cell>
        </row>
        <row r="637">
          <cell r="D637" t="str">
            <v>M/S Atik Auto</v>
          </cell>
          <cell r="E637" t="str">
            <v>00562</v>
          </cell>
        </row>
        <row r="638">
          <cell r="D638" t="str">
            <v>M/S Sadia Enterprise</v>
          </cell>
          <cell r="E638" t="str">
            <v>01490</v>
          </cell>
        </row>
        <row r="639">
          <cell r="D639" t="str">
            <v>M/S S.K. Enterprise (C)</v>
          </cell>
          <cell r="E639" t="str">
            <v>01326</v>
          </cell>
        </row>
        <row r="640">
          <cell r="D640" t="str">
            <v>M/S S.K. Enterprise (C)</v>
          </cell>
          <cell r="E640" t="str">
            <v>01326</v>
          </cell>
        </row>
        <row r="641">
          <cell r="D641" t="str">
            <v>M/S S.K. Enterprise (C)</v>
          </cell>
          <cell r="E641" t="str">
            <v>01326</v>
          </cell>
        </row>
        <row r="642">
          <cell r="D642" t="str">
            <v>M/S S.K. Enterprise (C)</v>
          </cell>
          <cell r="E642" t="str">
            <v>01326</v>
          </cell>
        </row>
        <row r="643">
          <cell r="D643" t="str">
            <v>M/S Arafat Enterprise</v>
          </cell>
          <cell r="E643" t="str">
            <v>00094</v>
          </cell>
        </row>
        <row r="644">
          <cell r="D644" t="str">
            <v>M/S Anas Battery &amp; Auto House</v>
          </cell>
          <cell r="E644" t="str">
            <v>01401</v>
          </cell>
        </row>
        <row r="645">
          <cell r="D645" t="str">
            <v>M/S Anas Battery &amp; Auto House</v>
          </cell>
          <cell r="E645" t="str">
            <v>01401</v>
          </cell>
        </row>
        <row r="646">
          <cell r="D646" t="str">
            <v>M/S Sangu Battery House</v>
          </cell>
          <cell r="E646" t="str">
            <v>00988</v>
          </cell>
        </row>
        <row r="647">
          <cell r="D647" t="str">
            <v>M/S Sangu Battery House</v>
          </cell>
          <cell r="E647" t="str">
            <v>00988</v>
          </cell>
        </row>
        <row r="648">
          <cell r="D648" t="str">
            <v>M/S Sohan Motors</v>
          </cell>
          <cell r="E648" t="str">
            <v>01385</v>
          </cell>
        </row>
        <row r="649">
          <cell r="D649" t="str">
            <v>M/S Hira Motors-Chokoria</v>
          </cell>
          <cell r="E649" t="str">
            <v>01441</v>
          </cell>
        </row>
        <row r="650">
          <cell r="D650" t="str">
            <v>M/S Sifa Motors</v>
          </cell>
          <cell r="E650" t="str">
            <v>01443</v>
          </cell>
        </row>
        <row r="651">
          <cell r="D651" t="str">
            <v>M/S Nobodhara Corporation</v>
          </cell>
          <cell r="E651" t="str">
            <v>01352</v>
          </cell>
        </row>
        <row r="652">
          <cell r="D652" t="str">
            <v>M/S S.K. Enterprise (C)</v>
          </cell>
          <cell r="E652" t="str">
            <v>01326</v>
          </cell>
        </row>
        <row r="653">
          <cell r="D653" t="str">
            <v>M/S S.K. Enterprise (C)</v>
          </cell>
          <cell r="E653" t="str">
            <v>01326</v>
          </cell>
        </row>
        <row r="654">
          <cell r="D654" t="str">
            <v>M/S Mayer Doya Auto Parts-Laksam</v>
          </cell>
          <cell r="E654" t="str">
            <v>00325</v>
          </cell>
        </row>
        <row r="655">
          <cell r="D655" t="str">
            <v>M/S Mayer Doya Auto Parts-Laksam</v>
          </cell>
          <cell r="E655" t="str">
            <v>00325</v>
          </cell>
        </row>
        <row r="656">
          <cell r="D656" t="str">
            <v>M/S Farhan Auto (C)</v>
          </cell>
          <cell r="E656" t="str">
            <v>01298</v>
          </cell>
        </row>
        <row r="657">
          <cell r="D657" t="str">
            <v>M/S Farhan Auto (C)</v>
          </cell>
          <cell r="E657" t="str">
            <v>01298</v>
          </cell>
        </row>
        <row r="658">
          <cell r="D658" t="str">
            <v>M/S Kalam Store</v>
          </cell>
          <cell r="E658" t="str">
            <v>01436</v>
          </cell>
        </row>
        <row r="659">
          <cell r="D659" t="str">
            <v>M/S S.K. Enterprise-Rangpur</v>
          </cell>
          <cell r="E659" t="str">
            <v>01462</v>
          </cell>
        </row>
        <row r="660">
          <cell r="D660" t="str">
            <v>M/S Jhenaidah Bike Center</v>
          </cell>
          <cell r="E660" t="str">
            <v>01358</v>
          </cell>
        </row>
        <row r="661">
          <cell r="D661" t="str">
            <v>M/S Bismillah Motors-Hinla</v>
          </cell>
          <cell r="E661" t="str">
            <v>01448</v>
          </cell>
        </row>
        <row r="662">
          <cell r="D662" t="str">
            <v>Kalam Enterprise</v>
          </cell>
          <cell r="E662" t="str">
            <v>01341</v>
          </cell>
        </row>
        <row r="663">
          <cell r="D663" t="str">
            <v>Kalam Enterprise</v>
          </cell>
          <cell r="E663" t="str">
            <v>01341</v>
          </cell>
        </row>
        <row r="664">
          <cell r="D664" t="str">
            <v>Kalam Enterprise</v>
          </cell>
          <cell r="E664" t="str">
            <v>01341</v>
          </cell>
        </row>
        <row r="665">
          <cell r="D665" t="str">
            <v>M/S Jamuna Battery House</v>
          </cell>
          <cell r="E665" t="str">
            <v>01456</v>
          </cell>
        </row>
        <row r="666">
          <cell r="D666" t="str">
            <v>M/S Bhai Bhai Battery And Motors (C)</v>
          </cell>
          <cell r="E666" t="str">
            <v>01496</v>
          </cell>
        </row>
        <row r="667">
          <cell r="D667" t="str">
            <v>M/S Ma Tyre &amp; Battery  Shop</v>
          </cell>
          <cell r="E667" t="str">
            <v>00088</v>
          </cell>
        </row>
        <row r="668">
          <cell r="D668" t="str">
            <v>M/S Samir Battery And Tyre</v>
          </cell>
          <cell r="E668" t="str">
            <v>01450</v>
          </cell>
        </row>
        <row r="669">
          <cell r="D669" t="str">
            <v>M/S Samir Battery And Tyre</v>
          </cell>
          <cell r="E669" t="str">
            <v>01450</v>
          </cell>
        </row>
        <row r="670">
          <cell r="D670" t="str">
            <v>M/S Adnan Tyre and Battery House</v>
          </cell>
          <cell r="E670" t="str">
            <v>01371</v>
          </cell>
        </row>
        <row r="671">
          <cell r="D671" t="str">
            <v>M/S Rashed Enterprise</v>
          </cell>
          <cell r="E671" t="str">
            <v>00030</v>
          </cell>
        </row>
        <row r="672">
          <cell r="D672" t="str">
            <v>M/S Rashed Enterprise</v>
          </cell>
          <cell r="E672" t="str">
            <v>00030</v>
          </cell>
        </row>
        <row r="673">
          <cell r="D673" t="str">
            <v>M/S Rashed Enterprise</v>
          </cell>
          <cell r="E673" t="str">
            <v>00030</v>
          </cell>
        </row>
        <row r="674">
          <cell r="D674" t="str">
            <v>M/S Ripon Tyre and Battery</v>
          </cell>
          <cell r="E674" t="str">
            <v>00002</v>
          </cell>
        </row>
        <row r="675">
          <cell r="D675" t="str">
            <v>M/S Polash Battery and Auto Parts</v>
          </cell>
          <cell r="E675" t="str">
            <v>01244</v>
          </cell>
        </row>
        <row r="676">
          <cell r="D676" t="str">
            <v>M/S Anas Enterprise</v>
          </cell>
          <cell r="E676" t="str">
            <v>00817</v>
          </cell>
        </row>
        <row r="677">
          <cell r="D677" t="str">
            <v>M/S Uzzal Battery &amp; Auto Electric</v>
          </cell>
          <cell r="E677" t="str">
            <v>01469</v>
          </cell>
        </row>
        <row r="678">
          <cell r="D678" t="str">
            <v>M/S Modina Enterprise - Savar</v>
          </cell>
          <cell r="E678" t="str">
            <v>01404</v>
          </cell>
        </row>
        <row r="679">
          <cell r="D679" t="str">
            <v>M/S S.B. Energy (C)</v>
          </cell>
          <cell r="E679" t="str">
            <v>01288</v>
          </cell>
        </row>
        <row r="680">
          <cell r="D680" t="str">
            <v>M/S Ripon Tyre and Battery</v>
          </cell>
          <cell r="E680" t="str">
            <v>00002</v>
          </cell>
        </row>
        <row r="681">
          <cell r="D681" t="str">
            <v>M/S Bismillah Battery House -Sylhet</v>
          </cell>
          <cell r="E681" t="str">
            <v>00389</v>
          </cell>
        </row>
        <row r="682">
          <cell r="D682" t="str">
            <v>M/S Fateha Battery</v>
          </cell>
          <cell r="E682" t="str">
            <v>00388</v>
          </cell>
        </row>
        <row r="683">
          <cell r="D683" t="str">
            <v>M/S City Auto</v>
          </cell>
          <cell r="E683" t="str">
            <v>00398</v>
          </cell>
        </row>
        <row r="684">
          <cell r="D684" t="str">
            <v>M/S City Auto</v>
          </cell>
          <cell r="E684" t="str">
            <v>00398</v>
          </cell>
        </row>
        <row r="685">
          <cell r="D685" t="str">
            <v>M/S Minara Traders</v>
          </cell>
          <cell r="E685" t="str">
            <v>01108</v>
          </cell>
        </row>
        <row r="686">
          <cell r="D686" t="str">
            <v>M/S Minara Traders</v>
          </cell>
          <cell r="E686" t="str">
            <v>01108</v>
          </cell>
        </row>
        <row r="687">
          <cell r="D687" t="str">
            <v>M/S Hira Motors-Chokoria</v>
          </cell>
          <cell r="E687" t="str">
            <v>01441</v>
          </cell>
        </row>
        <row r="688">
          <cell r="D688" t="str">
            <v>M/S Bismillah Motors-Hinla</v>
          </cell>
          <cell r="E688" t="str">
            <v>01448</v>
          </cell>
        </row>
        <row r="689">
          <cell r="D689" t="str">
            <v>M/S Hafiz Battery House</v>
          </cell>
          <cell r="E689" t="str">
            <v>01368</v>
          </cell>
        </row>
        <row r="690">
          <cell r="D690" t="str">
            <v>M/S Setu Cycle Mart</v>
          </cell>
          <cell r="E690" t="str">
            <v>00471</v>
          </cell>
        </row>
        <row r="691">
          <cell r="D691" t="str">
            <v>M/S Setu Cycle Mart</v>
          </cell>
          <cell r="E691" t="str">
            <v>00471</v>
          </cell>
        </row>
        <row r="692">
          <cell r="D692" t="str">
            <v>M/S Setu Cycle Mart</v>
          </cell>
          <cell r="E692" t="str">
            <v>00471</v>
          </cell>
        </row>
        <row r="693">
          <cell r="D693" t="str">
            <v>M/S Setu Cycle Mart</v>
          </cell>
          <cell r="E693" t="str">
            <v>00471</v>
          </cell>
        </row>
        <row r="694">
          <cell r="D694" t="str">
            <v>M/S Shah Mojidia Motor Parts</v>
          </cell>
          <cell r="E694" t="str">
            <v>00842</v>
          </cell>
        </row>
        <row r="695">
          <cell r="D695" t="str">
            <v>M/S Shah Mojidia Motor Parts</v>
          </cell>
          <cell r="E695" t="str">
            <v>00842</v>
          </cell>
        </row>
        <row r="696">
          <cell r="D696" t="str">
            <v>M/S Farhan Auto (C)</v>
          </cell>
          <cell r="E696" t="str">
            <v>01298</v>
          </cell>
        </row>
        <row r="697">
          <cell r="D697" t="str">
            <v>M/S Farhan Auto (C)</v>
          </cell>
          <cell r="E697" t="str">
            <v>01298</v>
          </cell>
        </row>
        <row r="698">
          <cell r="D698" t="str">
            <v>M/S Farhan Auto (C)</v>
          </cell>
          <cell r="E698" t="str">
            <v>01298</v>
          </cell>
        </row>
        <row r="699">
          <cell r="D699" t="str">
            <v>M/S Farhan Auto (C)</v>
          </cell>
          <cell r="E699" t="str">
            <v>01298</v>
          </cell>
        </row>
        <row r="700">
          <cell r="D700" t="str">
            <v>M/S L D Poribahan &amp; Trading (C)</v>
          </cell>
          <cell r="E700" t="str">
            <v>01299</v>
          </cell>
        </row>
        <row r="701">
          <cell r="D701" t="str">
            <v>M/S L D Poribahan &amp; Trading (C)</v>
          </cell>
          <cell r="E701" t="str">
            <v>01299</v>
          </cell>
        </row>
        <row r="702">
          <cell r="D702" t="str">
            <v>M/S Anas Battery &amp; Auto House</v>
          </cell>
          <cell r="E702" t="str">
            <v>01401</v>
          </cell>
        </row>
        <row r="703">
          <cell r="D703" t="str">
            <v>M/S Mayer Doya Auto Parts-Feni</v>
          </cell>
          <cell r="E703" t="str">
            <v>00373</v>
          </cell>
        </row>
        <row r="704">
          <cell r="D704" t="str">
            <v>M/S Payar Auto Electric Works</v>
          </cell>
          <cell r="E704" t="str">
            <v>00371</v>
          </cell>
        </row>
        <row r="705">
          <cell r="D705" t="str">
            <v>M/S Laksam Battery House</v>
          </cell>
          <cell r="E705" t="str">
            <v>00336</v>
          </cell>
        </row>
        <row r="706">
          <cell r="D706" t="str">
            <v>M/S National Motors-Feni</v>
          </cell>
          <cell r="E706" t="str">
            <v>01102</v>
          </cell>
        </row>
        <row r="707">
          <cell r="D707" t="str">
            <v>M/S Khalaq Motors-Feni</v>
          </cell>
          <cell r="E707" t="str">
            <v>01133</v>
          </cell>
        </row>
        <row r="708">
          <cell r="D708" t="str">
            <v>M/S Banskhali Enterprise-Joldi (C)</v>
          </cell>
          <cell r="E708" t="str">
            <v>01312</v>
          </cell>
        </row>
        <row r="709">
          <cell r="D709" t="str">
            <v>M/S S.K. Enterprise (C)</v>
          </cell>
          <cell r="E709" t="str">
            <v>01326</v>
          </cell>
        </row>
        <row r="710">
          <cell r="D710" t="str">
            <v>M/S S.K. Enterprise (C)</v>
          </cell>
          <cell r="E710" t="str">
            <v>01326</v>
          </cell>
        </row>
        <row r="711">
          <cell r="D711" t="str">
            <v>M/S S.K. Enterprise (C)</v>
          </cell>
          <cell r="E711" t="str">
            <v>01326</v>
          </cell>
        </row>
        <row r="712">
          <cell r="D712" t="str">
            <v>M/S S.K. Enterprise (C)</v>
          </cell>
          <cell r="E712" t="str">
            <v>01326</v>
          </cell>
        </row>
        <row r="713">
          <cell r="D713" t="str">
            <v>M/S S.K. Enterprise (C)</v>
          </cell>
          <cell r="E713" t="str">
            <v>01326</v>
          </cell>
        </row>
        <row r="714">
          <cell r="D714" t="str">
            <v>M/S Macca Tyre And battery House</v>
          </cell>
          <cell r="E714" t="str">
            <v>00439</v>
          </cell>
        </row>
        <row r="715">
          <cell r="D715" t="str">
            <v>M/S Boalkhali Battery House</v>
          </cell>
          <cell r="E715" t="str">
            <v>01486</v>
          </cell>
        </row>
        <row r="716">
          <cell r="D716" t="str">
            <v>M/S Belal Battery House</v>
          </cell>
          <cell r="E716" t="str">
            <v>01461</v>
          </cell>
        </row>
        <row r="717">
          <cell r="D717" t="str">
            <v>M/S Doyal Battery</v>
          </cell>
          <cell r="E717" t="str">
            <v>00337</v>
          </cell>
        </row>
        <row r="718">
          <cell r="D718" t="str">
            <v>M/S Doyal Battery</v>
          </cell>
          <cell r="E718" t="str">
            <v>00337</v>
          </cell>
        </row>
        <row r="719">
          <cell r="D719" t="str">
            <v>M/S Doyal Battery</v>
          </cell>
          <cell r="E719" t="str">
            <v>00337</v>
          </cell>
        </row>
        <row r="720">
          <cell r="D720" t="str">
            <v>M/S S.R. Battery and Tyre Centre</v>
          </cell>
          <cell r="E720" t="str">
            <v>00359</v>
          </cell>
        </row>
        <row r="721">
          <cell r="D721" t="str">
            <v>M/S Rasel Bettary Service</v>
          </cell>
          <cell r="E721" t="str">
            <v>01380</v>
          </cell>
        </row>
        <row r="722">
          <cell r="D722" t="str">
            <v>M/S Sajib Enterprise (C)</v>
          </cell>
          <cell r="E722" t="str">
            <v>01353</v>
          </cell>
        </row>
        <row r="723">
          <cell r="D723" t="str">
            <v>M/S Sajib Enterprise (C)</v>
          </cell>
          <cell r="E723" t="str">
            <v>01353</v>
          </cell>
        </row>
        <row r="724">
          <cell r="D724" t="str">
            <v>M/S Monir Auto &amp; Battery House</v>
          </cell>
          <cell r="E724" t="str">
            <v>00001</v>
          </cell>
        </row>
        <row r="725">
          <cell r="D725" t="str">
            <v>M/S Monir Auto &amp; Battery House</v>
          </cell>
          <cell r="E725" t="str">
            <v>00001</v>
          </cell>
        </row>
        <row r="726">
          <cell r="D726" t="str">
            <v>M/S New Dhaka Motors and Battery</v>
          </cell>
          <cell r="E726" t="str">
            <v>00005</v>
          </cell>
        </row>
        <row r="727">
          <cell r="D727" t="str">
            <v>M/S Talukder Motors (C)</v>
          </cell>
          <cell r="E727" t="str">
            <v>01471</v>
          </cell>
        </row>
        <row r="728">
          <cell r="D728" t="str">
            <v>M/S Akhi Battery &amp; Tyre</v>
          </cell>
          <cell r="E728" t="str">
            <v>00140</v>
          </cell>
        </row>
        <row r="729">
          <cell r="D729" t="str">
            <v>M/S Zaman Battery House</v>
          </cell>
          <cell r="E729" t="str">
            <v>00146</v>
          </cell>
        </row>
        <row r="730">
          <cell r="D730" t="str">
            <v>M/S Babul Enterprise (C)</v>
          </cell>
          <cell r="E730" t="str">
            <v>01292</v>
          </cell>
        </row>
        <row r="731">
          <cell r="D731" t="str">
            <v>M/S Bhai Bhai Battery And Motors (C)</v>
          </cell>
          <cell r="E731" t="str">
            <v>01496</v>
          </cell>
        </row>
        <row r="732">
          <cell r="D732" t="str">
            <v>M/S Bhai Bhai Battery And Motors (C)</v>
          </cell>
          <cell r="E732" t="str">
            <v>01496</v>
          </cell>
        </row>
        <row r="733">
          <cell r="D733" t="str">
            <v>M/S Shepon Motors (C)</v>
          </cell>
          <cell r="E733" t="str">
            <v>01438</v>
          </cell>
        </row>
        <row r="734">
          <cell r="D734" t="str">
            <v>M/S Sompa Cycle Store</v>
          </cell>
          <cell r="E734" t="str">
            <v>01252</v>
          </cell>
        </row>
        <row r="735">
          <cell r="D735" t="str">
            <v>M/S M.R. Enterprise- Dinajpur</v>
          </cell>
          <cell r="E735" t="str">
            <v>00601</v>
          </cell>
        </row>
        <row r="736">
          <cell r="D736" t="str">
            <v>M/S Mosabbir Traders</v>
          </cell>
          <cell r="E736" t="str">
            <v>00560</v>
          </cell>
        </row>
        <row r="737">
          <cell r="D737" t="str">
            <v>M/S Tamim Enterprise</v>
          </cell>
          <cell r="E737" t="str">
            <v>01395</v>
          </cell>
        </row>
        <row r="738">
          <cell r="D738" t="str">
            <v>M/S Nobodhara Corporation</v>
          </cell>
          <cell r="E738" t="str">
            <v>01352</v>
          </cell>
        </row>
        <row r="739">
          <cell r="D739" t="str">
            <v>M/S Shuvo Enterprise</v>
          </cell>
          <cell r="E739" t="str">
            <v>00622</v>
          </cell>
        </row>
        <row r="740">
          <cell r="D740" t="str">
            <v>M/S Shuvo Enterprise</v>
          </cell>
          <cell r="E740" t="str">
            <v>00622</v>
          </cell>
        </row>
        <row r="741">
          <cell r="D741" t="str">
            <v>M/S Tanha Battery House (C)</v>
          </cell>
          <cell r="E741" t="str">
            <v>01457</v>
          </cell>
        </row>
        <row r="742">
          <cell r="D742" t="str">
            <v>M/S Sonali Traders</v>
          </cell>
          <cell r="E742" t="str">
            <v>00558</v>
          </cell>
        </row>
        <row r="743">
          <cell r="D743" t="str">
            <v>M/S L D Poribahan &amp; Trading (C)</v>
          </cell>
          <cell r="E743" t="str">
            <v>01299</v>
          </cell>
        </row>
        <row r="744">
          <cell r="D744" t="str">
            <v>M/S L D Poribahan &amp; Trading (C)</v>
          </cell>
          <cell r="E744" t="str">
            <v>01299</v>
          </cell>
        </row>
        <row r="745">
          <cell r="D745" t="str">
            <v>M/S L D Poribahan &amp; Trading (C)</v>
          </cell>
          <cell r="E745" t="str">
            <v>01299</v>
          </cell>
        </row>
        <row r="746">
          <cell r="D746" t="str">
            <v>M/S Farhan Auto (C)</v>
          </cell>
          <cell r="E746" t="str">
            <v>01298</v>
          </cell>
        </row>
        <row r="747">
          <cell r="D747" t="str">
            <v>M/S Bondhu Auto and CNG Workshop</v>
          </cell>
          <cell r="E747" t="str">
            <v>01149</v>
          </cell>
        </row>
        <row r="748">
          <cell r="D748" t="str">
            <v>M/S Bondhu Auto and CNG Workshop</v>
          </cell>
          <cell r="E748" t="str">
            <v>01149</v>
          </cell>
        </row>
        <row r="749">
          <cell r="D749" t="str">
            <v>M/S Arafat Enterprise</v>
          </cell>
          <cell r="E749" t="str">
            <v>00094</v>
          </cell>
        </row>
        <row r="750">
          <cell r="D750" t="str">
            <v>M/S Power Battery</v>
          </cell>
          <cell r="E750" t="str">
            <v>00324</v>
          </cell>
        </row>
        <row r="751">
          <cell r="D751" t="str">
            <v>M/S Power Battery</v>
          </cell>
          <cell r="E751" t="str">
            <v>00324</v>
          </cell>
        </row>
        <row r="752">
          <cell r="D752" t="str">
            <v>M/S Mayer Doya Auto Parts-Laksam</v>
          </cell>
          <cell r="E752" t="str">
            <v>00325</v>
          </cell>
        </row>
        <row r="753">
          <cell r="D753" t="str">
            <v>M/S Sangu Battery House</v>
          </cell>
          <cell r="E753" t="str">
            <v>00988</v>
          </cell>
        </row>
        <row r="754">
          <cell r="D754" t="str">
            <v>M/S Sangu Battery House</v>
          </cell>
          <cell r="E754" t="str">
            <v>00988</v>
          </cell>
        </row>
        <row r="755">
          <cell r="D755" t="str">
            <v>M/S Amir Auto House</v>
          </cell>
          <cell r="E755" t="str">
            <v>00138</v>
          </cell>
        </row>
        <row r="756">
          <cell r="D756" t="str">
            <v>M/S Snigdha Battery</v>
          </cell>
          <cell r="E756" t="str">
            <v>00134</v>
          </cell>
        </row>
        <row r="757">
          <cell r="D757" t="str">
            <v>M/S Bogura Auto Center (C)</v>
          </cell>
          <cell r="E757" t="str">
            <v>01468</v>
          </cell>
        </row>
        <row r="758">
          <cell r="D758" t="str">
            <v>M/S Rakin Auto Parts</v>
          </cell>
          <cell r="E758" t="str">
            <v>00561</v>
          </cell>
        </row>
        <row r="759">
          <cell r="D759" t="str">
            <v>M/S Doyal Battery</v>
          </cell>
          <cell r="E759" t="str">
            <v>00337</v>
          </cell>
        </row>
        <row r="760">
          <cell r="D760" t="str">
            <v>M/S Doyal Battery</v>
          </cell>
          <cell r="E760" t="str">
            <v>00337</v>
          </cell>
        </row>
        <row r="761">
          <cell r="D761" t="str">
            <v>M/S Doyal Battery</v>
          </cell>
          <cell r="E761" t="str">
            <v>00337</v>
          </cell>
        </row>
        <row r="762">
          <cell r="D762" t="str">
            <v>M/S Doyal Battery</v>
          </cell>
          <cell r="E762" t="str">
            <v>00337</v>
          </cell>
        </row>
        <row r="763">
          <cell r="D763" t="str">
            <v>M/S Doyal Battery</v>
          </cell>
          <cell r="E763" t="str">
            <v>00337</v>
          </cell>
        </row>
        <row r="764">
          <cell r="D764" t="str">
            <v>M/S Doyal Battery</v>
          </cell>
          <cell r="E764" t="str">
            <v>00337</v>
          </cell>
        </row>
        <row r="765">
          <cell r="D765" t="str">
            <v>M/S Doyal Battery</v>
          </cell>
          <cell r="E765" t="str">
            <v>00337</v>
          </cell>
        </row>
        <row r="766">
          <cell r="D766" t="str">
            <v>M/S Mayer Doya Auto Parts-Feni</v>
          </cell>
          <cell r="E766" t="str">
            <v>00373</v>
          </cell>
        </row>
        <row r="767">
          <cell r="D767" t="str">
            <v>M/S Mayer Doya Auto Parts-Feni</v>
          </cell>
          <cell r="E767" t="str">
            <v>00373</v>
          </cell>
        </row>
        <row r="768">
          <cell r="D768" t="str">
            <v>M/S Sifa Motors</v>
          </cell>
          <cell r="E768" t="str">
            <v>01443</v>
          </cell>
        </row>
        <row r="769">
          <cell r="D769" t="str">
            <v>M/S Samir Battery And Tyre</v>
          </cell>
          <cell r="E769" t="str">
            <v>01450</v>
          </cell>
        </row>
        <row r="770">
          <cell r="D770" t="str">
            <v>M/S Mahtab Engineering Workshop</v>
          </cell>
          <cell r="E770" t="str">
            <v>01429</v>
          </cell>
        </row>
        <row r="771">
          <cell r="D771" t="str">
            <v>M/S S.K. Enterprise (C)</v>
          </cell>
          <cell r="E771" t="str">
            <v>01326</v>
          </cell>
        </row>
        <row r="772">
          <cell r="D772" t="str">
            <v>M/S S.K. Enterprise (C)</v>
          </cell>
          <cell r="E772" t="str">
            <v>01326</v>
          </cell>
        </row>
        <row r="773">
          <cell r="D773" t="str">
            <v>M/S S.K. Enterprise (C)</v>
          </cell>
          <cell r="E773" t="str">
            <v>01326</v>
          </cell>
        </row>
        <row r="774">
          <cell r="D774" t="str">
            <v>M/S S.K. Enterprise (C)</v>
          </cell>
          <cell r="E774" t="str">
            <v>01326</v>
          </cell>
        </row>
        <row r="775">
          <cell r="D775" t="str">
            <v>M/S S.K. Enterprise (C)</v>
          </cell>
          <cell r="E775" t="str">
            <v>01326</v>
          </cell>
        </row>
        <row r="776">
          <cell r="D776" t="str">
            <v>M/S Anas Battery &amp; Auto House</v>
          </cell>
          <cell r="E776" t="str">
            <v>01401</v>
          </cell>
        </row>
        <row r="777">
          <cell r="D777" t="str">
            <v>M/S Anas Battery &amp; Auto House</v>
          </cell>
          <cell r="E777" t="str">
            <v>01401</v>
          </cell>
        </row>
        <row r="778">
          <cell r="D778" t="str">
            <v>M/S Anik Motors &amp; Battery (C)</v>
          </cell>
          <cell r="E778" t="str">
            <v>01444</v>
          </cell>
        </row>
        <row r="779">
          <cell r="D779" t="str">
            <v>M/S Hira Motors-Chokoria</v>
          </cell>
          <cell r="E779" t="str">
            <v>01441</v>
          </cell>
        </row>
        <row r="780">
          <cell r="D780" t="str">
            <v>M/S Sifa Motors</v>
          </cell>
          <cell r="E780" t="str">
            <v>01443</v>
          </cell>
        </row>
        <row r="781">
          <cell r="D781" t="str">
            <v>M/S Bismillah Motors-Hinla</v>
          </cell>
          <cell r="E781" t="str">
            <v>01448</v>
          </cell>
        </row>
        <row r="782">
          <cell r="D782" t="str">
            <v>M/S Tamim Enterprise</v>
          </cell>
          <cell r="E782" t="str">
            <v>01395</v>
          </cell>
        </row>
        <row r="783">
          <cell r="D783" t="str">
            <v>M/S Tamim Enterprise</v>
          </cell>
          <cell r="E783" t="str">
            <v>01395</v>
          </cell>
        </row>
        <row r="784">
          <cell r="D784" t="str">
            <v>M/S Tamim Enterprise</v>
          </cell>
          <cell r="E784" t="str">
            <v>01395</v>
          </cell>
        </row>
        <row r="785">
          <cell r="D785" t="str">
            <v>Kalam Enterprise</v>
          </cell>
          <cell r="E785" t="str">
            <v>01341</v>
          </cell>
        </row>
        <row r="786">
          <cell r="D786" t="str">
            <v>Kalam Enterprise</v>
          </cell>
          <cell r="E786" t="str">
            <v>01341</v>
          </cell>
        </row>
        <row r="787">
          <cell r="D787" t="str">
            <v>Kalam Enterprise</v>
          </cell>
          <cell r="E787" t="str">
            <v>01341</v>
          </cell>
        </row>
        <row r="788">
          <cell r="D788" t="str">
            <v>M/S Hafiz Battery House</v>
          </cell>
          <cell r="E788" t="str">
            <v>01368</v>
          </cell>
        </row>
        <row r="789">
          <cell r="D789" t="str">
            <v>M/S Farhan Auto (C)</v>
          </cell>
          <cell r="E789" t="str">
            <v>01298</v>
          </cell>
        </row>
        <row r="790">
          <cell r="D790" t="str">
            <v>M/S Farhan Auto (C)</v>
          </cell>
          <cell r="E790" t="str">
            <v>01298</v>
          </cell>
        </row>
        <row r="791">
          <cell r="D791" t="str">
            <v>M/S Farhan Auto (C)</v>
          </cell>
          <cell r="E791" t="str">
            <v>01298</v>
          </cell>
        </row>
        <row r="792">
          <cell r="D792" t="str">
            <v>M/S Farhan Auto (C)</v>
          </cell>
          <cell r="E792" t="str">
            <v>01298</v>
          </cell>
        </row>
        <row r="793">
          <cell r="D793" t="str">
            <v>M/S L D Poribahan &amp; Trading (C)</v>
          </cell>
          <cell r="E793" t="str">
            <v>01299</v>
          </cell>
        </row>
        <row r="794">
          <cell r="D794" t="str">
            <v>M/S L D Poribahan &amp; Trading (C)</v>
          </cell>
          <cell r="E794" t="str">
            <v>01299</v>
          </cell>
        </row>
        <row r="795">
          <cell r="D795" t="str">
            <v>M/S Talukder Motors (C)</v>
          </cell>
          <cell r="E795" t="str">
            <v>01471</v>
          </cell>
        </row>
        <row r="796">
          <cell r="D796" t="str">
            <v>M/S Monir Auto &amp; Battery House</v>
          </cell>
          <cell r="E796" t="str">
            <v>00001</v>
          </cell>
        </row>
        <row r="797">
          <cell r="D797" t="str">
            <v>M/S New Dhaka Motors and Battery</v>
          </cell>
          <cell r="E797" t="str">
            <v>00005</v>
          </cell>
        </row>
        <row r="798">
          <cell r="D798" t="str">
            <v>M/S Shopon Battery House (C)</v>
          </cell>
          <cell r="E798" t="str">
            <v>01320</v>
          </cell>
        </row>
        <row r="799">
          <cell r="D799" t="str">
            <v>M/S Shopon Battery House (C)</v>
          </cell>
          <cell r="E799" t="str">
            <v>01320</v>
          </cell>
        </row>
        <row r="800">
          <cell r="D800" t="str">
            <v>M/S Shepon Motors (C)</v>
          </cell>
          <cell r="E800" t="str">
            <v>01438</v>
          </cell>
        </row>
        <row r="801">
          <cell r="D801" t="str">
            <v>M/S Souro Power Electric (C)</v>
          </cell>
          <cell r="E801" t="str">
            <v>01455</v>
          </cell>
        </row>
        <row r="802">
          <cell r="D802" t="str">
            <v>M/S Jamuna Battery House</v>
          </cell>
          <cell r="E802" t="str">
            <v>01456</v>
          </cell>
        </row>
        <row r="803">
          <cell r="D803" t="str">
            <v>M/S Jamuna Battery House</v>
          </cell>
          <cell r="E803" t="str">
            <v>01456</v>
          </cell>
        </row>
        <row r="804">
          <cell r="D804" t="str">
            <v>M/S Samir Battery And Tyre</v>
          </cell>
          <cell r="E804" t="str">
            <v>01450</v>
          </cell>
        </row>
        <row r="805">
          <cell r="D805" t="str">
            <v>M/S Satata Battery House</v>
          </cell>
          <cell r="E805" t="str">
            <v>01417</v>
          </cell>
        </row>
        <row r="806">
          <cell r="D806" t="str">
            <v>M/S Satata Battery House</v>
          </cell>
          <cell r="E806" t="str">
            <v>01417</v>
          </cell>
        </row>
        <row r="807">
          <cell r="D807" t="str">
            <v>M/S S.R. Battery and Tyre Centre</v>
          </cell>
          <cell r="E807" t="str">
            <v>00359</v>
          </cell>
        </row>
        <row r="808">
          <cell r="D808" t="str">
            <v>M/S Rajapur IPS &amp; Battery House</v>
          </cell>
          <cell r="E808" t="str">
            <v>01400</v>
          </cell>
        </row>
        <row r="809">
          <cell r="D809" t="str">
            <v>M/S Sifa Motors</v>
          </cell>
          <cell r="E809" t="str">
            <v>01443</v>
          </cell>
        </row>
        <row r="810">
          <cell r="D810" t="str">
            <v>M/S Roni Battery</v>
          </cell>
          <cell r="E810" t="str">
            <v>01379</v>
          </cell>
        </row>
        <row r="811">
          <cell r="D811" t="str">
            <v>M/S S.K. Enterprise (C)</v>
          </cell>
          <cell r="E811" t="str">
            <v>01326</v>
          </cell>
        </row>
        <row r="812">
          <cell r="D812" t="str">
            <v>M/S S.K. Enterprise (C)</v>
          </cell>
          <cell r="E812" t="str">
            <v>01326</v>
          </cell>
        </row>
        <row r="813">
          <cell r="D813" t="str">
            <v>M/S Hemayetpur Battery House (C)</v>
          </cell>
          <cell r="E813" t="str">
            <v>01478</v>
          </cell>
        </row>
        <row r="814">
          <cell r="D814" t="str">
            <v>M/S Hemayetpur Battery House (C)</v>
          </cell>
          <cell r="E814" t="str">
            <v>01478</v>
          </cell>
        </row>
        <row r="815">
          <cell r="D815" t="str">
            <v>M/S Modina Enterprise - Savar</v>
          </cell>
          <cell r="E815" t="str">
            <v>01404</v>
          </cell>
        </row>
        <row r="816">
          <cell r="D816" t="str">
            <v>M/S Khan Battery Recycling (C)</v>
          </cell>
          <cell r="E816" t="str">
            <v>01282</v>
          </cell>
        </row>
        <row r="817">
          <cell r="D817" t="str">
            <v>M/S Khan Battery Recycling (C)</v>
          </cell>
          <cell r="E817" t="str">
            <v>01282</v>
          </cell>
        </row>
        <row r="818">
          <cell r="D818" t="str">
            <v>M/S Rajapur IPS &amp; Battery House</v>
          </cell>
          <cell r="E818" t="str">
            <v>01400</v>
          </cell>
        </row>
        <row r="819">
          <cell r="D819" t="str">
            <v>M/S Rajapur IPS &amp; Battery House</v>
          </cell>
          <cell r="E819" t="str">
            <v>01400</v>
          </cell>
        </row>
        <row r="820">
          <cell r="D820" t="str">
            <v>M/S Anas Battery &amp; Auto House</v>
          </cell>
          <cell r="E820" t="str">
            <v>01401</v>
          </cell>
        </row>
        <row r="821">
          <cell r="D821" t="str">
            <v>M/S Anas Battery &amp; Auto House</v>
          </cell>
          <cell r="E821" t="str">
            <v>01401</v>
          </cell>
        </row>
        <row r="822">
          <cell r="D822" t="str">
            <v>M/S Anas Battery &amp; Auto House</v>
          </cell>
          <cell r="E822" t="str">
            <v>01401</v>
          </cell>
        </row>
        <row r="823">
          <cell r="D823" t="str">
            <v>M/S S.S. Enterprise-Norshingdi (C)</v>
          </cell>
          <cell r="E823" t="str">
            <v>01331</v>
          </cell>
        </row>
        <row r="824">
          <cell r="D824" t="str">
            <v>M/S S.S. Enterprise-Norshingdi (C)</v>
          </cell>
          <cell r="E824" t="str">
            <v>01331</v>
          </cell>
        </row>
        <row r="825">
          <cell r="D825" t="str">
            <v>M/S Sajib Enterprise (C)</v>
          </cell>
          <cell r="E825" t="str">
            <v>01353</v>
          </cell>
        </row>
        <row r="826">
          <cell r="D826" t="str">
            <v>M/S Farhan Auto (C)</v>
          </cell>
          <cell r="E826" t="str">
            <v>01298</v>
          </cell>
        </row>
        <row r="827">
          <cell r="D827" t="str">
            <v>M/S Farhan Auto (C)</v>
          </cell>
          <cell r="E827" t="str">
            <v>01298</v>
          </cell>
        </row>
        <row r="828">
          <cell r="D828" t="str">
            <v>M/S Farhan Auto (C)</v>
          </cell>
          <cell r="E828" t="str">
            <v>01298</v>
          </cell>
        </row>
        <row r="829">
          <cell r="D829" t="str">
            <v>M/S Farhan Auto (C)</v>
          </cell>
          <cell r="E829" t="str">
            <v>01298</v>
          </cell>
        </row>
        <row r="830">
          <cell r="D830" t="str">
            <v>M/S L D Poribahan &amp; Trading (C)</v>
          </cell>
          <cell r="E830" t="str">
            <v>01299</v>
          </cell>
        </row>
        <row r="831">
          <cell r="D831" t="str">
            <v>M/S L D Poribahan &amp; Trading (C)</v>
          </cell>
          <cell r="E831" t="str">
            <v>01299</v>
          </cell>
        </row>
        <row r="832">
          <cell r="D832" t="str">
            <v>M/S L D Poribahan &amp; Trading (C)</v>
          </cell>
          <cell r="E832" t="str">
            <v>01299</v>
          </cell>
        </row>
        <row r="833">
          <cell r="D833" t="str">
            <v>M/S Bismillah Motors-Hinla</v>
          </cell>
          <cell r="E833" t="str">
            <v>01448</v>
          </cell>
        </row>
        <row r="834">
          <cell r="D834" t="str">
            <v>M/S Bismillah Motors-Hinla</v>
          </cell>
          <cell r="E834" t="str">
            <v>01448</v>
          </cell>
        </row>
        <row r="835">
          <cell r="D835" t="str">
            <v>M/S Bismillah Motors-Hinla</v>
          </cell>
          <cell r="E835" t="str">
            <v>01448</v>
          </cell>
        </row>
        <row r="836">
          <cell r="D836" t="str">
            <v>M/S Hira Motors-Chokoria</v>
          </cell>
          <cell r="E836" t="str">
            <v>01441</v>
          </cell>
        </row>
        <row r="837">
          <cell r="D837" t="str">
            <v>M/S Hira Motors-Chokoria</v>
          </cell>
          <cell r="E837" t="str">
            <v>01441</v>
          </cell>
        </row>
        <row r="838">
          <cell r="D838" t="str">
            <v>M/S Sifa Motors</v>
          </cell>
          <cell r="E838" t="str">
            <v>01443</v>
          </cell>
        </row>
        <row r="839">
          <cell r="D839" t="str">
            <v>M/S Setu Cycle Mart</v>
          </cell>
          <cell r="E839" t="str">
            <v>00471</v>
          </cell>
        </row>
        <row r="840">
          <cell r="D840" t="str">
            <v>M/S Setu Cycle Mart</v>
          </cell>
          <cell r="E840" t="str">
            <v>00471</v>
          </cell>
        </row>
        <row r="841">
          <cell r="D841" t="str">
            <v>M/S Snigdha Battery</v>
          </cell>
          <cell r="E841" t="str">
            <v>00134</v>
          </cell>
        </row>
        <row r="842">
          <cell r="D842" t="str">
            <v>M/S Snigdha Battery</v>
          </cell>
          <cell r="E842" t="str">
            <v>00134</v>
          </cell>
        </row>
        <row r="843">
          <cell r="D843" t="str">
            <v>M/S Talukder Motors (C)</v>
          </cell>
          <cell r="E843" t="str">
            <v>01471</v>
          </cell>
        </row>
        <row r="844">
          <cell r="D844" t="str">
            <v>M/S Raza Mic &amp; Battery House</v>
          </cell>
          <cell r="E844" t="str">
            <v>01489</v>
          </cell>
        </row>
        <row r="845">
          <cell r="D845" t="str">
            <v>M/S Banskhali Enterprise-Joldi (C)</v>
          </cell>
          <cell r="E845" t="str">
            <v>01312</v>
          </cell>
        </row>
        <row r="846">
          <cell r="D846" t="str">
            <v>M/S Banskhali Enterprise-Joldi (C)</v>
          </cell>
          <cell r="E846" t="str">
            <v>01312</v>
          </cell>
        </row>
        <row r="847">
          <cell r="D847" t="str">
            <v>M/S S.K. Enterprise (C)</v>
          </cell>
          <cell r="E847" t="str">
            <v>01326</v>
          </cell>
        </row>
        <row r="848">
          <cell r="D848" t="str">
            <v>M/S S.K. Enterprise (C)</v>
          </cell>
          <cell r="E848" t="str">
            <v>01326</v>
          </cell>
        </row>
        <row r="849">
          <cell r="D849" t="str">
            <v>M/S S.K. Enterprise (C)</v>
          </cell>
          <cell r="E849" t="str">
            <v>01326</v>
          </cell>
        </row>
        <row r="850">
          <cell r="D850" t="str">
            <v>M/S S.K. Enterprise (C)</v>
          </cell>
          <cell r="E850" t="str">
            <v>01326</v>
          </cell>
        </row>
        <row r="851">
          <cell r="D851" t="str">
            <v>M/S Adhunik Battery And IPS Bitan</v>
          </cell>
          <cell r="E851" t="str">
            <v>01359</v>
          </cell>
        </row>
        <row r="852">
          <cell r="D852" t="str">
            <v>M/S Sangu Battery House</v>
          </cell>
          <cell r="E852" t="str">
            <v>00988</v>
          </cell>
        </row>
        <row r="853">
          <cell r="D853" t="str">
            <v>M/S Sangu Battery House</v>
          </cell>
          <cell r="E853" t="str">
            <v>00988</v>
          </cell>
        </row>
        <row r="854">
          <cell r="D854" t="str">
            <v>M/S Al Baraka Enterprise</v>
          </cell>
          <cell r="E854" t="str">
            <v>00159</v>
          </cell>
        </row>
        <row r="855">
          <cell r="D855" t="str">
            <v>M/S Bondhu Auto and CNG Workshop</v>
          </cell>
          <cell r="E855" t="str">
            <v>01149</v>
          </cell>
        </row>
        <row r="856">
          <cell r="D856" t="str">
            <v>M/S Bondhu Auto and CNG Workshop</v>
          </cell>
          <cell r="E856" t="str">
            <v>01149</v>
          </cell>
        </row>
        <row r="857">
          <cell r="D857" t="str">
            <v>M/S Bondhu Auto and CNG Workshop</v>
          </cell>
          <cell r="E857" t="str">
            <v>01149</v>
          </cell>
        </row>
        <row r="858">
          <cell r="D858" t="str">
            <v>M/S Bondhu Auto and CNG Workshop</v>
          </cell>
          <cell r="E858" t="str">
            <v>01149</v>
          </cell>
        </row>
        <row r="859">
          <cell r="D859" t="str">
            <v>M/S Bondhu Auto and CNG Workshop</v>
          </cell>
          <cell r="E859" t="str">
            <v>01149</v>
          </cell>
        </row>
        <row r="860">
          <cell r="D860" t="str">
            <v>M/S Doyal Battery</v>
          </cell>
          <cell r="E860" t="str">
            <v>00337</v>
          </cell>
        </row>
        <row r="861">
          <cell r="D861" t="str">
            <v>M/S Doyal Battery</v>
          </cell>
          <cell r="E861" t="str">
            <v>00337</v>
          </cell>
        </row>
        <row r="862">
          <cell r="D862" t="str">
            <v>M/S Doyal Battery</v>
          </cell>
          <cell r="E862" t="str">
            <v>00337</v>
          </cell>
        </row>
        <row r="863">
          <cell r="D863" t="str">
            <v>M/S Doyal Battery</v>
          </cell>
          <cell r="E863" t="str">
            <v>00337</v>
          </cell>
        </row>
        <row r="864">
          <cell r="D864" t="str">
            <v>M/S Rakin Auto Parts</v>
          </cell>
          <cell r="E864" t="str">
            <v>00561</v>
          </cell>
        </row>
        <row r="865">
          <cell r="D865" t="str">
            <v>M/S S S Trading</v>
          </cell>
          <cell r="E865" t="str">
            <v>00846</v>
          </cell>
        </row>
        <row r="866">
          <cell r="D866" t="str">
            <v>M/S S.K. Enterprise (C)</v>
          </cell>
          <cell r="E866" t="str">
            <v>01326</v>
          </cell>
        </row>
        <row r="867">
          <cell r="D867" t="str">
            <v>M/S S.K. Enterprise (C)</v>
          </cell>
          <cell r="E867" t="str">
            <v>01326</v>
          </cell>
        </row>
        <row r="868">
          <cell r="D868" t="str">
            <v>M/S S.K. Enterprise (C)</v>
          </cell>
          <cell r="E868" t="str">
            <v>01326</v>
          </cell>
        </row>
        <row r="869">
          <cell r="D869" t="str">
            <v>M/S Al Baraka Enterprise</v>
          </cell>
          <cell r="E869" t="str">
            <v>00159</v>
          </cell>
        </row>
        <row r="870">
          <cell r="D870" t="str">
            <v>M/S City Auto</v>
          </cell>
          <cell r="E870" t="str">
            <v>00398</v>
          </cell>
        </row>
        <row r="871">
          <cell r="D871" t="str">
            <v>M/S City Auto</v>
          </cell>
          <cell r="E871" t="str">
            <v>00398</v>
          </cell>
        </row>
        <row r="872">
          <cell r="D872" t="str">
            <v>M/S City Auto</v>
          </cell>
          <cell r="E872" t="str">
            <v>00398</v>
          </cell>
        </row>
        <row r="873">
          <cell r="D873" t="str">
            <v>M/S Souro Power Electric (C)</v>
          </cell>
          <cell r="E873" t="str">
            <v>01455</v>
          </cell>
        </row>
        <row r="874">
          <cell r="D874" t="str">
            <v>M/S Adib Alifa Auto &amp; Battery House (C)</v>
          </cell>
          <cell r="E874" t="str">
            <v>01454</v>
          </cell>
        </row>
        <row r="875">
          <cell r="D875" t="str">
            <v>M/S Adib Alifa Auto &amp; Battery House (C)</v>
          </cell>
          <cell r="E875" t="str">
            <v>01454</v>
          </cell>
        </row>
        <row r="876">
          <cell r="D876" t="str">
            <v>M/S Adib Alifa Auto &amp; Battery House (C)</v>
          </cell>
          <cell r="E876" t="str">
            <v>01454</v>
          </cell>
        </row>
        <row r="877">
          <cell r="D877" t="str">
            <v>M/S Nobodhara Corporation</v>
          </cell>
          <cell r="E877" t="str">
            <v>01352</v>
          </cell>
        </row>
        <row r="878">
          <cell r="D878" t="str">
            <v>M/S Battery House - Pabna (C)</v>
          </cell>
          <cell r="E878" t="str">
            <v>01315</v>
          </cell>
        </row>
        <row r="879">
          <cell r="D879" t="str">
            <v>M/S Atik Auto</v>
          </cell>
          <cell r="E879" t="str">
            <v>00562</v>
          </cell>
        </row>
        <row r="880">
          <cell r="D880" t="str">
            <v>M/S Maa Auto Workshop &amp; Battery Center (C)</v>
          </cell>
          <cell r="E880" t="str">
            <v>01497</v>
          </cell>
        </row>
        <row r="881">
          <cell r="D881" t="str">
            <v>M/S Maa Auto Workshop &amp; Battery Center (C)</v>
          </cell>
          <cell r="E881" t="str">
            <v>01497</v>
          </cell>
        </row>
        <row r="882">
          <cell r="D882" t="str">
            <v>M/S Maa Auto Workshop &amp; Battery Center (C)</v>
          </cell>
          <cell r="E882" t="str">
            <v>01497</v>
          </cell>
        </row>
        <row r="883">
          <cell r="D883" t="str">
            <v>M/S Sirajgonj Auto Corner (C)</v>
          </cell>
          <cell r="E883" t="str">
            <v>01494</v>
          </cell>
        </row>
        <row r="884">
          <cell r="D884" t="str">
            <v>M/S Modina Cycle Store</v>
          </cell>
          <cell r="E884" t="str">
            <v>01270</v>
          </cell>
        </row>
        <row r="885">
          <cell r="D885" t="str">
            <v>M/S Bondhu Auto and CNG Workshop</v>
          </cell>
          <cell r="E885" t="str">
            <v>01149</v>
          </cell>
        </row>
        <row r="886">
          <cell r="D886" t="str">
            <v>M/S Bondhu Auto and CNG Workshop</v>
          </cell>
          <cell r="E886" t="str">
            <v>01149</v>
          </cell>
        </row>
        <row r="887">
          <cell r="D887" t="str">
            <v>M/S Bondhu Auto and CNG Workshop</v>
          </cell>
          <cell r="E887" t="str">
            <v>01149</v>
          </cell>
        </row>
        <row r="888">
          <cell r="D888" t="str">
            <v>M/S Bondhu Auto and CNG Workshop</v>
          </cell>
          <cell r="E888" t="str">
            <v>01149</v>
          </cell>
        </row>
        <row r="889">
          <cell r="D889" t="str">
            <v>M/S Bondhu Auto and CNG Workshop</v>
          </cell>
          <cell r="E889" t="str">
            <v>01149</v>
          </cell>
        </row>
        <row r="890">
          <cell r="D890" t="str">
            <v>M/S Bondhu Auto and CNG Workshop</v>
          </cell>
          <cell r="E890" t="str">
            <v>01149</v>
          </cell>
        </row>
        <row r="891">
          <cell r="D891" t="str">
            <v>M/S Doyal Battery</v>
          </cell>
          <cell r="E891" t="str">
            <v>00337</v>
          </cell>
        </row>
        <row r="892">
          <cell r="D892" t="str">
            <v>M/S Doyal Battery</v>
          </cell>
          <cell r="E892" t="str">
            <v>00337</v>
          </cell>
        </row>
        <row r="893">
          <cell r="D893" t="str">
            <v>M/S Doyal Battery</v>
          </cell>
          <cell r="E893" t="str">
            <v>00337</v>
          </cell>
        </row>
        <row r="894">
          <cell r="D894" t="str">
            <v>M/S Doyal Battery</v>
          </cell>
          <cell r="E894" t="str">
            <v>00337</v>
          </cell>
        </row>
        <row r="895">
          <cell r="D895" t="str">
            <v>M/S Doyal Battery</v>
          </cell>
          <cell r="E895" t="str">
            <v>00337</v>
          </cell>
        </row>
        <row r="896">
          <cell r="D896" t="str">
            <v>M/S Doyal Battery</v>
          </cell>
          <cell r="E896" t="str">
            <v>00337</v>
          </cell>
        </row>
        <row r="897">
          <cell r="D897" t="str">
            <v>M/S Rakin Auto Parts</v>
          </cell>
          <cell r="E897" t="str">
            <v>00561</v>
          </cell>
        </row>
        <row r="898">
          <cell r="D898" t="str">
            <v>M/S Rakin Auto Parts</v>
          </cell>
          <cell r="E898" t="str">
            <v>00561</v>
          </cell>
        </row>
        <row r="899">
          <cell r="D899" t="str">
            <v>M/S Rakin Auto Parts</v>
          </cell>
          <cell r="E899" t="str">
            <v>00561</v>
          </cell>
        </row>
        <row r="900">
          <cell r="D900" t="str">
            <v>M/S S S Trading</v>
          </cell>
          <cell r="E900" t="str">
            <v>00846</v>
          </cell>
        </row>
        <row r="901">
          <cell r="D901" t="str">
            <v>M/S Snigdha Battery</v>
          </cell>
          <cell r="E901" t="str">
            <v>00134</v>
          </cell>
        </row>
        <row r="902">
          <cell r="D902" t="str">
            <v>M/S Snigdha Battery</v>
          </cell>
          <cell r="E902" t="str">
            <v>00134</v>
          </cell>
        </row>
        <row r="903">
          <cell r="D903" t="str">
            <v>M/S Sohan Motors</v>
          </cell>
          <cell r="E903" t="str">
            <v>01385</v>
          </cell>
        </row>
        <row r="904">
          <cell r="D904" t="str">
            <v>M/S Sohan Motors</v>
          </cell>
          <cell r="E904" t="str">
            <v>01385</v>
          </cell>
        </row>
        <row r="905">
          <cell r="D905" t="str">
            <v>M/S Sohan Motors</v>
          </cell>
          <cell r="E905" t="str">
            <v>01385</v>
          </cell>
        </row>
        <row r="906">
          <cell r="D906" t="str">
            <v>M/S Setu Cycle Mart</v>
          </cell>
          <cell r="E906" t="str">
            <v>00471</v>
          </cell>
        </row>
        <row r="907">
          <cell r="D907" t="str">
            <v>M/S Setu Cycle Mart</v>
          </cell>
          <cell r="E907" t="str">
            <v>00471</v>
          </cell>
        </row>
        <row r="908">
          <cell r="D908" t="str">
            <v>M/S Setu Cycle Mart</v>
          </cell>
          <cell r="E908" t="str">
            <v>00471</v>
          </cell>
        </row>
        <row r="909">
          <cell r="D909" t="str">
            <v>M/S Setu Cycle Mart</v>
          </cell>
          <cell r="E909" t="str">
            <v>00471</v>
          </cell>
        </row>
        <row r="910">
          <cell r="D910" t="str">
            <v>M/S Sangu Battery House</v>
          </cell>
          <cell r="E910" t="str">
            <v>00988</v>
          </cell>
        </row>
        <row r="911">
          <cell r="D911" t="str">
            <v>M/S Sangu Battery House</v>
          </cell>
          <cell r="E911" t="str">
            <v>00988</v>
          </cell>
        </row>
        <row r="912">
          <cell r="D912" t="str">
            <v>M/S Shahjalal Traders</v>
          </cell>
          <cell r="E912" t="str">
            <v>01362</v>
          </cell>
        </row>
        <row r="913">
          <cell r="D913" t="str">
            <v>M/S Shahjalal Traders</v>
          </cell>
          <cell r="E913" t="str">
            <v>01362</v>
          </cell>
        </row>
        <row r="914">
          <cell r="D914" t="str">
            <v>M/S Rumi Battery House</v>
          </cell>
          <cell r="E914" t="str">
            <v>00387</v>
          </cell>
        </row>
        <row r="915">
          <cell r="D915" t="str">
            <v>M/S Bhai Bhai Battery And Motors (C)</v>
          </cell>
          <cell r="E915" t="str">
            <v>01496</v>
          </cell>
        </row>
        <row r="916">
          <cell r="D916" t="str">
            <v>M/S Bhai Bhai Battery And Motors (C)</v>
          </cell>
          <cell r="E916" t="str">
            <v>01496</v>
          </cell>
        </row>
        <row r="917">
          <cell r="D917" t="str">
            <v>M/S Nazrul Battery and Mobil House</v>
          </cell>
          <cell r="E917" t="str">
            <v>00832</v>
          </cell>
        </row>
        <row r="918">
          <cell r="D918" t="str">
            <v>M/S Jhenaidah Bike Center</v>
          </cell>
          <cell r="E918" t="str">
            <v>01358</v>
          </cell>
        </row>
        <row r="919">
          <cell r="D919" t="str">
            <v>M/S Modina Enterprise - Savar</v>
          </cell>
          <cell r="E919" t="str">
            <v>01404</v>
          </cell>
        </row>
        <row r="920">
          <cell r="D920" t="str">
            <v>M/S Modina Enterprise - Savar</v>
          </cell>
          <cell r="E920" t="str">
            <v>01404</v>
          </cell>
        </row>
        <row r="921">
          <cell r="D921" t="str">
            <v>M/S Modina Enterprise - Savar</v>
          </cell>
          <cell r="E921" t="str">
            <v>01404</v>
          </cell>
        </row>
        <row r="922">
          <cell r="D922" t="str">
            <v>M/S Mahtab Engineering Workshop</v>
          </cell>
          <cell r="E922" t="str">
            <v>01429</v>
          </cell>
        </row>
        <row r="923">
          <cell r="D923" t="str">
            <v>M/S Khan Battery Recycling (C)</v>
          </cell>
          <cell r="E923" t="str">
            <v>01282</v>
          </cell>
        </row>
        <row r="924">
          <cell r="D924" t="str">
            <v>M/S Sohan Motors</v>
          </cell>
          <cell r="E924" t="str">
            <v>01385</v>
          </cell>
        </row>
        <row r="925">
          <cell r="D925" t="str">
            <v>M/S Hira Motors-Chokoria</v>
          </cell>
          <cell r="E925" t="str">
            <v>01441</v>
          </cell>
        </row>
        <row r="926">
          <cell r="D926" t="str">
            <v>M/S Bismillah Motors-Hinla</v>
          </cell>
          <cell r="E926" t="str">
            <v>01448</v>
          </cell>
        </row>
        <row r="927">
          <cell r="D927" t="str">
            <v>M/S Hafiz Battery House</v>
          </cell>
          <cell r="E927" t="str">
            <v>01368</v>
          </cell>
        </row>
        <row r="928">
          <cell r="D928" t="str">
            <v>M/S Hafiz Battery House</v>
          </cell>
          <cell r="E928" t="str">
            <v>01368</v>
          </cell>
        </row>
        <row r="929">
          <cell r="D929" t="str">
            <v>M/S Babul Enterprise (C)</v>
          </cell>
          <cell r="E929" t="str">
            <v>01292</v>
          </cell>
        </row>
        <row r="930">
          <cell r="D930" t="str">
            <v>M/S Sadia Enterprise</v>
          </cell>
          <cell r="E930" t="str">
            <v>01490</v>
          </cell>
        </row>
        <row r="931">
          <cell r="D931" t="str">
            <v>M/S Farhan Auto (C)</v>
          </cell>
          <cell r="E931" t="str">
            <v>01298</v>
          </cell>
        </row>
        <row r="932">
          <cell r="D932" t="str">
            <v>M/S Farhan Auto (C)</v>
          </cell>
          <cell r="E932" t="str">
            <v>01298</v>
          </cell>
        </row>
        <row r="933">
          <cell r="D933" t="str">
            <v>M/S Farhan Auto (C)</v>
          </cell>
          <cell r="E933" t="str">
            <v>01298</v>
          </cell>
        </row>
        <row r="934">
          <cell r="D934" t="str">
            <v>M/S Farhan Auto (C)</v>
          </cell>
          <cell r="E934" t="str">
            <v>01298</v>
          </cell>
        </row>
        <row r="935">
          <cell r="D935" t="str">
            <v>M/S L D Poribahan &amp; Trading (C)</v>
          </cell>
          <cell r="E935" t="str">
            <v>01299</v>
          </cell>
        </row>
        <row r="936">
          <cell r="D936" t="str">
            <v>M/S Supreme Auto (C)</v>
          </cell>
          <cell r="E936" t="str">
            <v>01300</v>
          </cell>
        </row>
        <row r="937">
          <cell r="D937" t="str">
            <v>M/S Rasel Bettary Service</v>
          </cell>
          <cell r="E937" t="str">
            <v>01380</v>
          </cell>
        </row>
        <row r="938">
          <cell r="D938" t="str">
            <v>M/S Rajapur IPS &amp; Battery House</v>
          </cell>
          <cell r="E938" t="str">
            <v>01400</v>
          </cell>
        </row>
        <row r="939">
          <cell r="D939" t="str">
            <v>M/S Anas Battery &amp; Auto House</v>
          </cell>
          <cell r="E939" t="str">
            <v>01401</v>
          </cell>
        </row>
        <row r="940">
          <cell r="D940" t="str">
            <v>M/S Anas Battery &amp; Auto House</v>
          </cell>
          <cell r="E940" t="str">
            <v>01401</v>
          </cell>
        </row>
        <row r="941">
          <cell r="D941" t="str">
            <v>M/S Anik Motors &amp; Battery (C)</v>
          </cell>
          <cell r="E941" t="str">
            <v>01444</v>
          </cell>
        </row>
        <row r="942">
          <cell r="D942" t="str">
            <v>M/S S.S. Enterprise-Norshingdi (C)</v>
          </cell>
          <cell r="E942" t="str">
            <v>01331</v>
          </cell>
        </row>
        <row r="943">
          <cell r="D943" t="str">
            <v>M/S S.S. Enterprise-Norshingdi (C)</v>
          </cell>
          <cell r="E943" t="str">
            <v>01331</v>
          </cell>
        </row>
        <row r="944">
          <cell r="D944" t="str">
            <v>M/S S.S. Enterprise-Norshingdi (C)</v>
          </cell>
          <cell r="E944" t="str">
            <v>01331</v>
          </cell>
        </row>
        <row r="945">
          <cell r="D945" t="str">
            <v>M/S Sajib Enterprise (C)</v>
          </cell>
          <cell r="E945" t="str">
            <v>01353</v>
          </cell>
        </row>
        <row r="946">
          <cell r="D946" t="str">
            <v>M/S Sajib Enterprise (C)</v>
          </cell>
          <cell r="E946" t="str">
            <v>01353</v>
          </cell>
        </row>
        <row r="947">
          <cell r="D947" t="str">
            <v>M/S S.S. Enterprise-Norshingdi (C)</v>
          </cell>
          <cell r="E947" t="str">
            <v>01331</v>
          </cell>
        </row>
        <row r="948">
          <cell r="D948" t="str">
            <v>M/S Souro Power Electric (C)</v>
          </cell>
          <cell r="E948" t="str">
            <v>01455</v>
          </cell>
        </row>
        <row r="949">
          <cell r="D949" t="str">
            <v>M/S Bhai Bhai Battery And Motors (C)</v>
          </cell>
          <cell r="E949" t="str">
            <v>01496</v>
          </cell>
        </row>
        <row r="950">
          <cell r="D950" t="str">
            <v>M/S Nirob Motors &amp; Battery</v>
          </cell>
          <cell r="E950" t="str">
            <v>01485</v>
          </cell>
        </row>
        <row r="951">
          <cell r="D951" t="str">
            <v>M/S Mosabbir Traders</v>
          </cell>
          <cell r="E951" t="str">
            <v>00560</v>
          </cell>
        </row>
        <row r="952">
          <cell r="D952" t="str">
            <v>M/S Roni Battery</v>
          </cell>
          <cell r="E952" t="str">
            <v>01379</v>
          </cell>
        </row>
        <row r="953">
          <cell r="D953" t="str">
            <v>M/S Battery House - Pabna (C)</v>
          </cell>
          <cell r="E953" t="str">
            <v>01315</v>
          </cell>
        </row>
        <row r="954">
          <cell r="D954" t="str">
            <v>M/S Tanha Battery House (C)</v>
          </cell>
          <cell r="E954" t="str">
            <v>01457</v>
          </cell>
        </row>
        <row r="955">
          <cell r="D955" t="str">
            <v>M/S Tanha Battery House (C)</v>
          </cell>
          <cell r="E955" t="str">
            <v>01457</v>
          </cell>
        </row>
        <row r="956">
          <cell r="D956" t="str">
            <v>M/S S. K. Battery and Motors</v>
          </cell>
          <cell r="E956" t="str">
            <v>01458</v>
          </cell>
        </row>
        <row r="957">
          <cell r="D957" t="str">
            <v>M/S Roni Battery</v>
          </cell>
          <cell r="E957" t="str">
            <v>01379</v>
          </cell>
        </row>
        <row r="958">
          <cell r="D958" t="str">
            <v>M/S New Saika Motors</v>
          </cell>
          <cell r="E958" t="str">
            <v>00343</v>
          </cell>
        </row>
        <row r="959">
          <cell r="D959" t="str">
            <v>M/S New Saika Motors</v>
          </cell>
          <cell r="E959" t="str">
            <v>00343</v>
          </cell>
        </row>
        <row r="960">
          <cell r="D960" t="str">
            <v>M/S Tanha Battery House</v>
          </cell>
          <cell r="E960" t="str">
            <v>01390</v>
          </cell>
        </row>
        <row r="961">
          <cell r="D961" t="str">
            <v>M/S Rumi Battery House</v>
          </cell>
          <cell r="E961" t="str">
            <v>00387</v>
          </cell>
        </row>
        <row r="962">
          <cell r="D962" t="str">
            <v>M/S Rumi Battery House</v>
          </cell>
          <cell r="E962" t="str">
            <v>00387</v>
          </cell>
        </row>
        <row r="963">
          <cell r="D963" t="str">
            <v>M/S Rumi Battery House</v>
          </cell>
          <cell r="E963" t="str">
            <v>00387</v>
          </cell>
        </row>
        <row r="964">
          <cell r="D964" t="str">
            <v>M/S Doyal Battery</v>
          </cell>
          <cell r="E964" t="str">
            <v>00337</v>
          </cell>
        </row>
        <row r="965">
          <cell r="D965" t="str">
            <v>M/S Doyal Battery</v>
          </cell>
          <cell r="E965" t="str">
            <v>00337</v>
          </cell>
        </row>
        <row r="966">
          <cell r="D966" t="str">
            <v>M/S Doyal Battery</v>
          </cell>
          <cell r="E966" t="str">
            <v>00337</v>
          </cell>
        </row>
        <row r="967">
          <cell r="D967" t="str">
            <v>M/S Doyal Battery</v>
          </cell>
          <cell r="E967" t="str">
            <v>00337</v>
          </cell>
        </row>
        <row r="968">
          <cell r="D968" t="str">
            <v>M/S Doyal Battery</v>
          </cell>
          <cell r="E968" t="str">
            <v>00337</v>
          </cell>
        </row>
        <row r="969">
          <cell r="D969" t="str">
            <v>M/S Doyal Battery</v>
          </cell>
          <cell r="E969" t="str">
            <v>00337</v>
          </cell>
        </row>
        <row r="970">
          <cell r="D970" t="str">
            <v>M/S Bondhu Auto and CNG Workshop</v>
          </cell>
          <cell r="E970" t="str">
            <v>01149</v>
          </cell>
        </row>
        <row r="971">
          <cell r="D971" t="str">
            <v>M/S Bondhu Auto and CNG Workshop</v>
          </cell>
          <cell r="E971" t="str">
            <v>01149</v>
          </cell>
        </row>
        <row r="972">
          <cell r="D972" t="str">
            <v>M/S Saiful Motors</v>
          </cell>
          <cell r="E972" t="str">
            <v>00482</v>
          </cell>
        </row>
        <row r="973">
          <cell r="D973" t="str">
            <v>M/S S.S. Enterprise-Norshingdi</v>
          </cell>
          <cell r="E973" t="str">
            <v>01118</v>
          </cell>
        </row>
        <row r="974">
          <cell r="D974" t="str">
            <v>M/S Kalam Store</v>
          </cell>
          <cell r="E974" t="str">
            <v>01436</v>
          </cell>
        </row>
        <row r="975">
          <cell r="D975" t="str">
            <v>M/S Kalam Store</v>
          </cell>
          <cell r="E975" t="str">
            <v>01436</v>
          </cell>
        </row>
        <row r="976">
          <cell r="D976" t="str">
            <v>M/S AL Amin Parts Store (C)</v>
          </cell>
          <cell r="E976" t="str">
            <v>01354</v>
          </cell>
        </row>
        <row r="977">
          <cell r="D977" t="str">
            <v>M/S AL Amin Parts Store (C)</v>
          </cell>
          <cell r="E977" t="str">
            <v>01354</v>
          </cell>
        </row>
        <row r="978">
          <cell r="D978" t="str">
            <v>M/S Farhan Battery &amp; Auto Parts</v>
          </cell>
          <cell r="E978" t="str">
            <v>01470</v>
          </cell>
        </row>
        <row r="979">
          <cell r="D979" t="str">
            <v>M/S Anamika Auto Rickshow</v>
          </cell>
          <cell r="E979" t="str">
            <v>00496</v>
          </cell>
        </row>
        <row r="980">
          <cell r="D980" t="str">
            <v>M/S Setu Cycle Mart</v>
          </cell>
          <cell r="E980" t="str">
            <v>00471</v>
          </cell>
        </row>
        <row r="981">
          <cell r="D981" t="str">
            <v>M/S Setu Cycle Mart</v>
          </cell>
          <cell r="E981" t="str">
            <v>00471</v>
          </cell>
        </row>
        <row r="982">
          <cell r="D982" t="str">
            <v>M/S Setu Cycle Mart</v>
          </cell>
          <cell r="E982" t="str">
            <v>00471</v>
          </cell>
        </row>
        <row r="983">
          <cell r="D983" t="str">
            <v>M/S Ma Tyre &amp; Battery  Shop</v>
          </cell>
          <cell r="E983" t="str">
            <v>00088</v>
          </cell>
        </row>
        <row r="984">
          <cell r="D984" t="str">
            <v>M/S Ma Tyre &amp; Battery  Shop</v>
          </cell>
          <cell r="E984" t="str">
            <v>00088</v>
          </cell>
        </row>
        <row r="985">
          <cell r="D985" t="str">
            <v>M/S Al - Mokka Enterprise</v>
          </cell>
          <cell r="E985" t="str">
            <v>01112</v>
          </cell>
        </row>
        <row r="986">
          <cell r="D986" t="str">
            <v>M/S Polash Battery and Auto Parts</v>
          </cell>
          <cell r="E986" t="str">
            <v>01244</v>
          </cell>
        </row>
        <row r="987">
          <cell r="D987" t="str">
            <v>M/S Polash Battery and Auto Parts</v>
          </cell>
          <cell r="E987" t="str">
            <v>01244</v>
          </cell>
        </row>
        <row r="988">
          <cell r="D988" t="str">
            <v>M/S Khan Battery Recycling (C)</v>
          </cell>
          <cell r="E988" t="str">
            <v>01282</v>
          </cell>
        </row>
        <row r="989">
          <cell r="D989" t="str">
            <v>M/S Khan Battery Recycling (C)</v>
          </cell>
          <cell r="E989" t="str">
            <v>01282</v>
          </cell>
        </row>
        <row r="990">
          <cell r="D990" t="str">
            <v>M/S Modina Enterprise - Savar</v>
          </cell>
          <cell r="E990" t="str">
            <v>01404</v>
          </cell>
        </row>
        <row r="991">
          <cell r="D991" t="str">
            <v>M/S Modina Enterprise - Savar</v>
          </cell>
          <cell r="E991" t="str">
            <v>01404</v>
          </cell>
        </row>
        <row r="992">
          <cell r="D992" t="str">
            <v>M/S Jogotbondhu Battery &amp; Eng. Workshop</v>
          </cell>
          <cell r="E992" t="str">
            <v>00143</v>
          </cell>
        </row>
        <row r="993">
          <cell r="D993" t="str">
            <v>M/S Comilla Traders</v>
          </cell>
          <cell r="E993" t="str">
            <v>00334</v>
          </cell>
        </row>
        <row r="994">
          <cell r="D994" t="str">
            <v>M/S Comilla Traders</v>
          </cell>
          <cell r="E994" t="str">
            <v>00334</v>
          </cell>
        </row>
        <row r="995">
          <cell r="D995" t="str">
            <v>M/S Comilla Traders</v>
          </cell>
          <cell r="E995" t="str">
            <v>00334</v>
          </cell>
        </row>
        <row r="996">
          <cell r="D996" t="str">
            <v>M/S Setu Cycle Mart</v>
          </cell>
          <cell r="E996" t="str">
            <v>00471</v>
          </cell>
        </row>
        <row r="997">
          <cell r="D997" t="str">
            <v>M/S Farhan Auto (C)</v>
          </cell>
          <cell r="E997" t="str">
            <v>01298</v>
          </cell>
        </row>
        <row r="998">
          <cell r="D998" t="str">
            <v>M/S Farhan Auto (C)</v>
          </cell>
          <cell r="E998" t="str">
            <v>01298</v>
          </cell>
        </row>
        <row r="999">
          <cell r="D999" t="str">
            <v>M/S Banskhali Enterprise-Joldi (C)</v>
          </cell>
          <cell r="E999" t="str">
            <v>01312</v>
          </cell>
        </row>
        <row r="1000">
          <cell r="D1000" t="str">
            <v>M/S S.K. Enterprise (C)</v>
          </cell>
          <cell r="E1000" t="str">
            <v>01326</v>
          </cell>
        </row>
        <row r="1001">
          <cell r="D1001" t="str">
            <v>M/S S.K. Enterprise (C)</v>
          </cell>
          <cell r="E1001" t="str">
            <v>01326</v>
          </cell>
        </row>
        <row r="1002">
          <cell r="D1002" t="str">
            <v>M/S Macca Tyre And battery House</v>
          </cell>
          <cell r="E1002" t="str">
            <v>00439</v>
          </cell>
        </row>
        <row r="1003">
          <cell r="D1003" t="str">
            <v>M/S S.K. Enterprise (C)</v>
          </cell>
          <cell r="E1003" t="str">
            <v>01326</v>
          </cell>
        </row>
        <row r="1004">
          <cell r="D1004" t="str">
            <v>M/S S.K. Enterprise (C)</v>
          </cell>
          <cell r="E1004" t="str">
            <v>01326</v>
          </cell>
        </row>
        <row r="1005">
          <cell r="D1005" t="str">
            <v>M/S Belal Battery House</v>
          </cell>
          <cell r="E1005" t="str">
            <v>01461</v>
          </cell>
        </row>
        <row r="1006">
          <cell r="D1006" t="str">
            <v>M/S S.S. Enterprise-Norshingdi (C)</v>
          </cell>
          <cell r="E1006" t="str">
            <v>01331</v>
          </cell>
        </row>
        <row r="1007">
          <cell r="D1007" t="str">
            <v>M/S S.S. Enterprise-Norshingdi (C)</v>
          </cell>
          <cell r="E1007" t="str">
            <v>01331</v>
          </cell>
        </row>
        <row r="1008">
          <cell r="D1008" t="str">
            <v>M/S Anik Motors &amp; Battery (C)</v>
          </cell>
          <cell r="E1008" t="str">
            <v>01444</v>
          </cell>
        </row>
        <row r="1009">
          <cell r="D1009" t="str">
            <v>M/S Maa Battery Service</v>
          </cell>
          <cell r="E1009" t="str">
            <v>00327</v>
          </cell>
        </row>
        <row r="1010">
          <cell r="D1010" t="str">
            <v>M/S Adib Alifa Auto &amp; Battery House (C)</v>
          </cell>
          <cell r="E1010" t="str">
            <v>01454</v>
          </cell>
        </row>
        <row r="1011">
          <cell r="D1011" t="str">
            <v>M/S Adib Alifa Auto &amp; Battery House (C)</v>
          </cell>
          <cell r="E1011" t="str">
            <v>01454</v>
          </cell>
        </row>
        <row r="1012">
          <cell r="D1012" t="str">
            <v>M/S Roni Battery</v>
          </cell>
          <cell r="E1012" t="str">
            <v>01379</v>
          </cell>
        </row>
        <row r="1013">
          <cell r="D1013" t="str">
            <v>M/S Suborna Battery</v>
          </cell>
          <cell r="E1013" t="str">
            <v>00563</v>
          </cell>
        </row>
        <row r="1014">
          <cell r="D1014" t="str">
            <v>M/S S S Trading</v>
          </cell>
          <cell r="E1014" t="str">
            <v>00846</v>
          </cell>
        </row>
        <row r="1015">
          <cell r="D1015" t="str">
            <v>M/S Sarkar Motors and Battery (C)</v>
          </cell>
          <cell r="E1015" t="str">
            <v>01502</v>
          </cell>
        </row>
        <row r="1016">
          <cell r="D1016" t="str">
            <v>M/S Al - Mokka Enterprise</v>
          </cell>
          <cell r="E1016" t="str">
            <v>01112</v>
          </cell>
        </row>
        <row r="1017">
          <cell r="D1017" t="str">
            <v>M/S Al - Mokka Enterprise</v>
          </cell>
          <cell r="E1017" t="str">
            <v>01112</v>
          </cell>
        </row>
        <row r="1018">
          <cell r="D1018" t="str">
            <v>M/S Bondhu Auto and CNG Workshop</v>
          </cell>
          <cell r="E1018" t="str">
            <v>01149</v>
          </cell>
        </row>
        <row r="1019">
          <cell r="D1019" t="str">
            <v>M/S Doyal Battery</v>
          </cell>
          <cell r="E1019" t="str">
            <v>00337</v>
          </cell>
        </row>
        <row r="1020">
          <cell r="D1020" t="str">
            <v>M/S Sangu Battery House</v>
          </cell>
          <cell r="E1020" t="str">
            <v>00988</v>
          </cell>
        </row>
        <row r="1021">
          <cell r="D1021" t="str">
            <v>M/S Rakin Auto Parts</v>
          </cell>
          <cell r="E1021" t="str">
            <v>00561</v>
          </cell>
        </row>
        <row r="1022">
          <cell r="D1022" t="str">
            <v>M/S Al - Barakah Battery &amp; Auto Parts</v>
          </cell>
          <cell r="E1022" t="str">
            <v>01476</v>
          </cell>
        </row>
        <row r="1023">
          <cell r="D1023" t="str">
            <v>M/S Shoshi Enterprise</v>
          </cell>
          <cell r="E1023" t="str">
            <v>01153</v>
          </cell>
        </row>
        <row r="1024">
          <cell r="D1024" t="str">
            <v>M/S Ma Tyre &amp; Battery  Shop</v>
          </cell>
          <cell r="E1024" t="str">
            <v>00088</v>
          </cell>
        </row>
        <row r="1025">
          <cell r="D1025" t="str">
            <v>M/S New Dhaka Motors and Battery</v>
          </cell>
          <cell r="E1025" t="str">
            <v>00005</v>
          </cell>
        </row>
        <row r="1026">
          <cell r="D1026" t="str">
            <v>M/S New Dhaka Motors and Battery</v>
          </cell>
          <cell r="E1026" t="str">
            <v>00005</v>
          </cell>
        </row>
        <row r="1027">
          <cell r="D1027" t="str">
            <v>M/S Chapai Auto Battery House</v>
          </cell>
          <cell r="E1027" t="str">
            <v>01487</v>
          </cell>
        </row>
        <row r="1028">
          <cell r="D1028" t="str">
            <v>M/S Hemayetpur Battery House (C)</v>
          </cell>
          <cell r="E1028" t="str">
            <v>01478</v>
          </cell>
        </row>
        <row r="1029">
          <cell r="D1029" t="str">
            <v>M/S Adnan Tyre and Battery House</v>
          </cell>
          <cell r="E1029" t="str">
            <v>01371</v>
          </cell>
        </row>
        <row r="1030">
          <cell r="D1030" t="str">
            <v>M/S Rashed Enterprise</v>
          </cell>
          <cell r="E1030" t="str">
            <v>00030</v>
          </cell>
        </row>
        <row r="1031">
          <cell r="D1031" t="str">
            <v>M/S Ripon Tyre and Battery</v>
          </cell>
          <cell r="E1031" t="str">
            <v>00002</v>
          </cell>
        </row>
        <row r="1032">
          <cell r="D1032" t="str">
            <v>M/S Polash Battery and Auto Parts</v>
          </cell>
          <cell r="E1032" t="str">
            <v>01244</v>
          </cell>
        </row>
        <row r="1033">
          <cell r="D1033" t="str">
            <v>M/S Modina Enterprise - Savar</v>
          </cell>
          <cell r="E1033" t="str">
            <v>01404</v>
          </cell>
        </row>
        <row r="1034">
          <cell r="D1034" t="str">
            <v>M/S Anas Enterprise</v>
          </cell>
          <cell r="E1034" t="str">
            <v>00817</v>
          </cell>
        </row>
        <row r="1035">
          <cell r="D1035" t="str">
            <v>M/S Farhan Auto (C)</v>
          </cell>
          <cell r="E1035" t="str">
            <v>01298</v>
          </cell>
        </row>
        <row r="1036">
          <cell r="D1036" t="str">
            <v>M/S Farhan Auto (C)</v>
          </cell>
          <cell r="E1036" t="str">
            <v>01298</v>
          </cell>
        </row>
        <row r="1037">
          <cell r="D1037" t="str">
            <v>M/S Farhan Auto (C)</v>
          </cell>
          <cell r="E1037" t="str">
            <v>01298</v>
          </cell>
        </row>
        <row r="1038">
          <cell r="D1038" t="str">
            <v>M/S Farhan Auto (C)</v>
          </cell>
          <cell r="E1038" t="str">
            <v>01298</v>
          </cell>
        </row>
        <row r="1039">
          <cell r="D1039" t="str">
            <v>M/S L D Poribahan &amp; Trading (C)</v>
          </cell>
          <cell r="E1039" t="str">
            <v>01299</v>
          </cell>
        </row>
        <row r="1040">
          <cell r="D1040" t="str">
            <v>M/S L D Poribahan &amp; Trading (C)</v>
          </cell>
          <cell r="E1040" t="str">
            <v>01299</v>
          </cell>
        </row>
        <row r="1041">
          <cell r="D1041" t="str">
            <v>M/S L D Poribahan &amp; Trading (C)</v>
          </cell>
          <cell r="E1041" t="str">
            <v>01299</v>
          </cell>
        </row>
        <row r="1042">
          <cell r="D1042" t="str">
            <v>M/S Shahjalal Traders</v>
          </cell>
          <cell r="E1042" t="str">
            <v>01362</v>
          </cell>
        </row>
        <row r="1043">
          <cell r="D1043" t="str">
            <v>M/S City Auto</v>
          </cell>
          <cell r="E1043" t="str">
            <v>00398</v>
          </cell>
        </row>
        <row r="1044">
          <cell r="D1044" t="str">
            <v>M/S Minara Traders</v>
          </cell>
          <cell r="E1044" t="str">
            <v>01108</v>
          </cell>
        </row>
        <row r="1045">
          <cell r="D1045" t="str">
            <v>M/S S.K. Enterprise (C)</v>
          </cell>
          <cell r="E1045" t="str">
            <v>01326</v>
          </cell>
        </row>
        <row r="1046">
          <cell r="D1046" t="str">
            <v>M/S S.K. Enterprise (C)</v>
          </cell>
          <cell r="E1046" t="str">
            <v>01326</v>
          </cell>
        </row>
        <row r="1047">
          <cell r="D1047" t="str">
            <v>M/S S.K. Enterprise (C)</v>
          </cell>
          <cell r="E1047" t="str">
            <v>01326</v>
          </cell>
        </row>
        <row r="1048">
          <cell r="D1048" t="str">
            <v>M/S S.K. Enterprise (C)</v>
          </cell>
          <cell r="E1048" t="str">
            <v>01326</v>
          </cell>
        </row>
        <row r="1049">
          <cell r="D1049" t="str">
            <v>M/S S.K. Enterprise (C)</v>
          </cell>
          <cell r="E1049" t="str">
            <v>01326</v>
          </cell>
        </row>
        <row r="1050">
          <cell r="D1050" t="str">
            <v>M/S S.K. Enterprise (C)</v>
          </cell>
          <cell r="E1050" t="str">
            <v>01326</v>
          </cell>
        </row>
        <row r="1051">
          <cell r="D1051" t="str">
            <v>M/S Bashkhali Enterprise</v>
          </cell>
          <cell r="E1051" t="str">
            <v>00424</v>
          </cell>
        </row>
        <row r="1052">
          <cell r="D1052" t="str">
            <v>M/S Bashkhali Enterprise</v>
          </cell>
          <cell r="E1052" t="str">
            <v>00424</v>
          </cell>
        </row>
        <row r="1053">
          <cell r="D1053" t="str">
            <v>M/S Macca Tyre And battery House</v>
          </cell>
          <cell r="E1053" t="str">
            <v>00439</v>
          </cell>
        </row>
        <row r="1054">
          <cell r="D1054" t="str">
            <v>M/S Macca Tyre And battery House</v>
          </cell>
          <cell r="E1054" t="str">
            <v>00439</v>
          </cell>
        </row>
        <row r="1055">
          <cell r="D1055" t="str">
            <v>M/S Macca Tyre And battery House</v>
          </cell>
          <cell r="E1055" t="str">
            <v>00439</v>
          </cell>
        </row>
        <row r="1056">
          <cell r="D1056" t="str">
            <v>M/S S.K. Enterprise (C)</v>
          </cell>
          <cell r="E1056" t="str">
            <v>01326</v>
          </cell>
        </row>
        <row r="1057">
          <cell r="D1057" t="str">
            <v>M/S S.K. Enterprise (C)</v>
          </cell>
          <cell r="E1057" t="str">
            <v>01326</v>
          </cell>
        </row>
        <row r="1058">
          <cell r="D1058" t="str">
            <v>M/S S.K. Enterprise (C)</v>
          </cell>
          <cell r="E1058" t="str">
            <v>01326</v>
          </cell>
        </row>
        <row r="1059">
          <cell r="D1059" t="str">
            <v>M/S Kalam Auto Motor Parts And Battery House</v>
          </cell>
          <cell r="E1059" t="str">
            <v>00420</v>
          </cell>
        </row>
        <row r="1060">
          <cell r="D1060" t="str">
            <v>M/S Kalam Auto Motor Parts And Battery House</v>
          </cell>
          <cell r="E1060" t="str">
            <v>00420</v>
          </cell>
        </row>
        <row r="1061">
          <cell r="D1061" t="str">
            <v>M/S Kalam Auto Motor Parts And Battery House</v>
          </cell>
          <cell r="E1061" t="str">
            <v>00420</v>
          </cell>
        </row>
        <row r="1062">
          <cell r="D1062" t="str">
            <v>M/S Kalam Auto Motor Parts And Battery House</v>
          </cell>
          <cell r="E1062" t="str">
            <v>00420</v>
          </cell>
        </row>
        <row r="1063">
          <cell r="D1063" t="str">
            <v>M/S Babul Enterprise (C)</v>
          </cell>
          <cell r="E1063" t="str">
            <v>01292</v>
          </cell>
        </row>
        <row r="1064">
          <cell r="D1064" t="str">
            <v>M/S Talukder Motors (C)</v>
          </cell>
          <cell r="E1064" t="str">
            <v>01471</v>
          </cell>
        </row>
        <row r="1065">
          <cell r="D1065" t="str">
            <v>M/S New Saika Motors</v>
          </cell>
          <cell r="E1065" t="str">
            <v>00343</v>
          </cell>
        </row>
        <row r="1066">
          <cell r="D1066" t="str">
            <v>M/S Hira Motors-Chokoria</v>
          </cell>
          <cell r="E1066" t="str">
            <v>01441</v>
          </cell>
        </row>
        <row r="1067">
          <cell r="D1067" t="str">
            <v>M/S Hira Motors-Chokoria</v>
          </cell>
          <cell r="E1067" t="str">
            <v>01441</v>
          </cell>
        </row>
        <row r="1068">
          <cell r="D1068" t="str">
            <v>M/S Bismillah Motors-Hinla</v>
          </cell>
          <cell r="E1068" t="str">
            <v>01448</v>
          </cell>
        </row>
        <row r="1069">
          <cell r="D1069" t="str">
            <v>M/S Sohan Motors</v>
          </cell>
          <cell r="E1069" t="str">
            <v>01385</v>
          </cell>
        </row>
        <row r="1070">
          <cell r="D1070" t="str">
            <v>M/S Shah Mojidia Motor Parts</v>
          </cell>
          <cell r="E1070" t="str">
            <v>00842</v>
          </cell>
        </row>
        <row r="1071">
          <cell r="D1071" t="str">
            <v>M/S Shah Mojidia Motor Parts</v>
          </cell>
          <cell r="E1071" t="str">
            <v>00842</v>
          </cell>
        </row>
        <row r="1072">
          <cell r="D1072" t="str">
            <v>M/S Rajapur IPS &amp; Battery House</v>
          </cell>
          <cell r="E1072" t="str">
            <v>01400</v>
          </cell>
        </row>
        <row r="1073">
          <cell r="D1073" t="str">
            <v>M/S Maa Battery Service</v>
          </cell>
          <cell r="E1073" t="str">
            <v>00327</v>
          </cell>
        </row>
        <row r="1074">
          <cell r="D1074" t="str">
            <v>M/S Maa Battery Service</v>
          </cell>
          <cell r="E1074" t="str">
            <v>00327</v>
          </cell>
        </row>
        <row r="1075">
          <cell r="D1075" t="str">
            <v>M/S Maa Battery Service</v>
          </cell>
          <cell r="E1075" t="str">
            <v>00327</v>
          </cell>
        </row>
        <row r="1076">
          <cell r="D1076" t="str">
            <v>M/S Maa Battery Service</v>
          </cell>
          <cell r="E1076" t="str">
            <v>00327</v>
          </cell>
        </row>
        <row r="1077">
          <cell r="D1077" t="str">
            <v>M/S Rasel Bettary Service</v>
          </cell>
          <cell r="E1077" t="str">
            <v>01380</v>
          </cell>
        </row>
        <row r="1078">
          <cell r="D1078" t="str">
            <v>M/S Rasel Bettary Service</v>
          </cell>
          <cell r="E1078" t="str">
            <v>01380</v>
          </cell>
        </row>
        <row r="1079">
          <cell r="D1079" t="str">
            <v>M/S Rasel Bettary Service</v>
          </cell>
          <cell r="E1079" t="str">
            <v>01380</v>
          </cell>
        </row>
        <row r="1080">
          <cell r="D1080" t="str">
            <v>M/S A.P.L. Auto House</v>
          </cell>
          <cell r="E1080" t="str">
            <v>00328</v>
          </cell>
        </row>
        <row r="1081">
          <cell r="D1081" t="str">
            <v>M/S A.P.L. Auto House</v>
          </cell>
          <cell r="E1081" t="str">
            <v>00328</v>
          </cell>
        </row>
        <row r="1082">
          <cell r="D1082" t="str">
            <v>M/S S.S. Enterprise-Norshingdi (C)</v>
          </cell>
          <cell r="E1082" t="str">
            <v>01331</v>
          </cell>
        </row>
        <row r="1083">
          <cell r="D1083" t="str">
            <v>M/S S.S. Enterprise-Norshingdi (C)</v>
          </cell>
          <cell r="E1083" t="str">
            <v>01331</v>
          </cell>
        </row>
        <row r="1084">
          <cell r="D1084" t="str">
            <v>M/S S.S. Enterprise-Norshingdi (C)</v>
          </cell>
          <cell r="E1084" t="str">
            <v>01331</v>
          </cell>
        </row>
        <row r="1085">
          <cell r="D1085" t="str">
            <v>M/S S.S. Enterprise-Norshingdi (C)</v>
          </cell>
          <cell r="E1085" t="str">
            <v>01331</v>
          </cell>
        </row>
        <row r="1086">
          <cell r="D1086" t="str">
            <v>M/S Anik Motors &amp; Battery (C)</v>
          </cell>
          <cell r="E1086" t="str">
            <v>01444</v>
          </cell>
        </row>
        <row r="1087">
          <cell r="D1087" t="str">
            <v>M/S Sajib Enterprise (C)</v>
          </cell>
          <cell r="E1087" t="str">
            <v>01353</v>
          </cell>
        </row>
        <row r="1088">
          <cell r="D1088" t="str">
            <v>M/S Adib Alifa Auto &amp; Battery House (C)</v>
          </cell>
          <cell r="E1088" t="str">
            <v>01454</v>
          </cell>
        </row>
        <row r="1089">
          <cell r="D1089" t="str">
            <v>M/S Shekh Enterprise - Khulna</v>
          </cell>
          <cell r="E1089" t="str">
            <v>01435</v>
          </cell>
        </row>
        <row r="1090">
          <cell r="D1090" t="str">
            <v>M/S Tanha Battery House (C)</v>
          </cell>
          <cell r="E1090" t="str">
            <v>01457</v>
          </cell>
        </row>
        <row r="1091">
          <cell r="D1091" t="str">
            <v>M/S Tanha Battery House (C)</v>
          </cell>
          <cell r="E1091" t="str">
            <v>01457</v>
          </cell>
        </row>
        <row r="1092">
          <cell r="D1092" t="str">
            <v>M/S Manir Battery Charging Station (C)</v>
          </cell>
          <cell r="E1092" t="str">
            <v>01324</v>
          </cell>
        </row>
        <row r="1093">
          <cell r="D1093" t="str">
            <v>M/S M.R. Enterprise- Dinajpur</v>
          </cell>
          <cell r="E1093" t="str">
            <v>00601</v>
          </cell>
        </row>
        <row r="1094">
          <cell r="D1094" t="str">
            <v>M/S M.R. Enterprise- Dinajpur</v>
          </cell>
          <cell r="E1094" t="str">
            <v>00601</v>
          </cell>
        </row>
        <row r="1095">
          <cell r="D1095" t="str">
            <v>M/S Sarkar Motors and Battery (C)</v>
          </cell>
          <cell r="E1095" t="str">
            <v>01502</v>
          </cell>
        </row>
        <row r="1096">
          <cell r="D1096" t="str">
            <v>M/S Roni Battery</v>
          </cell>
          <cell r="E1096" t="str">
            <v>01379</v>
          </cell>
        </row>
        <row r="1097">
          <cell r="D1097" t="str">
            <v>M/S Suborna Battery</v>
          </cell>
          <cell r="E1097" t="str">
            <v>00563</v>
          </cell>
        </row>
        <row r="1098">
          <cell r="D1098" t="str">
            <v>M/S Bogura Auto Center (C)</v>
          </cell>
          <cell r="E1098" t="str">
            <v>01468</v>
          </cell>
        </row>
        <row r="1099">
          <cell r="D1099" t="str">
            <v>M/S Hemayetpur Battery House (C)</v>
          </cell>
          <cell r="E1099" t="str">
            <v>01478</v>
          </cell>
        </row>
        <row r="1100">
          <cell r="D1100" t="str">
            <v>M/S Modina Enterprise - Savar</v>
          </cell>
          <cell r="E1100" t="str">
            <v>01404</v>
          </cell>
        </row>
        <row r="1101">
          <cell r="D1101" t="str">
            <v>M/S Modina Enterprise - Savar</v>
          </cell>
          <cell r="E1101" t="str">
            <v>01404</v>
          </cell>
        </row>
        <row r="1102">
          <cell r="D1102" t="str">
            <v>M/S Khan Battery Recycling (C)</v>
          </cell>
          <cell r="E1102" t="str">
            <v>01282</v>
          </cell>
        </row>
        <row r="1103">
          <cell r="D1103" t="str">
            <v>M/S Ma Tyre &amp; Battery  Shop</v>
          </cell>
          <cell r="E1103" t="str">
            <v>00088</v>
          </cell>
        </row>
        <row r="1104">
          <cell r="D1104" t="str">
            <v>M/S Mahtab Engineering Workshop</v>
          </cell>
          <cell r="E1104" t="str">
            <v>01429</v>
          </cell>
        </row>
        <row r="1105">
          <cell r="D1105" t="str">
            <v>M/S S.S. Enterprise-Norshingdi (C)</v>
          </cell>
          <cell r="E1105" t="str">
            <v>01331</v>
          </cell>
        </row>
        <row r="1106">
          <cell r="D1106" t="str">
            <v>M/S New Dhaka Motors and Battery</v>
          </cell>
          <cell r="E1106" t="str">
            <v>00005</v>
          </cell>
        </row>
        <row r="1107">
          <cell r="D1107" t="str">
            <v>M/S New Dhaka Motors and Battery</v>
          </cell>
          <cell r="E1107" t="str">
            <v>00005</v>
          </cell>
        </row>
        <row r="1108">
          <cell r="D1108" t="str">
            <v>M/S New Dhaka Motors and Battery</v>
          </cell>
          <cell r="E1108" t="str">
            <v>00005</v>
          </cell>
        </row>
        <row r="1109">
          <cell r="D1109" t="str">
            <v>M/S Bismillah Motors-Hinla</v>
          </cell>
          <cell r="E1109" t="str">
            <v>01448</v>
          </cell>
        </row>
        <row r="1110">
          <cell r="D1110" t="str">
            <v>M/S Bismillah Motors-Hinla</v>
          </cell>
          <cell r="E1110" t="str">
            <v>01448</v>
          </cell>
        </row>
        <row r="1111">
          <cell r="D1111" t="str">
            <v>M/S Hafiz Battery House</v>
          </cell>
          <cell r="E1111" t="str">
            <v>01368</v>
          </cell>
        </row>
        <row r="1112">
          <cell r="D1112" t="str">
            <v>M/S Shah Mojidia Motor Parts</v>
          </cell>
          <cell r="E1112" t="str">
            <v>00842</v>
          </cell>
        </row>
        <row r="1113">
          <cell r="D1113" t="str">
            <v>M/S Farhan Auto (C)</v>
          </cell>
          <cell r="E1113" t="str">
            <v>01298</v>
          </cell>
        </row>
        <row r="1114">
          <cell r="D1114" t="str">
            <v>M/S Farhan Auto (C)</v>
          </cell>
          <cell r="E1114" t="str">
            <v>01298</v>
          </cell>
        </row>
        <row r="1115">
          <cell r="D1115" t="str">
            <v>M/S Farhan Auto (C)</v>
          </cell>
          <cell r="E1115" t="str">
            <v>01298</v>
          </cell>
        </row>
        <row r="1116">
          <cell r="D1116" t="str">
            <v>M/S Banskhali Enterprise-Joldi (C)</v>
          </cell>
          <cell r="E1116" t="str">
            <v>01312</v>
          </cell>
        </row>
        <row r="1117">
          <cell r="D1117" t="str">
            <v>M/S Bashkhali Enterprise</v>
          </cell>
          <cell r="E1117" t="str">
            <v>00424</v>
          </cell>
        </row>
        <row r="1118">
          <cell r="D1118" t="str">
            <v>M/S Kalam Auto Motor Parts And Battery House</v>
          </cell>
          <cell r="E1118" t="str">
            <v>00420</v>
          </cell>
        </row>
        <row r="1119">
          <cell r="D1119" t="str">
            <v>M/S S.K. Enterprise (C)</v>
          </cell>
          <cell r="E1119" t="str">
            <v>01326</v>
          </cell>
        </row>
        <row r="1120">
          <cell r="D1120" t="str">
            <v>M/S S.K. Enterprise (C)</v>
          </cell>
          <cell r="E1120" t="str">
            <v>01326</v>
          </cell>
        </row>
        <row r="1121">
          <cell r="D1121" t="str">
            <v>M/S Macca Tyre And battery House</v>
          </cell>
          <cell r="E1121" t="str">
            <v>00439</v>
          </cell>
        </row>
        <row r="1122">
          <cell r="D1122" t="str">
            <v>M/S S.K. Enterprise (C)</v>
          </cell>
          <cell r="E1122" t="str">
            <v>01326</v>
          </cell>
        </row>
        <row r="1123">
          <cell r="D1123" t="str">
            <v>M/S Bismillah Battery House -Sylhet</v>
          </cell>
          <cell r="E1123" t="str">
            <v>00389</v>
          </cell>
        </row>
        <row r="1124">
          <cell r="D1124" t="str">
            <v>M/S City Auto</v>
          </cell>
          <cell r="E1124" t="str">
            <v>00398</v>
          </cell>
        </row>
        <row r="1125">
          <cell r="D1125" t="str">
            <v>M/S City Auto</v>
          </cell>
          <cell r="E1125" t="str">
            <v>00398</v>
          </cell>
        </row>
        <row r="1126">
          <cell r="D1126" t="str">
            <v>M/S Minara Traders</v>
          </cell>
          <cell r="E1126" t="str">
            <v>01108</v>
          </cell>
        </row>
        <row r="1127">
          <cell r="D1127" t="str">
            <v>M/S Maa Battery Service</v>
          </cell>
          <cell r="E1127" t="str">
            <v>00327</v>
          </cell>
        </row>
        <row r="1128">
          <cell r="D1128" t="str">
            <v>M/S Maa Battery Service</v>
          </cell>
          <cell r="E1128" t="str">
            <v>00327</v>
          </cell>
        </row>
        <row r="1129">
          <cell r="D1129" t="str">
            <v>M/S Maa Battery Service</v>
          </cell>
          <cell r="E1129" t="str">
            <v>00327</v>
          </cell>
        </row>
        <row r="1130">
          <cell r="D1130" t="str">
            <v>M/S Anas Battery &amp; Auto House</v>
          </cell>
          <cell r="E1130" t="str">
            <v>01401</v>
          </cell>
        </row>
        <row r="1131">
          <cell r="D1131" t="str">
            <v>M/S Anik Motors &amp; Battery (C)</v>
          </cell>
          <cell r="E1131" t="str">
            <v>01444</v>
          </cell>
        </row>
        <row r="1132">
          <cell r="D1132" t="str">
            <v>M/S Anik Motors &amp; Battery (C)</v>
          </cell>
          <cell r="E1132" t="str">
            <v>01444</v>
          </cell>
        </row>
        <row r="1133">
          <cell r="D1133" t="str">
            <v>M/S Mayer Doya Auto Parts-Laksam</v>
          </cell>
          <cell r="E1133" t="str">
            <v>00325</v>
          </cell>
        </row>
        <row r="1134">
          <cell r="D1134" t="str">
            <v>M/S Unique Battery and Solar</v>
          </cell>
          <cell r="E1134" t="str">
            <v>01157</v>
          </cell>
        </row>
        <row r="1135">
          <cell r="D1135" t="str">
            <v>M/S Zaman Battery House</v>
          </cell>
          <cell r="E1135" t="str">
            <v>00146</v>
          </cell>
        </row>
        <row r="1136">
          <cell r="D1136" t="str">
            <v>M/S Jogotbondhu Battery &amp; Eng. Workshop</v>
          </cell>
          <cell r="E1136" t="str">
            <v>00143</v>
          </cell>
        </row>
        <row r="1137">
          <cell r="D1137" t="str">
            <v>M/S Jogotbondhu Battery &amp; Eng. Workshop</v>
          </cell>
          <cell r="E1137" t="str">
            <v>00143</v>
          </cell>
        </row>
        <row r="1138">
          <cell r="D1138" t="str">
            <v>M/S Tamim Enterprise</v>
          </cell>
          <cell r="E1138" t="str">
            <v>01395</v>
          </cell>
        </row>
        <row r="1139">
          <cell r="D1139" t="str">
            <v>M/S Nobodhara Corporation</v>
          </cell>
          <cell r="E1139" t="str">
            <v>01352</v>
          </cell>
        </row>
        <row r="1140">
          <cell r="D1140" t="str">
            <v>M/S Sirajgonj Auto Corner (C)</v>
          </cell>
          <cell r="E1140" t="str">
            <v>01494</v>
          </cell>
        </row>
        <row r="1141">
          <cell r="D1141" t="str">
            <v>M/S Sirajgonj Auto Corner (C)</v>
          </cell>
          <cell r="E1141" t="str">
            <v>01494</v>
          </cell>
        </row>
        <row r="1142">
          <cell r="D1142" t="str">
            <v>M/S Battery House - Pabna (C)</v>
          </cell>
          <cell r="E1142" t="str">
            <v>01315</v>
          </cell>
        </row>
        <row r="1143">
          <cell r="D1143" t="str">
            <v>M/S Shuvo Enterprise</v>
          </cell>
          <cell r="E1143" t="str">
            <v>00622</v>
          </cell>
        </row>
        <row r="1144">
          <cell r="D1144" t="str">
            <v>M/S Sadiq Enterprise</v>
          </cell>
          <cell r="E1144" t="str">
            <v>01067</v>
          </cell>
        </row>
        <row r="1145">
          <cell r="D1145" t="str">
            <v>M/S Payar Auto Electric Works</v>
          </cell>
          <cell r="E1145" t="str">
            <v>00371</v>
          </cell>
        </row>
        <row r="1146">
          <cell r="D1146" t="str">
            <v>M/S Payar Auto Electric Works</v>
          </cell>
          <cell r="E1146" t="str">
            <v>00371</v>
          </cell>
        </row>
        <row r="1147">
          <cell r="D1147" t="str">
            <v>M/S Mokka Motors-Cumilla (C)</v>
          </cell>
          <cell r="E1147" t="str">
            <v>01481</v>
          </cell>
        </row>
        <row r="1148">
          <cell r="D1148" t="str">
            <v>M/S Bondhu Auto and CNG Workshop</v>
          </cell>
          <cell r="E1148" t="str">
            <v>01149</v>
          </cell>
        </row>
        <row r="1149">
          <cell r="D1149" t="str">
            <v>M/S Bondhu Auto and CNG Workshop</v>
          </cell>
          <cell r="E1149" t="str">
            <v>01149</v>
          </cell>
        </row>
        <row r="1150">
          <cell r="D1150" t="str">
            <v>M/S Doyal Battery</v>
          </cell>
          <cell r="E1150" t="str">
            <v>00337</v>
          </cell>
        </row>
        <row r="1151">
          <cell r="D1151" t="str">
            <v>M/S Doyal Battery</v>
          </cell>
          <cell r="E1151" t="str">
            <v>00337</v>
          </cell>
        </row>
        <row r="1152">
          <cell r="D1152" t="str">
            <v>M/S Sangu Battery House</v>
          </cell>
          <cell r="E1152" t="str">
            <v>00988</v>
          </cell>
        </row>
        <row r="1153">
          <cell r="D1153" t="str">
            <v>M/S Sangu Battery House</v>
          </cell>
          <cell r="E1153" t="str">
            <v>00988</v>
          </cell>
        </row>
        <row r="1154">
          <cell r="D1154" t="str">
            <v>M/S Sangu Battery House</v>
          </cell>
          <cell r="E1154" t="str">
            <v>00988</v>
          </cell>
        </row>
        <row r="1155">
          <cell r="D1155" t="str">
            <v>M/S Tamim Enterprise</v>
          </cell>
          <cell r="E1155" t="str">
            <v>01395</v>
          </cell>
        </row>
        <row r="1156">
          <cell r="D1156" t="str">
            <v>M/S Setu Cycle Mart</v>
          </cell>
          <cell r="E1156" t="str">
            <v>00471</v>
          </cell>
        </row>
        <row r="1157">
          <cell r="D1157" t="str">
            <v>M/S Setu Cycle Mart</v>
          </cell>
          <cell r="E1157" t="str">
            <v>00471</v>
          </cell>
        </row>
        <row r="1158">
          <cell r="D1158" t="str">
            <v>M/S Setu Cycle Mart</v>
          </cell>
          <cell r="E1158" t="str">
            <v>00471</v>
          </cell>
        </row>
        <row r="1159">
          <cell r="D1159" t="str">
            <v>M/S Power Battery</v>
          </cell>
          <cell r="E1159" t="str">
            <v>00324</v>
          </cell>
        </row>
        <row r="1160">
          <cell r="D1160" t="str">
            <v>M/S Power Battery</v>
          </cell>
          <cell r="E1160" t="str">
            <v>00324</v>
          </cell>
        </row>
        <row r="1161">
          <cell r="D1161" t="str">
            <v>M/S S.S. Enterprise-Norshingdi</v>
          </cell>
          <cell r="E1161" t="str">
            <v>01118</v>
          </cell>
        </row>
        <row r="1162">
          <cell r="D1162" t="str">
            <v>M/S S.S. Enterprise-Norshingdi</v>
          </cell>
          <cell r="E1162" t="str">
            <v>01118</v>
          </cell>
        </row>
        <row r="1163">
          <cell r="D1163" t="str">
            <v>M/S Kalam Store</v>
          </cell>
          <cell r="E1163" t="str">
            <v>01436</v>
          </cell>
        </row>
        <row r="1164">
          <cell r="D1164" t="str">
            <v>M/S Kalam Store</v>
          </cell>
          <cell r="E1164" t="str">
            <v>01436</v>
          </cell>
        </row>
        <row r="1165">
          <cell r="D1165" t="str">
            <v>M/S Kalam Store</v>
          </cell>
          <cell r="E1165" t="str">
            <v>01436</v>
          </cell>
        </row>
        <row r="1166">
          <cell r="D1166" t="str">
            <v>M/S Kalam Store</v>
          </cell>
          <cell r="E1166" t="str">
            <v>01436</v>
          </cell>
        </row>
        <row r="1167">
          <cell r="D1167" t="str">
            <v>M/S Atik Auto</v>
          </cell>
          <cell r="E1167" t="str">
            <v>00562</v>
          </cell>
        </row>
        <row r="1168">
          <cell r="D1168" t="str">
            <v>M/S Anamika Auto Rickshow</v>
          </cell>
          <cell r="E1168" t="str">
            <v>00496</v>
          </cell>
        </row>
        <row r="1169">
          <cell r="D1169" t="str">
            <v>M/S Ripon Tyre and Battery</v>
          </cell>
          <cell r="E1169" t="str">
            <v>00002</v>
          </cell>
        </row>
        <row r="1170">
          <cell r="D1170" t="str">
            <v>M/S Modina Enterprise - Savar</v>
          </cell>
          <cell r="E1170" t="str">
            <v>01404</v>
          </cell>
        </row>
        <row r="1171">
          <cell r="D1171" t="str">
            <v>M/S Al - Mokka Enterprise</v>
          </cell>
          <cell r="E1171" t="str">
            <v>01112</v>
          </cell>
        </row>
        <row r="1172">
          <cell r="D1172" t="str">
            <v>M/S Mahtab Engineering Workshop</v>
          </cell>
          <cell r="E1172" t="str">
            <v>01429</v>
          </cell>
        </row>
        <row r="1173">
          <cell r="D1173" t="str">
            <v>M/S Ma Tyre &amp; Battery  Shop</v>
          </cell>
          <cell r="E1173" t="str">
            <v>00088</v>
          </cell>
        </row>
        <row r="1174">
          <cell r="D1174" t="str">
            <v>M/S Shoshi Enterprise</v>
          </cell>
          <cell r="E1174" t="str">
            <v>01153</v>
          </cell>
        </row>
        <row r="1175">
          <cell r="D1175" t="str">
            <v>M/S Ananna Battery &amp; Tyre</v>
          </cell>
          <cell r="E1175" t="str">
            <v>01088</v>
          </cell>
        </row>
        <row r="1176">
          <cell r="D1176" t="str">
            <v>M/S Ananna Battery &amp; Tyre</v>
          </cell>
          <cell r="E1176" t="str">
            <v>01088</v>
          </cell>
        </row>
        <row r="1177">
          <cell r="D1177" t="str">
            <v>M/S Monir Auto &amp; Battery House</v>
          </cell>
          <cell r="E1177" t="str">
            <v>00001</v>
          </cell>
        </row>
        <row r="1178">
          <cell r="D1178" t="str">
            <v>M/S Khan Battery Recycling (C)</v>
          </cell>
          <cell r="E1178" t="str">
            <v>01282</v>
          </cell>
        </row>
        <row r="1179">
          <cell r="D1179" t="str">
            <v>M/S Sohan Motors</v>
          </cell>
          <cell r="E1179" t="str">
            <v>01385</v>
          </cell>
        </row>
        <row r="1180">
          <cell r="D1180" t="str">
            <v>M/S Sohan Motors</v>
          </cell>
          <cell r="E1180" t="str">
            <v>01385</v>
          </cell>
        </row>
        <row r="1181">
          <cell r="D1181" t="str">
            <v>M/S Bismillah Motors-Hinla</v>
          </cell>
          <cell r="E1181" t="str">
            <v>01448</v>
          </cell>
        </row>
        <row r="1182">
          <cell r="D1182" t="str">
            <v>M/S Bismillah Motors-Hinla</v>
          </cell>
          <cell r="E1182" t="str">
            <v>01448</v>
          </cell>
        </row>
        <row r="1183">
          <cell r="D1183" t="str">
            <v>M/S City Auto</v>
          </cell>
          <cell r="E1183" t="str">
            <v>00398</v>
          </cell>
        </row>
        <row r="1184">
          <cell r="D1184" t="str">
            <v>M/S City Auto</v>
          </cell>
          <cell r="E1184" t="str">
            <v>00398</v>
          </cell>
        </row>
        <row r="1185">
          <cell r="D1185" t="str">
            <v>M/S City Auto</v>
          </cell>
          <cell r="E1185" t="str">
            <v>00398</v>
          </cell>
        </row>
        <row r="1186">
          <cell r="D1186" t="str">
            <v>M/S Rafi Battery House</v>
          </cell>
          <cell r="E1186" t="str">
            <v>00410</v>
          </cell>
        </row>
        <row r="1187">
          <cell r="D1187" t="str">
            <v>M/S Al Baraka Enterprise</v>
          </cell>
          <cell r="E1187" t="str">
            <v>00159</v>
          </cell>
        </row>
        <row r="1188">
          <cell r="D1188" t="str">
            <v>M/S Sawda Auto and Battery</v>
          </cell>
          <cell r="E1188" t="str">
            <v>01261</v>
          </cell>
        </row>
        <row r="1189">
          <cell r="D1189" t="str">
            <v>M/S Supreme Auto (C)</v>
          </cell>
          <cell r="E1189" t="str">
            <v>01300</v>
          </cell>
        </row>
        <row r="1190">
          <cell r="D1190" t="str">
            <v>M/S L D Poribahan &amp; Trading (C)</v>
          </cell>
          <cell r="E1190" t="str">
            <v>01299</v>
          </cell>
        </row>
        <row r="1191">
          <cell r="D1191" t="str">
            <v>M/S L D Poribahan &amp; Trading (C)</v>
          </cell>
          <cell r="E1191" t="str">
            <v>01299</v>
          </cell>
        </row>
        <row r="1192">
          <cell r="D1192" t="str">
            <v>M/S Sangu Battery House</v>
          </cell>
          <cell r="E1192" t="str">
            <v>00988</v>
          </cell>
        </row>
        <row r="1193">
          <cell r="D1193" t="str">
            <v>M/S S.K. Enterprise (C)</v>
          </cell>
          <cell r="E1193" t="str">
            <v>01326</v>
          </cell>
        </row>
        <row r="1194">
          <cell r="D1194" t="str">
            <v>M/S Mayer Doya Auto Parts-Laksam</v>
          </cell>
          <cell r="E1194" t="str">
            <v>00325</v>
          </cell>
        </row>
        <row r="1195">
          <cell r="D1195" t="str">
            <v>M/S Anik Motors &amp; Battery</v>
          </cell>
          <cell r="E1195" t="str">
            <v>01262</v>
          </cell>
        </row>
        <row r="1196">
          <cell r="D1196" t="str">
            <v>M/S Sajib Enterprise</v>
          </cell>
          <cell r="E1196" t="str">
            <v>01363</v>
          </cell>
        </row>
        <row r="1197">
          <cell r="D1197" t="str">
            <v>M/S Anas Battery &amp; Auto House</v>
          </cell>
          <cell r="E1197" t="str">
            <v>01401</v>
          </cell>
        </row>
        <row r="1198">
          <cell r="D1198" t="str">
            <v>M/S Anas Battery &amp; Auto House</v>
          </cell>
          <cell r="E1198" t="str">
            <v>01401</v>
          </cell>
        </row>
        <row r="1199">
          <cell r="D1199" t="str">
            <v>M/S Khalaq Motors-Feni</v>
          </cell>
          <cell r="E1199" t="str">
            <v>01133</v>
          </cell>
        </row>
        <row r="1200">
          <cell r="D1200" t="str">
            <v>M/S Anik Motors &amp; Battery (C)</v>
          </cell>
          <cell r="E1200" t="str">
            <v>01444</v>
          </cell>
        </row>
        <row r="1201">
          <cell r="D1201" t="str">
            <v>M/S Anik Motors &amp; Battery (C)</v>
          </cell>
          <cell r="E1201" t="str">
            <v>01444</v>
          </cell>
        </row>
        <row r="1202">
          <cell r="D1202" t="str">
            <v>M/S Zaman Battery House</v>
          </cell>
          <cell r="E1202" t="str">
            <v>00146</v>
          </cell>
        </row>
        <row r="1203">
          <cell r="D1203" t="str">
            <v>M/S Talukder Motors (C)</v>
          </cell>
          <cell r="E1203" t="str">
            <v>01471</v>
          </cell>
        </row>
        <row r="1204">
          <cell r="D1204" t="str">
            <v>M/S Talukder Motors (C)</v>
          </cell>
          <cell r="E1204" t="str">
            <v>01471</v>
          </cell>
        </row>
        <row r="1205">
          <cell r="D1205" t="str">
            <v>M/S Jogotbondhu Battery &amp; Eng. Workshop</v>
          </cell>
          <cell r="E1205" t="str">
            <v>00143</v>
          </cell>
        </row>
        <row r="1206">
          <cell r="D1206" t="str">
            <v>M/S Farhan Battery &amp; Auto Parts</v>
          </cell>
          <cell r="E1206" t="str">
            <v>01470</v>
          </cell>
        </row>
        <row r="1207">
          <cell r="D1207" t="str">
            <v>M/S AL Amin Parts Store (C)</v>
          </cell>
          <cell r="E1207" t="str">
            <v>01354</v>
          </cell>
        </row>
        <row r="1208">
          <cell r="D1208" t="str">
            <v>M/S Battery House - Pabna (C)</v>
          </cell>
          <cell r="E1208" t="str">
            <v>01315</v>
          </cell>
        </row>
        <row r="1209">
          <cell r="D1209" t="str">
            <v>M/S Shuvo Enterprise</v>
          </cell>
          <cell r="E1209" t="str">
            <v>00622</v>
          </cell>
        </row>
        <row r="1210">
          <cell r="D1210" t="str">
            <v>M/S Shuvo Enterprise</v>
          </cell>
          <cell r="E1210" t="str">
            <v>00622</v>
          </cell>
        </row>
        <row r="1211">
          <cell r="D1211" t="str">
            <v>M/S Shuvo Enterprise</v>
          </cell>
          <cell r="E1211" t="str">
            <v>00622</v>
          </cell>
        </row>
        <row r="1212">
          <cell r="D1212" t="str">
            <v>M/S Suborna Battery</v>
          </cell>
          <cell r="E1212" t="str">
            <v>00563</v>
          </cell>
        </row>
        <row r="1213">
          <cell r="D1213" t="str">
            <v>M/S M.R. Enterprise- Dinajpur</v>
          </cell>
          <cell r="E1213" t="str">
            <v>00601</v>
          </cell>
        </row>
        <row r="1214">
          <cell r="D1214" t="str">
            <v>M/S Samir Battery And Tyre</v>
          </cell>
          <cell r="E1214" t="str">
            <v>01450</v>
          </cell>
        </row>
        <row r="1215">
          <cell r="D1215" t="str">
            <v>M/S Samir Battery And Tyre</v>
          </cell>
          <cell r="E1215" t="str">
            <v>01450</v>
          </cell>
        </row>
        <row r="1216">
          <cell r="D1216" t="str">
            <v>M/S Setu Cycle Mart</v>
          </cell>
          <cell r="E1216" t="str">
            <v>00471</v>
          </cell>
        </row>
        <row r="1217">
          <cell r="D1217" t="str">
            <v>M/S Setu Cycle Mart</v>
          </cell>
          <cell r="E1217" t="str">
            <v>00471</v>
          </cell>
        </row>
        <row r="1218">
          <cell r="D1218" t="str">
            <v>M/S Setu Cycle Mart</v>
          </cell>
          <cell r="E1218" t="str">
            <v>00471</v>
          </cell>
        </row>
        <row r="1219">
          <cell r="D1219" t="str">
            <v>M/S Setu Cycle Mart</v>
          </cell>
          <cell r="E1219" t="str">
            <v>00471</v>
          </cell>
        </row>
        <row r="1220">
          <cell r="D1220" t="str">
            <v>M/S Sangu Battery House</v>
          </cell>
          <cell r="E1220" t="str">
            <v>00988</v>
          </cell>
        </row>
        <row r="1221">
          <cell r="D1221" t="str">
            <v>M/S Sangu Battery House</v>
          </cell>
          <cell r="E1221" t="str">
            <v>00988</v>
          </cell>
        </row>
        <row r="1222">
          <cell r="D1222" t="str">
            <v>M/S Bondhu Auto and CNG Workshop</v>
          </cell>
          <cell r="E1222" t="str">
            <v>01149</v>
          </cell>
        </row>
        <row r="1223">
          <cell r="D1223" t="str">
            <v>M/S Bondhu Auto and CNG Workshop</v>
          </cell>
          <cell r="E1223" t="str">
            <v>01149</v>
          </cell>
        </row>
        <row r="1224">
          <cell r="D1224" t="str">
            <v>M/S Bondhu Auto and CNG Workshop</v>
          </cell>
          <cell r="E1224" t="str">
            <v>01149</v>
          </cell>
        </row>
        <row r="1225">
          <cell r="D1225" t="str">
            <v>M/S Bondhu Auto and CNG Workshop</v>
          </cell>
          <cell r="E1225" t="str">
            <v>01149</v>
          </cell>
        </row>
        <row r="1226">
          <cell r="D1226" t="str">
            <v>M/S Rumi Battery House</v>
          </cell>
          <cell r="E1226" t="str">
            <v>00387</v>
          </cell>
        </row>
        <row r="1227">
          <cell r="D1227" t="str">
            <v>M/S S.S. Enterprise-Norshingdi</v>
          </cell>
          <cell r="E1227" t="str">
            <v>01118</v>
          </cell>
        </row>
        <row r="1228">
          <cell r="D1228" t="str">
            <v>M/S S.S. Enterprise-Norshingdi</v>
          </cell>
          <cell r="E1228" t="str">
            <v>01118</v>
          </cell>
        </row>
        <row r="1229">
          <cell r="D1229" t="str">
            <v>M/S Molla Battery House</v>
          </cell>
          <cell r="E1229" t="str">
            <v>01143</v>
          </cell>
        </row>
        <row r="1230">
          <cell r="D1230" t="str">
            <v>M/S Atik Auto</v>
          </cell>
          <cell r="E1230" t="str">
            <v>00562</v>
          </cell>
        </row>
        <row r="1231">
          <cell r="D1231" t="str">
            <v>M/S Anik Motors &amp; Battery</v>
          </cell>
          <cell r="E1231" t="str">
            <v>01262</v>
          </cell>
        </row>
        <row r="1232">
          <cell r="D1232" t="str">
            <v>M/S Power Battery</v>
          </cell>
          <cell r="E1232" t="str">
            <v>00324</v>
          </cell>
        </row>
        <row r="1233">
          <cell r="D1233" t="str">
            <v>M/S Khokon IPS &amp; Battery Center</v>
          </cell>
          <cell r="E1233" t="str">
            <v>00330</v>
          </cell>
        </row>
        <row r="1234">
          <cell r="D1234" t="str">
            <v>M/S A.P.L. Auto House</v>
          </cell>
          <cell r="E1234" t="str">
            <v>00328</v>
          </cell>
        </row>
        <row r="1235">
          <cell r="D1235" t="str">
            <v>M/S Gazipur Battery House</v>
          </cell>
          <cell r="E1235" t="str">
            <v>00826</v>
          </cell>
        </row>
        <row r="1236">
          <cell r="D1236" t="str">
            <v>M/S Khan Battery Recycling (C)</v>
          </cell>
          <cell r="E1236" t="str">
            <v>01282</v>
          </cell>
        </row>
        <row r="1237">
          <cell r="D1237" t="str">
            <v>M/S Macca Tyre And battery House</v>
          </cell>
          <cell r="E1237" t="str">
            <v>00439</v>
          </cell>
        </row>
        <row r="1238">
          <cell r="D1238" t="str">
            <v>M/S Sifa Motors</v>
          </cell>
          <cell r="E1238" t="str">
            <v>01443</v>
          </cell>
        </row>
        <row r="1239">
          <cell r="D1239" t="str">
            <v>M/S Shah Mojidia Motor Parts</v>
          </cell>
          <cell r="E1239" t="str">
            <v>00842</v>
          </cell>
        </row>
        <row r="1240">
          <cell r="D1240" t="str">
            <v>M/S Shah Mojidia Motor Parts</v>
          </cell>
          <cell r="E1240" t="str">
            <v>00842</v>
          </cell>
        </row>
        <row r="1241">
          <cell r="D1241" t="str">
            <v>M/S S.B. Energy</v>
          </cell>
          <cell r="E1241" t="str">
            <v>00087</v>
          </cell>
        </row>
        <row r="1242">
          <cell r="D1242" t="str">
            <v>M/S S.B. Energy</v>
          </cell>
          <cell r="E1242" t="str">
            <v>00087</v>
          </cell>
        </row>
        <row r="1243">
          <cell r="D1243" t="str">
            <v>M/S Molla Battery House (C)</v>
          </cell>
          <cell r="E1243" t="str">
            <v>01428</v>
          </cell>
        </row>
        <row r="1244">
          <cell r="D1244" t="str">
            <v>M/S Sadiq Enterprise</v>
          </cell>
          <cell r="E1244" t="str">
            <v>01067</v>
          </cell>
        </row>
        <row r="1245">
          <cell r="D1245" t="str">
            <v>M/S Talukder Motors (C)</v>
          </cell>
          <cell r="E1245" t="str">
            <v>01471</v>
          </cell>
        </row>
        <row r="1246">
          <cell r="D1246" t="str">
            <v>M/S S.B. Energy</v>
          </cell>
          <cell r="E1246" t="str">
            <v>00087</v>
          </cell>
        </row>
        <row r="1247">
          <cell r="D1247" t="str">
            <v>M/S Ripon Tyre and Battery</v>
          </cell>
          <cell r="E1247" t="str">
            <v>00002</v>
          </cell>
        </row>
        <row r="1248">
          <cell r="D1248" t="str">
            <v>M/S Modina Enterprise - Savar</v>
          </cell>
          <cell r="E1248" t="str">
            <v>01404</v>
          </cell>
        </row>
        <row r="1249">
          <cell r="D1249" t="str">
            <v>M/S Adnan Tyre and Battery House</v>
          </cell>
          <cell r="E1249" t="str">
            <v>01371</v>
          </cell>
        </row>
        <row r="1250">
          <cell r="D1250" t="str">
            <v>M/S Ananna Battery &amp; Tyre</v>
          </cell>
          <cell r="E1250" t="str">
            <v>01088</v>
          </cell>
        </row>
        <row r="1251">
          <cell r="D1251" t="str">
            <v>M/S Khan Battery Recycling (C)</v>
          </cell>
          <cell r="E1251" t="str">
            <v>01282</v>
          </cell>
        </row>
        <row r="1252">
          <cell r="D1252" t="str">
            <v>M/S City Auto</v>
          </cell>
          <cell r="E1252" t="str">
            <v>00398</v>
          </cell>
        </row>
        <row r="1253">
          <cell r="D1253" t="str">
            <v>M/S City Auto</v>
          </cell>
          <cell r="E1253" t="str">
            <v>00398</v>
          </cell>
        </row>
        <row r="1254">
          <cell r="D1254" t="str">
            <v>M/S City Auto</v>
          </cell>
          <cell r="E1254" t="str">
            <v>00398</v>
          </cell>
        </row>
        <row r="1255">
          <cell r="D1255" t="str">
            <v>M/S Minara Traders</v>
          </cell>
          <cell r="E1255" t="str">
            <v>01108</v>
          </cell>
        </row>
        <row r="1256">
          <cell r="D1256" t="str">
            <v>M/S Minara Traders</v>
          </cell>
          <cell r="E1256" t="str">
            <v>01108</v>
          </cell>
        </row>
        <row r="1257">
          <cell r="D1257" t="str">
            <v>M/S Minara Traders</v>
          </cell>
          <cell r="E1257" t="str">
            <v>01108</v>
          </cell>
        </row>
        <row r="1258">
          <cell r="D1258" t="str">
            <v>M/S Fateha Battery</v>
          </cell>
          <cell r="E1258" t="str">
            <v>00388</v>
          </cell>
        </row>
        <row r="1259">
          <cell r="D1259" t="str">
            <v>M/S Minara Traders</v>
          </cell>
          <cell r="E1259" t="str">
            <v>01108</v>
          </cell>
        </row>
        <row r="1260">
          <cell r="D1260" t="str">
            <v>M/S L D Poribahan &amp; Trading (C)</v>
          </cell>
          <cell r="E1260" t="str">
            <v>01299</v>
          </cell>
        </row>
        <row r="1261">
          <cell r="D1261" t="str">
            <v>M/S L D Poribahan &amp; Trading (C)</v>
          </cell>
          <cell r="E1261" t="str">
            <v>01299</v>
          </cell>
        </row>
        <row r="1262">
          <cell r="D1262" t="str">
            <v>M/S Ira Motors</v>
          </cell>
          <cell r="E1262" t="str">
            <v>00133</v>
          </cell>
        </row>
        <row r="1263">
          <cell r="D1263" t="str">
            <v>M/S Rajapur IPS &amp; Battery House</v>
          </cell>
          <cell r="E1263" t="str">
            <v>01400</v>
          </cell>
        </row>
        <row r="1264">
          <cell r="D1264" t="str">
            <v>M/S Khokon IPS &amp; Battery Center (C)</v>
          </cell>
          <cell r="E1264" t="str">
            <v>01306</v>
          </cell>
        </row>
        <row r="1265">
          <cell r="D1265" t="str">
            <v>M/S Khokon IPS &amp; Battery Center (C)</v>
          </cell>
          <cell r="E1265" t="str">
            <v>01306</v>
          </cell>
        </row>
        <row r="1266">
          <cell r="D1266" t="str">
            <v>M/S Khokon IPS &amp; Battery Center</v>
          </cell>
          <cell r="E1266" t="str">
            <v>00330</v>
          </cell>
        </row>
        <row r="1267">
          <cell r="D1267" t="str">
            <v>M/S A.P.L. Auto House</v>
          </cell>
          <cell r="E1267" t="str">
            <v>00328</v>
          </cell>
        </row>
        <row r="1268">
          <cell r="D1268" t="str">
            <v>M/S Power Battery</v>
          </cell>
          <cell r="E1268" t="str">
            <v>00324</v>
          </cell>
        </row>
        <row r="1269">
          <cell r="D1269" t="str">
            <v>M/S National Motors-Feni</v>
          </cell>
          <cell r="E1269" t="str">
            <v>01102</v>
          </cell>
        </row>
        <row r="1270">
          <cell r="D1270" t="str">
            <v>M/S Maa Battery Service</v>
          </cell>
          <cell r="E1270" t="str">
            <v>00327</v>
          </cell>
        </row>
        <row r="1271">
          <cell r="D1271" t="str">
            <v>M/S Laksam Battery House</v>
          </cell>
          <cell r="E1271" t="str">
            <v>00336</v>
          </cell>
        </row>
        <row r="1272">
          <cell r="D1272" t="str">
            <v>M/S Sajib Enterprise (C)</v>
          </cell>
          <cell r="E1272" t="str">
            <v>01353</v>
          </cell>
        </row>
        <row r="1273">
          <cell r="D1273" t="str">
            <v>M/S Sawda Auto and Battery</v>
          </cell>
          <cell r="E1273" t="str">
            <v>01261</v>
          </cell>
        </row>
        <row r="1274">
          <cell r="D1274" t="str">
            <v>M/S Shahjalal Traders</v>
          </cell>
          <cell r="E1274" t="str">
            <v>01362</v>
          </cell>
        </row>
        <row r="1275">
          <cell r="D1275" t="str">
            <v>M/S Bashkhali Enterprise</v>
          </cell>
          <cell r="E1275" t="str">
            <v>00424</v>
          </cell>
        </row>
        <row r="1276">
          <cell r="D1276" t="str">
            <v>M/S Bashkhali Enterprise</v>
          </cell>
          <cell r="E1276" t="str">
            <v>00424</v>
          </cell>
        </row>
        <row r="1277">
          <cell r="D1277" t="str">
            <v>M/S Macca Tyre And battery House</v>
          </cell>
          <cell r="E1277" t="str">
            <v>00439</v>
          </cell>
        </row>
        <row r="1278">
          <cell r="D1278" t="str">
            <v>M/S Battery House - Pabna (C)</v>
          </cell>
          <cell r="E1278" t="str">
            <v>01315</v>
          </cell>
        </row>
        <row r="1279">
          <cell r="D1279" t="str">
            <v>M/S Shekh Enterprise - Khulna</v>
          </cell>
          <cell r="E1279" t="str">
            <v>01435</v>
          </cell>
        </row>
        <row r="1280">
          <cell r="D1280" t="str">
            <v>M/S R.B.M. Auto Center</v>
          </cell>
          <cell r="E1280" t="str">
            <v>01263</v>
          </cell>
        </row>
        <row r="1281">
          <cell r="D1281" t="str">
            <v>M/S Farhan Auto (C)</v>
          </cell>
          <cell r="E1281" t="str">
            <v>01298</v>
          </cell>
        </row>
        <row r="1282">
          <cell r="D1282" t="str">
            <v>M/S Farhan Auto (C)</v>
          </cell>
          <cell r="E1282" t="str">
            <v>01298</v>
          </cell>
        </row>
        <row r="1283">
          <cell r="D1283" t="str">
            <v>M/S Farhan Auto (C)</v>
          </cell>
          <cell r="E1283" t="str">
            <v>01298</v>
          </cell>
        </row>
        <row r="1284">
          <cell r="D1284" t="str">
            <v>M/S Babul Enterprise (C)</v>
          </cell>
          <cell r="E1284" t="str">
            <v>01292</v>
          </cell>
        </row>
        <row r="1285">
          <cell r="D1285" t="str">
            <v>M/S Anas Battery &amp; Auto House</v>
          </cell>
          <cell r="E1285" t="str">
            <v>01401</v>
          </cell>
        </row>
        <row r="1286">
          <cell r="D1286" t="str">
            <v>M/S Sohan Motors</v>
          </cell>
          <cell r="E1286" t="str">
            <v>01385</v>
          </cell>
        </row>
        <row r="1287">
          <cell r="D1287" t="str">
            <v>M/S Hafiz Battery House</v>
          </cell>
          <cell r="E1287" t="str">
            <v>01368</v>
          </cell>
        </row>
        <row r="1288">
          <cell r="D1288" t="str">
            <v>M/S Hafiz Battery House</v>
          </cell>
          <cell r="E1288" t="str">
            <v>01368</v>
          </cell>
        </row>
        <row r="1289">
          <cell r="D1289" t="str">
            <v>M/S Setu Cycle Mart</v>
          </cell>
          <cell r="E1289" t="str">
            <v>00471</v>
          </cell>
        </row>
        <row r="1290">
          <cell r="D1290" t="str">
            <v>M/S Setu Cycle Mart</v>
          </cell>
          <cell r="E1290" t="str">
            <v>00471</v>
          </cell>
        </row>
        <row r="1291">
          <cell r="D1291" t="str">
            <v>M/S Bondhu Auto and CNG Workshop</v>
          </cell>
          <cell r="E1291" t="str">
            <v>01149</v>
          </cell>
        </row>
        <row r="1292">
          <cell r="D1292" t="str">
            <v>M/S Doyal Battery</v>
          </cell>
          <cell r="E1292" t="str">
            <v>00337</v>
          </cell>
        </row>
        <row r="1293">
          <cell r="D1293" t="str">
            <v>M/S Doyal Battery</v>
          </cell>
          <cell r="E1293" t="str">
            <v>00337</v>
          </cell>
        </row>
        <row r="1294">
          <cell r="D1294" t="str">
            <v>M/S Doyal Battery</v>
          </cell>
          <cell r="E1294" t="str">
            <v>00337</v>
          </cell>
        </row>
        <row r="1295">
          <cell r="D1295" t="str">
            <v>M/S S.K. Enterprise (C)</v>
          </cell>
          <cell r="E1295" t="str">
            <v>01326</v>
          </cell>
        </row>
        <row r="1296">
          <cell r="D1296" t="str">
            <v>M/S S.K. Enterprise (C)</v>
          </cell>
          <cell r="E1296" t="str">
            <v>01326</v>
          </cell>
        </row>
        <row r="1297">
          <cell r="D1297" t="str">
            <v>M/S S.K. Enterprise (C)</v>
          </cell>
          <cell r="E1297" t="str">
            <v>01326</v>
          </cell>
        </row>
        <row r="1298">
          <cell r="D1298" t="str">
            <v>M/S S.K. Enterprise (C)</v>
          </cell>
          <cell r="E1298" t="str">
            <v>01326</v>
          </cell>
        </row>
        <row r="1299">
          <cell r="D1299" t="str">
            <v>M/S S.K. Enterprise (C)</v>
          </cell>
          <cell r="E1299" t="str">
            <v>01326</v>
          </cell>
        </row>
        <row r="1300">
          <cell r="D1300" t="str">
            <v>M/S Banskhali Enterprise-Joldi (C)</v>
          </cell>
          <cell r="E1300" t="str">
            <v>01312</v>
          </cell>
        </row>
        <row r="1301">
          <cell r="D1301" t="str">
            <v>M/S Islam Parts Store (C)</v>
          </cell>
          <cell r="E1301" t="str">
            <v>01439</v>
          </cell>
        </row>
        <row r="1302">
          <cell r="D1302" t="str">
            <v>M/S Islam Parts Store (C)</v>
          </cell>
          <cell r="E1302" t="str">
            <v>01439</v>
          </cell>
        </row>
        <row r="1303">
          <cell r="D1303" t="str">
            <v>M/S Bogura Auto Center (C)</v>
          </cell>
          <cell r="E1303" t="str">
            <v>01468</v>
          </cell>
        </row>
        <row r="1304">
          <cell r="D1304" t="str">
            <v>M/S Sarkar Motors and Battery (C)</v>
          </cell>
          <cell r="E1304" t="str">
            <v>01502</v>
          </cell>
        </row>
        <row r="1305">
          <cell r="D1305" t="str">
            <v>M/S S.K. Enterprise-Rangpur</v>
          </cell>
          <cell r="E1305" t="str">
            <v>01462</v>
          </cell>
        </row>
        <row r="1306">
          <cell r="D1306" t="str">
            <v>M/S Bondhu Auto and CNG Workshop</v>
          </cell>
          <cell r="E1306" t="str">
            <v>01149</v>
          </cell>
        </row>
        <row r="1307">
          <cell r="D1307" t="str">
            <v>M/S Bondhu Auto and CNG Workshop</v>
          </cell>
          <cell r="E1307" t="str">
            <v>01149</v>
          </cell>
        </row>
        <row r="1308">
          <cell r="D1308" t="str">
            <v>M/S Al Amin-2 Sanitary Hardware &amp; Cycle Store</v>
          </cell>
          <cell r="E1308" t="str">
            <v>01272</v>
          </cell>
        </row>
        <row r="1309">
          <cell r="D1309" t="str">
            <v>M/S Doyal Battery</v>
          </cell>
          <cell r="E1309" t="str">
            <v>00337</v>
          </cell>
        </row>
        <row r="1310">
          <cell r="D1310" t="str">
            <v>M/S Mokka Motors-Cumilla (C)</v>
          </cell>
          <cell r="E1310" t="str">
            <v>01481</v>
          </cell>
        </row>
        <row r="1311">
          <cell r="D1311" t="str">
            <v>M/S Anik Motors &amp; Battery (C)</v>
          </cell>
          <cell r="E1311" t="str">
            <v>01444</v>
          </cell>
        </row>
        <row r="1312">
          <cell r="D1312" t="str">
            <v>M/S Anas Battery &amp; Auto House</v>
          </cell>
          <cell r="E1312" t="str">
            <v>01401</v>
          </cell>
        </row>
        <row r="1313">
          <cell r="D1313" t="str">
            <v>M/S Sangu Battery House</v>
          </cell>
          <cell r="E1313" t="str">
            <v>00988</v>
          </cell>
        </row>
        <row r="1314">
          <cell r="D1314" t="str">
            <v>M/S S.K. Enterprise (C)</v>
          </cell>
          <cell r="E1314" t="str">
            <v>01326</v>
          </cell>
        </row>
        <row r="1315">
          <cell r="D1315" t="str">
            <v>M/S S.K. Enterprise (C)</v>
          </cell>
          <cell r="E1315" t="str">
            <v>01326</v>
          </cell>
        </row>
        <row r="1316">
          <cell r="D1316" t="str">
            <v>M/S S.K. Enterprise (C)</v>
          </cell>
          <cell r="E1316" t="str">
            <v>01326</v>
          </cell>
        </row>
        <row r="1317">
          <cell r="D1317" t="str">
            <v>M/S S.K. Enterprise (C)</v>
          </cell>
          <cell r="E1317" t="str">
            <v>01326</v>
          </cell>
        </row>
        <row r="1318">
          <cell r="D1318" t="str">
            <v>M/S S.K. Enterprise (C)</v>
          </cell>
          <cell r="E1318" t="str">
            <v>01326</v>
          </cell>
        </row>
        <row r="1319">
          <cell r="D1319" t="str">
            <v>M/S S.K. Enterprise (C)</v>
          </cell>
          <cell r="E1319" t="str">
            <v>01326</v>
          </cell>
        </row>
        <row r="1320">
          <cell r="D1320" t="str">
            <v>M/S S.K. Enterprise (C)</v>
          </cell>
          <cell r="E1320" t="str">
            <v>01326</v>
          </cell>
        </row>
        <row r="1321">
          <cell r="D1321" t="str">
            <v>M/S S.K. Enterprise (C)</v>
          </cell>
          <cell r="E1321" t="str">
            <v>01326</v>
          </cell>
        </row>
        <row r="1322">
          <cell r="D1322" t="str">
            <v>M/S Banskhali Enterprise-Joldi (C)</v>
          </cell>
          <cell r="E1322" t="str">
            <v>01312</v>
          </cell>
        </row>
        <row r="1323">
          <cell r="D1323" t="str">
            <v>M/S Bismillah Motors-Hinla</v>
          </cell>
          <cell r="E1323" t="str">
            <v>01448</v>
          </cell>
        </row>
        <row r="1324">
          <cell r="D1324" t="str">
            <v>Kalam Enterprise</v>
          </cell>
          <cell r="E1324" t="str">
            <v>01341</v>
          </cell>
        </row>
        <row r="1325">
          <cell r="D1325" t="str">
            <v>Kalam Enterprise</v>
          </cell>
          <cell r="E1325" t="str">
            <v>01341</v>
          </cell>
        </row>
        <row r="1326">
          <cell r="D1326" t="str">
            <v>M/S Hafiz Battery House</v>
          </cell>
          <cell r="E1326" t="str">
            <v>01368</v>
          </cell>
        </row>
        <row r="1327">
          <cell r="D1327" t="str">
            <v>M/S Setu Cycle Mart</v>
          </cell>
          <cell r="E1327" t="str">
            <v>00471</v>
          </cell>
        </row>
        <row r="1328">
          <cell r="D1328" t="str">
            <v>M/S Setu Cycle Mart</v>
          </cell>
          <cell r="E1328" t="str">
            <v>00471</v>
          </cell>
        </row>
        <row r="1329">
          <cell r="D1329" t="str">
            <v>M/S Setu Cycle Mart</v>
          </cell>
          <cell r="E1329" t="str">
            <v>00471</v>
          </cell>
        </row>
        <row r="1330">
          <cell r="D1330" t="str">
            <v>M/S Setu Cycle Mart</v>
          </cell>
          <cell r="E1330" t="str">
            <v>00471</v>
          </cell>
        </row>
        <row r="1331">
          <cell r="D1331" t="str">
            <v>M/S Kalam Store</v>
          </cell>
          <cell r="E1331" t="str">
            <v>01436</v>
          </cell>
        </row>
        <row r="1332">
          <cell r="D1332" t="str">
            <v>M/S Kalam Store</v>
          </cell>
          <cell r="E1332" t="str">
            <v>01436</v>
          </cell>
        </row>
        <row r="1333">
          <cell r="D1333" t="str">
            <v>M/S Shuvo Enterprise</v>
          </cell>
          <cell r="E1333" t="str">
            <v>00622</v>
          </cell>
        </row>
        <row r="1334">
          <cell r="D1334" t="str">
            <v>M/S Sarkar Motors and Battery (C)</v>
          </cell>
          <cell r="E1334" t="str">
            <v>01502</v>
          </cell>
        </row>
        <row r="1335">
          <cell r="D1335" t="str">
            <v>M/S Sarkar Motors and Battery (C)</v>
          </cell>
          <cell r="E1335" t="str">
            <v>01502</v>
          </cell>
        </row>
        <row r="1336">
          <cell r="D1336" t="str">
            <v>M/S Sarkar Motors and Battery (C)</v>
          </cell>
          <cell r="E1336" t="str">
            <v>01502</v>
          </cell>
        </row>
        <row r="1337">
          <cell r="D1337" t="str">
            <v>M/S S S Trading</v>
          </cell>
          <cell r="E1337" t="str">
            <v>00846</v>
          </cell>
        </row>
        <row r="1338">
          <cell r="D1338" t="str">
            <v>M/S S.K. Enterprise-Rangpur</v>
          </cell>
          <cell r="E1338" t="str">
            <v>01462</v>
          </cell>
        </row>
        <row r="1339">
          <cell r="D1339" t="str">
            <v>M/S Tamim Enterprise</v>
          </cell>
          <cell r="E1339" t="str">
            <v>01395</v>
          </cell>
        </row>
        <row r="1340">
          <cell r="D1340" t="str">
            <v>M/S Mahtab Engineering Workshop</v>
          </cell>
          <cell r="E1340" t="str">
            <v>01429</v>
          </cell>
        </row>
        <row r="1341">
          <cell r="D1341" t="str">
            <v>M/S Samir Battery And Tyre</v>
          </cell>
          <cell r="E1341" t="str">
            <v>01450</v>
          </cell>
        </row>
        <row r="1342">
          <cell r="D1342" t="str">
            <v>M/S Samir Battery And Tyre</v>
          </cell>
          <cell r="E1342" t="str">
            <v>01450</v>
          </cell>
        </row>
        <row r="1343">
          <cell r="D1343" t="str">
            <v>M/S Samir Battery And Tyre</v>
          </cell>
          <cell r="E1343" t="str">
            <v>01450</v>
          </cell>
        </row>
        <row r="1344">
          <cell r="D1344" t="str">
            <v>M/S Samir Battery And Tyre</v>
          </cell>
          <cell r="E1344" t="str">
            <v>01450</v>
          </cell>
        </row>
        <row r="1345">
          <cell r="D1345" t="str">
            <v>M/S Al - Mokka Enterprise</v>
          </cell>
          <cell r="E1345" t="str">
            <v>01112</v>
          </cell>
        </row>
        <row r="1346">
          <cell r="D1346" t="str">
            <v>M/S Ma Tyre &amp; Battery  Shop</v>
          </cell>
          <cell r="E1346" t="str">
            <v>00088</v>
          </cell>
        </row>
        <row r="1347">
          <cell r="D1347" t="str">
            <v>M/S Adnan Tyre and Battery House</v>
          </cell>
          <cell r="E1347" t="str">
            <v>01371</v>
          </cell>
        </row>
        <row r="1348">
          <cell r="D1348" t="str">
            <v>M/S Rashed Enterprise</v>
          </cell>
          <cell r="E1348" t="str">
            <v>00030</v>
          </cell>
        </row>
        <row r="1349">
          <cell r="D1349" t="str">
            <v>M/S Rashed Enterprise</v>
          </cell>
          <cell r="E1349" t="str">
            <v>00030</v>
          </cell>
        </row>
        <row r="1350">
          <cell r="D1350" t="str">
            <v>M/S Rashed Enterprise</v>
          </cell>
          <cell r="E1350" t="str">
            <v>00030</v>
          </cell>
        </row>
        <row r="1351">
          <cell r="D1351" t="str">
            <v>M/S Modina Cycle Store</v>
          </cell>
          <cell r="E1351" t="str">
            <v>01270</v>
          </cell>
        </row>
        <row r="1352">
          <cell r="D1352" t="str">
            <v>M/S New Dhaka Motors and Battery</v>
          </cell>
          <cell r="E1352" t="str">
            <v>00005</v>
          </cell>
        </row>
        <row r="1353">
          <cell r="D1353" t="str">
            <v>M/S Ananna Battery &amp; Tyre</v>
          </cell>
          <cell r="E1353" t="str">
            <v>01088</v>
          </cell>
        </row>
        <row r="1354">
          <cell r="D1354" t="str">
            <v>M/S Ripon Tyre and Battery</v>
          </cell>
          <cell r="E1354" t="str">
            <v>00002</v>
          </cell>
        </row>
        <row r="1355">
          <cell r="D1355" t="str">
            <v>M/S Farhan Auto (C)</v>
          </cell>
          <cell r="E1355" t="str">
            <v>01298</v>
          </cell>
        </row>
        <row r="1356">
          <cell r="D1356" t="str">
            <v>M/S L D Poribahan &amp; Trading (C)</v>
          </cell>
          <cell r="E1356" t="str">
            <v>01299</v>
          </cell>
        </row>
        <row r="1357">
          <cell r="D1357" t="str">
            <v>M/S L D Poribahan &amp; Trading (C)</v>
          </cell>
          <cell r="E1357" t="str">
            <v>01299</v>
          </cell>
        </row>
        <row r="1358">
          <cell r="D1358" t="str">
            <v>M/S Supreme Auto (C)</v>
          </cell>
          <cell r="E1358" t="str">
            <v>01300</v>
          </cell>
        </row>
        <row r="1359">
          <cell r="D1359" t="str">
            <v>M/S Shah Mojidia Motor Parts</v>
          </cell>
          <cell r="E1359" t="str">
            <v>00842</v>
          </cell>
        </row>
        <row r="1360">
          <cell r="D1360" t="str">
            <v>M/S Tamim Enterprise</v>
          </cell>
          <cell r="E1360" t="str">
            <v>01395</v>
          </cell>
        </row>
        <row r="1361">
          <cell r="D1361" t="str">
            <v>M/S Anik Motors &amp; Battery (C)</v>
          </cell>
          <cell r="E1361" t="str">
            <v>01444</v>
          </cell>
        </row>
        <row r="1362">
          <cell r="D1362" t="str">
            <v>M/S Anik Motors &amp; Battery (C)</v>
          </cell>
          <cell r="E1362" t="str">
            <v>01444</v>
          </cell>
        </row>
        <row r="1363">
          <cell r="D1363" t="str">
            <v>M/S Anik Motors &amp; Battery (C)</v>
          </cell>
          <cell r="E1363" t="str">
            <v>01444</v>
          </cell>
        </row>
        <row r="1364">
          <cell r="D1364" t="str">
            <v>M/S A.P.L. Auto House</v>
          </cell>
          <cell r="E1364" t="str">
            <v>00328</v>
          </cell>
        </row>
        <row r="1365">
          <cell r="D1365" t="str">
            <v>M/S Power Battery</v>
          </cell>
          <cell r="E1365" t="str">
            <v>00324</v>
          </cell>
        </row>
        <row r="1366">
          <cell r="D1366" t="str">
            <v>M/S Jhenaidah Bike Center</v>
          </cell>
          <cell r="E1366" t="str">
            <v>01358</v>
          </cell>
        </row>
        <row r="1367">
          <cell r="D1367" t="str">
            <v>M/S Khokon IPS &amp; Battery Center (C)</v>
          </cell>
          <cell r="E1367" t="str">
            <v>01306</v>
          </cell>
        </row>
        <row r="1368">
          <cell r="D1368" t="str">
            <v>M/S Sajib Enterprise (C)</v>
          </cell>
          <cell r="E1368" t="str">
            <v>01353</v>
          </cell>
        </row>
        <row r="1369">
          <cell r="D1369" t="str">
            <v>M/S S.K. Enterprise (C)</v>
          </cell>
          <cell r="E1369" t="str">
            <v>01326</v>
          </cell>
        </row>
        <row r="1370">
          <cell r="D1370" t="str">
            <v>M/S S.K. Enterprise (C)</v>
          </cell>
          <cell r="E1370" t="str">
            <v>01326</v>
          </cell>
        </row>
        <row r="1371">
          <cell r="D1371" t="str">
            <v>M/S Macca Tyre And battery House</v>
          </cell>
          <cell r="E1371" t="str">
            <v>00439</v>
          </cell>
        </row>
        <row r="1372">
          <cell r="D1372" t="str">
            <v>M/S Macca Tyre And battery House</v>
          </cell>
          <cell r="E1372" t="str">
            <v>00439</v>
          </cell>
        </row>
        <row r="1373">
          <cell r="D1373" t="str">
            <v>M/S S.K. Enterprise (C)</v>
          </cell>
          <cell r="E1373" t="str">
            <v>01326</v>
          </cell>
        </row>
        <row r="1374">
          <cell r="D1374" t="str">
            <v>M/S S.K. Enterprise (C)</v>
          </cell>
          <cell r="E1374" t="str">
            <v>01326</v>
          </cell>
        </row>
        <row r="1375">
          <cell r="D1375" t="str">
            <v>M/S Rajapur IPS &amp; Battery House</v>
          </cell>
          <cell r="E1375" t="str">
            <v>01400</v>
          </cell>
        </row>
        <row r="1376">
          <cell r="D1376" t="str">
            <v>M/S Bondhu Auto and CNG Workshop</v>
          </cell>
          <cell r="E1376" t="str">
            <v>01149</v>
          </cell>
        </row>
        <row r="1377">
          <cell r="D1377" t="str">
            <v>M/S Bondhu Auto and CNG Workshop</v>
          </cell>
          <cell r="E1377" t="str">
            <v>01149</v>
          </cell>
        </row>
        <row r="1378">
          <cell r="D1378" t="str">
            <v>M/S Bondhu Auto and CNG Workshop</v>
          </cell>
          <cell r="E1378" t="str">
            <v>01149</v>
          </cell>
        </row>
        <row r="1379">
          <cell r="D1379" t="str">
            <v>M/S Comilla Traders</v>
          </cell>
          <cell r="E1379" t="str">
            <v>00334</v>
          </cell>
        </row>
        <row r="1380">
          <cell r="D1380" t="str">
            <v>M/S Comilla Traders</v>
          </cell>
          <cell r="E1380" t="str">
            <v>00334</v>
          </cell>
        </row>
        <row r="1381">
          <cell r="D1381" t="str">
            <v>M/S Comilla Traders</v>
          </cell>
          <cell r="E1381" t="str">
            <v>00334</v>
          </cell>
        </row>
        <row r="1382">
          <cell r="D1382" t="str">
            <v>M/S Comilla Traders</v>
          </cell>
          <cell r="E1382" t="str">
            <v>00334</v>
          </cell>
        </row>
        <row r="1383">
          <cell r="D1383" t="str">
            <v>M/S Shekh Enterprise - Khulna</v>
          </cell>
          <cell r="E1383" t="str">
            <v>01435</v>
          </cell>
        </row>
        <row r="1384">
          <cell r="D1384" t="str">
            <v>M/S Tanha Battery House</v>
          </cell>
          <cell r="E1384" t="str">
            <v>01390</v>
          </cell>
        </row>
        <row r="1385">
          <cell r="D1385" t="str">
            <v>M/S Bogura Auto Center (C)</v>
          </cell>
          <cell r="E1385" t="str">
            <v>01468</v>
          </cell>
        </row>
        <row r="1386">
          <cell r="D1386" t="str">
            <v>M/S Housing Auto Bike</v>
          </cell>
          <cell r="E1386" t="str">
            <v>00598</v>
          </cell>
        </row>
        <row r="1387">
          <cell r="D1387" t="str">
            <v>M/S Bismillah Motors-Hinla</v>
          </cell>
          <cell r="E1387" t="str">
            <v>01448</v>
          </cell>
        </row>
        <row r="1388">
          <cell r="D1388" t="str">
            <v>M/S Bismillah Motors-Hinla</v>
          </cell>
          <cell r="E1388" t="str">
            <v>01448</v>
          </cell>
        </row>
        <row r="1389">
          <cell r="D1389" t="str">
            <v>M/S Molla Battery House (C)</v>
          </cell>
          <cell r="E1389" t="str">
            <v>01428</v>
          </cell>
        </row>
        <row r="1390">
          <cell r="D1390" t="str">
            <v>M/S Souro Power Electric</v>
          </cell>
          <cell r="E1390" t="str">
            <v>01285</v>
          </cell>
        </row>
        <row r="1391">
          <cell r="D1391" t="str">
            <v>M/S Setu Cycle Mart</v>
          </cell>
          <cell r="E1391" t="str">
            <v>00471</v>
          </cell>
        </row>
        <row r="1392">
          <cell r="D1392" t="str">
            <v>M/S Setu Cycle Mart</v>
          </cell>
          <cell r="E1392" t="str">
            <v>00471</v>
          </cell>
        </row>
        <row r="1393">
          <cell r="D1393" t="str">
            <v>M/S Ira Motors</v>
          </cell>
          <cell r="E1393" t="str">
            <v>00133</v>
          </cell>
        </row>
        <row r="1394">
          <cell r="D1394" t="str">
            <v>M/S Lalmai Machineries &amp; Parts</v>
          </cell>
          <cell r="E1394" t="str">
            <v>00329</v>
          </cell>
        </row>
        <row r="1395">
          <cell r="D1395" t="str">
            <v>M/S Mayer Doya Auto Parts-Laksam</v>
          </cell>
          <cell r="E1395" t="str">
            <v>00325</v>
          </cell>
        </row>
        <row r="1396">
          <cell r="D1396" t="str">
            <v>M/S Mayer Doya Auto Parts-Feni</v>
          </cell>
          <cell r="E1396" t="str">
            <v>00373</v>
          </cell>
        </row>
        <row r="1397">
          <cell r="D1397" t="str">
            <v>M/S Doyal Battery</v>
          </cell>
          <cell r="E1397" t="str">
            <v>00337</v>
          </cell>
        </row>
        <row r="1398">
          <cell r="D1398" t="str">
            <v>M/S Doyal Battery</v>
          </cell>
          <cell r="E1398" t="str">
            <v>00337</v>
          </cell>
        </row>
        <row r="1399">
          <cell r="D1399" t="str">
            <v>M/S Atik Auto</v>
          </cell>
          <cell r="E1399" t="str">
            <v>00562</v>
          </cell>
        </row>
        <row r="1400">
          <cell r="D1400" t="str">
            <v>M/S Anamika Auto Rickshow</v>
          </cell>
          <cell r="E1400" t="str">
            <v>00496</v>
          </cell>
        </row>
        <row r="1401">
          <cell r="D1401" t="str">
            <v>M/S Rumi Battery House</v>
          </cell>
          <cell r="E1401" t="str">
            <v>00387</v>
          </cell>
        </row>
        <row r="1402">
          <cell r="D1402" t="str">
            <v>M/S Al - Mokka Enterprise</v>
          </cell>
          <cell r="E1402" t="str">
            <v>01112</v>
          </cell>
        </row>
        <row r="1403">
          <cell r="D1403" t="str">
            <v>M/S Gazipur Battery House</v>
          </cell>
          <cell r="E1403" t="str">
            <v>00826</v>
          </cell>
        </row>
        <row r="1404">
          <cell r="D1404" t="str">
            <v>M/S S.B. Energy (C)</v>
          </cell>
          <cell r="E1404" t="str">
            <v>01288</v>
          </cell>
        </row>
        <row r="1405">
          <cell r="D1405" t="str">
            <v>M/S Monir Auto &amp; Battery House</v>
          </cell>
          <cell r="E1405" t="str">
            <v>00001</v>
          </cell>
        </row>
        <row r="1406">
          <cell r="D1406" t="str">
            <v>M/S Monir Auto &amp; Battery House</v>
          </cell>
          <cell r="E1406" t="str">
            <v>00001</v>
          </cell>
        </row>
        <row r="1407">
          <cell r="D1407" t="str">
            <v>M/S Monir Auto &amp; Battery House</v>
          </cell>
          <cell r="E1407" t="str">
            <v>00001</v>
          </cell>
        </row>
        <row r="1408">
          <cell r="D1408" t="str">
            <v>M/S Adnan Tyre and Battery House</v>
          </cell>
          <cell r="E1408" t="str">
            <v>01371</v>
          </cell>
        </row>
        <row r="1409">
          <cell r="D1409" t="str">
            <v>M/S New Dhaka Motors and Battery</v>
          </cell>
          <cell r="E1409" t="str">
            <v>00005</v>
          </cell>
        </row>
        <row r="1410">
          <cell r="D1410" t="str">
            <v>M/S Modina Cycle Store</v>
          </cell>
          <cell r="E1410" t="str">
            <v>01270</v>
          </cell>
        </row>
        <row r="1411">
          <cell r="D1411" t="str">
            <v>M/S Rashed Enterprise</v>
          </cell>
          <cell r="E1411" t="str">
            <v>00030</v>
          </cell>
        </row>
        <row r="1412">
          <cell r="D1412" t="str">
            <v>M/S Hemayetpur Battery House (C)</v>
          </cell>
          <cell r="E1412" t="str">
            <v>01478</v>
          </cell>
        </row>
        <row r="1413">
          <cell r="D1413" t="str">
            <v>M/S Modina Enterprise - Savar</v>
          </cell>
          <cell r="E1413" t="str">
            <v>01404</v>
          </cell>
        </row>
        <row r="1414">
          <cell r="D1414" t="str">
            <v>M/S Kalam Store</v>
          </cell>
          <cell r="E1414" t="str">
            <v>01436</v>
          </cell>
        </row>
        <row r="1415">
          <cell r="D1415" t="str">
            <v>M/S Kalam Store</v>
          </cell>
          <cell r="E1415" t="str">
            <v>01436</v>
          </cell>
        </row>
        <row r="1416">
          <cell r="D1416" t="str">
            <v>M/S Shahjalal Traders</v>
          </cell>
          <cell r="E1416" t="str">
            <v>01362</v>
          </cell>
        </row>
        <row r="1417">
          <cell r="D1417" t="str">
            <v>M/S Shahjalal Traders</v>
          </cell>
          <cell r="E1417" t="str">
            <v>01362</v>
          </cell>
        </row>
        <row r="1418">
          <cell r="D1418" t="str">
            <v>M/S Bondhu Auto and CNG Workshop</v>
          </cell>
          <cell r="E1418" t="str">
            <v>01149</v>
          </cell>
        </row>
        <row r="1419">
          <cell r="D1419" t="str">
            <v>M/S S.K. Enterprise (C)</v>
          </cell>
          <cell r="E1419" t="str">
            <v>01326</v>
          </cell>
        </row>
        <row r="1420">
          <cell r="D1420" t="str">
            <v>M/S S.K. Enterprise (C)</v>
          </cell>
          <cell r="E1420" t="str">
            <v>01326</v>
          </cell>
        </row>
        <row r="1421">
          <cell r="D1421" t="str">
            <v>M/S S.K. Enterprise (C)</v>
          </cell>
          <cell r="E1421" t="str">
            <v>01326</v>
          </cell>
        </row>
        <row r="1422">
          <cell r="D1422" t="str">
            <v>M/S Macca Tyre And battery House</v>
          </cell>
          <cell r="E1422" t="str">
            <v>00439</v>
          </cell>
        </row>
        <row r="1423">
          <cell r="D1423" t="str">
            <v>M/S S.K. Enterprise (C)</v>
          </cell>
          <cell r="E1423" t="str">
            <v>01326</v>
          </cell>
        </row>
        <row r="1424">
          <cell r="D1424" t="str">
            <v>M/S Banskhali Enterprise-Joldi (C)</v>
          </cell>
          <cell r="E1424" t="str">
            <v>01312</v>
          </cell>
        </row>
        <row r="1425">
          <cell r="D1425" t="str">
            <v>Kalam Enterprise</v>
          </cell>
          <cell r="E1425" t="str">
            <v>01341</v>
          </cell>
        </row>
        <row r="1426">
          <cell r="D1426" t="str">
            <v>Kalam Enterprise</v>
          </cell>
          <cell r="E1426" t="str">
            <v>01341</v>
          </cell>
        </row>
        <row r="1427">
          <cell r="D1427" t="str">
            <v>M/S Bismillah Motors-Hinla</v>
          </cell>
          <cell r="E1427" t="str">
            <v>01448</v>
          </cell>
        </row>
        <row r="1428">
          <cell r="D1428" t="str">
            <v>M/S Bismillah Motors-Hinla</v>
          </cell>
          <cell r="E1428" t="str">
            <v>01448</v>
          </cell>
        </row>
        <row r="1429">
          <cell r="D1429" t="str">
            <v>M/S Hira Motors-Chokoria</v>
          </cell>
          <cell r="E1429" t="str">
            <v>01441</v>
          </cell>
        </row>
        <row r="1430">
          <cell r="D1430" t="str">
            <v>M/S Sohan Motors</v>
          </cell>
          <cell r="E1430" t="str">
            <v>01385</v>
          </cell>
        </row>
        <row r="1431">
          <cell r="D1431" t="str">
            <v>M/S Shah Mojidia Motor Parts</v>
          </cell>
          <cell r="E1431" t="str">
            <v>00842</v>
          </cell>
        </row>
        <row r="1432">
          <cell r="D1432" t="str">
            <v>M/S Shah Mojidia Motor Parts</v>
          </cell>
          <cell r="E1432" t="str">
            <v>00842</v>
          </cell>
        </row>
        <row r="1433">
          <cell r="D1433" t="str">
            <v>M/S Khokon IPS &amp; Battery Center</v>
          </cell>
          <cell r="E1433" t="str">
            <v>00330</v>
          </cell>
        </row>
        <row r="1434">
          <cell r="D1434" t="str">
            <v>M/S Khokon IPS &amp; Battery Center</v>
          </cell>
          <cell r="E1434" t="str">
            <v>00330</v>
          </cell>
        </row>
        <row r="1435">
          <cell r="D1435" t="str">
            <v>M/S Anik Motors &amp; Battery (C)</v>
          </cell>
          <cell r="E1435" t="str">
            <v>01444</v>
          </cell>
        </row>
        <row r="1436">
          <cell r="D1436" t="str">
            <v>M/S Anik Motors &amp; Battery (C)</v>
          </cell>
          <cell r="E1436" t="str">
            <v>01444</v>
          </cell>
        </row>
        <row r="1437">
          <cell r="D1437" t="str">
            <v>M/S Anik Motors &amp; Battery (C)</v>
          </cell>
          <cell r="E1437" t="str">
            <v>01444</v>
          </cell>
        </row>
        <row r="1438">
          <cell r="D1438" t="str">
            <v>M/S Rajapur IPS &amp; Battery House</v>
          </cell>
          <cell r="E1438" t="str">
            <v>01400</v>
          </cell>
        </row>
        <row r="1439">
          <cell r="D1439" t="str">
            <v>M/S National Motors-Feni</v>
          </cell>
          <cell r="E1439" t="str">
            <v>01102</v>
          </cell>
        </row>
        <row r="1440">
          <cell r="D1440" t="str">
            <v>M/S A.P.L. Auto House</v>
          </cell>
          <cell r="E1440" t="str">
            <v>00328</v>
          </cell>
        </row>
        <row r="1441">
          <cell r="D1441" t="str">
            <v>M/S Farhan Auto</v>
          </cell>
          <cell r="E1441" t="str">
            <v>00300</v>
          </cell>
        </row>
        <row r="1442">
          <cell r="D1442" t="str">
            <v>M/S Farhan Auto (C)</v>
          </cell>
          <cell r="E1442" t="str">
            <v>01298</v>
          </cell>
        </row>
        <row r="1443">
          <cell r="D1443" t="str">
            <v>M/S Farhan Auto (C)</v>
          </cell>
          <cell r="E1443" t="str">
            <v>01298</v>
          </cell>
        </row>
        <row r="1444">
          <cell r="D1444" t="str">
            <v>M/S Farhan Auto (C)</v>
          </cell>
          <cell r="E1444" t="str">
            <v>01298</v>
          </cell>
        </row>
        <row r="1445">
          <cell r="D1445" t="str">
            <v>M/S L D Poribahan &amp; Trading (C)</v>
          </cell>
          <cell r="E1445" t="str">
            <v>01299</v>
          </cell>
        </row>
        <row r="1446">
          <cell r="D1446" t="str">
            <v>M/S L D Poribahan &amp; Trading (C)</v>
          </cell>
          <cell r="E1446" t="str">
            <v>01299</v>
          </cell>
        </row>
        <row r="1447">
          <cell r="D1447" t="str">
            <v>M/S Supreme Auto (C)</v>
          </cell>
          <cell r="E1447" t="str">
            <v>01300</v>
          </cell>
        </row>
        <row r="1448">
          <cell r="D1448" t="str">
            <v>M/S Supreme Auto (C)</v>
          </cell>
          <cell r="E1448" t="str">
            <v>01300</v>
          </cell>
        </row>
        <row r="1449">
          <cell r="D1449" t="str">
            <v>M/S Maa Auto Workshop &amp; Battery Center (C)</v>
          </cell>
          <cell r="E1449" t="str">
            <v>01497</v>
          </cell>
        </row>
        <row r="1450">
          <cell r="D1450" t="str">
            <v>M/S Maa Auto Workshop &amp; Battery Center (C)</v>
          </cell>
          <cell r="E1450" t="str">
            <v>01497</v>
          </cell>
        </row>
        <row r="1451">
          <cell r="D1451" t="str">
            <v>M/S Suborna Battery</v>
          </cell>
          <cell r="E1451" t="str">
            <v>00563</v>
          </cell>
        </row>
        <row r="1452">
          <cell r="D1452" t="str">
            <v>M/S M.R. Enterprise- Dinajpur</v>
          </cell>
          <cell r="E1452" t="str">
            <v>00601</v>
          </cell>
        </row>
        <row r="1453">
          <cell r="D1453" t="str">
            <v>M/S Sonali Traders</v>
          </cell>
          <cell r="E1453" t="str">
            <v>00558</v>
          </cell>
        </row>
        <row r="1454">
          <cell r="D1454" t="str">
            <v>M/S Battery House - Pabna (C)</v>
          </cell>
          <cell r="E1454" t="str">
            <v>01315</v>
          </cell>
        </row>
        <row r="1455">
          <cell r="D1455" t="str">
            <v>M/S Bhai Bhai Battery And Motors (C)</v>
          </cell>
          <cell r="E1455" t="str">
            <v>01496</v>
          </cell>
        </row>
        <row r="1456">
          <cell r="D1456" t="str">
            <v>M/S Souro Power Electric</v>
          </cell>
          <cell r="E1456" t="str">
            <v>01285</v>
          </cell>
        </row>
        <row r="1457">
          <cell r="D1457" t="str">
            <v>M/S Souro Power Electric</v>
          </cell>
          <cell r="E1457" t="str">
            <v>01285</v>
          </cell>
        </row>
        <row r="1458">
          <cell r="D1458" t="str">
            <v>M/S Arafat Enterprise</v>
          </cell>
          <cell r="E1458" t="str">
            <v>00094</v>
          </cell>
        </row>
        <row r="1459">
          <cell r="D1459" t="str">
            <v>M/S Sadia Enterprise</v>
          </cell>
          <cell r="E1459" t="str">
            <v>01490</v>
          </cell>
        </row>
        <row r="1460">
          <cell r="D1460" t="str">
            <v>M/S Shapla Battery &amp; Auto House</v>
          </cell>
          <cell r="E1460" t="str">
            <v>01447</v>
          </cell>
        </row>
        <row r="1461">
          <cell r="D1461" t="str">
            <v>M/S Doyal Battery</v>
          </cell>
          <cell r="E1461" t="str">
            <v>00337</v>
          </cell>
        </row>
        <row r="1462">
          <cell r="D1462" t="str">
            <v>M/S Sangu Battery House</v>
          </cell>
          <cell r="E1462" t="str">
            <v>00988</v>
          </cell>
        </row>
        <row r="1463">
          <cell r="D1463" t="str">
            <v>M/S Sangu Battery House</v>
          </cell>
          <cell r="E1463" t="str">
            <v>00988</v>
          </cell>
        </row>
        <row r="1464">
          <cell r="D1464" t="str">
            <v>M/S Setu Cycle Mart</v>
          </cell>
          <cell r="E1464" t="str">
            <v>00471</v>
          </cell>
        </row>
        <row r="1465">
          <cell r="D1465" t="str">
            <v>M/S Setu Cycle Mart</v>
          </cell>
          <cell r="E1465" t="str">
            <v>00471</v>
          </cell>
        </row>
        <row r="1466">
          <cell r="D1466" t="str">
            <v>M/S Setu Cycle Mart</v>
          </cell>
          <cell r="E1466" t="str">
            <v>00471</v>
          </cell>
        </row>
        <row r="1467">
          <cell r="D1467" t="str">
            <v>M/S Ira Motors</v>
          </cell>
          <cell r="E1467" t="str">
            <v>00133</v>
          </cell>
        </row>
        <row r="1468">
          <cell r="D1468" t="str">
            <v>M/S Ira Motors</v>
          </cell>
          <cell r="E1468" t="str">
            <v>00133</v>
          </cell>
        </row>
        <row r="1469">
          <cell r="D1469" t="str">
            <v>M/S Jogotbondhu Battery &amp; Eng. Workshop</v>
          </cell>
          <cell r="E1469" t="str">
            <v>00143</v>
          </cell>
        </row>
        <row r="1470">
          <cell r="D1470" t="str">
            <v>M/S Shekh Enterprise - Khulna</v>
          </cell>
          <cell r="E1470" t="str">
            <v>01435</v>
          </cell>
        </row>
        <row r="1471">
          <cell r="D1471" t="str">
            <v>M/S S.S. Enterprise-Norshingdi</v>
          </cell>
          <cell r="E1471" t="str">
            <v>01118</v>
          </cell>
        </row>
        <row r="1472">
          <cell r="D1472" t="str">
            <v>M/S S.S. Enterprise-Norshingdi</v>
          </cell>
          <cell r="E1472" t="str">
            <v>01118</v>
          </cell>
        </row>
        <row r="1473">
          <cell r="D1473" t="str">
            <v>M/S S.S. Enterprise-Norshingdi</v>
          </cell>
          <cell r="E1473" t="str">
            <v>01118</v>
          </cell>
        </row>
        <row r="1474">
          <cell r="D1474" t="str">
            <v>M/S Samir Battery And Tyre</v>
          </cell>
          <cell r="E1474" t="str">
            <v>01450</v>
          </cell>
        </row>
        <row r="1475">
          <cell r="D1475" t="str">
            <v>M/S Samir Battery And Tyre</v>
          </cell>
          <cell r="E1475" t="str">
            <v>01450</v>
          </cell>
        </row>
        <row r="1476">
          <cell r="D1476" t="str">
            <v>M/S Rashed Enterprise</v>
          </cell>
          <cell r="E1476" t="str">
            <v>00030</v>
          </cell>
        </row>
        <row r="1477">
          <cell r="D1477" t="str">
            <v>M/S Rashed Enterprise</v>
          </cell>
          <cell r="E1477" t="str">
            <v>00030</v>
          </cell>
        </row>
        <row r="1478">
          <cell r="D1478" t="str">
            <v>M/S Rashed Enterprise</v>
          </cell>
          <cell r="E1478" t="str">
            <v>00030</v>
          </cell>
        </row>
        <row r="1479">
          <cell r="D1479" t="str">
            <v>M/S Rashed Enterprise</v>
          </cell>
          <cell r="E1479" t="str">
            <v>00030</v>
          </cell>
        </row>
        <row r="1480">
          <cell r="D1480" t="str">
            <v>M/S Anas Enterprise</v>
          </cell>
          <cell r="E1480" t="str">
            <v>00817</v>
          </cell>
        </row>
        <row r="1481">
          <cell r="D1481" t="str">
            <v>M/S Anas Enterprise</v>
          </cell>
          <cell r="E1481" t="str">
            <v>00817</v>
          </cell>
        </row>
        <row r="1482">
          <cell r="D1482" t="str">
            <v>M/S Modina Cycle Store</v>
          </cell>
          <cell r="E1482" t="str">
            <v>01270</v>
          </cell>
        </row>
        <row r="1483">
          <cell r="D1483" t="str">
            <v>M/S Mahtab Engineering Workshop</v>
          </cell>
          <cell r="E1483" t="str">
            <v>01429</v>
          </cell>
        </row>
        <row r="1484">
          <cell r="D1484" t="str">
            <v>M/S Al - Mokka Enterprise</v>
          </cell>
          <cell r="E1484" t="str">
            <v>01112</v>
          </cell>
        </row>
        <row r="1485">
          <cell r="D1485" t="str">
            <v>M/S New Dhaka Motors and Battery</v>
          </cell>
          <cell r="E1485" t="str">
            <v>00005</v>
          </cell>
        </row>
        <row r="1486">
          <cell r="D1486" t="str">
            <v>M/S New Dhaka Motors and Battery</v>
          </cell>
          <cell r="E1486" t="str">
            <v>00005</v>
          </cell>
        </row>
        <row r="1487">
          <cell r="D1487" t="str">
            <v>M/S Lutfor Auto Battery House</v>
          </cell>
          <cell r="E1487" t="str">
            <v>00829</v>
          </cell>
        </row>
        <row r="1488">
          <cell r="D1488" t="str">
            <v>M/S Bondhu Auto and CNG Workshop</v>
          </cell>
          <cell r="E1488" t="str">
            <v>01149</v>
          </cell>
        </row>
        <row r="1489">
          <cell r="D1489" t="str">
            <v>M/S Bondhu Auto and CNG Workshop</v>
          </cell>
          <cell r="E1489" t="str">
            <v>01149</v>
          </cell>
        </row>
        <row r="1490">
          <cell r="D1490" t="str">
            <v>M/S Farhan Auto (C)</v>
          </cell>
          <cell r="E1490" t="str">
            <v>01298</v>
          </cell>
        </row>
        <row r="1491">
          <cell r="D1491" t="str">
            <v>M/S Farhan Auto (C)</v>
          </cell>
          <cell r="E1491" t="str">
            <v>01298</v>
          </cell>
        </row>
        <row r="1492">
          <cell r="D1492" t="str">
            <v>M/S L D Poribahan &amp; Trading (C)</v>
          </cell>
          <cell r="E1492" t="str">
            <v>01299</v>
          </cell>
        </row>
        <row r="1493">
          <cell r="D1493" t="str">
            <v>M/S L D Poribahan &amp; Trading (C)</v>
          </cell>
          <cell r="E1493" t="str">
            <v>01299</v>
          </cell>
        </row>
        <row r="1494">
          <cell r="D1494" t="str">
            <v>M/S Supreme Auto (C)</v>
          </cell>
          <cell r="E1494" t="str">
            <v>01300</v>
          </cell>
        </row>
        <row r="1495">
          <cell r="D1495" t="str">
            <v>M/S Mayer Doya Auto Parts-Laksam</v>
          </cell>
          <cell r="E1495" t="str">
            <v>00325</v>
          </cell>
        </row>
        <row r="1496">
          <cell r="D1496" t="str">
            <v>M/S Mayer Doya Auto Parts-Laksam</v>
          </cell>
          <cell r="E1496" t="str">
            <v>00325</v>
          </cell>
        </row>
        <row r="1497">
          <cell r="D1497" t="str">
            <v>M/S Mayer Doya Auto Parts-Laksam</v>
          </cell>
          <cell r="E1497" t="str">
            <v>00325</v>
          </cell>
        </row>
        <row r="1498">
          <cell r="D1498" t="str">
            <v>M/S Payar Auto Electric Works</v>
          </cell>
          <cell r="E1498" t="str">
            <v>00371</v>
          </cell>
        </row>
        <row r="1499">
          <cell r="D1499" t="str">
            <v>M/S Payar Auto Electric Works</v>
          </cell>
          <cell r="E1499" t="str">
            <v>00371</v>
          </cell>
        </row>
        <row r="1500">
          <cell r="D1500" t="str">
            <v>M/S A.P.L. Auto House</v>
          </cell>
          <cell r="E1500" t="str">
            <v>00328</v>
          </cell>
        </row>
        <row r="1501">
          <cell r="D1501" t="str">
            <v>M/S Sajib Enterprise (C)</v>
          </cell>
          <cell r="E1501" t="str">
            <v>01353</v>
          </cell>
        </row>
        <row r="1502">
          <cell r="D1502" t="str">
            <v>M/S Power Battery</v>
          </cell>
          <cell r="E1502" t="str">
            <v>00324</v>
          </cell>
        </row>
        <row r="1503">
          <cell r="D1503" t="str">
            <v>M/S Anik Motors &amp; Battery (C)</v>
          </cell>
          <cell r="E1503" t="str">
            <v>01444</v>
          </cell>
        </row>
        <row r="1504">
          <cell r="D1504" t="str">
            <v>M/S Anik Motors &amp; Battery</v>
          </cell>
          <cell r="E1504" t="str">
            <v>01262</v>
          </cell>
        </row>
        <row r="1505">
          <cell r="D1505" t="str">
            <v>M/S Maa Battery Service</v>
          </cell>
          <cell r="E1505" t="str">
            <v>00327</v>
          </cell>
        </row>
        <row r="1506">
          <cell r="D1506" t="str">
            <v>M/S Babul Enterprise (C)</v>
          </cell>
          <cell r="E1506" t="str">
            <v>01292</v>
          </cell>
        </row>
        <row r="1507">
          <cell r="D1507" t="str">
            <v>M/S Babul Enterprise (C)</v>
          </cell>
          <cell r="E1507" t="str">
            <v>01292</v>
          </cell>
        </row>
        <row r="1508">
          <cell r="D1508" t="str">
            <v>M/S Samar Auto</v>
          </cell>
          <cell r="E1508" t="str">
            <v>01434</v>
          </cell>
        </row>
        <row r="1509">
          <cell r="D1509" t="str">
            <v>M/S Ira Motors</v>
          </cell>
          <cell r="E1509" t="str">
            <v>00133</v>
          </cell>
        </row>
        <row r="1510">
          <cell r="D1510" t="str">
            <v>M/S Shah Mojidia Motor Parts</v>
          </cell>
          <cell r="E1510" t="str">
            <v>00842</v>
          </cell>
        </row>
        <row r="1511">
          <cell r="D1511" t="str">
            <v>M/S Shah Mojidia Motor Parts</v>
          </cell>
          <cell r="E1511" t="str">
            <v>00842</v>
          </cell>
        </row>
        <row r="1512">
          <cell r="D1512" t="str">
            <v>M/S Saiful Motors</v>
          </cell>
          <cell r="E1512" t="str">
            <v>00482</v>
          </cell>
        </row>
        <row r="1513">
          <cell r="D1513" t="str">
            <v>M/S Saiful Motors</v>
          </cell>
          <cell r="E1513" t="str">
            <v>00482</v>
          </cell>
        </row>
        <row r="1514">
          <cell r="D1514" t="str">
            <v>M/S Sohan Motors</v>
          </cell>
          <cell r="E1514" t="str">
            <v>01385</v>
          </cell>
        </row>
        <row r="1515">
          <cell r="D1515" t="str">
            <v>M/S Hira Motors-Chokoria</v>
          </cell>
          <cell r="E1515" t="str">
            <v>01441</v>
          </cell>
        </row>
        <row r="1516">
          <cell r="D1516" t="str">
            <v>M/S Bismillah Motors-Hinla</v>
          </cell>
          <cell r="E1516" t="str">
            <v>01448</v>
          </cell>
        </row>
        <row r="1517">
          <cell r="D1517" t="str">
            <v>M/S Bismillah Motors-Hinla</v>
          </cell>
          <cell r="E1517" t="str">
            <v>01448</v>
          </cell>
        </row>
        <row r="1518">
          <cell r="D1518" t="str">
            <v>M/S Macca Tyre And battery House</v>
          </cell>
          <cell r="E1518" t="str">
            <v>00439</v>
          </cell>
        </row>
        <row r="1519">
          <cell r="D1519" t="str">
            <v>M/S S.K. Enterprise (C)</v>
          </cell>
          <cell r="E1519" t="str">
            <v>01326</v>
          </cell>
        </row>
        <row r="1520">
          <cell r="D1520" t="str">
            <v>M/S Bashkhali Enterprise</v>
          </cell>
          <cell r="E1520" t="str">
            <v>00424</v>
          </cell>
        </row>
        <row r="1521">
          <cell r="D1521" t="str">
            <v>M/S Rafi Battery House</v>
          </cell>
          <cell r="E1521" t="str">
            <v>00410</v>
          </cell>
        </row>
        <row r="1522">
          <cell r="D1522" t="str">
            <v>M/S Fateha Battery</v>
          </cell>
          <cell r="E1522" t="str">
            <v>00388</v>
          </cell>
        </row>
        <row r="1523">
          <cell r="D1523" t="str">
            <v>M/S City Auto</v>
          </cell>
          <cell r="E1523" t="str">
            <v>00398</v>
          </cell>
        </row>
        <row r="1524">
          <cell r="D1524" t="str">
            <v>M/S M.R. Enterprise- Dinajpur</v>
          </cell>
          <cell r="E1524" t="str">
            <v>00601</v>
          </cell>
        </row>
        <row r="1525">
          <cell r="D1525" t="str">
            <v>M/S M.R. Enterprise- Dinajpur</v>
          </cell>
          <cell r="E1525" t="str">
            <v>00601</v>
          </cell>
        </row>
        <row r="1526">
          <cell r="D1526" t="str">
            <v>M/S Anamika Auto Rickshow</v>
          </cell>
          <cell r="E1526" t="str">
            <v>00496</v>
          </cell>
        </row>
        <row r="1527">
          <cell r="D1527" t="str">
            <v>M/S Anamika Auto Rickshow</v>
          </cell>
          <cell r="E1527" t="str">
            <v>00496</v>
          </cell>
        </row>
        <row r="1528">
          <cell r="D1528" t="str">
            <v>M/S Bogura Auto Center (C)</v>
          </cell>
          <cell r="E1528" t="str">
            <v>01468</v>
          </cell>
        </row>
        <row r="1529">
          <cell r="D1529" t="str">
            <v>M/S Bogura Auto Center (C)</v>
          </cell>
          <cell r="E1529" t="str">
            <v>01468</v>
          </cell>
        </row>
        <row r="1530">
          <cell r="D1530" t="str">
            <v>M/S Bogura Auto Center (C)</v>
          </cell>
          <cell r="E1530" t="str">
            <v>01468</v>
          </cell>
        </row>
        <row r="1531">
          <cell r="D1531" t="str">
            <v>M/S Sompa Cycle Store</v>
          </cell>
          <cell r="E1531" t="str">
            <v>01252</v>
          </cell>
        </row>
        <row r="1532">
          <cell r="D1532" t="str">
            <v>M/S S. K. Battery and Motors</v>
          </cell>
          <cell r="E1532" t="str">
            <v>01458</v>
          </cell>
        </row>
        <row r="1533">
          <cell r="D1533" t="str">
            <v>M/S Sadiq Enterprise (C)</v>
          </cell>
          <cell r="E1533" t="str">
            <v>01484</v>
          </cell>
        </row>
        <row r="1534">
          <cell r="D1534" t="str">
            <v>M/S Sadiq Enterprise (C)</v>
          </cell>
          <cell r="E1534" t="str">
            <v>01484</v>
          </cell>
        </row>
        <row r="1535">
          <cell r="D1535" t="str">
            <v>M/S Adib Alifa Auto &amp; Battery House</v>
          </cell>
          <cell r="E1535" t="str">
            <v>01465</v>
          </cell>
        </row>
        <row r="1536">
          <cell r="D1536" t="str">
            <v>M/S Walid Traders &amp; Auto</v>
          </cell>
          <cell r="E1536" t="str">
            <v>01422</v>
          </cell>
        </row>
        <row r="1537">
          <cell r="D1537" t="str">
            <v>M/S Doyal Battery</v>
          </cell>
          <cell r="E1537" t="str">
            <v>00337</v>
          </cell>
        </row>
        <row r="1538">
          <cell r="D1538" t="str">
            <v>M/S Doyal Battery</v>
          </cell>
          <cell r="E1538" t="str">
            <v>00337</v>
          </cell>
        </row>
        <row r="1539">
          <cell r="D1539" t="str">
            <v>M/S Doyal Battery</v>
          </cell>
          <cell r="E1539" t="str">
            <v>00337</v>
          </cell>
        </row>
        <row r="1540">
          <cell r="D1540" t="str">
            <v>M/S Doyal Battery</v>
          </cell>
          <cell r="E1540" t="str">
            <v>00337</v>
          </cell>
        </row>
        <row r="1541">
          <cell r="D1541" t="str">
            <v>M/S Doyal Battery</v>
          </cell>
          <cell r="E1541" t="str">
            <v>00337</v>
          </cell>
        </row>
        <row r="1542">
          <cell r="D1542" t="str">
            <v>M/S Setu Cycle Mart</v>
          </cell>
          <cell r="E1542" t="str">
            <v>00471</v>
          </cell>
        </row>
        <row r="1543">
          <cell r="D1543" t="str">
            <v>M/S Setu Cycle Mart</v>
          </cell>
          <cell r="E1543" t="str">
            <v>00471</v>
          </cell>
        </row>
        <row r="1544">
          <cell r="D1544" t="str">
            <v>M/S Sangu Battery House</v>
          </cell>
          <cell r="E1544" t="str">
            <v>00988</v>
          </cell>
        </row>
        <row r="1545">
          <cell r="D1545" t="str">
            <v>M/S Tanvir Battery House</v>
          </cell>
          <cell r="E1545" t="str">
            <v>01175</v>
          </cell>
        </row>
        <row r="1546">
          <cell r="D1546" t="str">
            <v>M/S Al Baraka Enterprise</v>
          </cell>
          <cell r="E1546" t="str">
            <v>00159</v>
          </cell>
        </row>
        <row r="1547">
          <cell r="D1547" t="str">
            <v>M/S Al Baraka Enterprise</v>
          </cell>
          <cell r="E1547" t="str">
            <v>00159</v>
          </cell>
        </row>
        <row r="1548">
          <cell r="D1548" t="str">
            <v>M/S Mahtab Engineering Workshop</v>
          </cell>
          <cell r="E1548" t="str">
            <v>01429</v>
          </cell>
        </row>
        <row r="1549">
          <cell r="D1549" t="str">
            <v>M/S S.B. Energy (C)</v>
          </cell>
          <cell r="E1549" t="str">
            <v>01288</v>
          </cell>
        </row>
        <row r="1550">
          <cell r="D1550" t="str">
            <v>M/S Ripon Tyre and Battery</v>
          </cell>
          <cell r="E1550" t="str">
            <v>00002</v>
          </cell>
        </row>
        <row r="1551">
          <cell r="D1551" t="str">
            <v>M/S Ripon Tyre and Battery</v>
          </cell>
          <cell r="E1551" t="str">
            <v>00002</v>
          </cell>
        </row>
        <row r="1552">
          <cell r="D1552" t="str">
            <v>M/S Polash Battery and Auto Parts</v>
          </cell>
          <cell r="E1552" t="str">
            <v>01244</v>
          </cell>
        </row>
        <row r="1553">
          <cell r="D1553" t="str">
            <v>M/S Polash Battery and Auto Parts</v>
          </cell>
          <cell r="E1553" t="str">
            <v>01244</v>
          </cell>
        </row>
        <row r="1554">
          <cell r="D1554" t="str">
            <v>M/S Modina Cycle Store</v>
          </cell>
          <cell r="E1554" t="str">
            <v>01270</v>
          </cell>
        </row>
        <row r="1555">
          <cell r="D1555" t="str">
            <v>M/S Modina Cycle Store</v>
          </cell>
          <cell r="E1555" t="str">
            <v>01270</v>
          </cell>
        </row>
        <row r="1556">
          <cell r="D1556" t="str">
            <v>M/S Adnan Tyre and Battery House</v>
          </cell>
          <cell r="E1556" t="str">
            <v>01371</v>
          </cell>
        </row>
        <row r="1557">
          <cell r="D1557" t="str">
            <v>M/S Adnan Tyre and Battery House</v>
          </cell>
          <cell r="E1557" t="str">
            <v>01371</v>
          </cell>
        </row>
        <row r="1558">
          <cell r="D1558" t="str">
            <v>M/S New Dhaka Motors and Battery</v>
          </cell>
          <cell r="E1558" t="str">
            <v>00005</v>
          </cell>
        </row>
        <row r="1559">
          <cell r="D1559" t="str">
            <v>M/S New Dhaka Motors and Battery</v>
          </cell>
          <cell r="E1559" t="str">
            <v>00005</v>
          </cell>
        </row>
        <row r="1560">
          <cell r="D1560" t="str">
            <v>M/S Babul Enterprise (C)</v>
          </cell>
          <cell r="E1560" t="str">
            <v>01292</v>
          </cell>
        </row>
        <row r="1561">
          <cell r="D1561" t="str">
            <v>M/S Babul Enterprise (C)</v>
          </cell>
          <cell r="E1561" t="str">
            <v>01292</v>
          </cell>
        </row>
        <row r="1562">
          <cell r="D1562" t="str">
            <v>M/S L D Poribahan &amp; Trading (C)</v>
          </cell>
          <cell r="E1562" t="str">
            <v>01299</v>
          </cell>
        </row>
        <row r="1563">
          <cell r="D1563" t="str">
            <v>M/S L D Poribahan &amp; Trading (C)</v>
          </cell>
          <cell r="E1563" t="str">
            <v>01299</v>
          </cell>
        </row>
        <row r="1564">
          <cell r="D1564" t="str">
            <v>M/S L D Poribahan &amp; Trading (C)</v>
          </cell>
          <cell r="E1564" t="str">
            <v>01299</v>
          </cell>
        </row>
        <row r="1565">
          <cell r="D1565" t="str">
            <v>M/S Farhan Auto (C)</v>
          </cell>
          <cell r="E1565" t="str">
            <v>01298</v>
          </cell>
        </row>
        <row r="1566">
          <cell r="D1566" t="str">
            <v>M/S Farhan Auto (C)</v>
          </cell>
          <cell r="E1566" t="str">
            <v>01298</v>
          </cell>
        </row>
        <row r="1567">
          <cell r="D1567" t="str">
            <v>M/S Shahjalal Traders</v>
          </cell>
          <cell r="E1567" t="str">
            <v>01362</v>
          </cell>
        </row>
        <row r="1568">
          <cell r="D1568" t="str">
            <v>M/S Sawda Auto and Battery</v>
          </cell>
          <cell r="E1568" t="str">
            <v>01261</v>
          </cell>
        </row>
        <row r="1569">
          <cell r="D1569" t="str">
            <v>M/S A.P.L. Auto House</v>
          </cell>
          <cell r="E1569" t="str">
            <v>00328</v>
          </cell>
        </row>
        <row r="1570">
          <cell r="D1570" t="str">
            <v>M/S A.P.L. Auto House</v>
          </cell>
          <cell r="E1570" t="str">
            <v>00328</v>
          </cell>
        </row>
        <row r="1571">
          <cell r="D1571" t="str">
            <v>M/S A.P.L. Auto House</v>
          </cell>
          <cell r="E1571" t="str">
            <v>00328</v>
          </cell>
        </row>
        <row r="1572">
          <cell r="D1572" t="str">
            <v>M/S Khokon IPS &amp; Battery Center (C)</v>
          </cell>
          <cell r="E1572" t="str">
            <v>01306</v>
          </cell>
        </row>
        <row r="1573">
          <cell r="D1573" t="str">
            <v>M/S Khokon IPS &amp; Battery Center (C)</v>
          </cell>
          <cell r="E1573" t="str">
            <v>01306</v>
          </cell>
        </row>
        <row r="1574">
          <cell r="D1574" t="str">
            <v>M/S Khokon IPS &amp; Battery Center (C)</v>
          </cell>
          <cell r="E1574" t="str">
            <v>01306</v>
          </cell>
        </row>
        <row r="1575">
          <cell r="D1575" t="str">
            <v>M/S S.S. Enterprise-Norshingdi (C)</v>
          </cell>
          <cell r="E1575" t="str">
            <v>01331</v>
          </cell>
        </row>
        <row r="1576">
          <cell r="D1576" t="str">
            <v>M/S Anas Battery &amp; Auto House</v>
          </cell>
          <cell r="E1576" t="str">
            <v>01401</v>
          </cell>
        </row>
        <row r="1577">
          <cell r="D1577" t="str">
            <v>M/S Anas Battery &amp; Auto House</v>
          </cell>
          <cell r="E1577" t="str">
            <v>01401</v>
          </cell>
        </row>
        <row r="1578">
          <cell r="D1578" t="str">
            <v>M/S Anik Motors &amp; Battery (C)</v>
          </cell>
          <cell r="E1578" t="str">
            <v>01444</v>
          </cell>
        </row>
        <row r="1579">
          <cell r="D1579" t="str">
            <v>M/S Rajapur IPS &amp; Battery House</v>
          </cell>
          <cell r="E1579" t="str">
            <v>01400</v>
          </cell>
        </row>
        <row r="1580">
          <cell r="D1580" t="str">
            <v>M/S National Motors-Feni</v>
          </cell>
          <cell r="E1580" t="str">
            <v>01102</v>
          </cell>
        </row>
        <row r="1581">
          <cell r="D1581" t="str">
            <v>M/S Bismillah Motors-Hinla</v>
          </cell>
          <cell r="E1581" t="str">
            <v>01448</v>
          </cell>
        </row>
        <row r="1582">
          <cell r="D1582" t="str">
            <v>M/S Sohan Motors</v>
          </cell>
          <cell r="E1582" t="str">
            <v>01385</v>
          </cell>
        </row>
        <row r="1583">
          <cell r="D1583" t="str">
            <v>M/S Shah Mojidia Motor Parts</v>
          </cell>
          <cell r="E1583" t="str">
            <v>00842</v>
          </cell>
        </row>
        <row r="1584">
          <cell r="D1584" t="str">
            <v>M/S Shah Mojidia Motor Parts</v>
          </cell>
          <cell r="E1584" t="str">
            <v>00842</v>
          </cell>
        </row>
        <row r="1585">
          <cell r="D1585" t="str">
            <v>M/S S.K. Enterprise (C)</v>
          </cell>
          <cell r="E1585" t="str">
            <v>01326</v>
          </cell>
        </row>
        <row r="1586">
          <cell r="D1586" t="str">
            <v>M/S S.K. Enterprise (C)</v>
          </cell>
          <cell r="E1586" t="str">
            <v>01326</v>
          </cell>
        </row>
        <row r="1587">
          <cell r="D1587" t="str">
            <v>M/S S.K. Enterprise (C)</v>
          </cell>
          <cell r="E1587" t="str">
            <v>01326</v>
          </cell>
        </row>
        <row r="1588">
          <cell r="D1588" t="str">
            <v>M/S Macca Tyre And battery House</v>
          </cell>
          <cell r="E1588" t="str">
            <v>00439</v>
          </cell>
        </row>
        <row r="1589">
          <cell r="D1589" t="str">
            <v>M/S Macca Tyre And battery House</v>
          </cell>
          <cell r="E1589" t="str">
            <v>00439</v>
          </cell>
        </row>
        <row r="1590">
          <cell r="D1590" t="str">
            <v>M/S Macca Tyre And battery House</v>
          </cell>
          <cell r="E1590" t="str">
            <v>00439</v>
          </cell>
        </row>
        <row r="1591">
          <cell r="D1591" t="str">
            <v>M/S S.K. Enterprise (C)</v>
          </cell>
          <cell r="E1591" t="str">
            <v>01326</v>
          </cell>
        </row>
        <row r="1592">
          <cell r="D1592" t="str">
            <v>M/S S.K. Enterprise (C)</v>
          </cell>
          <cell r="E1592" t="str">
            <v>01326</v>
          </cell>
        </row>
        <row r="1593">
          <cell r="D1593" t="str">
            <v>M/S Souro Power Electric</v>
          </cell>
          <cell r="E1593" t="str">
            <v>01285</v>
          </cell>
        </row>
        <row r="1594">
          <cell r="D1594" t="str">
            <v>M/S Anamika Auto Rickshow</v>
          </cell>
          <cell r="E1594" t="str">
            <v>00496</v>
          </cell>
        </row>
        <row r="1595">
          <cell r="D1595" t="str">
            <v>M/S Anamika Auto Rickshow</v>
          </cell>
          <cell r="E1595" t="str">
            <v>00496</v>
          </cell>
        </row>
        <row r="1596">
          <cell r="D1596" t="str">
            <v>M/S Bogura Auto Center (C)</v>
          </cell>
          <cell r="E1596" t="str">
            <v>01468</v>
          </cell>
        </row>
        <row r="1597">
          <cell r="D1597" t="str">
            <v>M/S Nobodhara Corporation</v>
          </cell>
          <cell r="E1597" t="str">
            <v>01352</v>
          </cell>
        </row>
        <row r="1598">
          <cell r="D1598" t="str">
            <v>M/S Nobodhara Corporation</v>
          </cell>
          <cell r="E1598" t="str">
            <v>01352</v>
          </cell>
        </row>
        <row r="1599">
          <cell r="D1599" t="str">
            <v>M/S Sadiq Enterprise</v>
          </cell>
          <cell r="E1599" t="str">
            <v>01067</v>
          </cell>
        </row>
        <row r="1600">
          <cell r="D1600" t="str">
            <v>M/S Samir Battery And Tyre</v>
          </cell>
          <cell r="E1600" t="str">
            <v>01450</v>
          </cell>
        </row>
        <row r="1601">
          <cell r="D1601" t="str">
            <v>M/S Bondhu Auto and CNG Workshop</v>
          </cell>
          <cell r="E1601" t="str">
            <v>01149</v>
          </cell>
        </row>
        <row r="1602">
          <cell r="D1602" t="str">
            <v>M/S Bondhu Auto and CNG Workshop</v>
          </cell>
          <cell r="E1602" t="str">
            <v>01149</v>
          </cell>
        </row>
        <row r="1603">
          <cell r="D1603" t="str">
            <v>M/S Setu Cycle Mart</v>
          </cell>
          <cell r="E1603" t="str">
            <v>00471</v>
          </cell>
        </row>
        <row r="1604">
          <cell r="D1604" t="str">
            <v>M/S Setu Cycle Mart</v>
          </cell>
          <cell r="E1604" t="str">
            <v>00471</v>
          </cell>
        </row>
        <row r="1605">
          <cell r="D1605" t="str">
            <v>M/S Kalam Store</v>
          </cell>
          <cell r="E1605" t="str">
            <v>01436</v>
          </cell>
        </row>
        <row r="1606">
          <cell r="D1606" t="str">
            <v>M/S Kalam Store</v>
          </cell>
          <cell r="E1606" t="str">
            <v>01436</v>
          </cell>
        </row>
        <row r="1607">
          <cell r="D1607" t="str">
            <v>M/S Atik Auto</v>
          </cell>
          <cell r="E1607" t="str">
            <v>00562</v>
          </cell>
        </row>
        <row r="1608">
          <cell r="D1608" t="str">
            <v>M/S Monir Auto &amp; Battery House</v>
          </cell>
          <cell r="E1608" t="str">
            <v>00001</v>
          </cell>
        </row>
        <row r="1609">
          <cell r="D1609" t="str">
            <v>M/S Monir Auto &amp; Battery House</v>
          </cell>
          <cell r="E1609" t="str">
            <v>00001</v>
          </cell>
        </row>
        <row r="1610">
          <cell r="D1610" t="str">
            <v>M/S Monir Auto &amp; Battery House</v>
          </cell>
          <cell r="E1610" t="str">
            <v>00001</v>
          </cell>
        </row>
        <row r="1611">
          <cell r="D1611" t="str">
            <v>M/S Monir Auto &amp; Battery House</v>
          </cell>
          <cell r="E1611" t="str">
            <v>00001</v>
          </cell>
        </row>
        <row r="1612">
          <cell r="D1612" t="str">
            <v>M/S Monir Auto &amp; Battery House</v>
          </cell>
          <cell r="E1612" t="str">
            <v>00001</v>
          </cell>
        </row>
        <row r="1613">
          <cell r="D1613" t="str">
            <v>M/S Monir Auto &amp; Battery House</v>
          </cell>
          <cell r="E1613" t="str">
            <v>00001</v>
          </cell>
        </row>
        <row r="1614">
          <cell r="D1614" t="str">
            <v>M/S Ripon Tyre and Battery</v>
          </cell>
          <cell r="E1614" t="str">
            <v>00002</v>
          </cell>
        </row>
        <row r="1615">
          <cell r="D1615" t="str">
            <v>M/S Rashed Enterprise</v>
          </cell>
          <cell r="E1615" t="str">
            <v>00030</v>
          </cell>
        </row>
        <row r="1616">
          <cell r="D1616" t="str">
            <v>M/S Rashed Enterprise</v>
          </cell>
          <cell r="E1616" t="str">
            <v>00030</v>
          </cell>
        </row>
        <row r="1617">
          <cell r="D1617" t="str">
            <v>M/S Polash Battery and Auto Parts</v>
          </cell>
          <cell r="E1617" t="str">
            <v>01244</v>
          </cell>
        </row>
        <row r="1618">
          <cell r="D1618" t="str">
            <v>M/S Anas Enterprise</v>
          </cell>
          <cell r="E1618" t="str">
            <v>00817</v>
          </cell>
        </row>
        <row r="1619">
          <cell r="D1619" t="str">
            <v>M/S Anas Enterprise</v>
          </cell>
          <cell r="E1619" t="str">
            <v>00817</v>
          </cell>
        </row>
        <row r="1620">
          <cell r="D1620" t="str">
            <v>M/S Anas Enterprise</v>
          </cell>
          <cell r="E1620" t="str">
            <v>00817</v>
          </cell>
        </row>
        <row r="1621">
          <cell r="D1621" t="str">
            <v>M/S Al - Mokka Enterprise</v>
          </cell>
          <cell r="E1621" t="str">
            <v>01112</v>
          </cell>
        </row>
        <row r="1622">
          <cell r="D1622" t="str">
            <v>M/S Modina Enterprise - Savar</v>
          </cell>
          <cell r="E1622" t="str">
            <v>01404</v>
          </cell>
        </row>
        <row r="1623">
          <cell r="D1623" t="str">
            <v>M/S Modina Enterprise - Savar</v>
          </cell>
          <cell r="E1623" t="str">
            <v>01404</v>
          </cell>
        </row>
        <row r="1624">
          <cell r="D1624" t="str">
            <v>M/S Ananna Battery &amp; Tyre</v>
          </cell>
          <cell r="E1624" t="str">
            <v>01088</v>
          </cell>
        </row>
        <row r="1625">
          <cell r="D1625" t="str">
            <v>M/S New Dhaka Motors and Battery</v>
          </cell>
          <cell r="E1625" t="str">
            <v>00005</v>
          </cell>
        </row>
        <row r="1626">
          <cell r="D1626" t="str">
            <v>M/S Gazipur Battery House</v>
          </cell>
          <cell r="E1626" t="str">
            <v>00826</v>
          </cell>
        </row>
        <row r="1627">
          <cell r="D1627" t="str">
            <v>M/S Gazipur Battery House</v>
          </cell>
          <cell r="E1627" t="str">
            <v>00826</v>
          </cell>
        </row>
        <row r="1628">
          <cell r="D1628" t="str">
            <v>M/S Gazipur Battery House</v>
          </cell>
          <cell r="E1628" t="str">
            <v>00826</v>
          </cell>
        </row>
        <row r="1629">
          <cell r="D1629" t="str">
            <v>M/S Musulli Enterprise</v>
          </cell>
          <cell r="E1629" t="str">
            <v>00091</v>
          </cell>
        </row>
        <row r="1630">
          <cell r="D1630" t="str">
            <v>M/S Babul Enterprise (C)</v>
          </cell>
          <cell r="E1630" t="str">
            <v>01292</v>
          </cell>
        </row>
        <row r="1631">
          <cell r="D1631" t="str">
            <v>M/S S.B. Energy (C)</v>
          </cell>
          <cell r="E1631" t="str">
            <v>01288</v>
          </cell>
        </row>
        <row r="1632">
          <cell r="D1632" t="str">
            <v>M/S New Saika Motors</v>
          </cell>
          <cell r="E1632" t="str">
            <v>00343</v>
          </cell>
        </row>
        <row r="1633">
          <cell r="D1633" t="str">
            <v>M/S Macca Tyre And battery House</v>
          </cell>
          <cell r="E1633" t="str">
            <v>00439</v>
          </cell>
        </row>
        <row r="1634">
          <cell r="D1634" t="str">
            <v>M/S Macca Tyre And battery House</v>
          </cell>
          <cell r="E1634" t="str">
            <v>00439</v>
          </cell>
        </row>
        <row r="1635">
          <cell r="D1635" t="str">
            <v>M/S S.K. Enterprise (C)</v>
          </cell>
          <cell r="E1635" t="str">
            <v>01326</v>
          </cell>
        </row>
        <row r="1636">
          <cell r="D1636" t="str">
            <v>M/S S.K. Enterprise (C)</v>
          </cell>
          <cell r="E1636" t="str">
            <v>01326</v>
          </cell>
        </row>
        <row r="1637">
          <cell r="D1637" t="str">
            <v>M/S Belal Battery House</v>
          </cell>
          <cell r="E1637" t="str">
            <v>01461</v>
          </cell>
        </row>
        <row r="1638">
          <cell r="D1638" t="str">
            <v>M/S Maa Battery Service</v>
          </cell>
          <cell r="E1638" t="str">
            <v>00327</v>
          </cell>
        </row>
        <row r="1639">
          <cell r="D1639" t="str">
            <v>M/S Maa Battery Service</v>
          </cell>
          <cell r="E1639" t="str">
            <v>00327</v>
          </cell>
        </row>
        <row r="1640">
          <cell r="D1640" t="str">
            <v>M/S Mayer Doya Auto Parts-Laksam</v>
          </cell>
          <cell r="E1640" t="str">
            <v>00325</v>
          </cell>
        </row>
        <row r="1641">
          <cell r="D1641" t="str">
            <v>M/S Mayer Doya Auto Parts-Laksam</v>
          </cell>
          <cell r="E1641" t="str">
            <v>00325</v>
          </cell>
        </row>
        <row r="1642">
          <cell r="D1642" t="str">
            <v>M/S Anik Motors &amp; Battery (C)</v>
          </cell>
          <cell r="E1642" t="str">
            <v>01444</v>
          </cell>
        </row>
        <row r="1643">
          <cell r="D1643" t="str">
            <v>M/S Anik Motors &amp; Battery</v>
          </cell>
          <cell r="E1643" t="str">
            <v>01262</v>
          </cell>
        </row>
        <row r="1644">
          <cell r="D1644" t="str">
            <v>M/S Anas Battery &amp; Auto House</v>
          </cell>
          <cell r="E1644" t="str">
            <v>01401</v>
          </cell>
        </row>
        <row r="1645">
          <cell r="D1645" t="str">
            <v>M/S Anas Battery &amp; Auto House</v>
          </cell>
          <cell r="E1645" t="str">
            <v>01401</v>
          </cell>
        </row>
        <row r="1646">
          <cell r="D1646" t="str">
            <v>M/S Anas Battery &amp; Auto House</v>
          </cell>
          <cell r="E1646" t="str">
            <v>01401</v>
          </cell>
        </row>
        <row r="1647">
          <cell r="D1647" t="str">
            <v>M/S Anas Battery &amp; Auto House</v>
          </cell>
          <cell r="E1647" t="str">
            <v>01401</v>
          </cell>
        </row>
        <row r="1648">
          <cell r="D1648" t="str">
            <v>M/S Laksam Battery House</v>
          </cell>
          <cell r="E1648" t="str">
            <v>00336</v>
          </cell>
        </row>
        <row r="1649">
          <cell r="D1649" t="str">
            <v>M/S Laksam Battery House</v>
          </cell>
          <cell r="E1649" t="str">
            <v>00336</v>
          </cell>
        </row>
        <row r="1650">
          <cell r="D1650" t="str">
            <v>M/S Khokon IPS &amp; Battery Center</v>
          </cell>
          <cell r="E1650" t="str">
            <v>00330</v>
          </cell>
        </row>
        <row r="1651">
          <cell r="D1651" t="str">
            <v>M/S Mokka Motors-Cumilla (C)</v>
          </cell>
          <cell r="E1651" t="str">
            <v>01481</v>
          </cell>
        </row>
        <row r="1652">
          <cell r="D1652" t="str">
            <v>M/S Sohan Motors</v>
          </cell>
          <cell r="E1652" t="str">
            <v>01385</v>
          </cell>
        </row>
        <row r="1653">
          <cell r="D1653" t="str">
            <v>M/S Bismillah Motors-Hinla</v>
          </cell>
          <cell r="E1653" t="str">
            <v>01448</v>
          </cell>
        </row>
        <row r="1654">
          <cell r="D1654" t="str">
            <v>M/S Bismillah Motors-Hinla</v>
          </cell>
          <cell r="E1654" t="str">
            <v>01448</v>
          </cell>
        </row>
        <row r="1655">
          <cell r="D1655" t="str">
            <v>M/S Sifa Motors</v>
          </cell>
          <cell r="E1655" t="str">
            <v>01443</v>
          </cell>
        </row>
        <row r="1656">
          <cell r="D1656" t="str">
            <v>M/S Hafiz Battery House</v>
          </cell>
          <cell r="E1656" t="str">
            <v>01368</v>
          </cell>
        </row>
        <row r="1657">
          <cell r="D1657" t="str">
            <v>M/S Shah Mojidia Motor Parts</v>
          </cell>
          <cell r="E1657" t="str">
            <v>00842</v>
          </cell>
        </row>
        <row r="1658">
          <cell r="D1658" t="str">
            <v>M/S Shah Mojidia Motor Parts</v>
          </cell>
          <cell r="E1658" t="str">
            <v>00842</v>
          </cell>
        </row>
        <row r="1659">
          <cell r="D1659" t="str">
            <v>M/S Saiful Motors</v>
          </cell>
          <cell r="E1659" t="str">
            <v>00482</v>
          </cell>
        </row>
        <row r="1660">
          <cell r="D1660" t="str">
            <v>M/S Saiful Motors</v>
          </cell>
          <cell r="E1660" t="str">
            <v>00482</v>
          </cell>
        </row>
        <row r="1661">
          <cell r="D1661" t="str">
            <v>M/S City Auto</v>
          </cell>
          <cell r="E1661" t="str">
            <v>00398</v>
          </cell>
        </row>
        <row r="1662">
          <cell r="D1662" t="str">
            <v>M/S Supreme Auto (C)</v>
          </cell>
          <cell r="E1662" t="str">
            <v>01300</v>
          </cell>
        </row>
        <row r="1663">
          <cell r="D1663" t="str">
            <v>M/S Supreme Auto</v>
          </cell>
          <cell r="E1663" t="str">
            <v>00304</v>
          </cell>
        </row>
        <row r="1664">
          <cell r="D1664" t="str">
            <v>M/S Farhan Auto (C)</v>
          </cell>
          <cell r="E1664" t="str">
            <v>01298</v>
          </cell>
        </row>
        <row r="1665">
          <cell r="D1665" t="str">
            <v>M/S Farhan Auto (C)</v>
          </cell>
          <cell r="E1665" t="str">
            <v>01298</v>
          </cell>
        </row>
        <row r="1666">
          <cell r="D1666" t="str">
            <v>M/S Shahjalal Traders</v>
          </cell>
          <cell r="E1666" t="str">
            <v>01362</v>
          </cell>
        </row>
        <row r="1667">
          <cell r="D1667" t="str">
            <v>M/S Comilla Traders</v>
          </cell>
          <cell r="E1667" t="str">
            <v>00334</v>
          </cell>
        </row>
        <row r="1668">
          <cell r="D1668" t="str">
            <v>M/S Comilla Traders</v>
          </cell>
          <cell r="E1668" t="str">
            <v>00334</v>
          </cell>
        </row>
        <row r="1669">
          <cell r="D1669" t="str">
            <v>M/S Bondhu Auto and CNG Workshop</v>
          </cell>
          <cell r="E1669" t="str">
            <v>01149</v>
          </cell>
        </row>
        <row r="1670">
          <cell r="D1670" t="str">
            <v>M/S Bondhu Auto and CNG Workshop</v>
          </cell>
          <cell r="E1670" t="str">
            <v>01149</v>
          </cell>
        </row>
        <row r="1671">
          <cell r="D1671" t="str">
            <v>M/S Bondhu Auto and CNG Workshop</v>
          </cell>
          <cell r="E1671" t="str">
            <v>01149</v>
          </cell>
        </row>
        <row r="1672">
          <cell r="D1672" t="str">
            <v>M/S Bogura Auto Center (C)</v>
          </cell>
          <cell r="E1672" t="str">
            <v>01468</v>
          </cell>
        </row>
        <row r="1673">
          <cell r="D1673" t="str">
            <v>M/S Bogura Auto Center (C)</v>
          </cell>
          <cell r="E1673" t="str">
            <v>01468</v>
          </cell>
        </row>
        <row r="1674">
          <cell r="D1674" t="str">
            <v>M/S Suborna Battery</v>
          </cell>
          <cell r="E1674" t="str">
            <v>00563</v>
          </cell>
        </row>
        <row r="1675">
          <cell r="D1675" t="str">
            <v>M/S Shopon Battery House (C)</v>
          </cell>
          <cell r="E1675" t="str">
            <v>01320</v>
          </cell>
        </row>
        <row r="1676">
          <cell r="D1676" t="str">
            <v>M/S Tamim Enterprise</v>
          </cell>
          <cell r="E1676" t="str">
            <v>01395</v>
          </cell>
        </row>
        <row r="1677">
          <cell r="D1677" t="str">
            <v>M/S Shapla Battery &amp; Auto House</v>
          </cell>
          <cell r="E1677" t="str">
            <v>01447</v>
          </cell>
        </row>
        <row r="1678">
          <cell r="D1678" t="str">
            <v>M/S Setu Cycle Mart</v>
          </cell>
          <cell r="E1678" t="str">
            <v>00471</v>
          </cell>
        </row>
        <row r="1679">
          <cell r="D1679" t="str">
            <v>M/S Setu Cycle Mart</v>
          </cell>
          <cell r="E1679" t="str">
            <v>00471</v>
          </cell>
        </row>
        <row r="1680">
          <cell r="D1680" t="str">
            <v>M/S Setu Cycle Mart</v>
          </cell>
          <cell r="E1680" t="str">
            <v>00471</v>
          </cell>
        </row>
        <row r="1681">
          <cell r="D1681" t="str">
            <v>M/S Setu Cycle Mart</v>
          </cell>
          <cell r="E1681" t="str">
            <v>00471</v>
          </cell>
        </row>
        <row r="1682">
          <cell r="D1682" t="str">
            <v>M/S Doyal Battery</v>
          </cell>
          <cell r="E1682" t="str">
            <v>00337</v>
          </cell>
        </row>
        <row r="1683">
          <cell r="D1683" t="str">
            <v>M/S Doyal Battery</v>
          </cell>
          <cell r="E1683" t="str">
            <v>00337</v>
          </cell>
        </row>
        <row r="1684">
          <cell r="D1684" t="str">
            <v>M/S Tamim Enterprise</v>
          </cell>
          <cell r="E1684" t="str">
            <v>01395</v>
          </cell>
        </row>
        <row r="1685">
          <cell r="D1685" t="str">
            <v>M/S Anamika Auto Rickshow</v>
          </cell>
          <cell r="E1685" t="str">
            <v>00496</v>
          </cell>
        </row>
        <row r="1686">
          <cell r="D1686" t="str">
            <v>M/S Bogura Auto Center (C)</v>
          </cell>
          <cell r="E1686" t="str">
            <v>01468</v>
          </cell>
        </row>
        <row r="1687">
          <cell r="D1687" t="str">
            <v>M/S Mosabbir Traders</v>
          </cell>
          <cell r="E1687" t="str">
            <v>00560</v>
          </cell>
        </row>
        <row r="1688">
          <cell r="D1688" t="str">
            <v>M/S M.R. Enterprise- Dinajpur</v>
          </cell>
          <cell r="E1688" t="str">
            <v>00601</v>
          </cell>
        </row>
        <row r="1689">
          <cell r="D1689" t="str">
            <v>M/S Shah Mojidia Motor Parts</v>
          </cell>
          <cell r="E1689" t="str">
            <v>00842</v>
          </cell>
        </row>
        <row r="1690">
          <cell r="D1690" t="str">
            <v>M/S Comilla Traders</v>
          </cell>
          <cell r="E1690" t="str">
            <v>00334</v>
          </cell>
        </row>
        <row r="1691">
          <cell r="D1691" t="str">
            <v>M/S Comilla Traders</v>
          </cell>
          <cell r="E1691" t="str">
            <v>00334</v>
          </cell>
        </row>
        <row r="1692">
          <cell r="D1692" t="str">
            <v>M/S Comilla Traders</v>
          </cell>
          <cell r="E1692" t="str">
            <v>00334</v>
          </cell>
        </row>
        <row r="1693">
          <cell r="D1693" t="str">
            <v>M/S Comilla Traders</v>
          </cell>
          <cell r="E1693" t="str">
            <v>00334</v>
          </cell>
        </row>
        <row r="1694">
          <cell r="D1694" t="str">
            <v>M/S Farhan Auto (C)</v>
          </cell>
          <cell r="E1694" t="str">
            <v>01298</v>
          </cell>
        </row>
        <row r="1695">
          <cell r="D1695" t="str">
            <v>M/S Farhan Auto (C)</v>
          </cell>
          <cell r="E1695" t="str">
            <v>01298</v>
          </cell>
        </row>
        <row r="1696">
          <cell r="D1696" t="str">
            <v>M/S Farhan Auto (C)</v>
          </cell>
          <cell r="E1696" t="str">
            <v>01298</v>
          </cell>
        </row>
        <row r="1697">
          <cell r="D1697" t="str">
            <v>M/S S.K. Enterprise (C)</v>
          </cell>
          <cell r="E1697" t="str">
            <v>01326</v>
          </cell>
        </row>
        <row r="1698">
          <cell r="D1698" t="str">
            <v>M/S S.K. Enterprise (C)</v>
          </cell>
          <cell r="E1698" t="str">
            <v>01326</v>
          </cell>
        </row>
        <row r="1699">
          <cell r="D1699" t="str">
            <v>M/S S.K. Enterprise (C)</v>
          </cell>
          <cell r="E1699" t="str">
            <v>01326</v>
          </cell>
        </row>
        <row r="1700">
          <cell r="D1700" t="str">
            <v>M/S S.K. Enterprise (C)</v>
          </cell>
          <cell r="E1700" t="str">
            <v>01326</v>
          </cell>
        </row>
        <row r="1701">
          <cell r="D1701" t="str">
            <v>M/S S.K. Enterprise (C)</v>
          </cell>
          <cell r="E1701" t="str">
            <v>01326</v>
          </cell>
        </row>
        <row r="1702">
          <cell r="D1702" t="str">
            <v>M/S Doyal Battery</v>
          </cell>
          <cell r="E1702" t="str">
            <v>00337</v>
          </cell>
        </row>
        <row r="1703">
          <cell r="D1703" t="str">
            <v>M/S Doyal Battery</v>
          </cell>
          <cell r="E1703" t="str">
            <v>00337</v>
          </cell>
        </row>
        <row r="1704">
          <cell r="D1704" t="str">
            <v>M/S Doyal Battery</v>
          </cell>
          <cell r="E1704" t="str">
            <v>00337</v>
          </cell>
        </row>
        <row r="1705">
          <cell r="D1705" t="str">
            <v>M/S Doyal Battery</v>
          </cell>
          <cell r="E1705" t="str">
            <v>00337</v>
          </cell>
        </row>
        <row r="1706">
          <cell r="D1706" t="str">
            <v>M/S Doyal Battery</v>
          </cell>
          <cell r="E1706" t="str">
            <v>00337</v>
          </cell>
        </row>
        <row r="1707">
          <cell r="D1707" t="str">
            <v>M/S Doyal Battery</v>
          </cell>
          <cell r="E1707" t="str">
            <v>00337</v>
          </cell>
        </row>
        <row r="1708">
          <cell r="D1708" t="str">
            <v>M/S Doyal Battery</v>
          </cell>
          <cell r="E1708" t="str">
            <v>00337</v>
          </cell>
        </row>
        <row r="1709">
          <cell r="D1709" t="str">
            <v>M/S Setu Cycle Mart</v>
          </cell>
          <cell r="E1709" t="str">
            <v>00471</v>
          </cell>
        </row>
        <row r="1710">
          <cell r="D1710" t="str">
            <v>M/S Setu Cycle Mart</v>
          </cell>
          <cell r="E1710" t="str">
            <v>00471</v>
          </cell>
        </row>
        <row r="1711">
          <cell r="D1711" t="str">
            <v>M/S Setu Cycle Mart</v>
          </cell>
          <cell r="E1711" t="str">
            <v>00471</v>
          </cell>
        </row>
        <row r="1712">
          <cell r="D1712" t="str">
            <v>M/S Setu Cycle Mart</v>
          </cell>
          <cell r="E1712" t="str">
            <v>00471</v>
          </cell>
        </row>
        <row r="1713">
          <cell r="D1713" t="str">
            <v>M/S Setu Cycle Mart</v>
          </cell>
          <cell r="E1713" t="str">
            <v>00471</v>
          </cell>
        </row>
        <row r="1714">
          <cell r="D1714" t="str">
            <v>M/S Atik Auto</v>
          </cell>
          <cell r="E1714" t="str">
            <v>00562</v>
          </cell>
        </row>
        <row r="1715">
          <cell r="D1715" t="str">
            <v>M/S Bondhu Auto and CNG Workshop</v>
          </cell>
          <cell r="E1715" t="str">
            <v>01149</v>
          </cell>
        </row>
        <row r="1716">
          <cell r="D1716" t="str">
            <v>M/S Bondhu Auto and CNG Workshop</v>
          </cell>
          <cell r="E1716" t="str">
            <v>01149</v>
          </cell>
        </row>
        <row r="1717">
          <cell r="D1717" t="str">
            <v>M/S Bondhu Auto and CNG Workshop</v>
          </cell>
          <cell r="E1717" t="str">
            <v>01149</v>
          </cell>
        </row>
        <row r="1718">
          <cell r="D1718" t="str">
            <v>M/S S.S. Enterprise-Norshingdi</v>
          </cell>
          <cell r="E1718" t="str">
            <v>01118</v>
          </cell>
        </row>
        <row r="1719">
          <cell r="D1719" t="str">
            <v>M/S S.S. Enterprise-Norshingdi</v>
          </cell>
          <cell r="E1719" t="str">
            <v>01118</v>
          </cell>
        </row>
        <row r="1720">
          <cell r="D1720" t="str">
            <v>M/S S.S. Enterprise-Norshingdi</v>
          </cell>
          <cell r="E1720" t="str">
            <v>01118</v>
          </cell>
        </row>
        <row r="1721">
          <cell r="D1721" t="str">
            <v>M/S S.S. Enterprise-Norshingdi</v>
          </cell>
          <cell r="E1721" t="str">
            <v>01118</v>
          </cell>
        </row>
        <row r="1722">
          <cell r="D1722" t="str">
            <v>M/S Monir Auto &amp; Battery House</v>
          </cell>
          <cell r="E1722" t="str">
            <v>00001</v>
          </cell>
        </row>
        <row r="1723">
          <cell r="D1723" t="str">
            <v>M/S Roni Battery</v>
          </cell>
          <cell r="E1723" t="str">
            <v>01379</v>
          </cell>
        </row>
        <row r="1724">
          <cell r="D1724" t="str">
            <v>M/S Sadia Auto Parts (C)</v>
          </cell>
          <cell r="E1724" t="str">
            <v>01498</v>
          </cell>
        </row>
        <row r="1725">
          <cell r="D1725" t="str">
            <v>M/S Khan Battery Recycling (C)</v>
          </cell>
          <cell r="E1725" t="str">
            <v>01282</v>
          </cell>
        </row>
        <row r="1726">
          <cell r="D1726" t="str">
            <v>M/S Shopon Battery House (C)</v>
          </cell>
          <cell r="E1726" t="str">
            <v>01320</v>
          </cell>
        </row>
        <row r="1727">
          <cell r="D1727" t="str">
            <v>M/S Shopon Battery House (C)</v>
          </cell>
          <cell r="E1727" t="str">
            <v>01320</v>
          </cell>
        </row>
        <row r="1728">
          <cell r="D1728" t="str">
            <v>M/S Shopon Battery House (C)</v>
          </cell>
          <cell r="E1728" t="str">
            <v>01320</v>
          </cell>
        </row>
        <row r="1729">
          <cell r="D1729" t="str">
            <v>M/S Shopon Battery House (C)</v>
          </cell>
          <cell r="E1729" t="str">
            <v>01320</v>
          </cell>
        </row>
        <row r="1730">
          <cell r="D1730" t="str">
            <v>M/S Molla Battery House (C)</v>
          </cell>
          <cell r="E1730" t="str">
            <v>01428</v>
          </cell>
        </row>
        <row r="1731">
          <cell r="D1731" t="str">
            <v>M/S Islam Parts Store (C)</v>
          </cell>
          <cell r="E1731" t="str">
            <v>01439</v>
          </cell>
        </row>
        <row r="1732">
          <cell r="D1732" t="str">
            <v>M/S Khokon IPS &amp; Battery Center (C)</v>
          </cell>
          <cell r="E1732" t="str">
            <v>01306</v>
          </cell>
        </row>
        <row r="1733">
          <cell r="D1733" t="str">
            <v>M/S Khokon IPS &amp; Battery Center (C)</v>
          </cell>
          <cell r="E1733" t="str">
            <v>01306</v>
          </cell>
        </row>
        <row r="1734">
          <cell r="D1734" t="str">
            <v>M/S Babul Enterprise (C)</v>
          </cell>
          <cell r="E1734" t="str">
            <v>01292</v>
          </cell>
        </row>
        <row r="1735">
          <cell r="D1735" t="str">
            <v>M/S Doyal Battery</v>
          </cell>
          <cell r="E1735" t="str">
            <v>00337</v>
          </cell>
        </row>
        <row r="1736">
          <cell r="D1736" t="str">
            <v>M/S Doyal Battery</v>
          </cell>
          <cell r="E1736" t="str">
            <v>00337</v>
          </cell>
        </row>
        <row r="1737">
          <cell r="D1737" t="str">
            <v>M/S Doyal Battery</v>
          </cell>
          <cell r="E1737" t="str">
            <v>00337</v>
          </cell>
        </row>
        <row r="1738">
          <cell r="D1738" t="str">
            <v>M/S Doyal Battery</v>
          </cell>
          <cell r="E1738" t="str">
            <v>00337</v>
          </cell>
        </row>
        <row r="1739">
          <cell r="D1739" t="str">
            <v>M/S Doyal Battery</v>
          </cell>
          <cell r="E1739" t="str">
            <v>00337</v>
          </cell>
        </row>
        <row r="1740">
          <cell r="D1740" t="str">
            <v>M/S Doyal Battery</v>
          </cell>
          <cell r="E1740" t="str">
            <v>00337</v>
          </cell>
        </row>
        <row r="1741">
          <cell r="D1741" t="str">
            <v>M/S Rakin Auto Parts</v>
          </cell>
          <cell r="E1741" t="str">
            <v>00561</v>
          </cell>
        </row>
        <row r="1742">
          <cell r="D1742" t="str">
            <v>M/S Rakin Auto Parts</v>
          </cell>
          <cell r="E1742" t="str">
            <v>00561</v>
          </cell>
        </row>
        <row r="1743">
          <cell r="D1743" t="str">
            <v>M/S New Dhaka Motors and Battery</v>
          </cell>
          <cell r="E1743" t="str">
            <v>00005</v>
          </cell>
        </row>
        <row r="1744">
          <cell r="D1744" t="str">
            <v>M/S New Dhaka Motors and Battery</v>
          </cell>
          <cell r="E1744" t="str">
            <v>00005</v>
          </cell>
        </row>
        <row r="1745">
          <cell r="D1745" t="str">
            <v>M/S Farhan Auto (C)</v>
          </cell>
          <cell r="E1745" t="str">
            <v>01298</v>
          </cell>
        </row>
        <row r="1746">
          <cell r="D1746" t="str">
            <v>M/S Farhan Auto (C)</v>
          </cell>
          <cell r="E1746" t="str">
            <v>01298</v>
          </cell>
        </row>
        <row r="1747">
          <cell r="D1747" t="str">
            <v>M/S Farhan Auto (C)</v>
          </cell>
          <cell r="E1747" t="str">
            <v>01298</v>
          </cell>
        </row>
        <row r="1748">
          <cell r="D1748" t="str">
            <v>M/S S.K. Enterprise (C)</v>
          </cell>
          <cell r="E1748" t="str">
            <v>01326</v>
          </cell>
        </row>
        <row r="1749">
          <cell r="D1749" t="str">
            <v>M/S S.K. Enterprise (C)</v>
          </cell>
          <cell r="E1749" t="str">
            <v>01326</v>
          </cell>
        </row>
        <row r="1750">
          <cell r="D1750" t="str">
            <v>M/S S.K. Enterprise (C)</v>
          </cell>
          <cell r="E1750" t="str">
            <v>01326</v>
          </cell>
        </row>
        <row r="1751">
          <cell r="D1751" t="str">
            <v>M/S Macca Tyre And battery House</v>
          </cell>
          <cell r="E1751" t="str">
            <v>00439</v>
          </cell>
        </row>
        <row r="1752">
          <cell r="D1752" t="str">
            <v>M/S Macca Tyre And battery House</v>
          </cell>
          <cell r="E1752" t="str">
            <v>00439</v>
          </cell>
        </row>
        <row r="1753">
          <cell r="D1753" t="str">
            <v>M/S Lalmai Machineries &amp; Parts</v>
          </cell>
          <cell r="E1753" t="str">
            <v>00329</v>
          </cell>
        </row>
        <row r="1754">
          <cell r="D1754" t="str">
            <v>M/S Sajib Enterprise (C)</v>
          </cell>
          <cell r="E1754" t="str">
            <v>01353</v>
          </cell>
        </row>
        <row r="1755">
          <cell r="D1755" t="str">
            <v>M/S Sajib Enterprise (C)</v>
          </cell>
          <cell r="E1755" t="str">
            <v>01353</v>
          </cell>
        </row>
        <row r="1756">
          <cell r="D1756" t="str">
            <v>M/S S.S. Enterprise-Norshingdi (C)</v>
          </cell>
          <cell r="E1756" t="str">
            <v>01331</v>
          </cell>
        </row>
        <row r="1757">
          <cell r="D1757" t="str">
            <v>M/S S.S. Enterprise-Norshingdi (C)</v>
          </cell>
          <cell r="E1757" t="str">
            <v>01331</v>
          </cell>
        </row>
        <row r="1758">
          <cell r="D1758" t="str">
            <v>M/S Jamuna Battery House</v>
          </cell>
          <cell r="E1758" t="str">
            <v>01456</v>
          </cell>
        </row>
        <row r="1759">
          <cell r="D1759" t="str">
            <v>M/S Anamika Auto Rickshow</v>
          </cell>
          <cell r="E1759" t="str">
            <v>00496</v>
          </cell>
        </row>
        <row r="1760">
          <cell r="D1760" t="str">
            <v>M/S Housing Auto Bike</v>
          </cell>
          <cell r="E1760" t="str">
            <v>00598</v>
          </cell>
        </row>
        <row r="1761">
          <cell r="D1761" t="str">
            <v>M/S Laksam Battery House</v>
          </cell>
          <cell r="E1761" t="str">
            <v>00336</v>
          </cell>
        </row>
        <row r="1762">
          <cell r="D1762" t="str">
            <v>M/S Samar Auto</v>
          </cell>
          <cell r="E1762" t="str">
            <v>01434</v>
          </cell>
        </row>
        <row r="1763">
          <cell r="D1763" t="str">
            <v>M/S Belal Battery House</v>
          </cell>
          <cell r="E1763" t="str">
            <v>01461</v>
          </cell>
        </row>
        <row r="1764">
          <cell r="D1764" t="str">
            <v>M/S Setu Cycle Mart</v>
          </cell>
          <cell r="E1764" t="str">
            <v>00471</v>
          </cell>
        </row>
        <row r="1765">
          <cell r="D1765" t="str">
            <v>M/S Setu Cycle Mart</v>
          </cell>
          <cell r="E1765" t="str">
            <v>00471</v>
          </cell>
        </row>
        <row r="1766">
          <cell r="D1766" t="str">
            <v>M/S Setu Cycle Mart</v>
          </cell>
          <cell r="E1766" t="str">
            <v>00471</v>
          </cell>
        </row>
        <row r="1767">
          <cell r="D1767" t="str">
            <v>M/S Doyal Battery</v>
          </cell>
          <cell r="E1767" t="str">
            <v>00337</v>
          </cell>
        </row>
        <row r="1768">
          <cell r="D1768" t="str">
            <v>M/S Doyal Battery</v>
          </cell>
          <cell r="E1768" t="str">
            <v>00337</v>
          </cell>
        </row>
        <row r="1769">
          <cell r="D1769" t="str">
            <v>M/S Doyal Battery</v>
          </cell>
          <cell r="E1769" t="str">
            <v>00337</v>
          </cell>
        </row>
        <row r="1770">
          <cell r="D1770" t="str">
            <v>M/S Rakin Auto Parts</v>
          </cell>
          <cell r="E1770" t="str">
            <v>00561</v>
          </cell>
        </row>
        <row r="1771">
          <cell r="D1771" t="str">
            <v>M/S Shah Mojidia Motor Parts</v>
          </cell>
          <cell r="E1771" t="str">
            <v>00842</v>
          </cell>
        </row>
        <row r="1772">
          <cell r="D1772" t="str">
            <v>M/S Shah Mojidia Motor Parts</v>
          </cell>
          <cell r="E1772" t="str">
            <v>00842</v>
          </cell>
        </row>
        <row r="1773">
          <cell r="D1773" t="str">
            <v>M/S M.R. Enterprise- Dinajpur</v>
          </cell>
          <cell r="E1773" t="str">
            <v>00601</v>
          </cell>
        </row>
        <row r="1774">
          <cell r="D1774" t="str">
            <v>M/S Rafiq Vi Battery &amp; Auto</v>
          </cell>
          <cell r="E1774" t="str">
            <v>01405</v>
          </cell>
        </row>
        <row r="1775">
          <cell r="D1775" t="str">
            <v>M/S S.S. Enterprise-Norshingdi</v>
          </cell>
          <cell r="E1775" t="str">
            <v>01118</v>
          </cell>
        </row>
        <row r="1776">
          <cell r="D1776" t="str">
            <v>M/S Modina Cycle Store</v>
          </cell>
          <cell r="E1776" t="str">
            <v>01270</v>
          </cell>
        </row>
        <row r="1777">
          <cell r="D1777" t="str">
            <v>M/S Modina Cycle Store</v>
          </cell>
          <cell r="E1777" t="str">
            <v>01270</v>
          </cell>
        </row>
        <row r="1778">
          <cell r="D1778" t="str">
            <v>M/S Uzzal Battery &amp; Auto Electric</v>
          </cell>
          <cell r="E1778" t="str">
            <v>01469</v>
          </cell>
        </row>
        <row r="1779">
          <cell r="D1779" t="str">
            <v>M/S Anik Motors &amp; Battery</v>
          </cell>
          <cell r="E1779" t="str">
            <v>01262</v>
          </cell>
        </row>
        <row r="1780">
          <cell r="D1780" t="str">
            <v>M/S Maa Battery Service</v>
          </cell>
          <cell r="E1780" t="str">
            <v>00327</v>
          </cell>
        </row>
        <row r="1781">
          <cell r="D1781" t="str">
            <v>M/S Maa Battery Service</v>
          </cell>
          <cell r="E1781" t="str">
            <v>00327</v>
          </cell>
        </row>
        <row r="1782">
          <cell r="D1782" t="str">
            <v>M/S New Saika Motors</v>
          </cell>
          <cell r="E1782" t="str">
            <v>00343</v>
          </cell>
        </row>
        <row r="1783">
          <cell r="D1783" t="str">
            <v>M/S Sangu Battery House</v>
          </cell>
          <cell r="E1783" t="str">
            <v>00988</v>
          </cell>
        </row>
        <row r="1784">
          <cell r="D1784" t="str">
            <v>M/S Belal Battery House</v>
          </cell>
          <cell r="E1784" t="str">
            <v>01461</v>
          </cell>
        </row>
        <row r="1785">
          <cell r="D1785" t="str">
            <v>M/S Sonali Traders</v>
          </cell>
          <cell r="E1785" t="str">
            <v>00558</v>
          </cell>
        </row>
        <row r="1786">
          <cell r="D1786" t="str">
            <v>M/S Binayok Traders</v>
          </cell>
          <cell r="E1786" t="str">
            <v>01407</v>
          </cell>
        </row>
        <row r="1787">
          <cell r="D1787" t="str">
            <v>M/S Lamia Battery</v>
          </cell>
          <cell r="E1787" t="str">
            <v>00701</v>
          </cell>
        </row>
        <row r="1788">
          <cell r="D1788" t="str">
            <v>M/S Kalam Store</v>
          </cell>
          <cell r="E1788" t="str">
            <v>01436</v>
          </cell>
        </row>
        <row r="1789">
          <cell r="D1789" t="str">
            <v>M/S Bondhu Auto and CNG Workshop</v>
          </cell>
          <cell r="E1789" t="str">
            <v>01149</v>
          </cell>
        </row>
        <row r="1790">
          <cell r="D1790" t="str">
            <v>M/S Bondhu Auto and CNG Workshop</v>
          </cell>
          <cell r="E1790" t="str">
            <v>01149</v>
          </cell>
        </row>
        <row r="1791">
          <cell r="D1791" t="str">
            <v>M/S Bondhu Auto and CNG Workshop</v>
          </cell>
          <cell r="E1791" t="str">
            <v>01149</v>
          </cell>
        </row>
        <row r="1792">
          <cell r="D1792" t="str">
            <v>M/S S.S. Enterprise-Norshingdi (C)</v>
          </cell>
          <cell r="E1792" t="str">
            <v>01331</v>
          </cell>
        </row>
        <row r="1793">
          <cell r="D1793" t="str">
            <v>M/S S.S. Enterprise-Norshingdi (C)</v>
          </cell>
          <cell r="E1793" t="str">
            <v>01331</v>
          </cell>
        </row>
        <row r="1794">
          <cell r="D1794" t="str">
            <v>M/S S.S. Enterprise-Norshingdi (C)</v>
          </cell>
          <cell r="E1794" t="str">
            <v>01331</v>
          </cell>
        </row>
        <row r="1795">
          <cell r="D1795" t="str">
            <v>M/S S.S. Enterprise-Norshingdi (C)</v>
          </cell>
          <cell r="E1795" t="str">
            <v>01331</v>
          </cell>
        </row>
        <row r="1796">
          <cell r="D1796" t="str">
            <v>M/S Khan Battery Recycling (C)</v>
          </cell>
          <cell r="E1796" t="str">
            <v>01282</v>
          </cell>
        </row>
        <row r="1797">
          <cell r="D1797" t="str">
            <v>M/S Monir Auto &amp; Battery House</v>
          </cell>
          <cell r="E1797" t="str">
            <v>00001</v>
          </cell>
        </row>
        <row r="1798">
          <cell r="D1798" t="str">
            <v>M/S Monir Auto &amp; Battery House</v>
          </cell>
          <cell r="E1798" t="str">
            <v>00001</v>
          </cell>
        </row>
        <row r="1799">
          <cell r="D1799" t="str">
            <v>M/S Apurbo Battery House</v>
          </cell>
          <cell r="E1799" t="str">
            <v>01398</v>
          </cell>
        </row>
        <row r="1800">
          <cell r="D1800" t="str">
            <v>M/S Apurbo Battery House</v>
          </cell>
          <cell r="E1800" t="str">
            <v>01398</v>
          </cell>
        </row>
        <row r="1801">
          <cell r="D1801" t="str">
            <v>M/S Doyal Battery</v>
          </cell>
          <cell r="E1801" t="str">
            <v>00337</v>
          </cell>
        </row>
        <row r="1802">
          <cell r="D1802" t="str">
            <v>M/S Doyal Battery</v>
          </cell>
          <cell r="E1802" t="str">
            <v>00337</v>
          </cell>
        </row>
        <row r="1803">
          <cell r="D1803" t="str">
            <v>M/S Doyal Battery</v>
          </cell>
          <cell r="E1803" t="str">
            <v>00337</v>
          </cell>
        </row>
        <row r="1804">
          <cell r="D1804" t="str">
            <v>M/S Doyal Battery</v>
          </cell>
          <cell r="E1804" t="str">
            <v>00337</v>
          </cell>
        </row>
        <row r="1805">
          <cell r="D1805" t="str">
            <v>M/S Doyal Battery</v>
          </cell>
          <cell r="E1805" t="str">
            <v>00337</v>
          </cell>
        </row>
        <row r="1806">
          <cell r="D1806" t="str">
            <v>M/S Rumi Battery House</v>
          </cell>
          <cell r="E1806" t="str">
            <v>00387</v>
          </cell>
        </row>
        <row r="1807">
          <cell r="D1807" t="str">
            <v>M/S Minara Traders</v>
          </cell>
          <cell r="E1807" t="str">
            <v>01108</v>
          </cell>
        </row>
        <row r="1808">
          <cell r="D1808" t="str">
            <v>M/S Minara Traders</v>
          </cell>
          <cell r="E1808" t="str">
            <v>01108</v>
          </cell>
        </row>
        <row r="1809">
          <cell r="D1809" t="str">
            <v>M/S Minara Traders</v>
          </cell>
          <cell r="E1809" t="str">
            <v>01108</v>
          </cell>
        </row>
        <row r="1810">
          <cell r="D1810" t="str">
            <v>M/S Minara Traders</v>
          </cell>
          <cell r="E1810" t="str">
            <v>01108</v>
          </cell>
        </row>
        <row r="1811">
          <cell r="D1811" t="str">
            <v>M/S City Auto</v>
          </cell>
          <cell r="E1811" t="str">
            <v>00398</v>
          </cell>
        </row>
        <row r="1812">
          <cell r="D1812" t="str">
            <v>M/S City Auto</v>
          </cell>
          <cell r="E1812" t="str">
            <v>00398</v>
          </cell>
        </row>
        <row r="1813">
          <cell r="D1813" t="str">
            <v>M/S City Auto</v>
          </cell>
          <cell r="E1813" t="str">
            <v>00398</v>
          </cell>
        </row>
        <row r="1814">
          <cell r="D1814" t="str">
            <v>M/S Hira Motors-Chokoria</v>
          </cell>
          <cell r="E1814" t="str">
            <v>01441</v>
          </cell>
        </row>
        <row r="1815">
          <cell r="D1815" t="str">
            <v>M/S Hira Motors-Chokoria</v>
          </cell>
          <cell r="E1815" t="str">
            <v>01441</v>
          </cell>
        </row>
        <row r="1816">
          <cell r="D1816" t="str">
            <v>M/S Sangu Battery House</v>
          </cell>
          <cell r="E1816" t="str">
            <v>00988</v>
          </cell>
        </row>
        <row r="1817">
          <cell r="D1817" t="str">
            <v>M/S Sangu Battery House</v>
          </cell>
          <cell r="E1817" t="str">
            <v>00988</v>
          </cell>
        </row>
        <row r="1818">
          <cell r="D1818" t="str">
            <v>M/S Sangu Battery House</v>
          </cell>
          <cell r="E1818" t="str">
            <v>00988</v>
          </cell>
        </row>
        <row r="1819">
          <cell r="D1819" t="str">
            <v>M/S Sangu Battery House</v>
          </cell>
          <cell r="E1819" t="str">
            <v>00988</v>
          </cell>
        </row>
        <row r="1820">
          <cell r="D1820" t="str">
            <v>M/S Khokon IPS &amp; Battery Center (C)</v>
          </cell>
          <cell r="E1820" t="str">
            <v>01306</v>
          </cell>
        </row>
        <row r="1821">
          <cell r="D1821" t="str">
            <v>M/S Mosabbir Traders</v>
          </cell>
          <cell r="E1821" t="str">
            <v>00560</v>
          </cell>
        </row>
        <row r="1822">
          <cell r="D1822" t="str">
            <v>M/S Mosabbir Traders</v>
          </cell>
          <cell r="E1822" t="str">
            <v>00560</v>
          </cell>
        </row>
        <row r="1823">
          <cell r="D1823" t="str">
            <v>M/S Sonali Traders</v>
          </cell>
          <cell r="E1823" t="str">
            <v>00558</v>
          </cell>
        </row>
        <row r="1824">
          <cell r="D1824" t="str">
            <v>M/S Shuvo Enterprise</v>
          </cell>
          <cell r="E1824" t="str">
            <v>00622</v>
          </cell>
        </row>
        <row r="1825">
          <cell r="D1825" t="str">
            <v>M/S Shuvo Enterprise</v>
          </cell>
          <cell r="E1825" t="str">
            <v>00622</v>
          </cell>
        </row>
        <row r="1826">
          <cell r="D1826" t="str">
            <v>M/S Smart Electronics</v>
          </cell>
          <cell r="E1826" t="str">
            <v>01432</v>
          </cell>
        </row>
        <row r="1827">
          <cell r="D1827" t="str">
            <v>M/S Tamim Enterprise</v>
          </cell>
          <cell r="E1827" t="str">
            <v>01395</v>
          </cell>
        </row>
        <row r="1828">
          <cell r="D1828" t="str">
            <v>M/S Mayer Doya Auto Parts-Feni</v>
          </cell>
          <cell r="E1828" t="str">
            <v>00373</v>
          </cell>
        </row>
        <row r="1829">
          <cell r="D1829" t="str">
            <v>M/S Sifa Motors</v>
          </cell>
          <cell r="E1829" t="str">
            <v>01443</v>
          </cell>
        </row>
        <row r="1830">
          <cell r="D1830" t="str">
            <v>M/S Kalam Store</v>
          </cell>
          <cell r="E1830" t="str">
            <v>01436</v>
          </cell>
        </row>
        <row r="1831">
          <cell r="D1831" t="str">
            <v>M/S Kalam Store</v>
          </cell>
          <cell r="E1831" t="str">
            <v>01436</v>
          </cell>
        </row>
        <row r="1832">
          <cell r="D1832" t="str">
            <v>M/S Bhai Bhai Battery And Motors (C)</v>
          </cell>
          <cell r="E1832" t="str">
            <v>01496</v>
          </cell>
        </row>
        <row r="1833">
          <cell r="D1833" t="str">
            <v>M/S Bhai Bhai Battery And Motors (C)</v>
          </cell>
          <cell r="E1833" t="str">
            <v>01496</v>
          </cell>
        </row>
        <row r="1834">
          <cell r="D1834" t="str">
            <v>M/S Bhai Bhai Battery And Motors (C)</v>
          </cell>
          <cell r="E1834" t="str">
            <v>01496</v>
          </cell>
        </row>
        <row r="1835">
          <cell r="D1835" t="str">
            <v>M/S Akhi Battery &amp; Tyre</v>
          </cell>
          <cell r="E1835" t="str">
            <v>00140</v>
          </cell>
        </row>
        <row r="1836">
          <cell r="D1836" t="str">
            <v>M/S Rumi Battery House</v>
          </cell>
          <cell r="E1836" t="str">
            <v>00387</v>
          </cell>
        </row>
        <row r="1837">
          <cell r="D1837" t="str">
            <v>M/S Rumi Battery House</v>
          </cell>
          <cell r="E1837" t="str">
            <v>00387</v>
          </cell>
        </row>
        <row r="1838">
          <cell r="D1838" t="str">
            <v>M/S Baizid Motors</v>
          </cell>
          <cell r="E1838" t="str">
            <v>01365</v>
          </cell>
        </row>
        <row r="1839">
          <cell r="D1839" t="str">
            <v>M/S Farhan Battery &amp; Auto Parts</v>
          </cell>
          <cell r="E1839" t="str">
            <v>01470</v>
          </cell>
        </row>
        <row r="1840">
          <cell r="D1840" t="str">
            <v>M/S Farhan Battery &amp; Auto Parts</v>
          </cell>
          <cell r="E1840" t="str">
            <v>01470</v>
          </cell>
        </row>
        <row r="1841">
          <cell r="D1841" t="str">
            <v>M/S New Khan Traders (C)</v>
          </cell>
          <cell r="E1841" t="str">
            <v>01460</v>
          </cell>
        </row>
        <row r="1842">
          <cell r="D1842" t="str">
            <v>M/S Khokon IPS &amp; Battery Center (C)</v>
          </cell>
          <cell r="E1842" t="str">
            <v>01306</v>
          </cell>
        </row>
        <row r="1843">
          <cell r="D1843" t="str">
            <v>M/S Khokon IPS &amp; Battery Center (C)</v>
          </cell>
          <cell r="E1843" t="str">
            <v>01306</v>
          </cell>
        </row>
        <row r="1844">
          <cell r="D1844" t="str">
            <v>M/S Khokon IPS &amp; Battery Center (C)</v>
          </cell>
          <cell r="E1844" t="str">
            <v>01306</v>
          </cell>
        </row>
        <row r="1845">
          <cell r="D1845" t="str">
            <v>M/S Anamika Auto Rickshow</v>
          </cell>
          <cell r="E1845" t="str">
            <v>00496</v>
          </cell>
        </row>
        <row r="1846">
          <cell r="D1846" t="str">
            <v>M/S S S Trading</v>
          </cell>
          <cell r="E1846" t="str">
            <v>00846</v>
          </cell>
        </row>
        <row r="1847">
          <cell r="D1847" t="str">
            <v>M/S Bandhu Auto Centre</v>
          </cell>
          <cell r="E1847" t="str">
            <v>00573</v>
          </cell>
        </row>
        <row r="1848">
          <cell r="D1848" t="str">
            <v>M/S Hossen Traders</v>
          </cell>
          <cell r="E1848" t="str">
            <v>01107</v>
          </cell>
        </row>
        <row r="1849">
          <cell r="D1849" t="str">
            <v>M/S S.K. Enterprise-Rangpur</v>
          </cell>
          <cell r="E1849" t="str">
            <v>01462</v>
          </cell>
        </row>
        <row r="1850">
          <cell r="D1850" t="str">
            <v>M/S S.S. Enterprise-Norshingdi</v>
          </cell>
          <cell r="E1850" t="str">
            <v>01118</v>
          </cell>
        </row>
        <row r="1851">
          <cell r="D1851" t="str">
            <v>M/S Khokon IPS &amp; Battery Center (C)</v>
          </cell>
          <cell r="E1851" t="str">
            <v>01306</v>
          </cell>
        </row>
        <row r="1852">
          <cell r="D1852" t="str">
            <v>M/S Hasan Enterprise</v>
          </cell>
          <cell r="E1852" t="str">
            <v>00090</v>
          </cell>
        </row>
        <row r="1853">
          <cell r="D1853" t="str">
            <v>M/S S.K. Enterprise (C)</v>
          </cell>
          <cell r="E1853" t="str">
            <v>01326</v>
          </cell>
        </row>
        <row r="1854">
          <cell r="D1854" t="str">
            <v>M/S S.K. Enterprise (C)</v>
          </cell>
          <cell r="E1854" t="str">
            <v>01326</v>
          </cell>
        </row>
        <row r="1855">
          <cell r="D1855" t="str">
            <v>M/S S.K. Enterprise (C)</v>
          </cell>
          <cell r="E1855" t="str">
            <v>01326</v>
          </cell>
        </row>
        <row r="1856">
          <cell r="D1856" t="str">
            <v>M/S S.K. Enterprise (C)</v>
          </cell>
          <cell r="E1856" t="str">
            <v>01326</v>
          </cell>
        </row>
        <row r="1857">
          <cell r="D1857" t="str">
            <v>M/S Banskhali Enterprise-Joldi (C)</v>
          </cell>
          <cell r="E1857" t="str">
            <v>01312</v>
          </cell>
        </row>
        <row r="1858">
          <cell r="D1858" t="str">
            <v>M/S Adnan Tyre and Battery House</v>
          </cell>
          <cell r="E1858" t="str">
            <v>01371</v>
          </cell>
        </row>
        <row r="1859">
          <cell r="D1859" t="str">
            <v>M/S Uzzal Battery &amp; Auto Electric</v>
          </cell>
          <cell r="E1859" t="str">
            <v>01469</v>
          </cell>
        </row>
        <row r="1860">
          <cell r="D1860" t="str">
            <v>M/S Lutfor Auto Battery House</v>
          </cell>
          <cell r="E1860" t="str">
            <v>00829</v>
          </cell>
        </row>
        <row r="1861">
          <cell r="D1861" t="str">
            <v>M/S Modina Cycle Store</v>
          </cell>
          <cell r="E1861" t="str">
            <v>01270</v>
          </cell>
        </row>
        <row r="1862">
          <cell r="D1862" t="str">
            <v>M/S Modina Cycle Store</v>
          </cell>
          <cell r="E1862" t="str">
            <v>01270</v>
          </cell>
        </row>
        <row r="1863">
          <cell r="D1863" t="str">
            <v>M/S Ananna Battery &amp; Tyre</v>
          </cell>
          <cell r="E1863" t="str">
            <v>01088</v>
          </cell>
        </row>
        <row r="1864">
          <cell r="D1864" t="str">
            <v>M/S Ananna Battery &amp; Tyre</v>
          </cell>
          <cell r="E1864" t="str">
            <v>01088</v>
          </cell>
        </row>
        <row r="1865">
          <cell r="D1865" t="str">
            <v>M/S Ananna Battery &amp; Tyre</v>
          </cell>
          <cell r="E1865" t="str">
            <v>01088</v>
          </cell>
        </row>
        <row r="1866">
          <cell r="D1866" t="str">
            <v>M/S New Dhaka Motors and Battery</v>
          </cell>
          <cell r="E1866" t="str">
            <v>00005</v>
          </cell>
        </row>
        <row r="1867">
          <cell r="D1867" t="str">
            <v>M/S Modina Enterprise - Savar</v>
          </cell>
          <cell r="E1867" t="str">
            <v>01404</v>
          </cell>
        </row>
        <row r="1868">
          <cell r="D1868" t="str">
            <v>M/S Modina Enterprise - Savar</v>
          </cell>
          <cell r="E1868" t="str">
            <v>01404</v>
          </cell>
        </row>
        <row r="1869">
          <cell r="D1869" t="str">
            <v>M/S Ira Motors</v>
          </cell>
          <cell r="E1869" t="str">
            <v>00133</v>
          </cell>
        </row>
        <row r="1870">
          <cell r="D1870" t="str">
            <v>M/S Ira Motors</v>
          </cell>
          <cell r="E1870" t="str">
            <v>00133</v>
          </cell>
        </row>
        <row r="1871">
          <cell r="D1871" t="str">
            <v>M/S Ira Motors</v>
          </cell>
          <cell r="E1871" t="str">
            <v>00133</v>
          </cell>
        </row>
        <row r="1872">
          <cell r="D1872" t="str">
            <v>M/S Ira Motors</v>
          </cell>
          <cell r="E1872" t="str">
            <v>00133</v>
          </cell>
        </row>
        <row r="1873">
          <cell r="D1873" t="str">
            <v>M/S Ira Motors</v>
          </cell>
          <cell r="E1873" t="str">
            <v>00133</v>
          </cell>
        </row>
        <row r="1874">
          <cell r="D1874" t="str">
            <v>M/S Farhan Auto (C)</v>
          </cell>
          <cell r="E1874" t="str">
            <v>01298</v>
          </cell>
        </row>
        <row r="1875">
          <cell r="D1875" t="str">
            <v>M/S Farhan Auto (C)</v>
          </cell>
          <cell r="E1875" t="str">
            <v>01298</v>
          </cell>
        </row>
        <row r="1876">
          <cell r="D1876" t="str">
            <v>M/S Farhan Auto (C)</v>
          </cell>
          <cell r="E1876" t="str">
            <v>01298</v>
          </cell>
        </row>
        <row r="1877">
          <cell r="D1877" t="str">
            <v>M/S Farhan Auto (C)</v>
          </cell>
          <cell r="E1877" t="str">
            <v>01298</v>
          </cell>
        </row>
        <row r="1878">
          <cell r="D1878" t="str">
            <v>M/S Farhan Auto (C)</v>
          </cell>
          <cell r="E1878" t="str">
            <v>01298</v>
          </cell>
        </row>
        <row r="1879">
          <cell r="D1879" t="str">
            <v>M/S Farhan Auto (C)</v>
          </cell>
          <cell r="E1879" t="str">
            <v>01298</v>
          </cell>
        </row>
        <row r="1880">
          <cell r="D1880" t="str">
            <v>M/S Sajib Enterprise (C)</v>
          </cell>
          <cell r="E1880" t="str">
            <v>01353</v>
          </cell>
        </row>
        <row r="1881">
          <cell r="D1881" t="str">
            <v>M/S Sajib Enterprise (C)</v>
          </cell>
          <cell r="E1881" t="str">
            <v>01353</v>
          </cell>
        </row>
        <row r="1882">
          <cell r="D1882" t="str">
            <v>M/S Sajib Enterprise (C)</v>
          </cell>
          <cell r="E1882" t="str">
            <v>01353</v>
          </cell>
        </row>
        <row r="1883">
          <cell r="D1883" t="str">
            <v>M/S S.S. Enterprise-Norshingdi (C)</v>
          </cell>
          <cell r="E1883" t="str">
            <v>01331</v>
          </cell>
        </row>
        <row r="1884">
          <cell r="D1884" t="str">
            <v>M/S S.S. Enterprise-Norshingdi (C)</v>
          </cell>
          <cell r="E1884" t="str">
            <v>01331</v>
          </cell>
        </row>
        <row r="1885">
          <cell r="D1885" t="str">
            <v>M/S S.S. Enterprise-Norshingdi (C)</v>
          </cell>
          <cell r="E1885" t="str">
            <v>01331</v>
          </cell>
        </row>
        <row r="1886">
          <cell r="D1886" t="str">
            <v>M/S Anas Battery &amp; Auto House</v>
          </cell>
          <cell r="E1886" t="str">
            <v>01401</v>
          </cell>
        </row>
        <row r="1887">
          <cell r="D1887" t="str">
            <v>M/S Anas Battery &amp; Auto House</v>
          </cell>
          <cell r="E1887" t="str">
            <v>01401</v>
          </cell>
        </row>
        <row r="1888">
          <cell r="D1888" t="str">
            <v>M/S Anas Battery &amp; Auto House</v>
          </cell>
          <cell r="E1888" t="str">
            <v>01401</v>
          </cell>
        </row>
        <row r="1889">
          <cell r="D1889" t="str">
            <v>M/S Anas Battery &amp; Auto House</v>
          </cell>
          <cell r="E1889" t="str">
            <v>01401</v>
          </cell>
        </row>
        <row r="1890">
          <cell r="D1890" t="str">
            <v>M/S Laksam Battery House</v>
          </cell>
          <cell r="E1890" t="str">
            <v>00336</v>
          </cell>
        </row>
        <row r="1891">
          <cell r="D1891" t="str">
            <v>M/S Laksam Battery House</v>
          </cell>
          <cell r="E1891" t="str">
            <v>00336</v>
          </cell>
        </row>
        <row r="1892">
          <cell r="D1892" t="str">
            <v>M/S A.P.L. Auto House</v>
          </cell>
          <cell r="E1892" t="str">
            <v>00328</v>
          </cell>
        </row>
        <row r="1893">
          <cell r="D1893" t="str">
            <v>M/S A.P.L. Auto House</v>
          </cell>
          <cell r="E1893" t="str">
            <v>00328</v>
          </cell>
        </row>
        <row r="1894">
          <cell r="D1894" t="str">
            <v>M/S A.P.L. Auto House</v>
          </cell>
          <cell r="E1894" t="str">
            <v>00328</v>
          </cell>
        </row>
        <row r="1895">
          <cell r="D1895" t="str">
            <v>M/S Doyal Battery</v>
          </cell>
          <cell r="E1895" t="str">
            <v>00337</v>
          </cell>
        </row>
        <row r="1896">
          <cell r="D1896" t="str">
            <v>M/S Doyal Battery</v>
          </cell>
          <cell r="E1896" t="str">
            <v>00337</v>
          </cell>
        </row>
        <row r="1897">
          <cell r="D1897" t="str">
            <v>M/S Doyal Battery</v>
          </cell>
          <cell r="E1897" t="str">
            <v>00337</v>
          </cell>
        </row>
        <row r="1898">
          <cell r="D1898" t="str">
            <v>M/S Doyal Battery</v>
          </cell>
          <cell r="E1898" t="str">
            <v>00337</v>
          </cell>
        </row>
        <row r="1899">
          <cell r="D1899" t="str">
            <v>M/S Monir Auto &amp; Battery House</v>
          </cell>
          <cell r="E1899" t="str">
            <v>00001</v>
          </cell>
        </row>
        <row r="1900">
          <cell r="D1900" t="str">
            <v>M/S Monir Auto &amp; Battery House</v>
          </cell>
          <cell r="E1900" t="str">
            <v>00001</v>
          </cell>
        </row>
        <row r="1901">
          <cell r="D1901" t="str">
            <v>M/S Monir Auto &amp; Battery House</v>
          </cell>
          <cell r="E1901" t="str">
            <v>00001</v>
          </cell>
        </row>
        <row r="1902">
          <cell r="D1902" t="str">
            <v>M/S Monir Auto &amp; Battery House</v>
          </cell>
          <cell r="E1902" t="str">
            <v>00001</v>
          </cell>
        </row>
        <row r="1903">
          <cell r="D1903" t="str">
            <v>M/S Rashed Enterprise</v>
          </cell>
          <cell r="E1903" t="str">
            <v>00030</v>
          </cell>
        </row>
        <row r="1904">
          <cell r="D1904" t="str">
            <v>M/S Rashed Enterprise</v>
          </cell>
          <cell r="E1904" t="str">
            <v>00030</v>
          </cell>
        </row>
        <row r="1905">
          <cell r="D1905" t="str">
            <v>M/S Rashed Enterprise</v>
          </cell>
          <cell r="E1905" t="str">
            <v>00030</v>
          </cell>
        </row>
        <row r="1906">
          <cell r="D1906" t="str">
            <v>M/S Ripon Tyre and Battery</v>
          </cell>
          <cell r="E1906" t="str">
            <v>00002</v>
          </cell>
        </row>
        <row r="1907">
          <cell r="D1907" t="str">
            <v>M/S Polash Battery and Auto Parts</v>
          </cell>
          <cell r="E1907" t="str">
            <v>01244</v>
          </cell>
        </row>
        <row r="1908">
          <cell r="D1908" t="str">
            <v>M/S Anas Enterprise</v>
          </cell>
          <cell r="E1908" t="str">
            <v>00817</v>
          </cell>
        </row>
        <row r="1909">
          <cell r="D1909" t="str">
            <v>M/S Bondhu Auto and CNG Workshop</v>
          </cell>
          <cell r="E1909" t="str">
            <v>01149</v>
          </cell>
        </row>
        <row r="1910">
          <cell r="D1910" t="str">
            <v>M/S Bondhu Auto and CNG Workshop</v>
          </cell>
          <cell r="E1910" t="str">
            <v>01149</v>
          </cell>
        </row>
        <row r="1911">
          <cell r="D1911" t="str">
            <v>M/S Bondhu Auto and CNG Workshop</v>
          </cell>
          <cell r="E1911" t="str">
            <v>01149</v>
          </cell>
        </row>
        <row r="1912">
          <cell r="D1912" t="str">
            <v>M/S Bondhu Auto and CNG Workshop</v>
          </cell>
          <cell r="E1912" t="str">
            <v>01149</v>
          </cell>
        </row>
        <row r="1913">
          <cell r="D1913" t="str">
            <v>M/S Bondhu Auto and CNG Workshop</v>
          </cell>
          <cell r="E1913" t="str">
            <v>01149</v>
          </cell>
        </row>
        <row r="1914">
          <cell r="D1914" t="str">
            <v>M/S City Auto</v>
          </cell>
          <cell r="E1914" t="str">
            <v>00398</v>
          </cell>
        </row>
        <row r="1915">
          <cell r="D1915" t="str">
            <v>M/S Minara Traders</v>
          </cell>
          <cell r="E1915" t="str">
            <v>01108</v>
          </cell>
        </row>
        <row r="1916">
          <cell r="D1916" t="str">
            <v>M/S Tanvir Battery House</v>
          </cell>
          <cell r="E1916" t="str">
            <v>01175</v>
          </cell>
        </row>
        <row r="1917">
          <cell r="D1917" t="str">
            <v>M/S Snigdha Battery</v>
          </cell>
          <cell r="E1917" t="str">
            <v>00134</v>
          </cell>
        </row>
        <row r="1918">
          <cell r="D1918" t="str">
            <v>M/S Snigdha Battery</v>
          </cell>
          <cell r="E1918" t="str">
            <v>00134</v>
          </cell>
        </row>
        <row r="1919">
          <cell r="D1919" t="str">
            <v>M/S S.S. Enterprise-Norshingdi</v>
          </cell>
          <cell r="E1919" t="str">
            <v>01118</v>
          </cell>
        </row>
        <row r="1920">
          <cell r="D1920" t="str">
            <v>M/S S.S. Enterprise-Norshingdi</v>
          </cell>
          <cell r="E1920" t="str">
            <v>01118</v>
          </cell>
        </row>
        <row r="1921">
          <cell r="D1921" t="str">
            <v>M/S S.S. Enterprise-Norshingdi</v>
          </cell>
          <cell r="E1921" t="str">
            <v>01118</v>
          </cell>
        </row>
        <row r="1922">
          <cell r="D1922" t="str">
            <v>M/S S.S. Enterprise-Norshingdi</v>
          </cell>
          <cell r="E1922" t="str">
            <v>01118</v>
          </cell>
        </row>
        <row r="1923">
          <cell r="D1923" t="str">
            <v>M/S S.S. Enterprise-Norshingdi</v>
          </cell>
          <cell r="E1923" t="str">
            <v>01118</v>
          </cell>
        </row>
        <row r="1924">
          <cell r="D1924" t="str">
            <v>M/S Power Battery</v>
          </cell>
          <cell r="E1924" t="str">
            <v>00324</v>
          </cell>
        </row>
        <row r="1925">
          <cell r="D1925" t="str">
            <v>M/S Power Battery</v>
          </cell>
          <cell r="E1925" t="str">
            <v>00324</v>
          </cell>
        </row>
        <row r="1926">
          <cell r="D1926" t="str">
            <v>M/S Power Battery</v>
          </cell>
          <cell r="E1926" t="str">
            <v>00324</v>
          </cell>
        </row>
        <row r="1927">
          <cell r="D1927" t="str">
            <v>M/S Maa Battery Service</v>
          </cell>
          <cell r="E1927" t="str">
            <v>00327</v>
          </cell>
        </row>
        <row r="1928">
          <cell r="D1928" t="str">
            <v>M/S Maa Battery Service</v>
          </cell>
          <cell r="E1928" t="str">
            <v>00327</v>
          </cell>
        </row>
        <row r="1929">
          <cell r="D1929" t="str">
            <v>M/S Maa Battery Service</v>
          </cell>
          <cell r="E1929" t="str">
            <v>00327</v>
          </cell>
        </row>
        <row r="1930">
          <cell r="D1930" t="str">
            <v>M/S Maa Battery Service</v>
          </cell>
          <cell r="E1930" t="str">
            <v>00327</v>
          </cell>
        </row>
        <row r="1931">
          <cell r="D1931" t="str">
            <v>M/S Maa Battery Service</v>
          </cell>
          <cell r="E1931" t="str">
            <v>00327</v>
          </cell>
        </row>
        <row r="1932">
          <cell r="D1932" t="str">
            <v>M/S Mayer Doya Auto Parts-Laksam</v>
          </cell>
          <cell r="E1932" t="str">
            <v>00325</v>
          </cell>
        </row>
        <row r="1933">
          <cell r="D1933" t="str">
            <v>M/S Mayer Doya Auto Parts-Laksam</v>
          </cell>
          <cell r="E1933" t="str">
            <v>00325</v>
          </cell>
        </row>
        <row r="1934">
          <cell r="D1934" t="str">
            <v>M/S Mayer Doya Auto Parts-Laksam</v>
          </cell>
          <cell r="E1934" t="str">
            <v>00325</v>
          </cell>
        </row>
        <row r="1935">
          <cell r="D1935" t="str">
            <v>M/S Mayer Doya Auto Parts-Laksam</v>
          </cell>
          <cell r="E1935" t="str">
            <v>00325</v>
          </cell>
        </row>
        <row r="1936">
          <cell r="D1936" t="str">
            <v>M/S Al-Amin Cycle &amp; Auto Parts (C)</v>
          </cell>
          <cell r="E1936" t="str">
            <v>01507</v>
          </cell>
        </row>
        <row r="1937">
          <cell r="D1937" t="str">
            <v>M/S Al-Amin Cycle &amp; Auto Parts (C)</v>
          </cell>
          <cell r="E1937" t="str">
            <v>01507</v>
          </cell>
        </row>
        <row r="1938">
          <cell r="D1938" t="str">
            <v>M/S Al-Amin Cycle &amp; Auto Parts (C)</v>
          </cell>
          <cell r="E1938" t="str">
            <v>01507</v>
          </cell>
        </row>
        <row r="1939">
          <cell r="D1939" t="str">
            <v>M/S Battery And IPS Bazar (C)</v>
          </cell>
          <cell r="E1939" t="str">
            <v>01505</v>
          </cell>
        </row>
        <row r="1940">
          <cell r="D1940" t="str">
            <v>M/S Rumi Battery House</v>
          </cell>
          <cell r="E1940" t="str">
            <v>00387</v>
          </cell>
        </row>
        <row r="1941">
          <cell r="D1941" t="str">
            <v>M/S Rumi Battery House</v>
          </cell>
          <cell r="E1941" t="str">
            <v>00387</v>
          </cell>
        </row>
        <row r="1942">
          <cell r="D1942" t="str">
            <v>M/S Rumi Battery House</v>
          </cell>
          <cell r="E1942" t="str">
            <v>00387</v>
          </cell>
        </row>
        <row r="1943">
          <cell r="D1943" t="str">
            <v>M/S Rumi Battery House</v>
          </cell>
          <cell r="E1943" t="str">
            <v>00387</v>
          </cell>
        </row>
        <row r="1944">
          <cell r="D1944" t="str">
            <v>M/S Rumi Battery House</v>
          </cell>
          <cell r="E1944" t="str">
            <v>00387</v>
          </cell>
        </row>
        <row r="1945">
          <cell r="D1945" t="str">
            <v>M/S Rumi Battery House</v>
          </cell>
          <cell r="E1945" t="str">
            <v>00387</v>
          </cell>
        </row>
        <row r="1946">
          <cell r="D1946" t="str">
            <v>M/S Sadia Enterprise</v>
          </cell>
          <cell r="E1946" t="str">
            <v>01490</v>
          </cell>
        </row>
      </sheetData>
      <sheetData sheetId="2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Sheet2"/>
      <sheetName val="Sheet1"/>
      <sheetName val="Sheet4"/>
    </sheetNames>
    <sheetDataSet>
      <sheetData sheetId="0" refreshError="1"/>
      <sheetData sheetId="1" refreshError="1">
        <row r="8">
          <cell r="D8" t="str">
            <v>Customer Name</v>
          </cell>
          <cell r="E8" t="str">
            <v>Pad Name</v>
          </cell>
        </row>
        <row r="9">
          <cell r="D9" t="str">
            <v>M/S Master Motor's</v>
          </cell>
          <cell r="E9" t="str">
            <v>00217</v>
          </cell>
        </row>
        <row r="10">
          <cell r="D10" t="str">
            <v>M/S Hira Motors</v>
          </cell>
          <cell r="E10" t="str">
            <v>01100</v>
          </cell>
        </row>
        <row r="11">
          <cell r="D11" t="str">
            <v>M/S Hazi Automobiles &amp; Service Centre</v>
          </cell>
          <cell r="E11" t="str">
            <v>00315</v>
          </cell>
        </row>
        <row r="12">
          <cell r="D12" t="str">
            <v>M/S Taher Enterprise</v>
          </cell>
          <cell r="E12" t="str">
            <v>00366</v>
          </cell>
        </row>
        <row r="13">
          <cell r="D13" t="str">
            <v>M/S Sanjida Auto</v>
          </cell>
          <cell r="E13" t="str">
            <v>00603</v>
          </cell>
        </row>
        <row r="14">
          <cell r="D14" t="str">
            <v>M/S New Mintu Motors</v>
          </cell>
          <cell r="E14" t="str">
            <v>00588</v>
          </cell>
        </row>
        <row r="15">
          <cell r="D15" t="str">
            <v>M/S Mizan Traders</v>
          </cell>
          <cell r="E15" t="str">
            <v>00179</v>
          </cell>
        </row>
        <row r="16">
          <cell r="D16" t="str">
            <v>M/S Al Madina Enterprise</v>
          </cell>
          <cell r="E16" t="str">
            <v>00814</v>
          </cell>
        </row>
        <row r="17">
          <cell r="D17" t="str">
            <v>M/S Shepon Motors</v>
          </cell>
          <cell r="E17" t="str">
            <v>00749</v>
          </cell>
        </row>
        <row r="18">
          <cell r="D18" t="str">
            <v>M/S Oreya Enterprise</v>
          </cell>
          <cell r="E18" t="str">
            <v>00537</v>
          </cell>
        </row>
        <row r="19">
          <cell r="D19" t="str">
            <v>M/S Gausia Mill Store</v>
          </cell>
          <cell r="E19" t="str">
            <v>00615</v>
          </cell>
        </row>
        <row r="20">
          <cell r="D20" t="str">
            <v>M/S Hira Motors</v>
          </cell>
          <cell r="E20" t="str">
            <v>01100</v>
          </cell>
        </row>
        <row r="21">
          <cell r="D21" t="str">
            <v>M/S Pagla Mama Auto Parts</v>
          </cell>
          <cell r="E21" t="str">
            <v>01170</v>
          </cell>
        </row>
        <row r="22">
          <cell r="D22" t="str">
            <v>M/S Pagla Mama Auto Parts</v>
          </cell>
          <cell r="E22" t="str">
            <v>01170</v>
          </cell>
        </row>
        <row r="23">
          <cell r="D23" t="str">
            <v>M/S Mashpi Battery &amp; Auto</v>
          </cell>
          <cell r="E23" t="str">
            <v>01152</v>
          </cell>
        </row>
        <row r="24">
          <cell r="D24" t="str">
            <v>M/S Mashpi Battery &amp; Auto</v>
          </cell>
          <cell r="E24" t="str">
            <v>01152</v>
          </cell>
        </row>
        <row r="25">
          <cell r="D25" t="str">
            <v>M/S Mashpi Battery &amp; Auto</v>
          </cell>
          <cell r="E25" t="str">
            <v>01152</v>
          </cell>
        </row>
        <row r="26">
          <cell r="D26" t="str">
            <v>M/S Al Madina Enterprise</v>
          </cell>
          <cell r="E26" t="str">
            <v>00814</v>
          </cell>
        </row>
        <row r="27">
          <cell r="D27" t="str">
            <v>M/S Oppo Parts &amp; Battery House</v>
          </cell>
          <cell r="E27" t="str">
            <v>01508</v>
          </cell>
        </row>
        <row r="28">
          <cell r="D28" t="str">
            <v>M/S Alam Battery House</v>
          </cell>
          <cell r="E28" t="str">
            <v>00442</v>
          </cell>
        </row>
        <row r="29">
          <cell r="D29" t="str">
            <v>M/S Oreya Enterprise</v>
          </cell>
          <cell r="E29" t="str">
            <v>00537</v>
          </cell>
        </row>
        <row r="30">
          <cell r="D30" t="str">
            <v>M/S Shikdar Auto House</v>
          </cell>
          <cell r="E30" t="str">
            <v>01493</v>
          </cell>
        </row>
        <row r="31">
          <cell r="D31" t="str">
            <v>M/S Satata Battery House (C)</v>
          </cell>
          <cell r="E31" t="str">
            <v>01517</v>
          </cell>
        </row>
        <row r="32">
          <cell r="D32" t="str">
            <v>M/S Satata Battery House (C)</v>
          </cell>
          <cell r="E32" t="str">
            <v>01517</v>
          </cell>
        </row>
        <row r="33">
          <cell r="D33" t="str">
            <v>M/S Sagorika Motors</v>
          </cell>
          <cell r="E33" t="str">
            <v>01503</v>
          </cell>
        </row>
        <row r="34">
          <cell r="D34" t="str">
            <v>M/S Allahar Dan Battery</v>
          </cell>
          <cell r="E34" t="str">
            <v>01466</v>
          </cell>
        </row>
        <row r="35">
          <cell r="D35" t="str">
            <v>M/S Al Madina Enterprise</v>
          </cell>
          <cell r="E35" t="str">
            <v>00814</v>
          </cell>
        </row>
        <row r="36">
          <cell r="D36" t="str">
            <v>M/S New Al-Amin Battery House</v>
          </cell>
          <cell r="E36" t="str">
            <v>00270</v>
          </cell>
        </row>
        <row r="37">
          <cell r="D37" t="str">
            <v>M/S New Al-Amin Battery House</v>
          </cell>
          <cell r="E37" t="str">
            <v>00270</v>
          </cell>
        </row>
        <row r="38">
          <cell r="D38" t="str">
            <v>M/S Arafat Enterprise</v>
          </cell>
          <cell r="E38" t="str">
            <v>00094</v>
          </cell>
        </row>
        <row r="39">
          <cell r="D39" t="str">
            <v>M/S Arafat Enterprise</v>
          </cell>
          <cell r="E39" t="str">
            <v>00094</v>
          </cell>
        </row>
        <row r="40">
          <cell r="D40" t="str">
            <v>M/S Arafat Enterprise</v>
          </cell>
          <cell r="E40" t="str">
            <v>00094</v>
          </cell>
        </row>
        <row r="41">
          <cell r="D41" t="str">
            <v>M/S Shoshi Enterprise</v>
          </cell>
          <cell r="E41" t="str">
            <v>01153</v>
          </cell>
        </row>
        <row r="42">
          <cell r="D42" t="str">
            <v>M/S Mahtab Engineering Workshop</v>
          </cell>
          <cell r="E42" t="str">
            <v>01429</v>
          </cell>
        </row>
        <row r="43">
          <cell r="D43" t="str">
            <v>M/S Mahtab Engineering Workshop</v>
          </cell>
          <cell r="E43" t="str">
            <v>01429</v>
          </cell>
        </row>
        <row r="44">
          <cell r="D44" t="str">
            <v>M/S Gazipur Battery House</v>
          </cell>
          <cell r="E44" t="str">
            <v>00826</v>
          </cell>
        </row>
        <row r="45">
          <cell r="D45" t="str">
            <v>M/S Gazipur Battery House</v>
          </cell>
          <cell r="E45" t="str">
            <v>00826</v>
          </cell>
        </row>
        <row r="46">
          <cell r="D46" t="str">
            <v>M/S S.B. Energy</v>
          </cell>
          <cell r="E46" t="str">
            <v>00087</v>
          </cell>
        </row>
        <row r="47">
          <cell r="D47" t="str">
            <v>M/S Modina Enterprise - Savar</v>
          </cell>
          <cell r="E47" t="str">
            <v>01404</v>
          </cell>
        </row>
        <row r="48">
          <cell r="D48" t="str">
            <v>M/S Ananna Battery &amp; Tyre</v>
          </cell>
          <cell r="E48" t="str">
            <v>01088</v>
          </cell>
        </row>
        <row r="49">
          <cell r="D49" t="str">
            <v>M/S Ananna Battery &amp; Tyre</v>
          </cell>
          <cell r="E49" t="str">
            <v>01088</v>
          </cell>
        </row>
        <row r="50">
          <cell r="D50" t="str">
            <v>M/S Rashed Enterprise</v>
          </cell>
          <cell r="E50" t="str">
            <v>00030</v>
          </cell>
        </row>
        <row r="51">
          <cell r="D51" t="str">
            <v>M/S Anas Enterprise</v>
          </cell>
          <cell r="E51" t="str">
            <v>00817</v>
          </cell>
        </row>
        <row r="52">
          <cell r="D52" t="str">
            <v>M/S Anas Enterprise</v>
          </cell>
          <cell r="E52" t="str">
            <v>00817</v>
          </cell>
        </row>
        <row r="53">
          <cell r="D53" t="str">
            <v>M/S New Dhaka Motors and Battery</v>
          </cell>
          <cell r="E53" t="str">
            <v>00005</v>
          </cell>
        </row>
        <row r="54">
          <cell r="D54" t="str">
            <v>M/S New Dhaka Motors and Battery</v>
          </cell>
          <cell r="E54" t="str">
            <v>00005</v>
          </cell>
        </row>
        <row r="55">
          <cell r="D55" t="str">
            <v>M/S Adnan Tyre and Battery House</v>
          </cell>
          <cell r="E55" t="str">
            <v>01371</v>
          </cell>
        </row>
        <row r="56">
          <cell r="D56" t="str">
            <v>M/S S.K. Enterprise (C)</v>
          </cell>
          <cell r="E56" t="str">
            <v>01326</v>
          </cell>
        </row>
        <row r="57">
          <cell r="D57" t="str">
            <v>M/S S.K. Enterprise (C)</v>
          </cell>
          <cell r="E57" t="str">
            <v>01326</v>
          </cell>
        </row>
        <row r="58">
          <cell r="D58" t="str">
            <v>M/S S.K. Enterprise (C)</v>
          </cell>
          <cell r="E58" t="str">
            <v>01326</v>
          </cell>
        </row>
        <row r="59">
          <cell r="D59" t="str">
            <v>M/S S.K. Enterprise (C)</v>
          </cell>
          <cell r="E59" t="str">
            <v>01326</v>
          </cell>
        </row>
        <row r="60">
          <cell r="D60" t="str">
            <v>M/S S.K. Enterprise (C)</v>
          </cell>
          <cell r="E60" t="str">
            <v>01326</v>
          </cell>
        </row>
        <row r="61">
          <cell r="D61" t="str">
            <v>M/S S.K. Enterprise (C)</v>
          </cell>
          <cell r="E61" t="str">
            <v>01326</v>
          </cell>
        </row>
        <row r="62">
          <cell r="D62" t="str">
            <v>M/S S.K. Enterprise (C)</v>
          </cell>
          <cell r="E62" t="str">
            <v>01326</v>
          </cell>
        </row>
        <row r="63">
          <cell r="D63" t="str">
            <v>M/S S.K. Enterprise (C)</v>
          </cell>
          <cell r="E63" t="str">
            <v>01326</v>
          </cell>
        </row>
        <row r="64">
          <cell r="D64" t="str">
            <v>M/S Belal Battery House</v>
          </cell>
          <cell r="E64" t="str">
            <v>01461</v>
          </cell>
        </row>
        <row r="65">
          <cell r="D65" t="str">
            <v>M/S Kalam Auto Motor Parts And Battery House</v>
          </cell>
          <cell r="E65" t="str">
            <v>00420</v>
          </cell>
        </row>
        <row r="66">
          <cell r="D66" t="str">
            <v>M/S Kalam Auto Motor Parts And Battery House</v>
          </cell>
          <cell r="E66" t="str">
            <v>00420</v>
          </cell>
        </row>
        <row r="67">
          <cell r="D67" t="str">
            <v>M/S Kalam Auto Motor Parts And Battery House</v>
          </cell>
          <cell r="E67" t="str">
            <v>00420</v>
          </cell>
        </row>
        <row r="68">
          <cell r="D68" t="str">
            <v>M/S Kalam Auto Motor Parts And Battery House</v>
          </cell>
          <cell r="E68" t="str">
            <v>00420</v>
          </cell>
        </row>
        <row r="69">
          <cell r="D69" t="str">
            <v>M/S Kalam Auto Motor Parts And Battery House</v>
          </cell>
          <cell r="E69" t="str">
            <v>00420</v>
          </cell>
        </row>
        <row r="70">
          <cell r="D70" t="str">
            <v>M/S Farhan Auto (C)</v>
          </cell>
          <cell r="E70" t="str">
            <v>01298</v>
          </cell>
        </row>
        <row r="71">
          <cell r="D71" t="str">
            <v>M/S Farhan Auto (C)</v>
          </cell>
          <cell r="E71" t="str">
            <v>01298</v>
          </cell>
        </row>
        <row r="72">
          <cell r="D72" t="str">
            <v>M/S Supreme Auto (C)</v>
          </cell>
          <cell r="E72" t="str">
            <v>01300</v>
          </cell>
        </row>
        <row r="73">
          <cell r="D73" t="str">
            <v>M/S Mayer Doya Auto Parts-Feni</v>
          </cell>
          <cell r="E73" t="str">
            <v>00373</v>
          </cell>
        </row>
        <row r="74">
          <cell r="D74" t="str">
            <v>M/S Mayer Doya Auto Parts-Laksam</v>
          </cell>
          <cell r="E74" t="str">
            <v>00325</v>
          </cell>
        </row>
        <row r="75">
          <cell r="D75" t="str">
            <v>M/S Mayer Doya Auto Parts-Laksam</v>
          </cell>
          <cell r="E75" t="str">
            <v>00325</v>
          </cell>
        </row>
        <row r="76">
          <cell r="D76" t="str">
            <v>M/S Khokon IPS &amp; Battery Center (C)</v>
          </cell>
          <cell r="E76" t="str">
            <v>01306</v>
          </cell>
        </row>
        <row r="77">
          <cell r="D77" t="str">
            <v>M/S Sajib Enterprise (C)</v>
          </cell>
          <cell r="E77" t="str">
            <v>01353</v>
          </cell>
        </row>
        <row r="78">
          <cell r="D78" t="str">
            <v>M/S S.S. Enterprise-Norshingdi (C)</v>
          </cell>
          <cell r="E78" t="str">
            <v>01331</v>
          </cell>
        </row>
        <row r="79">
          <cell r="D79" t="str">
            <v>M/S S.S. Enterprise-Norshingdi (C)</v>
          </cell>
          <cell r="E79" t="str">
            <v>01331</v>
          </cell>
        </row>
        <row r="80">
          <cell r="D80" t="str">
            <v>M/S S.S. Enterprise-Norshingdi (C)</v>
          </cell>
          <cell r="E80" t="str">
            <v>01331</v>
          </cell>
        </row>
        <row r="81">
          <cell r="D81" t="str">
            <v>M/S S.S. Enterprise-Norshingdi (C)</v>
          </cell>
          <cell r="E81" t="str">
            <v>01331</v>
          </cell>
        </row>
        <row r="82">
          <cell r="D82" t="str">
            <v>M/S Monir Auto &amp; Battery House</v>
          </cell>
          <cell r="E82" t="str">
            <v>00001</v>
          </cell>
        </row>
        <row r="83">
          <cell r="D83" t="str">
            <v>M/S Monir Auto &amp; Battery House</v>
          </cell>
          <cell r="E83" t="str">
            <v>00001</v>
          </cell>
        </row>
        <row r="84">
          <cell r="D84" t="str">
            <v>M/S Monir Auto &amp; Battery House</v>
          </cell>
          <cell r="E84" t="str">
            <v>00001</v>
          </cell>
        </row>
        <row r="85">
          <cell r="D85" t="str">
            <v>M/S Monir Auto &amp; Battery House</v>
          </cell>
          <cell r="E85" t="str">
            <v>00001</v>
          </cell>
        </row>
        <row r="86">
          <cell r="D86" t="str">
            <v>M/S Monir Auto &amp; Battery House</v>
          </cell>
          <cell r="E86" t="str">
            <v>00001</v>
          </cell>
        </row>
        <row r="87">
          <cell r="D87" t="str">
            <v>M/S Khan Battery Recycling (C)</v>
          </cell>
          <cell r="E87" t="str">
            <v>01282</v>
          </cell>
        </row>
        <row r="88">
          <cell r="D88" t="str">
            <v>M/S Sawda Auto and Battery</v>
          </cell>
          <cell r="E88" t="str">
            <v>01261</v>
          </cell>
        </row>
        <row r="89">
          <cell r="D89" t="str">
            <v>M/S Bismillah Battery House -Sylhet</v>
          </cell>
          <cell r="E89" t="str">
            <v>00389</v>
          </cell>
        </row>
        <row r="90">
          <cell r="D90" t="str">
            <v>M/S Sohan Motors</v>
          </cell>
          <cell r="E90" t="str">
            <v>01385</v>
          </cell>
        </row>
        <row r="91">
          <cell r="D91" t="str">
            <v>M/S Sohan Motors</v>
          </cell>
          <cell r="E91" t="str">
            <v>01385</v>
          </cell>
        </row>
        <row r="92">
          <cell r="D92" t="str">
            <v>M/S Bismillah Motors-Hinla</v>
          </cell>
          <cell r="E92" t="str">
            <v>01448</v>
          </cell>
        </row>
        <row r="93">
          <cell r="D93" t="str">
            <v>Kalam Enterprise</v>
          </cell>
          <cell r="E93" t="str">
            <v>01341</v>
          </cell>
        </row>
        <row r="94">
          <cell r="D94" t="str">
            <v>M/S Ira Motors</v>
          </cell>
          <cell r="E94" t="str">
            <v>00133</v>
          </cell>
        </row>
        <row r="95">
          <cell r="D95" t="str">
            <v>M/S Ira Motors</v>
          </cell>
          <cell r="E95" t="str">
            <v>00133</v>
          </cell>
        </row>
        <row r="96">
          <cell r="D96" t="str">
            <v>M/S Babul Enterprise (C)</v>
          </cell>
          <cell r="E96" t="str">
            <v>01292</v>
          </cell>
        </row>
        <row r="97">
          <cell r="D97" t="str">
            <v>M/S Babul Enterprise (C)</v>
          </cell>
          <cell r="E97" t="str">
            <v>01292</v>
          </cell>
        </row>
        <row r="98">
          <cell r="D98" t="str">
            <v>M/S Talukder Motors (C)</v>
          </cell>
          <cell r="E98" t="str">
            <v>01471</v>
          </cell>
        </row>
        <row r="99">
          <cell r="D99" t="str">
            <v>M/S Talukder Motors (C)</v>
          </cell>
          <cell r="E99" t="str">
            <v>01471</v>
          </cell>
        </row>
        <row r="100">
          <cell r="D100" t="str">
            <v>M/S S.K. Trading Corporation (C)</v>
          </cell>
          <cell r="E100" t="str">
            <v>01523</v>
          </cell>
        </row>
        <row r="101">
          <cell r="D101" t="str">
            <v>M/S S.K. Trading Corporation (C)</v>
          </cell>
          <cell r="E101" t="str">
            <v>01523</v>
          </cell>
        </row>
        <row r="102">
          <cell r="D102" t="str">
            <v>M/S Awlad Electronics</v>
          </cell>
          <cell r="E102" t="str">
            <v>01284</v>
          </cell>
        </row>
        <row r="103">
          <cell r="D103" t="str">
            <v>M/S Shopon Battery House (C)</v>
          </cell>
          <cell r="E103" t="str">
            <v>01320</v>
          </cell>
        </row>
        <row r="104">
          <cell r="D104" t="str">
            <v>M/S Shopon Battery House (C)</v>
          </cell>
          <cell r="E104" t="str">
            <v>01320</v>
          </cell>
        </row>
        <row r="105">
          <cell r="D105" t="str">
            <v>M/S Shopon Battery House (C)</v>
          </cell>
          <cell r="E105" t="str">
            <v>01320</v>
          </cell>
        </row>
        <row r="106">
          <cell r="D106" t="str">
            <v>M/S Shopon Battery House (C)</v>
          </cell>
          <cell r="E106" t="str">
            <v>01320</v>
          </cell>
        </row>
        <row r="107">
          <cell r="D107" t="str">
            <v>M/S Shopon Battery House (C)</v>
          </cell>
          <cell r="E107" t="str">
            <v>01320</v>
          </cell>
        </row>
        <row r="108">
          <cell r="D108" t="str">
            <v>M/S Molla Battery House (C)</v>
          </cell>
          <cell r="E108" t="str">
            <v>01428</v>
          </cell>
        </row>
        <row r="109">
          <cell r="D109" t="str">
            <v>M/S Manir Battery Charging Station (C)</v>
          </cell>
          <cell r="E109" t="str">
            <v>01324</v>
          </cell>
        </row>
        <row r="110">
          <cell r="D110" t="str">
            <v>M/S Farhan Battery &amp; Auto Parts</v>
          </cell>
          <cell r="E110" t="str">
            <v>01470</v>
          </cell>
        </row>
        <row r="111">
          <cell r="D111" t="str">
            <v>M/S Bogura Auto Center (C)</v>
          </cell>
          <cell r="E111" t="str">
            <v>01468</v>
          </cell>
        </row>
        <row r="112">
          <cell r="D112" t="str">
            <v>M/S Bogura Auto Center (C)</v>
          </cell>
          <cell r="E112" t="str">
            <v>01468</v>
          </cell>
        </row>
        <row r="113">
          <cell r="D113" t="str">
            <v>M/S Nobodhara Corporation</v>
          </cell>
          <cell r="E113" t="str">
            <v>01352</v>
          </cell>
        </row>
        <row r="114">
          <cell r="D114" t="str">
            <v>M/S Samir Battery And Tyre</v>
          </cell>
          <cell r="E114" t="str">
            <v>01450</v>
          </cell>
        </row>
        <row r="115">
          <cell r="D115" t="str">
            <v>M/S Samir Battery And Tyre</v>
          </cell>
          <cell r="E115" t="str">
            <v>01450</v>
          </cell>
        </row>
        <row r="116">
          <cell r="D116" t="str">
            <v>M/S Khokon IPS &amp; Battery Center</v>
          </cell>
          <cell r="E116" t="str">
            <v>00330</v>
          </cell>
        </row>
        <row r="117">
          <cell r="D117" t="str">
            <v>M/S Ripon Tyre and Battery</v>
          </cell>
          <cell r="E117" t="str">
            <v>00002</v>
          </cell>
        </row>
        <row r="118">
          <cell r="D118" t="str">
            <v>M/S Ripon Tyre and Battery</v>
          </cell>
          <cell r="E118" t="str">
            <v>00002</v>
          </cell>
        </row>
        <row r="119">
          <cell r="D119" t="str">
            <v>M/S Ripon Tyre and Battery</v>
          </cell>
          <cell r="E119" t="str">
            <v>00002</v>
          </cell>
        </row>
        <row r="120">
          <cell r="D120" t="str">
            <v>M/S Ripon Tyre and Battery</v>
          </cell>
          <cell r="E120" t="str">
            <v>00002</v>
          </cell>
        </row>
        <row r="121">
          <cell r="D121" t="str">
            <v>M/S Ripon Tyre and Battery</v>
          </cell>
          <cell r="E121" t="str">
            <v>00002</v>
          </cell>
        </row>
        <row r="122">
          <cell r="D122" t="str">
            <v>M/S Ripon Tyre and Battery</v>
          </cell>
          <cell r="E122" t="str">
            <v>00002</v>
          </cell>
        </row>
        <row r="123">
          <cell r="D123" t="str">
            <v>M/S Ripon Tyre and Battery</v>
          </cell>
          <cell r="E123" t="str">
            <v>00002</v>
          </cell>
        </row>
        <row r="124">
          <cell r="D124" t="str">
            <v>M/S Amir Auto House</v>
          </cell>
          <cell r="E124" t="str">
            <v>00138</v>
          </cell>
        </row>
        <row r="125">
          <cell r="D125" t="str">
            <v>M/S City Auto</v>
          </cell>
          <cell r="E125" t="str">
            <v>00398</v>
          </cell>
        </row>
        <row r="126">
          <cell r="D126" t="str">
            <v>M/S City Auto</v>
          </cell>
          <cell r="E126" t="str">
            <v>00398</v>
          </cell>
        </row>
        <row r="127">
          <cell r="D127" t="str">
            <v>M/S S.M. Enterprise- Sunamgonj</v>
          </cell>
          <cell r="E127" t="str">
            <v>00390</v>
          </cell>
        </row>
        <row r="128">
          <cell r="D128" t="str">
            <v>M/S Setu Cycle Mart</v>
          </cell>
          <cell r="E128" t="str">
            <v>00471</v>
          </cell>
        </row>
        <row r="129">
          <cell r="D129" t="str">
            <v>M/S Setu Cycle Mart</v>
          </cell>
          <cell r="E129" t="str">
            <v>00471</v>
          </cell>
        </row>
        <row r="130">
          <cell r="D130" t="str">
            <v>M/S Setu Cycle Mart</v>
          </cell>
          <cell r="E130" t="str">
            <v>00471</v>
          </cell>
        </row>
        <row r="131">
          <cell r="D131" t="str">
            <v>M/S Setu Cycle Mart</v>
          </cell>
          <cell r="E131" t="str">
            <v>00471</v>
          </cell>
        </row>
        <row r="132">
          <cell r="D132" t="str">
            <v>M/S Saiful Motors</v>
          </cell>
          <cell r="E132" t="str">
            <v>00482</v>
          </cell>
        </row>
        <row r="133">
          <cell r="D133" t="str">
            <v>M/S Shah Mojidia Motor Parts</v>
          </cell>
          <cell r="E133" t="str">
            <v>00842</v>
          </cell>
        </row>
        <row r="134">
          <cell r="D134" t="str">
            <v>M/S Kalam Store</v>
          </cell>
          <cell r="E134" t="str">
            <v>01436</v>
          </cell>
        </row>
        <row r="135">
          <cell r="D135" t="str">
            <v>M/S Kalam Store</v>
          </cell>
          <cell r="E135" t="str">
            <v>01436</v>
          </cell>
        </row>
        <row r="136">
          <cell r="D136" t="str">
            <v>M/S Kalam Store</v>
          </cell>
          <cell r="E136" t="str">
            <v>01436</v>
          </cell>
        </row>
        <row r="137">
          <cell r="D137" t="str">
            <v>M/S Kalam Store</v>
          </cell>
          <cell r="E137" t="str">
            <v>01436</v>
          </cell>
        </row>
        <row r="138">
          <cell r="D138" t="str">
            <v>M/S Anamika Auto Rickshow</v>
          </cell>
          <cell r="E138" t="str">
            <v>00496</v>
          </cell>
        </row>
        <row r="139">
          <cell r="D139" t="str">
            <v>M/S Anamika Auto Rickshow</v>
          </cell>
          <cell r="E139" t="str">
            <v>00496</v>
          </cell>
        </row>
        <row r="140">
          <cell r="D140" t="str">
            <v>M/S Sangu Battery House</v>
          </cell>
          <cell r="E140" t="str">
            <v>00988</v>
          </cell>
        </row>
        <row r="141">
          <cell r="D141" t="str">
            <v>M/S Sangu Battery House</v>
          </cell>
          <cell r="E141" t="str">
            <v>00988</v>
          </cell>
        </row>
        <row r="142">
          <cell r="D142" t="str">
            <v>M/S S.S. Enterprise-Norshingdi</v>
          </cell>
          <cell r="E142" t="str">
            <v>01118</v>
          </cell>
        </row>
        <row r="143">
          <cell r="D143" t="str">
            <v>M/S Doyal Battery</v>
          </cell>
          <cell r="E143" t="str">
            <v>00337</v>
          </cell>
        </row>
        <row r="144">
          <cell r="D144" t="str">
            <v>M/S Doyal Battery</v>
          </cell>
          <cell r="E144" t="str">
            <v>00337</v>
          </cell>
        </row>
        <row r="145">
          <cell r="D145" t="str">
            <v>M/S Doyal Battery</v>
          </cell>
          <cell r="E145" t="str">
            <v>00337</v>
          </cell>
        </row>
        <row r="146">
          <cell r="D146" t="str">
            <v>M/S Doyal Battery</v>
          </cell>
          <cell r="E146" t="str">
            <v>00337</v>
          </cell>
        </row>
        <row r="147">
          <cell r="D147" t="str">
            <v>M/S Doyal Battery</v>
          </cell>
          <cell r="E147" t="str">
            <v>00337</v>
          </cell>
        </row>
        <row r="148">
          <cell r="D148" t="str">
            <v>M/S Bondhu Auto and CNG Workshop</v>
          </cell>
          <cell r="E148" t="str">
            <v>01149</v>
          </cell>
        </row>
        <row r="149">
          <cell r="D149" t="str">
            <v>M/S Bondhu Auto and CNG Workshop</v>
          </cell>
          <cell r="E149" t="str">
            <v>01149</v>
          </cell>
        </row>
        <row r="150">
          <cell r="D150" t="str">
            <v>M/S Bondhu Auto and CNG Workshop</v>
          </cell>
          <cell r="E150" t="str">
            <v>01149</v>
          </cell>
        </row>
        <row r="151">
          <cell r="D151" t="str">
            <v>M/S Modina Cycle Store (C)</v>
          </cell>
          <cell r="E151" t="str">
            <v>01519</v>
          </cell>
        </row>
        <row r="152">
          <cell r="D152" t="str">
            <v>M/S Anas Enterprise</v>
          </cell>
          <cell r="E152" t="str">
            <v>00817</v>
          </cell>
        </row>
        <row r="153">
          <cell r="D153" t="str">
            <v>M/S Ripon Tyre and Battery</v>
          </cell>
          <cell r="E153" t="str">
            <v>00002</v>
          </cell>
        </row>
        <row r="154">
          <cell r="D154" t="str">
            <v>M/S Modina Enterprise - Savar</v>
          </cell>
          <cell r="E154" t="str">
            <v>01404</v>
          </cell>
        </row>
        <row r="155">
          <cell r="D155" t="str">
            <v>M/S New Dhaka Motors and Battery</v>
          </cell>
          <cell r="E155" t="str">
            <v>00005</v>
          </cell>
        </row>
        <row r="156">
          <cell r="D156" t="str">
            <v>M/S Ananna Battery &amp; Tyre</v>
          </cell>
          <cell r="E156" t="str">
            <v>01088</v>
          </cell>
        </row>
        <row r="157">
          <cell r="D157" t="str">
            <v>M/S Khan Battery Recycling (C)</v>
          </cell>
          <cell r="E157" t="str">
            <v>01282</v>
          </cell>
        </row>
        <row r="158">
          <cell r="D158" t="str">
            <v>M/S Monir Auto &amp; Battery House</v>
          </cell>
          <cell r="E158" t="str">
            <v>00001</v>
          </cell>
        </row>
        <row r="159">
          <cell r="D159" t="str">
            <v>M/S Ma Tyre &amp; Battery  Shop</v>
          </cell>
          <cell r="E159" t="str">
            <v>00088</v>
          </cell>
        </row>
        <row r="160">
          <cell r="D160" t="str">
            <v>M/S Shoshi Enterprise (C)</v>
          </cell>
          <cell r="E160" t="str">
            <v>01335</v>
          </cell>
        </row>
        <row r="161">
          <cell r="D161" t="str">
            <v>M/S Shoshi Enterprise (C)</v>
          </cell>
          <cell r="E161" t="str">
            <v>01335</v>
          </cell>
        </row>
        <row r="162">
          <cell r="D162" t="str">
            <v>M/S S.B. Energy (C)</v>
          </cell>
          <cell r="E162" t="str">
            <v>01288</v>
          </cell>
        </row>
        <row r="163">
          <cell r="D163" t="str">
            <v>M/S Adhunik Battery And IPS Bitan</v>
          </cell>
          <cell r="E163" t="str">
            <v>01359</v>
          </cell>
        </row>
        <row r="164">
          <cell r="D164" t="str">
            <v>M/S S.K. Enterprise (C)</v>
          </cell>
          <cell r="E164" t="str">
            <v>01326</v>
          </cell>
        </row>
        <row r="165">
          <cell r="D165" t="str">
            <v>M/S S.K. Enterprise (C)</v>
          </cell>
          <cell r="E165" t="str">
            <v>01326</v>
          </cell>
        </row>
        <row r="166">
          <cell r="D166" t="str">
            <v>M/S S.K. Enterprise (C)</v>
          </cell>
          <cell r="E166" t="str">
            <v>01326</v>
          </cell>
        </row>
        <row r="167">
          <cell r="D167" t="str">
            <v>M/S S.K. Enterprise (C)</v>
          </cell>
          <cell r="E167" t="str">
            <v>01326</v>
          </cell>
        </row>
        <row r="168">
          <cell r="D168" t="str">
            <v>M/S S.K. Enterprise (C)</v>
          </cell>
          <cell r="E168" t="str">
            <v>01326</v>
          </cell>
        </row>
        <row r="169">
          <cell r="D169" t="str">
            <v>M/S Kalam Auto Motor Parts And Battery House</v>
          </cell>
          <cell r="E169" t="str">
            <v>00420</v>
          </cell>
        </row>
        <row r="170">
          <cell r="D170" t="str">
            <v>M/S Anas Battery &amp; Auto House</v>
          </cell>
          <cell r="E170" t="str">
            <v>01401</v>
          </cell>
        </row>
        <row r="171">
          <cell r="D171" t="str">
            <v>M/S Anas Battery &amp; Auto House</v>
          </cell>
          <cell r="E171" t="str">
            <v>01401</v>
          </cell>
        </row>
        <row r="172">
          <cell r="D172" t="str">
            <v>M/S Sajib Enterprise (C)</v>
          </cell>
          <cell r="E172" t="str">
            <v>01353</v>
          </cell>
        </row>
        <row r="173">
          <cell r="D173" t="str">
            <v>M/S Sajib Enterprise (C)</v>
          </cell>
          <cell r="E173" t="str">
            <v>01353</v>
          </cell>
        </row>
        <row r="174">
          <cell r="D174" t="str">
            <v>M/S Sajib Enterprise (C)</v>
          </cell>
          <cell r="E174" t="str">
            <v>01353</v>
          </cell>
        </row>
        <row r="175">
          <cell r="D175" t="str">
            <v>M/S Sajib Enterprise (C)</v>
          </cell>
          <cell r="E175" t="str">
            <v>01353</v>
          </cell>
        </row>
        <row r="176">
          <cell r="D176" t="str">
            <v>M/S Sajib Enterprise (C)</v>
          </cell>
          <cell r="E176" t="str">
            <v>01353</v>
          </cell>
        </row>
        <row r="177">
          <cell r="D177" t="str">
            <v>M/S Khokon IPS &amp; Battery Center (C)</v>
          </cell>
          <cell r="E177" t="str">
            <v>01306</v>
          </cell>
        </row>
        <row r="178">
          <cell r="D178" t="str">
            <v>M/S Khokon IPS &amp; Battery Center (C)</v>
          </cell>
          <cell r="E178" t="str">
            <v>01306</v>
          </cell>
        </row>
        <row r="179">
          <cell r="D179" t="str">
            <v>M/S Mayer Doya Auto Parts-Laksam</v>
          </cell>
          <cell r="E179" t="str">
            <v>00325</v>
          </cell>
        </row>
        <row r="180">
          <cell r="D180" t="str">
            <v>M/S Mayer Doya Auto Parts-Laksam</v>
          </cell>
          <cell r="E180" t="str">
            <v>00325</v>
          </cell>
        </row>
        <row r="181">
          <cell r="D181" t="str">
            <v>M/S Babul Enterprise (C)</v>
          </cell>
          <cell r="E181" t="str">
            <v>01292</v>
          </cell>
        </row>
        <row r="182">
          <cell r="D182" t="str">
            <v>M/S Babul Enterprise (C)</v>
          </cell>
          <cell r="E182" t="str">
            <v>01292</v>
          </cell>
        </row>
        <row r="183">
          <cell r="D183" t="str">
            <v>M/S Talukder Motors (C)</v>
          </cell>
          <cell r="E183" t="str">
            <v>01471</v>
          </cell>
        </row>
        <row r="184">
          <cell r="D184" t="str">
            <v>M/S Talukder Motors (C)</v>
          </cell>
          <cell r="E184" t="str">
            <v>01471</v>
          </cell>
        </row>
        <row r="185">
          <cell r="D185" t="str">
            <v>M/S Bondhu Battery &amp; Auto</v>
          </cell>
          <cell r="E185" t="str">
            <v>00163</v>
          </cell>
        </row>
        <row r="186">
          <cell r="D186" t="str">
            <v>M/S Sadia Enterprise</v>
          </cell>
          <cell r="E186" t="str">
            <v>01490</v>
          </cell>
        </row>
        <row r="187">
          <cell r="D187" t="str">
            <v>M/S Sohan Motors</v>
          </cell>
          <cell r="E187" t="str">
            <v>01385</v>
          </cell>
        </row>
        <row r="188">
          <cell r="D188" t="str">
            <v>M/S Bismillah Motors-Hinla</v>
          </cell>
          <cell r="E188" t="str">
            <v>01448</v>
          </cell>
        </row>
        <row r="189">
          <cell r="D189" t="str">
            <v>M/S Bismillah Motors-Hinla</v>
          </cell>
          <cell r="E189" t="str">
            <v>01448</v>
          </cell>
        </row>
        <row r="190">
          <cell r="D190" t="str">
            <v>M/S G. S Motors and Battery</v>
          </cell>
          <cell r="E190" t="str">
            <v>01420</v>
          </cell>
        </row>
        <row r="191">
          <cell r="D191" t="str">
            <v>M/S Hira Motors-Chokoria</v>
          </cell>
          <cell r="E191" t="str">
            <v>01441</v>
          </cell>
        </row>
        <row r="192">
          <cell r="D192" t="str">
            <v>M/S Shah Mojidia Motor Parts</v>
          </cell>
          <cell r="E192" t="str">
            <v>00842</v>
          </cell>
        </row>
        <row r="193">
          <cell r="D193" t="str">
            <v>M/S Shah Mojidia Motor Parts</v>
          </cell>
          <cell r="E193" t="str">
            <v>00842</v>
          </cell>
        </row>
        <row r="194">
          <cell r="D194" t="str">
            <v>M/S Saiful Motors</v>
          </cell>
          <cell r="E194" t="str">
            <v>00482</v>
          </cell>
        </row>
        <row r="195">
          <cell r="D195" t="str">
            <v>M/S Shahjalal Traders</v>
          </cell>
          <cell r="E195" t="str">
            <v>01362</v>
          </cell>
        </row>
        <row r="196">
          <cell r="D196" t="str">
            <v>M/S Shahjalal Traders</v>
          </cell>
          <cell r="E196" t="str">
            <v>01362</v>
          </cell>
        </row>
        <row r="197">
          <cell r="D197" t="str">
            <v>M/S S.M. Enterprise- Sunamgonj</v>
          </cell>
          <cell r="E197" t="str">
            <v>00390</v>
          </cell>
        </row>
        <row r="198">
          <cell r="D198" t="str">
            <v>M/S City Auto</v>
          </cell>
          <cell r="E198" t="str">
            <v>00398</v>
          </cell>
        </row>
        <row r="199">
          <cell r="D199" t="str">
            <v>M/S City Auto</v>
          </cell>
          <cell r="E199" t="str">
            <v>00398</v>
          </cell>
        </row>
        <row r="200">
          <cell r="D200" t="str">
            <v>M/S L D Poribahan &amp; Trading (C)</v>
          </cell>
          <cell r="E200" t="str">
            <v>01299</v>
          </cell>
        </row>
        <row r="201">
          <cell r="D201" t="str">
            <v>M/S L D Poribahan &amp; Trading (C)</v>
          </cell>
          <cell r="E201" t="str">
            <v>01299</v>
          </cell>
        </row>
        <row r="202">
          <cell r="D202" t="str">
            <v>M/S L D Poribahan &amp; Trading (C)</v>
          </cell>
          <cell r="E202" t="str">
            <v>01299</v>
          </cell>
        </row>
        <row r="203">
          <cell r="D203" t="str">
            <v>M/S Farhan Auto (C)</v>
          </cell>
          <cell r="E203" t="str">
            <v>01298</v>
          </cell>
        </row>
        <row r="204">
          <cell r="D204" t="str">
            <v>M/S Manir Battery Charging Station (C)</v>
          </cell>
          <cell r="E204" t="str">
            <v>01324</v>
          </cell>
        </row>
        <row r="205">
          <cell r="D205" t="str">
            <v>M/S Manir Battery Charging Station (C)</v>
          </cell>
          <cell r="E205" t="str">
            <v>01324</v>
          </cell>
        </row>
        <row r="206">
          <cell r="D206" t="str">
            <v>M/S Bhai Bhai Battery And Motors</v>
          </cell>
          <cell r="E206" t="str">
            <v>01453</v>
          </cell>
        </row>
        <row r="207">
          <cell r="D207" t="str">
            <v>M/S Bhai Bhai Battery And Motors (C)</v>
          </cell>
          <cell r="E207" t="str">
            <v>01496</v>
          </cell>
        </row>
        <row r="208">
          <cell r="D208" t="str">
            <v>M/S Kalam Store</v>
          </cell>
          <cell r="E208" t="str">
            <v>01436</v>
          </cell>
        </row>
        <row r="209">
          <cell r="D209" t="str">
            <v>M/S Kalam Store</v>
          </cell>
          <cell r="E209" t="str">
            <v>01436</v>
          </cell>
        </row>
        <row r="210">
          <cell r="D210" t="str">
            <v>M/S Shopon Battery House (C)</v>
          </cell>
          <cell r="E210" t="str">
            <v>01320</v>
          </cell>
        </row>
        <row r="211">
          <cell r="D211" t="str">
            <v>M/S Molla Battery House (C)</v>
          </cell>
          <cell r="E211" t="str">
            <v>01428</v>
          </cell>
        </row>
        <row r="212">
          <cell r="D212" t="str">
            <v>M/S Molla Battery House (C)</v>
          </cell>
          <cell r="E212" t="str">
            <v>01428</v>
          </cell>
        </row>
        <row r="213">
          <cell r="D213" t="str">
            <v>M/S Awlad Electronics</v>
          </cell>
          <cell r="E213" t="str">
            <v>01284</v>
          </cell>
        </row>
        <row r="214">
          <cell r="D214" t="str">
            <v>M/S Awlad Electronics</v>
          </cell>
          <cell r="E214" t="str">
            <v>01284</v>
          </cell>
        </row>
        <row r="215">
          <cell r="D215" t="str">
            <v>M/S Awlad Electronics</v>
          </cell>
          <cell r="E215" t="str">
            <v>01284</v>
          </cell>
        </row>
        <row r="216">
          <cell r="D216" t="str">
            <v>M/S Sadiq Enterprise (C)</v>
          </cell>
          <cell r="E216" t="str">
            <v>01484</v>
          </cell>
        </row>
        <row r="217">
          <cell r="D217" t="str">
            <v>M/S Sadiq Enterprise (C)</v>
          </cell>
          <cell r="E217" t="str">
            <v>01484</v>
          </cell>
        </row>
        <row r="218">
          <cell r="D218" t="str">
            <v>M/S Battery House - Pabna (C)</v>
          </cell>
          <cell r="E218" t="str">
            <v>01315</v>
          </cell>
        </row>
        <row r="219">
          <cell r="D219" t="str">
            <v>M/S Sangu Battery House</v>
          </cell>
          <cell r="E219" t="str">
            <v>00988</v>
          </cell>
        </row>
        <row r="220">
          <cell r="D220" t="str">
            <v>M/S Lalmai Machineries &amp; Parts</v>
          </cell>
          <cell r="E220" t="str">
            <v>00329</v>
          </cell>
        </row>
        <row r="221">
          <cell r="D221" t="str">
            <v>M/S Payar Auto Electric Works</v>
          </cell>
          <cell r="E221" t="str">
            <v>00371</v>
          </cell>
        </row>
        <row r="222">
          <cell r="D222" t="str">
            <v>M/S Payar Auto Electric Works</v>
          </cell>
          <cell r="E222" t="str">
            <v>00371</v>
          </cell>
        </row>
        <row r="223">
          <cell r="D223" t="str">
            <v>M/S Snigdha Battery</v>
          </cell>
          <cell r="E223" t="str">
            <v>00134</v>
          </cell>
        </row>
        <row r="224">
          <cell r="D224" t="str">
            <v>M/S Snigdha Battery</v>
          </cell>
          <cell r="E224" t="str">
            <v>00134</v>
          </cell>
        </row>
        <row r="225">
          <cell r="D225" t="str">
            <v>M/S Setu Cycle Mart</v>
          </cell>
          <cell r="E225" t="str">
            <v>00471</v>
          </cell>
        </row>
        <row r="226">
          <cell r="D226" t="str">
            <v>M/S Setu Cycle Mart</v>
          </cell>
          <cell r="E226" t="str">
            <v>00471</v>
          </cell>
        </row>
        <row r="227">
          <cell r="D227" t="str">
            <v>M/S Setu Cycle Mart</v>
          </cell>
          <cell r="E227" t="str">
            <v>00471</v>
          </cell>
        </row>
        <row r="228">
          <cell r="D228" t="str">
            <v>M/S Comilla Traders</v>
          </cell>
          <cell r="E228" t="str">
            <v>00334</v>
          </cell>
        </row>
        <row r="229">
          <cell r="D229" t="str">
            <v>M/S Al - Rafi Traders</v>
          </cell>
          <cell r="E229" t="str">
            <v>00816</v>
          </cell>
        </row>
        <row r="230">
          <cell r="D230" t="str">
            <v>M/S Rafi Battery House</v>
          </cell>
          <cell r="E230" t="str">
            <v>00410</v>
          </cell>
        </row>
        <row r="231">
          <cell r="D231" t="str">
            <v>M/S Rafi Battery House</v>
          </cell>
          <cell r="E231" t="str">
            <v>00410</v>
          </cell>
        </row>
        <row r="232">
          <cell r="D232" t="str">
            <v>M/S Battery House - Pabna</v>
          </cell>
          <cell r="E232" t="str">
            <v>00534</v>
          </cell>
        </row>
        <row r="233">
          <cell r="D233" t="str">
            <v>M/S M.R. Enterprise- Dinajpur</v>
          </cell>
          <cell r="E233" t="str">
            <v>00601</v>
          </cell>
        </row>
        <row r="234">
          <cell r="D234" t="str">
            <v>M/S Rakin Auto Parts</v>
          </cell>
          <cell r="E234" t="str">
            <v>00561</v>
          </cell>
        </row>
        <row r="235">
          <cell r="D235" t="str">
            <v>M/S Rakin Auto Parts</v>
          </cell>
          <cell r="E235" t="str">
            <v>00561</v>
          </cell>
        </row>
        <row r="236">
          <cell r="D236" t="str">
            <v>M/S Rakin Auto Parts</v>
          </cell>
          <cell r="E236" t="str">
            <v>00561</v>
          </cell>
        </row>
        <row r="237">
          <cell r="D237" t="str">
            <v>M/S Satata Battery House (C)</v>
          </cell>
          <cell r="E237" t="str">
            <v>01517</v>
          </cell>
        </row>
        <row r="238">
          <cell r="D238" t="str">
            <v>M/S Ma Tyre &amp; Battery  Shop</v>
          </cell>
          <cell r="E238" t="str">
            <v>00088</v>
          </cell>
        </row>
        <row r="239">
          <cell r="D239" t="str">
            <v>M/S Arafat Enterprise</v>
          </cell>
          <cell r="E239" t="str">
            <v>00094</v>
          </cell>
        </row>
        <row r="240">
          <cell r="D240" t="str">
            <v>M/S Ananna Battery &amp; Tyre</v>
          </cell>
          <cell r="E240" t="str">
            <v>01088</v>
          </cell>
        </row>
        <row r="241">
          <cell r="D241" t="str">
            <v>M/S Anas Enterprise</v>
          </cell>
          <cell r="E241" t="str">
            <v>00817</v>
          </cell>
        </row>
        <row r="242">
          <cell r="D242" t="str">
            <v>M/S Mayer Doya Auto Parts-Laksam</v>
          </cell>
          <cell r="E242" t="str">
            <v>00325</v>
          </cell>
        </row>
        <row r="243">
          <cell r="D243" t="str">
            <v>M/S Sajib Enterprise (C)</v>
          </cell>
          <cell r="E243" t="str">
            <v>01353</v>
          </cell>
        </row>
        <row r="244">
          <cell r="D244" t="str">
            <v>M/S Sajib Enterprise (C)</v>
          </cell>
          <cell r="E244" t="str">
            <v>01353</v>
          </cell>
        </row>
        <row r="245">
          <cell r="D245" t="str">
            <v>M/S Sajib Enterprise (C)</v>
          </cell>
          <cell r="E245" t="str">
            <v>01353</v>
          </cell>
        </row>
        <row r="246">
          <cell r="D246" t="str">
            <v>M/S S.S. Enterprise-Norshingdi (C)</v>
          </cell>
          <cell r="E246" t="str">
            <v>01331</v>
          </cell>
        </row>
        <row r="247">
          <cell r="D247" t="str">
            <v>M/S Payar Auto Electric Works</v>
          </cell>
          <cell r="E247" t="str">
            <v>00371</v>
          </cell>
        </row>
        <row r="248">
          <cell r="D248" t="str">
            <v>M/S Rajapur IPS &amp; Battery House</v>
          </cell>
          <cell r="E248" t="str">
            <v>01400</v>
          </cell>
        </row>
        <row r="249">
          <cell r="D249" t="str">
            <v>M/S Bashkhali Enterprise</v>
          </cell>
          <cell r="E249" t="str">
            <v>00424</v>
          </cell>
        </row>
        <row r="250">
          <cell r="D250" t="str">
            <v>M/S S.K. Enterprise (C)</v>
          </cell>
          <cell r="E250" t="str">
            <v>01326</v>
          </cell>
        </row>
        <row r="251">
          <cell r="D251" t="str">
            <v>M/S S.K. Enterprise (C)</v>
          </cell>
          <cell r="E251" t="str">
            <v>01326</v>
          </cell>
        </row>
        <row r="252">
          <cell r="D252" t="str">
            <v>M/S S.K. Enterprise (C)</v>
          </cell>
          <cell r="E252" t="str">
            <v>01326</v>
          </cell>
        </row>
        <row r="253">
          <cell r="D253" t="str">
            <v>M/S Banskhali Enterprise-Joldi (C)</v>
          </cell>
          <cell r="E253" t="str">
            <v>01312</v>
          </cell>
        </row>
        <row r="254">
          <cell r="D254" t="str">
            <v>M/S Shah Mojidia Motor Parts</v>
          </cell>
          <cell r="E254" t="str">
            <v>00842</v>
          </cell>
        </row>
        <row r="255">
          <cell r="D255" t="str">
            <v>M/S Sohan Motors</v>
          </cell>
          <cell r="E255" t="str">
            <v>01385</v>
          </cell>
        </row>
        <row r="256">
          <cell r="D256" t="str">
            <v>M/S Ira Motors</v>
          </cell>
          <cell r="E256" t="str">
            <v>00133</v>
          </cell>
        </row>
        <row r="257">
          <cell r="D257" t="str">
            <v>M/S Ira Motors</v>
          </cell>
          <cell r="E257" t="str">
            <v>00133</v>
          </cell>
        </row>
        <row r="258">
          <cell r="D258" t="str">
            <v>M/S Ira Motors</v>
          </cell>
          <cell r="E258" t="str">
            <v>00133</v>
          </cell>
        </row>
        <row r="259">
          <cell r="D259" t="str">
            <v>M/S Babul Enterprise (C)</v>
          </cell>
          <cell r="E259" t="str">
            <v>01292</v>
          </cell>
        </row>
        <row r="260">
          <cell r="D260" t="str">
            <v>M/S Anik Motors &amp; Battery</v>
          </cell>
          <cell r="E260" t="str">
            <v>01262</v>
          </cell>
        </row>
        <row r="261">
          <cell r="D261" t="str">
            <v>M/S Anas Battery &amp; Auto House</v>
          </cell>
          <cell r="E261" t="str">
            <v>01401</v>
          </cell>
        </row>
        <row r="262">
          <cell r="D262" t="str">
            <v>M/S Comilla Traders</v>
          </cell>
          <cell r="E262" t="str">
            <v>00334</v>
          </cell>
        </row>
        <row r="263">
          <cell r="D263" t="str">
            <v>M/S Shahjalal Traders</v>
          </cell>
          <cell r="E263" t="str">
            <v>01362</v>
          </cell>
        </row>
        <row r="264">
          <cell r="D264" t="str">
            <v>M/S Bismillah Battery House -Sylhet</v>
          </cell>
          <cell r="E264" t="str">
            <v>00389</v>
          </cell>
        </row>
        <row r="265">
          <cell r="D265" t="str">
            <v>M/S Bhai Bhai Battery And Motors (C)</v>
          </cell>
          <cell r="E265" t="str">
            <v>01496</v>
          </cell>
        </row>
        <row r="266">
          <cell r="D266" t="str">
            <v>M/S Ariyan Electronics</v>
          </cell>
          <cell r="E266" t="str">
            <v>01386</v>
          </cell>
        </row>
        <row r="267">
          <cell r="D267" t="str">
            <v>M/S Afifa Traders</v>
          </cell>
          <cell r="E267" t="str">
            <v>01514</v>
          </cell>
        </row>
        <row r="268">
          <cell r="D268" t="str">
            <v>M/S Awlad Electronics</v>
          </cell>
          <cell r="E268" t="str">
            <v>01284</v>
          </cell>
        </row>
        <row r="269">
          <cell r="D269" t="str">
            <v>M/S M.R. Enterprise- Dinajpur</v>
          </cell>
          <cell r="E269" t="str">
            <v>00601</v>
          </cell>
        </row>
        <row r="270">
          <cell r="D270" t="str">
            <v>M/S M.R. Enterprise- Dinajpur</v>
          </cell>
          <cell r="E270" t="str">
            <v>00601</v>
          </cell>
        </row>
        <row r="271">
          <cell r="D271" t="str">
            <v>M/S M.R. Enterprise- Dinajpur (C)</v>
          </cell>
          <cell r="E271" t="str">
            <v>01520</v>
          </cell>
        </row>
        <row r="272">
          <cell r="D272" t="str">
            <v>M/S Baizid Motors</v>
          </cell>
          <cell r="E272" t="str">
            <v>01365</v>
          </cell>
        </row>
        <row r="273">
          <cell r="D273" t="str">
            <v>M/S Chapai Auto Battery House</v>
          </cell>
          <cell r="E273" t="str">
            <v>01487</v>
          </cell>
        </row>
        <row r="274">
          <cell r="D274" t="str">
            <v>M/S Salman Battery House</v>
          </cell>
          <cell r="E274" t="str">
            <v>01121</v>
          </cell>
        </row>
        <row r="275">
          <cell r="D275" t="str">
            <v>M/S Samir Battery And Tyre</v>
          </cell>
          <cell r="E275" t="str">
            <v>01450</v>
          </cell>
        </row>
        <row r="276">
          <cell r="D276" t="str">
            <v>M/S Samir Battery And Tyre</v>
          </cell>
          <cell r="E276" t="str">
            <v>01450</v>
          </cell>
        </row>
        <row r="277">
          <cell r="D277" t="str">
            <v>M/S Ripon Tyre and Battery</v>
          </cell>
          <cell r="E277" t="str">
            <v>00002</v>
          </cell>
        </row>
        <row r="278">
          <cell r="D278" t="str">
            <v>M/S Snigdha Battery</v>
          </cell>
          <cell r="E278" t="str">
            <v>00134</v>
          </cell>
        </row>
        <row r="279">
          <cell r="D279" t="str">
            <v>M/S Bondhu Auto and CNG Workshop</v>
          </cell>
          <cell r="E279" t="str">
            <v>01149</v>
          </cell>
        </row>
        <row r="280">
          <cell r="D280" t="str">
            <v>M/S Bondhu Auto and CNG Workshop</v>
          </cell>
          <cell r="E280" t="str">
            <v>01149</v>
          </cell>
        </row>
        <row r="281">
          <cell r="D281" t="str">
            <v>M/S Bondhu Auto and CNG Workshop</v>
          </cell>
          <cell r="E281" t="str">
            <v>01149</v>
          </cell>
        </row>
        <row r="282">
          <cell r="D282" t="str">
            <v>M/S Fateha Battery</v>
          </cell>
          <cell r="E282" t="str">
            <v>00388</v>
          </cell>
        </row>
        <row r="283">
          <cell r="D283" t="str">
            <v>M/S Fateha Battery</v>
          </cell>
          <cell r="E283" t="str">
            <v>00388</v>
          </cell>
        </row>
        <row r="284">
          <cell r="D284" t="str">
            <v>M/S S.M. Enterprise- Sunamgonj</v>
          </cell>
          <cell r="E284" t="str">
            <v>00390</v>
          </cell>
        </row>
        <row r="285">
          <cell r="D285" t="str">
            <v>M/S Khan Battery Recycling (C)</v>
          </cell>
          <cell r="E285" t="str">
            <v>01282</v>
          </cell>
        </row>
        <row r="286">
          <cell r="D286" t="str">
            <v>M/S Shepon Motors (C)</v>
          </cell>
          <cell r="E286" t="str">
            <v>01438</v>
          </cell>
        </row>
      </sheetData>
      <sheetData sheetId="2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Sheet2"/>
      <sheetName val="Sheet1"/>
      <sheetName val="Sheet4"/>
    </sheetNames>
    <sheetDataSet>
      <sheetData sheetId="0" refreshError="1"/>
      <sheetData sheetId="1" refreshError="1">
        <row r="8">
          <cell r="D8" t="str">
            <v>Customer Name</v>
          </cell>
          <cell r="E8" t="str">
            <v>Pad Name</v>
          </cell>
        </row>
        <row r="9">
          <cell r="D9" t="str">
            <v>M/S Sangu Battery House</v>
          </cell>
          <cell r="E9" t="str">
            <v>00988</v>
          </cell>
        </row>
        <row r="10">
          <cell r="D10" t="str">
            <v>M/S Sangu Battery House</v>
          </cell>
          <cell r="E10" t="str">
            <v>00988</v>
          </cell>
        </row>
        <row r="11">
          <cell r="D11" t="str">
            <v>M/S Power Battery</v>
          </cell>
          <cell r="E11" t="str">
            <v>00324</v>
          </cell>
        </row>
        <row r="12">
          <cell r="D12" t="str">
            <v>M/S Mayer Doya Auto Parts-Laksam</v>
          </cell>
          <cell r="E12" t="str">
            <v>00325</v>
          </cell>
        </row>
        <row r="13">
          <cell r="D13" t="str">
            <v>M/S Ira Motors</v>
          </cell>
          <cell r="E13" t="str">
            <v>00133</v>
          </cell>
        </row>
        <row r="14">
          <cell r="D14" t="str">
            <v>M/S Akhi Battery &amp; Tyre</v>
          </cell>
          <cell r="E14" t="str">
            <v>00140</v>
          </cell>
        </row>
        <row r="15">
          <cell r="D15" t="str">
            <v>M/S Setu Cycle Mart</v>
          </cell>
          <cell r="E15" t="str">
            <v>00471</v>
          </cell>
        </row>
        <row r="16">
          <cell r="D16" t="str">
            <v>M/S Setu Cycle Mart</v>
          </cell>
          <cell r="E16" t="str">
            <v>00471</v>
          </cell>
        </row>
        <row r="17">
          <cell r="D17" t="str">
            <v>M/S Saiful Motors</v>
          </cell>
          <cell r="E17" t="str">
            <v>00482</v>
          </cell>
        </row>
        <row r="18">
          <cell r="D18" t="str">
            <v>M/S Rakin Auto Parts</v>
          </cell>
          <cell r="E18" t="str">
            <v>00561</v>
          </cell>
        </row>
        <row r="19">
          <cell r="D19" t="str">
            <v>M/S Sadia Enterprise</v>
          </cell>
          <cell r="E19" t="str">
            <v>01490</v>
          </cell>
        </row>
        <row r="20">
          <cell r="D20" t="str">
            <v>M/S Sadia Enterprise</v>
          </cell>
          <cell r="E20" t="str">
            <v>01490</v>
          </cell>
        </row>
        <row r="21">
          <cell r="D21" t="str">
            <v>M/S Sadia Enterprise</v>
          </cell>
          <cell r="E21" t="str">
            <v>01490</v>
          </cell>
        </row>
        <row r="22">
          <cell r="D22" t="str">
            <v>M/S Shapla Battery &amp; Auto House</v>
          </cell>
          <cell r="E22" t="str">
            <v>01447</v>
          </cell>
        </row>
        <row r="23">
          <cell r="D23" t="str">
            <v>M/S Sifa Motors</v>
          </cell>
          <cell r="E23" t="str">
            <v>01443</v>
          </cell>
        </row>
        <row r="24">
          <cell r="D24" t="str">
            <v>M/S Bismillah Motors-Hinla</v>
          </cell>
          <cell r="E24" t="str">
            <v>01448</v>
          </cell>
        </row>
        <row r="25">
          <cell r="D25" t="str">
            <v>M/S Adnan Tyre and Battery House</v>
          </cell>
          <cell r="E25" t="str">
            <v>01371</v>
          </cell>
        </row>
        <row r="26">
          <cell r="D26" t="str">
            <v>M/S Adnan Tyre and Battery House</v>
          </cell>
          <cell r="E26" t="str">
            <v>01371</v>
          </cell>
        </row>
        <row r="27">
          <cell r="D27" t="str">
            <v>M/S Shepon Motors (C)</v>
          </cell>
          <cell r="E27" t="str">
            <v>01438</v>
          </cell>
        </row>
        <row r="28">
          <cell r="D28" t="str">
            <v>M/S Sadia Auto Parts (C)</v>
          </cell>
          <cell r="E28" t="str">
            <v>01498</v>
          </cell>
        </row>
        <row r="29">
          <cell r="D29" t="str">
            <v>M/S Afifa Traders (C)</v>
          </cell>
          <cell r="E29" t="str">
            <v>01515</v>
          </cell>
        </row>
        <row r="30">
          <cell r="D30" t="str">
            <v>M/S Jony Motors - Faridpur (C)</v>
          </cell>
          <cell r="E30" t="str">
            <v>01534</v>
          </cell>
        </row>
        <row r="31">
          <cell r="D31" t="str">
            <v>M/S S.K. Trading Corporation (C)</v>
          </cell>
          <cell r="E31" t="str">
            <v>01523</v>
          </cell>
        </row>
        <row r="32">
          <cell r="D32" t="str">
            <v>M/S Tanha Battery House (C)</v>
          </cell>
          <cell r="E32" t="str">
            <v>01457</v>
          </cell>
        </row>
        <row r="33">
          <cell r="D33" t="str">
            <v>M/S Rafiq Vi Battery &amp; Auto</v>
          </cell>
          <cell r="E33" t="str">
            <v>01405</v>
          </cell>
        </row>
        <row r="34">
          <cell r="D34" t="str">
            <v>M/S Bogura Auto Center (C)</v>
          </cell>
          <cell r="E34" t="str">
            <v>01468</v>
          </cell>
        </row>
        <row r="35">
          <cell r="D35" t="str">
            <v>M/S Salman Battery House</v>
          </cell>
          <cell r="E35" t="str">
            <v>01121</v>
          </cell>
        </row>
        <row r="36">
          <cell r="D36" t="str">
            <v>M/S Salman Battery House</v>
          </cell>
          <cell r="E36" t="str">
            <v>01121</v>
          </cell>
        </row>
        <row r="37">
          <cell r="D37" t="str">
            <v>M/S Salman Auto and Battery (C)</v>
          </cell>
          <cell r="E37" t="str">
            <v>01535</v>
          </cell>
        </row>
        <row r="38">
          <cell r="D38" t="str">
            <v>M/S Arafat Enterprise</v>
          </cell>
          <cell r="E38" t="str">
            <v>00094</v>
          </cell>
        </row>
        <row r="39">
          <cell r="D39" t="str">
            <v>M/S B.P Battery House</v>
          </cell>
          <cell r="E39" t="str">
            <v>01130</v>
          </cell>
        </row>
        <row r="40">
          <cell r="D40" t="str">
            <v>M/S Bondhu Auto and CNG Workshop</v>
          </cell>
          <cell r="E40" t="str">
            <v>01149</v>
          </cell>
        </row>
        <row r="41">
          <cell r="D41" t="str">
            <v>M/S Bondhu Auto and CNG Workshop</v>
          </cell>
          <cell r="E41" t="str">
            <v>01149</v>
          </cell>
        </row>
        <row r="42">
          <cell r="D42" t="str">
            <v>M/S Bondhu Auto and CNG Workshop</v>
          </cell>
          <cell r="E42" t="str">
            <v>01149</v>
          </cell>
        </row>
        <row r="43">
          <cell r="D43" t="str">
            <v>M/S Bondhu Auto and CNG Workshop</v>
          </cell>
          <cell r="E43" t="str">
            <v>01149</v>
          </cell>
        </row>
        <row r="44">
          <cell r="D44" t="str">
            <v>M/S Bondhu Auto and CNG Workshop</v>
          </cell>
          <cell r="E44" t="str">
            <v>01149</v>
          </cell>
        </row>
        <row r="45">
          <cell r="D45" t="str">
            <v>M/S Doyal Battery</v>
          </cell>
          <cell r="E45" t="str">
            <v>00337</v>
          </cell>
        </row>
        <row r="46">
          <cell r="D46" t="str">
            <v>M/S Doyal Battery</v>
          </cell>
          <cell r="E46" t="str">
            <v>00337</v>
          </cell>
        </row>
        <row r="47">
          <cell r="D47" t="str">
            <v>M/S Sangu Battery House</v>
          </cell>
          <cell r="E47" t="str">
            <v>00988</v>
          </cell>
        </row>
        <row r="48">
          <cell r="D48" t="str">
            <v>M/S S.K. Enterprise (C)</v>
          </cell>
          <cell r="E48" t="str">
            <v>01326</v>
          </cell>
        </row>
        <row r="49">
          <cell r="D49" t="str">
            <v>M/S S.K. Enterprise (C)</v>
          </cell>
          <cell r="E49" t="str">
            <v>01326</v>
          </cell>
        </row>
        <row r="50">
          <cell r="D50" t="str">
            <v>M/S S.K. Enterprise (C)</v>
          </cell>
          <cell r="E50" t="str">
            <v>01326</v>
          </cell>
        </row>
        <row r="51">
          <cell r="D51" t="str">
            <v>M/S S.K. Enterprise (C)</v>
          </cell>
          <cell r="E51" t="str">
            <v>01326</v>
          </cell>
        </row>
        <row r="52">
          <cell r="D52" t="str">
            <v>M/S S.K. Enterprise (C)</v>
          </cell>
          <cell r="E52" t="str">
            <v>01326</v>
          </cell>
        </row>
        <row r="53">
          <cell r="D53" t="str">
            <v>M/S Anas Battery &amp; Auto House</v>
          </cell>
          <cell r="E53" t="str">
            <v>01401</v>
          </cell>
        </row>
        <row r="54">
          <cell r="D54" t="str">
            <v>M/S Sajib Enterprise (C)</v>
          </cell>
          <cell r="E54" t="str">
            <v>01353</v>
          </cell>
        </row>
        <row r="55">
          <cell r="D55" t="str">
            <v>M/S Sajib Enterprise (C)</v>
          </cell>
          <cell r="E55" t="str">
            <v>01353</v>
          </cell>
        </row>
        <row r="56">
          <cell r="D56" t="str">
            <v>M/S Sajib Enterprise (C)</v>
          </cell>
          <cell r="E56" t="str">
            <v>01353</v>
          </cell>
        </row>
        <row r="57">
          <cell r="D57" t="str">
            <v>M/S Sajib Enterprise (C)</v>
          </cell>
          <cell r="E57" t="str">
            <v>01353</v>
          </cell>
        </row>
        <row r="58">
          <cell r="D58" t="str">
            <v>M/S Payar Auto Electric Works</v>
          </cell>
          <cell r="E58" t="str">
            <v>00371</v>
          </cell>
        </row>
        <row r="59">
          <cell r="D59" t="str">
            <v>M/S Khokon IPS &amp; Battery Center (C)</v>
          </cell>
          <cell r="E59" t="str">
            <v>01306</v>
          </cell>
        </row>
        <row r="60">
          <cell r="D60" t="str">
            <v>M/S Anik Motors &amp; Battery (C)</v>
          </cell>
          <cell r="E60" t="str">
            <v>01444</v>
          </cell>
        </row>
        <row r="61">
          <cell r="D61" t="str">
            <v>M/S Mokka Motors-Cumilla (C)</v>
          </cell>
          <cell r="E61" t="str">
            <v>01481</v>
          </cell>
        </row>
        <row r="62">
          <cell r="D62" t="str">
            <v>M/S Rajapur IPS &amp; Battery House</v>
          </cell>
          <cell r="E62" t="str">
            <v>01400</v>
          </cell>
        </row>
        <row r="63">
          <cell r="D63" t="str">
            <v>M/S Talukder Motors (C)</v>
          </cell>
          <cell r="E63" t="str">
            <v>01471</v>
          </cell>
        </row>
        <row r="64">
          <cell r="D64" t="str">
            <v>M/S Talukder Motors (C)</v>
          </cell>
          <cell r="E64" t="str">
            <v>01471</v>
          </cell>
        </row>
        <row r="65">
          <cell r="D65" t="str">
            <v>M/S Talukder Motors (C)</v>
          </cell>
          <cell r="E65" t="str">
            <v>01471</v>
          </cell>
        </row>
        <row r="66">
          <cell r="D66" t="str">
            <v>M/S Samar Auto (C)</v>
          </cell>
          <cell r="E66" t="str">
            <v>01522</v>
          </cell>
        </row>
        <row r="67">
          <cell r="D67" t="str">
            <v>M/S Babul Enterprise</v>
          </cell>
          <cell r="E67" t="str">
            <v>00135</v>
          </cell>
        </row>
        <row r="68">
          <cell r="D68" t="str">
            <v>M/S Shah Mojidia Motor Parts</v>
          </cell>
          <cell r="E68" t="str">
            <v>00842</v>
          </cell>
        </row>
        <row r="69">
          <cell r="D69" t="str">
            <v>M/S Shah Mojidia Motor Parts</v>
          </cell>
          <cell r="E69" t="str">
            <v>00842</v>
          </cell>
        </row>
        <row r="70">
          <cell r="D70" t="str">
            <v>Kalam Enterprise</v>
          </cell>
          <cell r="E70" t="str">
            <v>01341</v>
          </cell>
        </row>
        <row r="71">
          <cell r="D71" t="str">
            <v>Kalam Enterprise</v>
          </cell>
          <cell r="E71" t="str">
            <v>01341</v>
          </cell>
        </row>
        <row r="72">
          <cell r="D72" t="str">
            <v>M/S Raisa Radia  Battery House</v>
          </cell>
          <cell r="E72" t="str">
            <v>00867</v>
          </cell>
        </row>
        <row r="73">
          <cell r="D73" t="str">
            <v>M/S Tamjid Enterprise</v>
          </cell>
          <cell r="E73" t="str">
            <v>01123</v>
          </cell>
        </row>
        <row r="74">
          <cell r="D74" t="str">
            <v>M/S Tamjid Enterprise</v>
          </cell>
          <cell r="E74" t="str">
            <v>01123</v>
          </cell>
        </row>
        <row r="75">
          <cell r="D75" t="str">
            <v>M/S Bondhu Auto and CNG Workshop</v>
          </cell>
          <cell r="E75" t="str">
            <v>01149</v>
          </cell>
        </row>
        <row r="76">
          <cell r="D76" t="str">
            <v>M/S Bondhu Auto and CNG Workshop</v>
          </cell>
          <cell r="E76" t="str">
            <v>01149</v>
          </cell>
        </row>
        <row r="77">
          <cell r="D77" t="str">
            <v>M/S Doyal Battery</v>
          </cell>
          <cell r="E77" t="str">
            <v>00337</v>
          </cell>
        </row>
        <row r="78">
          <cell r="D78" t="str">
            <v>M/S Doyal Battery</v>
          </cell>
          <cell r="E78" t="str">
            <v>00337</v>
          </cell>
        </row>
        <row r="79">
          <cell r="D79" t="str">
            <v>M/S Battery House - Pabna</v>
          </cell>
          <cell r="E79" t="str">
            <v>00534</v>
          </cell>
        </row>
        <row r="80">
          <cell r="D80" t="str">
            <v>M/S Bandhu Auto Centre</v>
          </cell>
          <cell r="E80" t="str">
            <v>00573</v>
          </cell>
        </row>
        <row r="81">
          <cell r="D81" t="str">
            <v>M/S Hossen Traders</v>
          </cell>
          <cell r="E81" t="str">
            <v>01107</v>
          </cell>
        </row>
        <row r="82">
          <cell r="D82" t="str">
            <v>M/S Rakin Auto Parts</v>
          </cell>
          <cell r="E82" t="str">
            <v>00561</v>
          </cell>
        </row>
        <row r="83">
          <cell r="D83" t="str">
            <v>M/S Samir Battery And Tyre</v>
          </cell>
          <cell r="E83" t="str">
            <v>01450</v>
          </cell>
        </row>
        <row r="84">
          <cell r="D84" t="str">
            <v>M/S Satata Battery House (C)</v>
          </cell>
          <cell r="E84" t="str">
            <v>01517</v>
          </cell>
        </row>
        <row r="85">
          <cell r="D85" t="str">
            <v>M/S Al - Mokka Enterprise</v>
          </cell>
          <cell r="E85" t="str">
            <v>01112</v>
          </cell>
        </row>
        <row r="86">
          <cell r="D86" t="str">
            <v>M/S Al - Mokka Enterprise</v>
          </cell>
          <cell r="E86" t="str">
            <v>01112</v>
          </cell>
        </row>
        <row r="87">
          <cell r="D87" t="str">
            <v>M/S S.B. Energy (C)</v>
          </cell>
          <cell r="E87" t="str">
            <v>01288</v>
          </cell>
        </row>
        <row r="88">
          <cell r="D88" t="str">
            <v>M/S Anas Enterprise</v>
          </cell>
          <cell r="E88" t="str">
            <v>00817</v>
          </cell>
        </row>
        <row r="89">
          <cell r="D89" t="str">
            <v>M/S Rashed Enterprise</v>
          </cell>
          <cell r="E89" t="str">
            <v>00030</v>
          </cell>
        </row>
        <row r="90">
          <cell r="D90" t="str">
            <v>M/S Rashed Enterprise</v>
          </cell>
          <cell r="E90" t="str">
            <v>00030</v>
          </cell>
        </row>
        <row r="91">
          <cell r="D91" t="str">
            <v>M/S Rashed Enterprise</v>
          </cell>
          <cell r="E91" t="str">
            <v>00030</v>
          </cell>
        </row>
        <row r="92">
          <cell r="D92" t="str">
            <v>M/S Rashed Enterprise</v>
          </cell>
          <cell r="E92" t="str">
            <v>00030</v>
          </cell>
        </row>
        <row r="93">
          <cell r="D93" t="str">
            <v>M/S Modina Cycle Store (C)</v>
          </cell>
          <cell r="E93" t="str">
            <v>01519</v>
          </cell>
        </row>
        <row r="94">
          <cell r="D94" t="str">
            <v>M/S Khan Battery Recycling (C)</v>
          </cell>
          <cell r="E94" t="str">
            <v>01282</v>
          </cell>
        </row>
        <row r="95">
          <cell r="D95" t="str">
            <v>M/S Arafat Battery House</v>
          </cell>
          <cell r="E95" t="str">
            <v>01445</v>
          </cell>
        </row>
        <row r="96">
          <cell r="D96" t="str">
            <v>M/S S.K. Enterprise (C)</v>
          </cell>
          <cell r="E96" t="str">
            <v>01326</v>
          </cell>
        </row>
        <row r="97">
          <cell r="D97" t="str">
            <v>M/S S.K. Enterprise (C)</v>
          </cell>
          <cell r="E97" t="str">
            <v>01326</v>
          </cell>
        </row>
        <row r="98">
          <cell r="D98" t="str">
            <v>M/S S.K. Enterprise (C)</v>
          </cell>
          <cell r="E98" t="str">
            <v>01326</v>
          </cell>
        </row>
        <row r="99">
          <cell r="D99" t="str">
            <v>M/S S.K. Enterprise (C)</v>
          </cell>
          <cell r="E99" t="str">
            <v>01326</v>
          </cell>
        </row>
        <row r="100">
          <cell r="D100" t="str">
            <v>M/S S.K. Enterprise (C)</v>
          </cell>
          <cell r="E100" t="str">
            <v>01326</v>
          </cell>
        </row>
        <row r="101">
          <cell r="D101" t="str">
            <v>M/S Shahjalal Traders</v>
          </cell>
          <cell r="E101" t="str">
            <v>01362</v>
          </cell>
        </row>
        <row r="102">
          <cell r="D102" t="str">
            <v>M/S Adib Alifa Auto &amp; Battery House (C)</v>
          </cell>
          <cell r="E102" t="str">
            <v>01454</v>
          </cell>
        </row>
        <row r="103">
          <cell r="D103" t="str">
            <v>M/S Manir Battery Charging Station (C)</v>
          </cell>
          <cell r="E103" t="str">
            <v>01324</v>
          </cell>
        </row>
        <row r="104">
          <cell r="D104" t="str">
            <v>M/S Islam Auto House</v>
          </cell>
          <cell r="E104" t="str">
            <v>01391</v>
          </cell>
        </row>
        <row r="105">
          <cell r="D105" t="str">
            <v>M/S Awlad Electronics</v>
          </cell>
          <cell r="E105" t="str">
            <v>01284</v>
          </cell>
        </row>
        <row r="106">
          <cell r="D106" t="str">
            <v>M/S Nazrul Battery and Mobil House</v>
          </cell>
          <cell r="E106" t="str">
            <v>00832</v>
          </cell>
        </row>
        <row r="107">
          <cell r="D107" t="str">
            <v>M/S Roni Battery</v>
          </cell>
          <cell r="E107" t="str">
            <v>01379</v>
          </cell>
        </row>
        <row r="108">
          <cell r="D108" t="str">
            <v>M/S Sirajgonj Auto Corner (C)</v>
          </cell>
          <cell r="E108" t="str">
            <v>01494</v>
          </cell>
        </row>
        <row r="109">
          <cell r="D109" t="str">
            <v>M/S Saiful Motors</v>
          </cell>
          <cell r="E109" t="str">
            <v>00482</v>
          </cell>
        </row>
        <row r="110">
          <cell r="D110" t="str">
            <v>M/S Snigdha Battery</v>
          </cell>
          <cell r="E110" t="str">
            <v>00134</v>
          </cell>
        </row>
        <row r="111">
          <cell r="D111" t="str">
            <v>M/S Snigdha Battery</v>
          </cell>
          <cell r="E111" t="str">
            <v>00134</v>
          </cell>
        </row>
        <row r="112">
          <cell r="D112" t="str">
            <v>M/S Tamim Enterprise</v>
          </cell>
          <cell r="E112" t="str">
            <v>01395</v>
          </cell>
        </row>
        <row r="113">
          <cell r="D113" t="str">
            <v>M/S Power Battery</v>
          </cell>
          <cell r="E113" t="str">
            <v>00324</v>
          </cell>
        </row>
        <row r="114">
          <cell r="D114" t="str">
            <v>M/S Power Battery</v>
          </cell>
          <cell r="E114" t="str">
            <v>00324</v>
          </cell>
        </row>
        <row r="115">
          <cell r="D115" t="str">
            <v>M/S Power Battery</v>
          </cell>
          <cell r="E115" t="str">
            <v>00324</v>
          </cell>
        </row>
        <row r="116">
          <cell r="D116" t="str">
            <v>M/S Minara Traders</v>
          </cell>
          <cell r="E116" t="str">
            <v>01108</v>
          </cell>
        </row>
        <row r="117">
          <cell r="D117" t="str">
            <v>M/S Minara Traders</v>
          </cell>
          <cell r="E117" t="str">
            <v>01108</v>
          </cell>
        </row>
        <row r="118">
          <cell r="D118" t="str">
            <v>M/S Tanvir Battery House</v>
          </cell>
          <cell r="E118" t="str">
            <v>01175</v>
          </cell>
        </row>
        <row r="119">
          <cell r="D119" t="str">
            <v>M/S Rumi Battery House</v>
          </cell>
          <cell r="E119" t="str">
            <v>00387</v>
          </cell>
        </row>
        <row r="120">
          <cell r="D120" t="str">
            <v>M/S Takwa Enterprise</v>
          </cell>
          <cell r="E120" t="str">
            <v>00847</v>
          </cell>
        </row>
        <row r="121">
          <cell r="D121" t="str">
            <v>M/S Al Baraka Enterprise</v>
          </cell>
          <cell r="E121" t="str">
            <v>00159</v>
          </cell>
        </row>
        <row r="122">
          <cell r="D122" t="str">
            <v>M/S Raisa Radia  Battery House</v>
          </cell>
          <cell r="E122" t="str">
            <v>00867</v>
          </cell>
        </row>
        <row r="123">
          <cell r="D123" t="str">
            <v>M/S Rafiq Enterprise</v>
          </cell>
          <cell r="E123" t="str">
            <v>00003</v>
          </cell>
        </row>
        <row r="124">
          <cell r="D124" t="str">
            <v>M/S Farhan Auto (C)</v>
          </cell>
          <cell r="E124" t="str">
            <v>01298</v>
          </cell>
        </row>
        <row r="125">
          <cell r="D125" t="str">
            <v>M/S Farhan Auto (C)</v>
          </cell>
          <cell r="E125" t="str">
            <v>01298</v>
          </cell>
        </row>
        <row r="126">
          <cell r="D126" t="str">
            <v>M/S L D Poribahan &amp; Trading (C)</v>
          </cell>
          <cell r="E126" t="str">
            <v>01299</v>
          </cell>
        </row>
        <row r="127">
          <cell r="D127" t="str">
            <v>M/S L D Poribahan &amp; Trading (C)</v>
          </cell>
          <cell r="E127" t="str">
            <v>01299</v>
          </cell>
        </row>
        <row r="128">
          <cell r="D128" t="str">
            <v>M/S Eva Grill Workshop &amp; Hardware</v>
          </cell>
          <cell r="E128" t="str">
            <v>01440</v>
          </cell>
        </row>
        <row r="129">
          <cell r="D129" t="str">
            <v>M/S Shah Mojidia Motor Parts</v>
          </cell>
          <cell r="E129" t="str">
            <v>00842</v>
          </cell>
        </row>
        <row r="130">
          <cell r="D130" t="str">
            <v>M/S Shah Mojidia Motor Parts</v>
          </cell>
          <cell r="E130" t="str">
            <v>00842</v>
          </cell>
        </row>
        <row r="131">
          <cell r="D131" t="str">
            <v>M/S Shah Mojidia Motor Parts</v>
          </cell>
          <cell r="E131" t="str">
            <v>00842</v>
          </cell>
        </row>
        <row r="132">
          <cell r="D132" t="str">
            <v>M/S Bismillah Motors-Hinla</v>
          </cell>
          <cell r="E132" t="str">
            <v>01448</v>
          </cell>
        </row>
        <row r="133">
          <cell r="D133" t="str">
            <v>M/S Sadia Enterprise</v>
          </cell>
          <cell r="E133" t="str">
            <v>01490</v>
          </cell>
        </row>
        <row r="134">
          <cell r="D134" t="str">
            <v>M/S Sadia Enterprise</v>
          </cell>
          <cell r="E134" t="str">
            <v>01490</v>
          </cell>
        </row>
        <row r="135">
          <cell r="D135" t="str">
            <v>M/S Anas Battery &amp; Auto House</v>
          </cell>
          <cell r="E135" t="str">
            <v>01401</v>
          </cell>
        </row>
        <row r="136">
          <cell r="D136" t="str">
            <v>M/S Sajib Enterprise (C)</v>
          </cell>
          <cell r="E136" t="str">
            <v>01353</v>
          </cell>
        </row>
        <row r="137">
          <cell r="D137" t="str">
            <v>M/S Sajib Enterprise (C)</v>
          </cell>
          <cell r="E137" t="str">
            <v>01353</v>
          </cell>
        </row>
        <row r="138">
          <cell r="D138" t="str">
            <v>M/S Sajib Enterprise (C)</v>
          </cell>
          <cell r="E138" t="str">
            <v>01353</v>
          </cell>
        </row>
        <row r="139">
          <cell r="D139" t="str">
            <v>M/S Khokon IPS &amp; Battery Center (C)</v>
          </cell>
          <cell r="E139" t="str">
            <v>01306</v>
          </cell>
        </row>
        <row r="140">
          <cell r="D140" t="str">
            <v>M/S National Motors-Feni</v>
          </cell>
          <cell r="E140" t="str">
            <v>01102</v>
          </cell>
        </row>
        <row r="141">
          <cell r="D141" t="str">
            <v>M/S Anik Motors &amp; Battery (C)</v>
          </cell>
          <cell r="E141" t="str">
            <v>01444</v>
          </cell>
        </row>
        <row r="142">
          <cell r="D142" t="str">
            <v>M/S Rajapur IPS &amp; Battery House</v>
          </cell>
          <cell r="E142" t="str">
            <v>01400</v>
          </cell>
        </row>
        <row r="143">
          <cell r="D143" t="str">
            <v>M/S S.S. Enterprise-Norshingdi (C)</v>
          </cell>
          <cell r="E143" t="str">
            <v>01331</v>
          </cell>
        </row>
        <row r="144">
          <cell r="D144" t="str">
            <v>M/S S.S. Enterprise-Norshingdi (C)</v>
          </cell>
          <cell r="E144" t="str">
            <v>01331</v>
          </cell>
        </row>
        <row r="145">
          <cell r="D145" t="str">
            <v>M/S S.K. Enterprise (C)</v>
          </cell>
          <cell r="E145" t="str">
            <v>01326</v>
          </cell>
        </row>
        <row r="146">
          <cell r="D146" t="str">
            <v>M/S S.K. Enterprise (C)</v>
          </cell>
          <cell r="E146" t="str">
            <v>01326</v>
          </cell>
        </row>
        <row r="147">
          <cell r="D147" t="str">
            <v>M/S Setu Cycle Mart</v>
          </cell>
          <cell r="E147" t="str">
            <v>00471</v>
          </cell>
        </row>
        <row r="148">
          <cell r="D148" t="str">
            <v>M/S Shah Mojidia Motor Parts</v>
          </cell>
          <cell r="E148" t="str">
            <v>00842</v>
          </cell>
        </row>
        <row r="149">
          <cell r="D149" t="str">
            <v>M/S Shah Mojidia Motor Parts</v>
          </cell>
          <cell r="E149" t="str">
            <v>00842</v>
          </cell>
        </row>
        <row r="150">
          <cell r="D150" t="str">
            <v>M/S Power Battery</v>
          </cell>
          <cell r="E150" t="str">
            <v>00324</v>
          </cell>
        </row>
        <row r="151">
          <cell r="D151" t="str">
            <v>M/S S.S. Enterprise-Norshingdi</v>
          </cell>
          <cell r="E151" t="str">
            <v>01118</v>
          </cell>
        </row>
        <row r="152">
          <cell r="D152" t="str">
            <v>M/S Mayer Doya Auto Parts-Laksam</v>
          </cell>
          <cell r="E152" t="str">
            <v>00325</v>
          </cell>
        </row>
        <row r="153">
          <cell r="D153" t="str">
            <v>M/S Mayer Doya Auto Parts-Laksam</v>
          </cell>
          <cell r="E153" t="str">
            <v>00325</v>
          </cell>
        </row>
        <row r="154">
          <cell r="D154" t="str">
            <v>M/S Mayer Doya Auto Parts-Laksam</v>
          </cell>
          <cell r="E154" t="str">
            <v>00325</v>
          </cell>
        </row>
        <row r="155">
          <cell r="D155" t="str">
            <v>M/S S S Trading</v>
          </cell>
          <cell r="E155" t="str">
            <v>00846</v>
          </cell>
        </row>
        <row r="156">
          <cell r="D156" t="str">
            <v>M/S Bondhu Auto and CNG Workshop</v>
          </cell>
          <cell r="E156" t="str">
            <v>01149</v>
          </cell>
        </row>
        <row r="157">
          <cell r="D157" t="str">
            <v>M/S Bondhu Auto and CNG Workshop</v>
          </cell>
          <cell r="E157" t="str">
            <v>01149</v>
          </cell>
        </row>
        <row r="158">
          <cell r="D158" t="str">
            <v>M/S Bondhu Auto and CNG Workshop</v>
          </cell>
          <cell r="E158" t="str">
            <v>01149</v>
          </cell>
        </row>
        <row r="159">
          <cell r="D159" t="str">
            <v>M/S Sangu Battery House</v>
          </cell>
          <cell r="E159" t="str">
            <v>00988</v>
          </cell>
        </row>
        <row r="160">
          <cell r="D160" t="str">
            <v>M/S Sangu Battery House</v>
          </cell>
          <cell r="E160" t="str">
            <v>00988</v>
          </cell>
        </row>
        <row r="161">
          <cell r="D161" t="str">
            <v>M/S Bhai Bhai Battery And Motors</v>
          </cell>
          <cell r="E161" t="str">
            <v>01453</v>
          </cell>
        </row>
        <row r="162">
          <cell r="D162" t="str">
            <v>M/S Sakib Enterprise</v>
          </cell>
          <cell r="E162" t="str">
            <v>01467</v>
          </cell>
        </row>
        <row r="163">
          <cell r="D163" t="str">
            <v>M/S Mahtab Engineering Workshop</v>
          </cell>
          <cell r="E163" t="str">
            <v>01429</v>
          </cell>
        </row>
        <row r="164">
          <cell r="D164" t="str">
            <v>M/S Mahtab Engineering Workshop</v>
          </cell>
          <cell r="E164" t="str">
            <v>01429</v>
          </cell>
        </row>
        <row r="165">
          <cell r="D165" t="str">
            <v>M/S Shoshi Enterprise</v>
          </cell>
          <cell r="E165" t="str">
            <v>01153</v>
          </cell>
        </row>
        <row r="166">
          <cell r="D166" t="str">
            <v>M/S Gazipur Battery House</v>
          </cell>
          <cell r="E166" t="str">
            <v>00826</v>
          </cell>
        </row>
        <row r="167">
          <cell r="D167" t="str">
            <v>M/S Rashed Enterprise</v>
          </cell>
          <cell r="E167" t="str">
            <v>00030</v>
          </cell>
        </row>
        <row r="168">
          <cell r="D168" t="str">
            <v>M/S Rashed Enterprise</v>
          </cell>
          <cell r="E168" t="str">
            <v>00030</v>
          </cell>
        </row>
        <row r="169">
          <cell r="D169" t="str">
            <v>M/S Hemayetpur Battery House (C)</v>
          </cell>
          <cell r="E169" t="str">
            <v>01478</v>
          </cell>
        </row>
        <row r="170">
          <cell r="D170" t="str">
            <v>M/S Mohanagar Motors</v>
          </cell>
          <cell r="E170" t="str">
            <v>00331</v>
          </cell>
        </row>
        <row r="171">
          <cell r="D171" t="str">
            <v>M/S Mohanagar Motors</v>
          </cell>
          <cell r="E171" t="str">
            <v>00331</v>
          </cell>
        </row>
        <row r="172">
          <cell r="D172" t="str">
            <v>M/S S.M. Imran Battery House(C)</v>
          </cell>
          <cell r="E172" t="str">
            <v>01533</v>
          </cell>
        </row>
        <row r="173">
          <cell r="D173" t="str">
            <v>M/S Souro Power Electric</v>
          </cell>
          <cell r="E173" t="str">
            <v>01285</v>
          </cell>
        </row>
        <row r="174">
          <cell r="D174" t="str">
            <v>M/S Souro Power Electric</v>
          </cell>
          <cell r="E174" t="str">
            <v>01285</v>
          </cell>
        </row>
        <row r="175">
          <cell r="D175" t="str">
            <v>M/S Shopon Battery House (C)</v>
          </cell>
          <cell r="E175" t="str">
            <v>01320</v>
          </cell>
        </row>
        <row r="176">
          <cell r="D176" t="str">
            <v>M/S Shopon Battery House (C)</v>
          </cell>
          <cell r="E176" t="str">
            <v>01320</v>
          </cell>
        </row>
        <row r="177">
          <cell r="D177" t="str">
            <v>M/S Shopon Battery House (C)</v>
          </cell>
          <cell r="E177" t="str">
            <v>01320</v>
          </cell>
        </row>
        <row r="178">
          <cell r="D178" t="str">
            <v>M/S Awlad Electronics</v>
          </cell>
          <cell r="E178" t="str">
            <v>01284</v>
          </cell>
        </row>
        <row r="179">
          <cell r="D179" t="str">
            <v>M/S Sadiq Enterprise</v>
          </cell>
          <cell r="E179" t="str">
            <v>01067</v>
          </cell>
        </row>
        <row r="180">
          <cell r="D180" t="str">
            <v>M/S Tanha Battery House (C)</v>
          </cell>
          <cell r="E180" t="str">
            <v>01457</v>
          </cell>
        </row>
        <row r="181">
          <cell r="D181" t="str">
            <v>M/S Smart Electronics</v>
          </cell>
          <cell r="E181" t="str">
            <v>01432</v>
          </cell>
        </row>
        <row r="182">
          <cell r="D182" t="str">
            <v>M/S Nazrul Battery and Mobil House</v>
          </cell>
          <cell r="E182" t="str">
            <v>00832</v>
          </cell>
        </row>
        <row r="183">
          <cell r="D183" t="str">
            <v>M/S Roni Battery</v>
          </cell>
          <cell r="E183" t="str">
            <v>01379</v>
          </cell>
        </row>
        <row r="184">
          <cell r="D184" t="str">
            <v>M/S Raju Battery</v>
          </cell>
          <cell r="E184" t="str">
            <v>00519</v>
          </cell>
        </row>
        <row r="185">
          <cell r="D185" t="str">
            <v>M/S Arafat Enterprise</v>
          </cell>
          <cell r="E185" t="str">
            <v>00094</v>
          </cell>
        </row>
        <row r="186">
          <cell r="D186" t="str">
            <v>M/S Bondhu Auto and CNG Workshop</v>
          </cell>
          <cell r="E186" t="str">
            <v>01149</v>
          </cell>
        </row>
        <row r="187">
          <cell r="D187" t="str">
            <v>M/S Doyal Battery</v>
          </cell>
          <cell r="E187" t="str">
            <v>00337</v>
          </cell>
        </row>
        <row r="188">
          <cell r="D188" t="str">
            <v>M/S Doyal Battery</v>
          </cell>
          <cell r="E188" t="str">
            <v>00337</v>
          </cell>
        </row>
        <row r="189">
          <cell r="D189" t="str">
            <v>M/S Doyal Battery</v>
          </cell>
          <cell r="E189" t="str">
            <v>00337</v>
          </cell>
        </row>
        <row r="190">
          <cell r="D190" t="str">
            <v>M/S Sangu Battery House</v>
          </cell>
          <cell r="E190" t="str">
            <v>00988</v>
          </cell>
        </row>
        <row r="191">
          <cell r="D191" t="str">
            <v>M/S Saiful Motors</v>
          </cell>
          <cell r="E191" t="str">
            <v>00482</v>
          </cell>
        </row>
        <row r="192">
          <cell r="D192" t="str">
            <v>M/S Setu Cycle Mart</v>
          </cell>
          <cell r="E192" t="str">
            <v>00471</v>
          </cell>
        </row>
        <row r="193">
          <cell r="D193" t="str">
            <v>M/S Setu Cycle Mart</v>
          </cell>
          <cell r="E193" t="str">
            <v>00471</v>
          </cell>
        </row>
        <row r="194">
          <cell r="D194" t="str">
            <v>M/S Setu Cycle Mart</v>
          </cell>
          <cell r="E194" t="str">
            <v>00471</v>
          </cell>
        </row>
        <row r="195">
          <cell r="D195" t="str">
            <v>M/S Setu Cycle Mart</v>
          </cell>
          <cell r="E195" t="str">
            <v>00471</v>
          </cell>
        </row>
        <row r="196">
          <cell r="D196" t="str">
            <v>M/S Setu Cycle Mart</v>
          </cell>
          <cell r="E196" t="str">
            <v>00471</v>
          </cell>
        </row>
        <row r="197">
          <cell r="D197" t="str">
            <v>M/S Sohan Motors</v>
          </cell>
          <cell r="E197" t="str">
            <v>01385</v>
          </cell>
        </row>
        <row r="198">
          <cell r="D198" t="str">
            <v>M/S Anas Battery &amp; Auto House</v>
          </cell>
          <cell r="E198" t="str">
            <v>01401</v>
          </cell>
        </row>
        <row r="199">
          <cell r="D199" t="str">
            <v>M/S Sajib Enterprise (C)</v>
          </cell>
          <cell r="E199" t="str">
            <v>01353</v>
          </cell>
        </row>
        <row r="200">
          <cell r="D200" t="str">
            <v>M/S Sajib Enterprise (C)</v>
          </cell>
          <cell r="E200" t="str">
            <v>01353</v>
          </cell>
        </row>
        <row r="201">
          <cell r="D201" t="str">
            <v>M/S A.P.L. Auto House</v>
          </cell>
          <cell r="E201" t="str">
            <v>00328</v>
          </cell>
        </row>
        <row r="202">
          <cell r="D202" t="str">
            <v>M/S A.P.L. Auto House</v>
          </cell>
          <cell r="E202" t="str">
            <v>00328</v>
          </cell>
        </row>
        <row r="203">
          <cell r="D203" t="str">
            <v>M/S Anik Motors &amp; Battery (C)</v>
          </cell>
          <cell r="E203" t="str">
            <v>01444</v>
          </cell>
        </row>
        <row r="204">
          <cell r="D204" t="str">
            <v>M/S Anik Motors &amp; Battery (C)</v>
          </cell>
          <cell r="E204" t="str">
            <v>01444</v>
          </cell>
        </row>
        <row r="205">
          <cell r="D205" t="str">
            <v>M/S S.B. Energy (C)</v>
          </cell>
          <cell r="E205" t="str">
            <v>01288</v>
          </cell>
        </row>
        <row r="206">
          <cell r="D206" t="str">
            <v>M/S S.B. Energy (C)</v>
          </cell>
          <cell r="E206" t="str">
            <v>01288</v>
          </cell>
        </row>
        <row r="207">
          <cell r="D207" t="str">
            <v>M/S S.B. Energy (C)</v>
          </cell>
          <cell r="E207" t="str">
            <v>01288</v>
          </cell>
        </row>
        <row r="208">
          <cell r="D208" t="str">
            <v>M/S S.B. Energy (C)</v>
          </cell>
          <cell r="E208" t="str">
            <v>01288</v>
          </cell>
        </row>
        <row r="209">
          <cell r="D209" t="str">
            <v>M/S S.B. Energy (C)</v>
          </cell>
          <cell r="E209" t="str">
            <v>01288</v>
          </cell>
        </row>
        <row r="210">
          <cell r="D210" t="str">
            <v>M/S New Dhaka Motors and Battery</v>
          </cell>
          <cell r="E210" t="str">
            <v>00005</v>
          </cell>
        </row>
        <row r="211">
          <cell r="D211" t="str">
            <v>M/S New Dhaka Motors and Battery</v>
          </cell>
          <cell r="E211" t="str">
            <v>00005</v>
          </cell>
        </row>
        <row r="212">
          <cell r="D212" t="str">
            <v>M/S New Dhaka Motors and Battery</v>
          </cell>
          <cell r="E212" t="str">
            <v>00005</v>
          </cell>
        </row>
        <row r="213">
          <cell r="D213" t="str">
            <v>M/S Ananna Battery &amp; Tyre</v>
          </cell>
          <cell r="E213" t="str">
            <v>01088</v>
          </cell>
        </row>
        <row r="214">
          <cell r="D214" t="str">
            <v>M/S Ananna Battery &amp; Tyre</v>
          </cell>
          <cell r="E214" t="str">
            <v>01088</v>
          </cell>
        </row>
        <row r="215">
          <cell r="D215" t="str">
            <v>M/S Ananna Battery &amp; Tyre</v>
          </cell>
          <cell r="E215" t="str">
            <v>01088</v>
          </cell>
        </row>
        <row r="216">
          <cell r="D216" t="str">
            <v>M/S Adnan Tyre and Battery House</v>
          </cell>
          <cell r="E216" t="str">
            <v>01371</v>
          </cell>
        </row>
        <row r="217">
          <cell r="D217" t="str">
            <v>M/S Adnan Tyre and Battery House</v>
          </cell>
          <cell r="E217" t="str">
            <v>01371</v>
          </cell>
        </row>
        <row r="218">
          <cell r="D218" t="str">
            <v>M/S Comilla Traders</v>
          </cell>
          <cell r="E218" t="str">
            <v>00334</v>
          </cell>
        </row>
        <row r="219">
          <cell r="D219" t="str">
            <v>M/S Adib Alifa Auto &amp; Battery House (C)</v>
          </cell>
          <cell r="E219" t="str">
            <v>01454</v>
          </cell>
        </row>
        <row r="220">
          <cell r="D220" t="str">
            <v>M/S S.K. Trading Corporation (C)</v>
          </cell>
          <cell r="E220" t="str">
            <v>01523</v>
          </cell>
        </row>
        <row r="221">
          <cell r="D221" t="str">
            <v>M/S Tanvir Battery House</v>
          </cell>
          <cell r="E221" t="str">
            <v>01175</v>
          </cell>
        </row>
        <row r="222">
          <cell r="D222" t="str">
            <v>M/S Rafiq Enterprise</v>
          </cell>
          <cell r="E222" t="str">
            <v>00003</v>
          </cell>
        </row>
        <row r="223">
          <cell r="D223" t="str">
            <v>M/S L D Poribahan &amp; Trading (C)</v>
          </cell>
          <cell r="E223" t="str">
            <v>01299</v>
          </cell>
        </row>
        <row r="224">
          <cell r="D224" t="str">
            <v>M/S L D Poribahan &amp; Trading (C)</v>
          </cell>
          <cell r="E224" t="str">
            <v>01299</v>
          </cell>
        </row>
        <row r="225">
          <cell r="D225" t="str">
            <v>M/S L D Poribahan &amp; Trading (C)</v>
          </cell>
          <cell r="E225" t="str">
            <v>01299</v>
          </cell>
        </row>
        <row r="226">
          <cell r="D226" t="str">
            <v>M/S Farhan Auto (C)</v>
          </cell>
          <cell r="E226" t="str">
            <v>01298</v>
          </cell>
        </row>
        <row r="227">
          <cell r="D227" t="str">
            <v>M/S Farhan Auto (C)</v>
          </cell>
          <cell r="E227" t="str">
            <v>01298</v>
          </cell>
        </row>
        <row r="228">
          <cell r="D228" t="str">
            <v>M/S Siam Motors</v>
          </cell>
          <cell r="E228" t="str">
            <v>00367</v>
          </cell>
        </row>
        <row r="229">
          <cell r="D229" t="str">
            <v>M/S Samar Auto (C)</v>
          </cell>
          <cell r="E229" t="str">
            <v>01522</v>
          </cell>
        </row>
        <row r="230">
          <cell r="D230" t="str">
            <v>M/S Talukder Motors (C)</v>
          </cell>
          <cell r="E230" t="str">
            <v>01471</v>
          </cell>
        </row>
        <row r="231">
          <cell r="D231" t="str">
            <v>M/S Bashkhali Enterprise</v>
          </cell>
          <cell r="E231" t="str">
            <v>00424</v>
          </cell>
        </row>
        <row r="232">
          <cell r="D232" t="str">
            <v>M/S Kalam Auto Motor Parts And Battery House</v>
          </cell>
          <cell r="E232" t="str">
            <v>00420</v>
          </cell>
        </row>
        <row r="233">
          <cell r="D233" t="str">
            <v>M/S Banskhali Enterprise-Joldi (C)</v>
          </cell>
          <cell r="E233" t="str">
            <v>01312</v>
          </cell>
        </row>
        <row r="234">
          <cell r="D234" t="str">
            <v>M/S Banskhali Enterprise-Joldi (C)</v>
          </cell>
          <cell r="E234" t="str">
            <v>01312</v>
          </cell>
        </row>
        <row r="235">
          <cell r="D235" t="str">
            <v>M/S Adhunik Battery And IPS Bitan</v>
          </cell>
          <cell r="E235" t="str">
            <v>01359</v>
          </cell>
        </row>
        <row r="236">
          <cell r="D236" t="str">
            <v>M/S S.K. Enterprise (C)</v>
          </cell>
          <cell r="E236" t="str">
            <v>01326</v>
          </cell>
        </row>
        <row r="237">
          <cell r="D237" t="str">
            <v>M/S S.K. Enterprise (C)</v>
          </cell>
          <cell r="E237" t="str">
            <v>01326</v>
          </cell>
        </row>
        <row r="238">
          <cell r="D238" t="str">
            <v>M/S S.K. Enterprise (C)</v>
          </cell>
          <cell r="E238" t="str">
            <v>01326</v>
          </cell>
        </row>
        <row r="239">
          <cell r="D239" t="str">
            <v>M/S S.K. Enterprise (C)</v>
          </cell>
          <cell r="E239" t="str">
            <v>01326</v>
          </cell>
        </row>
        <row r="240">
          <cell r="D240" t="str">
            <v>M/S Belal Battery House</v>
          </cell>
          <cell r="E240" t="str">
            <v>01461</v>
          </cell>
        </row>
        <row r="241">
          <cell r="D241" t="str">
            <v>M/S Hafiz Battery House</v>
          </cell>
          <cell r="E241" t="str">
            <v>01368</v>
          </cell>
        </row>
        <row r="242">
          <cell r="D242" t="str">
            <v>M/S Bismillah Motors-Hinla</v>
          </cell>
          <cell r="E242" t="str">
            <v>01448</v>
          </cell>
        </row>
        <row r="243">
          <cell r="D243" t="str">
            <v>M/S Bismillah Motors-Hinla</v>
          </cell>
          <cell r="E243" t="str">
            <v>01448</v>
          </cell>
        </row>
        <row r="244">
          <cell r="D244" t="str">
            <v>M/S Snigdha Battery</v>
          </cell>
          <cell r="E244" t="str">
            <v>00134</v>
          </cell>
        </row>
        <row r="245">
          <cell r="D245" t="str">
            <v>M/S Jogotbondhu Battery &amp; Eng. Workshop</v>
          </cell>
          <cell r="E245" t="str">
            <v>00143</v>
          </cell>
        </row>
        <row r="246">
          <cell r="D246" t="str">
            <v>M/S Kalam Store</v>
          </cell>
          <cell r="E246" t="str">
            <v>01436</v>
          </cell>
        </row>
        <row r="247">
          <cell r="D247" t="str">
            <v>M/S Kalam Store</v>
          </cell>
          <cell r="E247" t="str">
            <v>01436</v>
          </cell>
        </row>
        <row r="248">
          <cell r="D248" t="str">
            <v>M/S Kalam Store</v>
          </cell>
          <cell r="E248" t="str">
            <v>01436</v>
          </cell>
        </row>
        <row r="249">
          <cell r="D249" t="str">
            <v>M/S S.K. Motors - Kushtia</v>
          </cell>
          <cell r="E249" t="str">
            <v>01057</v>
          </cell>
        </row>
        <row r="250">
          <cell r="D250" t="str">
            <v>M/S S S Trading</v>
          </cell>
          <cell r="E250" t="str">
            <v>00846</v>
          </cell>
        </row>
        <row r="251">
          <cell r="D251" t="str">
            <v>M/S New Asia Motors</v>
          </cell>
          <cell r="E251" t="str">
            <v>00051</v>
          </cell>
        </row>
        <row r="252">
          <cell r="D252" t="str">
            <v>M/S Hemayetpur Battery House (C)</v>
          </cell>
          <cell r="E252" t="str">
            <v>01478</v>
          </cell>
        </row>
        <row r="253">
          <cell r="D253" t="str">
            <v>M/S Anas Enterprise</v>
          </cell>
          <cell r="E253" t="str">
            <v>00817</v>
          </cell>
        </row>
        <row r="254">
          <cell r="D254" t="str">
            <v>M/S Modina Enterprise - Savar</v>
          </cell>
          <cell r="E254" t="str">
            <v>01404</v>
          </cell>
        </row>
        <row r="255">
          <cell r="D255" t="str">
            <v>M/S Samir Battery And Tyre</v>
          </cell>
          <cell r="E255" t="str">
            <v>01450</v>
          </cell>
        </row>
        <row r="256">
          <cell r="D256" t="str">
            <v>M/S Samir Battery And Tyre</v>
          </cell>
          <cell r="E256" t="str">
            <v>01450</v>
          </cell>
        </row>
        <row r="257">
          <cell r="D257" t="str">
            <v>M/S Samir Battery And Tyre</v>
          </cell>
          <cell r="E257" t="str">
            <v>01450</v>
          </cell>
        </row>
        <row r="258">
          <cell r="D258" t="str">
            <v>M/S Samir Battery And Tyre</v>
          </cell>
          <cell r="E258" t="str">
            <v>01450</v>
          </cell>
        </row>
        <row r="259">
          <cell r="D259" t="str">
            <v>M/S Satata Battery House (C)</v>
          </cell>
          <cell r="E259" t="str">
            <v>01517</v>
          </cell>
        </row>
        <row r="260">
          <cell r="D260" t="str">
            <v>M/S Satata Battery House (C)</v>
          </cell>
          <cell r="E260" t="str">
            <v>01517</v>
          </cell>
        </row>
        <row r="261">
          <cell r="D261" t="str">
            <v>M/S Allahar Dan Battery</v>
          </cell>
          <cell r="E261" t="str">
            <v>01466</v>
          </cell>
        </row>
        <row r="262">
          <cell r="D262" t="str">
            <v>M/S Ma Tyre &amp; Battery  Shop</v>
          </cell>
          <cell r="E262" t="str">
            <v>00088</v>
          </cell>
        </row>
        <row r="263">
          <cell r="D263" t="str">
            <v>M/S Sakib Enterprise</v>
          </cell>
          <cell r="E263" t="str">
            <v>01467</v>
          </cell>
        </row>
        <row r="264">
          <cell r="D264" t="str">
            <v>M/S Rifat Enterprise (C)</v>
          </cell>
          <cell r="E264" t="str">
            <v>01531</v>
          </cell>
        </row>
        <row r="265">
          <cell r="D265" t="str">
            <v>M/S Shoshi Enterprise (C)</v>
          </cell>
          <cell r="E265" t="str">
            <v>01335</v>
          </cell>
        </row>
        <row r="266">
          <cell r="D266" t="str">
            <v>M/S Lutfor Auto Battery House</v>
          </cell>
          <cell r="E266" t="str">
            <v>00829</v>
          </cell>
        </row>
        <row r="267">
          <cell r="D267" t="str">
            <v>M/S Lutfor Auto Battery House</v>
          </cell>
          <cell r="E267" t="str">
            <v>00829</v>
          </cell>
        </row>
        <row r="268">
          <cell r="D268" t="str">
            <v>M/S Rashed Enterprise</v>
          </cell>
          <cell r="E268" t="str">
            <v>00030</v>
          </cell>
        </row>
        <row r="269">
          <cell r="D269" t="str">
            <v>M/S AL - Modina Traders (C)</v>
          </cell>
          <cell r="E269" t="str">
            <v>01525</v>
          </cell>
        </row>
        <row r="270">
          <cell r="D270" t="str">
            <v>M/S AL - Modina Traders (C)</v>
          </cell>
          <cell r="E270" t="str">
            <v>01525</v>
          </cell>
        </row>
        <row r="271">
          <cell r="D271" t="str">
            <v>M/S Rafiq Vi Battery &amp; Auto</v>
          </cell>
          <cell r="E271" t="str">
            <v>01405</v>
          </cell>
        </row>
        <row r="272">
          <cell r="D272" t="str">
            <v>M/S Arafat Enterprise</v>
          </cell>
          <cell r="E272" t="str">
            <v>00094</v>
          </cell>
        </row>
        <row r="273">
          <cell r="D273" t="str">
            <v>M/S Arafat Enterprise</v>
          </cell>
          <cell r="E273" t="str">
            <v>00094</v>
          </cell>
        </row>
        <row r="274">
          <cell r="D274" t="str">
            <v>M/S Arafat Enterprise</v>
          </cell>
          <cell r="E274" t="str">
            <v>00094</v>
          </cell>
        </row>
        <row r="275">
          <cell r="D275" t="str">
            <v>M/S Ripon Tyre and Battery</v>
          </cell>
          <cell r="E275" t="str">
            <v>00002</v>
          </cell>
        </row>
        <row r="276">
          <cell r="D276" t="str">
            <v>M/S Ripon Tyre and Battery</v>
          </cell>
          <cell r="E276" t="str">
            <v>00002</v>
          </cell>
        </row>
        <row r="277">
          <cell r="D277" t="str">
            <v>M/S Ripon Tyre and Battery</v>
          </cell>
          <cell r="E277" t="str">
            <v>00002</v>
          </cell>
        </row>
        <row r="278">
          <cell r="D278" t="str">
            <v>M/S Bondhu Auto and CNG Workshop</v>
          </cell>
          <cell r="E278" t="str">
            <v>01149</v>
          </cell>
        </row>
        <row r="279">
          <cell r="D279" t="str">
            <v>M/S Bondhu Auto and CNG Workshop</v>
          </cell>
          <cell r="E279" t="str">
            <v>01149</v>
          </cell>
        </row>
        <row r="280">
          <cell r="D280" t="str">
            <v>M/S Bondhu Auto and CNG Workshop</v>
          </cell>
          <cell r="E280" t="str">
            <v>01149</v>
          </cell>
        </row>
        <row r="281">
          <cell r="D281" t="str">
            <v>M/S Bondhu Auto and CNG Workshop</v>
          </cell>
          <cell r="E281" t="str">
            <v>01149</v>
          </cell>
        </row>
        <row r="282">
          <cell r="D282" t="str">
            <v>M/S Bondhu Auto and CNG Workshop</v>
          </cell>
          <cell r="E282" t="str">
            <v>01149</v>
          </cell>
        </row>
        <row r="283">
          <cell r="D283" t="str">
            <v>M/S Bondhu Auto and CNG Workshop</v>
          </cell>
          <cell r="E283" t="str">
            <v>01149</v>
          </cell>
        </row>
        <row r="284">
          <cell r="D284" t="str">
            <v>M/S Doyal Battery</v>
          </cell>
          <cell r="E284" t="str">
            <v>00337</v>
          </cell>
        </row>
        <row r="285">
          <cell r="D285" t="str">
            <v>M/S Doyal Battery</v>
          </cell>
          <cell r="E285" t="str">
            <v>00337</v>
          </cell>
        </row>
        <row r="286">
          <cell r="D286" t="str">
            <v>M/S Doyal Battery</v>
          </cell>
          <cell r="E286" t="str">
            <v>00337</v>
          </cell>
        </row>
        <row r="287">
          <cell r="D287" t="str">
            <v>M/S Setu Cycle Mart</v>
          </cell>
          <cell r="E287" t="str">
            <v>00471</v>
          </cell>
        </row>
        <row r="288">
          <cell r="D288" t="str">
            <v>M/S Setu Cycle Mart</v>
          </cell>
          <cell r="E288" t="str">
            <v>00471</v>
          </cell>
        </row>
        <row r="289">
          <cell r="D289" t="str">
            <v>M/S Setu Cycle Mart</v>
          </cell>
          <cell r="E289" t="str">
            <v>00471</v>
          </cell>
        </row>
        <row r="290">
          <cell r="D290" t="str">
            <v>M/S Setu Cycle Mart</v>
          </cell>
          <cell r="E290" t="str">
            <v>00471</v>
          </cell>
        </row>
        <row r="291">
          <cell r="D291" t="str">
            <v>M/S Setu Cycle Mart</v>
          </cell>
          <cell r="E291" t="str">
            <v>00471</v>
          </cell>
        </row>
        <row r="292">
          <cell r="D292" t="str">
            <v>M/S Saiful Motors</v>
          </cell>
          <cell r="E292" t="str">
            <v>00482</v>
          </cell>
        </row>
        <row r="293">
          <cell r="D293" t="str">
            <v>M/S Sangu Battery House</v>
          </cell>
          <cell r="E293" t="str">
            <v>00988</v>
          </cell>
        </row>
        <row r="294">
          <cell r="D294" t="str">
            <v>M/S Snigdha Battery</v>
          </cell>
          <cell r="E294" t="str">
            <v>00134</v>
          </cell>
        </row>
        <row r="295">
          <cell r="D295" t="str">
            <v>M/S Anik Motors &amp; Battery (C)</v>
          </cell>
          <cell r="E295" t="str">
            <v>01444</v>
          </cell>
        </row>
        <row r="296">
          <cell r="D296" t="str">
            <v>M/S Anik Motors &amp; Battery (C)</v>
          </cell>
          <cell r="E296" t="str">
            <v>01444</v>
          </cell>
        </row>
        <row r="297">
          <cell r="D297" t="str">
            <v>M/S Khokon IPS &amp; Battery Center (C)</v>
          </cell>
          <cell r="E297" t="str">
            <v>01306</v>
          </cell>
        </row>
        <row r="298">
          <cell r="D298" t="str">
            <v>M/S A.P.L. Auto House</v>
          </cell>
          <cell r="E298" t="str">
            <v>00328</v>
          </cell>
        </row>
        <row r="299">
          <cell r="D299" t="str">
            <v>M/S A.P.L. Auto House</v>
          </cell>
          <cell r="E299" t="str">
            <v>00328</v>
          </cell>
        </row>
        <row r="300">
          <cell r="D300" t="str">
            <v>M/S S.S. Enterprise-Norshingdi (C)</v>
          </cell>
          <cell r="E300" t="str">
            <v>01331</v>
          </cell>
        </row>
        <row r="301">
          <cell r="D301" t="str">
            <v>M/S S.S. Enterprise-Norshingdi (C)</v>
          </cell>
          <cell r="E301" t="str">
            <v>01331</v>
          </cell>
        </row>
        <row r="302">
          <cell r="D302" t="str">
            <v>M/S S.S. Enterprise-Norshingdi (C)</v>
          </cell>
          <cell r="E302" t="str">
            <v>01331</v>
          </cell>
        </row>
        <row r="303">
          <cell r="D303" t="str">
            <v>M/S Talukder Motors (C)</v>
          </cell>
          <cell r="E303" t="str">
            <v>01471</v>
          </cell>
        </row>
        <row r="304">
          <cell r="D304" t="str">
            <v>M/S Talukder Motors (C)</v>
          </cell>
          <cell r="E304" t="str">
            <v>01471</v>
          </cell>
        </row>
        <row r="305">
          <cell r="D305" t="str">
            <v>M/S Farhan Auto (C)</v>
          </cell>
          <cell r="E305" t="str">
            <v>01298</v>
          </cell>
        </row>
        <row r="306">
          <cell r="D306" t="str">
            <v>M/S Farhan Auto (C)</v>
          </cell>
          <cell r="E306" t="str">
            <v>01298</v>
          </cell>
        </row>
        <row r="307">
          <cell r="D307" t="str">
            <v>M/S Farhan Auto (C)</v>
          </cell>
          <cell r="E307" t="str">
            <v>01298</v>
          </cell>
        </row>
        <row r="308">
          <cell r="D308" t="str">
            <v>M/S L D Poribahan &amp; Trading (C)</v>
          </cell>
          <cell r="E308" t="str">
            <v>01299</v>
          </cell>
        </row>
        <row r="309">
          <cell r="D309" t="str">
            <v>M/S L D Poribahan &amp; Trading (C)</v>
          </cell>
          <cell r="E309" t="str">
            <v>01299</v>
          </cell>
        </row>
        <row r="310">
          <cell r="D310" t="str">
            <v>M/S Adib Alifa Auto &amp; Battery House (C)</v>
          </cell>
          <cell r="E310" t="str">
            <v>01454</v>
          </cell>
        </row>
        <row r="311">
          <cell r="D311" t="str">
            <v>M/S Adib Alifa Auto &amp; Battery House (C)</v>
          </cell>
          <cell r="E311" t="str">
            <v>01454</v>
          </cell>
        </row>
        <row r="312">
          <cell r="D312" t="str">
            <v>M/S Bhai Bhai Battery And Motors (C)</v>
          </cell>
          <cell r="E312" t="str">
            <v>01496</v>
          </cell>
        </row>
        <row r="313">
          <cell r="D313" t="str">
            <v>M/S Bhai Bhai Battery And Motors (C)</v>
          </cell>
          <cell r="E313" t="str">
            <v>01496</v>
          </cell>
        </row>
        <row r="314">
          <cell r="D314" t="str">
            <v>M/S S.K. Trading Corporation (C)</v>
          </cell>
          <cell r="E314" t="str">
            <v>01523</v>
          </cell>
        </row>
        <row r="315">
          <cell r="D315" t="str">
            <v>M/S Shopon Battery House (C)</v>
          </cell>
          <cell r="E315" t="str">
            <v>01320</v>
          </cell>
        </row>
        <row r="316">
          <cell r="D316" t="str">
            <v>M/S Shopon Battery House (C)</v>
          </cell>
          <cell r="E316" t="str">
            <v>01320</v>
          </cell>
        </row>
        <row r="317">
          <cell r="D317" t="str">
            <v>M/S Sadiq Enterprise (C)</v>
          </cell>
          <cell r="E317" t="str">
            <v>01484</v>
          </cell>
        </row>
        <row r="318">
          <cell r="D318" t="str">
            <v>M/S Sadiq Enterprise</v>
          </cell>
          <cell r="E318" t="str">
            <v>01067</v>
          </cell>
        </row>
        <row r="319">
          <cell r="D319" t="str">
            <v>M/S Hira Motors-Chokoria</v>
          </cell>
          <cell r="E319" t="str">
            <v>01441</v>
          </cell>
        </row>
        <row r="320">
          <cell r="D320" t="str">
            <v>M/S Bismillah Motors-Hinla</v>
          </cell>
          <cell r="E320" t="str">
            <v>01448</v>
          </cell>
        </row>
        <row r="321">
          <cell r="D321" t="str">
            <v>M/S Bismillah Motors-Hinla</v>
          </cell>
          <cell r="E321" t="str">
            <v>01448</v>
          </cell>
        </row>
        <row r="322">
          <cell r="D322" t="str">
            <v>M/S Sifa Motors</v>
          </cell>
          <cell r="E322" t="str">
            <v>01443</v>
          </cell>
        </row>
        <row r="323">
          <cell r="D323" t="str">
            <v>M/S Sifa Motors</v>
          </cell>
          <cell r="E323" t="str">
            <v>01443</v>
          </cell>
        </row>
        <row r="324">
          <cell r="D324" t="str">
            <v>M/S Shah Mojidia Motor Parts</v>
          </cell>
          <cell r="E324" t="str">
            <v>00842</v>
          </cell>
        </row>
        <row r="325">
          <cell r="D325" t="str">
            <v>M/S Shah Mojidia Motor Parts</v>
          </cell>
          <cell r="E325" t="str">
            <v>00842</v>
          </cell>
        </row>
        <row r="326">
          <cell r="D326" t="str">
            <v>M/S Shah Mojidia Motor Parts</v>
          </cell>
          <cell r="E326" t="str">
            <v>00842</v>
          </cell>
        </row>
        <row r="327">
          <cell r="D327" t="str">
            <v>M/S Shah Mojidia Motor Parts</v>
          </cell>
          <cell r="E327" t="str">
            <v>00842</v>
          </cell>
        </row>
        <row r="328">
          <cell r="D328" t="str">
            <v>M/S S.K. Enterprise (C)</v>
          </cell>
          <cell r="E328" t="str">
            <v>01326</v>
          </cell>
        </row>
        <row r="329">
          <cell r="D329" t="str">
            <v>M/S S.K. Enterprise (C)</v>
          </cell>
          <cell r="E329" t="str">
            <v>01326</v>
          </cell>
        </row>
        <row r="330">
          <cell r="D330" t="str">
            <v>M/S Bashkhali Enterprise</v>
          </cell>
          <cell r="E330" t="str">
            <v>00424</v>
          </cell>
        </row>
        <row r="331">
          <cell r="D331" t="str">
            <v>M/S Bashkhali Enterprise</v>
          </cell>
          <cell r="E331" t="str">
            <v>00424</v>
          </cell>
        </row>
        <row r="332">
          <cell r="D332" t="str">
            <v>M/S Kalam Auto Motor Parts And Battery House</v>
          </cell>
          <cell r="E332" t="str">
            <v>00420</v>
          </cell>
        </row>
        <row r="333">
          <cell r="D333" t="str">
            <v>M/S Banskhali Enterprise-Joldi (C)</v>
          </cell>
          <cell r="E333" t="str">
            <v>01312</v>
          </cell>
        </row>
        <row r="334">
          <cell r="D334" t="str">
            <v>M/S Banskhali Enterprise-Joldi (C)</v>
          </cell>
          <cell r="E334" t="str">
            <v>01312</v>
          </cell>
        </row>
        <row r="335">
          <cell r="D335" t="str">
            <v>M/S Sajib Enterprise (C)</v>
          </cell>
          <cell r="E335" t="str">
            <v>01353</v>
          </cell>
        </row>
        <row r="336">
          <cell r="D336" t="str">
            <v>M/S Sajib Enterprise (C)</v>
          </cell>
          <cell r="E336" t="str">
            <v>01353</v>
          </cell>
        </row>
        <row r="337">
          <cell r="D337" t="str">
            <v>M/S Sajib Enterprise (C)</v>
          </cell>
          <cell r="E337" t="str">
            <v>01353</v>
          </cell>
        </row>
        <row r="338">
          <cell r="D338" t="str">
            <v>M/S Anas Battery &amp; Auto House</v>
          </cell>
          <cell r="E338" t="str">
            <v>01401</v>
          </cell>
        </row>
        <row r="339">
          <cell r="D339" t="str">
            <v>M/S Anik Motors &amp; Battery (C)</v>
          </cell>
          <cell r="E339" t="str">
            <v>01444</v>
          </cell>
        </row>
        <row r="340">
          <cell r="D340" t="str">
            <v>M/S Anik Motors &amp; Battery (C)</v>
          </cell>
          <cell r="E340" t="str">
            <v>01444</v>
          </cell>
        </row>
        <row r="341">
          <cell r="D341" t="str">
            <v>M/S Anik Motors &amp; Battery (C)</v>
          </cell>
          <cell r="E341" t="str">
            <v>01444</v>
          </cell>
        </row>
        <row r="342">
          <cell r="D342" t="str">
            <v>M/S Ripon Tyre and Battery</v>
          </cell>
          <cell r="E342" t="str">
            <v>00002</v>
          </cell>
        </row>
        <row r="343">
          <cell r="D343" t="str">
            <v>M/S Monir Auto &amp; Battery House</v>
          </cell>
          <cell r="E343" t="str">
            <v>00001</v>
          </cell>
        </row>
        <row r="344">
          <cell r="D344" t="str">
            <v>M/S Rumi Battery House</v>
          </cell>
          <cell r="E344" t="str">
            <v>00387</v>
          </cell>
        </row>
        <row r="345">
          <cell r="D345" t="str">
            <v>M/S National Motors-Feni</v>
          </cell>
          <cell r="E345" t="str">
            <v>01102</v>
          </cell>
        </row>
        <row r="346">
          <cell r="D346" t="str">
            <v>M/S Siam Motors</v>
          </cell>
          <cell r="E346" t="str">
            <v>00367</v>
          </cell>
        </row>
        <row r="347">
          <cell r="D347" t="str">
            <v>M/S Siam Motors</v>
          </cell>
          <cell r="E347" t="str">
            <v>00367</v>
          </cell>
        </row>
        <row r="348">
          <cell r="D348" t="str">
            <v>M/S Bondhu Auto and CNG Workshop</v>
          </cell>
          <cell r="E348" t="str">
            <v>01149</v>
          </cell>
        </row>
        <row r="349">
          <cell r="D349" t="str">
            <v>M/S Bondhu Auto and CNG Workshop</v>
          </cell>
          <cell r="E349" t="str">
            <v>01149</v>
          </cell>
        </row>
        <row r="350">
          <cell r="D350" t="str">
            <v>M/S Doyal Battery</v>
          </cell>
          <cell r="E350" t="str">
            <v>00337</v>
          </cell>
        </row>
        <row r="351">
          <cell r="D351" t="str">
            <v>M/S Snigdha Battery</v>
          </cell>
          <cell r="E351" t="str">
            <v>00134</v>
          </cell>
        </row>
        <row r="352">
          <cell r="D352" t="str">
            <v>M/S Snigdha Battery</v>
          </cell>
          <cell r="E352" t="str">
            <v>00134</v>
          </cell>
        </row>
        <row r="353">
          <cell r="D353" t="str">
            <v>M/S Snigdha Battery</v>
          </cell>
          <cell r="E353" t="str">
            <v>00134</v>
          </cell>
        </row>
        <row r="354">
          <cell r="D354" t="str">
            <v>M/S Setu Cycle Mart</v>
          </cell>
          <cell r="E354" t="str">
            <v>00471</v>
          </cell>
        </row>
        <row r="355">
          <cell r="D355" t="str">
            <v>M/S Setu Cycle Mart</v>
          </cell>
          <cell r="E355" t="str">
            <v>00471</v>
          </cell>
        </row>
        <row r="356">
          <cell r="D356" t="str">
            <v>M/S Setu Cycle Mart</v>
          </cell>
          <cell r="E356" t="str">
            <v>00471</v>
          </cell>
        </row>
        <row r="357">
          <cell r="D357" t="str">
            <v>M/S Shekh Enterprise - Khulna</v>
          </cell>
          <cell r="E357" t="str">
            <v>01435</v>
          </cell>
        </row>
        <row r="358">
          <cell r="D358" t="str">
            <v>M/S Housing Auto Bike</v>
          </cell>
          <cell r="E358" t="str">
            <v>00598</v>
          </cell>
        </row>
        <row r="359">
          <cell r="D359" t="str">
            <v>M/S Rifat Enterprise (C)</v>
          </cell>
          <cell r="E359" t="str">
            <v>01531</v>
          </cell>
        </row>
        <row r="360">
          <cell r="D360" t="str">
            <v>M/S Satata Battery House (C)</v>
          </cell>
          <cell r="E360" t="str">
            <v>01517</v>
          </cell>
        </row>
        <row r="361">
          <cell r="D361" t="str">
            <v>M/S Lutfor Auto Battery House</v>
          </cell>
          <cell r="E361" t="str">
            <v>00829</v>
          </cell>
        </row>
        <row r="362">
          <cell r="D362" t="str">
            <v>M/S Modina Enterprise - Savar</v>
          </cell>
          <cell r="E362" t="str">
            <v>01404</v>
          </cell>
        </row>
        <row r="363">
          <cell r="D363" t="str">
            <v>M/S Modina Enterprise - Savar</v>
          </cell>
          <cell r="E363" t="str">
            <v>01404</v>
          </cell>
        </row>
        <row r="364">
          <cell r="D364" t="str">
            <v>M/S Khan Battery Recycling (C)</v>
          </cell>
          <cell r="E364" t="str">
            <v>01282</v>
          </cell>
        </row>
        <row r="365">
          <cell r="D365" t="str">
            <v>M/S Al - Mokka Enterprise</v>
          </cell>
          <cell r="E365" t="str">
            <v>01112</v>
          </cell>
        </row>
        <row r="366">
          <cell r="D366" t="str">
            <v>M/S Minara Traders</v>
          </cell>
          <cell r="E366" t="str">
            <v>01108</v>
          </cell>
        </row>
        <row r="367">
          <cell r="D367" t="str">
            <v>M/S Minara Traders</v>
          </cell>
          <cell r="E367" t="str">
            <v>01108</v>
          </cell>
        </row>
        <row r="368">
          <cell r="D368" t="str">
            <v>M/S Bismillah Motors-Hinla</v>
          </cell>
          <cell r="E368" t="str">
            <v>01448</v>
          </cell>
        </row>
        <row r="369">
          <cell r="D369" t="str">
            <v>M/S Bismillah Motors-Hinla</v>
          </cell>
          <cell r="E369" t="str">
            <v>01448</v>
          </cell>
        </row>
        <row r="370">
          <cell r="D370" t="str">
            <v>M/S Sohan Motors</v>
          </cell>
          <cell r="E370" t="str">
            <v>01385</v>
          </cell>
        </row>
        <row r="371">
          <cell r="D371" t="str">
            <v>M/S Sohan Motors</v>
          </cell>
          <cell r="E371" t="str">
            <v>01385</v>
          </cell>
        </row>
        <row r="372">
          <cell r="D372" t="str">
            <v>M/S Shah Mojidia Motor Parts</v>
          </cell>
          <cell r="E372" t="str">
            <v>00842</v>
          </cell>
        </row>
        <row r="373">
          <cell r="D373" t="str">
            <v>M/S Saiful Motors</v>
          </cell>
          <cell r="E373" t="str">
            <v>00482</v>
          </cell>
        </row>
        <row r="374">
          <cell r="D374" t="str">
            <v>M/S Saiful Motors</v>
          </cell>
          <cell r="E374" t="str">
            <v>00482</v>
          </cell>
        </row>
        <row r="375">
          <cell r="D375" t="str">
            <v>M/S Takia Battery House (C)</v>
          </cell>
          <cell r="E375" t="str">
            <v>01527</v>
          </cell>
        </row>
        <row r="376">
          <cell r="D376" t="str">
            <v>M/S Adib Alifa Auto &amp; Battery House (C)</v>
          </cell>
          <cell r="E376" t="str">
            <v>01454</v>
          </cell>
        </row>
        <row r="377">
          <cell r="D377" t="str">
            <v>M/S Bhai Bhai Battery And Motors (C)</v>
          </cell>
          <cell r="E377" t="str">
            <v>01496</v>
          </cell>
        </row>
        <row r="378">
          <cell r="D378" t="str">
            <v>M/S Aminul Battery House</v>
          </cell>
          <cell r="E378" t="str">
            <v>01250</v>
          </cell>
        </row>
        <row r="379">
          <cell r="D379" t="str">
            <v>M/S Aminul Battery House</v>
          </cell>
          <cell r="E379" t="str">
            <v>01250</v>
          </cell>
        </row>
        <row r="380">
          <cell r="D380" t="str">
            <v>M/S Sadiq Enterprise (C)</v>
          </cell>
          <cell r="E380" t="str">
            <v>01484</v>
          </cell>
        </row>
        <row r="381">
          <cell r="D381" t="str">
            <v>M/S Al-Amin Cycle &amp; Auto Parts (C)</v>
          </cell>
          <cell r="E381" t="str">
            <v>01507</v>
          </cell>
        </row>
        <row r="382">
          <cell r="D382" t="str">
            <v>M/S M.R. Enterprise- Dinajpur (C)</v>
          </cell>
          <cell r="E382" t="str">
            <v>01520</v>
          </cell>
        </row>
        <row r="383">
          <cell r="D383" t="str">
            <v>M/S M.R. Enterprise- Dinajpur</v>
          </cell>
          <cell r="E383" t="str">
            <v>00601</v>
          </cell>
        </row>
        <row r="384">
          <cell r="D384" t="str">
            <v>M/S Samir Battery And Tyre</v>
          </cell>
          <cell r="E384" t="str">
            <v>01450</v>
          </cell>
        </row>
        <row r="385">
          <cell r="D385" t="str">
            <v>M/S Samir Battery And Tyre</v>
          </cell>
          <cell r="E385" t="str">
            <v>01450</v>
          </cell>
        </row>
        <row r="386">
          <cell r="D386" t="str">
            <v>M/S Ripon Tyre and Battery</v>
          </cell>
          <cell r="E386" t="str">
            <v>00002</v>
          </cell>
        </row>
        <row r="387">
          <cell r="D387" t="str">
            <v>M/S Ripon Tyre and Battery</v>
          </cell>
          <cell r="E387" t="str">
            <v>00002</v>
          </cell>
        </row>
        <row r="388">
          <cell r="D388" t="str">
            <v>M/S Ripon Tyre and Battery</v>
          </cell>
          <cell r="E388" t="str">
            <v>00002</v>
          </cell>
        </row>
        <row r="389">
          <cell r="D389" t="str">
            <v>M/S Farhan Auto (C)</v>
          </cell>
          <cell r="E389" t="str">
            <v>01298</v>
          </cell>
        </row>
        <row r="390">
          <cell r="D390" t="str">
            <v>M/S Farhan Auto (C)</v>
          </cell>
          <cell r="E390" t="str">
            <v>01298</v>
          </cell>
        </row>
        <row r="391">
          <cell r="D391" t="str">
            <v>M/S A.P.L. Auto House</v>
          </cell>
          <cell r="E391" t="str">
            <v>00328</v>
          </cell>
        </row>
        <row r="392">
          <cell r="D392" t="str">
            <v>M/S A.P.L. Auto House</v>
          </cell>
          <cell r="E392" t="str">
            <v>00328</v>
          </cell>
        </row>
        <row r="393">
          <cell r="D393" t="str">
            <v>M/S Khokon IPS &amp; Battery Center (C)</v>
          </cell>
          <cell r="E393" t="str">
            <v>01306</v>
          </cell>
        </row>
        <row r="394">
          <cell r="D394" t="str">
            <v>M/S Khokon IPS &amp; Battery Center (C)</v>
          </cell>
          <cell r="E394" t="str">
            <v>01306</v>
          </cell>
        </row>
        <row r="395">
          <cell r="D395" t="str">
            <v>M/S Anas Battery &amp; Auto House</v>
          </cell>
          <cell r="E395" t="str">
            <v>01401</v>
          </cell>
        </row>
        <row r="396">
          <cell r="D396" t="str">
            <v>M/S Sajib Enterprise (C)</v>
          </cell>
          <cell r="E396" t="str">
            <v>01353</v>
          </cell>
        </row>
        <row r="397">
          <cell r="D397" t="str">
            <v>M/S Sajib Enterprise (C)</v>
          </cell>
          <cell r="E397" t="str">
            <v>01353</v>
          </cell>
        </row>
        <row r="398">
          <cell r="D398" t="str">
            <v>M/S Mayer Doya Auto Parts-Laksam</v>
          </cell>
          <cell r="E398" t="str">
            <v>00325</v>
          </cell>
        </row>
        <row r="399">
          <cell r="D399" t="str">
            <v>M/S Mayer Doya Auto Parts-Laksam</v>
          </cell>
          <cell r="E399" t="str">
            <v>00325</v>
          </cell>
        </row>
        <row r="400">
          <cell r="D400" t="str">
            <v>M/S Lalmai Machineries &amp; Parts</v>
          </cell>
          <cell r="E400" t="str">
            <v>00329</v>
          </cell>
        </row>
        <row r="401">
          <cell r="D401" t="str">
            <v>M/S Lalmai Machineries &amp; Parts</v>
          </cell>
          <cell r="E401" t="str">
            <v>00329</v>
          </cell>
        </row>
        <row r="402">
          <cell r="D402" t="str">
            <v>M/S S.K. Enterprise (C)</v>
          </cell>
          <cell r="E402" t="str">
            <v>01326</v>
          </cell>
        </row>
        <row r="403">
          <cell r="D403" t="str">
            <v>M/S Bashkhali Enterprise</v>
          </cell>
          <cell r="E403" t="str">
            <v>00424</v>
          </cell>
        </row>
        <row r="404">
          <cell r="D404" t="str">
            <v>M/S Bashkhali Enterprise</v>
          </cell>
          <cell r="E404" t="str">
            <v>00424</v>
          </cell>
        </row>
        <row r="405">
          <cell r="D405" t="str">
            <v>M/S Ekata Motors</v>
          </cell>
          <cell r="E405" t="str">
            <v>00419</v>
          </cell>
        </row>
        <row r="406">
          <cell r="D406" t="str">
            <v>M/S S.K. Enterprise (C)</v>
          </cell>
          <cell r="E406" t="str">
            <v>01326</v>
          </cell>
        </row>
        <row r="407">
          <cell r="D407" t="str">
            <v>M/S Babul Enterprise (C)</v>
          </cell>
          <cell r="E407" t="str">
            <v>01292</v>
          </cell>
        </row>
        <row r="408">
          <cell r="D408" t="str">
            <v>M/S Talukder Motors (C)</v>
          </cell>
          <cell r="E408" t="str">
            <v>01471</v>
          </cell>
        </row>
        <row r="409">
          <cell r="D409" t="str">
            <v>M/S Talukder Motors (C)</v>
          </cell>
          <cell r="E409" t="str">
            <v>01471</v>
          </cell>
        </row>
        <row r="410">
          <cell r="D410" t="str">
            <v>M/S Sifa Motors</v>
          </cell>
          <cell r="E410" t="str">
            <v>01443</v>
          </cell>
        </row>
        <row r="411">
          <cell r="D411" t="str">
            <v>Kalam Enterprise</v>
          </cell>
          <cell r="E411" t="str">
            <v>01341</v>
          </cell>
        </row>
        <row r="412">
          <cell r="D412" t="str">
            <v>M/S Hafiz Battery House</v>
          </cell>
          <cell r="E412" t="str">
            <v>01368</v>
          </cell>
        </row>
        <row r="413">
          <cell r="D413" t="str">
            <v>M/S Hafiz Battery House</v>
          </cell>
          <cell r="E413" t="str">
            <v>01368</v>
          </cell>
        </row>
        <row r="414">
          <cell r="D414" t="str">
            <v>M/S Ira Motors</v>
          </cell>
          <cell r="E414" t="str">
            <v>00133</v>
          </cell>
        </row>
        <row r="415">
          <cell r="D415" t="str">
            <v>M/S Snigdha Battery</v>
          </cell>
          <cell r="E415" t="str">
            <v>00134</v>
          </cell>
        </row>
        <row r="416">
          <cell r="D416" t="str">
            <v>M/S Snigdha Battery</v>
          </cell>
          <cell r="E416" t="str">
            <v>00134</v>
          </cell>
        </row>
        <row r="417">
          <cell r="D417" t="str">
            <v>M/S Snigdha Battery</v>
          </cell>
          <cell r="E417" t="str">
            <v>00134</v>
          </cell>
        </row>
        <row r="418">
          <cell r="D418" t="str">
            <v>M/S Setu Cycle Mart</v>
          </cell>
          <cell r="E418" t="str">
            <v>00471</v>
          </cell>
        </row>
        <row r="419">
          <cell r="D419" t="str">
            <v>M/S Setu Cycle Mart</v>
          </cell>
          <cell r="E419" t="str">
            <v>00471</v>
          </cell>
        </row>
        <row r="420">
          <cell r="D420" t="str">
            <v>M/S Setu Cycle Mart</v>
          </cell>
          <cell r="E420" t="str">
            <v>00471</v>
          </cell>
        </row>
        <row r="421">
          <cell r="D421" t="str">
            <v>M/S Sangu Battery House</v>
          </cell>
          <cell r="E421" t="str">
            <v>00988</v>
          </cell>
        </row>
        <row r="422">
          <cell r="D422" t="str">
            <v>M/S Ripon Tyre and Battery</v>
          </cell>
          <cell r="E422" t="str">
            <v>00002</v>
          </cell>
        </row>
        <row r="423">
          <cell r="D423" t="str">
            <v>M/S Ripon Tyre and Battery</v>
          </cell>
          <cell r="E423" t="str">
            <v>00002</v>
          </cell>
        </row>
        <row r="424">
          <cell r="D424" t="str">
            <v>M/S Ripon Tyre and Battery</v>
          </cell>
          <cell r="E424" t="str">
            <v>00002</v>
          </cell>
        </row>
        <row r="425">
          <cell r="D425" t="str">
            <v>M/S Atik Auto</v>
          </cell>
          <cell r="E425" t="str">
            <v>00562</v>
          </cell>
        </row>
        <row r="426">
          <cell r="D426" t="str">
            <v>M/S Minara Traders</v>
          </cell>
          <cell r="E426" t="str">
            <v>01108</v>
          </cell>
        </row>
        <row r="427">
          <cell r="D427" t="str">
            <v>M/S Minara Traders</v>
          </cell>
          <cell r="E427" t="str">
            <v>01108</v>
          </cell>
        </row>
        <row r="428">
          <cell r="D428" t="str">
            <v>M/S Rifat Enterprise (C)</v>
          </cell>
          <cell r="E428" t="str">
            <v>01531</v>
          </cell>
        </row>
        <row r="429">
          <cell r="D429" t="str">
            <v>M/S Satata Battery House (C)</v>
          </cell>
          <cell r="E429" t="str">
            <v>01517</v>
          </cell>
        </row>
        <row r="430">
          <cell r="D430" t="str">
            <v>M/S Satata Battery House (C)</v>
          </cell>
          <cell r="E430" t="str">
            <v>01517</v>
          </cell>
        </row>
        <row r="431">
          <cell r="D431" t="str">
            <v>M/S Hemayetpur Battery House (C)</v>
          </cell>
          <cell r="E431" t="str">
            <v>01478</v>
          </cell>
        </row>
        <row r="432">
          <cell r="D432" t="str">
            <v>M/S Mahtab Engineering Workshop</v>
          </cell>
          <cell r="E432" t="str">
            <v>01429</v>
          </cell>
        </row>
        <row r="433">
          <cell r="D433" t="str">
            <v>M/S Monir Auto &amp; Battery House</v>
          </cell>
          <cell r="E433" t="str">
            <v>00001</v>
          </cell>
        </row>
        <row r="434">
          <cell r="D434" t="str">
            <v>M/S Monir Auto &amp; Battery House</v>
          </cell>
          <cell r="E434" t="str">
            <v>00001</v>
          </cell>
        </row>
        <row r="435">
          <cell r="D435" t="str">
            <v>M/S S. K. Battery House (C)</v>
          </cell>
          <cell r="E435" t="str">
            <v>01530</v>
          </cell>
        </row>
        <row r="436">
          <cell r="D436" t="str">
            <v>M/S S. K. Battery House (C)</v>
          </cell>
          <cell r="E436" t="str">
            <v>01530</v>
          </cell>
        </row>
        <row r="437">
          <cell r="D437" t="str">
            <v>M/S Khan Battery Recycling (C)</v>
          </cell>
          <cell r="E437" t="str">
            <v>01282</v>
          </cell>
        </row>
        <row r="438">
          <cell r="D438" t="str">
            <v>M/S Minara Traders</v>
          </cell>
          <cell r="E438" t="str">
            <v>01108</v>
          </cell>
        </row>
        <row r="439">
          <cell r="D439" t="str">
            <v>M/S Monir Auto &amp; Battery House</v>
          </cell>
          <cell r="E439" t="str">
            <v>00001</v>
          </cell>
        </row>
        <row r="440">
          <cell r="D440" t="str">
            <v>M/S Ananna Battery &amp; Tyre</v>
          </cell>
          <cell r="E440" t="str">
            <v>01088</v>
          </cell>
        </row>
        <row r="441">
          <cell r="D441" t="str">
            <v>M/S Afifa Traders</v>
          </cell>
          <cell r="E441" t="str">
            <v>01514</v>
          </cell>
        </row>
        <row r="442">
          <cell r="D442" t="str">
            <v>M/S Shopon Battery House (C)</v>
          </cell>
          <cell r="E442" t="str">
            <v>01320</v>
          </cell>
        </row>
        <row r="443">
          <cell r="D443" t="str">
            <v>M/S Molla Battery House (C)</v>
          </cell>
          <cell r="E443" t="str">
            <v>01428</v>
          </cell>
        </row>
        <row r="444">
          <cell r="D444" t="str">
            <v>M/S Bhai Bhai Battery And Motors (C)</v>
          </cell>
          <cell r="E444" t="str">
            <v>01496</v>
          </cell>
        </row>
        <row r="445">
          <cell r="D445" t="str">
            <v>M/S Bhai Bhai Battery And Motors (C)</v>
          </cell>
          <cell r="E445" t="str">
            <v>01496</v>
          </cell>
        </row>
        <row r="446">
          <cell r="D446" t="str">
            <v>M/S Souro Power Electric</v>
          </cell>
          <cell r="E446" t="str">
            <v>01285</v>
          </cell>
        </row>
        <row r="447">
          <cell r="D447" t="str">
            <v>M/S Battery House - Pabna (C)</v>
          </cell>
          <cell r="E447" t="str">
            <v>01315</v>
          </cell>
        </row>
        <row r="448">
          <cell r="D448" t="str">
            <v>M/S Sadiq Enterprise (C)</v>
          </cell>
          <cell r="E448" t="str">
            <v>01484</v>
          </cell>
        </row>
        <row r="449">
          <cell r="D449" t="str">
            <v>M/S Sadiq Enterprise (C)</v>
          </cell>
          <cell r="E449" t="str">
            <v>01484</v>
          </cell>
        </row>
        <row r="450">
          <cell r="D450" t="str">
            <v>M/S Lamia Battery (C)</v>
          </cell>
          <cell r="E450" t="str">
            <v>01345</v>
          </cell>
        </row>
        <row r="451">
          <cell r="D451" t="str">
            <v>M/S Sonali Traders</v>
          </cell>
          <cell r="E451" t="str">
            <v>00558</v>
          </cell>
        </row>
        <row r="452">
          <cell r="D452" t="str">
            <v>M/S Nazrul Battery and Mobil House</v>
          </cell>
          <cell r="E452" t="str">
            <v>00832</v>
          </cell>
        </row>
        <row r="453">
          <cell r="D453" t="str">
            <v>M/S Bogura Auto Center (C)</v>
          </cell>
          <cell r="E453" t="str">
            <v>01468</v>
          </cell>
        </row>
        <row r="454">
          <cell r="D454" t="str">
            <v>M/S M.R. Enterprise- Dinajpur</v>
          </cell>
          <cell r="E454" t="str">
            <v>00601</v>
          </cell>
        </row>
        <row r="455">
          <cell r="D455" t="str">
            <v>M/S Baizid Motors</v>
          </cell>
          <cell r="E455" t="str">
            <v>01365</v>
          </cell>
        </row>
        <row r="456">
          <cell r="D456" t="str">
            <v>M/S Al-Amin Cycle &amp; Auto Parts (C)</v>
          </cell>
          <cell r="E456" t="str">
            <v>01507</v>
          </cell>
        </row>
        <row r="457">
          <cell r="D457" t="str">
            <v>M/S Doyal Battery</v>
          </cell>
          <cell r="E457" t="str">
            <v>00337</v>
          </cell>
        </row>
        <row r="458">
          <cell r="D458" t="str">
            <v>M/S Bondhu Auto and CNG Workshop</v>
          </cell>
          <cell r="E458" t="str">
            <v>01149</v>
          </cell>
        </row>
        <row r="459">
          <cell r="D459" t="str">
            <v>M/S Bondhu Auto and CNG Workshop</v>
          </cell>
          <cell r="E459" t="str">
            <v>01149</v>
          </cell>
        </row>
        <row r="460">
          <cell r="D460" t="str">
            <v>M/S Rubel Auto House</v>
          </cell>
          <cell r="E460" t="str">
            <v>01113</v>
          </cell>
        </row>
        <row r="461">
          <cell r="D461" t="str">
            <v>M/S A.P.L. Auto House</v>
          </cell>
          <cell r="E461" t="str">
            <v>00328</v>
          </cell>
        </row>
        <row r="462">
          <cell r="D462" t="str">
            <v>M/S A.P.L. Auto House</v>
          </cell>
          <cell r="E462" t="str">
            <v>00328</v>
          </cell>
        </row>
        <row r="463">
          <cell r="D463" t="str">
            <v>M/S Ira Motors</v>
          </cell>
          <cell r="E463" t="str">
            <v>00133</v>
          </cell>
        </row>
        <row r="464">
          <cell r="D464" t="str">
            <v>M/S Mayer Doya Auto Parts-Laksam</v>
          </cell>
          <cell r="E464" t="str">
            <v>00325</v>
          </cell>
        </row>
        <row r="465">
          <cell r="D465" t="str">
            <v>M/S Mayer Doya Auto Parts-Laksam</v>
          </cell>
          <cell r="E465" t="str">
            <v>00325</v>
          </cell>
        </row>
        <row r="466">
          <cell r="D466" t="str">
            <v>M/S Lalmai Machineries &amp; Parts</v>
          </cell>
          <cell r="E466" t="str">
            <v>00329</v>
          </cell>
        </row>
        <row r="467">
          <cell r="D467" t="str">
            <v>M/S Sajib Enterprise (C)</v>
          </cell>
          <cell r="E467" t="str">
            <v>01353</v>
          </cell>
        </row>
        <row r="468">
          <cell r="D468" t="str">
            <v>M/S Sajib Enterprise (C)</v>
          </cell>
          <cell r="E468" t="str">
            <v>01353</v>
          </cell>
        </row>
        <row r="469">
          <cell r="D469" t="str">
            <v>M/S Anik Motors &amp; Battery (C)</v>
          </cell>
          <cell r="E469" t="str">
            <v>01444</v>
          </cell>
        </row>
        <row r="470">
          <cell r="D470" t="str">
            <v>M/S Anik Motors &amp; Battery (C)</v>
          </cell>
          <cell r="E470" t="str">
            <v>01444</v>
          </cell>
        </row>
        <row r="471">
          <cell r="D471" t="str">
            <v>M/S Anik Motors &amp; Battery (C)</v>
          </cell>
          <cell r="E471" t="str">
            <v>01444</v>
          </cell>
        </row>
        <row r="472">
          <cell r="D472" t="str">
            <v>M/S Anas Battery &amp; Auto House</v>
          </cell>
          <cell r="E472" t="str">
            <v>01401</v>
          </cell>
        </row>
        <row r="473">
          <cell r="D473" t="str">
            <v>M/S Anas Battery &amp; Auto House</v>
          </cell>
          <cell r="E473" t="str">
            <v>01401</v>
          </cell>
        </row>
        <row r="474">
          <cell r="D474" t="str">
            <v>M/S Khokon IPS &amp; Battery Center (C)</v>
          </cell>
          <cell r="E474" t="str">
            <v>01306</v>
          </cell>
        </row>
        <row r="475">
          <cell r="D475" t="str">
            <v>M/S Babul Enterprise (C)</v>
          </cell>
          <cell r="E475" t="str">
            <v>01292</v>
          </cell>
        </row>
        <row r="476">
          <cell r="D476" t="str">
            <v>M/S Hira Motors-Chokoria</v>
          </cell>
          <cell r="E476" t="str">
            <v>01441</v>
          </cell>
        </row>
        <row r="477">
          <cell r="D477" t="str">
            <v>M/S Bismillah Motors-Hinla</v>
          </cell>
          <cell r="E477" t="str">
            <v>01448</v>
          </cell>
        </row>
        <row r="478">
          <cell r="D478" t="str">
            <v>M/S Hafiz Battery House</v>
          </cell>
          <cell r="E478" t="str">
            <v>01368</v>
          </cell>
        </row>
        <row r="479">
          <cell r="D479" t="str">
            <v>M/S Sifa Motors</v>
          </cell>
          <cell r="E479" t="str">
            <v>01443</v>
          </cell>
        </row>
        <row r="480">
          <cell r="D480" t="str">
            <v>M/S Shah Mojidia Motor Parts</v>
          </cell>
          <cell r="E480" t="str">
            <v>00842</v>
          </cell>
        </row>
        <row r="481">
          <cell r="D481" t="str">
            <v>M/S Saiful Motors</v>
          </cell>
          <cell r="E481" t="str">
            <v>00482</v>
          </cell>
        </row>
        <row r="482">
          <cell r="D482" t="str">
            <v>M/S S.K. Enterprise (C)</v>
          </cell>
          <cell r="E482" t="str">
            <v>01326</v>
          </cell>
        </row>
        <row r="483">
          <cell r="D483" t="str">
            <v>M/S S.K. Enterprise (C)</v>
          </cell>
          <cell r="E483" t="str">
            <v>01326</v>
          </cell>
        </row>
        <row r="484">
          <cell r="D484" t="str">
            <v>M/S S.K. Enterprise (C)</v>
          </cell>
          <cell r="E484" t="str">
            <v>01326</v>
          </cell>
        </row>
        <row r="485">
          <cell r="D485" t="str">
            <v>M/S S.K. Enterprise (C)</v>
          </cell>
          <cell r="E485" t="str">
            <v>01326</v>
          </cell>
        </row>
        <row r="486">
          <cell r="D486" t="str">
            <v>M/S S.K. Enterprise (C)</v>
          </cell>
          <cell r="E486" t="str">
            <v>01326</v>
          </cell>
        </row>
        <row r="487">
          <cell r="D487" t="str">
            <v>M/S Monir Auto &amp; Battery House</v>
          </cell>
          <cell r="E487" t="str">
            <v>00001</v>
          </cell>
        </row>
        <row r="488">
          <cell r="D488" t="str">
            <v>M/S Setu Cycle Mart</v>
          </cell>
          <cell r="E488" t="str">
            <v>00471</v>
          </cell>
        </row>
        <row r="489">
          <cell r="D489" t="str">
            <v>M/S Setu Cycle Mart</v>
          </cell>
          <cell r="E489" t="str">
            <v>00471</v>
          </cell>
        </row>
        <row r="490">
          <cell r="D490" t="str">
            <v>M/S Setu Cycle Mart</v>
          </cell>
          <cell r="E490" t="str">
            <v>00471</v>
          </cell>
        </row>
        <row r="491">
          <cell r="D491" t="str">
            <v>M/S Setu Cycle Mart</v>
          </cell>
          <cell r="E491" t="str">
            <v>00471</v>
          </cell>
        </row>
        <row r="492">
          <cell r="D492" t="str">
            <v>M/S Setu Cycle Mart</v>
          </cell>
          <cell r="E492" t="str">
            <v>00471</v>
          </cell>
        </row>
        <row r="493">
          <cell r="D493" t="str">
            <v>M/S Rafi Battery House</v>
          </cell>
          <cell r="E493" t="str">
            <v>00410</v>
          </cell>
        </row>
        <row r="494">
          <cell r="D494" t="str">
            <v>M/S Atik Auto</v>
          </cell>
          <cell r="E494" t="str">
            <v>00562</v>
          </cell>
        </row>
        <row r="495">
          <cell r="D495" t="str">
            <v>M/S Atik Auto</v>
          </cell>
          <cell r="E495" t="str">
            <v>00562</v>
          </cell>
        </row>
        <row r="496">
          <cell r="D496" t="str">
            <v>M/S Atik Auto</v>
          </cell>
          <cell r="E496" t="str">
            <v>00562</v>
          </cell>
        </row>
        <row r="497">
          <cell r="D497" t="str">
            <v>M/S Anamika Auto Rickshow</v>
          </cell>
          <cell r="E497" t="str">
            <v>00496</v>
          </cell>
        </row>
        <row r="498">
          <cell r="D498" t="str">
            <v>M/S Musulli Enterprise</v>
          </cell>
          <cell r="E498" t="str">
            <v>00091</v>
          </cell>
        </row>
        <row r="499">
          <cell r="D499" t="str">
            <v>M/S Arafat Enterprise</v>
          </cell>
          <cell r="E499" t="str">
            <v>00094</v>
          </cell>
        </row>
        <row r="500">
          <cell r="D500" t="str">
            <v>M/S S.B. Energy</v>
          </cell>
          <cell r="E500" t="str">
            <v>00087</v>
          </cell>
        </row>
        <row r="501">
          <cell r="D501" t="str">
            <v>M/S S.B. Energy (C)</v>
          </cell>
          <cell r="E501" t="str">
            <v>01288</v>
          </cell>
        </row>
        <row r="502">
          <cell r="D502" t="str">
            <v>M/S S.B. Energy (C)</v>
          </cell>
          <cell r="E502" t="str">
            <v>01288</v>
          </cell>
        </row>
        <row r="503">
          <cell r="D503" t="str">
            <v>M/S Mahtab Engineering Workshop</v>
          </cell>
          <cell r="E503" t="str">
            <v>01429</v>
          </cell>
        </row>
        <row r="504">
          <cell r="D504" t="str">
            <v>M/S Gazipur Battery House</v>
          </cell>
          <cell r="E504" t="str">
            <v>00826</v>
          </cell>
        </row>
        <row r="505">
          <cell r="D505" t="str">
            <v>M/S Uzzal Battery &amp; Auto Electric</v>
          </cell>
          <cell r="E505" t="str">
            <v>01469</v>
          </cell>
        </row>
        <row r="506">
          <cell r="D506" t="str">
            <v>M/S Modina Cycle Store (C)</v>
          </cell>
          <cell r="E506" t="str">
            <v>01519</v>
          </cell>
        </row>
        <row r="507">
          <cell r="D507" t="str">
            <v>M/S L D Poribahan &amp; Trading (C)</v>
          </cell>
          <cell r="E507" t="str">
            <v>01299</v>
          </cell>
        </row>
        <row r="508">
          <cell r="D508" t="str">
            <v>M/S L D Poribahan &amp; Trading (C)</v>
          </cell>
          <cell r="E508" t="str">
            <v>01299</v>
          </cell>
        </row>
        <row r="509">
          <cell r="D509" t="str">
            <v>M/S L D Poribahan &amp; Trading (C)</v>
          </cell>
          <cell r="E509" t="str">
            <v>01299</v>
          </cell>
        </row>
        <row r="510">
          <cell r="D510" t="str">
            <v>M/S Farhan Auto (C)</v>
          </cell>
          <cell r="E510" t="str">
            <v>01298</v>
          </cell>
        </row>
        <row r="511">
          <cell r="D511" t="str">
            <v>M/S Comilla Traders</v>
          </cell>
          <cell r="E511" t="str">
            <v>00334</v>
          </cell>
        </row>
        <row r="512">
          <cell r="D512" t="str">
            <v>M/S Sawda Auto and Battery</v>
          </cell>
          <cell r="E512" t="str">
            <v>01261</v>
          </cell>
        </row>
        <row r="513">
          <cell r="D513" t="str">
            <v>M/S Shah Mojidia Motor Parts</v>
          </cell>
          <cell r="E513" t="str">
            <v>00842</v>
          </cell>
        </row>
        <row r="514">
          <cell r="D514" t="str">
            <v>M/S Saiful Motors</v>
          </cell>
          <cell r="E514" t="str">
            <v>00482</v>
          </cell>
        </row>
        <row r="515">
          <cell r="D515" t="str">
            <v>M/S Farhan Auto (C)</v>
          </cell>
          <cell r="E515" t="str">
            <v>01298</v>
          </cell>
        </row>
        <row r="516">
          <cell r="D516" t="str">
            <v>M/S Farhan Auto (C)</v>
          </cell>
          <cell r="E516" t="str">
            <v>01298</v>
          </cell>
        </row>
        <row r="517">
          <cell r="D517" t="str">
            <v>M/S Farhan Auto (C)</v>
          </cell>
          <cell r="E517" t="str">
            <v>01298</v>
          </cell>
        </row>
        <row r="518">
          <cell r="D518" t="str">
            <v>M/S Tanvir Battery House</v>
          </cell>
          <cell r="E518" t="str">
            <v>01175</v>
          </cell>
        </row>
        <row r="519">
          <cell r="D519" t="str">
            <v>M/S Khokon IPS &amp; Battery Center</v>
          </cell>
          <cell r="E519" t="str">
            <v>00330</v>
          </cell>
        </row>
        <row r="520">
          <cell r="D520" t="str">
            <v>M/S Khokon IPS &amp; Battery Center</v>
          </cell>
          <cell r="E520" t="str">
            <v>00330</v>
          </cell>
        </row>
        <row r="521">
          <cell r="D521" t="str">
            <v>M/S Khokon IPS &amp; Battery Center (C)</v>
          </cell>
          <cell r="E521" t="str">
            <v>01306</v>
          </cell>
        </row>
        <row r="522">
          <cell r="D522" t="str">
            <v>M/S Al - Barakah Battery &amp; Auto Parts</v>
          </cell>
          <cell r="E522" t="str">
            <v>01476</v>
          </cell>
        </row>
        <row r="523">
          <cell r="D523" t="str">
            <v>M/S Adib Alifa Auto &amp; Battery House</v>
          </cell>
          <cell r="E523" t="str">
            <v>01465</v>
          </cell>
        </row>
        <row r="524">
          <cell r="D524" t="str">
            <v>M/S Takia Battery House (C)</v>
          </cell>
          <cell r="E524" t="str">
            <v>01527</v>
          </cell>
        </row>
        <row r="525">
          <cell r="D525" t="str">
            <v>M/S Shopon Battery House (C)</v>
          </cell>
          <cell r="E525" t="str">
            <v>01320</v>
          </cell>
        </row>
        <row r="526">
          <cell r="D526" t="str">
            <v>M/S Molla Battery House (C)</v>
          </cell>
          <cell r="E526" t="str">
            <v>01428</v>
          </cell>
        </row>
        <row r="527">
          <cell r="D527" t="str">
            <v>M/S Molla Battery House (C)</v>
          </cell>
          <cell r="E527" t="str">
            <v>01428</v>
          </cell>
        </row>
        <row r="528">
          <cell r="D528" t="str">
            <v>M/S Battery House - Pabna (C)</v>
          </cell>
          <cell r="E528" t="str">
            <v>01315</v>
          </cell>
        </row>
        <row r="529">
          <cell r="D529" t="str">
            <v>M/S Sadiq Enterprise</v>
          </cell>
          <cell r="E529" t="str">
            <v>01067</v>
          </cell>
        </row>
        <row r="530">
          <cell r="D530" t="str">
            <v>M/S Sarkar Motors and Battery (C)</v>
          </cell>
          <cell r="E530" t="str">
            <v>01502</v>
          </cell>
        </row>
        <row r="531">
          <cell r="D531" t="str">
            <v>M/S Bogura Auto Center (C)</v>
          </cell>
          <cell r="E531" t="str">
            <v>01468</v>
          </cell>
        </row>
        <row r="532">
          <cell r="D532" t="str">
            <v>M/S Samir Battery And Tyre</v>
          </cell>
          <cell r="E532" t="str">
            <v>01450</v>
          </cell>
        </row>
        <row r="533">
          <cell r="D533" t="str">
            <v>M/S Bondhu Auto and CNG Workshop</v>
          </cell>
          <cell r="E533" t="str">
            <v>01149</v>
          </cell>
        </row>
        <row r="534">
          <cell r="D534" t="str">
            <v>M/S Bondhu Auto and CNG Workshop</v>
          </cell>
          <cell r="E534" t="str">
            <v>01149</v>
          </cell>
        </row>
        <row r="535">
          <cell r="D535" t="str">
            <v>M/S Ekata Motors</v>
          </cell>
          <cell r="E535" t="str">
            <v>00419</v>
          </cell>
        </row>
        <row r="536">
          <cell r="D536" t="str">
            <v>M/S Snigdha Battery</v>
          </cell>
          <cell r="E536" t="str">
            <v>00134</v>
          </cell>
        </row>
        <row r="537">
          <cell r="D537" t="str">
            <v>M/S Shahjalal Traders</v>
          </cell>
          <cell r="E537" t="str">
            <v>01362</v>
          </cell>
        </row>
        <row r="538">
          <cell r="D538" t="str">
            <v>M/S Bashkhali Enterprise</v>
          </cell>
          <cell r="E538" t="str">
            <v>00424</v>
          </cell>
        </row>
        <row r="539">
          <cell r="D539" t="str">
            <v>M/S Bashkhali Enterprise</v>
          </cell>
          <cell r="E539" t="str">
            <v>00424</v>
          </cell>
        </row>
        <row r="540">
          <cell r="D540" t="str">
            <v>M/S Bashkhali Enterprise</v>
          </cell>
          <cell r="E540" t="str">
            <v>00424</v>
          </cell>
        </row>
        <row r="541">
          <cell r="D541" t="str">
            <v>M/S Kalam Auto Motor Parts And Battery House</v>
          </cell>
          <cell r="E541" t="str">
            <v>00420</v>
          </cell>
        </row>
        <row r="542">
          <cell r="D542" t="str">
            <v>M/S S.K. Enterprise (C)</v>
          </cell>
          <cell r="E542" t="str">
            <v>01326</v>
          </cell>
        </row>
        <row r="543">
          <cell r="D543" t="str">
            <v>M/S Banskhali Enterprise-Joldi (C)</v>
          </cell>
          <cell r="E543" t="str">
            <v>01312</v>
          </cell>
        </row>
        <row r="544">
          <cell r="D544" t="str">
            <v>M/S Ira Motors</v>
          </cell>
          <cell r="E544" t="str">
            <v>00133</v>
          </cell>
        </row>
        <row r="545">
          <cell r="D545" t="str">
            <v>M/S Ira Motors</v>
          </cell>
          <cell r="E545" t="str">
            <v>00133</v>
          </cell>
        </row>
        <row r="546">
          <cell r="D546" t="str">
            <v>M/S Ira Motors</v>
          </cell>
          <cell r="E546" t="str">
            <v>00133</v>
          </cell>
        </row>
        <row r="547">
          <cell r="D547" t="str">
            <v>M/S Ira Motors</v>
          </cell>
          <cell r="E547" t="str">
            <v>00133</v>
          </cell>
        </row>
        <row r="548">
          <cell r="D548" t="str">
            <v>M/S Babul Enterprise (C)</v>
          </cell>
          <cell r="E548" t="str">
            <v>01292</v>
          </cell>
        </row>
        <row r="549">
          <cell r="D549" t="str">
            <v>M/S Sajib Enterprise (C)</v>
          </cell>
          <cell r="E549" t="str">
            <v>01353</v>
          </cell>
        </row>
        <row r="550">
          <cell r="D550" t="str">
            <v>M/S Sajib Enterprise (C)</v>
          </cell>
          <cell r="E550" t="str">
            <v>01353</v>
          </cell>
        </row>
        <row r="551">
          <cell r="D551" t="str">
            <v>M/S Anas Battery &amp; Auto House</v>
          </cell>
          <cell r="E551" t="str">
            <v>01401</v>
          </cell>
        </row>
        <row r="552">
          <cell r="D552" t="str">
            <v>M/S Anik Motors &amp; Battery (C)</v>
          </cell>
          <cell r="E552" t="str">
            <v>01444</v>
          </cell>
        </row>
        <row r="553">
          <cell r="D553" t="str">
            <v>M/S S.S. Enterprise-Norshingdi (C)</v>
          </cell>
          <cell r="E553" t="str">
            <v>01331</v>
          </cell>
        </row>
        <row r="554">
          <cell r="D554" t="str">
            <v>M/S S.S. Enterprise-Norshingdi (C)</v>
          </cell>
          <cell r="E554" t="str">
            <v>01331</v>
          </cell>
        </row>
        <row r="555">
          <cell r="D555" t="str">
            <v>M/S Bismillah Motors-Hinla</v>
          </cell>
          <cell r="E555" t="str">
            <v>01448</v>
          </cell>
        </row>
        <row r="556">
          <cell r="D556" t="str">
            <v>M/S Bismillah Motors-Hinla</v>
          </cell>
          <cell r="E556" t="str">
            <v>01448</v>
          </cell>
        </row>
        <row r="557">
          <cell r="D557" t="str">
            <v>M/S Bismillah Motors-Hinla</v>
          </cell>
          <cell r="E557" t="str">
            <v>01448</v>
          </cell>
        </row>
        <row r="558">
          <cell r="D558" t="str">
            <v>M/S Sohan Motors</v>
          </cell>
          <cell r="E558" t="str">
            <v>01385</v>
          </cell>
        </row>
        <row r="559">
          <cell r="D559" t="str">
            <v>M/S Hira Motors-Chokoria</v>
          </cell>
          <cell r="E559" t="str">
            <v>01441</v>
          </cell>
        </row>
        <row r="560">
          <cell r="D560" t="str">
            <v>M/S Shah Mojidia Motor Parts</v>
          </cell>
          <cell r="E560" t="str">
            <v>00842</v>
          </cell>
        </row>
        <row r="561">
          <cell r="D561" t="str">
            <v>M/S Samir Battery And Tyre</v>
          </cell>
          <cell r="E561" t="str">
            <v>01450</v>
          </cell>
        </row>
        <row r="562">
          <cell r="D562" t="str">
            <v>M/S Samir Battery And Tyre</v>
          </cell>
          <cell r="E562" t="str">
            <v>01450</v>
          </cell>
        </row>
        <row r="563">
          <cell r="D563" t="str">
            <v>M/S Ripon Tyre and Battery</v>
          </cell>
          <cell r="E563" t="str">
            <v>00002</v>
          </cell>
        </row>
        <row r="564">
          <cell r="D564" t="str">
            <v>M/S Snigdha Battery</v>
          </cell>
          <cell r="E564" t="str">
            <v>00134</v>
          </cell>
        </row>
        <row r="565">
          <cell r="D565" t="str">
            <v>M/S Bondhu Auto and CNG Workshop</v>
          </cell>
          <cell r="E565" t="str">
            <v>01149</v>
          </cell>
        </row>
        <row r="566">
          <cell r="D566" t="str">
            <v>M/S Bondhu Auto and CNG Workshop</v>
          </cell>
          <cell r="E566" t="str">
            <v>01149</v>
          </cell>
        </row>
        <row r="567">
          <cell r="D567" t="str">
            <v>M/S Bondhu Auto and CNG Workshop</v>
          </cell>
          <cell r="E567" t="str">
            <v>01149</v>
          </cell>
        </row>
        <row r="568">
          <cell r="D568" t="str">
            <v>M/S Fateha Battery</v>
          </cell>
          <cell r="E568" t="str">
            <v>00388</v>
          </cell>
        </row>
        <row r="569">
          <cell r="D569" t="str">
            <v>M/S Fateha Battery</v>
          </cell>
          <cell r="E569" t="str">
            <v>00388</v>
          </cell>
        </row>
        <row r="570">
          <cell r="D570" t="str">
            <v>M/S S.M. Enterprise- Sunamgonj</v>
          </cell>
          <cell r="E570" t="str">
            <v>00390</v>
          </cell>
        </row>
        <row r="571">
          <cell r="D571" t="str">
            <v>M/S Khan Battery Recycling (C)</v>
          </cell>
          <cell r="E571" t="str">
            <v>01282</v>
          </cell>
        </row>
        <row r="572">
          <cell r="D572" t="str">
            <v>M/S Shepon Motors (C)</v>
          </cell>
          <cell r="E572" t="str">
            <v>01438</v>
          </cell>
        </row>
        <row r="573">
          <cell r="D573" t="str">
            <v>M/S Anik Motors &amp; Battery (C)</v>
          </cell>
          <cell r="E573" t="str">
            <v>01444</v>
          </cell>
        </row>
        <row r="574">
          <cell r="D574" t="str">
            <v>M/S S.S. Enterprise-Norshingdi</v>
          </cell>
          <cell r="E574" t="str">
            <v>01118</v>
          </cell>
        </row>
        <row r="575">
          <cell r="D575" t="str">
            <v>M/S Afifa Traders</v>
          </cell>
          <cell r="E575" t="str">
            <v>01514</v>
          </cell>
        </row>
        <row r="576">
          <cell r="D576" t="str">
            <v>M/S Ma Tyre &amp; Battery  Shop</v>
          </cell>
          <cell r="E576" t="str">
            <v>00088</v>
          </cell>
        </row>
        <row r="577">
          <cell r="D577" t="str">
            <v>M/S Ma Tyre &amp; Battery  Shop</v>
          </cell>
          <cell r="E577" t="str">
            <v>00088</v>
          </cell>
        </row>
        <row r="578">
          <cell r="D578" t="str">
            <v>M/S Arafat Enterprise</v>
          </cell>
          <cell r="E578" t="str">
            <v>00094</v>
          </cell>
        </row>
        <row r="579">
          <cell r="D579" t="str">
            <v>M/S Sharif Battery House &amp; IPS Center (C)</v>
          </cell>
          <cell r="E579" t="str">
            <v>01491</v>
          </cell>
        </row>
        <row r="580">
          <cell r="D580" t="str">
            <v>M/S Modina Cycle Store (C)</v>
          </cell>
          <cell r="E580" t="str">
            <v>01519</v>
          </cell>
        </row>
        <row r="581">
          <cell r="D581" t="str">
            <v>M/S Modina Cycle Store (C)</v>
          </cell>
          <cell r="E581" t="str">
            <v>01519</v>
          </cell>
        </row>
        <row r="582">
          <cell r="D582" t="str">
            <v>M/S Anas Enterprise</v>
          </cell>
          <cell r="E582" t="str">
            <v>00817</v>
          </cell>
        </row>
        <row r="583">
          <cell r="D583" t="str">
            <v>M/S Hemayetpur Battery House (C)</v>
          </cell>
          <cell r="E583" t="str">
            <v>01478</v>
          </cell>
        </row>
        <row r="584">
          <cell r="D584" t="str">
            <v>M/S Monir Auto &amp; Battery House</v>
          </cell>
          <cell r="E584" t="str">
            <v>00001</v>
          </cell>
        </row>
        <row r="585">
          <cell r="D585" t="str">
            <v>M/S Sawda Auto and Battery</v>
          </cell>
          <cell r="E585" t="str">
            <v>01261</v>
          </cell>
        </row>
        <row r="586">
          <cell r="D586" t="str">
            <v>M/S Bashkhali Enterprise</v>
          </cell>
          <cell r="E586" t="str">
            <v>00424</v>
          </cell>
        </row>
        <row r="587">
          <cell r="D587" t="str">
            <v>M/S S.K. Enterprise (C)</v>
          </cell>
          <cell r="E587" t="str">
            <v>01326</v>
          </cell>
        </row>
        <row r="588">
          <cell r="D588" t="str">
            <v>M/S S.K. Enterprise (C)</v>
          </cell>
          <cell r="E588" t="str">
            <v>01326</v>
          </cell>
        </row>
        <row r="589">
          <cell r="D589" t="str">
            <v>M/S S.K. Enterprise (C)</v>
          </cell>
          <cell r="E589" t="str">
            <v>01326</v>
          </cell>
        </row>
        <row r="590">
          <cell r="D590" t="str">
            <v>M/S Banskhali Enterprise-Joldi (C)</v>
          </cell>
          <cell r="E590" t="str">
            <v>01312</v>
          </cell>
        </row>
        <row r="591">
          <cell r="D591" t="str">
            <v>M/S Shah Mojidia Motor Parts</v>
          </cell>
          <cell r="E591" t="str">
            <v>00842</v>
          </cell>
        </row>
        <row r="592">
          <cell r="D592" t="str">
            <v>M/S Sohan Motors</v>
          </cell>
          <cell r="E592" t="str">
            <v>01385</v>
          </cell>
        </row>
        <row r="593">
          <cell r="D593" t="str">
            <v>M/S Ira Motors</v>
          </cell>
          <cell r="E593" t="str">
            <v>00133</v>
          </cell>
        </row>
        <row r="594">
          <cell r="D594" t="str">
            <v>M/S Ira Motors</v>
          </cell>
          <cell r="E594" t="str">
            <v>00133</v>
          </cell>
        </row>
        <row r="595">
          <cell r="D595" t="str">
            <v>M/S Ira Motors</v>
          </cell>
          <cell r="E595" t="str">
            <v>00133</v>
          </cell>
        </row>
        <row r="596">
          <cell r="D596" t="str">
            <v>M/S Babul Enterprise (C)</v>
          </cell>
          <cell r="E596" t="str">
            <v>01292</v>
          </cell>
        </row>
        <row r="597">
          <cell r="D597" t="str">
            <v>M/S Anas Battery &amp; Auto House</v>
          </cell>
          <cell r="E597" t="str">
            <v>01401</v>
          </cell>
        </row>
        <row r="598">
          <cell r="D598" t="str">
            <v>M/S Comilla Traders</v>
          </cell>
          <cell r="E598" t="str">
            <v>00334</v>
          </cell>
        </row>
        <row r="599">
          <cell r="D599" t="str">
            <v>M/S Shahjalal Traders</v>
          </cell>
          <cell r="E599" t="str">
            <v>01362</v>
          </cell>
        </row>
        <row r="600">
          <cell r="D600" t="str">
            <v>M/S Bismillah Battery House -Sylhet</v>
          </cell>
          <cell r="E600" t="str">
            <v>00389</v>
          </cell>
        </row>
        <row r="601">
          <cell r="D601" t="str">
            <v>M/S Bhai Bhai Battery And Motors (C)</v>
          </cell>
          <cell r="E601" t="str">
            <v>01496</v>
          </cell>
        </row>
        <row r="602">
          <cell r="D602" t="str">
            <v>M/S Ariyan Electronics</v>
          </cell>
          <cell r="E602" t="str">
            <v>01386</v>
          </cell>
        </row>
        <row r="603">
          <cell r="D603" t="str">
            <v>M/S Awlad Electronics</v>
          </cell>
          <cell r="E603" t="str">
            <v>01284</v>
          </cell>
        </row>
        <row r="604">
          <cell r="D604" t="str">
            <v>M/S M.R. Enterprise- Dinajpur</v>
          </cell>
          <cell r="E604" t="str">
            <v>00601</v>
          </cell>
        </row>
        <row r="605">
          <cell r="D605" t="str">
            <v>M/S M.R. Enterprise- Dinajpur</v>
          </cell>
          <cell r="E605" t="str">
            <v>00601</v>
          </cell>
        </row>
        <row r="606">
          <cell r="D606" t="str">
            <v>M/S M.R. Enterprise- Dinajpur (C)</v>
          </cell>
          <cell r="E606" t="str">
            <v>01520</v>
          </cell>
        </row>
        <row r="607">
          <cell r="D607" t="str">
            <v>M/S Baizid Motors</v>
          </cell>
          <cell r="E607" t="str">
            <v>01365</v>
          </cell>
        </row>
        <row r="608">
          <cell r="D608" t="str">
            <v>M/S Chapai Auto Battery House</v>
          </cell>
          <cell r="E608" t="str">
            <v>01487</v>
          </cell>
        </row>
        <row r="609">
          <cell r="D609" t="str">
            <v>M/S Salman Battery House</v>
          </cell>
          <cell r="E609" t="str">
            <v>01121</v>
          </cell>
        </row>
        <row r="610">
          <cell r="D610" t="str">
            <v>M/S Snigdha Battery</v>
          </cell>
          <cell r="E610" t="str">
            <v>00134</v>
          </cell>
        </row>
        <row r="611">
          <cell r="D611" t="str">
            <v>M/S Snigdha Battery</v>
          </cell>
          <cell r="E611" t="str">
            <v>00134</v>
          </cell>
        </row>
        <row r="612">
          <cell r="D612" t="str">
            <v>M/S Setu Cycle Mart</v>
          </cell>
          <cell r="E612" t="str">
            <v>00471</v>
          </cell>
        </row>
        <row r="613">
          <cell r="D613" t="str">
            <v>M/S Setu Cycle Mart</v>
          </cell>
          <cell r="E613" t="str">
            <v>00471</v>
          </cell>
        </row>
        <row r="614">
          <cell r="D614" t="str">
            <v>M/S Setu Cycle Mart</v>
          </cell>
          <cell r="E614" t="str">
            <v>00471</v>
          </cell>
        </row>
        <row r="615">
          <cell r="D615" t="str">
            <v>M/S Comilla Traders</v>
          </cell>
          <cell r="E615" t="str">
            <v>00334</v>
          </cell>
        </row>
        <row r="616">
          <cell r="D616" t="str">
            <v>M/S Al - Rafi Traders</v>
          </cell>
          <cell r="E616" t="str">
            <v>00816</v>
          </cell>
        </row>
        <row r="617">
          <cell r="D617" t="str">
            <v>M/S Rafi Battery House</v>
          </cell>
          <cell r="E617" t="str">
            <v>00410</v>
          </cell>
        </row>
        <row r="618">
          <cell r="D618" t="str">
            <v>M/S Rafi Battery House</v>
          </cell>
          <cell r="E618" t="str">
            <v>00410</v>
          </cell>
        </row>
        <row r="619">
          <cell r="D619" t="str">
            <v>M/S Battery House - Pabna</v>
          </cell>
          <cell r="E619" t="str">
            <v>00534</v>
          </cell>
        </row>
        <row r="620">
          <cell r="D620" t="str">
            <v>M/S M.R. Enterprise- Dinajpur</v>
          </cell>
          <cell r="E620" t="str">
            <v>00601</v>
          </cell>
        </row>
        <row r="621">
          <cell r="D621" t="str">
            <v>M/S Rakin Auto Parts</v>
          </cell>
          <cell r="E621" t="str">
            <v>00561</v>
          </cell>
        </row>
        <row r="622">
          <cell r="D622" t="str">
            <v>M/S Rakin Auto Parts</v>
          </cell>
          <cell r="E622" t="str">
            <v>00561</v>
          </cell>
        </row>
        <row r="623">
          <cell r="D623" t="str">
            <v>M/S Rakin Auto Parts</v>
          </cell>
          <cell r="E623" t="str">
            <v>00561</v>
          </cell>
        </row>
        <row r="624">
          <cell r="D624" t="str">
            <v>M/S Satata Battery House (C)</v>
          </cell>
          <cell r="E624" t="str">
            <v>01517</v>
          </cell>
        </row>
        <row r="625">
          <cell r="D625" t="str">
            <v>M/S Ma Tyre &amp; Battery  Shop</v>
          </cell>
          <cell r="E625" t="str">
            <v>00088</v>
          </cell>
        </row>
        <row r="626">
          <cell r="D626" t="str">
            <v>M/S Arafat Enterprise</v>
          </cell>
          <cell r="E626" t="str">
            <v>00094</v>
          </cell>
        </row>
        <row r="627">
          <cell r="D627" t="str">
            <v>M/S Ananna Battery &amp; Tyre</v>
          </cell>
          <cell r="E627" t="str">
            <v>01088</v>
          </cell>
        </row>
        <row r="628">
          <cell r="D628" t="str">
            <v>M/S Anas Enterprise</v>
          </cell>
          <cell r="E628" t="str">
            <v>00817</v>
          </cell>
        </row>
        <row r="629">
          <cell r="D629" t="str">
            <v>M/S Mayer Doya Auto Parts-Laksam</v>
          </cell>
          <cell r="E629" t="str">
            <v>00325</v>
          </cell>
        </row>
        <row r="630">
          <cell r="D630" t="str">
            <v>M/S Sajib Enterprise (C)</v>
          </cell>
          <cell r="E630" t="str">
            <v>01353</v>
          </cell>
        </row>
        <row r="631">
          <cell r="D631" t="str">
            <v>M/S Sajib Enterprise (C)</v>
          </cell>
          <cell r="E631" t="str">
            <v>01353</v>
          </cell>
        </row>
        <row r="632">
          <cell r="D632" t="str">
            <v>M/S Sajib Enterprise (C)</v>
          </cell>
          <cell r="E632" t="str">
            <v>01353</v>
          </cell>
        </row>
        <row r="633">
          <cell r="D633" t="str">
            <v>M/S S.S. Enterprise-Norshingdi (C)</v>
          </cell>
          <cell r="E633" t="str">
            <v>01331</v>
          </cell>
        </row>
        <row r="634">
          <cell r="D634" t="str">
            <v>M/S Payar Auto Electric Works</v>
          </cell>
          <cell r="E634" t="str">
            <v>00371</v>
          </cell>
        </row>
        <row r="635">
          <cell r="D635" t="str">
            <v>M/S Rajapur IPS &amp; Battery House</v>
          </cell>
          <cell r="E635" t="str">
            <v>01400</v>
          </cell>
        </row>
        <row r="636">
          <cell r="D636" t="str">
            <v>M/S City Auto</v>
          </cell>
          <cell r="E636" t="str">
            <v>00398</v>
          </cell>
        </row>
        <row r="637">
          <cell r="D637" t="str">
            <v>M/S L D Poribahan &amp; Trading (C)</v>
          </cell>
          <cell r="E637" t="str">
            <v>01299</v>
          </cell>
        </row>
        <row r="638">
          <cell r="D638" t="str">
            <v>M/S L D Poribahan &amp; Trading (C)</v>
          </cell>
          <cell r="E638" t="str">
            <v>01299</v>
          </cell>
        </row>
        <row r="639">
          <cell r="D639" t="str">
            <v>M/S L D Poribahan &amp; Trading (C)</v>
          </cell>
          <cell r="E639" t="str">
            <v>01299</v>
          </cell>
        </row>
        <row r="640">
          <cell r="D640" t="str">
            <v>M/S Farhan Auto (C)</v>
          </cell>
          <cell r="E640" t="str">
            <v>01298</v>
          </cell>
        </row>
        <row r="641">
          <cell r="D641" t="str">
            <v>M/S Manir Battery Charging Station (C)</v>
          </cell>
          <cell r="E641" t="str">
            <v>01324</v>
          </cell>
        </row>
        <row r="642">
          <cell r="D642" t="str">
            <v>M/S Manir Battery Charging Station (C)</v>
          </cell>
          <cell r="E642" t="str">
            <v>01324</v>
          </cell>
        </row>
        <row r="643">
          <cell r="D643" t="str">
            <v>M/S Bhai Bhai Battery And Motors</v>
          </cell>
          <cell r="E643" t="str">
            <v>01453</v>
          </cell>
        </row>
        <row r="644">
          <cell r="D644" t="str">
            <v>M/S Bhai Bhai Battery And Motors (C)</v>
          </cell>
          <cell r="E644" t="str">
            <v>01496</v>
          </cell>
        </row>
        <row r="645">
          <cell r="D645" t="str">
            <v>M/S Kalam Store</v>
          </cell>
          <cell r="E645" t="str">
            <v>01436</v>
          </cell>
        </row>
        <row r="646">
          <cell r="D646" t="str">
            <v>M/S Kalam Store</v>
          </cell>
          <cell r="E646" t="str">
            <v>01436</v>
          </cell>
        </row>
        <row r="647">
          <cell r="D647" t="str">
            <v>M/S Shopon Battery House (C)</v>
          </cell>
          <cell r="E647" t="str">
            <v>01320</v>
          </cell>
        </row>
        <row r="648">
          <cell r="D648" t="str">
            <v>M/S Molla Battery House (C)</v>
          </cell>
          <cell r="E648" t="str">
            <v>01428</v>
          </cell>
        </row>
        <row r="649">
          <cell r="D649" t="str">
            <v>M/S Molla Battery House (C)</v>
          </cell>
          <cell r="E649" t="str">
            <v>01428</v>
          </cell>
        </row>
        <row r="650">
          <cell r="D650" t="str">
            <v>M/S Awlad Electronics</v>
          </cell>
          <cell r="E650" t="str">
            <v>01284</v>
          </cell>
        </row>
        <row r="651">
          <cell r="D651" t="str">
            <v>M/S Awlad Electronics</v>
          </cell>
          <cell r="E651" t="str">
            <v>01284</v>
          </cell>
        </row>
        <row r="652">
          <cell r="D652" t="str">
            <v>M/S Awlad Electronics</v>
          </cell>
          <cell r="E652" t="str">
            <v>01284</v>
          </cell>
        </row>
        <row r="653">
          <cell r="D653" t="str">
            <v>M/S Sadiq Enterprise (C)</v>
          </cell>
          <cell r="E653" t="str">
            <v>01484</v>
          </cell>
        </row>
        <row r="654">
          <cell r="D654" t="str">
            <v>M/S Sadiq Enterprise (C)</v>
          </cell>
          <cell r="E654" t="str">
            <v>01484</v>
          </cell>
        </row>
        <row r="655">
          <cell r="D655" t="str">
            <v>M/S Battery House - Pabna (C)</v>
          </cell>
          <cell r="E655" t="str">
            <v>01315</v>
          </cell>
        </row>
        <row r="656">
          <cell r="D656" t="str">
            <v>M/S Sangu Battery House</v>
          </cell>
          <cell r="E656" t="str">
            <v>00988</v>
          </cell>
        </row>
        <row r="657">
          <cell r="D657" t="str">
            <v>M/S Lalmai Machineries &amp; Parts</v>
          </cell>
          <cell r="E657" t="str">
            <v>00329</v>
          </cell>
        </row>
        <row r="658">
          <cell r="D658" t="str">
            <v>M/S Payar Auto Electric Works</v>
          </cell>
          <cell r="E658" t="str">
            <v>00371</v>
          </cell>
        </row>
        <row r="659">
          <cell r="D659" t="str">
            <v>M/S Payar Auto Electric Works</v>
          </cell>
          <cell r="E659" t="str">
            <v>00371</v>
          </cell>
        </row>
        <row r="660">
          <cell r="D660" t="str">
            <v>M/S Sajib Enterprise (C)</v>
          </cell>
          <cell r="E660" t="str">
            <v>01353</v>
          </cell>
        </row>
        <row r="661">
          <cell r="D661" t="str">
            <v>M/S Sajib Enterprise (C)</v>
          </cell>
          <cell r="E661" t="str">
            <v>01353</v>
          </cell>
        </row>
        <row r="662">
          <cell r="D662" t="str">
            <v>M/S Khokon IPS &amp; Battery Center (C)</v>
          </cell>
          <cell r="E662" t="str">
            <v>01306</v>
          </cell>
        </row>
        <row r="663">
          <cell r="D663" t="str">
            <v>M/S Khokon IPS &amp; Battery Center (C)</v>
          </cell>
          <cell r="E663" t="str">
            <v>01306</v>
          </cell>
        </row>
        <row r="664">
          <cell r="D664" t="str">
            <v>M/S Mayer Doya Auto Parts-Laksam</v>
          </cell>
          <cell r="E664" t="str">
            <v>00325</v>
          </cell>
        </row>
        <row r="665">
          <cell r="D665" t="str">
            <v>M/S Mayer Doya Auto Parts-Laksam</v>
          </cell>
          <cell r="E665" t="str">
            <v>00325</v>
          </cell>
        </row>
        <row r="666">
          <cell r="D666" t="str">
            <v>M/S Babul Enterprise (C)</v>
          </cell>
          <cell r="E666" t="str">
            <v>01292</v>
          </cell>
        </row>
        <row r="667">
          <cell r="D667" t="str">
            <v>M/S Babul Enterprise (C)</v>
          </cell>
          <cell r="E667" t="str">
            <v>01292</v>
          </cell>
        </row>
        <row r="668">
          <cell r="D668" t="str">
            <v>M/S Talukder Motors (C)</v>
          </cell>
          <cell r="E668" t="str">
            <v>01471</v>
          </cell>
        </row>
        <row r="669">
          <cell r="D669" t="str">
            <v>M/S Talukder Motors (C)</v>
          </cell>
          <cell r="E669" t="str">
            <v>01471</v>
          </cell>
        </row>
        <row r="670">
          <cell r="D670" t="str">
            <v>M/S Bondhu Battery &amp; Auto</v>
          </cell>
          <cell r="E670" t="str">
            <v>00163</v>
          </cell>
        </row>
        <row r="671">
          <cell r="D671" t="str">
            <v>M/S Sadia Enterprise</v>
          </cell>
          <cell r="E671" t="str">
            <v>01490</v>
          </cell>
        </row>
        <row r="672">
          <cell r="D672" t="str">
            <v>M/S Sohan Motors</v>
          </cell>
          <cell r="E672" t="str">
            <v>01385</v>
          </cell>
        </row>
        <row r="673">
          <cell r="D673" t="str">
            <v>M/S Bismillah Motors-Hinla</v>
          </cell>
          <cell r="E673" t="str">
            <v>01448</v>
          </cell>
        </row>
        <row r="674">
          <cell r="D674" t="str">
            <v>M/S Bismillah Motors-Hinla</v>
          </cell>
          <cell r="E674" t="str">
            <v>01448</v>
          </cell>
        </row>
        <row r="675">
          <cell r="D675" t="str">
            <v>M/S G. S Motors and Battery</v>
          </cell>
          <cell r="E675" t="str">
            <v>01420</v>
          </cell>
        </row>
        <row r="676">
          <cell r="D676" t="str">
            <v>M/S Hira Motors-Chokoria</v>
          </cell>
          <cell r="E676" t="str">
            <v>01441</v>
          </cell>
        </row>
        <row r="677">
          <cell r="D677" t="str">
            <v>M/S Shah Mojidia Motor Parts</v>
          </cell>
          <cell r="E677" t="str">
            <v>00842</v>
          </cell>
        </row>
        <row r="678">
          <cell r="D678" t="str">
            <v>M/S Shah Mojidia Motor Parts</v>
          </cell>
          <cell r="E678" t="str">
            <v>00842</v>
          </cell>
        </row>
        <row r="679">
          <cell r="D679" t="str">
            <v>M/S Saiful Motors</v>
          </cell>
          <cell r="E679" t="str">
            <v>00482</v>
          </cell>
        </row>
        <row r="680">
          <cell r="D680" t="str">
            <v>M/S Shahjalal Traders</v>
          </cell>
          <cell r="E680" t="str">
            <v>01362</v>
          </cell>
        </row>
        <row r="681">
          <cell r="D681" t="str">
            <v>M/S Shahjalal Traders</v>
          </cell>
          <cell r="E681" t="str">
            <v>01362</v>
          </cell>
        </row>
        <row r="682">
          <cell r="D682" t="str">
            <v>M/S S.M. Enterprise- Sunamgonj</v>
          </cell>
          <cell r="E682" t="str">
            <v>00390</v>
          </cell>
        </row>
        <row r="683">
          <cell r="D683" t="str">
            <v>M/S City Auto</v>
          </cell>
          <cell r="E683" t="str">
            <v>00398</v>
          </cell>
        </row>
        <row r="684">
          <cell r="D684" t="str">
            <v>M/S Modina Cycle Store (C)</v>
          </cell>
          <cell r="E684" t="str">
            <v>01519</v>
          </cell>
        </row>
        <row r="685">
          <cell r="D685" t="str">
            <v>M/S Anas Enterprise</v>
          </cell>
          <cell r="E685" t="str">
            <v>00817</v>
          </cell>
        </row>
        <row r="686">
          <cell r="D686" t="str">
            <v>M/S Ripon Tyre and Battery</v>
          </cell>
          <cell r="E686" t="str">
            <v>00002</v>
          </cell>
        </row>
        <row r="687">
          <cell r="D687" t="str">
            <v>M/S Modina Enterprise - Savar</v>
          </cell>
          <cell r="E687" t="str">
            <v>01404</v>
          </cell>
        </row>
        <row r="688">
          <cell r="D688" t="str">
            <v>M/S New Dhaka Motors and Battery</v>
          </cell>
          <cell r="E688" t="str">
            <v>00005</v>
          </cell>
        </row>
        <row r="689">
          <cell r="D689" t="str">
            <v>M/S Ananna Battery &amp; Tyre</v>
          </cell>
          <cell r="E689" t="str">
            <v>01088</v>
          </cell>
        </row>
        <row r="690">
          <cell r="D690" t="str">
            <v>M/S Khan Battery Recycling (C)</v>
          </cell>
          <cell r="E690" t="str">
            <v>01282</v>
          </cell>
        </row>
        <row r="691">
          <cell r="D691" t="str">
            <v>M/S Monir Auto &amp; Battery House</v>
          </cell>
          <cell r="E691" t="str">
            <v>00001</v>
          </cell>
        </row>
        <row r="692">
          <cell r="D692" t="str">
            <v>M/S Ma Tyre &amp; Battery  Shop</v>
          </cell>
          <cell r="E692" t="str">
            <v>00088</v>
          </cell>
        </row>
        <row r="693">
          <cell r="D693" t="str">
            <v>M/S Shoshi Enterprise (C)</v>
          </cell>
          <cell r="E693" t="str">
            <v>01335</v>
          </cell>
        </row>
        <row r="694">
          <cell r="D694" t="str">
            <v>M/S Shoshi Enterprise (C)</v>
          </cell>
          <cell r="E694" t="str">
            <v>01335</v>
          </cell>
        </row>
        <row r="695">
          <cell r="D695" t="str">
            <v>M/S S.B. Energy (C)</v>
          </cell>
          <cell r="E695" t="str">
            <v>01288</v>
          </cell>
        </row>
        <row r="696">
          <cell r="D696" t="str">
            <v>M/S Adhunik Battery And IPS Bitan</v>
          </cell>
          <cell r="E696" t="str">
            <v>01359</v>
          </cell>
        </row>
        <row r="697">
          <cell r="D697" t="str">
            <v>M/S S.K. Enterprise (C)</v>
          </cell>
          <cell r="E697" t="str">
            <v>01326</v>
          </cell>
        </row>
        <row r="698">
          <cell r="D698" t="str">
            <v>M/S S.K. Enterprise (C)</v>
          </cell>
          <cell r="E698" t="str">
            <v>01326</v>
          </cell>
        </row>
        <row r="699">
          <cell r="D699" t="str">
            <v>M/S S.K. Enterprise (C)</v>
          </cell>
          <cell r="E699" t="str">
            <v>01326</v>
          </cell>
        </row>
        <row r="700">
          <cell r="D700" t="str">
            <v>M/S S.K. Enterprise (C)</v>
          </cell>
          <cell r="E700" t="str">
            <v>01326</v>
          </cell>
        </row>
        <row r="701">
          <cell r="D701" t="str">
            <v>M/S S.K. Enterprise (C)</v>
          </cell>
          <cell r="E701" t="str">
            <v>01326</v>
          </cell>
        </row>
        <row r="702">
          <cell r="D702" t="str">
            <v>M/S Kalam Auto Motor Parts And Battery House</v>
          </cell>
          <cell r="E702" t="str">
            <v>00420</v>
          </cell>
        </row>
        <row r="703">
          <cell r="D703" t="str">
            <v>M/S Anas Battery &amp; Auto House</v>
          </cell>
          <cell r="E703" t="str">
            <v>01401</v>
          </cell>
        </row>
        <row r="704">
          <cell r="D704" t="str">
            <v>M/S Anas Battery &amp; Auto House</v>
          </cell>
          <cell r="E704" t="str">
            <v>01401</v>
          </cell>
        </row>
        <row r="705">
          <cell r="D705" t="str">
            <v>M/S Sajib Enterprise (C)</v>
          </cell>
          <cell r="E705" t="str">
            <v>01353</v>
          </cell>
        </row>
        <row r="706">
          <cell r="D706" t="str">
            <v>M/S Sajib Enterprise (C)</v>
          </cell>
          <cell r="E706" t="str">
            <v>01353</v>
          </cell>
        </row>
        <row r="707">
          <cell r="D707" t="str">
            <v>M/S Sajib Enterprise (C)</v>
          </cell>
          <cell r="E707" t="str">
            <v>01353</v>
          </cell>
        </row>
        <row r="708">
          <cell r="D708" t="str">
            <v>M/S City Auto</v>
          </cell>
          <cell r="E708" t="str">
            <v>00398</v>
          </cell>
        </row>
        <row r="709">
          <cell r="D709" t="str">
            <v>M/S City Auto</v>
          </cell>
          <cell r="E709" t="str">
            <v>00398</v>
          </cell>
        </row>
        <row r="710">
          <cell r="D710" t="str">
            <v>M/S S.M. Enterprise- Sunamgonj</v>
          </cell>
          <cell r="E710" t="str">
            <v>00390</v>
          </cell>
        </row>
        <row r="711">
          <cell r="D711" t="str">
            <v>M/S Setu Cycle Mart</v>
          </cell>
          <cell r="E711" t="str">
            <v>00471</v>
          </cell>
        </row>
        <row r="712">
          <cell r="D712" t="str">
            <v>M/S Setu Cycle Mart</v>
          </cell>
          <cell r="E712" t="str">
            <v>00471</v>
          </cell>
        </row>
        <row r="713">
          <cell r="D713" t="str">
            <v>M/S Setu Cycle Mart</v>
          </cell>
          <cell r="E713" t="str">
            <v>00471</v>
          </cell>
        </row>
        <row r="714">
          <cell r="D714" t="str">
            <v>M/S Setu Cycle Mart</v>
          </cell>
          <cell r="E714" t="str">
            <v>00471</v>
          </cell>
        </row>
        <row r="715">
          <cell r="D715" t="str">
            <v>M/S Saiful Motors</v>
          </cell>
          <cell r="E715" t="str">
            <v>00482</v>
          </cell>
        </row>
        <row r="716">
          <cell r="D716" t="str">
            <v>M/S Shah Mojidia Motor Parts</v>
          </cell>
          <cell r="E716" t="str">
            <v>00842</v>
          </cell>
        </row>
        <row r="717">
          <cell r="D717" t="str">
            <v>M/S Kalam Store</v>
          </cell>
          <cell r="E717" t="str">
            <v>01436</v>
          </cell>
        </row>
        <row r="718">
          <cell r="D718" t="str">
            <v>M/S Kalam Store</v>
          </cell>
          <cell r="E718" t="str">
            <v>01436</v>
          </cell>
        </row>
        <row r="719">
          <cell r="D719" t="str">
            <v>M/S Kalam Store</v>
          </cell>
          <cell r="E719" t="str">
            <v>01436</v>
          </cell>
        </row>
        <row r="720">
          <cell r="D720" t="str">
            <v>M/S Kalam Store</v>
          </cell>
          <cell r="E720" t="str">
            <v>01436</v>
          </cell>
        </row>
        <row r="721">
          <cell r="D721" t="str">
            <v>M/S Anamika Auto Rickshow</v>
          </cell>
          <cell r="E721" t="str">
            <v>00496</v>
          </cell>
        </row>
        <row r="722">
          <cell r="D722" t="str">
            <v>M/S Anamika Auto Rickshow</v>
          </cell>
          <cell r="E722" t="str">
            <v>00496</v>
          </cell>
        </row>
        <row r="723">
          <cell r="D723" t="str">
            <v>M/S Sangu Battery House</v>
          </cell>
          <cell r="E723" t="str">
            <v>00988</v>
          </cell>
        </row>
        <row r="724">
          <cell r="D724" t="str">
            <v>M/S Sangu Battery House</v>
          </cell>
          <cell r="E724" t="str">
            <v>00988</v>
          </cell>
        </row>
        <row r="725">
          <cell r="D725" t="str">
            <v>M/S S.S. Enterprise-Norshingdi</v>
          </cell>
          <cell r="E725" t="str">
            <v>01118</v>
          </cell>
        </row>
        <row r="726">
          <cell r="D726" t="str">
            <v>M/S Doyal Battery</v>
          </cell>
          <cell r="E726" t="str">
            <v>00337</v>
          </cell>
        </row>
        <row r="727">
          <cell r="D727" t="str">
            <v>M/S Doyal Battery</v>
          </cell>
          <cell r="E727" t="str">
            <v>00337</v>
          </cell>
        </row>
        <row r="728">
          <cell r="D728" t="str">
            <v>M/S Doyal Battery</v>
          </cell>
          <cell r="E728" t="str">
            <v>00337</v>
          </cell>
        </row>
        <row r="729">
          <cell r="D729" t="str">
            <v>M/S Doyal Battery</v>
          </cell>
          <cell r="E729" t="str">
            <v>00337</v>
          </cell>
        </row>
        <row r="730">
          <cell r="D730" t="str">
            <v>M/S Doyal Battery</v>
          </cell>
          <cell r="E730" t="str">
            <v>00337</v>
          </cell>
        </row>
        <row r="731">
          <cell r="D731" t="str">
            <v>M/S Bondhu Auto and CNG Workshop</v>
          </cell>
          <cell r="E731" t="str">
            <v>01149</v>
          </cell>
        </row>
        <row r="732">
          <cell r="D732" t="str">
            <v>M/S Bondhu Auto and CNG Workshop</v>
          </cell>
          <cell r="E732" t="str">
            <v>01149</v>
          </cell>
        </row>
        <row r="733">
          <cell r="D733" t="str">
            <v>M/S Bondhu Auto and CNG Workshop</v>
          </cell>
          <cell r="E733" t="str">
            <v>01149</v>
          </cell>
        </row>
        <row r="734">
          <cell r="D734" t="str">
            <v>M/S Awlad Electronics</v>
          </cell>
          <cell r="E734" t="str">
            <v>01284</v>
          </cell>
        </row>
        <row r="735">
          <cell r="D735" t="str">
            <v>M/S Shopon Battery House (C)</v>
          </cell>
          <cell r="E735" t="str">
            <v>01320</v>
          </cell>
        </row>
        <row r="736">
          <cell r="D736" t="str">
            <v>M/S Shopon Battery House (C)</v>
          </cell>
          <cell r="E736" t="str">
            <v>01320</v>
          </cell>
        </row>
        <row r="737">
          <cell r="D737" t="str">
            <v>M/S Shopon Battery House (C)</v>
          </cell>
          <cell r="E737" t="str">
            <v>01320</v>
          </cell>
        </row>
        <row r="738">
          <cell r="D738" t="str">
            <v>M/S Shopon Battery House (C)</v>
          </cell>
          <cell r="E738" t="str">
            <v>01320</v>
          </cell>
        </row>
        <row r="739">
          <cell r="D739" t="str">
            <v>M/S Bhai Bhai Traders-Kendua</v>
          </cell>
          <cell r="E739" t="str">
            <v>00165</v>
          </cell>
        </row>
        <row r="740">
          <cell r="D740" t="str">
            <v>M/S Shopon Battery House (C)</v>
          </cell>
          <cell r="E740" t="str">
            <v>01320</v>
          </cell>
        </row>
        <row r="741">
          <cell r="D741" t="str">
            <v>M/S Jom Jom Battery &amp; Parts</v>
          </cell>
          <cell r="E741" t="str">
            <v>01492</v>
          </cell>
        </row>
        <row r="742">
          <cell r="D742" t="str">
            <v>M/S Molla Battery House (C)</v>
          </cell>
          <cell r="E742" t="str">
            <v>01428</v>
          </cell>
        </row>
        <row r="743">
          <cell r="D743" t="str">
            <v>M/S Manir Battery Charging Station (C)</v>
          </cell>
          <cell r="E743" t="str">
            <v>01324</v>
          </cell>
        </row>
        <row r="744">
          <cell r="D744" t="str">
            <v>M/S Farhan Battery &amp; Auto Parts</v>
          </cell>
          <cell r="E744" t="str">
            <v>01470</v>
          </cell>
        </row>
        <row r="745">
          <cell r="D745" t="str">
            <v>M/S Bogura Auto Center (C)</v>
          </cell>
          <cell r="E745" t="str">
            <v>01468</v>
          </cell>
        </row>
        <row r="746">
          <cell r="D746" t="str">
            <v>M/S Bogura Auto Center (C)</v>
          </cell>
          <cell r="E746" t="str">
            <v>01468</v>
          </cell>
        </row>
        <row r="747">
          <cell r="D747" t="str">
            <v>M/S Nobodhara Corporation</v>
          </cell>
          <cell r="E747" t="str">
            <v>01352</v>
          </cell>
        </row>
        <row r="748">
          <cell r="D748" t="str">
            <v>M/S Samir Battery And Tyre</v>
          </cell>
          <cell r="E748" t="str">
            <v>01450</v>
          </cell>
        </row>
        <row r="749">
          <cell r="D749" t="str">
            <v>M/S Samir Battery And Tyre</v>
          </cell>
          <cell r="E749" t="str">
            <v>01450</v>
          </cell>
        </row>
        <row r="750">
          <cell r="D750" t="str">
            <v>M/S Khokon IPS &amp; Battery Center</v>
          </cell>
          <cell r="E750" t="str">
            <v>00330</v>
          </cell>
        </row>
        <row r="751">
          <cell r="D751" t="str">
            <v>M/S Ripon Tyre and Battery</v>
          </cell>
          <cell r="E751" t="str">
            <v>00002</v>
          </cell>
        </row>
        <row r="752">
          <cell r="D752" t="str">
            <v>M/S Ripon Tyre and Battery</v>
          </cell>
          <cell r="E752" t="str">
            <v>00002</v>
          </cell>
        </row>
        <row r="753">
          <cell r="D753" t="str">
            <v>M/S Ripon Tyre and Battery</v>
          </cell>
          <cell r="E753" t="str">
            <v>00002</v>
          </cell>
        </row>
        <row r="754">
          <cell r="D754" t="str">
            <v>M/S Ripon Tyre and Battery</v>
          </cell>
          <cell r="E754" t="str">
            <v>00002</v>
          </cell>
        </row>
        <row r="755">
          <cell r="D755" t="str">
            <v>M/S Ripon Tyre and Battery</v>
          </cell>
          <cell r="E755" t="str">
            <v>00002</v>
          </cell>
        </row>
        <row r="756">
          <cell r="D756" t="str">
            <v>M/S Ripon Tyre and Battery</v>
          </cell>
          <cell r="E756" t="str">
            <v>00002</v>
          </cell>
        </row>
        <row r="757">
          <cell r="D757" t="str">
            <v>M/S Ripon Tyre and Battery</v>
          </cell>
          <cell r="E757" t="str">
            <v>00002</v>
          </cell>
        </row>
        <row r="758">
          <cell r="D758" t="str">
            <v>M/S Amir Auto House</v>
          </cell>
          <cell r="E758" t="str">
            <v>00138</v>
          </cell>
        </row>
        <row r="759">
          <cell r="D759" t="str">
            <v>M/S Sohan Motors</v>
          </cell>
          <cell r="E759" t="str">
            <v>01385</v>
          </cell>
        </row>
        <row r="760">
          <cell r="D760" t="str">
            <v>M/S Bismillah Motors-Hinla</v>
          </cell>
          <cell r="E760" t="str">
            <v>01448</v>
          </cell>
        </row>
        <row r="761">
          <cell r="D761" t="str">
            <v>M/S Power Battery And Tyre</v>
          </cell>
          <cell r="E761" t="str">
            <v>01477</v>
          </cell>
        </row>
        <row r="762">
          <cell r="D762" t="str">
            <v>M/S Shikdar Auto House</v>
          </cell>
          <cell r="E762" t="str">
            <v>01493</v>
          </cell>
        </row>
        <row r="763">
          <cell r="D763" t="str">
            <v>Kalam Enterprise</v>
          </cell>
          <cell r="E763" t="str">
            <v>01341</v>
          </cell>
        </row>
        <row r="764">
          <cell r="D764" t="str">
            <v>M/S Gausia Mill Store</v>
          </cell>
          <cell r="E764" t="str">
            <v>00615</v>
          </cell>
        </row>
        <row r="765">
          <cell r="D765" t="str">
            <v>M/S Gausia Mill Store</v>
          </cell>
          <cell r="E765" t="str">
            <v>00615</v>
          </cell>
        </row>
        <row r="766">
          <cell r="D766" t="str">
            <v>M/S Gausia Mill Store</v>
          </cell>
          <cell r="E766" t="str">
            <v>00615</v>
          </cell>
        </row>
        <row r="767">
          <cell r="D767" t="str">
            <v>M/S Ira Motors</v>
          </cell>
          <cell r="E767" t="str">
            <v>00133</v>
          </cell>
        </row>
        <row r="768">
          <cell r="D768" t="str">
            <v>M/S Ira Motors</v>
          </cell>
          <cell r="E768" t="str">
            <v>00133</v>
          </cell>
        </row>
        <row r="769">
          <cell r="D769" t="str">
            <v>M/S Babul Enterprise (C)</v>
          </cell>
          <cell r="E769" t="str">
            <v>01292</v>
          </cell>
        </row>
        <row r="770">
          <cell r="D770" t="str">
            <v>M/S Islamia Battery Service- Chandpur</v>
          </cell>
          <cell r="E770" t="str">
            <v>00306</v>
          </cell>
        </row>
        <row r="771">
          <cell r="D771" t="str">
            <v>M/S Babul Enterprise (C)</v>
          </cell>
          <cell r="E771" t="str">
            <v>01292</v>
          </cell>
        </row>
        <row r="772">
          <cell r="D772" t="str">
            <v>M/S Al Madina Enterprise</v>
          </cell>
          <cell r="E772" t="str">
            <v>00814</v>
          </cell>
        </row>
        <row r="773">
          <cell r="D773" t="str">
            <v>M/S Talukder Motors (C)</v>
          </cell>
          <cell r="E773" t="str">
            <v>01471</v>
          </cell>
        </row>
        <row r="774">
          <cell r="D774" t="str">
            <v>M/S Talukder Motors (C)</v>
          </cell>
          <cell r="E774" t="str">
            <v>01471</v>
          </cell>
        </row>
        <row r="775">
          <cell r="D775" t="str">
            <v>M/S Joynal Electric &amp; Solar</v>
          </cell>
          <cell r="E775" t="str">
            <v>01532</v>
          </cell>
        </row>
        <row r="776">
          <cell r="D776" t="str">
            <v>M/S Joynal Electric &amp; Solar</v>
          </cell>
          <cell r="E776" t="str">
            <v>01532</v>
          </cell>
        </row>
        <row r="777">
          <cell r="D777" t="str">
            <v>M/S S.K. Trading Corporation (C)</v>
          </cell>
          <cell r="E777" t="str">
            <v>01523</v>
          </cell>
        </row>
        <row r="778">
          <cell r="D778" t="str">
            <v>M/S S.K. Trading Corporation (C)</v>
          </cell>
          <cell r="E778" t="str">
            <v>01523</v>
          </cell>
        </row>
        <row r="779">
          <cell r="D779" t="str">
            <v>M/S Joynal Electric &amp; Solar</v>
          </cell>
          <cell r="E779" t="str">
            <v>01532</v>
          </cell>
        </row>
        <row r="780">
          <cell r="D780" t="str">
            <v>M/S Joynal Electric &amp; Solar</v>
          </cell>
          <cell r="E780" t="str">
            <v>01532</v>
          </cell>
        </row>
        <row r="781">
          <cell r="D781" t="str">
            <v>M/S Joynal Electric &amp; Solar</v>
          </cell>
          <cell r="E781" t="str">
            <v>01532</v>
          </cell>
        </row>
        <row r="782">
          <cell r="D782" t="str">
            <v>M/S Master Motor's</v>
          </cell>
          <cell r="E782" t="str">
            <v>00217</v>
          </cell>
        </row>
        <row r="783">
          <cell r="D783" t="str">
            <v>M/S Anis Auto</v>
          </cell>
          <cell r="E783" t="str">
            <v>00685</v>
          </cell>
        </row>
        <row r="784">
          <cell r="D784" t="str">
            <v>M/S Khokon IPS &amp; Battery Center (C)</v>
          </cell>
          <cell r="E784" t="str">
            <v>01306</v>
          </cell>
        </row>
        <row r="785">
          <cell r="D785" t="str">
            <v>M/S Mahadi Motors</v>
          </cell>
          <cell r="E785" t="str">
            <v>01343</v>
          </cell>
        </row>
        <row r="786">
          <cell r="D786" t="str">
            <v>M/S Sajib Enterprise (C)</v>
          </cell>
          <cell r="E786" t="str">
            <v>01353</v>
          </cell>
        </row>
        <row r="787">
          <cell r="D787" t="str">
            <v>M/S S.S. Enterprise-Norshingdi (C)</v>
          </cell>
          <cell r="E787" t="str">
            <v>01331</v>
          </cell>
        </row>
        <row r="788">
          <cell r="D788" t="str">
            <v>M/S Sadaf Auto &amp;  Vulcanizing Corner</v>
          </cell>
          <cell r="E788" t="str">
            <v>00089</v>
          </cell>
        </row>
        <row r="789">
          <cell r="D789" t="str">
            <v>M/S S.S. Enterprise-Norshingdi (C)</v>
          </cell>
          <cell r="E789" t="str">
            <v>01331</v>
          </cell>
        </row>
        <row r="790">
          <cell r="D790" t="str">
            <v>M/S S.S. Enterprise-Norshingdi (C)</v>
          </cell>
          <cell r="E790" t="str">
            <v>01331</v>
          </cell>
        </row>
        <row r="791">
          <cell r="D791" t="str">
            <v>M/S S.S. Enterprise-Norshingdi (C)</v>
          </cell>
          <cell r="E791" t="str">
            <v>01331</v>
          </cell>
        </row>
        <row r="792">
          <cell r="D792" t="str">
            <v>M/S Monir Auto &amp; Battery House</v>
          </cell>
          <cell r="E792" t="str">
            <v>00001</v>
          </cell>
        </row>
        <row r="793">
          <cell r="D793" t="str">
            <v>M/S Monir Auto &amp; Battery House</v>
          </cell>
          <cell r="E793" t="str">
            <v>00001</v>
          </cell>
        </row>
        <row r="794">
          <cell r="D794" t="str">
            <v>M/S Monir Auto &amp; Battery House</v>
          </cell>
          <cell r="E794" t="str">
            <v>00001</v>
          </cell>
        </row>
        <row r="795">
          <cell r="D795" t="str">
            <v>M/S Monir Auto &amp; Battery House</v>
          </cell>
          <cell r="E795" t="str">
            <v>00001</v>
          </cell>
        </row>
        <row r="796">
          <cell r="D796" t="str">
            <v>M/S Monir Auto &amp; Battery House</v>
          </cell>
          <cell r="E796" t="str">
            <v>00001</v>
          </cell>
        </row>
        <row r="797">
          <cell r="D797" t="str">
            <v>M/S Hazi Automobiles &amp; Service Centre</v>
          </cell>
          <cell r="E797" t="str">
            <v>00315</v>
          </cell>
        </row>
        <row r="798">
          <cell r="D798" t="str">
            <v>M/S Oppo Parts &amp; Battery House</v>
          </cell>
          <cell r="E798" t="str">
            <v>01508</v>
          </cell>
        </row>
        <row r="799">
          <cell r="D799" t="str">
            <v>M/S Khan Battery Recycling (C)</v>
          </cell>
          <cell r="E799" t="str">
            <v>01282</v>
          </cell>
        </row>
        <row r="800">
          <cell r="D800" t="str">
            <v>M/S Oppo Parts &amp; Battery House</v>
          </cell>
          <cell r="E800" t="str">
            <v>01508</v>
          </cell>
        </row>
        <row r="801">
          <cell r="D801" t="str">
            <v>M/S Sawda Auto and Battery</v>
          </cell>
          <cell r="E801" t="str">
            <v>01261</v>
          </cell>
        </row>
        <row r="802">
          <cell r="D802" t="str">
            <v>M/S Jom Jom Battery &amp; Parts</v>
          </cell>
          <cell r="E802" t="str">
            <v>01492</v>
          </cell>
        </row>
        <row r="803">
          <cell r="D803" t="str">
            <v>M/S Nasir Motors</v>
          </cell>
          <cell r="E803" t="str">
            <v>01248</v>
          </cell>
        </row>
        <row r="804">
          <cell r="D804" t="str">
            <v>M/S Bismillah Battery House -Sylhet</v>
          </cell>
          <cell r="E804" t="str">
            <v>00389</v>
          </cell>
        </row>
        <row r="805">
          <cell r="D805" t="str">
            <v>M/S Allahar Dan Enterprise-Norail</v>
          </cell>
          <cell r="E805" t="str">
            <v>01528</v>
          </cell>
        </row>
        <row r="806">
          <cell r="D806" t="str">
            <v>M/S Sohan Motors</v>
          </cell>
          <cell r="E806" t="str">
            <v>01385</v>
          </cell>
        </row>
        <row r="807">
          <cell r="D807" t="str">
            <v>M/S Belal Battery House</v>
          </cell>
          <cell r="E807" t="str">
            <v>01461</v>
          </cell>
        </row>
        <row r="808">
          <cell r="D808" t="str">
            <v>M/S Bhai Bhai Cycle Mart</v>
          </cell>
          <cell r="E808" t="str">
            <v>00823</v>
          </cell>
        </row>
        <row r="809">
          <cell r="D809" t="str">
            <v>M/S Gausia Mill Store</v>
          </cell>
          <cell r="E809" t="str">
            <v>00615</v>
          </cell>
        </row>
        <row r="810">
          <cell r="D810" t="str">
            <v>M/S Gausia Mill Store</v>
          </cell>
          <cell r="E810" t="str">
            <v>00615</v>
          </cell>
        </row>
        <row r="811">
          <cell r="D811" t="str">
            <v>M/S Kalam Auto Motor Parts And Battery House</v>
          </cell>
          <cell r="E811" t="str">
            <v>00420</v>
          </cell>
        </row>
        <row r="812">
          <cell r="D812" t="str">
            <v>M/S Gausia Mill Store</v>
          </cell>
          <cell r="E812" t="str">
            <v>00615</v>
          </cell>
        </row>
        <row r="813">
          <cell r="D813" t="str">
            <v>M/S Gausia Mill Store</v>
          </cell>
          <cell r="E813" t="str">
            <v>00615</v>
          </cell>
        </row>
        <row r="814">
          <cell r="D814" t="str">
            <v>M/S Kalam Auto Motor Parts And Battery House</v>
          </cell>
          <cell r="E814" t="str">
            <v>00420</v>
          </cell>
        </row>
        <row r="815">
          <cell r="D815" t="str">
            <v>M/S Kalam Auto Motor Parts And Battery House</v>
          </cell>
          <cell r="E815" t="str">
            <v>00420</v>
          </cell>
        </row>
        <row r="816">
          <cell r="D816" t="str">
            <v>M/S Kalam Auto Motor Parts And Battery House</v>
          </cell>
          <cell r="E816" t="str">
            <v>00420</v>
          </cell>
        </row>
        <row r="817">
          <cell r="D817" t="str">
            <v>M/S Mama Vagina Auto Center</v>
          </cell>
          <cell r="E817" t="str">
            <v>01516</v>
          </cell>
        </row>
        <row r="818">
          <cell r="D818" t="str">
            <v>M/S Kalam Auto Motor Parts And Battery House</v>
          </cell>
          <cell r="E818" t="str">
            <v>00420</v>
          </cell>
        </row>
        <row r="819">
          <cell r="D819" t="str">
            <v>M/S Farhan Auto (C)</v>
          </cell>
          <cell r="E819" t="str">
            <v>01298</v>
          </cell>
        </row>
        <row r="820">
          <cell r="D820" t="str">
            <v>M/S Farhan Auto (C)</v>
          </cell>
          <cell r="E820" t="str">
            <v>01298</v>
          </cell>
        </row>
        <row r="821">
          <cell r="D821" t="str">
            <v>M/S Master Motor's</v>
          </cell>
          <cell r="E821" t="str">
            <v>00217</v>
          </cell>
        </row>
        <row r="822">
          <cell r="D822" t="str">
            <v>M/S Master Motor's</v>
          </cell>
          <cell r="E822" t="str">
            <v>00217</v>
          </cell>
        </row>
        <row r="823">
          <cell r="D823" t="str">
            <v>M/S Supreme Auto (C)</v>
          </cell>
          <cell r="E823" t="str">
            <v>01300</v>
          </cell>
        </row>
        <row r="824">
          <cell r="D824" t="str">
            <v>M/S Nabarun Auto Baik Parts</v>
          </cell>
          <cell r="E824" t="str">
            <v>00422</v>
          </cell>
        </row>
        <row r="825">
          <cell r="D825" t="str">
            <v>M/S Mayer Doya Auto Parts-Feni</v>
          </cell>
          <cell r="E825" t="str">
            <v>00373</v>
          </cell>
        </row>
        <row r="826">
          <cell r="D826" t="str">
            <v>M/S Allahar Dan Enterprise-Norail</v>
          </cell>
          <cell r="E826" t="str">
            <v>01528</v>
          </cell>
        </row>
        <row r="827">
          <cell r="D827" t="str">
            <v>M/S Allahar Dan Enterprise-Norail</v>
          </cell>
          <cell r="E827" t="str">
            <v>01528</v>
          </cell>
        </row>
        <row r="828">
          <cell r="D828" t="str">
            <v>M/S Allahar Dan Enterprise-Norail</v>
          </cell>
          <cell r="E828" t="str">
            <v>01528</v>
          </cell>
        </row>
        <row r="829">
          <cell r="D829" t="str">
            <v>M/S Allahar Dan Enterprise-Norail</v>
          </cell>
          <cell r="E829" t="str">
            <v>01528</v>
          </cell>
        </row>
        <row r="830">
          <cell r="D830" t="str">
            <v>M/S Mayer Doya Auto Parts-Laksam</v>
          </cell>
          <cell r="E830" t="str">
            <v>00325</v>
          </cell>
        </row>
        <row r="831">
          <cell r="D831" t="str">
            <v>M/S Mayer Doya Auto Parts-Laksam</v>
          </cell>
          <cell r="E831" t="str">
            <v>00325</v>
          </cell>
        </row>
        <row r="832">
          <cell r="D832" t="str">
            <v>M/S Ananna Battery &amp; Tyre</v>
          </cell>
          <cell r="E832" t="str">
            <v>01088</v>
          </cell>
        </row>
        <row r="833">
          <cell r="D833" t="str">
            <v>M/S Ananna Battery &amp; Tyre</v>
          </cell>
          <cell r="E833" t="str">
            <v>01088</v>
          </cell>
        </row>
        <row r="834">
          <cell r="D834" t="str">
            <v>M/S Hazi Automobiles &amp; Service Centre</v>
          </cell>
          <cell r="E834" t="str">
            <v>00315</v>
          </cell>
        </row>
        <row r="835">
          <cell r="D835" t="str">
            <v>M/S Rashed Enterprise</v>
          </cell>
          <cell r="E835" t="str">
            <v>00030</v>
          </cell>
        </row>
        <row r="836">
          <cell r="D836" t="str">
            <v>M/S Anas Enterprise</v>
          </cell>
          <cell r="E836" t="str">
            <v>00817</v>
          </cell>
        </row>
        <row r="837">
          <cell r="D837" t="str">
            <v>M/S Anas Enterprise</v>
          </cell>
          <cell r="E837" t="str">
            <v>00817</v>
          </cell>
        </row>
        <row r="838">
          <cell r="D838" t="str">
            <v>M/S Raja Enterprise</v>
          </cell>
          <cell r="E838" t="str">
            <v>01077</v>
          </cell>
        </row>
        <row r="839">
          <cell r="D839" t="str">
            <v>M/S New Dhaka Motors and Battery</v>
          </cell>
          <cell r="E839" t="str">
            <v>00005</v>
          </cell>
        </row>
        <row r="840">
          <cell r="D840" t="str">
            <v>M/S Mama Vagina Auto Center</v>
          </cell>
          <cell r="E840" t="str">
            <v>01516</v>
          </cell>
        </row>
        <row r="841">
          <cell r="D841" t="str">
            <v>M/S New Dhaka Motors and Battery</v>
          </cell>
          <cell r="E841" t="str">
            <v>00005</v>
          </cell>
        </row>
        <row r="842">
          <cell r="D842" t="str">
            <v>M/S New Mintu Motors</v>
          </cell>
          <cell r="E842" t="str">
            <v>00588</v>
          </cell>
        </row>
        <row r="843">
          <cell r="D843" t="str">
            <v>M/S Adnan Tyre and Battery House</v>
          </cell>
          <cell r="E843" t="str">
            <v>01371</v>
          </cell>
        </row>
        <row r="844">
          <cell r="D844" t="str">
            <v>M/S S.K. Enterprise (C)</v>
          </cell>
          <cell r="E844" t="str">
            <v>01326</v>
          </cell>
        </row>
        <row r="845">
          <cell r="D845" t="str">
            <v>M/S S.K. Enterprise (C)</v>
          </cell>
          <cell r="E845" t="str">
            <v>01326</v>
          </cell>
        </row>
        <row r="846">
          <cell r="D846" t="str">
            <v>M/S S.K. Enterprise (C)</v>
          </cell>
          <cell r="E846" t="str">
            <v>01326</v>
          </cell>
        </row>
        <row r="847">
          <cell r="D847" t="str">
            <v>M/S S.K. Enterprise (C)</v>
          </cell>
          <cell r="E847" t="str">
            <v>01326</v>
          </cell>
        </row>
        <row r="848">
          <cell r="D848" t="str">
            <v>M/S S.K. Enterprise (C)</v>
          </cell>
          <cell r="E848" t="str">
            <v>01326</v>
          </cell>
        </row>
        <row r="849">
          <cell r="D849" t="str">
            <v>M/S S.K. Enterprise (C)</v>
          </cell>
          <cell r="E849" t="str">
            <v>01326</v>
          </cell>
        </row>
        <row r="850">
          <cell r="D850" t="str">
            <v>M/S Khan Auto Bike &amp; Battery</v>
          </cell>
          <cell r="E850" t="str">
            <v>00180</v>
          </cell>
        </row>
        <row r="851">
          <cell r="D851" t="str">
            <v>M/S Khan Auto Bike &amp; Battery</v>
          </cell>
          <cell r="E851" t="str">
            <v>00180</v>
          </cell>
        </row>
        <row r="852">
          <cell r="D852" t="str">
            <v>M/S Oppo Parts &amp; Battery House</v>
          </cell>
          <cell r="E852" t="str">
            <v>01508</v>
          </cell>
        </row>
        <row r="853">
          <cell r="D853" t="str">
            <v>M/S Oppo Parts &amp; Battery House</v>
          </cell>
          <cell r="E853" t="str">
            <v>01508</v>
          </cell>
        </row>
        <row r="854">
          <cell r="D854" t="str">
            <v>M/S S.K. Enterprise (C)</v>
          </cell>
          <cell r="E854" t="str">
            <v>01326</v>
          </cell>
        </row>
        <row r="855">
          <cell r="D855" t="str">
            <v>M/S S.K. Enterprise (C)</v>
          </cell>
          <cell r="E855" t="str">
            <v>01326</v>
          </cell>
        </row>
        <row r="856">
          <cell r="D856" t="str">
            <v>M/S Oppo Parts &amp; Battery House</v>
          </cell>
          <cell r="E856" t="str">
            <v>01508</v>
          </cell>
        </row>
        <row r="857">
          <cell r="D857" t="str">
            <v>M/S Al Madina Enterprise</v>
          </cell>
          <cell r="E857" t="str">
            <v>00814</v>
          </cell>
        </row>
        <row r="858">
          <cell r="D858" t="str">
            <v>M/S Oppo Parts &amp; Battery House</v>
          </cell>
          <cell r="E858" t="str">
            <v>01508</v>
          </cell>
        </row>
        <row r="859">
          <cell r="D859" t="str">
            <v>M/S New Al-Amin Battery House</v>
          </cell>
          <cell r="E859" t="str">
            <v>00270</v>
          </cell>
        </row>
        <row r="860">
          <cell r="D860" t="str">
            <v>M/S New Al-Amin Battery House</v>
          </cell>
          <cell r="E860" t="str">
            <v>00270</v>
          </cell>
        </row>
        <row r="861">
          <cell r="D861" t="str">
            <v>M/S Oppo Parts &amp; Battery House</v>
          </cell>
          <cell r="E861" t="str">
            <v>01508</v>
          </cell>
        </row>
        <row r="862">
          <cell r="D862" t="str">
            <v>M/S Arafat Enterprise</v>
          </cell>
          <cell r="E862" t="str">
            <v>00094</v>
          </cell>
        </row>
        <row r="863">
          <cell r="D863" t="str">
            <v>M/S Arafat Enterprise</v>
          </cell>
          <cell r="E863" t="str">
            <v>00094</v>
          </cell>
        </row>
        <row r="864">
          <cell r="D864" t="str">
            <v>M/S Shikdar Auto House</v>
          </cell>
          <cell r="E864" t="str">
            <v>01493</v>
          </cell>
        </row>
        <row r="865">
          <cell r="D865" t="str">
            <v>M/S Arafat Enterprise</v>
          </cell>
          <cell r="E865" t="str">
            <v>00094</v>
          </cell>
        </row>
        <row r="866">
          <cell r="D866" t="str">
            <v>M/S Mithila Auto Show Room</v>
          </cell>
          <cell r="E866" t="str">
            <v>01499</v>
          </cell>
        </row>
        <row r="867">
          <cell r="D867" t="str">
            <v>M/S Shoshi Enterprise</v>
          </cell>
          <cell r="E867" t="str">
            <v>01153</v>
          </cell>
        </row>
        <row r="868">
          <cell r="D868" t="str">
            <v>M/S New Mintu Motors</v>
          </cell>
          <cell r="E868" t="str">
            <v>00588</v>
          </cell>
        </row>
        <row r="869">
          <cell r="D869" t="str">
            <v>M/S New Mintu Motors</v>
          </cell>
          <cell r="E869" t="str">
            <v>00588</v>
          </cell>
        </row>
        <row r="870">
          <cell r="D870" t="str">
            <v>M/S Mahtab Engineering Workshop</v>
          </cell>
          <cell r="E870" t="str">
            <v>01429</v>
          </cell>
        </row>
        <row r="871">
          <cell r="D871" t="str">
            <v>M/S Mahtab Engineering Workshop</v>
          </cell>
          <cell r="E871" t="str">
            <v>01429</v>
          </cell>
        </row>
        <row r="872">
          <cell r="D872" t="str">
            <v>M/S National Battery - Lalmonirhat</v>
          </cell>
          <cell r="E872" t="str">
            <v>00579</v>
          </cell>
        </row>
        <row r="873">
          <cell r="D873" t="str">
            <v>M/S Gazipur Battery House</v>
          </cell>
          <cell r="E873" t="str">
            <v>00826</v>
          </cell>
        </row>
        <row r="874">
          <cell r="D874" t="str">
            <v>M/S National Battery - Lalmonirhat</v>
          </cell>
          <cell r="E874" t="str">
            <v>00579</v>
          </cell>
        </row>
        <row r="875">
          <cell r="D875" t="str">
            <v>M/S Gazipur Battery House</v>
          </cell>
          <cell r="E875" t="str">
            <v>00826</v>
          </cell>
        </row>
        <row r="876">
          <cell r="D876" t="str">
            <v>M/S National Battery - Lalmonirhat</v>
          </cell>
          <cell r="E876" t="str">
            <v>00579</v>
          </cell>
        </row>
        <row r="877">
          <cell r="D877" t="str">
            <v>M/S S.B. Energy</v>
          </cell>
          <cell r="E877" t="str">
            <v>00087</v>
          </cell>
        </row>
        <row r="878">
          <cell r="D878" t="str">
            <v>M/S Mashpi Battery &amp; Auto</v>
          </cell>
          <cell r="E878" t="str">
            <v>01152</v>
          </cell>
        </row>
        <row r="879">
          <cell r="D879" t="str">
            <v>M/S Modina Enterprise - Savar</v>
          </cell>
          <cell r="E879" t="str">
            <v>01404</v>
          </cell>
        </row>
        <row r="880">
          <cell r="D880" t="str">
            <v>M/S Taher Enterprise</v>
          </cell>
          <cell r="E880" t="str">
            <v>00366</v>
          </cell>
        </row>
        <row r="881">
          <cell r="D881" t="str">
            <v>M/S Raja Enterprise</v>
          </cell>
          <cell r="E881" t="str">
            <v>01077</v>
          </cell>
        </row>
        <row r="882">
          <cell r="D882" t="str">
            <v>M/S Master Motor's</v>
          </cell>
          <cell r="E882" t="str">
            <v>00217</v>
          </cell>
        </row>
        <row r="883">
          <cell r="D883" t="str">
            <v>M/S Hira Motors</v>
          </cell>
          <cell r="E883" t="str">
            <v>01100</v>
          </cell>
        </row>
        <row r="884">
          <cell r="D884" t="str">
            <v>M/S Hazi Automobiles &amp; Service Centre</v>
          </cell>
          <cell r="E884" t="str">
            <v>00315</v>
          </cell>
        </row>
        <row r="885">
          <cell r="D885" t="str">
            <v>M/S Taher Enterprise</v>
          </cell>
          <cell r="E885" t="str">
            <v>00366</v>
          </cell>
        </row>
        <row r="886">
          <cell r="D886" t="str">
            <v>M/S Sanjida Auto</v>
          </cell>
          <cell r="E886" t="str">
            <v>00603</v>
          </cell>
        </row>
        <row r="887">
          <cell r="D887" t="str">
            <v>M/S New Mintu Motors</v>
          </cell>
          <cell r="E887" t="str">
            <v>00588</v>
          </cell>
        </row>
        <row r="888">
          <cell r="D888" t="str">
            <v>M/S Mizan Traders</v>
          </cell>
          <cell r="E888" t="str">
            <v>00179</v>
          </cell>
        </row>
        <row r="889">
          <cell r="D889" t="str">
            <v>M/S Al Madina Enterprise</v>
          </cell>
          <cell r="E889" t="str">
            <v>00814</v>
          </cell>
        </row>
        <row r="890">
          <cell r="D890" t="str">
            <v>M/S Shepon Motors</v>
          </cell>
          <cell r="E890" t="str">
            <v>00749</v>
          </cell>
        </row>
        <row r="891">
          <cell r="D891" t="str">
            <v>M/S Oreya Enterprise</v>
          </cell>
          <cell r="E891" t="str">
            <v>00537</v>
          </cell>
        </row>
        <row r="892">
          <cell r="D892" t="str">
            <v>M/S Gausia Mill Store</v>
          </cell>
          <cell r="E892" t="str">
            <v>00615</v>
          </cell>
        </row>
        <row r="893">
          <cell r="D893" t="str">
            <v>M/S Hira Motors</v>
          </cell>
          <cell r="E893" t="str">
            <v>01100</v>
          </cell>
        </row>
        <row r="894">
          <cell r="D894" t="str">
            <v>M/S Pagla Mama Auto Parts</v>
          </cell>
          <cell r="E894" t="str">
            <v>01170</v>
          </cell>
        </row>
        <row r="895">
          <cell r="D895" t="str">
            <v>M/S Pagla Mama Auto Parts</v>
          </cell>
          <cell r="E895" t="str">
            <v>01170</v>
          </cell>
        </row>
        <row r="896">
          <cell r="D896" t="str">
            <v>M/S Mashpi Battery &amp; Auto</v>
          </cell>
          <cell r="E896" t="str">
            <v>01152</v>
          </cell>
        </row>
        <row r="897">
          <cell r="D897" t="str">
            <v>M/S Mashpi Battery &amp; Auto</v>
          </cell>
          <cell r="E897" t="str">
            <v>01152</v>
          </cell>
        </row>
        <row r="898">
          <cell r="D898" t="str">
            <v>M/S Mashpi Battery &amp; Auto</v>
          </cell>
          <cell r="E898" t="str">
            <v>01152</v>
          </cell>
        </row>
        <row r="899">
          <cell r="D899" t="str">
            <v>M/S Al Madina Enterprise</v>
          </cell>
          <cell r="E899" t="str">
            <v>00814</v>
          </cell>
        </row>
        <row r="900">
          <cell r="D900" t="str">
            <v>M/S Oppo Parts &amp; Battery House</v>
          </cell>
          <cell r="E900" t="str">
            <v>01508</v>
          </cell>
        </row>
        <row r="901">
          <cell r="D901" t="str">
            <v>M/S Alam Battery House</v>
          </cell>
          <cell r="E901" t="str">
            <v>00442</v>
          </cell>
        </row>
        <row r="902">
          <cell r="D902" t="str">
            <v>M/S Oreya Enterprise</v>
          </cell>
          <cell r="E902" t="str">
            <v>00537</v>
          </cell>
        </row>
        <row r="903">
          <cell r="D903" t="str">
            <v>M/S Shikdar Auto House</v>
          </cell>
          <cell r="E903" t="str">
            <v>01493</v>
          </cell>
        </row>
        <row r="904">
          <cell r="D904" t="str">
            <v>M/S Satata Battery House (C)</v>
          </cell>
          <cell r="E904" t="str">
            <v>01517</v>
          </cell>
        </row>
        <row r="905">
          <cell r="D905" t="str">
            <v>M/S Sagorika Motors</v>
          </cell>
          <cell r="E905" t="str">
            <v>01503</v>
          </cell>
        </row>
        <row r="906">
          <cell r="D906" t="str">
            <v>M/S Satata Battery House (C)</v>
          </cell>
          <cell r="E906" t="str">
            <v>01517</v>
          </cell>
        </row>
        <row r="907">
          <cell r="D907" t="str">
            <v>M/S Allahar Dan Battery</v>
          </cell>
          <cell r="E907" t="str">
            <v>01466</v>
          </cell>
        </row>
      </sheetData>
      <sheetData sheetId="2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2"/>
      <sheetName val="Sheet4"/>
    </sheetNames>
    <sheetDataSet>
      <sheetData sheetId="0" refreshError="1"/>
      <sheetData sheetId="1" refreshError="1">
        <row r="8">
          <cell r="C8" t="str">
            <v>Customer Name</v>
          </cell>
          <cell r="D8" t="str">
            <v>cide</v>
          </cell>
        </row>
        <row r="9">
          <cell r="C9" t="str">
            <v>M/S Rumi Battery House</v>
          </cell>
          <cell r="D9" t="str">
            <v>00387</v>
          </cell>
        </row>
        <row r="10">
          <cell r="C10" t="str">
            <v>M/S Maa Battery Service</v>
          </cell>
          <cell r="D10" t="str">
            <v>00327</v>
          </cell>
        </row>
        <row r="11">
          <cell r="C11" t="str">
            <v>M/S Bismillah Motors-Hinla</v>
          </cell>
          <cell r="D11" t="str">
            <v>01448</v>
          </cell>
        </row>
        <row r="12">
          <cell r="C12" t="str">
            <v>M/S Tamim Enterprise</v>
          </cell>
          <cell r="D12" t="str">
            <v>01395</v>
          </cell>
        </row>
        <row r="13">
          <cell r="C13" t="str">
            <v>M/S Ira Motors</v>
          </cell>
          <cell r="D13" t="str">
            <v>00133</v>
          </cell>
        </row>
        <row r="14">
          <cell r="C14" t="str">
            <v>M/S Ira Motors</v>
          </cell>
          <cell r="D14" t="str">
            <v>00133</v>
          </cell>
        </row>
        <row r="15">
          <cell r="C15" t="str">
            <v>M/S Ira Motors</v>
          </cell>
          <cell r="D15" t="str">
            <v>00133</v>
          </cell>
        </row>
        <row r="16">
          <cell r="C16" t="str">
            <v>M/S Ira Motors</v>
          </cell>
          <cell r="D16" t="str">
            <v>00133</v>
          </cell>
        </row>
        <row r="17">
          <cell r="C17" t="str">
            <v>M/S Manir Battery Charging Station (C)</v>
          </cell>
          <cell r="D17" t="str">
            <v>01324</v>
          </cell>
        </row>
        <row r="18">
          <cell r="C18" t="str">
            <v>M/S Gausia Mill Store</v>
          </cell>
          <cell r="D18" t="str">
            <v>00615</v>
          </cell>
        </row>
        <row r="19">
          <cell r="C19" t="str">
            <v>M/S Gausia Mill Store</v>
          </cell>
          <cell r="D19" t="str">
            <v>00615</v>
          </cell>
        </row>
        <row r="20">
          <cell r="C20" t="str">
            <v>M/S Oreya Enterprise</v>
          </cell>
          <cell r="D20" t="str">
            <v>00537</v>
          </cell>
        </row>
        <row r="21">
          <cell r="C21" t="str">
            <v>M/S Anis Auto</v>
          </cell>
          <cell r="D21" t="str">
            <v>00685</v>
          </cell>
        </row>
        <row r="22">
          <cell r="C22" t="str">
            <v>M/S Gazipur Battery House</v>
          </cell>
          <cell r="D22" t="str">
            <v>00826</v>
          </cell>
        </row>
        <row r="23">
          <cell r="C23" t="str">
            <v>M/S S.B. Energy (C)</v>
          </cell>
          <cell r="D23" t="str">
            <v>01288</v>
          </cell>
        </row>
        <row r="24">
          <cell r="C24" t="str">
            <v>M/S Shah Mojidia Motor Parts</v>
          </cell>
          <cell r="D24" t="str">
            <v>00842</v>
          </cell>
        </row>
        <row r="25">
          <cell r="C25" t="str">
            <v>M/S Setu Cycle Mart</v>
          </cell>
          <cell r="D25" t="str">
            <v>00471</v>
          </cell>
        </row>
        <row r="26">
          <cell r="C26" t="str">
            <v>M/S Setu Cycle Mart</v>
          </cell>
          <cell r="D26" t="str">
            <v>00471</v>
          </cell>
        </row>
        <row r="27">
          <cell r="C27" t="str">
            <v>M/S Ekata Motors</v>
          </cell>
          <cell r="D27" t="str">
            <v>00419</v>
          </cell>
        </row>
        <row r="28">
          <cell r="C28" t="str">
            <v>M/S Macca Tyre And battery House</v>
          </cell>
          <cell r="D28" t="str">
            <v>00439</v>
          </cell>
        </row>
        <row r="29">
          <cell r="C29" t="str">
            <v>M/S Kalam Auto Motor Parts And Battery House</v>
          </cell>
          <cell r="D29" t="str">
            <v>00420</v>
          </cell>
        </row>
        <row r="30">
          <cell r="C30" t="str">
            <v>M/S Master Motor's</v>
          </cell>
          <cell r="D30" t="str">
            <v>00217</v>
          </cell>
        </row>
        <row r="31">
          <cell r="C31" t="str">
            <v>M/S H.N. Enterprise</v>
          </cell>
          <cell r="D31" t="str">
            <v>00448</v>
          </cell>
        </row>
        <row r="32">
          <cell r="C32" t="str">
            <v>M/S Khokon IPS &amp; Battery Center (C)</v>
          </cell>
          <cell r="D32" t="str">
            <v>01306</v>
          </cell>
        </row>
        <row r="33">
          <cell r="C33" t="str">
            <v>M/S S.S. Enterprise-Norshingdi (C)</v>
          </cell>
          <cell r="D33" t="str">
            <v>01331</v>
          </cell>
        </row>
        <row r="34">
          <cell r="C34" t="str">
            <v>M/S Anas Battery &amp; Auto House</v>
          </cell>
          <cell r="D34" t="str">
            <v>01401</v>
          </cell>
        </row>
        <row r="35">
          <cell r="C35" t="str">
            <v>M/S Anas Battery &amp; Auto House</v>
          </cell>
          <cell r="D35" t="str">
            <v>01401</v>
          </cell>
        </row>
        <row r="36">
          <cell r="C36" t="str">
            <v>M/S Samir Battery And Tyre</v>
          </cell>
          <cell r="D36" t="str">
            <v>01450</v>
          </cell>
        </row>
        <row r="37">
          <cell r="C37" t="str">
            <v>M/S Rashed Enterprise</v>
          </cell>
          <cell r="D37" t="str">
            <v>00030</v>
          </cell>
        </row>
        <row r="38">
          <cell r="C38" t="str">
            <v>M/S L D Poribahan &amp; Trading (C)</v>
          </cell>
          <cell r="D38" t="str">
            <v>01299</v>
          </cell>
        </row>
        <row r="39">
          <cell r="C39" t="str">
            <v>M/S Bondhu Auto and CNG Workshop</v>
          </cell>
          <cell r="D39" t="str">
            <v>01149</v>
          </cell>
        </row>
        <row r="40">
          <cell r="C40" t="str">
            <v>M/S Doyal Battery</v>
          </cell>
          <cell r="D40" t="str">
            <v>00337</v>
          </cell>
        </row>
        <row r="41">
          <cell r="C41" t="str">
            <v>M/S Pagla Mama Auto Parts</v>
          </cell>
          <cell r="D41" t="str">
            <v>01170</v>
          </cell>
        </row>
        <row r="42">
          <cell r="C42" t="str">
            <v>M/S Tamim Enterprise</v>
          </cell>
          <cell r="D42" t="str">
            <v>01395</v>
          </cell>
        </row>
        <row r="43">
          <cell r="C43" t="str">
            <v>M/S Rumi Battery House</v>
          </cell>
          <cell r="D43" t="str">
            <v>00387</v>
          </cell>
        </row>
        <row r="44">
          <cell r="C44" t="str">
            <v>M/S Tanvir Battery House</v>
          </cell>
          <cell r="D44" t="str">
            <v>01175</v>
          </cell>
        </row>
        <row r="45">
          <cell r="C45" t="str">
            <v>M/S Atik Auto</v>
          </cell>
          <cell r="D45" t="str">
            <v>00562</v>
          </cell>
        </row>
        <row r="46">
          <cell r="C46" t="str">
            <v>M/S Rafiq Vi Battery &amp; Auto</v>
          </cell>
          <cell r="D46" t="str">
            <v>01405</v>
          </cell>
        </row>
        <row r="47">
          <cell r="C47" t="str">
            <v>M/S Nazrul Battery and Mobil House</v>
          </cell>
          <cell r="D47" t="str">
            <v>00832</v>
          </cell>
        </row>
        <row r="48">
          <cell r="C48" t="str">
            <v>M/S Manir Battery Charging Station</v>
          </cell>
          <cell r="D48" t="str">
            <v>00833</v>
          </cell>
        </row>
        <row r="49">
          <cell r="C49" t="str">
            <v>M/S Sadiq Enterprise (C)</v>
          </cell>
          <cell r="D49" t="str">
            <v>01484</v>
          </cell>
        </row>
        <row r="50">
          <cell r="C50" t="str">
            <v>M/S Mashpi Battery &amp; Auto</v>
          </cell>
          <cell r="D50" t="str">
            <v>01152</v>
          </cell>
        </row>
        <row r="51">
          <cell r="C51" t="str">
            <v>M/S Mashpi Battery &amp; Auto</v>
          </cell>
          <cell r="D51" t="str">
            <v>01152</v>
          </cell>
        </row>
        <row r="52">
          <cell r="C52" t="str">
            <v>M/S Awlad Electronics</v>
          </cell>
          <cell r="D52" t="str">
            <v>01284</v>
          </cell>
        </row>
        <row r="53">
          <cell r="C53" t="str">
            <v>M/S Adnan Tyre and Battery House</v>
          </cell>
          <cell r="D53" t="str">
            <v>01371</v>
          </cell>
        </row>
        <row r="54">
          <cell r="C54" t="str">
            <v>M/S New Asia Motors</v>
          </cell>
          <cell r="D54" t="str">
            <v>00051</v>
          </cell>
        </row>
        <row r="55">
          <cell r="C55" t="str">
            <v>M/S Shah Mojidia Motor Parts</v>
          </cell>
          <cell r="D55" t="str">
            <v>00842</v>
          </cell>
        </row>
        <row r="56">
          <cell r="C56" t="str">
            <v>M/S Raja Enterprise</v>
          </cell>
          <cell r="D56" t="str">
            <v>01077</v>
          </cell>
        </row>
        <row r="57">
          <cell r="C57" t="str">
            <v>M/S Macca Tyre And battery House</v>
          </cell>
          <cell r="D57" t="str">
            <v>00439</v>
          </cell>
        </row>
        <row r="58">
          <cell r="C58" t="str">
            <v>M/S Musulli Enterprise</v>
          </cell>
          <cell r="D58" t="str">
            <v>00091</v>
          </cell>
        </row>
        <row r="59">
          <cell r="C59" t="str">
            <v>M/S Belal Battery House</v>
          </cell>
          <cell r="D59" t="str">
            <v>01461</v>
          </cell>
        </row>
        <row r="60">
          <cell r="C60" t="str">
            <v>M/S Farhan Auto (C)</v>
          </cell>
          <cell r="D60" t="str">
            <v>01298</v>
          </cell>
        </row>
        <row r="61">
          <cell r="C61" t="str">
            <v>M/S Minara Traders</v>
          </cell>
          <cell r="D61" t="str">
            <v>01108</v>
          </cell>
        </row>
        <row r="62">
          <cell r="C62" t="str">
            <v>M/S Bismillah Battery House -Sylhet</v>
          </cell>
          <cell r="D62" t="str">
            <v>00389</v>
          </cell>
        </row>
        <row r="63">
          <cell r="C63" t="str">
            <v>M/S Doyal Battery</v>
          </cell>
          <cell r="D63" t="str">
            <v>00337</v>
          </cell>
        </row>
        <row r="64">
          <cell r="C64" t="str">
            <v>M/S Rasel Bettary Service</v>
          </cell>
          <cell r="D64" t="str">
            <v>01380</v>
          </cell>
        </row>
        <row r="65">
          <cell r="C65" t="str">
            <v>M/S S.S. Enterprise-Norshingdi (C)</v>
          </cell>
          <cell r="D65" t="str">
            <v>01331</v>
          </cell>
        </row>
        <row r="66">
          <cell r="C66" t="str">
            <v>M/S Naima Auto Tyre &amp; Battery</v>
          </cell>
          <cell r="D66" t="str">
            <v>00047</v>
          </cell>
        </row>
        <row r="67">
          <cell r="C67" t="str">
            <v>M/S Mashpi Battery &amp; Auto</v>
          </cell>
          <cell r="D67" t="str">
            <v>01152</v>
          </cell>
        </row>
        <row r="68">
          <cell r="C68" t="str">
            <v>M/S Rakin Auto Parts</v>
          </cell>
          <cell r="D68" t="str">
            <v>00561</v>
          </cell>
        </row>
        <row r="69">
          <cell r="C69" t="str">
            <v>M/S Rafiq Vi Battery &amp; Auto</v>
          </cell>
          <cell r="D69" t="str">
            <v>01405</v>
          </cell>
        </row>
        <row r="70">
          <cell r="C70" t="str">
            <v>M/S Housing Auto Bike</v>
          </cell>
          <cell r="D70" t="str">
            <v>00598</v>
          </cell>
        </row>
        <row r="71">
          <cell r="C71" t="str">
            <v>M/S Maa Auto Workshop &amp; Battery Center</v>
          </cell>
          <cell r="D71" t="str">
            <v>01131</v>
          </cell>
        </row>
        <row r="72">
          <cell r="C72" t="str">
            <v>M/S Manir Battery Charging Station</v>
          </cell>
          <cell r="D72" t="str">
            <v>00833</v>
          </cell>
        </row>
        <row r="73">
          <cell r="C73" t="str">
            <v>M/S Nirob Motors &amp; Battery</v>
          </cell>
          <cell r="D73" t="str">
            <v>01485</v>
          </cell>
        </row>
        <row r="74">
          <cell r="C74" t="str">
            <v>M/S Mollah Enterprise - Gopalgonj (C)</v>
          </cell>
          <cell r="D74" t="str">
            <v>01509</v>
          </cell>
        </row>
        <row r="75">
          <cell r="C75" t="str">
            <v>M/S Doyal Battery</v>
          </cell>
          <cell r="D75" t="str">
            <v>00337</v>
          </cell>
        </row>
        <row r="76">
          <cell r="C76" t="str">
            <v>M/S Bondhu Auto and CNG Workshop</v>
          </cell>
          <cell r="D76" t="str">
            <v>01149</v>
          </cell>
        </row>
        <row r="77">
          <cell r="C77" t="str">
            <v>M/S Shahjalal Traders</v>
          </cell>
          <cell r="D77" t="str">
            <v>01362</v>
          </cell>
        </row>
        <row r="78">
          <cell r="C78" t="str">
            <v>M/S Comilla Traders</v>
          </cell>
          <cell r="D78" t="str">
            <v>00334</v>
          </cell>
        </row>
        <row r="79">
          <cell r="C79" t="str">
            <v>M/S Shah Mojidia Motor Parts</v>
          </cell>
          <cell r="D79" t="str">
            <v>00842</v>
          </cell>
        </row>
        <row r="80">
          <cell r="C80" t="str">
            <v>M/S Khokon IPS &amp; Battery Center</v>
          </cell>
          <cell r="D80" t="str">
            <v>00330</v>
          </cell>
        </row>
        <row r="81">
          <cell r="C81" t="str">
            <v>M/S Anas Battery &amp; Auto House</v>
          </cell>
          <cell r="D81" t="str">
            <v>01401</v>
          </cell>
        </row>
        <row r="82">
          <cell r="C82" t="str">
            <v>M/S Anas Battery &amp; Auto House</v>
          </cell>
          <cell r="D82" t="str">
            <v>01401</v>
          </cell>
        </row>
        <row r="83">
          <cell r="C83" t="str">
            <v>M/S Mohanagar Motors</v>
          </cell>
          <cell r="D83" t="str">
            <v>00331</v>
          </cell>
        </row>
        <row r="84">
          <cell r="C84" t="str">
            <v>M/S Jogotbondhu Battery &amp; Eng. Workshop</v>
          </cell>
          <cell r="D84" t="str">
            <v>00143</v>
          </cell>
        </row>
        <row r="85">
          <cell r="C85" t="str">
            <v>M/S Rafi Battery House</v>
          </cell>
          <cell r="D85" t="str">
            <v>00410</v>
          </cell>
        </row>
        <row r="86">
          <cell r="C86" t="str">
            <v>M/S Tawhid Motors</v>
          </cell>
          <cell r="D86" t="str">
            <v>00006</v>
          </cell>
        </row>
        <row r="87">
          <cell r="C87" t="str">
            <v>M/S Tawhid Motors</v>
          </cell>
          <cell r="D87" t="str">
            <v>00006</v>
          </cell>
        </row>
        <row r="88">
          <cell r="C88" t="str">
            <v>M/S Snigdha Battery</v>
          </cell>
          <cell r="D88" t="str">
            <v>00134</v>
          </cell>
        </row>
        <row r="89">
          <cell r="C89" t="str">
            <v>M/S Monir Auto &amp; Battery House</v>
          </cell>
          <cell r="D89" t="str">
            <v>00001</v>
          </cell>
        </row>
        <row r="90">
          <cell r="C90" t="str">
            <v>M/S Raju Battery</v>
          </cell>
          <cell r="D90" t="str">
            <v>00519</v>
          </cell>
        </row>
        <row r="91">
          <cell r="C91" t="str">
            <v>M/S Rafiq Vi Battery &amp; Auto</v>
          </cell>
          <cell r="D91" t="str">
            <v>01405</v>
          </cell>
        </row>
        <row r="92">
          <cell r="C92" t="str">
            <v>M/S Housing Auto Bike</v>
          </cell>
          <cell r="D92" t="str">
            <v>00598</v>
          </cell>
        </row>
        <row r="93">
          <cell r="C93" t="str">
            <v>M/S Sompa Cycle Store</v>
          </cell>
          <cell r="D93" t="str">
            <v>01252</v>
          </cell>
        </row>
        <row r="94">
          <cell r="C94" t="str">
            <v>M/S S.K. Motors - Kushtia</v>
          </cell>
          <cell r="D94" t="str">
            <v>01057</v>
          </cell>
        </row>
        <row r="95">
          <cell r="C95" t="str">
            <v>M/S Battery House - Pabna (C)</v>
          </cell>
          <cell r="D95" t="str">
            <v>01315</v>
          </cell>
        </row>
        <row r="96">
          <cell r="C96" t="str">
            <v>M/S Chapai Auto Battery House</v>
          </cell>
          <cell r="D96" t="str">
            <v>01487</v>
          </cell>
        </row>
        <row r="97">
          <cell r="C97" t="str">
            <v>M/S Farhan Battery &amp; Auto Parts</v>
          </cell>
          <cell r="D97" t="str">
            <v>01470</v>
          </cell>
        </row>
        <row r="98">
          <cell r="C98" t="str">
            <v>M/S Al - Barakah Battery &amp; Auto Parts</v>
          </cell>
          <cell r="D98" t="str">
            <v>01476</v>
          </cell>
        </row>
        <row r="99">
          <cell r="C99" t="str">
            <v>M/S Shuvo Enterprise</v>
          </cell>
          <cell r="D99" t="str">
            <v>00622</v>
          </cell>
        </row>
        <row r="100">
          <cell r="C100" t="str">
            <v>M/S Shuvo Enterprise</v>
          </cell>
          <cell r="D100" t="str">
            <v>00622</v>
          </cell>
        </row>
        <row r="101">
          <cell r="C101" t="str">
            <v>M/S Al Baraka Enterprise</v>
          </cell>
          <cell r="D101" t="str">
            <v>00159</v>
          </cell>
        </row>
        <row r="102">
          <cell r="C102" t="str">
            <v>M/S Takwa Enterprise</v>
          </cell>
          <cell r="D102" t="str">
            <v>00847</v>
          </cell>
        </row>
        <row r="103">
          <cell r="C103" t="str">
            <v>M/S Doyal Battery</v>
          </cell>
          <cell r="D103" t="str">
            <v>00337</v>
          </cell>
        </row>
        <row r="104">
          <cell r="C104" t="str">
            <v>M/S Setu Cycle Mart</v>
          </cell>
          <cell r="D104" t="str">
            <v>00471</v>
          </cell>
        </row>
        <row r="105">
          <cell r="C105" t="str">
            <v>M/S Setu Cycle Mart</v>
          </cell>
          <cell r="D105" t="str">
            <v>00471</v>
          </cell>
        </row>
        <row r="106">
          <cell r="C106" t="str">
            <v>M/S Golden Bike</v>
          </cell>
          <cell r="D106" t="str">
            <v>00625</v>
          </cell>
        </row>
        <row r="107">
          <cell r="C107" t="str">
            <v>M/S Setu Cycle Mart</v>
          </cell>
          <cell r="D107" t="str">
            <v>00471</v>
          </cell>
        </row>
        <row r="108">
          <cell r="C108" t="str">
            <v>M/S Setu Cycle Mart</v>
          </cell>
          <cell r="D108" t="str">
            <v>00471</v>
          </cell>
        </row>
        <row r="109">
          <cell r="C109" t="str">
            <v>M/S Shah Mojidia Motor Parts</v>
          </cell>
          <cell r="D109" t="str">
            <v>00842</v>
          </cell>
        </row>
        <row r="110">
          <cell r="C110" t="str">
            <v>M/S Hira Motors-Chokoria</v>
          </cell>
          <cell r="D110" t="str">
            <v>01441</v>
          </cell>
        </row>
        <row r="111">
          <cell r="C111" t="str">
            <v>M/S Adnan Tyre and Battery House</v>
          </cell>
          <cell r="D111" t="str">
            <v>01371</v>
          </cell>
        </row>
        <row r="112">
          <cell r="C112" t="str">
            <v>M/S Ananna Battery &amp; Tyre</v>
          </cell>
          <cell r="D112" t="str">
            <v>01088</v>
          </cell>
        </row>
        <row r="113">
          <cell r="C113" t="str">
            <v>M/S Rashed Enterprise</v>
          </cell>
          <cell r="D113" t="str">
            <v>00030</v>
          </cell>
        </row>
        <row r="114">
          <cell r="C114" t="str">
            <v>M/S Nasir Motors</v>
          </cell>
          <cell r="D114" t="str">
            <v>01248</v>
          </cell>
        </row>
        <row r="115">
          <cell r="C115" t="str">
            <v>M/S Talukder Motors (C)</v>
          </cell>
          <cell r="D115" t="str">
            <v>01471</v>
          </cell>
        </row>
        <row r="116">
          <cell r="C116" t="str">
            <v>M/S Fateha Battery</v>
          </cell>
          <cell r="D116" t="str">
            <v>00388</v>
          </cell>
        </row>
        <row r="117">
          <cell r="C117" t="str">
            <v>M/S S.S. Enterprise-Norshingdi (C)</v>
          </cell>
          <cell r="D117" t="str">
            <v>01331</v>
          </cell>
        </row>
        <row r="118">
          <cell r="C118" t="str">
            <v>M/S Modina Cycle Store</v>
          </cell>
          <cell r="D118" t="str">
            <v>01270</v>
          </cell>
        </row>
        <row r="119">
          <cell r="C119" t="str">
            <v>M/S Rakin Auto Parts</v>
          </cell>
          <cell r="D119" t="str">
            <v>00561</v>
          </cell>
        </row>
        <row r="120">
          <cell r="C120" t="str">
            <v>M/S Housing Auto Bike</v>
          </cell>
          <cell r="D120" t="str">
            <v>00598</v>
          </cell>
        </row>
        <row r="121">
          <cell r="C121" t="str">
            <v>M/S Battery And IPS Bazar (C)</v>
          </cell>
          <cell r="D121" t="str">
            <v>01505</v>
          </cell>
        </row>
        <row r="122">
          <cell r="C122" t="str">
            <v>M/S Shuvo Enterprise</v>
          </cell>
          <cell r="D122" t="str">
            <v>00622</v>
          </cell>
        </row>
        <row r="123">
          <cell r="C123" t="str">
            <v>M/S Gausia Mill Store</v>
          </cell>
          <cell r="D123" t="str">
            <v>00615</v>
          </cell>
        </row>
        <row r="124">
          <cell r="C124" t="str">
            <v>M/S S. K. Battery and Motors</v>
          </cell>
          <cell r="D124" t="str">
            <v>01458</v>
          </cell>
        </row>
        <row r="125">
          <cell r="C125" t="str">
            <v>M/S Molla Battery House (C)</v>
          </cell>
          <cell r="D125" t="str">
            <v>01428</v>
          </cell>
        </row>
        <row r="126">
          <cell r="C126" t="str">
            <v>M/S Shopon Battery House (C)</v>
          </cell>
          <cell r="D126" t="str">
            <v>01320</v>
          </cell>
        </row>
        <row r="127">
          <cell r="C127" t="str">
            <v>M/S Rajdhani Motors</v>
          </cell>
          <cell r="D127" t="str">
            <v>01463</v>
          </cell>
        </row>
        <row r="128">
          <cell r="C128" t="str">
            <v>M/S Shahjalal Traders</v>
          </cell>
          <cell r="D128" t="str">
            <v>01362</v>
          </cell>
        </row>
        <row r="129">
          <cell r="C129" t="str">
            <v>M/S Shah Mojidia Motor Parts</v>
          </cell>
          <cell r="D129" t="str">
            <v>00842</v>
          </cell>
        </row>
        <row r="130">
          <cell r="C130" t="str">
            <v>M/S Macca Tyre And battery House</v>
          </cell>
          <cell r="D130" t="str">
            <v>00439</v>
          </cell>
        </row>
        <row r="131">
          <cell r="C131" t="str">
            <v>M/S Macca Tyre And battery House</v>
          </cell>
          <cell r="D131" t="str">
            <v>00439</v>
          </cell>
        </row>
        <row r="132">
          <cell r="C132" t="str">
            <v>M/S Raja Enterprise</v>
          </cell>
          <cell r="D132" t="str">
            <v>01077</v>
          </cell>
        </row>
        <row r="133">
          <cell r="C133" t="str">
            <v>M/S Rumi Battery House</v>
          </cell>
          <cell r="D133" t="str">
            <v>00387</v>
          </cell>
        </row>
        <row r="134">
          <cell r="C134" t="str">
            <v>M/S Tanvir Battery House</v>
          </cell>
          <cell r="D134" t="str">
            <v>01175</v>
          </cell>
        </row>
        <row r="135">
          <cell r="C135" t="str">
            <v>M/S Samir Battery And Tyre</v>
          </cell>
          <cell r="D135" t="str">
            <v>01450</v>
          </cell>
        </row>
        <row r="136">
          <cell r="C136" t="str">
            <v>M/S Khokon IPS &amp; Battery Center</v>
          </cell>
          <cell r="D136" t="str">
            <v>00330</v>
          </cell>
        </row>
        <row r="137">
          <cell r="C137" t="str">
            <v>M/S Khalaq Motors-Feni</v>
          </cell>
          <cell r="D137" t="str">
            <v>01133</v>
          </cell>
        </row>
        <row r="138">
          <cell r="C138" t="str">
            <v>M/S Jom Jom Battery &amp; Parts</v>
          </cell>
          <cell r="D138" t="str">
            <v>01492</v>
          </cell>
        </row>
        <row r="139">
          <cell r="C139" t="str">
            <v>M/S Rajapur IPS &amp; Battery House</v>
          </cell>
          <cell r="D139" t="str">
            <v>01400</v>
          </cell>
        </row>
        <row r="140">
          <cell r="C140" t="str">
            <v>M/S Maa Battery Service</v>
          </cell>
          <cell r="D140" t="str">
            <v>00327</v>
          </cell>
        </row>
        <row r="141">
          <cell r="C141" t="str">
            <v>M/S Tanim Traders and Battery House</v>
          </cell>
          <cell r="D141" t="str">
            <v>00160</v>
          </cell>
        </row>
        <row r="142">
          <cell r="C142" t="str">
            <v>M/S Tanim Traders and Battery House</v>
          </cell>
          <cell r="D142" t="str">
            <v>00160</v>
          </cell>
        </row>
        <row r="143">
          <cell r="C143" t="str">
            <v>M/S S.S. Enterprise-Norshingdi (C)</v>
          </cell>
          <cell r="D143" t="str">
            <v>01331</v>
          </cell>
        </row>
        <row r="144">
          <cell r="C144" t="str">
            <v>M/S Sajib Enterprise (C)</v>
          </cell>
          <cell r="D144" t="str">
            <v>01353</v>
          </cell>
        </row>
        <row r="145">
          <cell r="C145" t="str">
            <v>M/S Mashpi Battery &amp; Auto</v>
          </cell>
          <cell r="D145" t="str">
            <v>01152</v>
          </cell>
        </row>
        <row r="146">
          <cell r="C146" t="str">
            <v>M/S Anik Motors &amp; Battery (C)</v>
          </cell>
          <cell r="D146" t="str">
            <v>01444</v>
          </cell>
        </row>
        <row r="147">
          <cell r="C147" t="str">
            <v>M/S Adnan Tyre and Battery House</v>
          </cell>
          <cell r="D147" t="str">
            <v>01371</v>
          </cell>
        </row>
        <row r="148">
          <cell r="C148" t="str">
            <v>M/S Sadia Enterprise</v>
          </cell>
          <cell r="D148" t="str">
            <v>01490</v>
          </cell>
        </row>
        <row r="149">
          <cell r="C149" t="str">
            <v>M/S Tamim Enterprise</v>
          </cell>
          <cell r="D149" t="str">
            <v>01395</v>
          </cell>
        </row>
        <row r="150">
          <cell r="C150" t="str">
            <v>M/S Oppo Parts &amp; Battery House</v>
          </cell>
          <cell r="D150" t="str">
            <v>01508</v>
          </cell>
        </row>
        <row r="151">
          <cell r="C151" t="str">
            <v>M/S Adnan Tyre and Battery House</v>
          </cell>
          <cell r="D151" t="str">
            <v>01371</v>
          </cell>
        </row>
        <row r="152">
          <cell r="C152" t="str">
            <v>M/S Tamim Enterprise</v>
          </cell>
          <cell r="D152" t="str">
            <v>01395</v>
          </cell>
        </row>
        <row r="153">
          <cell r="C153" t="str">
            <v>M/S Bondhu Motors</v>
          </cell>
          <cell r="D153" t="str">
            <v>01147</v>
          </cell>
        </row>
        <row r="154">
          <cell r="C154" t="str">
            <v>M/S Sadaf Auto &amp;  Vulcanizing Corner</v>
          </cell>
          <cell r="D154" t="str">
            <v>00089</v>
          </cell>
        </row>
        <row r="155">
          <cell r="C155" t="str">
            <v>M/S Rafiq Vi Battery &amp; Auto</v>
          </cell>
          <cell r="D155" t="str">
            <v>01405</v>
          </cell>
        </row>
        <row r="156">
          <cell r="C156" t="str">
            <v>M/S S S Trading</v>
          </cell>
          <cell r="D156" t="str">
            <v>00846</v>
          </cell>
        </row>
        <row r="157">
          <cell r="C157" t="str">
            <v>M/S Kalam Store</v>
          </cell>
          <cell r="D157" t="str">
            <v>01436</v>
          </cell>
        </row>
        <row r="158">
          <cell r="C158" t="str">
            <v>M/S Farhan Battery &amp; Auto Parts</v>
          </cell>
          <cell r="D158" t="str">
            <v>01470</v>
          </cell>
        </row>
        <row r="159">
          <cell r="C159" t="str">
            <v>M/S Adib Alifa Auto &amp; Battery House</v>
          </cell>
          <cell r="D159" t="str">
            <v>01465</v>
          </cell>
        </row>
        <row r="160">
          <cell r="C160" t="str">
            <v>M/S Oreya Enterprise</v>
          </cell>
          <cell r="D160" t="str">
            <v>00537</v>
          </cell>
        </row>
        <row r="161">
          <cell r="C161" t="str">
            <v>M/S New China Auto Traders (C)</v>
          </cell>
          <cell r="D161" t="str">
            <v>01511</v>
          </cell>
        </row>
        <row r="162">
          <cell r="C162" t="str">
            <v>M/S Shopon Battery House (C)</v>
          </cell>
          <cell r="D162" t="str">
            <v>01320</v>
          </cell>
        </row>
        <row r="163">
          <cell r="C163" t="str">
            <v>M/S Gausia Mill Store</v>
          </cell>
          <cell r="D163" t="str">
            <v>00615</v>
          </cell>
        </row>
        <row r="164">
          <cell r="C164" t="str">
            <v>M/S Shuvo Enterprise</v>
          </cell>
          <cell r="D164" t="str">
            <v>00622</v>
          </cell>
        </row>
        <row r="165">
          <cell r="C165" t="str">
            <v>M/S Shuvo Enterprise</v>
          </cell>
          <cell r="D165" t="str">
            <v>00622</v>
          </cell>
        </row>
        <row r="166">
          <cell r="C166" t="str">
            <v>M/S New Raju Battery</v>
          </cell>
          <cell r="D166" t="str">
            <v>00498</v>
          </cell>
        </row>
        <row r="167">
          <cell r="C167" t="str">
            <v>M/S Shuvo Enterprise</v>
          </cell>
          <cell r="D167" t="str">
            <v>00622</v>
          </cell>
        </row>
        <row r="168">
          <cell r="C168" t="str">
            <v>M/S New Raju Battery</v>
          </cell>
          <cell r="D168" t="str">
            <v>00498</v>
          </cell>
        </row>
        <row r="169">
          <cell r="C169" t="str">
            <v>M/S Sadiq Enterprise (C)</v>
          </cell>
          <cell r="D169" t="str">
            <v>01484</v>
          </cell>
        </row>
        <row r="170">
          <cell r="C170" t="str">
            <v>M/S Alif Ananda Auto and Battery House</v>
          </cell>
          <cell r="D170" t="str">
            <v>01513</v>
          </cell>
        </row>
        <row r="171">
          <cell r="C171" t="str">
            <v>M/S Shekh Enterprise - Khulna</v>
          </cell>
          <cell r="D171" t="str">
            <v>01435</v>
          </cell>
        </row>
        <row r="172">
          <cell r="C172" t="str">
            <v>M/S New Dhaka Motors and Battery</v>
          </cell>
          <cell r="D172" t="str">
            <v>00005</v>
          </cell>
        </row>
        <row r="173">
          <cell r="C173" t="str">
            <v>M/S Ananna Battery &amp; Tyre</v>
          </cell>
          <cell r="D173" t="str">
            <v>01088</v>
          </cell>
        </row>
        <row r="174">
          <cell r="C174" t="str">
            <v>M/S Rashed Enterprise</v>
          </cell>
          <cell r="D174" t="str">
            <v>00030</v>
          </cell>
        </row>
        <row r="175">
          <cell r="C175" t="str">
            <v>M/S Monir Auto &amp; Battery House</v>
          </cell>
          <cell r="D175" t="str">
            <v>00001</v>
          </cell>
        </row>
        <row r="176">
          <cell r="C176" t="str">
            <v>M/S Arafat Enterprise</v>
          </cell>
          <cell r="D176" t="str">
            <v>00094</v>
          </cell>
        </row>
        <row r="177">
          <cell r="C177" t="str">
            <v>M/S Sawda Auto and Battery</v>
          </cell>
          <cell r="D177" t="str">
            <v>01261</v>
          </cell>
        </row>
        <row r="178">
          <cell r="C178" t="str">
            <v>M/S Al Amin-2 Sanitary Hardware &amp; Cycle Store</v>
          </cell>
          <cell r="D178" t="str">
            <v>01272</v>
          </cell>
        </row>
        <row r="179">
          <cell r="C179" t="str">
            <v>M/S Shikdar Auto House</v>
          </cell>
          <cell r="D179" t="str">
            <v>01493</v>
          </cell>
        </row>
        <row r="180">
          <cell r="C180" t="str">
            <v>M/S Bondhu Auto and CNG Workshop</v>
          </cell>
          <cell r="D180" t="str">
            <v>01149</v>
          </cell>
        </row>
        <row r="181">
          <cell r="C181" t="str">
            <v>M/S Bondhu Auto and CNG Workshop</v>
          </cell>
          <cell r="D181" t="str">
            <v>01149</v>
          </cell>
        </row>
        <row r="182">
          <cell r="C182" t="str">
            <v>M/S Doyal Battery</v>
          </cell>
          <cell r="D182" t="str">
            <v>00337</v>
          </cell>
        </row>
        <row r="183">
          <cell r="C183" t="str">
            <v>M/S Minara Traders</v>
          </cell>
          <cell r="D183" t="str">
            <v>01108</v>
          </cell>
        </row>
        <row r="184">
          <cell r="C184" t="str">
            <v>M/S Khokon IPS &amp; Battery Center</v>
          </cell>
          <cell r="D184" t="str">
            <v>00330</v>
          </cell>
        </row>
        <row r="185">
          <cell r="C185" t="str">
            <v>M/S Khan Auto Bike &amp; Battery</v>
          </cell>
          <cell r="D185" t="str">
            <v>00180</v>
          </cell>
        </row>
        <row r="186">
          <cell r="C186" t="str">
            <v>M/S Maa Battery Service</v>
          </cell>
          <cell r="D186" t="str">
            <v>00327</v>
          </cell>
        </row>
        <row r="187">
          <cell r="C187" t="str">
            <v>M/S Rajapur IPS &amp; Battery House</v>
          </cell>
          <cell r="D187" t="str">
            <v>01400</v>
          </cell>
        </row>
        <row r="188">
          <cell r="C188" t="str">
            <v>M/S Laksam Battery House</v>
          </cell>
          <cell r="D188" t="str">
            <v>00336</v>
          </cell>
        </row>
        <row r="189">
          <cell r="C189" t="str">
            <v>M/S Samir Battery And Tyre</v>
          </cell>
          <cell r="D189" t="str">
            <v>01450</v>
          </cell>
        </row>
        <row r="190">
          <cell r="C190" t="str">
            <v>M/S Bhai Bhai Traders-Kendua</v>
          </cell>
          <cell r="D190" t="str">
            <v>00165</v>
          </cell>
        </row>
        <row r="191">
          <cell r="C191" t="str">
            <v>M/S L D Poribahan &amp; Trading (C)</v>
          </cell>
          <cell r="D191" t="str">
            <v>01299</v>
          </cell>
        </row>
        <row r="192">
          <cell r="C192" t="str">
            <v>M/S Setu Cycle Mart</v>
          </cell>
          <cell r="D192" t="str">
            <v>00471</v>
          </cell>
        </row>
        <row r="193">
          <cell r="C193" t="str">
            <v>M/S Setu Cycle Mart</v>
          </cell>
          <cell r="D193" t="str">
            <v>00471</v>
          </cell>
        </row>
        <row r="194">
          <cell r="C194" t="str">
            <v>M/S Shah Mojidia Motor Parts</v>
          </cell>
          <cell r="D194" t="str">
            <v>00842</v>
          </cell>
        </row>
        <row r="195">
          <cell r="C195" t="str">
            <v>M/S Tazal Enterprise</v>
          </cell>
          <cell r="D195" t="str">
            <v>00453</v>
          </cell>
        </row>
        <row r="196">
          <cell r="C196" t="str">
            <v>M/S Bandhu Auto Centre</v>
          </cell>
          <cell r="D196" t="str">
            <v>00573</v>
          </cell>
        </row>
        <row r="197">
          <cell r="C197" t="str">
            <v>M/S Rafiq Vi Battery &amp; Auto</v>
          </cell>
          <cell r="D197" t="str">
            <v>01405</v>
          </cell>
        </row>
        <row r="198">
          <cell r="C198" t="str">
            <v>M/S Housing Auto Bike</v>
          </cell>
          <cell r="D198" t="str">
            <v>00598</v>
          </cell>
        </row>
        <row r="199">
          <cell r="C199" t="str">
            <v>M/S Sompa Cycle Store</v>
          </cell>
          <cell r="D199" t="str">
            <v>01252</v>
          </cell>
        </row>
        <row r="200">
          <cell r="C200" t="str">
            <v>M/S Maa Auto Workshop &amp; Battery Center (C)</v>
          </cell>
          <cell r="D200" t="str">
            <v>01497</v>
          </cell>
        </row>
        <row r="201">
          <cell r="C201" t="str">
            <v>M/S Bhai Bhai Battery And Motors (C)</v>
          </cell>
          <cell r="D201" t="str">
            <v>01496</v>
          </cell>
        </row>
        <row r="202">
          <cell r="C202" t="str">
            <v>M/S Molla Battery House (C)</v>
          </cell>
          <cell r="D202" t="str">
            <v>01428</v>
          </cell>
        </row>
        <row r="203">
          <cell r="C203" t="str">
            <v>M/S National Battery - Lalmonirhat</v>
          </cell>
          <cell r="D203" t="str">
            <v>00579</v>
          </cell>
        </row>
        <row r="204">
          <cell r="C204" t="str">
            <v>M/S AL - Modina Traders</v>
          </cell>
          <cell r="D204" t="str">
            <v>01500</v>
          </cell>
        </row>
        <row r="205">
          <cell r="C205" t="str">
            <v>M/S Doyal Battery</v>
          </cell>
          <cell r="D205" t="str">
            <v>00337</v>
          </cell>
        </row>
        <row r="206">
          <cell r="C206" t="str">
            <v>M/S Shahjalal Traders</v>
          </cell>
          <cell r="D206" t="str">
            <v>01362</v>
          </cell>
        </row>
        <row r="207">
          <cell r="C207" t="str">
            <v>M/S Comilla Traders</v>
          </cell>
          <cell r="D207" t="str">
            <v>00334</v>
          </cell>
        </row>
        <row r="208">
          <cell r="C208" t="str">
            <v>M/S Samir Battery And Tyre</v>
          </cell>
          <cell r="D208" t="str">
            <v>01450</v>
          </cell>
        </row>
        <row r="209">
          <cell r="C209" t="str">
            <v>M/S New Al-Amin Battery House</v>
          </cell>
          <cell r="D209" t="str">
            <v>00270</v>
          </cell>
        </row>
        <row r="210">
          <cell r="C210" t="str">
            <v>M/S Mashpi Battery &amp; Auto</v>
          </cell>
          <cell r="D210" t="str">
            <v>01152</v>
          </cell>
        </row>
        <row r="211">
          <cell r="C211" t="str">
            <v>M/S Al Madina Enterprise</v>
          </cell>
          <cell r="D211" t="str">
            <v>00814</v>
          </cell>
        </row>
        <row r="212">
          <cell r="C212" t="str">
            <v>M/S A.P.L. Auto House</v>
          </cell>
          <cell r="D212" t="str">
            <v>00328</v>
          </cell>
        </row>
        <row r="213">
          <cell r="C213" t="str">
            <v>M/S National Motors-Feni</v>
          </cell>
          <cell r="D213" t="str">
            <v>01102</v>
          </cell>
        </row>
        <row r="214">
          <cell r="C214" t="str">
            <v>M/S S.S. Enterprise-Norshingdi (C)</v>
          </cell>
          <cell r="D214" t="str">
            <v>01331</v>
          </cell>
        </row>
        <row r="215">
          <cell r="C215" t="str">
            <v>M/S Monir Auto &amp; Battery House</v>
          </cell>
          <cell r="D215" t="str">
            <v>00001</v>
          </cell>
        </row>
        <row r="216">
          <cell r="C216" t="str">
            <v>M/S Monir Auto &amp; Battery House</v>
          </cell>
          <cell r="D216" t="str">
            <v>00001</v>
          </cell>
        </row>
        <row r="217">
          <cell r="C217" t="str">
            <v>M/S Adnan Tyre and Battery House</v>
          </cell>
          <cell r="D217" t="str">
            <v>01371</v>
          </cell>
        </row>
        <row r="218">
          <cell r="C218" t="str">
            <v>M/S Adnan Tyre and Battery House</v>
          </cell>
          <cell r="D218" t="str">
            <v>01371</v>
          </cell>
        </row>
        <row r="219">
          <cell r="C219" t="str">
            <v>M/S Rashed Enterprise</v>
          </cell>
          <cell r="D219" t="str">
            <v>00030</v>
          </cell>
        </row>
        <row r="220">
          <cell r="C220" t="str">
            <v>M/S Ripon Tyre and Battery</v>
          </cell>
          <cell r="D220" t="str">
            <v>00002</v>
          </cell>
        </row>
        <row r="221">
          <cell r="C221" t="str">
            <v>M/S Taiyeba Motors</v>
          </cell>
          <cell r="D221" t="str">
            <v>01394</v>
          </cell>
        </row>
        <row r="222">
          <cell r="C222" t="str">
            <v>M/S Modina Cycle Store</v>
          </cell>
          <cell r="D222" t="str">
            <v>01270</v>
          </cell>
        </row>
        <row r="223">
          <cell r="C223" t="str">
            <v>M/S Macca Tyre And battery House</v>
          </cell>
          <cell r="D223" t="str">
            <v>00439</v>
          </cell>
        </row>
        <row r="224">
          <cell r="C224" t="str">
            <v>M/S S.K. Enterprise (C)</v>
          </cell>
          <cell r="D224" t="str">
            <v>01326</v>
          </cell>
        </row>
        <row r="225">
          <cell r="C225" t="str">
            <v>M/S Shah Mojidia Motor Parts</v>
          </cell>
          <cell r="D225" t="str">
            <v>00842</v>
          </cell>
        </row>
        <row r="226">
          <cell r="C226" t="str">
            <v>M/S Setu Cycle Mart</v>
          </cell>
          <cell r="D226" t="str">
            <v>00471</v>
          </cell>
        </row>
        <row r="227">
          <cell r="C227" t="str">
            <v>M/S Setu Cycle Mart</v>
          </cell>
          <cell r="D227" t="str">
            <v>00471</v>
          </cell>
        </row>
        <row r="228">
          <cell r="C228" t="str">
            <v>M/S Setu Cycle Mart</v>
          </cell>
          <cell r="D228" t="str">
            <v>00471</v>
          </cell>
        </row>
        <row r="229">
          <cell r="C229" t="str">
            <v>M/S Setu Cycle Mart</v>
          </cell>
          <cell r="D229" t="str">
            <v>00471</v>
          </cell>
        </row>
        <row r="230">
          <cell r="C230" t="str">
            <v>M/S Tamim Enterprise</v>
          </cell>
          <cell r="D230" t="str">
            <v>01395</v>
          </cell>
        </row>
        <row r="231">
          <cell r="C231" t="str">
            <v>M/S Sadia Enterprise</v>
          </cell>
          <cell r="D231" t="str">
            <v>01490</v>
          </cell>
        </row>
        <row r="232">
          <cell r="C232" t="str">
            <v>M/S Raza Mic &amp; Battery House</v>
          </cell>
          <cell r="D232" t="str">
            <v>01489</v>
          </cell>
        </row>
        <row r="233">
          <cell r="C233" t="str">
            <v>M/S S.M. Enterprise- Sunamgonj</v>
          </cell>
          <cell r="D233" t="str">
            <v>00390</v>
          </cell>
        </row>
        <row r="234">
          <cell r="C234" t="str">
            <v>M/S Sadaf Auto &amp;  Vulcanizing Corner</v>
          </cell>
          <cell r="D234" t="str">
            <v>00089</v>
          </cell>
        </row>
        <row r="235">
          <cell r="C235" t="str">
            <v>M/S Showrob Auto &amp; Machinery House</v>
          </cell>
          <cell r="D235" t="str">
            <v>00312</v>
          </cell>
        </row>
        <row r="236">
          <cell r="C236" t="str">
            <v>M/S Oppo Parts &amp; Battery House</v>
          </cell>
          <cell r="D236" t="str">
            <v>01508</v>
          </cell>
        </row>
        <row r="237">
          <cell r="C237" t="str">
            <v>M/S Hossen Traders</v>
          </cell>
          <cell r="D237" t="str">
            <v>01107</v>
          </cell>
        </row>
        <row r="238">
          <cell r="C238" t="str">
            <v>M/S Maa Auto Workshop &amp; Battery Center (C)</v>
          </cell>
          <cell r="D238" t="str">
            <v>01497</v>
          </cell>
        </row>
        <row r="239">
          <cell r="C239" t="str">
            <v>M/S Gausia Mill Store</v>
          </cell>
          <cell r="D239" t="str">
            <v>00615</v>
          </cell>
        </row>
        <row r="240">
          <cell r="C240" t="str">
            <v>M/S Battery House - Pabna</v>
          </cell>
          <cell r="D240" t="str">
            <v>00534</v>
          </cell>
        </row>
        <row r="241">
          <cell r="C241" t="str">
            <v>M/S Shopon Battery House (C)</v>
          </cell>
          <cell r="D241" t="str">
            <v>01320</v>
          </cell>
        </row>
        <row r="242">
          <cell r="C242" t="str">
            <v>M/S Souro Power Electric (C)</v>
          </cell>
          <cell r="D242" t="str">
            <v>01455</v>
          </cell>
        </row>
        <row r="243">
          <cell r="C243" t="str">
            <v>M/S Farhan Battery &amp; Auto Parts</v>
          </cell>
          <cell r="D243" t="str">
            <v>01470</v>
          </cell>
        </row>
        <row r="244">
          <cell r="C244" t="str">
            <v>M/S Gausia Mill Store</v>
          </cell>
          <cell r="D244" t="str">
            <v>00615</v>
          </cell>
        </row>
        <row r="245">
          <cell r="C245" t="str">
            <v>M/S Farhan Battery &amp; Auto Parts</v>
          </cell>
          <cell r="D245" t="str">
            <v>01470</v>
          </cell>
        </row>
        <row r="246">
          <cell r="C246" t="str">
            <v>M/S Gausia Mill Store</v>
          </cell>
          <cell r="D246" t="str">
            <v>00615</v>
          </cell>
        </row>
        <row r="247">
          <cell r="C247" t="str">
            <v>M/S Gausia Mill Store</v>
          </cell>
          <cell r="D247" t="str">
            <v>00615</v>
          </cell>
        </row>
        <row r="248">
          <cell r="C248" t="str">
            <v>M/S Doyal Battery</v>
          </cell>
          <cell r="D248" t="str">
            <v>00337</v>
          </cell>
        </row>
        <row r="249">
          <cell r="C249" t="str">
            <v>M/S Takwa Enterprise</v>
          </cell>
          <cell r="D249" t="str">
            <v>00847</v>
          </cell>
        </row>
        <row r="250">
          <cell r="C250" t="str">
            <v>M/S Farhan Auto (C)</v>
          </cell>
          <cell r="D250" t="str">
            <v>01298</v>
          </cell>
        </row>
        <row r="251">
          <cell r="C251" t="str">
            <v>M/S S.K. Enterprise (C)</v>
          </cell>
          <cell r="D251" t="str">
            <v>01326</v>
          </cell>
        </row>
        <row r="252">
          <cell r="C252" t="str">
            <v>M/S Shah Mojidia Motor Parts</v>
          </cell>
          <cell r="D252" t="str">
            <v>00842</v>
          </cell>
        </row>
        <row r="253">
          <cell r="C253" t="str">
            <v>M/S Setu Cycle Mart</v>
          </cell>
          <cell r="D253" t="str">
            <v>00471</v>
          </cell>
        </row>
        <row r="254">
          <cell r="C254" t="str">
            <v>M/S Setu Cycle Mart</v>
          </cell>
          <cell r="D254" t="str">
            <v>00471</v>
          </cell>
        </row>
        <row r="255">
          <cell r="C255" t="str">
            <v>M/S Fateha Battery</v>
          </cell>
          <cell r="D255" t="str">
            <v>00388</v>
          </cell>
        </row>
        <row r="256">
          <cell r="C256" t="str">
            <v>M/S City Auto</v>
          </cell>
          <cell r="D256" t="str">
            <v>00398</v>
          </cell>
        </row>
        <row r="257">
          <cell r="C257" t="str">
            <v>M/S Maa Battery Service</v>
          </cell>
          <cell r="D257" t="str">
            <v>00327</v>
          </cell>
        </row>
        <row r="258">
          <cell r="C258" t="str">
            <v>M/S Rasel Bettary Service</v>
          </cell>
          <cell r="D258" t="str">
            <v>01380</v>
          </cell>
        </row>
        <row r="259">
          <cell r="C259" t="str">
            <v>M/S Adnan Tyre and Battery House</v>
          </cell>
          <cell r="D259" t="str">
            <v>01371</v>
          </cell>
        </row>
        <row r="260">
          <cell r="C260" t="str">
            <v>M/S Ali Battery House</v>
          </cell>
          <cell r="D260" t="str">
            <v>00474</v>
          </cell>
        </row>
        <row r="261">
          <cell r="C261" t="str">
            <v>M/S Polash Battery and Auto Parts</v>
          </cell>
          <cell r="D261" t="str">
            <v>01244</v>
          </cell>
        </row>
        <row r="262">
          <cell r="C262" t="str">
            <v>M/S Oppo Parts &amp; Battery House</v>
          </cell>
          <cell r="D262" t="str">
            <v>01508</v>
          </cell>
        </row>
        <row r="263">
          <cell r="C263" t="str">
            <v>M/S Modina Cycle Store</v>
          </cell>
          <cell r="D263" t="str">
            <v>01270</v>
          </cell>
        </row>
        <row r="264">
          <cell r="C264" t="str">
            <v>M/S Bondhu Motors</v>
          </cell>
          <cell r="D264" t="str">
            <v>01147</v>
          </cell>
        </row>
        <row r="265">
          <cell r="C265" t="str">
            <v>M/S Rafiq Vi Battery &amp; Auto</v>
          </cell>
          <cell r="D265" t="str">
            <v>01405</v>
          </cell>
        </row>
        <row r="266">
          <cell r="C266" t="str">
            <v>M/S Bandhu Auto Centre</v>
          </cell>
          <cell r="D266" t="str">
            <v>00573</v>
          </cell>
        </row>
        <row r="267">
          <cell r="C267" t="str">
            <v>M/S Gausia Mill Store</v>
          </cell>
          <cell r="D267" t="str">
            <v>00615</v>
          </cell>
        </row>
        <row r="268">
          <cell r="C268" t="str">
            <v>M/S Mosabbir Traders</v>
          </cell>
          <cell r="D268" t="str">
            <v>00560</v>
          </cell>
        </row>
        <row r="269">
          <cell r="C269" t="str">
            <v>M/S Roni Battery</v>
          </cell>
          <cell r="D269" t="str">
            <v>01379</v>
          </cell>
        </row>
        <row r="270">
          <cell r="C270" t="str">
            <v>M/S Roni Battery</v>
          </cell>
          <cell r="D270" t="str">
            <v>01379</v>
          </cell>
        </row>
        <row r="271">
          <cell r="C271" t="str">
            <v>M/S Sirajgonj Auto Corner (C)</v>
          </cell>
          <cell r="D271" t="str">
            <v>01494</v>
          </cell>
        </row>
        <row r="272">
          <cell r="C272" t="str">
            <v>M/S Sompa Cycle Store</v>
          </cell>
          <cell r="D272" t="str">
            <v>01252</v>
          </cell>
        </row>
        <row r="273">
          <cell r="C273" t="str">
            <v>M/S Shopon Battery House (C)</v>
          </cell>
          <cell r="D273" t="str">
            <v>01320</v>
          </cell>
        </row>
        <row r="274">
          <cell r="C274" t="str">
            <v>M/S Adib Alifa Auto &amp; Battery House (C)</v>
          </cell>
          <cell r="D274" t="str">
            <v>01454</v>
          </cell>
        </row>
        <row r="275">
          <cell r="C275" t="str">
            <v>M/S Gausia Mill Store</v>
          </cell>
          <cell r="D275" t="str">
            <v>00615</v>
          </cell>
        </row>
        <row r="276">
          <cell r="C276" t="str">
            <v>M/S Afifa Traders (C)</v>
          </cell>
          <cell r="D276" t="str">
            <v>01515</v>
          </cell>
        </row>
        <row r="277">
          <cell r="C277" t="str">
            <v>M/S Mithila Auto Show Room</v>
          </cell>
          <cell r="D277" t="str">
            <v>01499</v>
          </cell>
        </row>
        <row r="278">
          <cell r="C278" t="str">
            <v>M/S S. K. Battery and Motors</v>
          </cell>
          <cell r="D278" t="str">
            <v>01458</v>
          </cell>
        </row>
        <row r="279">
          <cell r="C279" t="str">
            <v>M/S Al Baraka Enterprise</v>
          </cell>
          <cell r="D279" t="str">
            <v>00159</v>
          </cell>
        </row>
        <row r="280">
          <cell r="C280" t="str">
            <v>M/S National Battery - Lalmonirhat</v>
          </cell>
          <cell r="D280" t="str">
            <v>00579</v>
          </cell>
        </row>
        <row r="281">
          <cell r="C281" t="str">
            <v>M/S National Battery - Lalmonirhat</v>
          </cell>
          <cell r="D281" t="str">
            <v>00579</v>
          </cell>
        </row>
        <row r="282">
          <cell r="C282" t="str">
            <v>M/S Doyal Battery</v>
          </cell>
          <cell r="D282" t="str">
            <v>00337</v>
          </cell>
        </row>
        <row r="283">
          <cell r="C283" t="str">
            <v>M/S Shikdar Auto House</v>
          </cell>
          <cell r="D283" t="str">
            <v>01493</v>
          </cell>
        </row>
        <row r="284">
          <cell r="C284" t="str">
            <v>M/S Mashpi Battery &amp; Auto</v>
          </cell>
          <cell r="D284" t="str">
            <v>01152</v>
          </cell>
        </row>
        <row r="285">
          <cell r="C285" t="str">
            <v>M/S Bondhu Auto and CNG Workshop</v>
          </cell>
          <cell r="D285" t="str">
            <v>01149</v>
          </cell>
        </row>
        <row r="286">
          <cell r="C286" t="str">
            <v>M/S Raisa Radia  Battery House</v>
          </cell>
          <cell r="D286" t="str">
            <v>00867</v>
          </cell>
        </row>
        <row r="287">
          <cell r="C287" t="str">
            <v>M/S Al Amin-2 Sanitary Hardware &amp; Cycle Store</v>
          </cell>
          <cell r="D287" t="str">
            <v>01272</v>
          </cell>
        </row>
        <row r="288">
          <cell r="C288" t="str">
            <v>M/S Al Amin-2 Sanitary Hardware &amp; Cycle Store</v>
          </cell>
          <cell r="D288" t="str">
            <v>01272</v>
          </cell>
        </row>
        <row r="289">
          <cell r="C289" t="str">
            <v>M/S Rashed Enterprise</v>
          </cell>
          <cell r="D289" t="str">
            <v>00030</v>
          </cell>
        </row>
        <row r="290">
          <cell r="C290" t="str">
            <v>M/S Lutfor Auto Battery House</v>
          </cell>
          <cell r="D290" t="str">
            <v>00829</v>
          </cell>
        </row>
        <row r="291">
          <cell r="C291" t="str">
            <v>M/S Adnan Tyre and Battery House</v>
          </cell>
          <cell r="D291" t="str">
            <v>01371</v>
          </cell>
        </row>
        <row r="292">
          <cell r="C292" t="str">
            <v>M/S Sharif Battery House &amp; IPS Center</v>
          </cell>
          <cell r="D292" t="str">
            <v>01424</v>
          </cell>
        </row>
        <row r="293">
          <cell r="C293" t="str">
            <v>M/S Al - Mokka Enterprise</v>
          </cell>
          <cell r="D293" t="str">
            <v>01112</v>
          </cell>
        </row>
        <row r="294">
          <cell r="C294" t="str">
            <v>M/S Gazipur Battery House</v>
          </cell>
          <cell r="D294" t="str">
            <v>00826</v>
          </cell>
        </row>
        <row r="295">
          <cell r="C295" t="str">
            <v>M/S Tanvir Battery House</v>
          </cell>
          <cell r="D295" t="str">
            <v>01175</v>
          </cell>
        </row>
        <row r="296">
          <cell r="C296" t="str">
            <v>M/S Oppo Parts &amp; Battery House</v>
          </cell>
          <cell r="D296" t="str">
            <v>01508</v>
          </cell>
        </row>
        <row r="297">
          <cell r="C297" t="str">
            <v>M/S Oppo Parts &amp; Battery House</v>
          </cell>
          <cell r="D297" t="str">
            <v>01508</v>
          </cell>
        </row>
        <row r="298">
          <cell r="C298" t="str">
            <v>M/S B.R.S.  Sowra Bidduyt</v>
          </cell>
          <cell r="D298" t="str">
            <v>00415</v>
          </cell>
        </row>
        <row r="299">
          <cell r="C299" t="str">
            <v>M/S Alam Battery House</v>
          </cell>
          <cell r="D299" t="str">
            <v>00442</v>
          </cell>
        </row>
        <row r="300">
          <cell r="C300" t="str">
            <v>M/S Shah Mojidia Motor Parts</v>
          </cell>
          <cell r="D300" t="str">
            <v>00842</v>
          </cell>
        </row>
        <row r="301">
          <cell r="C301" t="str">
            <v>M/S Setu Cycle Mart</v>
          </cell>
          <cell r="D301" t="str">
            <v>00471</v>
          </cell>
        </row>
        <row r="302">
          <cell r="C302" t="str">
            <v>M/S Setu Cycle Mart</v>
          </cell>
          <cell r="D302" t="str">
            <v>00471</v>
          </cell>
        </row>
        <row r="303">
          <cell r="C303" t="str">
            <v>M/S L D Poribahan &amp; Trading (C)</v>
          </cell>
          <cell r="D303" t="str">
            <v>01299</v>
          </cell>
        </row>
        <row r="304">
          <cell r="C304" t="str">
            <v>M/S Eva Grill Workshop &amp; Hardware</v>
          </cell>
          <cell r="D304" t="str">
            <v>01440</v>
          </cell>
        </row>
        <row r="305">
          <cell r="C305" t="str">
            <v>M/S Sajib Enterprise (C)</v>
          </cell>
          <cell r="D305" t="str">
            <v>01353</v>
          </cell>
        </row>
        <row r="306">
          <cell r="C306" t="str">
            <v>M/S Unique Battery and Solar</v>
          </cell>
          <cell r="D306" t="str">
            <v>01157</v>
          </cell>
        </row>
        <row r="307">
          <cell r="C307" t="str">
            <v>M/S Rajapur IPS &amp; Battery House</v>
          </cell>
          <cell r="D307" t="str">
            <v>01400</v>
          </cell>
        </row>
        <row r="308">
          <cell r="C308" t="str">
            <v>M/S A.P.L. Auto House</v>
          </cell>
          <cell r="D308" t="str">
            <v>00328</v>
          </cell>
        </row>
        <row r="309">
          <cell r="C309" t="str">
            <v>M/S Tamim Enterprise</v>
          </cell>
          <cell r="D309" t="str">
            <v>01395</v>
          </cell>
        </row>
        <row r="310">
          <cell r="C310" t="str">
            <v>M/S Ripon Tyre and Battery</v>
          </cell>
          <cell r="D310" t="str">
            <v>00002</v>
          </cell>
        </row>
        <row r="311">
          <cell r="C311" t="str">
            <v>M/S Sharif Battery House &amp; IPS Center</v>
          </cell>
          <cell r="D311" t="str">
            <v>01424</v>
          </cell>
        </row>
        <row r="312">
          <cell r="C312" t="str">
            <v>M/S Islamia Battery Service- Chandpur</v>
          </cell>
          <cell r="D312" t="str">
            <v>00306</v>
          </cell>
        </row>
        <row r="313">
          <cell r="C313" t="str">
            <v>M/S Bondhu Motors</v>
          </cell>
          <cell r="D313" t="str">
            <v>01147</v>
          </cell>
        </row>
        <row r="314">
          <cell r="C314" t="str">
            <v>M/S Awlad Electronics</v>
          </cell>
          <cell r="D314" t="str">
            <v>01284</v>
          </cell>
        </row>
        <row r="315">
          <cell r="C315" t="str">
            <v>M/S Doyal Battery</v>
          </cell>
          <cell r="D315" t="str">
            <v>00337</v>
          </cell>
        </row>
        <row r="316">
          <cell r="C316" t="str">
            <v>M/S Bondhu Auto and CNG Workshop</v>
          </cell>
          <cell r="D316" t="str">
            <v>01149</v>
          </cell>
        </row>
        <row r="317">
          <cell r="C317" t="str">
            <v>M/S Takwa Enterprise</v>
          </cell>
          <cell r="D317" t="str">
            <v>00847</v>
          </cell>
        </row>
        <row r="318">
          <cell r="C318" t="str">
            <v>M/S Rashed Enterprise</v>
          </cell>
          <cell r="D318" t="str">
            <v>00030</v>
          </cell>
        </row>
        <row r="319">
          <cell r="C319" t="str">
            <v>M/S Rashed Enterprise</v>
          </cell>
          <cell r="D319" t="str">
            <v>00030</v>
          </cell>
        </row>
        <row r="320">
          <cell r="C320" t="str">
            <v>M/S Bismillah Motors-Bagerhat</v>
          </cell>
          <cell r="D320" t="str">
            <v>00703</v>
          </cell>
        </row>
        <row r="321">
          <cell r="C321" t="str">
            <v>M/S New Dhaka Motors and Battery</v>
          </cell>
          <cell r="D321" t="str">
            <v>00005</v>
          </cell>
        </row>
        <row r="322">
          <cell r="C322" t="str">
            <v>M/S New Asia Motors</v>
          </cell>
          <cell r="D322" t="str">
            <v>00051</v>
          </cell>
        </row>
        <row r="323">
          <cell r="C323" t="str">
            <v>M/S Adnan Tyre and Battery House</v>
          </cell>
          <cell r="D323" t="str">
            <v>01371</v>
          </cell>
        </row>
        <row r="324">
          <cell r="C324" t="str">
            <v>M/S Ananna Battery &amp; Tyre</v>
          </cell>
          <cell r="D324" t="str">
            <v>01088</v>
          </cell>
        </row>
        <row r="325">
          <cell r="C325" t="str">
            <v>M/S Alif Ananda Auto and Battery House</v>
          </cell>
          <cell r="D325" t="str">
            <v>01513</v>
          </cell>
        </row>
        <row r="326">
          <cell r="C326" t="str">
            <v>M/S Musulli Enterprise</v>
          </cell>
          <cell r="D326" t="str">
            <v>00091</v>
          </cell>
        </row>
        <row r="327">
          <cell r="C327" t="str">
            <v>M/S Mashpi Battery &amp; Auto</v>
          </cell>
          <cell r="D327" t="str">
            <v>01152</v>
          </cell>
        </row>
        <row r="328">
          <cell r="C328" t="str">
            <v>M/S Sadaf Auto &amp;  Vulcanizing Corner</v>
          </cell>
          <cell r="D328" t="str">
            <v>00089</v>
          </cell>
        </row>
        <row r="329">
          <cell r="C329" t="str">
            <v>M/S City Auto</v>
          </cell>
          <cell r="D329" t="str">
            <v>00398</v>
          </cell>
        </row>
        <row r="330">
          <cell r="C330" t="str">
            <v>M/S City Auto</v>
          </cell>
          <cell r="D330" t="str">
            <v>00398</v>
          </cell>
        </row>
        <row r="331">
          <cell r="C331" t="str">
            <v>M/S Minara Traders</v>
          </cell>
          <cell r="D331" t="str">
            <v>01108</v>
          </cell>
        </row>
        <row r="332">
          <cell r="C332" t="str">
            <v>M/S Shah Mojidia Motor Parts</v>
          </cell>
          <cell r="D332" t="str">
            <v>00842</v>
          </cell>
        </row>
        <row r="333">
          <cell r="C333" t="str">
            <v>M/S L D Poribahan &amp; Trading (C)</v>
          </cell>
          <cell r="D333" t="str">
            <v>01299</v>
          </cell>
        </row>
        <row r="334">
          <cell r="C334" t="str">
            <v>M/S Arafat Battery House</v>
          </cell>
          <cell r="D334" t="str">
            <v>01445</v>
          </cell>
        </row>
        <row r="335">
          <cell r="C335" t="str">
            <v>M/S B.R.S.  Sowra Bidduyt</v>
          </cell>
          <cell r="D335" t="str">
            <v>00415</v>
          </cell>
        </row>
        <row r="336">
          <cell r="C336" t="str">
            <v>M/S Samir Battery And Tyre</v>
          </cell>
          <cell r="D336" t="str">
            <v>01450</v>
          </cell>
        </row>
        <row r="337">
          <cell r="C337" t="str">
            <v>M/S B.R.S.  Sowra Bidduyt</v>
          </cell>
          <cell r="D337" t="str">
            <v>00415</v>
          </cell>
        </row>
        <row r="338">
          <cell r="C338" t="str">
            <v>M/S Shapla Battery &amp; Auto House</v>
          </cell>
          <cell r="D338" t="str">
            <v>01447</v>
          </cell>
        </row>
        <row r="339">
          <cell r="C339" t="str">
            <v>M/S Oppo Parts &amp; Battery House</v>
          </cell>
          <cell r="D339" t="str">
            <v>01508</v>
          </cell>
        </row>
        <row r="340">
          <cell r="C340" t="str">
            <v>M/S Oppo Parts &amp; Battery House</v>
          </cell>
          <cell r="D340" t="str">
            <v>01508</v>
          </cell>
        </row>
        <row r="341">
          <cell r="C341" t="str">
            <v>M/S Hira Motors</v>
          </cell>
          <cell r="D341" t="str">
            <v>01100</v>
          </cell>
        </row>
        <row r="342">
          <cell r="C342" t="str">
            <v>M/S Power Battery And Tyre</v>
          </cell>
          <cell r="D342" t="str">
            <v>01477</v>
          </cell>
        </row>
        <row r="343">
          <cell r="C343" t="str">
            <v>M/S Rafiq Vi Battery &amp; Auto</v>
          </cell>
          <cell r="D343" t="str">
            <v>01405</v>
          </cell>
        </row>
        <row r="344">
          <cell r="C344" t="str">
            <v>M/S Housing Auto Bike</v>
          </cell>
          <cell r="D344" t="str">
            <v>00598</v>
          </cell>
        </row>
        <row r="345">
          <cell r="C345" t="str">
            <v>M/S Sirajgonj Auto Corner (C)</v>
          </cell>
          <cell r="D345" t="str">
            <v>01494</v>
          </cell>
        </row>
        <row r="346">
          <cell r="C346" t="str">
            <v>M/S Shopon Battery House (C)</v>
          </cell>
          <cell r="D346" t="str">
            <v>01320</v>
          </cell>
        </row>
        <row r="347">
          <cell r="C347" t="str">
            <v>M/S Fateha Battery</v>
          </cell>
          <cell r="D347" t="str">
            <v>00388</v>
          </cell>
        </row>
        <row r="348">
          <cell r="C348" t="str">
            <v>M/S Shah Mojidia Motor Parts</v>
          </cell>
          <cell r="D348" t="str">
            <v>00842</v>
          </cell>
        </row>
        <row r="349">
          <cell r="C349" t="str">
            <v>M/S Setu Cycle Mart</v>
          </cell>
          <cell r="D349" t="str">
            <v>00471</v>
          </cell>
        </row>
        <row r="350">
          <cell r="C350" t="str">
            <v>M/S Mahtab Engineering Workshop</v>
          </cell>
          <cell r="D350" t="str">
            <v>01429</v>
          </cell>
        </row>
        <row r="351">
          <cell r="C351" t="str">
            <v>M/S Gausia Mill Store</v>
          </cell>
          <cell r="D351" t="str">
            <v>00615</v>
          </cell>
        </row>
        <row r="352">
          <cell r="C352" t="str">
            <v>M/S Al - Mokka Enterprise</v>
          </cell>
          <cell r="D352" t="str">
            <v>01112</v>
          </cell>
        </row>
        <row r="353">
          <cell r="C353" t="str">
            <v>M/S Adnan Tyre and Battery House</v>
          </cell>
          <cell r="D353" t="str">
            <v>01371</v>
          </cell>
        </row>
        <row r="354">
          <cell r="C354" t="str">
            <v>M/S Monir Auto &amp; Battery House</v>
          </cell>
          <cell r="D354" t="str">
            <v>00001</v>
          </cell>
        </row>
        <row r="355">
          <cell r="C355" t="str">
            <v>M/S Modina Cycle Store</v>
          </cell>
          <cell r="D355" t="str">
            <v>01270</v>
          </cell>
        </row>
        <row r="356">
          <cell r="C356" t="str">
            <v>M/S Gausia Mill Store</v>
          </cell>
          <cell r="D356" t="str">
            <v>00615</v>
          </cell>
        </row>
        <row r="357">
          <cell r="C357" t="str">
            <v>M/S Jogotbondhu Battery &amp; Eng. Workshop</v>
          </cell>
          <cell r="D357" t="str">
            <v>00143</v>
          </cell>
        </row>
        <row r="358">
          <cell r="C358" t="str">
            <v>M/S National Battery - Lalmonirhat</v>
          </cell>
          <cell r="D358" t="str">
            <v>00579</v>
          </cell>
        </row>
        <row r="359">
          <cell r="C359" t="str">
            <v>M/S Ira Motors</v>
          </cell>
          <cell r="D359" t="str">
            <v>00133</v>
          </cell>
        </row>
        <row r="360">
          <cell r="C360" t="str">
            <v>M/S Bondhu Battery &amp; Auto</v>
          </cell>
          <cell r="D360" t="str">
            <v>00163</v>
          </cell>
        </row>
        <row r="361">
          <cell r="C361" t="str">
            <v>M/S B.R.S.  Sowra Bidduyt</v>
          </cell>
          <cell r="D361" t="str">
            <v>00415</v>
          </cell>
        </row>
        <row r="362">
          <cell r="C362" t="str">
            <v>M/S Doyal Battery</v>
          </cell>
          <cell r="D362" t="str">
            <v>00337</v>
          </cell>
        </row>
        <row r="363">
          <cell r="C363" t="str">
            <v>M/S Sawda Auto and Battery</v>
          </cell>
          <cell r="D363" t="str">
            <v>01261</v>
          </cell>
        </row>
        <row r="364">
          <cell r="C364" t="str">
            <v>M/S A.P.L. Auto House</v>
          </cell>
          <cell r="D364" t="str">
            <v>00328</v>
          </cell>
        </row>
        <row r="365">
          <cell r="C365" t="str">
            <v>M/S Lalmai Machineries &amp; Parts</v>
          </cell>
          <cell r="D365" t="str">
            <v>00329</v>
          </cell>
        </row>
        <row r="366">
          <cell r="C366" t="str">
            <v>M/S Lalmai Machineries &amp; Parts</v>
          </cell>
          <cell r="D366" t="str">
            <v>00329</v>
          </cell>
        </row>
        <row r="367">
          <cell r="C367" t="str">
            <v>M/S Anowar Battery &amp; Tyre Shop</v>
          </cell>
          <cell r="D367" t="str">
            <v>00818</v>
          </cell>
        </row>
        <row r="368">
          <cell r="C368" t="str">
            <v>M/S Dalia Auto And Battery House</v>
          </cell>
          <cell r="D368" t="str">
            <v>01281</v>
          </cell>
        </row>
        <row r="369">
          <cell r="C369" t="str">
            <v>M/S Battery House - Pabna</v>
          </cell>
          <cell r="D369" t="str">
            <v>00534</v>
          </cell>
        </row>
        <row r="370">
          <cell r="C370" t="str">
            <v>M/S Hossen Traders</v>
          </cell>
          <cell r="D370" t="str">
            <v>01107</v>
          </cell>
        </row>
        <row r="371">
          <cell r="C371" t="str">
            <v>M/S Roni Battery</v>
          </cell>
          <cell r="D371" t="str">
            <v>01379</v>
          </cell>
        </row>
        <row r="372">
          <cell r="C372" t="str">
            <v>M/S Kalam Store</v>
          </cell>
          <cell r="D372" t="str">
            <v>01436</v>
          </cell>
        </row>
        <row r="373">
          <cell r="C373" t="str">
            <v>M/S Jamuna Battery House</v>
          </cell>
          <cell r="D373" t="str">
            <v>01456</v>
          </cell>
        </row>
        <row r="374">
          <cell r="C374" t="str">
            <v>M/S Awlad Electronics</v>
          </cell>
          <cell r="D374" t="str">
            <v>01284</v>
          </cell>
        </row>
        <row r="375">
          <cell r="C375" t="str">
            <v>M/S Allahar Dan Battery</v>
          </cell>
          <cell r="D375" t="str">
            <v>01466</v>
          </cell>
        </row>
        <row r="376">
          <cell r="C376" t="str">
            <v>M/S Samir Battery And Tyre</v>
          </cell>
          <cell r="D376" t="str">
            <v>01450</v>
          </cell>
        </row>
        <row r="377">
          <cell r="C377" t="str">
            <v>M/S Maa Battery Service</v>
          </cell>
          <cell r="D377" t="str">
            <v>00327</v>
          </cell>
        </row>
        <row r="378">
          <cell r="C378" t="str">
            <v>M/S Rajapur IPS &amp; Battery House</v>
          </cell>
          <cell r="D378" t="str">
            <v>01400</v>
          </cell>
        </row>
        <row r="379">
          <cell r="C379" t="str">
            <v>M/S S.K. Enterprise (C)</v>
          </cell>
          <cell r="D379" t="str">
            <v>01326</v>
          </cell>
        </row>
        <row r="380">
          <cell r="C380" t="str">
            <v>M/S S.K. Enterprise (C)</v>
          </cell>
          <cell r="D380" t="str">
            <v>01326</v>
          </cell>
        </row>
        <row r="381">
          <cell r="C381" t="str">
            <v>M/S Oreya Enterprise</v>
          </cell>
          <cell r="D381" t="str">
            <v>00537</v>
          </cell>
        </row>
        <row r="382">
          <cell r="C382" t="str">
            <v>M/S Shah Mojidia Motor Parts</v>
          </cell>
          <cell r="D382" t="str">
            <v>00842</v>
          </cell>
        </row>
        <row r="383">
          <cell r="C383" t="str">
            <v>M/S Mahtab Engineering Workshop</v>
          </cell>
          <cell r="D383" t="str">
            <v>01429</v>
          </cell>
        </row>
        <row r="384">
          <cell r="C384" t="str">
            <v>M/S Adnan Tyre and Battery House</v>
          </cell>
          <cell r="D384" t="str">
            <v>01371</v>
          </cell>
        </row>
        <row r="385">
          <cell r="C385" t="str">
            <v>M/S Rashed Enterprise</v>
          </cell>
          <cell r="D385" t="str">
            <v>00030</v>
          </cell>
        </row>
        <row r="386">
          <cell r="C386" t="str">
            <v>M/S Doyal Battery</v>
          </cell>
          <cell r="D386" t="str">
            <v>00337</v>
          </cell>
        </row>
        <row r="387">
          <cell r="C387" t="str">
            <v>M/S Minara Traders</v>
          </cell>
          <cell r="D387" t="str">
            <v>01108</v>
          </cell>
        </row>
        <row r="388">
          <cell r="C388" t="str">
            <v>M/S S.M. Enterprise- Sunamgonj</v>
          </cell>
          <cell r="D388" t="str">
            <v>00390</v>
          </cell>
        </row>
        <row r="389">
          <cell r="C389" t="str">
            <v>M/S Fateha Battery</v>
          </cell>
          <cell r="D389" t="str">
            <v>00388</v>
          </cell>
        </row>
        <row r="390">
          <cell r="C390" t="str">
            <v>M/S Pagla Mama Auto Parts</v>
          </cell>
          <cell r="D390" t="str">
            <v>01170</v>
          </cell>
        </row>
        <row r="391">
          <cell r="C391" t="str">
            <v>M/S Hira Motors</v>
          </cell>
          <cell r="D391" t="str">
            <v>01100</v>
          </cell>
        </row>
        <row r="392">
          <cell r="C392" t="str">
            <v>M/S Mashpi Battery &amp; Auto</v>
          </cell>
          <cell r="D392" t="str">
            <v>01152</v>
          </cell>
        </row>
        <row r="393">
          <cell r="C393" t="str">
            <v>M/S Tamim Enterprise</v>
          </cell>
          <cell r="D393" t="str">
            <v>01395</v>
          </cell>
        </row>
        <row r="394">
          <cell r="C394" t="str">
            <v>M/S Oppo Parts &amp; Battery House</v>
          </cell>
          <cell r="D394" t="str">
            <v>01508</v>
          </cell>
        </row>
        <row r="395">
          <cell r="C395" t="str">
            <v>M/S Housing Auto Bike</v>
          </cell>
          <cell r="D395" t="str">
            <v>00598</v>
          </cell>
        </row>
        <row r="396">
          <cell r="C396" t="str">
            <v>M/S Sarkar Motors and Battery (C)</v>
          </cell>
          <cell r="D396" t="str">
            <v>01502</v>
          </cell>
        </row>
        <row r="397">
          <cell r="C397" t="str">
            <v>M/S Nazrul Battery and Mobil House</v>
          </cell>
          <cell r="D397" t="str">
            <v>00832</v>
          </cell>
        </row>
        <row r="398">
          <cell r="C398" t="str">
            <v>M/S Lamia Battery (C)</v>
          </cell>
          <cell r="D398" t="str">
            <v>01345</v>
          </cell>
        </row>
        <row r="399">
          <cell r="C399" t="str">
            <v>M/S S. K. Battery and Motors</v>
          </cell>
          <cell r="D399" t="str">
            <v>01458</v>
          </cell>
        </row>
        <row r="400">
          <cell r="C400" t="str">
            <v>M/S Adib Alifa Auto &amp; Battery House (C)</v>
          </cell>
          <cell r="D400" t="str">
            <v>01454</v>
          </cell>
        </row>
        <row r="401">
          <cell r="C401" t="str">
            <v>M/S Shah Mojidia Motor Parts</v>
          </cell>
          <cell r="D401" t="str">
            <v>00842</v>
          </cell>
        </row>
        <row r="402">
          <cell r="C402" t="str">
            <v>M/S Setu Cycle Mart</v>
          </cell>
          <cell r="D402" t="str">
            <v>00471</v>
          </cell>
        </row>
        <row r="403">
          <cell r="C403" t="str">
            <v>M/S Gausia Mill Store</v>
          </cell>
          <cell r="D403" t="str">
            <v>00615</v>
          </cell>
        </row>
        <row r="404">
          <cell r="C404" t="str">
            <v>M/S Setu Cycle Mart</v>
          </cell>
          <cell r="D404" t="str">
            <v>00471</v>
          </cell>
        </row>
        <row r="405">
          <cell r="C405" t="str">
            <v>M/S Al - Mokka Enterprise</v>
          </cell>
          <cell r="D405" t="str">
            <v>01112</v>
          </cell>
        </row>
        <row r="406">
          <cell r="C406" t="str">
            <v>M/S Farhan Auto (C)</v>
          </cell>
          <cell r="D406" t="str">
            <v>01298</v>
          </cell>
        </row>
        <row r="407">
          <cell r="C407" t="str">
            <v>M/S Satata Battery House (C)</v>
          </cell>
          <cell r="D407" t="str">
            <v>01517</v>
          </cell>
        </row>
        <row r="408">
          <cell r="C408" t="str">
            <v>M/S Mithila Auto Show Room</v>
          </cell>
          <cell r="D408" t="str">
            <v>01499</v>
          </cell>
        </row>
        <row r="409">
          <cell r="C409" t="str">
            <v>M/S Allahar Dan Battery</v>
          </cell>
          <cell r="D409" t="str">
            <v>01466</v>
          </cell>
        </row>
        <row r="410">
          <cell r="C410" t="str">
            <v>M/S Road King Battery House-2</v>
          </cell>
          <cell r="D410" t="str">
            <v>00551</v>
          </cell>
        </row>
        <row r="411">
          <cell r="C411" t="str">
            <v>M/S S.S. Enterprise-Norshingdi (C)</v>
          </cell>
          <cell r="D411" t="str">
            <v>01331</v>
          </cell>
        </row>
        <row r="412">
          <cell r="C412" t="str">
            <v>M/S A.P.L. Auto House</v>
          </cell>
          <cell r="D412" t="str">
            <v>00328</v>
          </cell>
        </row>
        <row r="413">
          <cell r="C413" t="str">
            <v>M/S Joy Cycle Store</v>
          </cell>
          <cell r="D413" t="str">
            <v>00767</v>
          </cell>
        </row>
        <row r="414">
          <cell r="C414" t="str">
            <v>M/S A.P.L. Auto House</v>
          </cell>
          <cell r="D414" t="str">
            <v>00328</v>
          </cell>
        </row>
        <row r="415">
          <cell r="C415" t="str">
            <v>M/S B.R.S.  Sowra Bidduyt</v>
          </cell>
          <cell r="D415" t="str">
            <v>00415</v>
          </cell>
        </row>
        <row r="416">
          <cell r="C416" t="str">
            <v>M/S Doyal Battery</v>
          </cell>
          <cell r="D416" t="str">
            <v>00337</v>
          </cell>
        </row>
        <row r="417">
          <cell r="C417" t="str">
            <v>M/S Ira Motors</v>
          </cell>
          <cell r="D417" t="str">
            <v>00133</v>
          </cell>
        </row>
        <row r="418">
          <cell r="C418" t="str">
            <v>M/S Ira Motors</v>
          </cell>
          <cell r="D418" t="str">
            <v>00133</v>
          </cell>
        </row>
        <row r="419">
          <cell r="C419" t="str">
            <v>M/S Ira Motors</v>
          </cell>
          <cell r="D419" t="str">
            <v>00133</v>
          </cell>
        </row>
        <row r="420">
          <cell r="C420" t="str">
            <v>M/S Awal Motors</v>
          </cell>
          <cell r="D420" t="str">
            <v>00279</v>
          </cell>
        </row>
        <row r="421">
          <cell r="C421" t="str">
            <v>M/S Housing Auto Bike</v>
          </cell>
          <cell r="D421" t="str">
            <v>00598</v>
          </cell>
        </row>
        <row r="422">
          <cell r="C422" t="str">
            <v>M/S Rafiq Vi Battery &amp; Auto</v>
          </cell>
          <cell r="D422" t="str">
            <v>01405</v>
          </cell>
        </row>
        <row r="423">
          <cell r="C423" t="str">
            <v>M/S Nobodhara Corporation</v>
          </cell>
          <cell r="D423" t="str">
            <v>01352</v>
          </cell>
        </row>
        <row r="424">
          <cell r="C424" t="str">
            <v>M/S Roni Battery</v>
          </cell>
          <cell r="D424" t="str">
            <v>01379</v>
          </cell>
        </row>
        <row r="425">
          <cell r="C425" t="str">
            <v>M/S Hossen Traders</v>
          </cell>
          <cell r="D425" t="str">
            <v>01107</v>
          </cell>
        </row>
        <row r="426">
          <cell r="C426" t="str">
            <v>M/S Bandhu Auto Centre</v>
          </cell>
          <cell r="D426" t="str">
            <v>00573</v>
          </cell>
        </row>
        <row r="427">
          <cell r="C427" t="str">
            <v>M/S Gausia Mill Store</v>
          </cell>
          <cell r="D427" t="str">
            <v>00615</v>
          </cell>
        </row>
        <row r="428">
          <cell r="C428" t="str">
            <v>M/S Sompa Cycle Store</v>
          </cell>
          <cell r="D428" t="str">
            <v>01252</v>
          </cell>
        </row>
        <row r="429">
          <cell r="C429" t="str">
            <v>M/S Gausia Mill Store</v>
          </cell>
          <cell r="D429" t="str">
            <v>00615</v>
          </cell>
        </row>
        <row r="430">
          <cell r="C430" t="str">
            <v>M/S Al - Barakah Battery &amp; Auto Parts</v>
          </cell>
          <cell r="D430" t="str">
            <v>01476</v>
          </cell>
        </row>
        <row r="431">
          <cell r="C431" t="str">
            <v>M/S Molla Battery House (C)</v>
          </cell>
          <cell r="D431" t="str">
            <v>01428</v>
          </cell>
        </row>
        <row r="432">
          <cell r="C432" t="str">
            <v>M/S S.K. Motors - Kushtia</v>
          </cell>
          <cell r="D432" t="str">
            <v>01057</v>
          </cell>
        </row>
        <row r="433">
          <cell r="C433" t="str">
            <v>M/S Mama Vagina Auto Center</v>
          </cell>
          <cell r="D433" t="str">
            <v>01516</v>
          </cell>
        </row>
        <row r="434">
          <cell r="C434" t="str">
            <v>M/S Sadiq Enterprise (C)</v>
          </cell>
          <cell r="D434" t="str">
            <v>01484</v>
          </cell>
        </row>
        <row r="435">
          <cell r="C435" t="str">
            <v>M/S National Battery - Lalmonirhat</v>
          </cell>
          <cell r="D435" t="str">
            <v>00579</v>
          </cell>
        </row>
        <row r="436">
          <cell r="C436" t="str">
            <v>M/S Shah Mojidia Motor Parts</v>
          </cell>
          <cell r="D436" t="str">
            <v>00842</v>
          </cell>
        </row>
        <row r="437">
          <cell r="C437" t="str">
            <v>M/S Setu Cycle Mart</v>
          </cell>
          <cell r="D437" t="str">
            <v>00471</v>
          </cell>
        </row>
        <row r="438">
          <cell r="C438" t="str">
            <v>M/S Banskhali Enterprise-Joldi (C)</v>
          </cell>
          <cell r="D438" t="str">
            <v>01312</v>
          </cell>
        </row>
        <row r="439">
          <cell r="C439" t="str">
            <v>M/S S.K. Enterprise (C)</v>
          </cell>
          <cell r="D439" t="str">
            <v>01326</v>
          </cell>
        </row>
        <row r="440">
          <cell r="C440" t="str">
            <v>M/S Supreme Auto (C)</v>
          </cell>
          <cell r="D440" t="str">
            <v>01300</v>
          </cell>
        </row>
        <row r="441">
          <cell r="C441" t="str">
            <v>M/S Khokon IPS &amp; Battery Center (C)</v>
          </cell>
          <cell r="D441" t="str">
            <v>01306</v>
          </cell>
        </row>
        <row r="442">
          <cell r="C442" t="str">
            <v>M/S Sajib Enterprise (C)</v>
          </cell>
          <cell r="D442" t="str">
            <v>01353</v>
          </cell>
        </row>
        <row r="443">
          <cell r="C443" t="str">
            <v>M/S Shikdar Auto House</v>
          </cell>
          <cell r="D443" t="str">
            <v>01493</v>
          </cell>
        </row>
        <row r="444">
          <cell r="C444" t="str">
            <v>M/S Raja Enterprise</v>
          </cell>
          <cell r="D444" t="str">
            <v>01077</v>
          </cell>
        </row>
        <row r="445">
          <cell r="C445" t="str">
            <v>M/S Anik Motors &amp; Battery (C)</v>
          </cell>
          <cell r="D445" t="str">
            <v>01444</v>
          </cell>
        </row>
        <row r="446">
          <cell r="C446" t="str">
            <v>M/S Maa Battery Service</v>
          </cell>
          <cell r="D446" t="str">
            <v>00327</v>
          </cell>
        </row>
        <row r="447">
          <cell r="C447" t="str">
            <v>M/S Cox's Bazar Battery House</v>
          </cell>
          <cell r="D447" t="str">
            <v>00488</v>
          </cell>
        </row>
        <row r="448">
          <cell r="C448" t="str">
            <v>M/S Anas Battery &amp; Auto House</v>
          </cell>
          <cell r="D448" t="str">
            <v>01401</v>
          </cell>
        </row>
        <row r="449">
          <cell r="C449" t="str">
            <v>M/S A.P.L. Auto House</v>
          </cell>
          <cell r="D449" t="str">
            <v>00328</v>
          </cell>
        </row>
        <row r="450">
          <cell r="C450" t="str">
            <v>M/S Arafat Enterprise</v>
          </cell>
          <cell r="D450" t="str">
            <v>00094</v>
          </cell>
        </row>
        <row r="451">
          <cell r="C451" t="str">
            <v>M/S Ma Tyre &amp; Battery  Shop</v>
          </cell>
          <cell r="D451" t="str">
            <v>00088</v>
          </cell>
        </row>
        <row r="452">
          <cell r="C452" t="str">
            <v>M/S Al - Mokka Enterprise</v>
          </cell>
          <cell r="D452" t="str">
            <v>01112</v>
          </cell>
        </row>
        <row r="453">
          <cell r="C453" t="str">
            <v>M/S Monir Auto &amp; Battery House</v>
          </cell>
          <cell r="D453" t="str">
            <v>00001</v>
          </cell>
        </row>
        <row r="454">
          <cell r="C454" t="str">
            <v>M/S Adnan Tyre and Battery House</v>
          </cell>
          <cell r="D454" t="str">
            <v>01371</v>
          </cell>
        </row>
        <row r="455">
          <cell r="C455" t="str">
            <v>M/S Adnan Tyre and Battery House</v>
          </cell>
          <cell r="D455" t="str">
            <v>01371</v>
          </cell>
        </row>
        <row r="456">
          <cell r="C456" t="str">
            <v>M/S Doyal Battery</v>
          </cell>
          <cell r="D456" t="str">
            <v>00337</v>
          </cell>
        </row>
        <row r="457">
          <cell r="C457" t="str">
            <v>M/S Shahjalal Traders</v>
          </cell>
          <cell r="D457" t="str">
            <v>01362</v>
          </cell>
        </row>
        <row r="458">
          <cell r="C458" t="str">
            <v>M/S Babul Enterprise (C)</v>
          </cell>
          <cell r="D458" t="str">
            <v>01292</v>
          </cell>
        </row>
        <row r="459">
          <cell r="C459" t="str">
            <v>M/S Roni Battery</v>
          </cell>
          <cell r="D459" t="str">
            <v>01379</v>
          </cell>
        </row>
        <row r="460">
          <cell r="C460" t="str">
            <v>M/S Adib Alifa Auto &amp; Battery House (C)</v>
          </cell>
          <cell r="D460" t="str">
            <v>01454</v>
          </cell>
        </row>
        <row r="461">
          <cell r="C461" t="str">
            <v>M/S 2 N Traders</v>
          </cell>
          <cell r="D461" t="str">
            <v>00058</v>
          </cell>
        </row>
        <row r="462">
          <cell r="C462" t="str">
            <v>M/S Anik Motors &amp; Battery (C)</v>
          </cell>
          <cell r="D462" t="str">
            <v>01444</v>
          </cell>
        </row>
        <row r="463">
          <cell r="C463" t="str">
            <v>M/S Tamim Enterprise</v>
          </cell>
          <cell r="D463" t="str">
            <v>01395</v>
          </cell>
        </row>
        <row r="464">
          <cell r="C464" t="str">
            <v>M/S Ira Motors</v>
          </cell>
          <cell r="D464" t="str">
            <v>00133</v>
          </cell>
        </row>
        <row r="465">
          <cell r="C465" t="str">
            <v>M/S Kalam Auto Motor Parts And Battery House</v>
          </cell>
          <cell r="D465" t="str">
            <v>00420</v>
          </cell>
        </row>
        <row r="466">
          <cell r="C466" t="str">
            <v>M/S Oppo Parts &amp; Battery House</v>
          </cell>
          <cell r="D466" t="str">
            <v>01508</v>
          </cell>
        </row>
        <row r="467">
          <cell r="C467" t="str">
            <v>M/S Rafiq Vi Battery &amp; Auto</v>
          </cell>
          <cell r="D467" t="str">
            <v>01405</v>
          </cell>
        </row>
        <row r="468">
          <cell r="C468" t="str">
            <v>M/S M.R. Enterprise- Dinajpur</v>
          </cell>
          <cell r="D468" t="str">
            <v>00601</v>
          </cell>
        </row>
        <row r="469">
          <cell r="C469" t="str">
            <v>M/S Battery House - Pabna</v>
          </cell>
          <cell r="D469" t="str">
            <v>00534</v>
          </cell>
        </row>
        <row r="470">
          <cell r="C470" t="str">
            <v>M/S Sirajgonj Auto Corner (C)</v>
          </cell>
          <cell r="D470" t="str">
            <v>01494</v>
          </cell>
        </row>
        <row r="471">
          <cell r="C471" t="str">
            <v>M/S Shuvo Enterprise</v>
          </cell>
          <cell r="D471" t="str">
            <v>00622</v>
          </cell>
        </row>
        <row r="472">
          <cell r="C472" t="str">
            <v>M/S Gausia Mill Store</v>
          </cell>
          <cell r="D472" t="str">
            <v>00615</v>
          </cell>
        </row>
        <row r="473">
          <cell r="C473" t="str">
            <v>M/S Gausia Mill Store</v>
          </cell>
          <cell r="D473" t="str">
            <v>00615</v>
          </cell>
        </row>
        <row r="474">
          <cell r="C474" t="str">
            <v>M/S Gausia Mill Store</v>
          </cell>
          <cell r="D474" t="str">
            <v>00615</v>
          </cell>
        </row>
        <row r="475">
          <cell r="C475" t="str">
            <v>M/S Shekh Enterprise - Khulna</v>
          </cell>
          <cell r="D475" t="str">
            <v>01435</v>
          </cell>
        </row>
        <row r="476">
          <cell r="C476" t="str">
            <v>M/S Awlad Electronics</v>
          </cell>
          <cell r="D476" t="str">
            <v>01284</v>
          </cell>
        </row>
        <row r="477">
          <cell r="C477" t="str">
            <v>M/S Sanjida Auto</v>
          </cell>
          <cell r="D477" t="str">
            <v>00603</v>
          </cell>
        </row>
        <row r="478">
          <cell r="C478" t="str">
            <v>M/S New China Auto Traders (C)</v>
          </cell>
          <cell r="D478" t="str">
            <v>01511</v>
          </cell>
        </row>
        <row r="479">
          <cell r="C479" t="str">
            <v>M/S Shah Mojidia Motor Parts</v>
          </cell>
          <cell r="D479" t="str">
            <v>00842</v>
          </cell>
        </row>
        <row r="480">
          <cell r="C480" t="str">
            <v>M/S AL - Modina Traders</v>
          </cell>
          <cell r="D480" t="str">
            <v>01500</v>
          </cell>
        </row>
        <row r="481">
          <cell r="C481" t="str">
            <v>M/S Macca Tyre And battery House</v>
          </cell>
          <cell r="D481" t="str">
            <v>00439</v>
          </cell>
        </row>
        <row r="482">
          <cell r="C482" t="str">
            <v>M/S Minara Traders</v>
          </cell>
          <cell r="D482" t="str">
            <v>01108</v>
          </cell>
        </row>
        <row r="483">
          <cell r="C483" t="str">
            <v>M/S City Auto</v>
          </cell>
          <cell r="D483" t="str">
            <v>00398</v>
          </cell>
        </row>
        <row r="484">
          <cell r="C484" t="str">
            <v>M/S S.M. Enterprise- Sunamgonj</v>
          </cell>
          <cell r="D484" t="str">
            <v>00390</v>
          </cell>
        </row>
        <row r="485">
          <cell r="C485" t="str">
            <v>M/S Golden Bike</v>
          </cell>
          <cell r="D485" t="str">
            <v>00625</v>
          </cell>
        </row>
        <row r="486">
          <cell r="C486" t="str">
            <v>M/S Al - Mokka Enterprise</v>
          </cell>
          <cell r="D486" t="str">
            <v>01112</v>
          </cell>
        </row>
        <row r="487">
          <cell r="C487" t="str">
            <v>M/S Ma Tyre &amp; Battery  Shop</v>
          </cell>
          <cell r="D487" t="str">
            <v>00088</v>
          </cell>
        </row>
        <row r="488">
          <cell r="C488" t="str">
            <v>M/S Monir Auto &amp; Battery House</v>
          </cell>
          <cell r="D488" t="str">
            <v>00001</v>
          </cell>
        </row>
        <row r="489">
          <cell r="C489" t="str">
            <v>M/S Monir Auto &amp; Battery House</v>
          </cell>
          <cell r="D489" t="str">
            <v>00001</v>
          </cell>
        </row>
        <row r="490">
          <cell r="C490" t="str">
            <v>M/S Mahid Traders</v>
          </cell>
          <cell r="D490" t="str">
            <v>00004</v>
          </cell>
        </row>
        <row r="491">
          <cell r="C491" t="str">
            <v>M/S Polash Battery and Auto Parts</v>
          </cell>
          <cell r="D491" t="str">
            <v>01244</v>
          </cell>
        </row>
        <row r="492">
          <cell r="C492" t="str">
            <v>M/S Oppo Parts &amp; Battery House</v>
          </cell>
          <cell r="D492" t="str">
            <v>01508</v>
          </cell>
        </row>
        <row r="493">
          <cell r="C493" t="str">
            <v>M/S Sharif Battery House &amp; IPS Center (C)</v>
          </cell>
          <cell r="D493" t="str">
            <v>01491</v>
          </cell>
        </row>
        <row r="494">
          <cell r="C494" t="str">
            <v>M/S Doyal Battery</v>
          </cell>
          <cell r="D494" t="str">
            <v>00337</v>
          </cell>
        </row>
        <row r="495">
          <cell r="C495" t="str">
            <v>M/S Khokon IPS &amp; Battery Center (C)</v>
          </cell>
          <cell r="D495" t="str">
            <v>01306</v>
          </cell>
        </row>
        <row r="496">
          <cell r="C496" t="str">
            <v>M/S National Motors-Feni</v>
          </cell>
          <cell r="D496" t="str">
            <v>01102</v>
          </cell>
        </row>
        <row r="497">
          <cell r="C497" t="str">
            <v>M/S S.R. Battery and Tyre Centre</v>
          </cell>
          <cell r="D497" t="str">
            <v>00359</v>
          </cell>
        </row>
        <row r="498">
          <cell r="C498" t="str">
            <v>M/S Rasel Bettary Service</v>
          </cell>
          <cell r="D498" t="str">
            <v>01380</v>
          </cell>
        </row>
        <row r="499">
          <cell r="C499" t="str">
            <v>M/S Lalmai Machineries &amp; Parts</v>
          </cell>
          <cell r="D499" t="str">
            <v>00329</v>
          </cell>
        </row>
        <row r="500">
          <cell r="C500" t="str">
            <v>M/S Samir Battery And Tyre</v>
          </cell>
          <cell r="D500" t="str">
            <v>01450</v>
          </cell>
        </row>
        <row r="501">
          <cell r="C501" t="str">
            <v>M/S Ira Motors</v>
          </cell>
          <cell r="D501" t="str">
            <v>00133</v>
          </cell>
        </row>
        <row r="502">
          <cell r="C502" t="str">
            <v>M/S Ira Motors</v>
          </cell>
          <cell r="D502" t="str">
            <v>00133</v>
          </cell>
        </row>
        <row r="503">
          <cell r="C503" t="str">
            <v>M/S Al Madina Enterprise</v>
          </cell>
          <cell r="D503" t="str">
            <v>00814</v>
          </cell>
        </row>
        <row r="504">
          <cell r="C504" t="str">
            <v>M/S Bhai Bhai Cycle Mart</v>
          </cell>
          <cell r="D504" t="str">
            <v>00823</v>
          </cell>
        </row>
        <row r="505">
          <cell r="C505" t="str">
            <v>M/S Adhunik Battery And IPS Bitan</v>
          </cell>
          <cell r="D505" t="str">
            <v>01359</v>
          </cell>
        </row>
        <row r="506">
          <cell r="C506" t="str">
            <v>M/S Oppo Parts &amp; Battery House</v>
          </cell>
          <cell r="D506" t="str">
            <v>01508</v>
          </cell>
        </row>
        <row r="507">
          <cell r="C507" t="str">
            <v>M/S Nobodhara Corporation</v>
          </cell>
          <cell r="D507" t="str">
            <v>01352</v>
          </cell>
        </row>
        <row r="508">
          <cell r="C508" t="str">
            <v>M/S Rafiq Vi Battery &amp; Auto</v>
          </cell>
          <cell r="D508" t="str">
            <v>01405</v>
          </cell>
        </row>
        <row r="509">
          <cell r="C509" t="str">
            <v>M/S M.R. Enterprise- Dinajpur (C)</v>
          </cell>
          <cell r="D509" t="str">
            <v>01520</v>
          </cell>
        </row>
        <row r="510">
          <cell r="C510" t="str">
            <v>M/S Rakin Auto Parts</v>
          </cell>
          <cell r="D510" t="str">
            <v>00561</v>
          </cell>
        </row>
        <row r="511">
          <cell r="C511" t="str">
            <v>M/S Bandhu Auto Centre</v>
          </cell>
          <cell r="D511" t="str">
            <v>00573</v>
          </cell>
        </row>
        <row r="512">
          <cell r="C512" t="str">
            <v>M/S Hossen Traders</v>
          </cell>
          <cell r="D512" t="str">
            <v>01107</v>
          </cell>
        </row>
        <row r="513">
          <cell r="C513" t="str">
            <v>M/S Roni Battery</v>
          </cell>
          <cell r="D513" t="str">
            <v>01379</v>
          </cell>
        </row>
        <row r="514">
          <cell r="C514" t="str">
            <v>M/S Sompa Cycle Store</v>
          </cell>
          <cell r="D514" t="str">
            <v>01252</v>
          </cell>
        </row>
        <row r="515">
          <cell r="C515" t="str">
            <v>M/S S.K. Motors - Kushtia</v>
          </cell>
          <cell r="D515" t="str">
            <v>01057</v>
          </cell>
        </row>
        <row r="516">
          <cell r="C516" t="str">
            <v>M/S Setu Cycle Mart</v>
          </cell>
          <cell r="D516" t="str">
            <v>00471</v>
          </cell>
        </row>
        <row r="517">
          <cell r="C517" t="str">
            <v>M/S Bismillah Motors-Hinla</v>
          </cell>
          <cell r="D517" t="str">
            <v>01448</v>
          </cell>
        </row>
        <row r="518">
          <cell r="C518" t="str">
            <v>M/S S.K. Enterprise (C)</v>
          </cell>
          <cell r="D518" t="str">
            <v>01326</v>
          </cell>
        </row>
        <row r="519">
          <cell r="C519" t="str">
            <v>M/S Fateha Battery</v>
          </cell>
          <cell r="D519" t="str">
            <v>00388</v>
          </cell>
        </row>
        <row r="520">
          <cell r="C520" t="str">
            <v>M/S Doyal Battery</v>
          </cell>
          <cell r="D520" t="str">
            <v>00337</v>
          </cell>
        </row>
        <row r="521">
          <cell r="C521" t="str">
            <v>M/S Bondhu Auto and CNG Workshop</v>
          </cell>
          <cell r="D521" t="str">
            <v>01149</v>
          </cell>
        </row>
        <row r="522">
          <cell r="C522" t="str">
            <v>M/S Shahjalal Traders</v>
          </cell>
          <cell r="D522" t="str">
            <v>01362</v>
          </cell>
        </row>
        <row r="523">
          <cell r="C523" t="str">
            <v>M/S Comilla Traders</v>
          </cell>
          <cell r="D523" t="str">
            <v>00334</v>
          </cell>
        </row>
        <row r="524">
          <cell r="C524" t="str">
            <v>M/S Ira Motors</v>
          </cell>
          <cell r="D524" t="str">
            <v>00133</v>
          </cell>
        </row>
        <row r="525">
          <cell r="C525" t="str">
            <v>M/S Ira Motors</v>
          </cell>
          <cell r="D525" t="str">
            <v>00133</v>
          </cell>
        </row>
        <row r="526">
          <cell r="C526" t="str">
            <v>M/S Babul Enterprise (C)</v>
          </cell>
          <cell r="D526" t="str">
            <v>01292</v>
          </cell>
        </row>
        <row r="527">
          <cell r="C527" t="str">
            <v>M/S Sadia Enterprise</v>
          </cell>
          <cell r="D527" t="str">
            <v>01490</v>
          </cell>
        </row>
        <row r="528">
          <cell r="C528" t="str">
            <v>M/S Ripon Tyre and Battery</v>
          </cell>
          <cell r="D528" t="str">
            <v>00002</v>
          </cell>
        </row>
        <row r="529">
          <cell r="C529" t="str">
            <v>M/S Anas Enterprise</v>
          </cell>
          <cell r="D529" t="str">
            <v>00817</v>
          </cell>
        </row>
        <row r="530">
          <cell r="C530" t="str">
            <v>M/S Ripon Tyre and Battery</v>
          </cell>
          <cell r="D530" t="str">
            <v>00002</v>
          </cell>
        </row>
        <row r="531">
          <cell r="C531" t="str">
            <v>M/S Modina Enterprise - Savar</v>
          </cell>
          <cell r="D531" t="str">
            <v>01404</v>
          </cell>
        </row>
        <row r="532">
          <cell r="C532" t="str">
            <v>M/S Modina Enterprise - Savar</v>
          </cell>
          <cell r="D532" t="str">
            <v>01404</v>
          </cell>
        </row>
        <row r="533">
          <cell r="C533" t="str">
            <v>M/S A.P.L. Auto House</v>
          </cell>
          <cell r="D533" t="str">
            <v>00328</v>
          </cell>
        </row>
        <row r="534">
          <cell r="C534" t="str">
            <v>M/S Khalaq Motors-Feni</v>
          </cell>
          <cell r="D534" t="str">
            <v>01133</v>
          </cell>
        </row>
        <row r="535">
          <cell r="C535" t="str">
            <v>M/S Al Madina Enterprise</v>
          </cell>
          <cell r="D535" t="str">
            <v>00814</v>
          </cell>
        </row>
        <row r="536">
          <cell r="C536" t="str">
            <v>M/S S.S. Enterprise-Norshingdi (C)</v>
          </cell>
          <cell r="D536" t="str">
            <v>01331</v>
          </cell>
        </row>
        <row r="537">
          <cell r="C537" t="str">
            <v>M/S Khokon IPS &amp; Battery Center (C)</v>
          </cell>
          <cell r="D537" t="str">
            <v>01306</v>
          </cell>
        </row>
        <row r="538">
          <cell r="C538" t="str">
            <v>M/S Dulasha Battary House</v>
          </cell>
          <cell r="D538" t="str">
            <v>00421</v>
          </cell>
        </row>
        <row r="539">
          <cell r="C539" t="str">
            <v>M/S Shah Mojidia Motor Parts</v>
          </cell>
          <cell r="D539" t="str">
            <v>00842</v>
          </cell>
        </row>
        <row r="540">
          <cell r="C540" t="str">
            <v>M/S Sanjida Auto</v>
          </cell>
          <cell r="D540" t="str">
            <v>00603</v>
          </cell>
        </row>
        <row r="541">
          <cell r="C541" t="str">
            <v>M/S Rafiq Vi Battery &amp; Auto</v>
          </cell>
          <cell r="D541" t="str">
            <v>01405</v>
          </cell>
        </row>
        <row r="542">
          <cell r="C542" t="str">
            <v>M/S M.R. Enterprise- Dinajpur</v>
          </cell>
          <cell r="D542" t="str">
            <v>00601</v>
          </cell>
        </row>
        <row r="543">
          <cell r="C543" t="str">
            <v>M/S Anamika Auto Rickshow</v>
          </cell>
          <cell r="D543" t="str">
            <v>00496</v>
          </cell>
        </row>
        <row r="544">
          <cell r="C544" t="str">
            <v>M/S Sompa Cycle Store</v>
          </cell>
          <cell r="D544" t="str">
            <v>01252</v>
          </cell>
        </row>
        <row r="545">
          <cell r="C545" t="str">
            <v>M/S Sirajgonj Auto Corner (C)</v>
          </cell>
          <cell r="D545" t="str">
            <v>01494</v>
          </cell>
        </row>
        <row r="546">
          <cell r="C546" t="str">
            <v>M/S Bogura Auto Center (C)</v>
          </cell>
          <cell r="D546" t="str">
            <v>01468</v>
          </cell>
        </row>
        <row r="547">
          <cell r="C547" t="str">
            <v>M/S Al-Amin Cycle &amp; Auto Parts (C)</v>
          </cell>
          <cell r="D547" t="str">
            <v>01507</v>
          </cell>
        </row>
        <row r="548">
          <cell r="C548" t="str">
            <v>M/S Sarkar Motors and Battery (C)</v>
          </cell>
          <cell r="D548" t="str">
            <v>01502</v>
          </cell>
        </row>
        <row r="549">
          <cell r="C549" t="str">
            <v>M/S Rakin Auto Parts</v>
          </cell>
          <cell r="D549" t="str">
            <v>00561</v>
          </cell>
        </row>
        <row r="550">
          <cell r="C550" t="str">
            <v>M/S Atik Auto</v>
          </cell>
          <cell r="D550" t="str">
            <v>00562</v>
          </cell>
        </row>
        <row r="551">
          <cell r="C551" t="str">
            <v>M/S S.K. Motors - Kushtia</v>
          </cell>
          <cell r="D551" t="str">
            <v>01057</v>
          </cell>
        </row>
        <row r="552">
          <cell r="C552" t="str">
            <v>M/S Jhenaidah Bike Center</v>
          </cell>
          <cell r="D552" t="str">
            <v>01358</v>
          </cell>
        </row>
        <row r="553">
          <cell r="C553" t="str">
            <v>M/S Nazrul Battery and Mobil House</v>
          </cell>
          <cell r="D553" t="str">
            <v>00832</v>
          </cell>
        </row>
        <row r="554">
          <cell r="C554" t="str">
            <v>M/S S.K. Trading Corporation (C)</v>
          </cell>
          <cell r="D554" t="str">
            <v>01523</v>
          </cell>
        </row>
        <row r="555">
          <cell r="C555" t="str">
            <v>M/S Islam Parts Store (C)</v>
          </cell>
          <cell r="D555" t="str">
            <v>01439</v>
          </cell>
        </row>
        <row r="556">
          <cell r="C556" t="str">
            <v>M/S Shepon Motors (C)</v>
          </cell>
          <cell r="D556" t="str">
            <v>01438</v>
          </cell>
        </row>
        <row r="557">
          <cell r="C557" t="str">
            <v>M/S Molla Battery House (C)</v>
          </cell>
          <cell r="D557" t="str">
            <v>01428</v>
          </cell>
        </row>
        <row r="558">
          <cell r="C558" t="str">
            <v>M/S New Mintu Motors</v>
          </cell>
          <cell r="D558" t="str">
            <v>00588</v>
          </cell>
        </row>
        <row r="559">
          <cell r="C559" t="str">
            <v>M/S Shikdar Auto House</v>
          </cell>
          <cell r="D559" t="str">
            <v>01493</v>
          </cell>
        </row>
        <row r="560">
          <cell r="C560" t="str">
            <v>M/S Awlad Electronics</v>
          </cell>
          <cell r="D560" t="str">
            <v>01284</v>
          </cell>
        </row>
        <row r="561">
          <cell r="C561" t="str">
            <v>M/S Bondhu Auto and CNG Workshop</v>
          </cell>
          <cell r="D561" t="str">
            <v>01149</v>
          </cell>
        </row>
        <row r="562">
          <cell r="C562" t="str">
            <v>M/S Hridoy Auto Servicing Center</v>
          </cell>
          <cell r="D562" t="str">
            <v>00137</v>
          </cell>
        </row>
        <row r="563">
          <cell r="C563" t="str">
            <v>M/S Al - Rafi Traders</v>
          </cell>
          <cell r="D563" t="str">
            <v>00816</v>
          </cell>
        </row>
        <row r="564">
          <cell r="C564" t="str">
            <v>M/S Sawda Auto and Battery</v>
          </cell>
          <cell r="D564" t="str">
            <v>01261</v>
          </cell>
        </row>
        <row r="565">
          <cell r="C565" t="str">
            <v>M/S Doyal Battery</v>
          </cell>
          <cell r="D565" t="str">
            <v>00337</v>
          </cell>
        </row>
        <row r="566">
          <cell r="C566" t="str">
            <v>M/S Bashkhali Enterprise</v>
          </cell>
          <cell r="D566" t="str">
            <v>00424</v>
          </cell>
        </row>
        <row r="567">
          <cell r="C567" t="str">
            <v>M/S Kalam Auto Motor Parts And Battery House</v>
          </cell>
          <cell r="D567" t="str">
            <v>00420</v>
          </cell>
        </row>
        <row r="568">
          <cell r="C568" t="str">
            <v>M/S Arafat Enterprise</v>
          </cell>
          <cell r="D568" t="str">
            <v>00094</v>
          </cell>
        </row>
        <row r="569">
          <cell r="C569" t="str">
            <v>M/S Al - Mokka Enterprise</v>
          </cell>
          <cell r="D569" t="str">
            <v>01112</v>
          </cell>
        </row>
        <row r="570">
          <cell r="C570" t="str">
            <v>M/S Gazipur Battery House</v>
          </cell>
          <cell r="D570" t="str">
            <v>00826</v>
          </cell>
        </row>
        <row r="571">
          <cell r="C571" t="str">
            <v>M/S Rumi Battery House</v>
          </cell>
          <cell r="D571" t="str">
            <v>00387</v>
          </cell>
        </row>
        <row r="572">
          <cell r="C572" t="str">
            <v>M/S Rumi Battery House</v>
          </cell>
          <cell r="D572" t="str">
            <v>00387</v>
          </cell>
        </row>
        <row r="573">
          <cell r="C573" t="str">
            <v>M/S S.M. Enterprise- Sunamgonj</v>
          </cell>
          <cell r="D573" t="str">
            <v>00390</v>
          </cell>
        </row>
        <row r="574">
          <cell r="C574" t="str">
            <v>M/S Minara Traders</v>
          </cell>
          <cell r="D574" t="str">
            <v>01108</v>
          </cell>
        </row>
        <row r="575">
          <cell r="C575" t="str">
            <v>M/S Shah Mojidia Motor Parts</v>
          </cell>
          <cell r="D575" t="str">
            <v>00842</v>
          </cell>
        </row>
        <row r="576">
          <cell r="C576" t="str">
            <v>M/S Hira Motors-Chokoria</v>
          </cell>
          <cell r="D576" t="str">
            <v>01441</v>
          </cell>
        </row>
        <row r="577">
          <cell r="C577" t="str">
            <v>M/S Hira Motors</v>
          </cell>
          <cell r="D577" t="str">
            <v>01100</v>
          </cell>
        </row>
        <row r="578">
          <cell r="C578" t="str">
            <v>M/S Hafiz Battery House</v>
          </cell>
          <cell r="D578" t="str">
            <v>01368</v>
          </cell>
        </row>
        <row r="579">
          <cell r="C579" t="str">
            <v>Kalam Enterprise</v>
          </cell>
          <cell r="D579" t="str">
            <v>01341</v>
          </cell>
        </row>
        <row r="580">
          <cell r="C580" t="str">
            <v>M/S Monir Auto &amp; Battery House</v>
          </cell>
          <cell r="D580" t="str">
            <v>00001</v>
          </cell>
        </row>
        <row r="581">
          <cell r="C581" t="str">
            <v>M/S Ananna Battery &amp; Tyre</v>
          </cell>
          <cell r="D581" t="str">
            <v>01088</v>
          </cell>
        </row>
        <row r="582">
          <cell r="C582" t="str">
            <v>M/S Khokon IPS &amp; Battery Center (C)</v>
          </cell>
          <cell r="D582" t="str">
            <v>01306</v>
          </cell>
        </row>
        <row r="583">
          <cell r="C583" t="str">
            <v>M/S S.S. Enterprise-Norshingdi (C)</v>
          </cell>
          <cell r="D583" t="str">
            <v>01331</v>
          </cell>
        </row>
        <row r="584">
          <cell r="C584" t="str">
            <v>M/S Anik Motors &amp; Battery (C)</v>
          </cell>
          <cell r="D584" t="str">
            <v>01444</v>
          </cell>
        </row>
        <row r="585">
          <cell r="C585" t="str">
            <v>M/S Anas Battery &amp; Auto House</v>
          </cell>
          <cell r="D585" t="str">
            <v>01401</v>
          </cell>
        </row>
        <row r="586">
          <cell r="C586" t="str">
            <v>M/S Kalam Battery House</v>
          </cell>
          <cell r="D586" t="str">
            <v>01247</v>
          </cell>
        </row>
        <row r="587">
          <cell r="C587" t="str">
            <v>M/S Oppo Parts &amp; Battery House</v>
          </cell>
          <cell r="D587" t="str">
            <v>01508</v>
          </cell>
        </row>
        <row r="588">
          <cell r="C588" t="str">
            <v>M/S Mayer Doya Auto Parts-Laksam</v>
          </cell>
          <cell r="D588" t="str">
            <v>00325</v>
          </cell>
        </row>
        <row r="589">
          <cell r="C589" t="str">
            <v>M/S Mayer Doya Auto Parts-Laksam</v>
          </cell>
          <cell r="D589" t="str">
            <v>00325</v>
          </cell>
        </row>
        <row r="590">
          <cell r="C590" t="str">
            <v>M/S A.P.L. Auto House</v>
          </cell>
          <cell r="D590" t="str">
            <v>00328</v>
          </cell>
        </row>
        <row r="591">
          <cell r="C591" t="str">
            <v>M/S A.P.L. Auto House</v>
          </cell>
          <cell r="D591" t="str">
            <v>00328</v>
          </cell>
        </row>
        <row r="592">
          <cell r="C592" t="str">
            <v>M/S Mizan Traders</v>
          </cell>
          <cell r="D592" t="str">
            <v>00179</v>
          </cell>
        </row>
        <row r="593">
          <cell r="C593" t="str">
            <v>M/S Lalmai Machineries &amp; Parts</v>
          </cell>
          <cell r="D593" t="str">
            <v>00329</v>
          </cell>
        </row>
        <row r="594">
          <cell r="C594" t="str">
            <v>M/S Power Battery And Tyre</v>
          </cell>
          <cell r="D594" t="str">
            <v>01477</v>
          </cell>
        </row>
        <row r="595">
          <cell r="C595" t="str">
            <v>M/S Snigdha Battery</v>
          </cell>
          <cell r="D595" t="str">
            <v>00134</v>
          </cell>
        </row>
        <row r="596">
          <cell r="C596" t="str">
            <v>M/S Babul Enterprise (C)</v>
          </cell>
          <cell r="D596" t="str">
            <v>01292</v>
          </cell>
        </row>
      </sheetData>
      <sheetData sheetId="2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Dealer Wise Net Sales Register1"/>
      <sheetName val="Sheet2"/>
      <sheetName val="Sheet3"/>
      <sheetName val="Sheet4"/>
    </sheetNames>
    <sheetDataSet>
      <sheetData sheetId="0"/>
      <sheetData sheetId="1">
        <row r="8">
          <cell r="D8" t="str">
            <v>Customer Name</v>
          </cell>
          <cell r="E8" t="str">
            <v>Pad Name</v>
          </cell>
        </row>
        <row r="9">
          <cell r="D9" t="str">
            <v>M/S Nasir Motors</v>
          </cell>
          <cell r="E9" t="str">
            <v>01248</v>
          </cell>
        </row>
        <row r="10">
          <cell r="D10" t="str">
            <v>M/S Ma Tyre &amp; Battery  Shop</v>
          </cell>
          <cell r="E10" t="str">
            <v>00088</v>
          </cell>
        </row>
        <row r="11">
          <cell r="D11" t="str">
            <v>M/S Shah Enterprise</v>
          </cell>
          <cell r="E11" t="str">
            <v>00600</v>
          </cell>
        </row>
        <row r="12">
          <cell r="D12" t="str">
            <v>M/S Al - Mokka Enterprise</v>
          </cell>
          <cell r="E12" t="str">
            <v>01112</v>
          </cell>
        </row>
        <row r="13">
          <cell r="D13" t="str">
            <v>M/S H.N. Enterprise</v>
          </cell>
          <cell r="E13" t="str">
            <v>00448</v>
          </cell>
        </row>
        <row r="14">
          <cell r="D14" t="str">
            <v>M/S Al - Mokka Enterprise (C)</v>
          </cell>
          <cell r="E14" t="str">
            <v>01553</v>
          </cell>
        </row>
        <row r="15">
          <cell r="D15" t="str">
            <v>M/S Al - Mokka Enterprise (C)</v>
          </cell>
          <cell r="E15" t="str">
            <v>01553</v>
          </cell>
        </row>
        <row r="16">
          <cell r="D16" t="str">
            <v>M/S Al - Mokka Enterprise (C)</v>
          </cell>
          <cell r="E16" t="str">
            <v>01553</v>
          </cell>
        </row>
        <row r="17">
          <cell r="D17" t="str">
            <v>M/S H.N. Enterprise</v>
          </cell>
          <cell r="E17" t="str">
            <v>00448</v>
          </cell>
        </row>
        <row r="18">
          <cell r="D18" t="str">
            <v>M/S Al - Mokka Enterprise (C)</v>
          </cell>
          <cell r="E18" t="str">
            <v>01553</v>
          </cell>
        </row>
        <row r="19">
          <cell r="D19" t="str">
            <v>M/S Hasan Enterprise (C)</v>
          </cell>
          <cell r="E19" t="str">
            <v>01289</v>
          </cell>
        </row>
        <row r="20">
          <cell r="D20" t="str">
            <v>M/S Master Motor's</v>
          </cell>
          <cell r="E20" t="str">
            <v>00217</v>
          </cell>
        </row>
        <row r="21">
          <cell r="D21" t="str">
            <v>M/S Khan Battery Recycling (C)</v>
          </cell>
          <cell r="E21" t="str">
            <v>01282</v>
          </cell>
        </row>
        <row r="22">
          <cell r="D22" t="str">
            <v>M/S Khan Battery Recycling (C)</v>
          </cell>
          <cell r="E22" t="str">
            <v>01282</v>
          </cell>
        </row>
        <row r="23">
          <cell r="D23" t="str">
            <v>M/S Khan Battery Recycling (C)</v>
          </cell>
          <cell r="E23" t="str">
            <v>01282</v>
          </cell>
        </row>
        <row r="24">
          <cell r="D24" t="str">
            <v>M/S Sarkar Motors and Battery</v>
          </cell>
          <cell r="E24" t="str">
            <v>01501</v>
          </cell>
        </row>
        <row r="25">
          <cell r="D25" t="str">
            <v>M/S Ripon Tyre and Battery (C)</v>
          </cell>
          <cell r="E25" t="str">
            <v>01557</v>
          </cell>
        </row>
        <row r="26">
          <cell r="D26" t="str">
            <v>M/S Pagla Mama Auto Parts</v>
          </cell>
          <cell r="E26" t="str">
            <v>01170</v>
          </cell>
        </row>
        <row r="27">
          <cell r="D27" t="str">
            <v>M/S Ripon Tyre and Battery (C)</v>
          </cell>
          <cell r="E27" t="str">
            <v>01557</v>
          </cell>
        </row>
        <row r="28">
          <cell r="D28" t="str">
            <v>M/S Amir Auto House</v>
          </cell>
          <cell r="E28" t="str">
            <v>00138</v>
          </cell>
        </row>
        <row r="29">
          <cell r="D29" t="str">
            <v>M/S Oreya Enterprise</v>
          </cell>
          <cell r="E29" t="str">
            <v>00537</v>
          </cell>
        </row>
        <row r="30">
          <cell r="D30" t="str">
            <v>M/S Bonna Enterprise</v>
          </cell>
          <cell r="E30" t="str">
            <v>00617</v>
          </cell>
        </row>
        <row r="31">
          <cell r="D31" t="str">
            <v>M/S S.S. Enterprise-Norshingdi (C)</v>
          </cell>
          <cell r="E31" t="str">
            <v>01331</v>
          </cell>
        </row>
        <row r="32">
          <cell r="D32" t="str">
            <v>M/S S.S. Enterprise-Norshingdi (C)</v>
          </cell>
          <cell r="E32" t="str">
            <v>01331</v>
          </cell>
        </row>
        <row r="33">
          <cell r="D33" t="str">
            <v>M/S S.S. Enterprise-Norshingdi (C)</v>
          </cell>
          <cell r="E33" t="str">
            <v>01331</v>
          </cell>
        </row>
        <row r="34">
          <cell r="D34" t="str">
            <v>M/S S.S. Enterprise-Norshingdi</v>
          </cell>
          <cell r="E34" t="str">
            <v>01118</v>
          </cell>
        </row>
        <row r="35">
          <cell r="D35" t="str">
            <v>M/S S.S. Enterprise-Norshingdi</v>
          </cell>
          <cell r="E35" t="str">
            <v>01118</v>
          </cell>
        </row>
        <row r="36">
          <cell r="D36" t="str">
            <v>M/S S.S. Enterprise-Norshingdi</v>
          </cell>
          <cell r="E36" t="str">
            <v>01118</v>
          </cell>
        </row>
        <row r="37">
          <cell r="D37" t="str">
            <v>M/S S.S. Enterprise-Norshingdi</v>
          </cell>
          <cell r="E37" t="str">
            <v>01118</v>
          </cell>
        </row>
        <row r="38">
          <cell r="D38" t="str">
            <v>M/S S.S. Enterprise-Norshingdi</v>
          </cell>
          <cell r="E38" t="str">
            <v>01118</v>
          </cell>
        </row>
        <row r="39">
          <cell r="D39" t="str">
            <v>M/S Oppo Parts &amp; Battery House</v>
          </cell>
          <cell r="E39" t="str">
            <v>01508</v>
          </cell>
        </row>
        <row r="40">
          <cell r="D40" t="str">
            <v>M/S Oppo Parts &amp; Battery House</v>
          </cell>
          <cell r="E40" t="str">
            <v>01508</v>
          </cell>
        </row>
        <row r="41">
          <cell r="D41" t="str">
            <v>M/S Anas Battery &amp; Auto House</v>
          </cell>
          <cell r="E41" t="str">
            <v>01401</v>
          </cell>
        </row>
        <row r="42">
          <cell r="D42" t="str">
            <v>M/S Oppo Parts &amp; Battery House</v>
          </cell>
          <cell r="E42" t="str">
            <v>01508</v>
          </cell>
        </row>
        <row r="43">
          <cell r="D43" t="str">
            <v>M/S Anik Motors &amp; Battery (C)</v>
          </cell>
          <cell r="E43" t="str">
            <v>01444</v>
          </cell>
        </row>
        <row r="44">
          <cell r="D44" t="str">
            <v>M/S Setu Cycle Mart</v>
          </cell>
          <cell r="E44" t="str">
            <v>00471</v>
          </cell>
        </row>
        <row r="45">
          <cell r="D45" t="str">
            <v>M/S Setu Cycle Mart</v>
          </cell>
          <cell r="E45" t="str">
            <v>00471</v>
          </cell>
        </row>
        <row r="46">
          <cell r="D46" t="str">
            <v>M/S Setu Cycle Mart</v>
          </cell>
          <cell r="E46" t="str">
            <v>00471</v>
          </cell>
        </row>
        <row r="47">
          <cell r="D47" t="str">
            <v>M/S Setu Cycle Mart</v>
          </cell>
          <cell r="E47" t="str">
            <v>00471</v>
          </cell>
        </row>
        <row r="48">
          <cell r="D48" t="str">
            <v>M/S Shah Mojidia Motor Parts</v>
          </cell>
          <cell r="E48" t="str">
            <v>00842</v>
          </cell>
        </row>
        <row r="49">
          <cell r="D49" t="str">
            <v>M/S Shah Mojidia Motor Parts</v>
          </cell>
          <cell r="E49" t="str">
            <v>00842</v>
          </cell>
        </row>
        <row r="50">
          <cell r="D50" t="str">
            <v>M/S Al Madina Enterprise</v>
          </cell>
          <cell r="E50" t="str">
            <v>00814</v>
          </cell>
        </row>
        <row r="51">
          <cell r="D51" t="str">
            <v>M/S Shah Mojidia Motor Parts</v>
          </cell>
          <cell r="E51" t="str">
            <v>00842</v>
          </cell>
        </row>
        <row r="52">
          <cell r="D52" t="str">
            <v>M/S Hafiz Battery House</v>
          </cell>
          <cell r="E52" t="str">
            <v>01368</v>
          </cell>
        </row>
        <row r="53">
          <cell r="D53" t="str">
            <v>M/S Hafiz Battery House</v>
          </cell>
          <cell r="E53" t="str">
            <v>01368</v>
          </cell>
        </row>
        <row r="54">
          <cell r="D54" t="str">
            <v>M/S Gausia Mill Store</v>
          </cell>
          <cell r="E54" t="str">
            <v>00615</v>
          </cell>
        </row>
        <row r="55">
          <cell r="D55" t="str">
            <v>M/S Gausia Mill Store</v>
          </cell>
          <cell r="E55" t="str">
            <v>00615</v>
          </cell>
        </row>
        <row r="56">
          <cell r="D56" t="str">
            <v>M/S Kalam Enterprise</v>
          </cell>
          <cell r="E56" t="str">
            <v>01341</v>
          </cell>
        </row>
        <row r="57">
          <cell r="D57" t="str">
            <v>M/S Bhai Bhai Cycle Mart</v>
          </cell>
          <cell r="E57" t="str">
            <v>00823</v>
          </cell>
        </row>
        <row r="58">
          <cell r="D58" t="str">
            <v>M/S Mohi Enterprise</v>
          </cell>
          <cell r="E58" t="str">
            <v>01356</v>
          </cell>
        </row>
        <row r="59">
          <cell r="D59" t="str">
            <v>M/S Talukder Motors (C)</v>
          </cell>
          <cell r="E59" t="str">
            <v>01471</v>
          </cell>
        </row>
        <row r="60">
          <cell r="D60" t="str">
            <v>M/S Shikdar Auto House</v>
          </cell>
          <cell r="E60" t="str">
            <v>01493</v>
          </cell>
        </row>
        <row r="61">
          <cell r="D61" t="str">
            <v>M/S Samar Auto (C)</v>
          </cell>
          <cell r="E61" t="str">
            <v>01522</v>
          </cell>
        </row>
        <row r="62">
          <cell r="D62" t="str">
            <v>M/S Samar Auto (C)</v>
          </cell>
          <cell r="E62" t="str">
            <v>01522</v>
          </cell>
        </row>
        <row r="63">
          <cell r="D63" t="str">
            <v>M/S Gausia Mill Store</v>
          </cell>
          <cell r="E63" t="str">
            <v>00615</v>
          </cell>
        </row>
        <row r="64">
          <cell r="D64" t="str">
            <v>M/S Gausia Mill Store</v>
          </cell>
          <cell r="E64" t="str">
            <v>00615</v>
          </cell>
        </row>
        <row r="65">
          <cell r="D65" t="str">
            <v>M/S Farhan Battery &amp; Auto Parts</v>
          </cell>
          <cell r="E65" t="str">
            <v>01470</v>
          </cell>
        </row>
        <row r="66">
          <cell r="D66" t="str">
            <v>M/S Gausia Mill Store</v>
          </cell>
          <cell r="E66" t="str">
            <v>00615</v>
          </cell>
        </row>
        <row r="67">
          <cell r="D67" t="str">
            <v>M/S S.K. Trading Corporation (C)</v>
          </cell>
          <cell r="E67" t="str">
            <v>01523</v>
          </cell>
        </row>
        <row r="68">
          <cell r="D68" t="str">
            <v>M/S Islam Auto House</v>
          </cell>
          <cell r="E68" t="str">
            <v>01391</v>
          </cell>
        </row>
        <row r="69">
          <cell r="D69" t="str">
            <v>M/S Shopon Battery House (C)</v>
          </cell>
          <cell r="E69" t="str">
            <v>01320</v>
          </cell>
        </row>
        <row r="70">
          <cell r="D70" t="str">
            <v>M/S Molla Battery House (C)</v>
          </cell>
          <cell r="E70" t="str">
            <v>01428</v>
          </cell>
        </row>
        <row r="71">
          <cell r="D71" t="str">
            <v>M/S Molla Battery House (C)</v>
          </cell>
          <cell r="E71" t="str">
            <v>01428</v>
          </cell>
        </row>
        <row r="72">
          <cell r="D72" t="str">
            <v>M/S Awlad Electronics</v>
          </cell>
          <cell r="E72" t="str">
            <v>01284</v>
          </cell>
        </row>
        <row r="73">
          <cell r="D73" t="str">
            <v>M/S Awlad Electronics</v>
          </cell>
          <cell r="E73" t="str">
            <v>01284</v>
          </cell>
        </row>
        <row r="74">
          <cell r="D74" t="str">
            <v>M/S Awlad Electronics</v>
          </cell>
          <cell r="E74" t="str">
            <v>01284</v>
          </cell>
        </row>
        <row r="75">
          <cell r="D75" t="str">
            <v>M/S S.K. Motors - Kushtia</v>
          </cell>
          <cell r="E75" t="str">
            <v>01057</v>
          </cell>
        </row>
        <row r="76">
          <cell r="D76" t="str">
            <v>M/S Sompa Cycle Store (C)</v>
          </cell>
          <cell r="E76" t="str">
            <v>01545</v>
          </cell>
        </row>
        <row r="77">
          <cell r="D77" t="str">
            <v>M/S M.R. Enterprise- Dinajpur (C)</v>
          </cell>
          <cell r="E77" t="str">
            <v>01520</v>
          </cell>
        </row>
        <row r="78">
          <cell r="D78" t="str">
            <v>M/S Boalkhali Battery House (C)</v>
          </cell>
          <cell r="E78" t="str">
            <v>01550</v>
          </cell>
        </row>
        <row r="79">
          <cell r="D79" t="str">
            <v>M/S Boalkhali Battery House (C)</v>
          </cell>
          <cell r="E79" t="str">
            <v>01550</v>
          </cell>
        </row>
        <row r="80">
          <cell r="D80" t="str">
            <v>M/S Boalkhali Battery House (C)</v>
          </cell>
          <cell r="E80" t="str">
            <v>01550</v>
          </cell>
        </row>
        <row r="81">
          <cell r="D81" t="str">
            <v>M/S S.K. Enterprise (C)</v>
          </cell>
          <cell r="E81" t="str">
            <v>01326</v>
          </cell>
        </row>
        <row r="82">
          <cell r="D82" t="str">
            <v>M/S S.K. Enterprise (C)</v>
          </cell>
          <cell r="E82" t="str">
            <v>01326</v>
          </cell>
        </row>
        <row r="83">
          <cell r="D83" t="str">
            <v>M/S Maa Battery Service</v>
          </cell>
          <cell r="E83" t="str">
            <v>00327</v>
          </cell>
        </row>
        <row r="84">
          <cell r="D84" t="str">
            <v>M/S Selim Battery House (C)</v>
          </cell>
          <cell r="E84" t="str">
            <v>01569</v>
          </cell>
        </row>
        <row r="85">
          <cell r="D85" t="str">
            <v>M/S Selim Battery House (C)</v>
          </cell>
          <cell r="E85" t="str">
            <v>01569</v>
          </cell>
        </row>
        <row r="86">
          <cell r="D86" t="str">
            <v>M/S Selim Battery House (C)</v>
          </cell>
          <cell r="E86" t="str">
            <v>01569</v>
          </cell>
        </row>
        <row r="87">
          <cell r="D87" t="str">
            <v>M/S Jamuna Battery House (C)</v>
          </cell>
          <cell r="E87" t="str">
            <v>01558</v>
          </cell>
        </row>
        <row r="88">
          <cell r="D88" t="str">
            <v>M/S Samir Battery And Tyre</v>
          </cell>
          <cell r="E88" t="str">
            <v>01450</v>
          </cell>
        </row>
        <row r="89">
          <cell r="D89" t="str">
            <v>M/S Samir Battery And Tyre</v>
          </cell>
          <cell r="E89" t="str">
            <v>01450</v>
          </cell>
        </row>
        <row r="90">
          <cell r="D90" t="str">
            <v>M/S Samir Battery And Tyre</v>
          </cell>
          <cell r="E90" t="str">
            <v>01450</v>
          </cell>
        </row>
        <row r="91">
          <cell r="D91" t="str">
            <v>M/S Mahtab Engineering Workshop</v>
          </cell>
          <cell r="E91" t="str">
            <v>01429</v>
          </cell>
        </row>
        <row r="92">
          <cell r="D92" t="str">
            <v>M/S Mahtab Engineering Workshop</v>
          </cell>
          <cell r="E92" t="str">
            <v>01429</v>
          </cell>
        </row>
        <row r="93">
          <cell r="D93" t="str">
            <v>M/S Satata Battery House (C)</v>
          </cell>
          <cell r="E93" t="str">
            <v>01517</v>
          </cell>
        </row>
        <row r="94">
          <cell r="D94" t="str">
            <v>M/S New Asia Motors</v>
          </cell>
          <cell r="E94" t="str">
            <v>00051</v>
          </cell>
        </row>
        <row r="95">
          <cell r="D95" t="str">
            <v>M/S New Asia Motors</v>
          </cell>
          <cell r="E95" t="str">
            <v>00051</v>
          </cell>
        </row>
        <row r="96">
          <cell r="D96" t="str">
            <v>M/S Modina Enterprise - Savar</v>
          </cell>
          <cell r="E96" t="str">
            <v>01404</v>
          </cell>
        </row>
        <row r="97">
          <cell r="D97" t="str">
            <v>M/S Modina Enterprise - Savar</v>
          </cell>
          <cell r="E97" t="str">
            <v>01404</v>
          </cell>
        </row>
        <row r="98">
          <cell r="D98" t="str">
            <v>M/S Modina Enterprise - Savar</v>
          </cell>
          <cell r="E98" t="str">
            <v>01404</v>
          </cell>
        </row>
        <row r="99">
          <cell r="D99" t="str">
            <v>M/S Anas Enterprise (C)</v>
          </cell>
          <cell r="E99" t="str">
            <v>01551</v>
          </cell>
        </row>
        <row r="100">
          <cell r="D100" t="str">
            <v>M/S Anas Enterprise (C)</v>
          </cell>
          <cell r="E100" t="str">
            <v>01551</v>
          </cell>
        </row>
        <row r="101">
          <cell r="D101" t="str">
            <v>M/S Ripon Tyre and Battery (C)</v>
          </cell>
          <cell r="E101" t="str">
            <v>01557</v>
          </cell>
        </row>
        <row r="102">
          <cell r="D102" t="str">
            <v>M/S Mahtab Engineering Workshop</v>
          </cell>
          <cell r="E102" t="str">
            <v>01429</v>
          </cell>
        </row>
        <row r="103">
          <cell r="D103" t="str">
            <v>M/S Ma Tyre &amp; Battery  Shop</v>
          </cell>
          <cell r="E103" t="str">
            <v>00088</v>
          </cell>
        </row>
        <row r="104">
          <cell r="D104" t="str">
            <v>M/S Ma Tyre &amp; Battery  Shop</v>
          </cell>
          <cell r="E104" t="str">
            <v>00088</v>
          </cell>
        </row>
        <row r="105">
          <cell r="D105" t="str">
            <v>M/S Al - Mokka Enterprise</v>
          </cell>
          <cell r="E105" t="str">
            <v>01112</v>
          </cell>
        </row>
        <row r="106">
          <cell r="D106" t="str">
            <v>M/S Al - Mokka Enterprise (C)</v>
          </cell>
          <cell r="E106" t="str">
            <v>01553</v>
          </cell>
        </row>
        <row r="107">
          <cell r="D107" t="str">
            <v>M/S Al - Mokka Enterprise (C)</v>
          </cell>
          <cell r="E107" t="str">
            <v>01553</v>
          </cell>
        </row>
        <row r="108">
          <cell r="D108" t="str">
            <v>M/S Al - Mokka Enterprise (C)</v>
          </cell>
          <cell r="E108" t="str">
            <v>01553</v>
          </cell>
        </row>
        <row r="109">
          <cell r="D109" t="str">
            <v>M/S EVE Energy Traders (C)</v>
          </cell>
          <cell r="E109" t="str">
            <v>01586</v>
          </cell>
        </row>
        <row r="110">
          <cell r="D110" t="str">
            <v>M/S Samar Auto (C)</v>
          </cell>
          <cell r="E110" t="str">
            <v>01522</v>
          </cell>
        </row>
        <row r="111">
          <cell r="D111" t="str">
            <v>M/S Sohan Motors</v>
          </cell>
          <cell r="E111" t="str">
            <v>01385</v>
          </cell>
        </row>
        <row r="112">
          <cell r="D112" t="str">
            <v>M/S Sohan Motors</v>
          </cell>
          <cell r="E112" t="str">
            <v>01385</v>
          </cell>
        </row>
        <row r="113">
          <cell r="D113" t="str">
            <v>M/S Kalam Enterprise</v>
          </cell>
          <cell r="E113" t="str">
            <v>01341</v>
          </cell>
        </row>
        <row r="114">
          <cell r="D114" t="str">
            <v>M/S Kalam Enterprise</v>
          </cell>
          <cell r="E114" t="str">
            <v>01341</v>
          </cell>
        </row>
        <row r="115">
          <cell r="D115" t="str">
            <v>M/S Kalam Enterprise</v>
          </cell>
          <cell r="E115" t="str">
            <v>01341</v>
          </cell>
        </row>
        <row r="116">
          <cell r="D116" t="str">
            <v>M/S Shah Mojidia Motor Parts</v>
          </cell>
          <cell r="E116" t="str">
            <v>00842</v>
          </cell>
        </row>
        <row r="117">
          <cell r="D117" t="str">
            <v>M/S Arman Battery House</v>
          </cell>
          <cell r="E117" t="str">
            <v>01581</v>
          </cell>
        </row>
        <row r="118">
          <cell r="D118" t="str">
            <v>M/S Arman Battery House</v>
          </cell>
          <cell r="E118" t="str">
            <v>01581</v>
          </cell>
        </row>
        <row r="119">
          <cell r="D119" t="str">
            <v>M/S Setu Cycle Mart</v>
          </cell>
          <cell r="E119" t="str">
            <v>00471</v>
          </cell>
        </row>
        <row r="120">
          <cell r="D120" t="str">
            <v>M/S Setu Cycle Mart</v>
          </cell>
          <cell r="E120" t="str">
            <v>00471</v>
          </cell>
        </row>
        <row r="121">
          <cell r="D121" t="str">
            <v>M/S Setu Cycle Mart</v>
          </cell>
          <cell r="E121" t="str">
            <v>00471</v>
          </cell>
        </row>
        <row r="122">
          <cell r="D122" t="str">
            <v>M/S Setu Cycle Mart</v>
          </cell>
          <cell r="E122" t="str">
            <v>00471</v>
          </cell>
        </row>
        <row r="123">
          <cell r="D123" t="str">
            <v>M/S Bondhu Auto and CNG Workshop</v>
          </cell>
          <cell r="E123" t="str">
            <v>01149</v>
          </cell>
        </row>
        <row r="124">
          <cell r="D124" t="str">
            <v>M/S B.P Battery House</v>
          </cell>
          <cell r="E124" t="str">
            <v>01130</v>
          </cell>
        </row>
        <row r="125">
          <cell r="D125" t="str">
            <v>M/S B.P Battery House</v>
          </cell>
          <cell r="E125" t="str">
            <v>01130</v>
          </cell>
        </row>
        <row r="126">
          <cell r="D126" t="str">
            <v>M/S Doyal Battery</v>
          </cell>
          <cell r="E126" t="str">
            <v>00337</v>
          </cell>
        </row>
        <row r="127">
          <cell r="D127" t="str">
            <v>M/S Doyal Battery</v>
          </cell>
          <cell r="E127" t="str">
            <v>00337</v>
          </cell>
        </row>
        <row r="128">
          <cell r="D128" t="str">
            <v>M/S Anas Battery &amp; Auto House</v>
          </cell>
          <cell r="E128" t="str">
            <v>01401</v>
          </cell>
        </row>
        <row r="129">
          <cell r="D129" t="str">
            <v>M/S S.S. Enterprise-Norshingdi</v>
          </cell>
          <cell r="E129" t="str">
            <v>01118</v>
          </cell>
        </row>
        <row r="130">
          <cell r="D130" t="str">
            <v>M/S S.S. Enterprise-Norshingdi</v>
          </cell>
          <cell r="E130" t="str">
            <v>01118</v>
          </cell>
        </row>
        <row r="131">
          <cell r="D131" t="str">
            <v>M/S S.S. Enterprise-Norshingdi</v>
          </cell>
          <cell r="E131" t="str">
            <v>01118</v>
          </cell>
        </row>
        <row r="132">
          <cell r="D132" t="str">
            <v>M/S S.S. Enterprise-Norshingdi</v>
          </cell>
          <cell r="E132" t="str">
            <v>01118</v>
          </cell>
        </row>
        <row r="133">
          <cell r="D133" t="str">
            <v>M/S S.S. Enterprise-Norshingdi</v>
          </cell>
          <cell r="E133" t="str">
            <v>01118</v>
          </cell>
        </row>
        <row r="134">
          <cell r="D134" t="str">
            <v>M/S S.S. Enterprise-Norshingdi</v>
          </cell>
          <cell r="E134" t="str">
            <v>01118</v>
          </cell>
        </row>
        <row r="135">
          <cell r="D135" t="str">
            <v>M/S Anik Motors &amp; Battery</v>
          </cell>
          <cell r="E135" t="str">
            <v>01262</v>
          </cell>
        </row>
        <row r="136">
          <cell r="D136" t="str">
            <v>M/S Anik Motors &amp; Battery</v>
          </cell>
          <cell r="E136" t="str">
            <v>01262</v>
          </cell>
        </row>
        <row r="137">
          <cell r="D137" t="str">
            <v>M/S Maa Battery Service</v>
          </cell>
          <cell r="E137" t="str">
            <v>00327</v>
          </cell>
        </row>
        <row r="138">
          <cell r="D138" t="str">
            <v>M/S Boalkhali Battery House (C)</v>
          </cell>
          <cell r="E138" t="str">
            <v>01550</v>
          </cell>
        </row>
        <row r="139">
          <cell r="D139" t="str">
            <v>M/S Adib Alifa Auto &amp; Battery House (C)</v>
          </cell>
          <cell r="E139" t="str">
            <v>01454</v>
          </cell>
        </row>
        <row r="140">
          <cell r="D140" t="str">
            <v>M/S Manir Battery Charging Station</v>
          </cell>
          <cell r="E140" t="str">
            <v>00833</v>
          </cell>
        </row>
        <row r="141">
          <cell r="D141" t="str">
            <v>M/S S.K. Trading Corporation (C)</v>
          </cell>
          <cell r="E141" t="str">
            <v>01523</v>
          </cell>
        </row>
        <row r="142">
          <cell r="D142" t="str">
            <v>M/S S.K. Enterprise-Rangpur</v>
          </cell>
          <cell r="E142" t="str">
            <v>01462</v>
          </cell>
        </row>
        <row r="143">
          <cell r="D143" t="str">
            <v>M/S S.K. Enterprise-Rangpur</v>
          </cell>
          <cell r="E143" t="str">
            <v>01462</v>
          </cell>
        </row>
        <row r="144">
          <cell r="D144" t="str">
            <v>M/S Shamim Battery &amp; Tyre House (C)</v>
          </cell>
          <cell r="E144" t="str">
            <v>01540</v>
          </cell>
        </row>
        <row r="145">
          <cell r="D145" t="str">
            <v>M/S S S Trading</v>
          </cell>
          <cell r="E145" t="str">
            <v>00846</v>
          </cell>
        </row>
        <row r="146">
          <cell r="D146" t="str">
            <v>M/S Arafat Enterprise</v>
          </cell>
          <cell r="E146" t="str">
            <v>00094</v>
          </cell>
        </row>
        <row r="147">
          <cell r="D147" t="str">
            <v>M/S Arafat Enterprise</v>
          </cell>
          <cell r="E147" t="str">
            <v>00094</v>
          </cell>
        </row>
        <row r="148">
          <cell r="D148" t="str">
            <v>M/S Arafat Enterprise</v>
          </cell>
          <cell r="E148" t="str">
            <v>00094</v>
          </cell>
        </row>
        <row r="149">
          <cell r="D149" t="str">
            <v>M/S Sadia Enterprise (C)</v>
          </cell>
          <cell r="E149" t="str">
            <v>01594</v>
          </cell>
        </row>
        <row r="150">
          <cell r="D150" t="str">
            <v>M/S Sadia Enterprise (C)</v>
          </cell>
          <cell r="E150" t="str">
            <v>01594</v>
          </cell>
        </row>
        <row r="151">
          <cell r="D151" t="str">
            <v>M/S Farhan Auto (C)</v>
          </cell>
          <cell r="E151" t="str">
            <v>01298</v>
          </cell>
        </row>
        <row r="152">
          <cell r="D152" t="str">
            <v>M/S Farhan Auto (C)</v>
          </cell>
          <cell r="E152" t="str">
            <v>01298</v>
          </cell>
        </row>
        <row r="153">
          <cell r="D153" t="str">
            <v>M/S Farhan Auto (C)</v>
          </cell>
          <cell r="E153" t="str">
            <v>01298</v>
          </cell>
        </row>
        <row r="154">
          <cell r="D154" t="str">
            <v>M/S S.K. Enterprise (C)</v>
          </cell>
          <cell r="E154" t="str">
            <v>01326</v>
          </cell>
        </row>
        <row r="155">
          <cell r="D155" t="str">
            <v>M/S S.K. Enterprise (C)</v>
          </cell>
          <cell r="E155" t="str">
            <v>01326</v>
          </cell>
        </row>
        <row r="156">
          <cell r="D156" t="str">
            <v>M/S Tamim Enterprise</v>
          </cell>
          <cell r="E156" t="str">
            <v>01395</v>
          </cell>
        </row>
        <row r="157">
          <cell r="D157" t="str">
            <v>M/S Anas Enterprise (C)</v>
          </cell>
          <cell r="E157" t="str">
            <v>01551</v>
          </cell>
        </row>
        <row r="158">
          <cell r="D158" t="str">
            <v>M/S Modina Cycle Store (C)</v>
          </cell>
          <cell r="E158" t="str">
            <v>01519</v>
          </cell>
        </row>
        <row r="159">
          <cell r="D159" t="str">
            <v>M/S Ananna Battery &amp; Tyre</v>
          </cell>
          <cell r="E159" t="str">
            <v>01088</v>
          </cell>
        </row>
        <row r="160">
          <cell r="D160" t="str">
            <v>M/S Ananna Battery &amp; Tyre</v>
          </cell>
          <cell r="E160" t="str">
            <v>01088</v>
          </cell>
        </row>
        <row r="161">
          <cell r="D161" t="str">
            <v>M/S Ananna Battery &amp; Tyre</v>
          </cell>
          <cell r="E161" t="str">
            <v>01088</v>
          </cell>
        </row>
        <row r="162">
          <cell r="D162" t="str">
            <v>M/S Ananna Battery &amp; Tyre</v>
          </cell>
          <cell r="E162" t="str">
            <v>01088</v>
          </cell>
        </row>
        <row r="163">
          <cell r="D163" t="str">
            <v>M/S Ma Tyre &amp; Battery  Shop</v>
          </cell>
          <cell r="E163" t="str">
            <v>00088</v>
          </cell>
        </row>
        <row r="164">
          <cell r="D164" t="str">
            <v>M/S Hemayetpur Battery House (C)</v>
          </cell>
          <cell r="E164" t="str">
            <v>01478</v>
          </cell>
        </row>
        <row r="165">
          <cell r="D165" t="str">
            <v>M/S Hemayetpur Battery House (C)</v>
          </cell>
          <cell r="E165" t="str">
            <v>01478</v>
          </cell>
        </row>
        <row r="166">
          <cell r="D166" t="str">
            <v>M/S Adhunik Enterprise</v>
          </cell>
          <cell r="E166" t="str">
            <v>01122</v>
          </cell>
        </row>
        <row r="167">
          <cell r="D167" t="str">
            <v>M/S Hira Motors-Chokoria</v>
          </cell>
          <cell r="E167" t="str">
            <v>01441</v>
          </cell>
        </row>
        <row r="168">
          <cell r="D168" t="str">
            <v>M/S Anas Enterprise (C)</v>
          </cell>
          <cell r="E168" t="str">
            <v>01551</v>
          </cell>
        </row>
        <row r="169">
          <cell r="D169" t="str">
            <v>M/S Anas Enterprise (C)</v>
          </cell>
          <cell r="E169" t="str">
            <v>01551</v>
          </cell>
        </row>
        <row r="170">
          <cell r="D170" t="str">
            <v>M/S Anas Enterprise (C)</v>
          </cell>
          <cell r="E170" t="str">
            <v>01551</v>
          </cell>
        </row>
        <row r="171">
          <cell r="D171" t="str">
            <v>M/S Shah Mojidia Motor Parts</v>
          </cell>
          <cell r="E171" t="str">
            <v>00842</v>
          </cell>
        </row>
        <row r="172">
          <cell r="D172" t="str">
            <v>M/S Shah Mojidia Motor Parts</v>
          </cell>
          <cell r="E172" t="str">
            <v>00842</v>
          </cell>
        </row>
        <row r="173">
          <cell r="D173" t="str">
            <v>M/S Amir Auto House</v>
          </cell>
          <cell r="E173" t="str">
            <v>00138</v>
          </cell>
        </row>
        <row r="174">
          <cell r="D174" t="str">
            <v>M/S Setu Cycle Mart</v>
          </cell>
          <cell r="E174" t="str">
            <v>00471</v>
          </cell>
        </row>
        <row r="175">
          <cell r="D175" t="str">
            <v>M/S Setu Cycle Mart</v>
          </cell>
          <cell r="E175" t="str">
            <v>00471</v>
          </cell>
        </row>
        <row r="176">
          <cell r="D176" t="str">
            <v>M/S Setu Cycle Mart</v>
          </cell>
          <cell r="E176" t="str">
            <v>00471</v>
          </cell>
        </row>
        <row r="177">
          <cell r="D177" t="str">
            <v>M/S Setu Cycle Mart</v>
          </cell>
          <cell r="E177" t="str">
            <v>00471</v>
          </cell>
        </row>
        <row r="178">
          <cell r="D178" t="str">
            <v>M/S Shahjalal Traders</v>
          </cell>
          <cell r="E178" t="str">
            <v>01362</v>
          </cell>
        </row>
        <row r="179">
          <cell r="D179" t="str">
            <v>M/S Shahjalal Traders</v>
          </cell>
          <cell r="E179" t="str">
            <v>01362</v>
          </cell>
        </row>
        <row r="180">
          <cell r="D180" t="str">
            <v>M/S Mayer Doya Auto Parts-Laksam</v>
          </cell>
          <cell r="E180" t="str">
            <v>00325</v>
          </cell>
        </row>
        <row r="181">
          <cell r="D181" t="str">
            <v>M/S Mayer Doya Auto Parts-Laksam</v>
          </cell>
          <cell r="E181" t="str">
            <v>00325</v>
          </cell>
        </row>
        <row r="182">
          <cell r="D182" t="str">
            <v>M/S Mayer Doya Auto Parts-Laksam</v>
          </cell>
          <cell r="E182" t="str">
            <v>00325</v>
          </cell>
        </row>
        <row r="183">
          <cell r="D183" t="str">
            <v>M/S Mayer Doya Auto Parts-Laksam</v>
          </cell>
          <cell r="E183" t="str">
            <v>00325</v>
          </cell>
        </row>
        <row r="184">
          <cell r="D184" t="str">
            <v>M/S Mayer Doya Auto Parts-Laksam</v>
          </cell>
          <cell r="E184" t="str">
            <v>00325</v>
          </cell>
        </row>
        <row r="185">
          <cell r="D185" t="str">
            <v>M/S Anas Battery &amp; Auto House</v>
          </cell>
          <cell r="E185" t="str">
            <v>01401</v>
          </cell>
        </row>
        <row r="186">
          <cell r="D186" t="str">
            <v>M/S Anas Battery &amp; Auto House</v>
          </cell>
          <cell r="E186" t="str">
            <v>01401</v>
          </cell>
        </row>
        <row r="187">
          <cell r="D187" t="str">
            <v>M/S Anas Battery &amp; Auto House</v>
          </cell>
          <cell r="E187" t="str">
            <v>01401</v>
          </cell>
        </row>
        <row r="188">
          <cell r="D188" t="str">
            <v>M/S Anas Battery &amp; Auto House</v>
          </cell>
          <cell r="E188" t="str">
            <v>01401</v>
          </cell>
        </row>
        <row r="189">
          <cell r="D189" t="str">
            <v>M/S Khokon IPS &amp; Battery Center (C)</v>
          </cell>
          <cell r="E189" t="str">
            <v>01306</v>
          </cell>
        </row>
        <row r="190">
          <cell r="D190" t="str">
            <v>M/S Khokon IPS &amp; Battery Center (C)</v>
          </cell>
          <cell r="E190" t="str">
            <v>01306</v>
          </cell>
        </row>
        <row r="191">
          <cell r="D191" t="str">
            <v>M/S Khokon IPS &amp; Battery Center (C)</v>
          </cell>
          <cell r="E191" t="str">
            <v>01306</v>
          </cell>
        </row>
        <row r="192">
          <cell r="D192" t="str">
            <v>M/S Lalmai Machineries &amp; Parts</v>
          </cell>
          <cell r="E192" t="str">
            <v>00329</v>
          </cell>
        </row>
        <row r="193">
          <cell r="D193" t="str">
            <v>M/S Anas Battery &amp; Auto House</v>
          </cell>
          <cell r="E193" t="str">
            <v>01401</v>
          </cell>
        </row>
        <row r="194">
          <cell r="D194" t="str">
            <v>M/S Anik Motors &amp; Battery</v>
          </cell>
          <cell r="E194" t="str">
            <v>01262</v>
          </cell>
        </row>
        <row r="195">
          <cell r="D195" t="str">
            <v>M/S Sangu Battery House</v>
          </cell>
          <cell r="E195" t="str">
            <v>00988</v>
          </cell>
        </row>
        <row r="196">
          <cell r="D196" t="str">
            <v>M/S Sangu Battery House</v>
          </cell>
          <cell r="E196" t="str">
            <v>00988</v>
          </cell>
        </row>
        <row r="197">
          <cell r="D197" t="str">
            <v>M/S Sangu Battery House</v>
          </cell>
          <cell r="E197" t="str">
            <v>00988</v>
          </cell>
        </row>
        <row r="198">
          <cell r="D198" t="str">
            <v>M/S Boalkhali Battery House (C)</v>
          </cell>
          <cell r="E198" t="str">
            <v>01550</v>
          </cell>
        </row>
        <row r="199">
          <cell r="D199" t="str">
            <v>M/S Kalam Auto Motor Parts And Battery House</v>
          </cell>
          <cell r="E199" t="str">
            <v>00420</v>
          </cell>
        </row>
        <row r="200">
          <cell r="D200" t="str">
            <v>M/S S.K. Enterprise (C)</v>
          </cell>
          <cell r="E200" t="str">
            <v>01326</v>
          </cell>
        </row>
        <row r="201">
          <cell r="D201" t="str">
            <v>M/S S.K. Enterprise (C)</v>
          </cell>
          <cell r="E201" t="str">
            <v>01326</v>
          </cell>
        </row>
        <row r="202">
          <cell r="D202" t="str">
            <v>M/S Boalkhali Battery House (C)</v>
          </cell>
          <cell r="E202" t="str">
            <v>01550</v>
          </cell>
        </row>
        <row r="203">
          <cell r="D203" t="str">
            <v>M/S Farhan Auto (C)</v>
          </cell>
          <cell r="E203" t="str">
            <v>01298</v>
          </cell>
        </row>
        <row r="204">
          <cell r="D204" t="str">
            <v>M/S Farhan Auto (C)</v>
          </cell>
          <cell r="E204" t="str">
            <v>01298</v>
          </cell>
        </row>
        <row r="205">
          <cell r="D205" t="str">
            <v>M/S Supreme Auto (C)</v>
          </cell>
          <cell r="E205" t="str">
            <v>01300</v>
          </cell>
        </row>
        <row r="206">
          <cell r="D206" t="str">
            <v>M/S Rakin Auto Parts</v>
          </cell>
          <cell r="E206" t="str">
            <v>00561</v>
          </cell>
        </row>
        <row r="207">
          <cell r="D207" t="str">
            <v>M/S Rakin Auto Parts</v>
          </cell>
          <cell r="E207" t="str">
            <v>00561</v>
          </cell>
        </row>
        <row r="208">
          <cell r="D208" t="str">
            <v>M/S Rakin Auto Parts</v>
          </cell>
          <cell r="E208" t="str">
            <v>00561</v>
          </cell>
        </row>
        <row r="209">
          <cell r="D209" t="str">
            <v>M/S Rakin Auto Parts</v>
          </cell>
          <cell r="E209" t="str">
            <v>00561</v>
          </cell>
        </row>
        <row r="210">
          <cell r="D210" t="str">
            <v>M/S Gazipur Battery House (C)</v>
          </cell>
          <cell r="E210" t="str">
            <v>01549</v>
          </cell>
        </row>
        <row r="211">
          <cell r="D211" t="str">
            <v>M/S Anas Enterprise (C)</v>
          </cell>
          <cell r="E211" t="str">
            <v>01551</v>
          </cell>
        </row>
        <row r="212">
          <cell r="D212" t="str">
            <v>M/S Anas Enterprise (C)</v>
          </cell>
          <cell r="E212" t="str">
            <v>01551</v>
          </cell>
        </row>
        <row r="213">
          <cell r="D213" t="str">
            <v>M/S Hemayetpur Battery House (C)</v>
          </cell>
          <cell r="E213" t="str">
            <v>01478</v>
          </cell>
        </row>
        <row r="214">
          <cell r="D214" t="str">
            <v>M/S Modina Enterprise - Savar</v>
          </cell>
          <cell r="E214" t="str">
            <v>01404</v>
          </cell>
        </row>
        <row r="215">
          <cell r="D215" t="str">
            <v>M/S Salman Auto and Battery (C)</v>
          </cell>
          <cell r="E215" t="str">
            <v>01535</v>
          </cell>
        </row>
        <row r="216">
          <cell r="D216" t="str">
            <v>M/S Saiful Motors (C)</v>
          </cell>
          <cell r="E216" t="str">
            <v>01313</v>
          </cell>
        </row>
        <row r="217">
          <cell r="D217" t="str">
            <v>M/S Saiful Motors (C)</v>
          </cell>
          <cell r="E217" t="str">
            <v>01313</v>
          </cell>
        </row>
        <row r="218">
          <cell r="D218" t="str">
            <v>M/S Hafiz Battery House</v>
          </cell>
          <cell r="E218" t="str">
            <v>01368</v>
          </cell>
        </row>
        <row r="219">
          <cell r="D219" t="str">
            <v>M/S Doyal Battery</v>
          </cell>
          <cell r="E219" t="str">
            <v>00337</v>
          </cell>
        </row>
        <row r="220">
          <cell r="D220" t="str">
            <v>M/S Doyal Battery (C)</v>
          </cell>
          <cell r="E220" t="str">
            <v>01308</v>
          </cell>
        </row>
        <row r="221">
          <cell r="D221" t="str">
            <v>M/S Adhunik Enterprise</v>
          </cell>
          <cell r="E221" t="str">
            <v>01122</v>
          </cell>
        </row>
        <row r="222">
          <cell r="D222" t="str">
            <v>M/S Adhunik Enterprise</v>
          </cell>
          <cell r="E222" t="str">
            <v>01122</v>
          </cell>
        </row>
        <row r="223">
          <cell r="D223" t="str">
            <v>M/S Bondhu Auto and CNG Workshop</v>
          </cell>
          <cell r="E223" t="str">
            <v>01149</v>
          </cell>
        </row>
        <row r="224">
          <cell r="D224" t="str">
            <v>M/S Anik Motors &amp; Battery (C)</v>
          </cell>
          <cell r="E224" t="str">
            <v>01444</v>
          </cell>
        </row>
        <row r="225">
          <cell r="D225" t="str">
            <v>M/S Laksam Battery House</v>
          </cell>
          <cell r="E225" t="str">
            <v>00336</v>
          </cell>
        </row>
        <row r="226">
          <cell r="D226" t="str">
            <v>M/S S.S. Enterprise-Norshingdi (C)</v>
          </cell>
          <cell r="E226" t="str">
            <v>01331</v>
          </cell>
        </row>
        <row r="227">
          <cell r="D227" t="str">
            <v>M/S S.S. Enterprise-Norshingdi (C)</v>
          </cell>
          <cell r="E227" t="str">
            <v>01331</v>
          </cell>
        </row>
        <row r="228">
          <cell r="D228" t="str">
            <v>M/S S.S. Enterprise-Norshingdi (C)</v>
          </cell>
          <cell r="E228" t="str">
            <v>01331</v>
          </cell>
        </row>
        <row r="229">
          <cell r="D229" t="str">
            <v>M/S Samar Auto (C)</v>
          </cell>
          <cell r="E229" t="str">
            <v>01522</v>
          </cell>
        </row>
        <row r="230">
          <cell r="D230" t="str">
            <v>M/S Samar Auto (C)</v>
          </cell>
          <cell r="E230" t="str">
            <v>01522</v>
          </cell>
        </row>
        <row r="231">
          <cell r="D231" t="str">
            <v>M/S Snigdha Battery</v>
          </cell>
          <cell r="E231" t="str">
            <v>00134</v>
          </cell>
        </row>
        <row r="232">
          <cell r="D232" t="str">
            <v>M/S Hira Motors-Chokoria</v>
          </cell>
          <cell r="E232" t="str">
            <v>01441</v>
          </cell>
        </row>
        <row r="233">
          <cell r="D233" t="str">
            <v>M/S Hira Motors-Chokoria</v>
          </cell>
          <cell r="E233" t="str">
            <v>01441</v>
          </cell>
        </row>
        <row r="234">
          <cell r="D234" t="str">
            <v>M/S Setu Cycle Mart</v>
          </cell>
          <cell r="E234" t="str">
            <v>00471</v>
          </cell>
        </row>
        <row r="235">
          <cell r="D235" t="str">
            <v>M/S Setu Cycle Mart</v>
          </cell>
          <cell r="E235" t="str">
            <v>00471</v>
          </cell>
        </row>
        <row r="236">
          <cell r="D236" t="str">
            <v>M/S Tamim Enterprise</v>
          </cell>
          <cell r="E236" t="str">
            <v>01395</v>
          </cell>
        </row>
        <row r="237">
          <cell r="D237" t="str">
            <v>M/S S.B. Energy (C)</v>
          </cell>
          <cell r="E237" t="str">
            <v>01288</v>
          </cell>
        </row>
        <row r="238">
          <cell r="D238" t="str">
            <v>M/S S.B. Energy (C)</v>
          </cell>
          <cell r="E238" t="str">
            <v>01288</v>
          </cell>
        </row>
        <row r="239">
          <cell r="D239" t="str">
            <v>M/S Boalkhali Battery House (C)</v>
          </cell>
          <cell r="E239" t="str">
            <v>01550</v>
          </cell>
        </row>
        <row r="240">
          <cell r="D240" t="str">
            <v>M/S Boalkhali Battery House (C)</v>
          </cell>
          <cell r="E240" t="str">
            <v>01550</v>
          </cell>
        </row>
        <row r="241">
          <cell r="D241" t="str">
            <v>M/S Boalkhali Battery House (C)</v>
          </cell>
          <cell r="E241" t="str">
            <v>01550</v>
          </cell>
        </row>
        <row r="242">
          <cell r="D242" t="str">
            <v>M/S S.K. Enterprise (C)</v>
          </cell>
          <cell r="E242" t="str">
            <v>01326</v>
          </cell>
        </row>
        <row r="243">
          <cell r="D243" t="str">
            <v>M/S S.K. Enterprise (C)</v>
          </cell>
          <cell r="E243" t="str">
            <v>01326</v>
          </cell>
        </row>
        <row r="244">
          <cell r="D244" t="str">
            <v>M/S Boalkhali Battery House (C)</v>
          </cell>
          <cell r="E244" t="str">
            <v>01550</v>
          </cell>
        </row>
        <row r="245">
          <cell r="D245" t="str">
            <v>M/S Boalkhali Battery House (C)</v>
          </cell>
          <cell r="E245" t="str">
            <v>01550</v>
          </cell>
        </row>
        <row r="246">
          <cell r="D246" t="str">
            <v>M/S S.K. Enterprise (C)</v>
          </cell>
          <cell r="E246" t="str">
            <v>01326</v>
          </cell>
        </row>
        <row r="247">
          <cell r="D247" t="str">
            <v>M/S S.K. Enterprise (C)</v>
          </cell>
          <cell r="E247" t="str">
            <v>01326</v>
          </cell>
        </row>
        <row r="248">
          <cell r="D248" t="str">
            <v>M/S Khan Battery Recycling (C)</v>
          </cell>
          <cell r="E248" t="str">
            <v>01282</v>
          </cell>
        </row>
        <row r="249">
          <cell r="D249" t="str">
            <v>M/S Khan Battery Recycling (C)</v>
          </cell>
          <cell r="E249" t="str">
            <v>01282</v>
          </cell>
        </row>
        <row r="250">
          <cell r="D250" t="str">
            <v>M/S Khan Battery Recycling (C)</v>
          </cell>
          <cell r="E250" t="str">
            <v>01282</v>
          </cell>
        </row>
        <row r="251">
          <cell r="D251" t="str">
            <v>M/S Khan Battery Recycling (C)</v>
          </cell>
          <cell r="E251" t="str">
            <v>01282</v>
          </cell>
        </row>
        <row r="252">
          <cell r="D252" t="str">
            <v>M/S Selim Battery House (C)</v>
          </cell>
          <cell r="E252" t="str">
            <v>01569</v>
          </cell>
        </row>
        <row r="253">
          <cell r="D253" t="str">
            <v>M/S Shepon Motors (C)</v>
          </cell>
          <cell r="E253" t="str">
            <v>01438</v>
          </cell>
        </row>
        <row r="254">
          <cell r="D254" t="str">
            <v>M/S Souro Power Electric</v>
          </cell>
          <cell r="E254" t="str">
            <v>01285</v>
          </cell>
        </row>
        <row r="255">
          <cell r="D255" t="str">
            <v>M/S Souro Power Electric</v>
          </cell>
          <cell r="E255" t="str">
            <v>01285</v>
          </cell>
        </row>
        <row r="256">
          <cell r="D256" t="str">
            <v>M/S Awlad Electronics</v>
          </cell>
          <cell r="E256" t="str">
            <v>01284</v>
          </cell>
        </row>
        <row r="257">
          <cell r="D257" t="str">
            <v>M/S Chapai Auto Battery House</v>
          </cell>
          <cell r="E257" t="str">
            <v>01487</v>
          </cell>
        </row>
        <row r="258">
          <cell r="D258" t="str">
            <v>M/S Shekh Enterprise - Khulna</v>
          </cell>
          <cell r="E258" t="str">
            <v>01435</v>
          </cell>
        </row>
        <row r="259">
          <cell r="D259" t="str">
            <v>M/S Anamika Auto Rickshow</v>
          </cell>
          <cell r="E259" t="str">
            <v>00496</v>
          </cell>
        </row>
        <row r="260">
          <cell r="D260" t="str">
            <v>M/S Anamika Auto Rickshow</v>
          </cell>
          <cell r="E260" t="str">
            <v>00496</v>
          </cell>
        </row>
        <row r="261">
          <cell r="D261" t="str">
            <v>M/S Anamika Auto Rickshow</v>
          </cell>
          <cell r="E261" t="str">
            <v>00496</v>
          </cell>
        </row>
        <row r="262">
          <cell r="D262" t="str">
            <v>M/S Anamika Auto Rickshow</v>
          </cell>
          <cell r="E262" t="str">
            <v>00496</v>
          </cell>
        </row>
        <row r="263">
          <cell r="D263" t="str">
            <v>M/S J. S Battery House (C)</v>
          </cell>
          <cell r="E263" t="str">
            <v>01566</v>
          </cell>
        </row>
        <row r="264">
          <cell r="D264" t="str">
            <v>M/S J. S Battery House (C)</v>
          </cell>
          <cell r="E264" t="str">
            <v>01566</v>
          </cell>
        </row>
        <row r="265">
          <cell r="D265" t="str">
            <v>M/S J. S Battery House (C)</v>
          </cell>
          <cell r="E265" t="str">
            <v>01566</v>
          </cell>
        </row>
        <row r="266">
          <cell r="D266" t="str">
            <v>M/S Jhenaidah Bike Center  (C)</v>
          </cell>
          <cell r="E266" t="str">
            <v>01536</v>
          </cell>
        </row>
        <row r="267">
          <cell r="D267" t="str">
            <v>M/S Farhan Battery &amp; Auto Parts</v>
          </cell>
          <cell r="E267" t="str">
            <v>01470</v>
          </cell>
        </row>
        <row r="268">
          <cell r="D268" t="str">
            <v>M/S Kalam Auto Motor Parts And Battery House</v>
          </cell>
          <cell r="E268" t="str">
            <v>00420</v>
          </cell>
        </row>
        <row r="269">
          <cell r="D269" t="str">
            <v>M/S Boalkhali Battery House (C)</v>
          </cell>
          <cell r="E269" t="str">
            <v>01550</v>
          </cell>
        </row>
        <row r="270">
          <cell r="D270" t="str">
            <v>M/S Boalkhali Battery House (C)</v>
          </cell>
          <cell r="E270" t="str">
            <v>01550</v>
          </cell>
        </row>
        <row r="271">
          <cell r="D271" t="str">
            <v>M/S Boalkhali Battery House (C)</v>
          </cell>
          <cell r="E271" t="str">
            <v>01550</v>
          </cell>
        </row>
        <row r="272">
          <cell r="D272" t="str">
            <v>M/S Shoshi Enterprise</v>
          </cell>
          <cell r="E272" t="str">
            <v>01153</v>
          </cell>
        </row>
        <row r="273">
          <cell r="D273" t="str">
            <v>M/S Shoshi Enterprise (C)</v>
          </cell>
          <cell r="E273" t="str">
            <v>01335</v>
          </cell>
        </row>
        <row r="274">
          <cell r="D274" t="str">
            <v>M/S Shoshi Enterprise (C)</v>
          </cell>
          <cell r="E274" t="str">
            <v>01335</v>
          </cell>
        </row>
        <row r="275">
          <cell r="D275" t="str">
            <v>M/S Gazipur Battery House (C)</v>
          </cell>
          <cell r="E275" t="str">
            <v>01549</v>
          </cell>
        </row>
        <row r="276">
          <cell r="D276" t="str">
            <v>M/S Gazipur Battery House (C)</v>
          </cell>
          <cell r="E276" t="str">
            <v>01549</v>
          </cell>
        </row>
        <row r="277">
          <cell r="D277" t="str">
            <v>M/S Khan Battery Recycling (C)</v>
          </cell>
          <cell r="E277" t="str">
            <v>01282</v>
          </cell>
        </row>
        <row r="278">
          <cell r="D278" t="str">
            <v>M/S Khan Battery Recycling (C)</v>
          </cell>
          <cell r="E278" t="str">
            <v>01282</v>
          </cell>
        </row>
        <row r="279">
          <cell r="D279" t="str">
            <v>M/S Saiful Motors (C)</v>
          </cell>
          <cell r="E279" t="str">
            <v>01313</v>
          </cell>
        </row>
        <row r="280">
          <cell r="D280" t="str">
            <v>M/S Saiful Motors (C)</v>
          </cell>
          <cell r="E280" t="str">
            <v>01313</v>
          </cell>
        </row>
        <row r="281">
          <cell r="D281" t="str">
            <v>M/S Hira Motors-Chokoria</v>
          </cell>
          <cell r="E281" t="str">
            <v>01441</v>
          </cell>
        </row>
        <row r="282">
          <cell r="D282" t="str">
            <v>M/S Hira Motors-Chokoria</v>
          </cell>
          <cell r="E282" t="str">
            <v>01441</v>
          </cell>
        </row>
        <row r="283">
          <cell r="D283" t="str">
            <v>M/S Setu Cycle Mart</v>
          </cell>
          <cell r="E283" t="str">
            <v>00471</v>
          </cell>
        </row>
        <row r="284">
          <cell r="D284" t="str">
            <v>M/S Setu Cycle Mart</v>
          </cell>
          <cell r="E284" t="str">
            <v>00471</v>
          </cell>
        </row>
        <row r="285">
          <cell r="D285" t="str">
            <v>M/S Setu Cycle Mart</v>
          </cell>
          <cell r="E285" t="str">
            <v>00471</v>
          </cell>
        </row>
        <row r="286">
          <cell r="D286" t="str">
            <v>M/S Setu Cycle Mart</v>
          </cell>
          <cell r="E286" t="str">
            <v>00471</v>
          </cell>
        </row>
        <row r="287">
          <cell r="D287" t="str">
            <v>M/S Setu Cycle Mart</v>
          </cell>
          <cell r="E287" t="str">
            <v>00471</v>
          </cell>
        </row>
        <row r="288">
          <cell r="D288" t="str">
            <v>M/S Mohi Enterprise</v>
          </cell>
          <cell r="E288" t="str">
            <v>01356</v>
          </cell>
        </row>
        <row r="289">
          <cell r="D289" t="str">
            <v>M/S Doyal Battery</v>
          </cell>
          <cell r="E289" t="str">
            <v>00337</v>
          </cell>
        </row>
        <row r="290">
          <cell r="D290" t="str">
            <v>M/S Doyal Battery</v>
          </cell>
          <cell r="E290" t="str">
            <v>00337</v>
          </cell>
        </row>
        <row r="291">
          <cell r="D291" t="str">
            <v>M/S Doyal Battery</v>
          </cell>
          <cell r="E291" t="str">
            <v>00337</v>
          </cell>
        </row>
        <row r="292">
          <cell r="D292" t="str">
            <v>M/S Amir Auto House</v>
          </cell>
          <cell r="E292" t="str">
            <v>00138</v>
          </cell>
        </row>
        <row r="293">
          <cell r="D293" t="str">
            <v>M/S Bondhu Auto and CNG Workshop</v>
          </cell>
          <cell r="E293" t="str">
            <v>01149</v>
          </cell>
        </row>
        <row r="294">
          <cell r="D294" t="str">
            <v>M/S Bondhu Auto and CNG Workshop</v>
          </cell>
          <cell r="E294" t="str">
            <v>01149</v>
          </cell>
        </row>
        <row r="295">
          <cell r="D295" t="str">
            <v>M/S Mokka Motors-Cumilla (C)</v>
          </cell>
          <cell r="E295" t="str">
            <v>01481</v>
          </cell>
        </row>
        <row r="296">
          <cell r="D296" t="str">
            <v>M/S Lalmai Machineries &amp; Parts</v>
          </cell>
          <cell r="E296" t="str">
            <v>00329</v>
          </cell>
        </row>
        <row r="297">
          <cell r="D297" t="str">
            <v>M/S Lalmai Machineries &amp; Parts</v>
          </cell>
          <cell r="E297" t="str">
            <v>00329</v>
          </cell>
        </row>
        <row r="298">
          <cell r="D298" t="str">
            <v>M/S Anas Battery &amp; Auto House</v>
          </cell>
          <cell r="E298" t="str">
            <v>01401</v>
          </cell>
        </row>
        <row r="299">
          <cell r="D299" t="str">
            <v>M/S A.P.L. Auto House (C)</v>
          </cell>
          <cell r="E299" t="str">
            <v>01305</v>
          </cell>
        </row>
        <row r="300">
          <cell r="D300" t="str">
            <v>M/S A.P.L. Auto House (C)</v>
          </cell>
          <cell r="E300" t="str">
            <v>01305</v>
          </cell>
        </row>
        <row r="301">
          <cell r="D301" t="str">
            <v>M/S Farhan Auto (C)</v>
          </cell>
          <cell r="E301" t="str">
            <v>01298</v>
          </cell>
        </row>
        <row r="302">
          <cell r="D302" t="str">
            <v>M/S Farhan Auto (C)</v>
          </cell>
          <cell r="E302" t="str">
            <v>01298</v>
          </cell>
        </row>
        <row r="303">
          <cell r="D303" t="str">
            <v>M/S Farhan Auto (C)</v>
          </cell>
          <cell r="E303" t="str">
            <v>01298</v>
          </cell>
        </row>
        <row r="304">
          <cell r="D304" t="str">
            <v>M/S Farhan Auto (C)</v>
          </cell>
          <cell r="E304" t="str">
            <v>01298</v>
          </cell>
        </row>
        <row r="305">
          <cell r="D305" t="str">
            <v>M/S Farhan Auto (C)</v>
          </cell>
          <cell r="E305" t="str">
            <v>01298</v>
          </cell>
        </row>
        <row r="306">
          <cell r="D306" t="str">
            <v>M/S Farhan Auto (C)</v>
          </cell>
          <cell r="E306" t="str">
            <v>01298</v>
          </cell>
        </row>
        <row r="307">
          <cell r="D307" t="str">
            <v>M/S Hazi Auto &amp; Solar</v>
          </cell>
          <cell r="E307" t="str">
            <v>00827</v>
          </cell>
        </row>
        <row r="308">
          <cell r="D308" t="str">
            <v>M/S S.K. Enterprise (C)</v>
          </cell>
          <cell r="E308" t="str">
            <v>01326</v>
          </cell>
        </row>
        <row r="309">
          <cell r="D309" t="str">
            <v>M/S S.K. Enterprise (C)</v>
          </cell>
          <cell r="E309" t="str">
            <v>01326</v>
          </cell>
        </row>
        <row r="310">
          <cell r="D310" t="str">
            <v>M/S Banskhali Enterprise-Joldi (C)</v>
          </cell>
          <cell r="E310" t="str">
            <v>01312</v>
          </cell>
        </row>
        <row r="311">
          <cell r="D311" t="str">
            <v>M/S Banskhali Enterprise-Joldi (C)</v>
          </cell>
          <cell r="E311" t="str">
            <v>01312</v>
          </cell>
        </row>
        <row r="312">
          <cell r="D312" t="str">
            <v>M/S Banskhali Enterprise-Joldi (C)</v>
          </cell>
          <cell r="E312" t="str">
            <v>01312</v>
          </cell>
        </row>
        <row r="313">
          <cell r="D313" t="str">
            <v>M/S Boalkhali Battery House (C)</v>
          </cell>
          <cell r="E313" t="str">
            <v>01550</v>
          </cell>
        </row>
        <row r="314">
          <cell r="D314" t="str">
            <v>M/S Boalkhali Battery House (C)</v>
          </cell>
          <cell r="E314" t="str">
            <v>01550</v>
          </cell>
        </row>
        <row r="315">
          <cell r="D315" t="str">
            <v>M/S Sadia Enterprise (C)</v>
          </cell>
          <cell r="E315" t="str">
            <v>01594</v>
          </cell>
        </row>
        <row r="316">
          <cell r="D316" t="str">
            <v>M/S Bogura Auto Center (C)</v>
          </cell>
          <cell r="E316" t="str">
            <v>01468</v>
          </cell>
        </row>
        <row r="317">
          <cell r="D317" t="str">
            <v>M/S Bogura Auto Center (C)</v>
          </cell>
          <cell r="E317" t="str">
            <v>01468</v>
          </cell>
        </row>
        <row r="318">
          <cell r="D318" t="str">
            <v>M/S Bogura Auto Center (C)</v>
          </cell>
          <cell r="E318" t="str">
            <v>01468</v>
          </cell>
        </row>
        <row r="319">
          <cell r="D319" t="str">
            <v>M/S Rashed Traders (C)</v>
          </cell>
          <cell r="E319" t="str">
            <v>01592</v>
          </cell>
        </row>
        <row r="320">
          <cell r="D320" t="str">
            <v>M/S Rashed Traders (C)</v>
          </cell>
          <cell r="E320" t="str">
            <v>01592</v>
          </cell>
        </row>
        <row r="321">
          <cell r="D321" t="str">
            <v>M/S M.R. Enterprise- Dinajpur (C)</v>
          </cell>
          <cell r="E321" t="str">
            <v>01520</v>
          </cell>
        </row>
        <row r="322">
          <cell r="D322" t="str">
            <v>M/S Rakin Auto Parts</v>
          </cell>
          <cell r="E322" t="str">
            <v>00561</v>
          </cell>
        </row>
        <row r="323">
          <cell r="D323" t="str">
            <v>M/S Sadiq Enterprise (C)</v>
          </cell>
          <cell r="E323" t="str">
            <v>01484</v>
          </cell>
        </row>
        <row r="324">
          <cell r="D324" t="str">
            <v>M/S Sadiq Enterprise (C)</v>
          </cell>
          <cell r="E324" t="str">
            <v>01484</v>
          </cell>
        </row>
        <row r="325">
          <cell r="D325" t="str">
            <v>M/S S. K. Battery and Motors</v>
          </cell>
          <cell r="E325" t="str">
            <v>01458</v>
          </cell>
        </row>
        <row r="326">
          <cell r="D326" t="str">
            <v>M/S Shekh Enterprise - Khulna</v>
          </cell>
          <cell r="E326" t="str">
            <v>01435</v>
          </cell>
        </row>
        <row r="327">
          <cell r="D327" t="str">
            <v>M/S Al - Barakah Battery &amp; Auto Parts (C)</v>
          </cell>
          <cell r="E327" t="str">
            <v>01562</v>
          </cell>
        </row>
        <row r="328">
          <cell r="D328" t="str">
            <v>M/S Al - Barakah Battery &amp; Auto Parts (C)</v>
          </cell>
          <cell r="E328" t="str">
            <v>01562</v>
          </cell>
        </row>
        <row r="329">
          <cell r="D329" t="str">
            <v>M/S Shamim Battery &amp; Tyre House (C)</v>
          </cell>
          <cell r="E329" t="str">
            <v>01540</v>
          </cell>
        </row>
        <row r="330">
          <cell r="D330" t="str">
            <v>M/S Adib Alifa Auto &amp; Battery House (C)</v>
          </cell>
          <cell r="E330" t="str">
            <v>01454</v>
          </cell>
        </row>
        <row r="331">
          <cell r="D331" t="str">
            <v>M/S S.M. Imran Battery House(C)</v>
          </cell>
          <cell r="E331" t="str">
            <v>01533</v>
          </cell>
        </row>
        <row r="332">
          <cell r="D332" t="str">
            <v>M/S Kalam Store</v>
          </cell>
          <cell r="E332" t="str">
            <v>01436</v>
          </cell>
        </row>
        <row r="333">
          <cell r="D333" t="str">
            <v>M/S Shepon Motors (C)</v>
          </cell>
          <cell r="E333" t="str">
            <v>01438</v>
          </cell>
        </row>
        <row r="334">
          <cell r="D334" t="str">
            <v>M/S Shopon Battery House (C)</v>
          </cell>
          <cell r="E334" t="str">
            <v>01320</v>
          </cell>
        </row>
        <row r="335">
          <cell r="D335" t="str">
            <v>M/S Shopon Battery House (C)</v>
          </cell>
          <cell r="E335" t="str">
            <v>01320</v>
          </cell>
        </row>
        <row r="336">
          <cell r="D336" t="str">
            <v>M/S Molla Battery House (C)</v>
          </cell>
          <cell r="E336" t="str">
            <v>01428</v>
          </cell>
        </row>
        <row r="337">
          <cell r="D337" t="str">
            <v>M/S Khan Battery Recycling (C)</v>
          </cell>
          <cell r="E337" t="str">
            <v>01282</v>
          </cell>
        </row>
        <row r="338">
          <cell r="D338" t="str">
            <v>M/S Khan Battery Recycling (C)</v>
          </cell>
          <cell r="E338" t="str">
            <v>01282</v>
          </cell>
        </row>
        <row r="339">
          <cell r="D339" t="str">
            <v>M/S S.K. Trading Corporation (C)</v>
          </cell>
          <cell r="E339" t="str">
            <v>01523</v>
          </cell>
        </row>
        <row r="340">
          <cell r="D340" t="str">
            <v>M/S Shoshi Enterprise (C)</v>
          </cell>
          <cell r="E340" t="str">
            <v>01335</v>
          </cell>
        </row>
        <row r="341">
          <cell r="D341" t="str">
            <v>M/S Khan Battery Recycling (C)</v>
          </cell>
          <cell r="E341" t="str">
            <v>01282</v>
          </cell>
        </row>
        <row r="342">
          <cell r="D342" t="str">
            <v>M/S B.P Battery House</v>
          </cell>
          <cell r="E342" t="str">
            <v>01130</v>
          </cell>
        </row>
        <row r="343">
          <cell r="D343" t="str">
            <v>M/S B.P Battery House</v>
          </cell>
          <cell r="E343" t="str">
            <v>01130</v>
          </cell>
        </row>
        <row r="344">
          <cell r="D344" t="str">
            <v>M/S B.P Battery House</v>
          </cell>
          <cell r="E344" t="str">
            <v>01130</v>
          </cell>
        </row>
        <row r="345">
          <cell r="D345" t="str">
            <v>M/S Nirob Motors &amp; Battery</v>
          </cell>
          <cell r="E345" t="str">
            <v>01485</v>
          </cell>
        </row>
        <row r="346">
          <cell r="D346" t="str">
            <v>M/S Al Baraka Enterprise</v>
          </cell>
          <cell r="E346" t="str">
            <v>00159</v>
          </cell>
        </row>
        <row r="347">
          <cell r="D347" t="str">
            <v>M/S Bondhu Auto and CNG Workshop</v>
          </cell>
          <cell r="E347" t="str">
            <v>01149</v>
          </cell>
        </row>
        <row r="348">
          <cell r="D348" t="str">
            <v>M/S Bondhu Auto and CNG Workshop</v>
          </cell>
          <cell r="E348" t="str">
            <v>01149</v>
          </cell>
        </row>
        <row r="349">
          <cell r="D349" t="str">
            <v>M/S Bondhu Auto and CNG Workshop</v>
          </cell>
          <cell r="E349" t="str">
            <v>01149</v>
          </cell>
        </row>
        <row r="350">
          <cell r="D350" t="str">
            <v>M/S Setu Cycle Mart</v>
          </cell>
          <cell r="E350" t="str">
            <v>00471</v>
          </cell>
        </row>
        <row r="351">
          <cell r="D351" t="str">
            <v>M/S Setu Cycle Mart</v>
          </cell>
          <cell r="E351" t="str">
            <v>00471</v>
          </cell>
        </row>
        <row r="352">
          <cell r="D352" t="str">
            <v>M/S Setu Cycle Mart</v>
          </cell>
          <cell r="E352" t="str">
            <v>00471</v>
          </cell>
        </row>
        <row r="353">
          <cell r="D353" t="str">
            <v>M/S Hira Motors-Chokoria</v>
          </cell>
          <cell r="E353" t="str">
            <v>01441</v>
          </cell>
        </row>
        <row r="354">
          <cell r="D354" t="str">
            <v>M/S Hira Motors-Chokoria</v>
          </cell>
          <cell r="E354" t="str">
            <v>01441</v>
          </cell>
        </row>
        <row r="355">
          <cell r="D355" t="str">
            <v>M/S Hafiz Battery House</v>
          </cell>
          <cell r="E355" t="str">
            <v>01368</v>
          </cell>
        </row>
        <row r="356">
          <cell r="D356" t="str">
            <v>M/S Hafiz Battery House</v>
          </cell>
          <cell r="E356" t="str">
            <v>01368</v>
          </cell>
        </row>
        <row r="357">
          <cell r="D357" t="str">
            <v>M/S S.K. Enterprise (C)</v>
          </cell>
          <cell r="E357" t="str">
            <v>01326</v>
          </cell>
        </row>
        <row r="358">
          <cell r="D358" t="str">
            <v>M/S Sangu Battery House</v>
          </cell>
          <cell r="E358" t="str">
            <v>00988</v>
          </cell>
        </row>
        <row r="359">
          <cell r="D359" t="str">
            <v>M/S Sangu Battery House</v>
          </cell>
          <cell r="E359" t="str">
            <v>00988</v>
          </cell>
        </row>
        <row r="360">
          <cell r="D360" t="str">
            <v>M/S Sangu Battery House</v>
          </cell>
          <cell r="E360" t="str">
            <v>00988</v>
          </cell>
        </row>
        <row r="361">
          <cell r="D361" t="str">
            <v>M/S Boalkhali Battery House (C)</v>
          </cell>
          <cell r="E361" t="str">
            <v>01550</v>
          </cell>
        </row>
        <row r="362">
          <cell r="D362" t="str">
            <v>M/S Boalkhali Battery House (C)</v>
          </cell>
          <cell r="E362" t="str">
            <v>01550</v>
          </cell>
        </row>
        <row r="363">
          <cell r="D363" t="str">
            <v>M/S Boalkhali Battery House (C)</v>
          </cell>
          <cell r="E363" t="str">
            <v>01550</v>
          </cell>
        </row>
        <row r="364">
          <cell r="D364" t="str">
            <v>M/S Sadia Enterprise (C)</v>
          </cell>
          <cell r="E364" t="str">
            <v>01594</v>
          </cell>
        </row>
        <row r="365">
          <cell r="D365" t="str">
            <v>M/S Sadia Enterprise (C)</v>
          </cell>
          <cell r="E365" t="str">
            <v>01594</v>
          </cell>
        </row>
        <row r="366">
          <cell r="D366" t="str">
            <v>M/S Sadia Enterprise (C)</v>
          </cell>
          <cell r="E366" t="str">
            <v>01594</v>
          </cell>
        </row>
        <row r="367">
          <cell r="D367" t="str">
            <v>M/S Tamim Enterprise</v>
          </cell>
          <cell r="E367" t="str">
            <v>01395</v>
          </cell>
        </row>
        <row r="368">
          <cell r="D368" t="str">
            <v>M/S Al - Mokka Enterprise</v>
          </cell>
          <cell r="E368" t="str">
            <v>01112</v>
          </cell>
        </row>
        <row r="369">
          <cell r="D369" t="str">
            <v>M/S Al - Mokka Enterprise (C)</v>
          </cell>
          <cell r="E369" t="str">
            <v>01553</v>
          </cell>
        </row>
        <row r="370">
          <cell r="D370" t="str">
            <v>M/S Al - Mokka Enterprise (C)</v>
          </cell>
          <cell r="E370" t="str">
            <v>01553</v>
          </cell>
        </row>
        <row r="371">
          <cell r="D371" t="str">
            <v>M/S Al - Mokka Enterprise (C)</v>
          </cell>
          <cell r="E371" t="str">
            <v>01553</v>
          </cell>
        </row>
        <row r="372">
          <cell r="D372" t="str">
            <v>M/S Shoshi Enterprise (C)</v>
          </cell>
          <cell r="E372" t="str">
            <v>01335</v>
          </cell>
        </row>
        <row r="373">
          <cell r="D373" t="str">
            <v>M/S Khan Battery Recycling (C)</v>
          </cell>
          <cell r="E373" t="str">
            <v>01282</v>
          </cell>
        </row>
        <row r="374">
          <cell r="D374" t="str">
            <v>M/S Anas Enterprise (C)</v>
          </cell>
          <cell r="E374" t="str">
            <v>01551</v>
          </cell>
        </row>
        <row r="375">
          <cell r="D375" t="str">
            <v>M/S Ripon Tyre and Battery (C)</v>
          </cell>
          <cell r="E375" t="str">
            <v>01557</v>
          </cell>
        </row>
        <row r="376">
          <cell r="D376" t="str">
            <v>M/S Ripon Tyre and Battery (C)</v>
          </cell>
          <cell r="E376" t="str">
            <v>01557</v>
          </cell>
        </row>
        <row r="377">
          <cell r="D377" t="str">
            <v>M/S Ripon Tyre and Battery (C)</v>
          </cell>
          <cell r="E377" t="str">
            <v>01557</v>
          </cell>
        </row>
        <row r="378">
          <cell r="D378" t="str">
            <v>M/S Ripon Tyre and Battery (C)</v>
          </cell>
          <cell r="E378" t="str">
            <v>01557</v>
          </cell>
        </row>
        <row r="379">
          <cell r="D379" t="str">
            <v>M/S Ripon Tyre and Battery (C)</v>
          </cell>
          <cell r="E379" t="str">
            <v>01557</v>
          </cell>
        </row>
        <row r="380">
          <cell r="D380" t="str">
            <v>M/S Modina Cycle Store (C)</v>
          </cell>
          <cell r="E380" t="str">
            <v>01519</v>
          </cell>
        </row>
        <row r="381">
          <cell r="D381" t="str">
            <v>M/S Simanto Battery House (C)</v>
          </cell>
          <cell r="E381" t="str">
            <v>01593</v>
          </cell>
        </row>
        <row r="382">
          <cell r="D382" t="str">
            <v>M/S Simanto Battery House (C)</v>
          </cell>
          <cell r="E382" t="str">
            <v>01593</v>
          </cell>
        </row>
        <row r="383">
          <cell r="D383" t="str">
            <v>M/S Simanto Battery House (C)</v>
          </cell>
          <cell r="E383" t="str">
            <v>01593</v>
          </cell>
        </row>
        <row r="384">
          <cell r="D384" t="str">
            <v>M/S Simanto Battery House (C)</v>
          </cell>
          <cell r="E384" t="str">
            <v>01593</v>
          </cell>
        </row>
        <row r="385">
          <cell r="D385" t="str">
            <v>M/S Simanto Battery House (C)</v>
          </cell>
          <cell r="E385" t="str">
            <v>01593</v>
          </cell>
        </row>
        <row r="386">
          <cell r="D386" t="str">
            <v>M/S Farhan Auto (C)</v>
          </cell>
          <cell r="E386" t="str">
            <v>01298</v>
          </cell>
        </row>
        <row r="387">
          <cell r="D387" t="str">
            <v>M/S Farhan Auto (C)</v>
          </cell>
          <cell r="E387" t="str">
            <v>01298</v>
          </cell>
        </row>
        <row r="388">
          <cell r="D388" t="str">
            <v>M/S Hazi Auto &amp; Solar</v>
          </cell>
          <cell r="E388" t="str">
            <v>00827</v>
          </cell>
        </row>
        <row r="389">
          <cell r="D389" t="str">
            <v>M/S Rasel Bettary Service</v>
          </cell>
          <cell r="E389" t="str">
            <v>01380</v>
          </cell>
        </row>
        <row r="390">
          <cell r="D390" t="str">
            <v>M/S Rasel Bettary Service</v>
          </cell>
          <cell r="E390" t="str">
            <v>01380</v>
          </cell>
        </row>
        <row r="391">
          <cell r="D391" t="str">
            <v>M/S S.S. Enterprise-Norshingdi (C)</v>
          </cell>
          <cell r="E391" t="str">
            <v>01331</v>
          </cell>
        </row>
        <row r="392">
          <cell r="D392" t="str">
            <v>M/S S.S. Enterprise-Norshingdi</v>
          </cell>
          <cell r="E392" t="str">
            <v>01118</v>
          </cell>
        </row>
        <row r="393">
          <cell r="D393" t="str">
            <v>M/S Anas Battery &amp; Auto House</v>
          </cell>
          <cell r="E393" t="str">
            <v>01401</v>
          </cell>
        </row>
        <row r="394">
          <cell r="D394" t="str">
            <v>M/S Anas Battery &amp; Auto House</v>
          </cell>
          <cell r="E394" t="str">
            <v>01401</v>
          </cell>
        </row>
        <row r="395">
          <cell r="D395" t="str">
            <v>M/S Anas Battery &amp; Auto House</v>
          </cell>
          <cell r="E395" t="str">
            <v>01401</v>
          </cell>
        </row>
        <row r="396">
          <cell r="D396" t="str">
            <v>M/S S.M. Enterprise- Sunamgonj</v>
          </cell>
          <cell r="E396" t="str">
            <v>00390</v>
          </cell>
        </row>
        <row r="397">
          <cell r="D397" t="str">
            <v>M/S Minara Traders</v>
          </cell>
          <cell r="E397" t="str">
            <v>01108</v>
          </cell>
        </row>
        <row r="398">
          <cell r="D398" t="str">
            <v>M/S Minara Traders</v>
          </cell>
          <cell r="E398" t="str">
            <v>01108</v>
          </cell>
        </row>
        <row r="399">
          <cell r="D399" t="str">
            <v>M/S Rumi Battery House</v>
          </cell>
          <cell r="E399" t="str">
            <v>00387</v>
          </cell>
        </row>
        <row r="400">
          <cell r="D400" t="str">
            <v>M/S Rafi Battery House</v>
          </cell>
          <cell r="E400" t="str">
            <v>00410</v>
          </cell>
        </row>
        <row r="401">
          <cell r="D401" t="str">
            <v>M/S Rafi Battery House</v>
          </cell>
          <cell r="E401" t="str">
            <v>00410</v>
          </cell>
        </row>
        <row r="402">
          <cell r="D402" t="str">
            <v>M/S Kalam Store</v>
          </cell>
          <cell r="E402" t="str">
            <v>01436</v>
          </cell>
        </row>
        <row r="403">
          <cell r="D403" t="str">
            <v>M/S Molla Battery House (C)</v>
          </cell>
          <cell r="E403" t="str">
            <v>01428</v>
          </cell>
        </row>
        <row r="404">
          <cell r="D404" t="str">
            <v>M/S Mahbub Motors-Patuakhali (C)</v>
          </cell>
          <cell r="E404" t="str">
            <v>01547</v>
          </cell>
        </row>
        <row r="405">
          <cell r="D405" t="str">
            <v>M/S Bogura Auto Center (C)</v>
          </cell>
          <cell r="E405" t="str">
            <v>01468</v>
          </cell>
        </row>
        <row r="406">
          <cell r="D406" t="str">
            <v>M/S Shahadat Auto Repairing Workshop</v>
          </cell>
          <cell r="E406" t="str">
            <v>01588</v>
          </cell>
        </row>
        <row r="407">
          <cell r="D407" t="str">
            <v>Md. Moazzem Hossain D.M</v>
          </cell>
          <cell r="E407" t="str">
            <v>01355</v>
          </cell>
        </row>
        <row r="408">
          <cell r="D408" t="str">
            <v>M/S Anas Enterprise (C)</v>
          </cell>
          <cell r="E408" t="str">
            <v>01551</v>
          </cell>
        </row>
        <row r="409">
          <cell r="D409" t="str">
            <v>M/S Samir Battery And Tyre</v>
          </cell>
          <cell r="E409" t="str">
            <v>01450</v>
          </cell>
        </row>
        <row r="410">
          <cell r="D410" t="str">
            <v>M/S Samir Battery And Tyre</v>
          </cell>
          <cell r="E410" t="str">
            <v>01450</v>
          </cell>
        </row>
        <row r="411">
          <cell r="D411" t="str">
            <v>M/S Allahar Dan Battery</v>
          </cell>
          <cell r="E411" t="str">
            <v>01466</v>
          </cell>
        </row>
        <row r="412">
          <cell r="D412" t="str">
            <v>M/S Al - Mokka Enterprise (C)</v>
          </cell>
          <cell r="E412" t="str">
            <v>01553</v>
          </cell>
        </row>
        <row r="413">
          <cell r="D413" t="str">
            <v>M/S Modina Enterprise - Savar</v>
          </cell>
          <cell r="E413" t="str">
            <v>01404</v>
          </cell>
        </row>
        <row r="414">
          <cell r="D414" t="str">
            <v>M/S Modina Enterprise - Savar</v>
          </cell>
          <cell r="E414" t="str">
            <v>01404</v>
          </cell>
        </row>
        <row r="415">
          <cell r="D415" t="str">
            <v>M/S Anas Enterprise (C)</v>
          </cell>
          <cell r="E415" t="str">
            <v>01551</v>
          </cell>
        </row>
        <row r="416">
          <cell r="D416" t="str">
            <v>M/S Anas Enterprise (C)</v>
          </cell>
          <cell r="E416" t="str">
            <v>01551</v>
          </cell>
        </row>
        <row r="417">
          <cell r="D417" t="str">
            <v>M/S Modina Cycle Store (C)</v>
          </cell>
          <cell r="E417" t="str">
            <v>01519</v>
          </cell>
        </row>
        <row r="418">
          <cell r="D418" t="str">
            <v>M/S Hemayetpur Battery House (C)</v>
          </cell>
          <cell r="E418" t="str">
            <v>01478</v>
          </cell>
        </row>
        <row r="419">
          <cell r="D419" t="str">
            <v>M/S Hemayetpur Battery House (C)</v>
          </cell>
          <cell r="E419" t="str">
            <v>01478</v>
          </cell>
        </row>
        <row r="420">
          <cell r="D420" t="str">
            <v>M/S Simanto Battery House (C)</v>
          </cell>
          <cell r="E420" t="str">
            <v>01593</v>
          </cell>
        </row>
        <row r="421">
          <cell r="D421" t="str">
            <v>M/S Simanto Battery House (C)</v>
          </cell>
          <cell r="E421" t="str">
            <v>01593</v>
          </cell>
        </row>
        <row r="422">
          <cell r="D422" t="str">
            <v>M/S Ripon Tyre and Battery (C)</v>
          </cell>
          <cell r="E422" t="str">
            <v>01557</v>
          </cell>
        </row>
        <row r="423">
          <cell r="D423" t="str">
            <v>M/S Ripon Tyre and Battery (C)</v>
          </cell>
          <cell r="E423" t="str">
            <v>01557</v>
          </cell>
        </row>
        <row r="424">
          <cell r="D424" t="str">
            <v>M/S Sadia Enterprise (C)</v>
          </cell>
          <cell r="E424" t="str">
            <v>01594</v>
          </cell>
        </row>
        <row r="425">
          <cell r="D425" t="str">
            <v>M/S Sadia Enterprise (C)</v>
          </cell>
          <cell r="E425" t="str">
            <v>01594</v>
          </cell>
        </row>
        <row r="426">
          <cell r="D426" t="str">
            <v>M/S Sadia Enterprise (C)</v>
          </cell>
          <cell r="E426" t="str">
            <v>01594</v>
          </cell>
        </row>
        <row r="427">
          <cell r="D427" t="str">
            <v>M/S Sadia Enterprise (C)</v>
          </cell>
          <cell r="E427" t="str">
            <v>01594</v>
          </cell>
        </row>
        <row r="428">
          <cell r="D428" t="str">
            <v>M/S Raza Mic &amp; Battery House</v>
          </cell>
          <cell r="E428" t="str">
            <v>01489</v>
          </cell>
        </row>
        <row r="429">
          <cell r="D429" t="str">
            <v>M/S Fateha Battery</v>
          </cell>
          <cell r="E429" t="str">
            <v>00388</v>
          </cell>
        </row>
        <row r="430">
          <cell r="D430" t="str">
            <v>M/S Fateha Battery</v>
          </cell>
          <cell r="E430" t="str">
            <v>00388</v>
          </cell>
        </row>
        <row r="431">
          <cell r="D431" t="str">
            <v>M/S Minara Traders</v>
          </cell>
          <cell r="E431" t="str">
            <v>01108</v>
          </cell>
        </row>
        <row r="432">
          <cell r="D432" t="str">
            <v>M/S Minara Traders</v>
          </cell>
          <cell r="E432" t="str">
            <v>01108</v>
          </cell>
        </row>
        <row r="433">
          <cell r="D433" t="str">
            <v>M/S Comilla Traders</v>
          </cell>
          <cell r="E433" t="str">
            <v>00334</v>
          </cell>
        </row>
        <row r="434">
          <cell r="D434" t="str">
            <v>M/S Comilla Traders</v>
          </cell>
          <cell r="E434" t="str">
            <v>00334</v>
          </cell>
        </row>
        <row r="435">
          <cell r="D435" t="str">
            <v>M/S Comilla Traders</v>
          </cell>
          <cell r="E435" t="str">
            <v>00334</v>
          </cell>
        </row>
        <row r="436">
          <cell r="D436" t="str">
            <v>M/S Al Baraka Enterprise</v>
          </cell>
          <cell r="E436" t="str">
            <v>00159</v>
          </cell>
        </row>
        <row r="437">
          <cell r="D437" t="str">
            <v>M/S Al Baraka Enterprise</v>
          </cell>
          <cell r="E437" t="str">
            <v>00159</v>
          </cell>
        </row>
        <row r="438">
          <cell r="D438" t="str">
            <v>M/S Doyal Battery</v>
          </cell>
          <cell r="E438" t="str">
            <v>00337</v>
          </cell>
        </row>
        <row r="439">
          <cell r="D439" t="str">
            <v>M/S Arman Battery House</v>
          </cell>
          <cell r="E439" t="str">
            <v>01581</v>
          </cell>
        </row>
        <row r="440">
          <cell r="D440" t="str">
            <v>M/S Saiful Motors (C)</v>
          </cell>
          <cell r="E440" t="str">
            <v>01313</v>
          </cell>
        </row>
        <row r="441">
          <cell r="D441" t="str">
            <v>M/S Bismillah Motors-Hinla</v>
          </cell>
          <cell r="E441" t="str">
            <v>01448</v>
          </cell>
        </row>
        <row r="442">
          <cell r="D442" t="str">
            <v>M/S Bismillah Motors-Hinla</v>
          </cell>
          <cell r="E442" t="str">
            <v>01448</v>
          </cell>
        </row>
        <row r="443">
          <cell r="D443" t="str">
            <v>M/S Shah Mojidia Motor Parts</v>
          </cell>
          <cell r="E443" t="str">
            <v>00842</v>
          </cell>
        </row>
        <row r="444">
          <cell r="D444" t="str">
            <v>M/S Shah Mojidia Motor Parts</v>
          </cell>
          <cell r="E444" t="str">
            <v>00842</v>
          </cell>
        </row>
        <row r="445">
          <cell r="D445" t="str">
            <v>M/S Mohi Enterprise</v>
          </cell>
          <cell r="E445" t="str">
            <v>01356</v>
          </cell>
        </row>
        <row r="446">
          <cell r="D446" t="str">
            <v>M/S Sohan Motors</v>
          </cell>
          <cell r="E446" t="str">
            <v>01385</v>
          </cell>
        </row>
        <row r="447">
          <cell r="D447" t="str">
            <v>M/S Setu Cycle Mart</v>
          </cell>
          <cell r="E447" t="str">
            <v>00471</v>
          </cell>
        </row>
        <row r="448">
          <cell r="D448" t="str">
            <v>M/S Setu Cycle Mart</v>
          </cell>
          <cell r="E448" t="str">
            <v>00471</v>
          </cell>
        </row>
        <row r="449">
          <cell r="D449" t="str">
            <v>M/S Setu Cycle Mart</v>
          </cell>
          <cell r="E449" t="str">
            <v>00471</v>
          </cell>
        </row>
        <row r="450">
          <cell r="D450" t="str">
            <v>M/S Setu Cycle Mart</v>
          </cell>
          <cell r="E450" t="str">
            <v>00471</v>
          </cell>
        </row>
        <row r="451">
          <cell r="D451" t="str">
            <v>M/S Setu Cycle Mart</v>
          </cell>
          <cell r="E451" t="str">
            <v>00471</v>
          </cell>
        </row>
        <row r="452">
          <cell r="D452" t="str">
            <v>M/S Farhan Auto (C)</v>
          </cell>
          <cell r="E452" t="str">
            <v>01298</v>
          </cell>
        </row>
        <row r="453">
          <cell r="D453" t="str">
            <v>M/S Farhan Auto (C)</v>
          </cell>
          <cell r="E453" t="str">
            <v>01298</v>
          </cell>
        </row>
        <row r="454">
          <cell r="D454" t="str">
            <v>M/S Farhan Auto (C)</v>
          </cell>
          <cell r="E454" t="str">
            <v>01298</v>
          </cell>
        </row>
        <row r="455">
          <cell r="D455" t="str">
            <v>M/S Farhan Auto (C)</v>
          </cell>
          <cell r="E455" t="str">
            <v>01298</v>
          </cell>
        </row>
        <row r="456">
          <cell r="D456" t="str">
            <v>M/S Hazi Auto &amp; Solar</v>
          </cell>
          <cell r="E456" t="str">
            <v>00827</v>
          </cell>
        </row>
        <row r="457">
          <cell r="D457" t="str">
            <v>M/S Hazi Auto &amp; Solar</v>
          </cell>
          <cell r="E457" t="str">
            <v>00827</v>
          </cell>
        </row>
        <row r="458">
          <cell r="D458" t="str">
            <v>M/S Hazi Auto &amp; Solar</v>
          </cell>
          <cell r="E458" t="str">
            <v>00827</v>
          </cell>
        </row>
        <row r="459">
          <cell r="D459" t="str">
            <v>M/S S.K. Enterprise (C)</v>
          </cell>
          <cell r="E459" t="str">
            <v>01326</v>
          </cell>
        </row>
        <row r="460">
          <cell r="D460" t="str">
            <v>M/S S.K. Enterprise (C)</v>
          </cell>
          <cell r="E460" t="str">
            <v>01326</v>
          </cell>
        </row>
        <row r="461">
          <cell r="D461" t="str">
            <v>M/S S.K. Enterprise (C)</v>
          </cell>
          <cell r="E461" t="str">
            <v>01326</v>
          </cell>
        </row>
        <row r="462">
          <cell r="D462" t="str">
            <v>M/S S.K. Enterprise (C)</v>
          </cell>
          <cell r="E462" t="str">
            <v>01326</v>
          </cell>
        </row>
        <row r="463">
          <cell r="D463" t="str">
            <v>M/S Sangu Battery House</v>
          </cell>
          <cell r="E463" t="str">
            <v>00988</v>
          </cell>
        </row>
        <row r="464">
          <cell r="D464" t="str">
            <v>M/S Sangu Battery House</v>
          </cell>
          <cell r="E464" t="str">
            <v>00988</v>
          </cell>
        </row>
        <row r="465">
          <cell r="D465" t="str">
            <v>M/S Boalkhali Battery House (C)</v>
          </cell>
          <cell r="E465" t="str">
            <v>01550</v>
          </cell>
        </row>
        <row r="466">
          <cell r="D466" t="str">
            <v>M/S Boalkhali Battery House (C)</v>
          </cell>
          <cell r="E466" t="str">
            <v>01550</v>
          </cell>
        </row>
        <row r="467">
          <cell r="D467" t="str">
            <v>M/S Boalkhali Battery House (C)</v>
          </cell>
          <cell r="E467" t="str">
            <v>01550</v>
          </cell>
        </row>
        <row r="468">
          <cell r="D468" t="str">
            <v>M/S Boalkhali Battery House (C)</v>
          </cell>
          <cell r="E468" t="str">
            <v>01550</v>
          </cell>
        </row>
        <row r="469">
          <cell r="D469" t="str">
            <v>M/S A.P.L. Auto House (C)</v>
          </cell>
          <cell r="E469" t="str">
            <v>01305</v>
          </cell>
        </row>
        <row r="470">
          <cell r="D470" t="str">
            <v>M/S Khokon IPS &amp; Battery Center (C)</v>
          </cell>
          <cell r="E470" t="str">
            <v>01306</v>
          </cell>
        </row>
        <row r="471">
          <cell r="D471" t="str">
            <v>M/S Anas Battery &amp; Auto House</v>
          </cell>
          <cell r="E471" t="str">
            <v>01401</v>
          </cell>
        </row>
        <row r="472">
          <cell r="D472" t="str">
            <v>M/S Anas Battery &amp; Auto House</v>
          </cell>
          <cell r="E472" t="str">
            <v>01401</v>
          </cell>
        </row>
        <row r="473">
          <cell r="D473" t="str">
            <v>M/S S.S. Enterprise-Norshingdi (C)</v>
          </cell>
          <cell r="E473" t="str">
            <v>01331</v>
          </cell>
        </row>
        <row r="474">
          <cell r="D474" t="str">
            <v>M/S S.S. Enterprise-Norshingdi (C)</v>
          </cell>
          <cell r="E474" t="str">
            <v>01331</v>
          </cell>
        </row>
        <row r="475">
          <cell r="D475" t="str">
            <v>M/S Shepon Motors (C)</v>
          </cell>
          <cell r="E475" t="str">
            <v>01438</v>
          </cell>
        </row>
        <row r="476">
          <cell r="D476" t="str">
            <v>M/S Shopon Battery House (C)</v>
          </cell>
          <cell r="E476" t="str">
            <v>01320</v>
          </cell>
        </row>
        <row r="477">
          <cell r="D477" t="str">
            <v>M/S Shopon Battery House (C)</v>
          </cell>
          <cell r="E477" t="str">
            <v>01320</v>
          </cell>
        </row>
        <row r="478">
          <cell r="D478" t="str">
            <v>M/S Molla Battery House (C)</v>
          </cell>
          <cell r="E478" t="str">
            <v>01428</v>
          </cell>
        </row>
        <row r="479">
          <cell r="D479" t="str">
            <v>M/S Shamim Battery &amp; Tyre House (C)</v>
          </cell>
          <cell r="E479" t="str">
            <v>01540</v>
          </cell>
        </row>
        <row r="480">
          <cell r="D480" t="str">
            <v>M/S Rajdhani Motors</v>
          </cell>
          <cell r="E480" t="str">
            <v>01463</v>
          </cell>
        </row>
        <row r="481">
          <cell r="D481" t="str">
            <v>M/S Jhenaidah Bike Center  (C)</v>
          </cell>
          <cell r="E481" t="str">
            <v>01536</v>
          </cell>
        </row>
        <row r="482">
          <cell r="D482" t="str">
            <v>M/S M.R. Enterprise- Dinajpur (C)</v>
          </cell>
          <cell r="E482" t="str">
            <v>01520</v>
          </cell>
        </row>
        <row r="483">
          <cell r="D483" t="str">
            <v>M/S Rafiq Vi Battery &amp; Auto</v>
          </cell>
          <cell r="E483" t="str">
            <v>01405</v>
          </cell>
        </row>
        <row r="484">
          <cell r="D484" t="str">
            <v>M/S S.K. Enterprise-Rangpur</v>
          </cell>
          <cell r="E484" t="str">
            <v>01462</v>
          </cell>
        </row>
        <row r="485">
          <cell r="D485" t="str">
            <v>M/S Rashed Traders (C)</v>
          </cell>
          <cell r="E485" t="str">
            <v>01592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CL308"/>
  <sheetViews>
    <sheetView showGridLines="0" tabSelected="1" zoomScale="90" zoomScaleNormal="90" workbookViewId="0">
      <pane xSplit="5" ySplit="7" topLeftCell="F17" activePane="bottomRight" state="frozen"/>
      <selection/>
      <selection pane="topRight"/>
      <selection pane="bottomLeft"/>
      <selection pane="bottomRight" activeCell="B17" sqref="B17"/>
    </sheetView>
  </sheetViews>
  <sheetFormatPr defaultColWidth="9" defaultRowHeight="14.4"/>
  <cols>
    <col min="1" max="1" width="39.3333333333333" style="4" customWidth="1"/>
    <col min="2" max="2" width="8.5" style="5" customWidth="1"/>
    <col min="3" max="4" width="13.1666666666667" style="5" hidden="1" customWidth="1"/>
    <col min="5" max="5" width="10.5" style="5" customWidth="1"/>
    <col min="6" max="6" width="17.5" style="92" customWidth="1"/>
    <col min="7" max="7" width="11.8333333333333" style="5" customWidth="1"/>
    <col min="8" max="8" width="12.8333333333333" style="5" customWidth="1"/>
    <col min="9" max="9" width="8.16666666666667" style="6" customWidth="1"/>
    <col min="10" max="10" width="9" style="6" customWidth="1"/>
    <col min="11" max="11" width="8.66666666666667" style="6" customWidth="1"/>
    <col min="12" max="12" width="9.16666666666667" style="6" customWidth="1"/>
    <col min="13" max="13" width="6" style="6" customWidth="1"/>
    <col min="14" max="14" width="9" style="6" customWidth="1"/>
    <col min="15" max="15" width="12.8333333333333" style="6" customWidth="1"/>
    <col min="16" max="16" width="12.8333333333333" style="6" hidden="1" customWidth="1"/>
    <col min="17" max="17" width="12.8333333333333" style="109" hidden="1" customWidth="1"/>
    <col min="18" max="18" width="16" style="6" hidden="1" customWidth="1"/>
    <col min="19" max="19" width="16" style="109" hidden="1" customWidth="1"/>
    <col min="20" max="20" width="14.5648148148148" style="109" hidden="1" customWidth="1"/>
    <col min="21" max="21" width="16" style="109" hidden="1" customWidth="1"/>
    <col min="22" max="23" width="10" style="4" customWidth="1"/>
    <col min="24" max="24" width="9" style="4" customWidth="1"/>
    <col min="25" max="25" width="6.33333333333333" style="4" customWidth="1"/>
    <col min="26" max="26" width="7.33333333333333" style="4" customWidth="1"/>
    <col min="27" max="27" width="10.8333333333333" style="4" customWidth="1"/>
    <col min="28" max="28" width="14.5" style="4" customWidth="1"/>
    <col min="29" max="29" width="15.8333333333333" style="4" customWidth="1"/>
    <col min="30" max="30" width="13" style="4" customWidth="1"/>
    <col min="31" max="36" width="15.5" style="4" hidden="1" customWidth="1"/>
    <col min="37" max="43" width="14.6666666666667" style="4" hidden="1" customWidth="1"/>
    <col min="44" max="44" width="11.1018518518519" style="4" customWidth="1"/>
    <col min="45" max="16248" width="9" style="4"/>
    <col min="16268" max="16384" width="9" style="4"/>
  </cols>
  <sheetData>
    <row r="1" spans="7:27">
      <c r="G1" s="5" t="s">
        <v>0</v>
      </c>
      <c r="H1" s="9">
        <f>14250-350</f>
        <v>13900</v>
      </c>
      <c r="I1" s="9">
        <f>15050-350</f>
        <v>14700</v>
      </c>
      <c r="J1" s="9">
        <f>11700-300</f>
        <v>11400</v>
      </c>
      <c r="K1" s="6">
        <v>20000</v>
      </c>
      <c r="L1" s="6">
        <v>6000</v>
      </c>
      <c r="AA1" s="131"/>
    </row>
    <row r="2" spans="7:27">
      <c r="G2" s="5" t="s">
        <v>1</v>
      </c>
      <c r="H2" s="9">
        <f>H1-250</f>
        <v>13650</v>
      </c>
      <c r="I2" s="9">
        <f>I1-250</f>
        <v>14450</v>
      </c>
      <c r="J2" s="9">
        <f>J1-200</f>
        <v>11200</v>
      </c>
      <c r="K2" s="6">
        <v>20000</v>
      </c>
      <c r="L2" s="6">
        <v>6000</v>
      </c>
      <c r="AA2" s="131"/>
    </row>
    <row r="3" spans="7:33">
      <c r="G3" s="5" t="s">
        <v>2</v>
      </c>
      <c r="H3" s="9">
        <f>H1-175</f>
        <v>13725</v>
      </c>
      <c r="I3" s="9">
        <f>I1-175</f>
        <v>14525</v>
      </c>
      <c r="J3" s="9">
        <f>J1-100</f>
        <v>11300</v>
      </c>
      <c r="K3" s="6">
        <v>20000</v>
      </c>
      <c r="L3" s="6">
        <v>6000</v>
      </c>
      <c r="AA3" s="131"/>
      <c r="AC3" s="64"/>
      <c r="AE3" s="56"/>
      <c r="AF3" s="56"/>
      <c r="AG3" s="56"/>
    </row>
    <row r="4" spans="7:33">
      <c r="G4" s="5" t="s">
        <v>3</v>
      </c>
      <c r="H4" s="5">
        <v>5200</v>
      </c>
      <c r="I4" s="6">
        <v>5400</v>
      </c>
      <c r="J4" s="6">
        <v>4400</v>
      </c>
      <c r="K4" s="6">
        <v>20000</v>
      </c>
      <c r="L4" s="6">
        <v>6000</v>
      </c>
      <c r="Z4" s="64"/>
      <c r="AA4" s="64"/>
      <c r="AB4" s="64"/>
      <c r="AC4" s="64"/>
      <c r="AD4" s="64"/>
      <c r="AE4" s="56"/>
      <c r="AF4" s="56"/>
      <c r="AG4" s="56"/>
    </row>
    <row r="5" ht="23" customHeight="1" spans="7:33">
      <c r="G5" s="5" t="s">
        <v>4</v>
      </c>
      <c r="H5" s="10">
        <f>24.2*340</f>
        <v>8228</v>
      </c>
      <c r="J5" s="10">
        <f>19.2*340</f>
        <v>6528</v>
      </c>
      <c r="K5" s="6">
        <v>20000</v>
      </c>
      <c r="L5" s="6">
        <v>6000</v>
      </c>
      <c r="M5" s="120"/>
      <c r="AC5" s="64"/>
      <c r="AE5" s="56"/>
      <c r="AF5" s="56"/>
      <c r="AG5" s="56"/>
    </row>
    <row r="6" ht="34" customHeight="1" spans="9:47">
      <c r="I6" s="121" t="s">
        <v>5</v>
      </c>
      <c r="J6" s="121"/>
      <c r="K6" s="121"/>
      <c r="L6" s="121"/>
      <c r="M6" s="121"/>
      <c r="N6" s="121"/>
      <c r="O6" s="121"/>
      <c r="P6" s="121"/>
      <c r="Q6" s="126"/>
      <c r="R6" s="121"/>
      <c r="S6" s="127"/>
      <c r="T6" s="47" t="s">
        <v>6</v>
      </c>
      <c r="U6" s="38"/>
      <c r="V6" s="49" t="s">
        <v>7</v>
      </c>
      <c r="W6" s="49"/>
      <c r="X6" s="49"/>
      <c r="Y6" s="49"/>
      <c r="Z6" s="49"/>
      <c r="AA6" s="49"/>
      <c r="AB6" s="49"/>
      <c r="AC6" s="49"/>
      <c r="AD6" s="49"/>
      <c r="AE6" s="132"/>
      <c r="AF6" s="132"/>
      <c r="AG6" s="49"/>
      <c r="AH6" s="133"/>
      <c r="AI6" s="133"/>
      <c r="AJ6" s="133"/>
      <c r="AR6" s="27" t="s">
        <v>8</v>
      </c>
      <c r="AS6" s="27"/>
      <c r="AT6" s="27" t="s">
        <v>9</v>
      </c>
      <c r="AU6" s="27"/>
    </row>
    <row r="7" ht="43.95" spans="1:47">
      <c r="A7" s="14" t="s">
        <v>10</v>
      </c>
      <c r="B7" s="15" t="s">
        <v>11</v>
      </c>
      <c r="C7" s="15"/>
      <c r="D7" s="14" t="s">
        <v>12</v>
      </c>
      <c r="E7" s="110" t="s">
        <v>13</v>
      </c>
      <c r="F7" s="16" t="s">
        <v>14</v>
      </c>
      <c r="G7" s="14" t="s">
        <v>15</v>
      </c>
      <c r="H7" s="111" t="s">
        <v>16</v>
      </c>
      <c r="I7" s="122" t="s">
        <v>17</v>
      </c>
      <c r="J7" s="122" t="s">
        <v>18</v>
      </c>
      <c r="K7" s="123" t="s">
        <v>19</v>
      </c>
      <c r="L7" s="123" t="s">
        <v>20</v>
      </c>
      <c r="M7" s="123" t="s">
        <v>21</v>
      </c>
      <c r="N7" s="123" t="s">
        <v>22</v>
      </c>
      <c r="O7" s="122" t="s">
        <v>23</v>
      </c>
      <c r="P7" s="123" t="s">
        <v>24</v>
      </c>
      <c r="Q7" s="128" t="s">
        <v>25</v>
      </c>
      <c r="R7" s="123" t="s">
        <v>26</v>
      </c>
      <c r="S7" s="129" t="s">
        <v>27</v>
      </c>
      <c r="T7" s="51" t="s">
        <v>28</v>
      </c>
      <c r="U7" s="52" t="s">
        <v>29</v>
      </c>
      <c r="V7" s="53" t="s">
        <v>17</v>
      </c>
      <c r="W7" s="53" t="s">
        <v>18</v>
      </c>
      <c r="X7" s="41" t="s">
        <v>19</v>
      </c>
      <c r="Y7" s="41" t="s">
        <v>20</v>
      </c>
      <c r="Z7" s="41" t="s">
        <v>21</v>
      </c>
      <c r="AA7" s="41" t="s">
        <v>22</v>
      </c>
      <c r="AB7" s="58" t="s">
        <v>30</v>
      </c>
      <c r="AC7" s="58" t="s">
        <v>31</v>
      </c>
      <c r="AD7" s="16" t="s">
        <v>32</v>
      </c>
      <c r="AE7" s="16" t="s">
        <v>33</v>
      </c>
      <c r="AF7" s="16" t="s">
        <v>34</v>
      </c>
      <c r="AG7" s="16" t="s">
        <v>35</v>
      </c>
      <c r="AH7" s="16" t="s">
        <v>36</v>
      </c>
      <c r="AI7" s="16"/>
      <c r="AJ7" s="16" t="s">
        <v>37</v>
      </c>
      <c r="AK7" s="70"/>
      <c r="AL7" s="70" t="s">
        <v>38</v>
      </c>
      <c r="AM7" s="70" t="s">
        <v>39</v>
      </c>
      <c r="AN7" s="70" t="s">
        <v>40</v>
      </c>
      <c r="AO7" s="70" t="s">
        <v>41</v>
      </c>
      <c r="AP7" s="70" t="s">
        <v>42</v>
      </c>
      <c r="AQ7" s="140" t="s">
        <v>43</v>
      </c>
      <c r="AR7" s="27" t="s">
        <v>28</v>
      </c>
      <c r="AS7" s="27" t="s">
        <v>29</v>
      </c>
      <c r="AT7" s="27" t="s">
        <v>28</v>
      </c>
      <c r="AU7" s="27" t="s">
        <v>29</v>
      </c>
    </row>
    <row r="8" spans="1:47">
      <c r="A8" s="28" t="s">
        <v>44</v>
      </c>
      <c r="B8" s="27" t="s">
        <v>45</v>
      </c>
      <c r="C8" s="27" t="s">
        <v>2</v>
      </c>
      <c r="D8" s="27" t="s">
        <v>2</v>
      </c>
      <c r="E8" s="27"/>
      <c r="F8" s="112">
        <v>-242</v>
      </c>
      <c r="G8" s="112">
        <v>0</v>
      </c>
      <c r="H8" s="112">
        <v>0</v>
      </c>
      <c r="I8" s="124">
        <v>0</v>
      </c>
      <c r="J8" s="124">
        <v>0</v>
      </c>
      <c r="K8" s="124">
        <v>0</v>
      </c>
      <c r="L8" s="124">
        <v>0</v>
      </c>
      <c r="M8" s="124">
        <v>0</v>
      </c>
      <c r="N8" s="44">
        <f>SUM(I8:M8)</f>
        <v>0</v>
      </c>
      <c r="O8" s="44">
        <v>0</v>
      </c>
      <c r="P8" s="125">
        <f>O8</f>
        <v>0</v>
      </c>
      <c r="Q8" s="95"/>
      <c r="R8" s="54">
        <f>P8+Q8</f>
        <v>0</v>
      </c>
      <c r="S8" s="54">
        <v>0</v>
      </c>
      <c r="T8" s="54">
        <v>20</v>
      </c>
      <c r="U8" s="54">
        <v>0</v>
      </c>
      <c r="V8" s="60">
        <v>0</v>
      </c>
      <c r="W8" s="60">
        <v>0</v>
      </c>
      <c r="X8" s="60">
        <v>0</v>
      </c>
      <c r="Y8" s="60">
        <v>0</v>
      </c>
      <c r="Z8" s="60">
        <v>0</v>
      </c>
      <c r="AA8" s="60">
        <f>V8+W8+X8+Y8+Z8</f>
        <v>0</v>
      </c>
      <c r="AB8" s="60">
        <v>0</v>
      </c>
      <c r="AC8" s="43">
        <v>0</v>
      </c>
      <c r="AD8" s="60">
        <v>0</v>
      </c>
      <c r="AE8" s="60"/>
      <c r="AF8" s="60"/>
      <c r="AG8" s="60"/>
      <c r="AH8" s="60">
        <f>F8+AB8-AC8-AE8-AD8-AF8-AG8</f>
        <v>-242</v>
      </c>
      <c r="AI8" s="60"/>
      <c r="AJ8" s="60"/>
      <c r="AK8" s="64"/>
      <c r="AL8" s="64">
        <v>0</v>
      </c>
      <c r="AM8" s="64">
        <v>1050</v>
      </c>
      <c r="AN8" s="64">
        <v>0</v>
      </c>
      <c r="AO8" s="64">
        <v>0</v>
      </c>
      <c r="AP8" s="64">
        <v>0</v>
      </c>
      <c r="AQ8" s="64">
        <f>AL8+AM8+AN8+AO8+AP8</f>
        <v>1050</v>
      </c>
      <c r="AR8" s="59">
        <f>I8+J8-V8-W8</f>
        <v>0</v>
      </c>
      <c r="AS8" s="59">
        <f>K8-X8</f>
        <v>0</v>
      </c>
      <c r="AT8" s="141">
        <f>AR8/13</f>
        <v>0</v>
      </c>
      <c r="AU8" s="141">
        <f>AS8/13</f>
        <v>0</v>
      </c>
    </row>
    <row r="9" spans="1:47">
      <c r="A9" s="28" t="s">
        <v>46</v>
      </c>
      <c r="B9" s="27" t="str">
        <f>IFERROR(VLOOKUP(A9,[1]Sheet1!C:D,2,FALSE),0)</f>
        <v>00442</v>
      </c>
      <c r="C9" s="27">
        <v>0</v>
      </c>
      <c r="D9" s="27">
        <v>0</v>
      </c>
      <c r="E9" s="27"/>
      <c r="F9" s="112">
        <v>314110.72</v>
      </c>
      <c r="G9" s="112"/>
      <c r="H9" s="112"/>
      <c r="I9" s="124">
        <v>0</v>
      </c>
      <c r="J9" s="124">
        <v>0</v>
      </c>
      <c r="K9" s="124">
        <v>0</v>
      </c>
      <c r="L9" s="124">
        <v>0</v>
      </c>
      <c r="M9" s="124">
        <v>0</v>
      </c>
      <c r="N9" s="44">
        <f t="shared" ref="N9:N33" si="0">SUM(I9:M9)</f>
        <v>0</v>
      </c>
      <c r="O9" s="44">
        <v>0</v>
      </c>
      <c r="P9" s="125">
        <f t="shared" ref="P9:P72" si="1">O9</f>
        <v>0</v>
      </c>
      <c r="Q9" s="95"/>
      <c r="R9" s="54">
        <f t="shared" ref="R8:R17" si="2">P9+Q9</f>
        <v>0</v>
      </c>
      <c r="S9" s="54">
        <v>0</v>
      </c>
      <c r="T9" s="54">
        <v>0</v>
      </c>
      <c r="U9" s="54">
        <v>0</v>
      </c>
      <c r="V9" s="60">
        <v>0</v>
      </c>
      <c r="W9" s="60">
        <v>0</v>
      </c>
      <c r="X9" s="60">
        <v>0</v>
      </c>
      <c r="Y9" s="60">
        <v>0</v>
      </c>
      <c r="Z9" s="60">
        <v>0</v>
      </c>
      <c r="AA9" s="60">
        <f t="shared" ref="AA9:AA33" si="3">V9+W9+X9+Y9+Z9</f>
        <v>0</v>
      </c>
      <c r="AB9" s="60">
        <v>0</v>
      </c>
      <c r="AC9" s="43">
        <v>0</v>
      </c>
      <c r="AD9" s="60">
        <v>0</v>
      </c>
      <c r="AE9" s="60"/>
      <c r="AF9" s="60"/>
      <c r="AG9" s="60"/>
      <c r="AH9" s="60">
        <f t="shared" ref="AH9:AH33" si="4">F9+AB9-AC9-AE9-AD9-AF9-AG9</f>
        <v>314110.72</v>
      </c>
      <c r="AI9" s="60"/>
      <c r="AJ9" s="60"/>
      <c r="AK9" s="64"/>
      <c r="AL9" s="64">
        <v>0</v>
      </c>
      <c r="AM9" s="64">
        <v>0</v>
      </c>
      <c r="AN9" s="64">
        <v>0</v>
      </c>
      <c r="AO9" s="64">
        <v>0</v>
      </c>
      <c r="AP9" s="64">
        <v>0</v>
      </c>
      <c r="AQ9" s="64">
        <f t="shared" ref="AQ9:AQ33" si="5">AL9+AM9+AN9+AO9+AP9</f>
        <v>0</v>
      </c>
      <c r="AR9" s="59">
        <f t="shared" ref="AR9:AR72" si="6">I9+J9-V9-W9</f>
        <v>0</v>
      </c>
      <c r="AS9" s="59">
        <f t="shared" ref="AS9:AS72" si="7">K9-X9</f>
        <v>0</v>
      </c>
      <c r="AT9" s="141">
        <f t="shared" ref="AT9:AT72" si="8">AR9/13</f>
        <v>0</v>
      </c>
      <c r="AU9" s="141">
        <f t="shared" ref="AU9:AU72" si="9">AS9/13</f>
        <v>0</v>
      </c>
    </row>
    <row r="10" spans="1:47">
      <c r="A10" s="113" t="s">
        <v>47</v>
      </c>
      <c r="B10" s="27" t="s">
        <v>48</v>
      </c>
      <c r="C10" s="27" t="s">
        <v>49</v>
      </c>
      <c r="D10" s="27" t="s">
        <v>49</v>
      </c>
      <c r="E10" s="27"/>
      <c r="F10" s="112">
        <v>2450541</v>
      </c>
      <c r="G10" s="112">
        <v>0</v>
      </c>
      <c r="H10" s="112">
        <v>1200000</v>
      </c>
      <c r="I10" s="124">
        <v>100</v>
      </c>
      <c r="J10" s="124">
        <v>0</v>
      </c>
      <c r="K10" s="124">
        <v>400</v>
      </c>
      <c r="L10" s="124">
        <v>0</v>
      </c>
      <c r="M10" s="124">
        <v>0</v>
      </c>
      <c r="N10" s="44">
        <f t="shared" si="0"/>
        <v>500</v>
      </c>
      <c r="O10" s="44">
        <v>2050000</v>
      </c>
      <c r="P10" s="125">
        <f t="shared" si="1"/>
        <v>2050000</v>
      </c>
      <c r="Q10" s="95"/>
      <c r="R10" s="54">
        <f t="shared" si="2"/>
        <v>2050000</v>
      </c>
      <c r="S10" s="54">
        <v>1000000</v>
      </c>
      <c r="T10" s="54">
        <v>100</v>
      </c>
      <c r="U10" s="54">
        <v>400</v>
      </c>
      <c r="V10" s="60">
        <v>75</v>
      </c>
      <c r="W10" s="60">
        <v>0</v>
      </c>
      <c r="X10" s="60">
        <v>208</v>
      </c>
      <c r="Y10" s="60">
        <v>0</v>
      </c>
      <c r="Z10" s="60">
        <v>0</v>
      </c>
      <c r="AA10" s="60">
        <f t="shared" si="3"/>
        <v>283</v>
      </c>
      <c r="AB10" s="60">
        <v>1348500</v>
      </c>
      <c r="AC10" s="43">
        <v>900000</v>
      </c>
      <c r="AD10" s="60">
        <v>0</v>
      </c>
      <c r="AE10" s="60"/>
      <c r="AF10" s="60"/>
      <c r="AG10" s="60"/>
      <c r="AH10" s="60">
        <f t="shared" si="4"/>
        <v>2899041</v>
      </c>
      <c r="AI10" s="60">
        <f>AH10-AQ10-H10</f>
        <v>1050541</v>
      </c>
      <c r="AJ10" s="60">
        <f>AH10-G10</f>
        <v>2899041</v>
      </c>
      <c r="AK10" s="64"/>
      <c r="AL10" s="64">
        <v>205500</v>
      </c>
      <c r="AM10" s="64">
        <v>261000</v>
      </c>
      <c r="AN10" s="64">
        <v>182000</v>
      </c>
      <c r="AO10" s="64">
        <v>0</v>
      </c>
      <c r="AP10" s="64">
        <v>0</v>
      </c>
      <c r="AQ10" s="64">
        <f t="shared" si="5"/>
        <v>648500</v>
      </c>
      <c r="AR10" s="59">
        <f t="shared" si="6"/>
        <v>25</v>
      </c>
      <c r="AS10" s="59">
        <f t="shared" si="7"/>
        <v>192</v>
      </c>
      <c r="AT10" s="141">
        <f t="shared" si="8"/>
        <v>1.92307692307692</v>
      </c>
      <c r="AU10" s="141">
        <f t="shared" si="9"/>
        <v>14.7692307692308</v>
      </c>
    </row>
    <row r="11" spans="1:47">
      <c r="A11" s="113" t="s">
        <v>50</v>
      </c>
      <c r="B11" s="27" t="s">
        <v>51</v>
      </c>
      <c r="C11" s="27" t="s">
        <v>52</v>
      </c>
      <c r="D11" s="27" t="s">
        <v>52</v>
      </c>
      <c r="E11" s="27"/>
      <c r="F11" s="112">
        <v>2164876.26</v>
      </c>
      <c r="G11" s="112">
        <v>600000</v>
      </c>
      <c r="H11" s="112">
        <v>1800000</v>
      </c>
      <c r="I11" s="124">
        <v>0</v>
      </c>
      <c r="J11" s="124">
        <v>0</v>
      </c>
      <c r="K11" s="124">
        <v>80</v>
      </c>
      <c r="L11" s="124">
        <v>0</v>
      </c>
      <c r="M11" s="124">
        <v>0</v>
      </c>
      <c r="N11" s="44">
        <f t="shared" si="0"/>
        <v>80</v>
      </c>
      <c r="O11" s="44">
        <v>864000</v>
      </c>
      <c r="P11" s="125">
        <f t="shared" si="1"/>
        <v>864000</v>
      </c>
      <c r="Q11" s="95"/>
      <c r="R11" s="54">
        <f t="shared" si="2"/>
        <v>864000</v>
      </c>
      <c r="S11" s="54">
        <v>1200000</v>
      </c>
      <c r="T11" s="54">
        <v>0</v>
      </c>
      <c r="U11" s="54">
        <v>125</v>
      </c>
      <c r="V11" s="60">
        <v>0</v>
      </c>
      <c r="W11" s="60">
        <v>0</v>
      </c>
      <c r="X11" s="60">
        <v>0</v>
      </c>
      <c r="Y11" s="60">
        <v>0</v>
      </c>
      <c r="Z11" s="60">
        <v>0</v>
      </c>
      <c r="AA11" s="60">
        <f t="shared" si="3"/>
        <v>0</v>
      </c>
      <c r="AB11" s="60">
        <v>0</v>
      </c>
      <c r="AC11" s="43">
        <v>600000</v>
      </c>
      <c r="AD11" s="60">
        <v>0</v>
      </c>
      <c r="AE11" s="60"/>
      <c r="AF11" s="60"/>
      <c r="AG11" s="60"/>
      <c r="AH11" s="60">
        <f t="shared" si="4"/>
        <v>1564876.26</v>
      </c>
      <c r="AI11" s="60"/>
      <c r="AJ11" s="60">
        <f>AH11-G11</f>
        <v>964876.26</v>
      </c>
      <c r="AK11" s="64"/>
      <c r="AL11" s="64">
        <v>76948.92</v>
      </c>
      <c r="AM11" s="64">
        <v>35900</v>
      </c>
      <c r="AN11" s="64">
        <v>0</v>
      </c>
      <c r="AO11" s="64">
        <v>0</v>
      </c>
      <c r="AP11" s="64">
        <v>6410.25641025641</v>
      </c>
      <c r="AQ11" s="64">
        <f t="shared" si="5"/>
        <v>119259.176410256</v>
      </c>
      <c r="AR11" s="59">
        <f t="shared" si="6"/>
        <v>0</v>
      </c>
      <c r="AS11" s="59">
        <f t="shared" si="7"/>
        <v>80</v>
      </c>
      <c r="AT11" s="141">
        <f t="shared" si="8"/>
        <v>0</v>
      </c>
      <c r="AU11" s="141">
        <f t="shared" si="9"/>
        <v>6.15384615384615</v>
      </c>
    </row>
    <row r="12" spans="1:47">
      <c r="A12" s="28" t="s">
        <v>53</v>
      </c>
      <c r="B12" s="174" t="s">
        <v>54</v>
      </c>
      <c r="C12" s="27">
        <v>0</v>
      </c>
      <c r="D12" s="27">
        <v>0</v>
      </c>
      <c r="E12" s="27"/>
      <c r="F12" s="112">
        <v>0</v>
      </c>
      <c r="G12" s="112">
        <v>0</v>
      </c>
      <c r="H12" s="112">
        <v>0</v>
      </c>
      <c r="I12" s="124">
        <v>0</v>
      </c>
      <c r="J12" s="124">
        <v>0</v>
      </c>
      <c r="K12" s="124">
        <v>0</v>
      </c>
      <c r="L12" s="124">
        <v>0</v>
      </c>
      <c r="M12" s="124">
        <v>0</v>
      </c>
      <c r="N12" s="44">
        <f t="shared" si="0"/>
        <v>0</v>
      </c>
      <c r="O12" s="44">
        <v>0</v>
      </c>
      <c r="P12" s="125">
        <f t="shared" si="1"/>
        <v>0</v>
      </c>
      <c r="Q12" s="95"/>
      <c r="R12" s="54">
        <f t="shared" si="2"/>
        <v>0</v>
      </c>
      <c r="S12" s="54">
        <v>0</v>
      </c>
      <c r="T12" s="54">
        <v>0</v>
      </c>
      <c r="U12" s="54">
        <v>0</v>
      </c>
      <c r="V12" s="60">
        <v>0</v>
      </c>
      <c r="W12" s="60">
        <v>0</v>
      </c>
      <c r="X12" s="60">
        <v>0</v>
      </c>
      <c r="Y12" s="60">
        <v>0</v>
      </c>
      <c r="Z12" s="60">
        <v>0</v>
      </c>
      <c r="AA12" s="60">
        <f t="shared" si="3"/>
        <v>0</v>
      </c>
      <c r="AB12" s="60">
        <v>0</v>
      </c>
      <c r="AC12" s="43">
        <v>0</v>
      </c>
      <c r="AD12" s="60">
        <v>0</v>
      </c>
      <c r="AE12" s="60"/>
      <c r="AF12" s="60"/>
      <c r="AG12" s="60"/>
      <c r="AH12" s="60">
        <f t="shared" si="4"/>
        <v>0</v>
      </c>
      <c r="AI12" s="60"/>
      <c r="AJ12" s="60"/>
      <c r="AK12" s="64"/>
      <c r="AL12" s="64">
        <v>0</v>
      </c>
      <c r="AM12" s="64">
        <v>0</v>
      </c>
      <c r="AN12" s="64">
        <v>0</v>
      </c>
      <c r="AO12" s="64">
        <v>0</v>
      </c>
      <c r="AP12" s="64">
        <v>0</v>
      </c>
      <c r="AQ12" s="64">
        <f t="shared" si="5"/>
        <v>0</v>
      </c>
      <c r="AR12" s="59">
        <f t="shared" si="6"/>
        <v>0</v>
      </c>
      <c r="AS12" s="59">
        <f t="shared" si="7"/>
        <v>0</v>
      </c>
      <c r="AT12" s="141">
        <f t="shared" si="8"/>
        <v>0</v>
      </c>
      <c r="AU12" s="141">
        <f t="shared" si="9"/>
        <v>0</v>
      </c>
    </row>
    <row r="13" spans="1:47">
      <c r="A13" s="28" t="s">
        <v>55</v>
      </c>
      <c r="B13" s="174" t="s">
        <v>56</v>
      </c>
      <c r="C13" s="27" t="s">
        <v>2</v>
      </c>
      <c r="D13" s="27" t="s">
        <v>2</v>
      </c>
      <c r="E13" s="27"/>
      <c r="F13" s="112">
        <v>54100</v>
      </c>
      <c r="G13" s="112"/>
      <c r="H13" s="112"/>
      <c r="I13" s="124">
        <v>0</v>
      </c>
      <c r="J13" s="124">
        <v>0</v>
      </c>
      <c r="K13" s="124">
        <v>0</v>
      </c>
      <c r="L13" s="124">
        <v>0</v>
      </c>
      <c r="M13" s="124">
        <v>0</v>
      </c>
      <c r="N13" s="44">
        <f t="shared" si="0"/>
        <v>0</v>
      </c>
      <c r="O13" s="44">
        <v>0</v>
      </c>
      <c r="P13" s="125">
        <f t="shared" si="1"/>
        <v>0</v>
      </c>
      <c r="Q13" s="95"/>
      <c r="R13" s="54">
        <f t="shared" si="2"/>
        <v>0</v>
      </c>
      <c r="S13" s="54">
        <v>0</v>
      </c>
      <c r="T13" s="54">
        <v>0</v>
      </c>
      <c r="U13" s="54">
        <v>0</v>
      </c>
      <c r="V13" s="60">
        <v>0</v>
      </c>
      <c r="W13" s="60">
        <v>0</v>
      </c>
      <c r="X13" s="60">
        <v>0</v>
      </c>
      <c r="Y13" s="60">
        <v>0</v>
      </c>
      <c r="Z13" s="60">
        <v>0</v>
      </c>
      <c r="AA13" s="60">
        <f t="shared" si="3"/>
        <v>0</v>
      </c>
      <c r="AB13" s="60">
        <v>0</v>
      </c>
      <c r="AC13" s="43">
        <v>0</v>
      </c>
      <c r="AD13" s="60">
        <v>0</v>
      </c>
      <c r="AE13" s="60"/>
      <c r="AF13" s="60"/>
      <c r="AG13" s="60"/>
      <c r="AH13" s="60">
        <f t="shared" si="4"/>
        <v>54100</v>
      </c>
      <c r="AI13" s="60"/>
      <c r="AJ13" s="60">
        <f>AH13-G13</f>
        <v>54100</v>
      </c>
      <c r="AK13" s="64"/>
      <c r="AL13" s="64">
        <v>0</v>
      </c>
      <c r="AM13" s="64">
        <v>0</v>
      </c>
      <c r="AN13" s="64">
        <v>0</v>
      </c>
      <c r="AO13" s="64">
        <v>0</v>
      </c>
      <c r="AP13" s="64">
        <v>0</v>
      </c>
      <c r="AQ13" s="64">
        <f t="shared" si="5"/>
        <v>0</v>
      </c>
      <c r="AR13" s="59">
        <f t="shared" si="6"/>
        <v>0</v>
      </c>
      <c r="AS13" s="59">
        <f t="shared" si="7"/>
        <v>0</v>
      </c>
      <c r="AT13" s="141">
        <f t="shared" si="8"/>
        <v>0</v>
      </c>
      <c r="AU13" s="141">
        <f t="shared" si="9"/>
        <v>0</v>
      </c>
    </row>
    <row r="14" spans="1:47">
      <c r="A14" s="28" t="s">
        <v>57</v>
      </c>
      <c r="B14" s="27" t="s">
        <v>58</v>
      </c>
      <c r="C14" s="27" t="s">
        <v>49</v>
      </c>
      <c r="D14" s="27" t="s">
        <v>49</v>
      </c>
      <c r="E14" s="27"/>
      <c r="F14" s="112">
        <v>811500</v>
      </c>
      <c r="G14" s="112"/>
      <c r="H14" s="112"/>
      <c r="I14" s="124">
        <v>70</v>
      </c>
      <c r="J14" s="124">
        <v>0</v>
      </c>
      <c r="K14" s="124">
        <v>400</v>
      </c>
      <c r="L14" s="124">
        <v>0</v>
      </c>
      <c r="M14" s="124">
        <v>0</v>
      </c>
      <c r="N14" s="44">
        <f t="shared" si="0"/>
        <v>470</v>
      </c>
      <c r="O14" s="44">
        <v>1903000</v>
      </c>
      <c r="P14" s="125">
        <f t="shared" si="1"/>
        <v>1903000</v>
      </c>
      <c r="Q14" s="95"/>
      <c r="R14" s="54">
        <f t="shared" si="2"/>
        <v>1903000</v>
      </c>
      <c r="S14" s="54">
        <v>0</v>
      </c>
      <c r="T14" s="54">
        <v>50</v>
      </c>
      <c r="U14" s="54">
        <v>450</v>
      </c>
      <c r="V14" s="60">
        <v>54</v>
      </c>
      <c r="W14" s="60">
        <v>0</v>
      </c>
      <c r="X14" s="60">
        <v>282</v>
      </c>
      <c r="Y14" s="60">
        <v>0</v>
      </c>
      <c r="Z14" s="60">
        <v>0</v>
      </c>
      <c r="AA14" s="60">
        <f t="shared" si="3"/>
        <v>336</v>
      </c>
      <c r="AB14" s="60">
        <v>1566000</v>
      </c>
      <c r="AC14" s="43">
        <v>200000</v>
      </c>
      <c r="AD14" s="60">
        <v>112200</v>
      </c>
      <c r="AE14" s="60"/>
      <c r="AF14" s="60"/>
      <c r="AG14" s="60"/>
      <c r="AH14" s="60">
        <f t="shared" si="4"/>
        <v>2065300</v>
      </c>
      <c r="AI14" s="60">
        <f>AH14-AQ14-H14</f>
        <v>1232500</v>
      </c>
      <c r="AJ14" s="60">
        <f>AH14-G14</f>
        <v>2065300</v>
      </c>
      <c r="AK14" s="64"/>
      <c r="AL14" s="64">
        <v>230300</v>
      </c>
      <c r="AM14" s="64">
        <v>294000</v>
      </c>
      <c r="AN14" s="64">
        <v>308500</v>
      </c>
      <c r="AO14" s="64">
        <v>0</v>
      </c>
      <c r="AP14" s="64">
        <v>0</v>
      </c>
      <c r="AQ14" s="64">
        <f t="shared" si="5"/>
        <v>832800</v>
      </c>
      <c r="AR14" s="59">
        <f t="shared" si="6"/>
        <v>16</v>
      </c>
      <c r="AS14" s="59">
        <f t="shared" si="7"/>
        <v>118</v>
      </c>
      <c r="AT14" s="141">
        <f t="shared" si="8"/>
        <v>1.23076923076923</v>
      </c>
      <c r="AU14" s="141">
        <f t="shared" si="9"/>
        <v>9.07692307692308</v>
      </c>
    </row>
    <row r="15" spans="1:47">
      <c r="A15" s="28" t="s">
        <v>59</v>
      </c>
      <c r="B15" s="27" t="s">
        <v>60</v>
      </c>
      <c r="C15" s="27">
        <v>0</v>
      </c>
      <c r="D15" s="27">
        <v>0</v>
      </c>
      <c r="E15" s="27"/>
      <c r="F15" s="112">
        <v>84869.38</v>
      </c>
      <c r="G15" s="112"/>
      <c r="H15" s="112"/>
      <c r="I15" s="124">
        <v>0</v>
      </c>
      <c r="J15" s="124">
        <v>0</v>
      </c>
      <c r="K15" s="124">
        <v>0</v>
      </c>
      <c r="L15" s="124">
        <v>0</v>
      </c>
      <c r="M15" s="124">
        <v>0</v>
      </c>
      <c r="N15" s="44">
        <f t="shared" si="0"/>
        <v>0</v>
      </c>
      <c r="O15" s="44">
        <v>0</v>
      </c>
      <c r="P15" s="125">
        <f t="shared" si="1"/>
        <v>0</v>
      </c>
      <c r="Q15" s="95"/>
      <c r="R15" s="54">
        <f t="shared" si="2"/>
        <v>0</v>
      </c>
      <c r="S15" s="54">
        <v>0</v>
      </c>
      <c r="T15" s="54">
        <v>0</v>
      </c>
      <c r="U15" s="54">
        <v>0</v>
      </c>
      <c r="V15" s="60">
        <v>0</v>
      </c>
      <c r="W15" s="60">
        <v>0</v>
      </c>
      <c r="X15" s="60">
        <v>0</v>
      </c>
      <c r="Y15" s="60">
        <v>0</v>
      </c>
      <c r="Z15" s="60">
        <v>0</v>
      </c>
      <c r="AA15" s="60">
        <f t="shared" si="3"/>
        <v>0</v>
      </c>
      <c r="AB15" s="60">
        <v>0</v>
      </c>
      <c r="AC15" s="43">
        <v>0</v>
      </c>
      <c r="AD15" s="60">
        <v>0</v>
      </c>
      <c r="AE15" s="60"/>
      <c r="AF15" s="60"/>
      <c r="AG15" s="60"/>
      <c r="AH15" s="60">
        <f t="shared" si="4"/>
        <v>84869.38</v>
      </c>
      <c r="AI15" s="60"/>
      <c r="AJ15" s="60"/>
      <c r="AK15" s="64"/>
      <c r="AL15" s="64">
        <v>0</v>
      </c>
      <c r="AM15" s="64">
        <v>0</v>
      </c>
      <c r="AN15" s="64">
        <v>0</v>
      </c>
      <c r="AO15" s="64">
        <v>0</v>
      </c>
      <c r="AP15" s="64">
        <v>0</v>
      </c>
      <c r="AQ15" s="64">
        <f t="shared" si="5"/>
        <v>0</v>
      </c>
      <c r="AR15" s="59">
        <f t="shared" si="6"/>
        <v>0</v>
      </c>
      <c r="AS15" s="59">
        <f t="shared" si="7"/>
        <v>0</v>
      </c>
      <c r="AT15" s="141">
        <f t="shared" si="8"/>
        <v>0</v>
      </c>
      <c r="AU15" s="141">
        <f t="shared" si="9"/>
        <v>0</v>
      </c>
    </row>
    <row r="16" spans="1:47">
      <c r="A16" s="28" t="s">
        <v>61</v>
      </c>
      <c r="B16" s="27" t="s">
        <v>62</v>
      </c>
      <c r="C16" s="27">
        <v>0</v>
      </c>
      <c r="D16" s="27">
        <v>0</v>
      </c>
      <c r="E16" s="27"/>
      <c r="F16" s="112">
        <v>94577</v>
      </c>
      <c r="G16" s="112"/>
      <c r="H16" s="112"/>
      <c r="I16" s="124">
        <v>0</v>
      </c>
      <c r="J16" s="124">
        <v>0</v>
      </c>
      <c r="K16" s="124">
        <v>0</v>
      </c>
      <c r="L16" s="124">
        <v>0</v>
      </c>
      <c r="M16" s="124">
        <v>0</v>
      </c>
      <c r="N16" s="44">
        <f t="shared" si="0"/>
        <v>0</v>
      </c>
      <c r="O16" s="44">
        <v>0</v>
      </c>
      <c r="P16" s="125">
        <f t="shared" si="1"/>
        <v>0</v>
      </c>
      <c r="Q16" s="95"/>
      <c r="R16" s="54">
        <f t="shared" si="2"/>
        <v>0</v>
      </c>
      <c r="S16" s="54">
        <v>0</v>
      </c>
      <c r="T16" s="54">
        <v>0</v>
      </c>
      <c r="U16" s="54">
        <v>0</v>
      </c>
      <c r="V16" s="60">
        <v>0</v>
      </c>
      <c r="W16" s="60">
        <v>0</v>
      </c>
      <c r="X16" s="60">
        <v>0</v>
      </c>
      <c r="Y16" s="60">
        <v>0</v>
      </c>
      <c r="Z16" s="60">
        <v>0</v>
      </c>
      <c r="AA16" s="60">
        <f t="shared" si="3"/>
        <v>0</v>
      </c>
      <c r="AB16" s="60">
        <v>0</v>
      </c>
      <c r="AC16" s="43">
        <v>0</v>
      </c>
      <c r="AD16" s="60">
        <v>0</v>
      </c>
      <c r="AE16" s="60"/>
      <c r="AF16" s="60"/>
      <c r="AG16" s="60"/>
      <c r="AH16" s="60">
        <f t="shared" si="4"/>
        <v>94577</v>
      </c>
      <c r="AI16" s="60"/>
      <c r="AJ16" s="60"/>
      <c r="AK16" s="64"/>
      <c r="AL16" s="64">
        <v>0</v>
      </c>
      <c r="AM16" s="64">
        <v>0</v>
      </c>
      <c r="AN16" s="64">
        <v>0</v>
      </c>
      <c r="AO16" s="64">
        <v>0</v>
      </c>
      <c r="AP16" s="64">
        <v>0</v>
      </c>
      <c r="AQ16" s="64">
        <f t="shared" si="5"/>
        <v>0</v>
      </c>
      <c r="AR16" s="59">
        <f t="shared" si="6"/>
        <v>0</v>
      </c>
      <c r="AS16" s="59">
        <f t="shared" si="7"/>
        <v>0</v>
      </c>
      <c r="AT16" s="141">
        <f t="shared" si="8"/>
        <v>0</v>
      </c>
      <c r="AU16" s="141">
        <f t="shared" si="9"/>
        <v>0</v>
      </c>
    </row>
    <row r="17" spans="1:47">
      <c r="A17" s="28" t="s">
        <v>63</v>
      </c>
      <c r="B17" s="27" t="s">
        <v>64</v>
      </c>
      <c r="C17" s="27" t="s">
        <v>52</v>
      </c>
      <c r="D17" s="27" t="s">
        <v>52</v>
      </c>
      <c r="E17" s="27"/>
      <c r="F17" s="112">
        <v>1909278</v>
      </c>
      <c r="G17" s="114">
        <f>F17-S17</f>
        <v>1670528</v>
      </c>
      <c r="H17" s="112">
        <v>2687728</v>
      </c>
      <c r="I17" s="124">
        <v>30</v>
      </c>
      <c r="J17" s="124">
        <v>0</v>
      </c>
      <c r="K17" s="124">
        <v>0</v>
      </c>
      <c r="L17" s="124">
        <v>0</v>
      </c>
      <c r="M17" s="124">
        <v>0</v>
      </c>
      <c r="N17" s="44">
        <f t="shared" si="0"/>
        <v>30</v>
      </c>
      <c r="O17" s="44">
        <v>402000</v>
      </c>
      <c r="P17" s="125">
        <f t="shared" si="1"/>
        <v>402000</v>
      </c>
      <c r="Q17" s="95"/>
      <c r="R17" s="54">
        <f t="shared" si="2"/>
        <v>402000</v>
      </c>
      <c r="S17" s="54">
        <v>238750</v>
      </c>
      <c r="T17" s="54">
        <v>50</v>
      </c>
      <c r="U17" s="54">
        <v>0</v>
      </c>
      <c r="V17" s="60">
        <v>25</v>
      </c>
      <c r="W17" s="60">
        <v>0</v>
      </c>
      <c r="X17" s="60">
        <v>0</v>
      </c>
      <c r="Y17" s="60">
        <v>0</v>
      </c>
      <c r="Z17" s="60">
        <v>0</v>
      </c>
      <c r="AA17" s="60">
        <f t="shared" si="3"/>
        <v>25</v>
      </c>
      <c r="AB17" s="60">
        <v>356250</v>
      </c>
      <c r="AC17" s="43">
        <v>0</v>
      </c>
      <c r="AD17" s="60">
        <v>0</v>
      </c>
      <c r="AE17" s="60"/>
      <c r="AF17" s="60"/>
      <c r="AG17" s="60"/>
      <c r="AH17" s="60">
        <f t="shared" si="4"/>
        <v>2265528</v>
      </c>
      <c r="AI17" s="60"/>
      <c r="AJ17" s="60">
        <f>AH17-G17</f>
        <v>595000</v>
      </c>
      <c r="AK17" s="64"/>
      <c r="AL17" s="64">
        <v>5250</v>
      </c>
      <c r="AM17" s="64">
        <v>10500</v>
      </c>
      <c r="AN17" s="64">
        <v>10500</v>
      </c>
      <c r="AO17" s="64">
        <v>0</v>
      </c>
      <c r="AP17" s="64">
        <v>0</v>
      </c>
      <c r="AQ17" s="64">
        <f t="shared" si="5"/>
        <v>26250</v>
      </c>
      <c r="AR17" s="59">
        <f t="shared" si="6"/>
        <v>5</v>
      </c>
      <c r="AS17" s="59">
        <f t="shared" si="7"/>
        <v>0</v>
      </c>
      <c r="AT17" s="141">
        <f t="shared" si="8"/>
        <v>0.384615384615385</v>
      </c>
      <c r="AU17" s="141">
        <f t="shared" si="9"/>
        <v>0</v>
      </c>
    </row>
    <row r="18" spans="1:47">
      <c r="A18" s="28" t="s">
        <v>65</v>
      </c>
      <c r="B18" s="27" t="s">
        <v>66</v>
      </c>
      <c r="C18" s="27">
        <v>0</v>
      </c>
      <c r="D18" s="27"/>
      <c r="E18" s="27"/>
      <c r="F18" s="112">
        <v>89538.86</v>
      </c>
      <c r="G18" s="112"/>
      <c r="H18" s="112"/>
      <c r="I18" s="124">
        <v>0</v>
      </c>
      <c r="J18" s="124">
        <v>0</v>
      </c>
      <c r="K18" s="124">
        <v>0</v>
      </c>
      <c r="L18" s="124">
        <v>0</v>
      </c>
      <c r="M18" s="124">
        <v>0</v>
      </c>
      <c r="N18" s="44">
        <f t="shared" si="0"/>
        <v>0</v>
      </c>
      <c r="O18" s="44">
        <v>0</v>
      </c>
      <c r="P18" s="125">
        <f t="shared" si="1"/>
        <v>0</v>
      </c>
      <c r="Q18" s="95"/>
      <c r="R18" s="54"/>
      <c r="S18" s="54">
        <v>0</v>
      </c>
      <c r="T18" s="54">
        <v>0</v>
      </c>
      <c r="U18" s="54">
        <v>0</v>
      </c>
      <c r="V18" s="60">
        <v>0</v>
      </c>
      <c r="W18" s="60">
        <v>0</v>
      </c>
      <c r="X18" s="60">
        <v>0</v>
      </c>
      <c r="Y18" s="60">
        <v>0</v>
      </c>
      <c r="Z18" s="60">
        <v>0</v>
      </c>
      <c r="AA18" s="60">
        <f t="shared" si="3"/>
        <v>0</v>
      </c>
      <c r="AB18" s="60">
        <v>0</v>
      </c>
      <c r="AC18" s="43">
        <v>5000</v>
      </c>
      <c r="AD18" s="60">
        <v>0</v>
      </c>
      <c r="AE18" s="60"/>
      <c r="AF18" s="60"/>
      <c r="AG18" s="60"/>
      <c r="AH18" s="60">
        <f t="shared" si="4"/>
        <v>84538.86</v>
      </c>
      <c r="AI18" s="60"/>
      <c r="AJ18" s="60"/>
      <c r="AK18" s="64"/>
      <c r="AL18" s="64">
        <v>0</v>
      </c>
      <c r="AM18" s="64">
        <v>0</v>
      </c>
      <c r="AN18" s="64">
        <v>0</v>
      </c>
      <c r="AO18" s="64">
        <v>0</v>
      </c>
      <c r="AP18" s="64">
        <v>0</v>
      </c>
      <c r="AQ18" s="64">
        <f t="shared" si="5"/>
        <v>0</v>
      </c>
      <c r="AR18" s="59">
        <f t="shared" si="6"/>
        <v>0</v>
      </c>
      <c r="AS18" s="59">
        <f t="shared" si="7"/>
        <v>0</v>
      </c>
      <c r="AT18" s="141">
        <f t="shared" si="8"/>
        <v>0</v>
      </c>
      <c r="AU18" s="141">
        <f t="shared" si="9"/>
        <v>0</v>
      </c>
    </row>
    <row r="19" spans="1:47">
      <c r="A19" s="28" t="s">
        <v>67</v>
      </c>
      <c r="B19" s="27" t="s">
        <v>68</v>
      </c>
      <c r="C19" s="27">
        <v>0</v>
      </c>
      <c r="D19" s="27">
        <v>0</v>
      </c>
      <c r="E19" s="27"/>
      <c r="F19" s="112">
        <v>0</v>
      </c>
      <c r="G19" s="112">
        <v>0</v>
      </c>
      <c r="H19" s="112">
        <v>0</v>
      </c>
      <c r="I19" s="124">
        <v>0</v>
      </c>
      <c r="J19" s="124">
        <v>0</v>
      </c>
      <c r="K19" s="124">
        <v>0</v>
      </c>
      <c r="L19" s="124">
        <v>0</v>
      </c>
      <c r="M19" s="124">
        <v>0</v>
      </c>
      <c r="N19" s="44">
        <f t="shared" si="0"/>
        <v>0</v>
      </c>
      <c r="O19" s="44">
        <v>0</v>
      </c>
      <c r="P19" s="125">
        <f t="shared" si="1"/>
        <v>0</v>
      </c>
      <c r="Q19" s="95"/>
      <c r="R19" s="54">
        <f t="shared" ref="R19:R33" si="10">P19+Q19</f>
        <v>0</v>
      </c>
      <c r="S19" s="54">
        <v>0</v>
      </c>
      <c r="T19" s="54">
        <v>0</v>
      </c>
      <c r="U19" s="54">
        <v>0</v>
      </c>
      <c r="V19" s="60">
        <v>0</v>
      </c>
      <c r="W19" s="60">
        <v>0</v>
      </c>
      <c r="X19" s="60">
        <v>0</v>
      </c>
      <c r="Y19" s="60">
        <v>0</v>
      </c>
      <c r="Z19" s="60">
        <v>0</v>
      </c>
      <c r="AA19" s="60">
        <f t="shared" si="3"/>
        <v>0</v>
      </c>
      <c r="AB19" s="60">
        <v>0</v>
      </c>
      <c r="AC19" s="43">
        <v>0</v>
      </c>
      <c r="AD19" s="60">
        <v>0</v>
      </c>
      <c r="AE19" s="60"/>
      <c r="AF19" s="60"/>
      <c r="AG19" s="60"/>
      <c r="AH19" s="60">
        <f t="shared" si="4"/>
        <v>0</v>
      </c>
      <c r="AI19" s="60"/>
      <c r="AJ19" s="60"/>
      <c r="AK19" s="64"/>
      <c r="AL19" s="64">
        <v>0</v>
      </c>
      <c r="AM19" s="64">
        <v>0</v>
      </c>
      <c r="AN19" s="64">
        <v>0</v>
      </c>
      <c r="AO19" s="64">
        <v>0</v>
      </c>
      <c r="AP19" s="64">
        <v>0</v>
      </c>
      <c r="AQ19" s="64">
        <f t="shared" si="5"/>
        <v>0</v>
      </c>
      <c r="AR19" s="59">
        <f t="shared" si="6"/>
        <v>0</v>
      </c>
      <c r="AS19" s="59">
        <f t="shared" si="7"/>
        <v>0</v>
      </c>
      <c r="AT19" s="141">
        <f t="shared" si="8"/>
        <v>0</v>
      </c>
      <c r="AU19" s="141">
        <f t="shared" si="9"/>
        <v>0</v>
      </c>
    </row>
    <row r="20" spans="1:47">
      <c r="A20" s="28" t="s">
        <v>69</v>
      </c>
      <c r="B20" s="27" t="s">
        <v>70</v>
      </c>
      <c r="C20" s="27">
        <v>0</v>
      </c>
      <c r="D20" s="27">
        <v>0</v>
      </c>
      <c r="E20" s="27"/>
      <c r="F20" s="112">
        <v>233313.88</v>
      </c>
      <c r="G20" s="112">
        <v>0</v>
      </c>
      <c r="H20" s="112">
        <v>0</v>
      </c>
      <c r="I20" s="124">
        <v>0</v>
      </c>
      <c r="J20" s="124">
        <v>0</v>
      </c>
      <c r="K20" s="124">
        <v>0</v>
      </c>
      <c r="L20" s="124">
        <v>0</v>
      </c>
      <c r="M20" s="124">
        <v>0</v>
      </c>
      <c r="N20" s="44">
        <f t="shared" si="0"/>
        <v>0</v>
      </c>
      <c r="O20" s="44">
        <v>0</v>
      </c>
      <c r="P20" s="125">
        <f t="shared" si="1"/>
        <v>0</v>
      </c>
      <c r="Q20" s="95"/>
      <c r="R20" s="54">
        <f t="shared" si="10"/>
        <v>0</v>
      </c>
      <c r="S20" s="54">
        <v>0</v>
      </c>
      <c r="T20" s="54">
        <v>0</v>
      </c>
      <c r="U20" s="54">
        <v>0</v>
      </c>
      <c r="V20" s="60">
        <v>0</v>
      </c>
      <c r="W20" s="60">
        <v>0</v>
      </c>
      <c r="X20" s="60">
        <v>0</v>
      </c>
      <c r="Y20" s="60">
        <v>5</v>
      </c>
      <c r="Z20" s="60">
        <v>0</v>
      </c>
      <c r="AA20" s="60">
        <f t="shared" si="3"/>
        <v>5</v>
      </c>
      <c r="AB20" s="60">
        <v>105885</v>
      </c>
      <c r="AC20" s="43">
        <v>20000</v>
      </c>
      <c r="AD20" s="60">
        <v>0</v>
      </c>
      <c r="AE20" s="60"/>
      <c r="AF20" s="60"/>
      <c r="AG20" s="60"/>
      <c r="AH20" s="60">
        <f t="shared" si="4"/>
        <v>319198.88</v>
      </c>
      <c r="AI20" s="60">
        <f>AH20-AQ20-H20</f>
        <v>319198.88</v>
      </c>
      <c r="AJ20" s="60">
        <f>AH20-G20</f>
        <v>319198.88</v>
      </c>
      <c r="AK20" s="64"/>
      <c r="AL20" s="64">
        <v>0</v>
      </c>
      <c r="AM20" s="64">
        <v>0</v>
      </c>
      <c r="AN20" s="64">
        <v>0</v>
      </c>
      <c r="AO20" s="64">
        <v>0</v>
      </c>
      <c r="AP20" s="64">
        <v>0</v>
      </c>
      <c r="AQ20" s="64">
        <f t="shared" si="5"/>
        <v>0</v>
      </c>
      <c r="AR20" s="59">
        <f t="shared" si="6"/>
        <v>0</v>
      </c>
      <c r="AS20" s="59">
        <f t="shared" si="7"/>
        <v>0</v>
      </c>
      <c r="AT20" s="141">
        <f t="shared" si="8"/>
        <v>0</v>
      </c>
      <c r="AU20" s="141">
        <f t="shared" si="9"/>
        <v>0</v>
      </c>
    </row>
    <row r="21" spans="1:47">
      <c r="A21" s="28" t="s">
        <v>71</v>
      </c>
      <c r="B21" s="27" t="s">
        <v>72</v>
      </c>
      <c r="C21" s="27" t="s">
        <v>2</v>
      </c>
      <c r="D21" s="27" t="s">
        <v>2</v>
      </c>
      <c r="E21" s="27"/>
      <c r="F21" s="112">
        <v>-32809</v>
      </c>
      <c r="G21" s="112">
        <v>0</v>
      </c>
      <c r="H21" s="112">
        <v>179200</v>
      </c>
      <c r="I21" s="124">
        <v>0</v>
      </c>
      <c r="J21" s="124">
        <v>0</v>
      </c>
      <c r="K21" s="124">
        <v>0</v>
      </c>
      <c r="L21" s="124">
        <v>0</v>
      </c>
      <c r="M21" s="124">
        <v>0</v>
      </c>
      <c r="N21" s="44">
        <f t="shared" si="0"/>
        <v>0</v>
      </c>
      <c r="O21" s="44">
        <v>0</v>
      </c>
      <c r="P21" s="125">
        <f t="shared" si="1"/>
        <v>0</v>
      </c>
      <c r="Q21" s="95"/>
      <c r="R21" s="54">
        <f t="shared" si="10"/>
        <v>0</v>
      </c>
      <c r="S21" s="54">
        <v>0</v>
      </c>
      <c r="T21" s="54">
        <v>0</v>
      </c>
      <c r="U21" s="54">
        <v>48</v>
      </c>
      <c r="V21" s="60">
        <v>0</v>
      </c>
      <c r="W21" s="60">
        <v>0</v>
      </c>
      <c r="X21" s="60">
        <v>0</v>
      </c>
      <c r="Y21" s="60">
        <v>0</v>
      </c>
      <c r="Z21" s="60">
        <v>0</v>
      </c>
      <c r="AA21" s="60">
        <f t="shared" si="3"/>
        <v>0</v>
      </c>
      <c r="AB21" s="60">
        <v>0</v>
      </c>
      <c r="AC21" s="43">
        <v>0</v>
      </c>
      <c r="AD21" s="60">
        <v>0</v>
      </c>
      <c r="AE21" s="60"/>
      <c r="AF21" s="60"/>
      <c r="AG21" s="60"/>
      <c r="AH21" s="60">
        <f t="shared" si="4"/>
        <v>-32809</v>
      </c>
      <c r="AI21" s="60"/>
      <c r="AJ21" s="60"/>
      <c r="AK21" s="64"/>
      <c r="AL21" s="64">
        <v>300</v>
      </c>
      <c r="AM21" s="64">
        <v>0</v>
      </c>
      <c r="AN21" s="64">
        <v>0</v>
      </c>
      <c r="AO21" s="64">
        <v>0</v>
      </c>
      <c r="AP21" s="64">
        <v>0</v>
      </c>
      <c r="AQ21" s="64">
        <f t="shared" si="5"/>
        <v>300</v>
      </c>
      <c r="AR21" s="59">
        <f t="shared" si="6"/>
        <v>0</v>
      </c>
      <c r="AS21" s="59">
        <f t="shared" si="7"/>
        <v>0</v>
      </c>
      <c r="AT21" s="141">
        <f t="shared" si="8"/>
        <v>0</v>
      </c>
      <c r="AU21" s="141">
        <f t="shared" si="9"/>
        <v>0</v>
      </c>
    </row>
    <row r="22" spans="1:47">
      <c r="A22" s="28" t="s">
        <v>73</v>
      </c>
      <c r="B22" s="27" t="s">
        <v>74</v>
      </c>
      <c r="C22" s="27" t="s">
        <v>52</v>
      </c>
      <c r="D22" s="27" t="s">
        <v>52</v>
      </c>
      <c r="E22" s="27"/>
      <c r="F22" s="112">
        <v>401291.75</v>
      </c>
      <c r="G22" s="112">
        <f>F22</f>
        <v>401291.75</v>
      </c>
      <c r="H22" s="112">
        <v>1029500</v>
      </c>
      <c r="I22" s="124">
        <v>50</v>
      </c>
      <c r="J22" s="124">
        <v>0</v>
      </c>
      <c r="K22" s="124">
        <v>0</v>
      </c>
      <c r="L22" s="124">
        <v>0</v>
      </c>
      <c r="M22" s="124">
        <v>0</v>
      </c>
      <c r="N22" s="44">
        <f t="shared" si="0"/>
        <v>50</v>
      </c>
      <c r="O22" s="44">
        <v>670000</v>
      </c>
      <c r="P22" s="125">
        <f t="shared" si="1"/>
        <v>670000</v>
      </c>
      <c r="Q22" s="95"/>
      <c r="R22" s="54">
        <f t="shared" si="10"/>
        <v>670000</v>
      </c>
      <c r="S22" s="54">
        <v>0</v>
      </c>
      <c r="T22" s="54">
        <v>50</v>
      </c>
      <c r="U22" s="54">
        <v>0</v>
      </c>
      <c r="V22" s="60">
        <v>15</v>
      </c>
      <c r="W22" s="60">
        <v>0</v>
      </c>
      <c r="X22" s="60">
        <v>0</v>
      </c>
      <c r="Y22" s="60">
        <v>0</v>
      </c>
      <c r="Z22" s="60">
        <v>0</v>
      </c>
      <c r="AA22" s="60">
        <f t="shared" si="3"/>
        <v>15</v>
      </c>
      <c r="AB22" s="60">
        <v>213750</v>
      </c>
      <c r="AC22" s="43">
        <v>0</v>
      </c>
      <c r="AD22" s="60">
        <v>0</v>
      </c>
      <c r="AE22" s="60"/>
      <c r="AF22" s="60"/>
      <c r="AG22" s="60"/>
      <c r="AH22" s="60">
        <f t="shared" si="4"/>
        <v>615041.75</v>
      </c>
      <c r="AI22" s="60">
        <f>AH22-AQ22-H22</f>
        <v>-436236.55</v>
      </c>
      <c r="AJ22" s="60">
        <f>AH22-G22</f>
        <v>213750</v>
      </c>
      <c r="AK22" s="64"/>
      <c r="AL22" s="64">
        <v>549.05</v>
      </c>
      <c r="AM22" s="64">
        <v>11979.25</v>
      </c>
      <c r="AN22" s="64">
        <v>6250</v>
      </c>
      <c r="AO22" s="64">
        <v>3000</v>
      </c>
      <c r="AP22" s="64">
        <v>0</v>
      </c>
      <c r="AQ22" s="64">
        <f t="shared" si="5"/>
        <v>21778.3</v>
      </c>
      <c r="AR22" s="59">
        <f t="shared" si="6"/>
        <v>35</v>
      </c>
      <c r="AS22" s="59">
        <f t="shared" si="7"/>
        <v>0</v>
      </c>
      <c r="AT22" s="141">
        <f t="shared" si="8"/>
        <v>2.69230769230769</v>
      </c>
      <c r="AU22" s="141">
        <f t="shared" si="9"/>
        <v>0</v>
      </c>
    </row>
    <row r="23" spans="1:47">
      <c r="A23" s="28" t="s">
        <v>75</v>
      </c>
      <c r="B23" s="27" t="s">
        <v>76</v>
      </c>
      <c r="C23" s="27">
        <v>0</v>
      </c>
      <c r="D23" s="27">
        <v>0</v>
      </c>
      <c r="E23" s="27"/>
      <c r="F23" s="112">
        <v>446984.12</v>
      </c>
      <c r="G23" s="112"/>
      <c r="H23" s="112"/>
      <c r="I23" s="124">
        <v>0</v>
      </c>
      <c r="J23" s="124">
        <v>0</v>
      </c>
      <c r="K23" s="124">
        <v>0</v>
      </c>
      <c r="L23" s="124">
        <v>0</v>
      </c>
      <c r="M23" s="124">
        <v>0</v>
      </c>
      <c r="N23" s="44">
        <f t="shared" si="0"/>
        <v>0</v>
      </c>
      <c r="O23" s="44">
        <v>0</v>
      </c>
      <c r="P23" s="125">
        <f t="shared" si="1"/>
        <v>0</v>
      </c>
      <c r="Q23" s="95"/>
      <c r="R23" s="54">
        <f t="shared" si="10"/>
        <v>0</v>
      </c>
      <c r="S23" s="54">
        <v>0</v>
      </c>
      <c r="T23" s="54">
        <v>0</v>
      </c>
      <c r="U23" s="54">
        <v>0</v>
      </c>
      <c r="V23" s="60">
        <v>0</v>
      </c>
      <c r="W23" s="60">
        <v>0</v>
      </c>
      <c r="X23" s="60">
        <v>0</v>
      </c>
      <c r="Y23" s="60">
        <v>0</v>
      </c>
      <c r="Z23" s="60">
        <v>0</v>
      </c>
      <c r="AA23" s="60">
        <f t="shared" si="3"/>
        <v>0</v>
      </c>
      <c r="AB23" s="60">
        <v>0</v>
      </c>
      <c r="AC23" s="43">
        <v>0</v>
      </c>
      <c r="AD23" s="60">
        <v>0</v>
      </c>
      <c r="AE23" s="60"/>
      <c r="AF23" s="60"/>
      <c r="AG23" s="60"/>
      <c r="AH23" s="60">
        <f t="shared" si="4"/>
        <v>446984.12</v>
      </c>
      <c r="AI23" s="60"/>
      <c r="AJ23" s="60"/>
      <c r="AK23" s="64"/>
      <c r="AL23" s="64">
        <v>0</v>
      </c>
      <c r="AM23" s="64">
        <v>0</v>
      </c>
      <c r="AN23" s="64">
        <v>0</v>
      </c>
      <c r="AO23" s="64">
        <v>0</v>
      </c>
      <c r="AP23" s="64">
        <v>0</v>
      </c>
      <c r="AQ23" s="64">
        <f t="shared" si="5"/>
        <v>0</v>
      </c>
      <c r="AR23" s="59">
        <f t="shared" si="6"/>
        <v>0</v>
      </c>
      <c r="AS23" s="59">
        <f t="shared" si="7"/>
        <v>0</v>
      </c>
      <c r="AT23" s="141">
        <f t="shared" si="8"/>
        <v>0</v>
      </c>
      <c r="AU23" s="141">
        <f t="shared" si="9"/>
        <v>0</v>
      </c>
    </row>
    <row r="24" spans="1:47">
      <c r="A24" s="28" t="s">
        <v>77</v>
      </c>
      <c r="B24" s="27" t="s">
        <v>78</v>
      </c>
      <c r="C24" s="27" t="s">
        <v>52</v>
      </c>
      <c r="D24" s="27" t="s">
        <v>52</v>
      </c>
      <c r="E24" s="27" t="s">
        <v>79</v>
      </c>
      <c r="F24" s="112">
        <v>1728991.94</v>
      </c>
      <c r="G24" s="112">
        <v>400000</v>
      </c>
      <c r="H24" s="112">
        <v>1550000</v>
      </c>
      <c r="I24" s="124">
        <v>0</v>
      </c>
      <c r="J24" s="124">
        <v>0</v>
      </c>
      <c r="K24" s="124">
        <v>110</v>
      </c>
      <c r="L24" s="124">
        <v>0</v>
      </c>
      <c r="M24" s="124">
        <v>0</v>
      </c>
      <c r="N24" s="44">
        <f t="shared" si="0"/>
        <v>110</v>
      </c>
      <c r="O24" s="44">
        <v>1188000</v>
      </c>
      <c r="P24" s="125">
        <f t="shared" si="1"/>
        <v>1188000</v>
      </c>
      <c r="Q24" s="130"/>
      <c r="R24" s="54">
        <f t="shared" si="10"/>
        <v>1188000</v>
      </c>
      <c r="S24" s="54">
        <v>500000</v>
      </c>
      <c r="T24" s="54">
        <v>0</v>
      </c>
      <c r="U24" s="54">
        <v>110</v>
      </c>
      <c r="V24" s="60">
        <v>0</v>
      </c>
      <c r="W24" s="60">
        <v>0</v>
      </c>
      <c r="X24" s="60">
        <v>56</v>
      </c>
      <c r="Y24" s="60">
        <v>0</v>
      </c>
      <c r="Z24" s="60">
        <v>0</v>
      </c>
      <c r="AA24" s="60">
        <f t="shared" si="3"/>
        <v>56</v>
      </c>
      <c r="AB24" s="60">
        <v>655200</v>
      </c>
      <c r="AC24" s="43">
        <v>1150000</v>
      </c>
      <c r="AD24" s="60">
        <v>0</v>
      </c>
      <c r="AE24" s="60"/>
      <c r="AF24" s="60"/>
      <c r="AG24" s="60"/>
      <c r="AH24" s="60">
        <f t="shared" si="4"/>
        <v>1234191.94</v>
      </c>
      <c r="AI24" s="60"/>
      <c r="AJ24" s="60">
        <f>AH24-G24</f>
        <v>834191.94</v>
      </c>
      <c r="AK24" s="64"/>
      <c r="AL24" s="64">
        <v>50086.44</v>
      </c>
      <c r="AM24" s="64">
        <v>45800</v>
      </c>
      <c r="AN24" s="64">
        <v>6000</v>
      </c>
      <c r="AO24" s="64">
        <v>5811.96581196581</v>
      </c>
      <c r="AP24" s="64">
        <v>29487.1794871795</v>
      </c>
      <c r="AQ24" s="64">
        <f t="shared" si="5"/>
        <v>137185.585299145</v>
      </c>
      <c r="AR24" s="59">
        <f t="shared" si="6"/>
        <v>0</v>
      </c>
      <c r="AS24" s="59">
        <f t="shared" si="7"/>
        <v>54</v>
      </c>
      <c r="AT24" s="141">
        <f t="shared" si="8"/>
        <v>0</v>
      </c>
      <c r="AU24" s="141">
        <f t="shared" si="9"/>
        <v>4.15384615384615</v>
      </c>
    </row>
    <row r="25" spans="1:47">
      <c r="A25" s="28" t="s">
        <v>80</v>
      </c>
      <c r="B25" s="27" t="s">
        <v>81</v>
      </c>
      <c r="C25" s="27">
        <v>0</v>
      </c>
      <c r="D25" s="27">
        <v>0</v>
      </c>
      <c r="E25" s="27"/>
      <c r="F25" s="112">
        <v>308642.8</v>
      </c>
      <c r="G25" s="112">
        <v>0</v>
      </c>
      <c r="H25" s="112">
        <v>0</v>
      </c>
      <c r="I25" s="124">
        <v>0</v>
      </c>
      <c r="J25" s="124">
        <v>0</v>
      </c>
      <c r="K25" s="124">
        <v>0</v>
      </c>
      <c r="L25" s="124">
        <v>0</v>
      </c>
      <c r="M25" s="124">
        <v>0</v>
      </c>
      <c r="N25" s="44">
        <f t="shared" si="0"/>
        <v>0</v>
      </c>
      <c r="O25" s="44">
        <v>0</v>
      </c>
      <c r="P25" s="125">
        <f t="shared" si="1"/>
        <v>0</v>
      </c>
      <c r="Q25" s="95"/>
      <c r="R25" s="54">
        <f t="shared" si="10"/>
        <v>0</v>
      </c>
      <c r="S25" s="54">
        <v>0</v>
      </c>
      <c r="T25" s="54">
        <v>0</v>
      </c>
      <c r="U25" s="54">
        <v>0</v>
      </c>
      <c r="V25" s="60">
        <v>0</v>
      </c>
      <c r="W25" s="60">
        <v>0</v>
      </c>
      <c r="X25" s="60">
        <v>0</v>
      </c>
      <c r="Y25" s="60">
        <v>0</v>
      </c>
      <c r="Z25" s="60">
        <v>0</v>
      </c>
      <c r="AA25" s="60">
        <f t="shared" si="3"/>
        <v>0</v>
      </c>
      <c r="AB25" s="60">
        <v>0</v>
      </c>
      <c r="AC25" s="43">
        <v>0</v>
      </c>
      <c r="AD25" s="60">
        <v>0</v>
      </c>
      <c r="AE25" s="60"/>
      <c r="AF25" s="60"/>
      <c r="AG25" s="60"/>
      <c r="AH25" s="60">
        <f t="shared" si="4"/>
        <v>308642.8</v>
      </c>
      <c r="AI25" s="60"/>
      <c r="AJ25" s="60">
        <f>AH25-G25</f>
        <v>308642.8</v>
      </c>
      <c r="AK25" s="64"/>
      <c r="AL25" s="64">
        <v>0</v>
      </c>
      <c r="AM25" s="64">
        <v>27504.12</v>
      </c>
      <c r="AN25" s="64">
        <v>27154.12</v>
      </c>
      <c r="AO25" s="64">
        <v>0</v>
      </c>
      <c r="AP25" s="64">
        <v>1929.82456140351</v>
      </c>
      <c r="AQ25" s="64">
        <f t="shared" si="5"/>
        <v>56588.0645614035</v>
      </c>
      <c r="AR25" s="59">
        <f t="shared" si="6"/>
        <v>0</v>
      </c>
      <c r="AS25" s="59">
        <f t="shared" si="7"/>
        <v>0</v>
      </c>
      <c r="AT25" s="141">
        <f t="shared" si="8"/>
        <v>0</v>
      </c>
      <c r="AU25" s="141">
        <f t="shared" si="9"/>
        <v>0</v>
      </c>
    </row>
    <row r="26" spans="1:47">
      <c r="A26" s="28" t="s">
        <v>82</v>
      </c>
      <c r="B26" s="27" t="s">
        <v>83</v>
      </c>
      <c r="C26" s="27">
        <v>0</v>
      </c>
      <c r="D26" s="27">
        <v>0</v>
      </c>
      <c r="E26" s="27"/>
      <c r="F26" s="112">
        <v>44150</v>
      </c>
      <c r="G26" s="112">
        <v>0</v>
      </c>
      <c r="H26" s="112">
        <v>0</v>
      </c>
      <c r="I26" s="124">
        <v>0</v>
      </c>
      <c r="J26" s="124">
        <v>0</v>
      </c>
      <c r="K26" s="124">
        <v>0</v>
      </c>
      <c r="L26" s="124">
        <v>0</v>
      </c>
      <c r="M26" s="124">
        <v>0</v>
      </c>
      <c r="N26" s="44">
        <f t="shared" si="0"/>
        <v>0</v>
      </c>
      <c r="O26" s="44">
        <v>0</v>
      </c>
      <c r="P26" s="125">
        <f t="shared" si="1"/>
        <v>0</v>
      </c>
      <c r="Q26" s="95"/>
      <c r="R26" s="54">
        <f t="shared" si="10"/>
        <v>0</v>
      </c>
      <c r="S26" s="54">
        <v>0</v>
      </c>
      <c r="T26" s="54">
        <v>0</v>
      </c>
      <c r="U26" s="54">
        <v>0</v>
      </c>
      <c r="V26" s="60">
        <v>0</v>
      </c>
      <c r="W26" s="60">
        <v>0</v>
      </c>
      <c r="X26" s="60">
        <v>0</v>
      </c>
      <c r="Y26" s="60">
        <v>0</v>
      </c>
      <c r="Z26" s="60">
        <v>0</v>
      </c>
      <c r="AA26" s="60">
        <f t="shared" si="3"/>
        <v>0</v>
      </c>
      <c r="AB26" s="60">
        <v>0</v>
      </c>
      <c r="AC26" s="43">
        <v>0</v>
      </c>
      <c r="AD26" s="60">
        <v>0</v>
      </c>
      <c r="AE26" s="60"/>
      <c r="AF26" s="60"/>
      <c r="AG26" s="60"/>
      <c r="AH26" s="60">
        <f t="shared" si="4"/>
        <v>44150</v>
      </c>
      <c r="AI26" s="60"/>
      <c r="AJ26" s="60"/>
      <c r="AK26" s="64"/>
      <c r="AL26" s="64">
        <v>0</v>
      </c>
      <c r="AM26" s="64">
        <v>2750</v>
      </c>
      <c r="AN26" s="64">
        <v>3200</v>
      </c>
      <c r="AO26" s="64">
        <v>0</v>
      </c>
      <c r="AP26" s="64">
        <v>2238.59649122807</v>
      </c>
      <c r="AQ26" s="64">
        <f t="shared" si="5"/>
        <v>8188.59649122807</v>
      </c>
      <c r="AR26" s="59">
        <f t="shared" si="6"/>
        <v>0</v>
      </c>
      <c r="AS26" s="59">
        <f t="shared" si="7"/>
        <v>0</v>
      </c>
      <c r="AT26" s="141">
        <f t="shared" si="8"/>
        <v>0</v>
      </c>
      <c r="AU26" s="141">
        <f t="shared" si="9"/>
        <v>0</v>
      </c>
    </row>
    <row r="27" spans="1:47">
      <c r="A27" s="28" t="s">
        <v>84</v>
      </c>
      <c r="B27" s="27" t="s">
        <v>85</v>
      </c>
      <c r="C27" s="27" t="s">
        <v>52</v>
      </c>
      <c r="D27" s="27" t="s">
        <v>52</v>
      </c>
      <c r="E27" s="27"/>
      <c r="F27" s="112">
        <v>348648</v>
      </c>
      <c r="G27" s="112">
        <v>150000</v>
      </c>
      <c r="H27" s="112">
        <v>0</v>
      </c>
      <c r="I27" s="124">
        <v>0</v>
      </c>
      <c r="J27" s="124">
        <v>0</v>
      </c>
      <c r="K27" s="124">
        <v>32</v>
      </c>
      <c r="L27" s="124">
        <v>0</v>
      </c>
      <c r="M27" s="124">
        <v>0</v>
      </c>
      <c r="N27" s="44">
        <f t="shared" si="0"/>
        <v>32</v>
      </c>
      <c r="O27" s="44">
        <v>345600</v>
      </c>
      <c r="P27" s="125">
        <f t="shared" si="1"/>
        <v>345600</v>
      </c>
      <c r="Q27" s="95"/>
      <c r="R27" s="54">
        <f t="shared" si="10"/>
        <v>345600</v>
      </c>
      <c r="S27" s="54">
        <v>0</v>
      </c>
      <c r="T27" s="54">
        <v>0</v>
      </c>
      <c r="U27" s="54">
        <v>32</v>
      </c>
      <c r="V27" s="60">
        <v>0</v>
      </c>
      <c r="W27" s="60">
        <v>0</v>
      </c>
      <c r="X27" s="60">
        <v>16</v>
      </c>
      <c r="Y27" s="60">
        <v>0</v>
      </c>
      <c r="Z27" s="60">
        <v>0</v>
      </c>
      <c r="AA27" s="60">
        <f t="shared" si="3"/>
        <v>16</v>
      </c>
      <c r="AB27" s="60">
        <v>187200</v>
      </c>
      <c r="AC27" s="43">
        <v>150000</v>
      </c>
      <c r="AD27" s="60">
        <v>0</v>
      </c>
      <c r="AE27" s="60"/>
      <c r="AF27" s="60"/>
      <c r="AG27" s="60"/>
      <c r="AH27" s="60">
        <f t="shared" si="4"/>
        <v>385848</v>
      </c>
      <c r="AI27" s="60">
        <f>AH27-AQ27-H27</f>
        <v>364848</v>
      </c>
      <c r="AJ27" s="60">
        <f>AH27-G27</f>
        <v>235848</v>
      </c>
      <c r="AK27" s="64"/>
      <c r="AL27" s="64">
        <v>7200</v>
      </c>
      <c r="AM27" s="64">
        <v>5400</v>
      </c>
      <c r="AN27" s="64">
        <v>8400</v>
      </c>
      <c r="AO27" s="64">
        <v>0</v>
      </c>
      <c r="AP27" s="64">
        <v>0</v>
      </c>
      <c r="AQ27" s="64">
        <f t="shared" si="5"/>
        <v>21000</v>
      </c>
      <c r="AR27" s="59">
        <f t="shared" si="6"/>
        <v>0</v>
      </c>
      <c r="AS27" s="59">
        <f t="shared" si="7"/>
        <v>16</v>
      </c>
      <c r="AT27" s="141">
        <f t="shared" si="8"/>
        <v>0</v>
      </c>
      <c r="AU27" s="141">
        <f t="shared" si="9"/>
        <v>1.23076923076923</v>
      </c>
    </row>
    <row r="28" spans="1:47">
      <c r="A28" s="28" t="s">
        <v>86</v>
      </c>
      <c r="B28" s="27" t="s">
        <v>87</v>
      </c>
      <c r="C28" s="27">
        <v>0</v>
      </c>
      <c r="D28" s="27">
        <v>0</v>
      </c>
      <c r="E28" s="27"/>
      <c r="F28" s="112">
        <v>278717.41</v>
      </c>
      <c r="G28" s="112"/>
      <c r="H28" s="112"/>
      <c r="I28" s="124">
        <v>0</v>
      </c>
      <c r="J28" s="124">
        <v>0</v>
      </c>
      <c r="K28" s="124">
        <v>0</v>
      </c>
      <c r="L28" s="124">
        <v>0</v>
      </c>
      <c r="M28" s="124">
        <v>0</v>
      </c>
      <c r="N28" s="44">
        <f t="shared" si="0"/>
        <v>0</v>
      </c>
      <c r="O28" s="44">
        <v>0</v>
      </c>
      <c r="P28" s="125">
        <f t="shared" si="1"/>
        <v>0</v>
      </c>
      <c r="Q28" s="95"/>
      <c r="R28" s="54">
        <f t="shared" si="10"/>
        <v>0</v>
      </c>
      <c r="S28" s="54">
        <v>0</v>
      </c>
      <c r="T28" s="54">
        <v>0</v>
      </c>
      <c r="U28" s="54">
        <v>0</v>
      </c>
      <c r="V28" s="60">
        <v>0</v>
      </c>
      <c r="W28" s="60">
        <v>0</v>
      </c>
      <c r="X28" s="60">
        <v>0</v>
      </c>
      <c r="Y28" s="60">
        <v>0</v>
      </c>
      <c r="Z28" s="60">
        <v>0</v>
      </c>
      <c r="AA28" s="60">
        <f t="shared" si="3"/>
        <v>0</v>
      </c>
      <c r="AB28" s="60">
        <v>0</v>
      </c>
      <c r="AC28" s="43">
        <v>0</v>
      </c>
      <c r="AD28" s="60">
        <v>0</v>
      </c>
      <c r="AE28" s="60"/>
      <c r="AF28" s="60"/>
      <c r="AG28" s="60"/>
      <c r="AH28" s="60">
        <f t="shared" si="4"/>
        <v>278717.41</v>
      </c>
      <c r="AI28" s="60"/>
      <c r="AJ28" s="60"/>
      <c r="AK28" s="64"/>
      <c r="AL28" s="64">
        <v>0</v>
      </c>
      <c r="AM28" s="64">
        <v>0</v>
      </c>
      <c r="AN28" s="64">
        <v>0</v>
      </c>
      <c r="AO28" s="64">
        <v>0</v>
      </c>
      <c r="AP28" s="64">
        <v>0</v>
      </c>
      <c r="AQ28" s="64">
        <f t="shared" si="5"/>
        <v>0</v>
      </c>
      <c r="AR28" s="59">
        <f t="shared" si="6"/>
        <v>0</v>
      </c>
      <c r="AS28" s="59">
        <f t="shared" si="7"/>
        <v>0</v>
      </c>
      <c r="AT28" s="141">
        <f t="shared" si="8"/>
        <v>0</v>
      </c>
      <c r="AU28" s="141">
        <f t="shared" si="9"/>
        <v>0</v>
      </c>
    </row>
    <row r="29" spans="1:47">
      <c r="A29" s="28" t="s">
        <v>88</v>
      </c>
      <c r="B29" s="27" t="s">
        <v>89</v>
      </c>
      <c r="C29" s="27">
        <v>0</v>
      </c>
      <c r="D29" s="27">
        <v>0</v>
      </c>
      <c r="E29" s="27" t="s">
        <v>90</v>
      </c>
      <c r="F29" s="112">
        <v>-186725.8</v>
      </c>
      <c r="G29" s="112">
        <v>0</v>
      </c>
      <c r="H29" s="112">
        <v>0</v>
      </c>
      <c r="I29" s="124">
        <v>0</v>
      </c>
      <c r="J29" s="124">
        <v>0</v>
      </c>
      <c r="K29" s="124">
        <v>0</v>
      </c>
      <c r="L29" s="124">
        <v>0</v>
      </c>
      <c r="M29" s="124">
        <v>0</v>
      </c>
      <c r="N29" s="44">
        <f t="shared" si="0"/>
        <v>0</v>
      </c>
      <c r="O29" s="44">
        <v>0</v>
      </c>
      <c r="P29" s="125">
        <f t="shared" si="1"/>
        <v>0</v>
      </c>
      <c r="Q29" s="95"/>
      <c r="R29" s="54">
        <f t="shared" si="10"/>
        <v>0</v>
      </c>
      <c r="S29" s="54">
        <v>0</v>
      </c>
      <c r="T29" s="54">
        <v>0</v>
      </c>
      <c r="U29" s="54">
        <v>0</v>
      </c>
      <c r="V29" s="60">
        <v>0</v>
      </c>
      <c r="W29" s="60">
        <v>0</v>
      </c>
      <c r="X29" s="60">
        <v>0</v>
      </c>
      <c r="Y29" s="60">
        <v>0</v>
      </c>
      <c r="Z29" s="60">
        <v>0</v>
      </c>
      <c r="AA29" s="60">
        <f t="shared" si="3"/>
        <v>0</v>
      </c>
      <c r="AB29" s="60">
        <v>0</v>
      </c>
      <c r="AC29" s="43">
        <v>0</v>
      </c>
      <c r="AD29" s="60">
        <v>0</v>
      </c>
      <c r="AE29" s="60"/>
      <c r="AF29" s="60"/>
      <c r="AG29" s="60"/>
      <c r="AH29" s="60">
        <f t="shared" si="4"/>
        <v>-186725.8</v>
      </c>
      <c r="AI29" s="60"/>
      <c r="AJ29" s="60"/>
      <c r="AK29" s="64"/>
      <c r="AL29" s="64">
        <v>0</v>
      </c>
      <c r="AM29" s="64">
        <v>0</v>
      </c>
      <c r="AN29" s="64">
        <v>0</v>
      </c>
      <c r="AO29" s="64">
        <v>0</v>
      </c>
      <c r="AP29" s="64">
        <v>0</v>
      </c>
      <c r="AQ29" s="64">
        <f t="shared" si="5"/>
        <v>0</v>
      </c>
      <c r="AR29" s="59">
        <f t="shared" si="6"/>
        <v>0</v>
      </c>
      <c r="AS29" s="59">
        <f t="shared" si="7"/>
        <v>0</v>
      </c>
      <c r="AT29" s="141">
        <f t="shared" si="8"/>
        <v>0</v>
      </c>
      <c r="AU29" s="141">
        <f t="shared" si="9"/>
        <v>0</v>
      </c>
    </row>
    <row r="30" ht="14" customHeight="1" spans="1:47">
      <c r="A30" s="28" t="s">
        <v>91</v>
      </c>
      <c r="B30" s="27" t="s">
        <v>92</v>
      </c>
      <c r="C30" s="27" t="s">
        <v>49</v>
      </c>
      <c r="D30" s="27" t="s">
        <v>49</v>
      </c>
      <c r="E30" s="27"/>
      <c r="F30" s="112">
        <v>3868410</v>
      </c>
      <c r="G30" s="112">
        <v>0</v>
      </c>
      <c r="H30" s="112">
        <v>2000000</v>
      </c>
      <c r="I30" s="124">
        <v>200</v>
      </c>
      <c r="J30" s="124">
        <v>0</v>
      </c>
      <c r="K30" s="124">
        <v>800</v>
      </c>
      <c r="L30" s="124">
        <v>0</v>
      </c>
      <c r="M30" s="124">
        <v>0</v>
      </c>
      <c r="N30" s="44">
        <f t="shared" si="0"/>
        <v>1000</v>
      </c>
      <c r="O30" s="44">
        <v>4100000</v>
      </c>
      <c r="P30" s="125">
        <f t="shared" si="1"/>
        <v>4100000</v>
      </c>
      <c r="Q30" s="95"/>
      <c r="R30" s="54">
        <f t="shared" si="10"/>
        <v>4100000</v>
      </c>
      <c r="S30" s="54">
        <v>1000000</v>
      </c>
      <c r="T30" s="54">
        <v>250</v>
      </c>
      <c r="U30" s="54">
        <v>1000</v>
      </c>
      <c r="V30" s="60">
        <v>90</v>
      </c>
      <c r="W30" s="60">
        <v>10</v>
      </c>
      <c r="X30" s="60">
        <v>564</v>
      </c>
      <c r="Y30" s="60">
        <v>0</v>
      </c>
      <c r="Z30" s="60">
        <v>0</v>
      </c>
      <c r="AA30" s="60">
        <f t="shared" si="3"/>
        <v>664</v>
      </c>
      <c r="AB30" s="60">
        <v>3090000</v>
      </c>
      <c r="AC30" s="43">
        <v>0</v>
      </c>
      <c r="AD30" s="60">
        <v>0</v>
      </c>
      <c r="AE30" s="60"/>
      <c r="AF30" s="60"/>
      <c r="AG30" s="60"/>
      <c r="AH30" s="60">
        <f t="shared" si="4"/>
        <v>6958410</v>
      </c>
      <c r="AI30" s="60">
        <f>AH30-AQ30-H30</f>
        <v>3015410</v>
      </c>
      <c r="AJ30" s="60">
        <f>AH30-G30</f>
        <v>6958410</v>
      </c>
      <c r="AK30" s="134" t="e">
        <f>#REF!-#REF!</f>
        <v>#REF!</v>
      </c>
      <c r="AL30" s="64">
        <v>527000</v>
      </c>
      <c r="AM30" s="64">
        <v>632000</v>
      </c>
      <c r="AN30" s="64">
        <v>784000</v>
      </c>
      <c r="AO30" s="64">
        <v>0</v>
      </c>
      <c r="AP30" s="64">
        <v>0</v>
      </c>
      <c r="AQ30" s="64">
        <f t="shared" si="5"/>
        <v>1943000</v>
      </c>
      <c r="AR30" s="59">
        <f t="shared" si="6"/>
        <v>100</v>
      </c>
      <c r="AS30" s="59">
        <f t="shared" si="7"/>
        <v>236</v>
      </c>
      <c r="AT30" s="141">
        <f t="shared" si="8"/>
        <v>7.69230769230769</v>
      </c>
      <c r="AU30" s="141">
        <f t="shared" si="9"/>
        <v>18.1538461538462</v>
      </c>
    </row>
    <row r="31" spans="1:47">
      <c r="A31" s="28" t="s">
        <v>93</v>
      </c>
      <c r="B31" s="27" t="s">
        <v>94</v>
      </c>
      <c r="C31" s="27" t="s">
        <v>2</v>
      </c>
      <c r="D31" s="27" t="s">
        <v>2</v>
      </c>
      <c r="E31" s="27"/>
      <c r="F31" s="112">
        <v>3725938.5</v>
      </c>
      <c r="G31" s="112">
        <v>0</v>
      </c>
      <c r="H31" s="112">
        <v>1610000</v>
      </c>
      <c r="I31" s="124">
        <v>100</v>
      </c>
      <c r="J31" s="124">
        <v>0</v>
      </c>
      <c r="K31" s="124">
        <v>230</v>
      </c>
      <c r="L31" s="124">
        <v>0</v>
      </c>
      <c r="M31" s="124">
        <v>0</v>
      </c>
      <c r="N31" s="44">
        <f t="shared" si="0"/>
        <v>330</v>
      </c>
      <c r="O31" s="44">
        <v>3814000</v>
      </c>
      <c r="P31" s="125">
        <f t="shared" si="1"/>
        <v>3814000</v>
      </c>
      <c r="Q31" s="130"/>
      <c r="R31" s="54">
        <f t="shared" si="10"/>
        <v>3814000</v>
      </c>
      <c r="S31" s="54">
        <v>2300000</v>
      </c>
      <c r="T31" s="54">
        <v>120</v>
      </c>
      <c r="U31" s="54">
        <v>230</v>
      </c>
      <c r="V31" s="60">
        <v>35</v>
      </c>
      <c r="W31" s="60">
        <v>0</v>
      </c>
      <c r="X31" s="60">
        <v>144</v>
      </c>
      <c r="Y31" s="60">
        <v>9</v>
      </c>
      <c r="Z31" s="60">
        <v>0</v>
      </c>
      <c r="AA31" s="60">
        <f t="shared" si="3"/>
        <v>188</v>
      </c>
      <c r="AB31" s="60">
        <v>2404405</v>
      </c>
      <c r="AC31" s="43">
        <v>300000</v>
      </c>
      <c r="AD31" s="60">
        <v>0</v>
      </c>
      <c r="AE31" s="60"/>
      <c r="AF31" s="60"/>
      <c r="AG31" s="60"/>
      <c r="AH31" s="60">
        <f t="shared" si="4"/>
        <v>5830343.5</v>
      </c>
      <c r="AI31" s="60">
        <f>AH31-AQ31-H31</f>
        <v>3633199.5194332</v>
      </c>
      <c r="AJ31" s="60">
        <f>AH31-G31</f>
        <v>5830343.5</v>
      </c>
      <c r="AK31" s="134" t="e">
        <f>#REF!-#REF!</f>
        <v>#REF!</v>
      </c>
      <c r="AL31" s="64">
        <v>134291.6</v>
      </c>
      <c r="AM31" s="64">
        <v>211038.44</v>
      </c>
      <c r="AN31" s="64">
        <v>189615.56</v>
      </c>
      <c r="AO31" s="64">
        <v>10128.2051282051</v>
      </c>
      <c r="AP31" s="64">
        <v>42070.1754385965</v>
      </c>
      <c r="AQ31" s="64">
        <f t="shared" si="5"/>
        <v>587143.980566802</v>
      </c>
      <c r="AR31" s="59">
        <f t="shared" si="6"/>
        <v>65</v>
      </c>
      <c r="AS31" s="59">
        <f t="shared" si="7"/>
        <v>86</v>
      </c>
      <c r="AT31" s="141">
        <f t="shared" si="8"/>
        <v>5</v>
      </c>
      <c r="AU31" s="141">
        <f t="shared" si="9"/>
        <v>6.61538461538461</v>
      </c>
    </row>
    <row r="32" spans="1:47">
      <c r="A32" s="28" t="s">
        <v>95</v>
      </c>
      <c r="B32" s="27" t="s">
        <v>96</v>
      </c>
      <c r="C32" s="27">
        <v>0</v>
      </c>
      <c r="D32" s="27">
        <v>0</v>
      </c>
      <c r="E32" s="27"/>
      <c r="F32" s="112">
        <v>74981.34</v>
      </c>
      <c r="G32" s="112"/>
      <c r="H32" s="112"/>
      <c r="I32" s="124">
        <v>0</v>
      </c>
      <c r="J32" s="124">
        <v>0</v>
      </c>
      <c r="K32" s="124">
        <v>0</v>
      </c>
      <c r="L32" s="124">
        <v>0</v>
      </c>
      <c r="M32" s="124">
        <v>0</v>
      </c>
      <c r="N32" s="44">
        <f t="shared" si="0"/>
        <v>0</v>
      </c>
      <c r="O32" s="44">
        <v>0</v>
      </c>
      <c r="P32" s="125">
        <f t="shared" si="1"/>
        <v>0</v>
      </c>
      <c r="Q32" s="95"/>
      <c r="R32" s="54">
        <f t="shared" si="10"/>
        <v>0</v>
      </c>
      <c r="S32" s="54">
        <v>0</v>
      </c>
      <c r="T32" s="54">
        <v>0</v>
      </c>
      <c r="U32" s="54">
        <v>0</v>
      </c>
      <c r="V32" s="60">
        <v>0</v>
      </c>
      <c r="W32" s="60">
        <v>0</v>
      </c>
      <c r="X32" s="60">
        <v>0</v>
      </c>
      <c r="Y32" s="60">
        <v>0</v>
      </c>
      <c r="Z32" s="60">
        <v>0</v>
      </c>
      <c r="AA32" s="60">
        <f t="shared" si="3"/>
        <v>0</v>
      </c>
      <c r="AB32" s="60">
        <v>0</v>
      </c>
      <c r="AC32" s="43">
        <v>0</v>
      </c>
      <c r="AD32" s="60">
        <v>0</v>
      </c>
      <c r="AE32" s="60"/>
      <c r="AF32" s="60"/>
      <c r="AG32" s="60"/>
      <c r="AH32" s="60">
        <f t="shared" si="4"/>
        <v>74981.34</v>
      </c>
      <c r="AI32" s="60"/>
      <c r="AJ32" s="60"/>
      <c r="AK32" s="64"/>
      <c r="AL32" s="64">
        <v>0</v>
      </c>
      <c r="AM32" s="64">
        <v>0</v>
      </c>
      <c r="AN32" s="64">
        <v>0</v>
      </c>
      <c r="AO32" s="64">
        <v>0</v>
      </c>
      <c r="AP32" s="64">
        <v>0</v>
      </c>
      <c r="AQ32" s="64">
        <f t="shared" si="5"/>
        <v>0</v>
      </c>
      <c r="AR32" s="59">
        <f t="shared" si="6"/>
        <v>0</v>
      </c>
      <c r="AS32" s="59">
        <f t="shared" si="7"/>
        <v>0</v>
      </c>
      <c r="AT32" s="141">
        <f t="shared" si="8"/>
        <v>0</v>
      </c>
      <c r="AU32" s="141">
        <f t="shared" si="9"/>
        <v>0</v>
      </c>
    </row>
    <row r="33" spans="1:47">
      <c r="A33" s="28" t="s">
        <v>97</v>
      </c>
      <c r="B33" s="27" t="s">
        <v>98</v>
      </c>
      <c r="C33" s="27">
        <v>0</v>
      </c>
      <c r="D33" s="27" t="s">
        <v>99</v>
      </c>
      <c r="E33" s="27"/>
      <c r="F33" s="112">
        <v>650</v>
      </c>
      <c r="G33" s="112">
        <v>0</v>
      </c>
      <c r="H33" s="112">
        <v>0</v>
      </c>
      <c r="I33" s="124">
        <v>0</v>
      </c>
      <c r="J33" s="124">
        <v>0</v>
      </c>
      <c r="K33" s="124">
        <v>0</v>
      </c>
      <c r="L33" s="124">
        <v>0</v>
      </c>
      <c r="M33" s="124">
        <v>0</v>
      </c>
      <c r="N33" s="44">
        <f t="shared" si="0"/>
        <v>0</v>
      </c>
      <c r="O33" s="44">
        <v>0</v>
      </c>
      <c r="P33" s="125">
        <f t="shared" si="1"/>
        <v>0</v>
      </c>
      <c r="Q33" s="95"/>
      <c r="R33" s="54">
        <f t="shared" si="10"/>
        <v>0</v>
      </c>
      <c r="S33" s="54">
        <v>0</v>
      </c>
      <c r="T33" s="54">
        <v>0</v>
      </c>
      <c r="U33" s="54">
        <v>0</v>
      </c>
      <c r="V33" s="60">
        <v>0</v>
      </c>
      <c r="W33" s="60">
        <v>0</v>
      </c>
      <c r="X33" s="60">
        <v>0</v>
      </c>
      <c r="Y33" s="60">
        <v>0</v>
      </c>
      <c r="Z33" s="60">
        <v>0</v>
      </c>
      <c r="AA33" s="60">
        <f t="shared" si="3"/>
        <v>0</v>
      </c>
      <c r="AB33" s="60">
        <v>0</v>
      </c>
      <c r="AC33" s="43">
        <v>0</v>
      </c>
      <c r="AD33" s="60">
        <v>0</v>
      </c>
      <c r="AE33" s="60"/>
      <c r="AF33" s="60"/>
      <c r="AG33" s="60"/>
      <c r="AH33" s="60">
        <f t="shared" si="4"/>
        <v>650</v>
      </c>
      <c r="AI33" s="60"/>
      <c r="AJ33" s="60"/>
      <c r="AK33" s="64"/>
      <c r="AL33" s="64">
        <v>0</v>
      </c>
      <c r="AM33" s="64">
        <v>0</v>
      </c>
      <c r="AN33" s="64">
        <v>0</v>
      </c>
      <c r="AO33" s="64">
        <v>0</v>
      </c>
      <c r="AP33" s="64">
        <v>0</v>
      </c>
      <c r="AQ33" s="64">
        <f t="shared" si="5"/>
        <v>0</v>
      </c>
      <c r="AR33" s="59">
        <f t="shared" si="6"/>
        <v>0</v>
      </c>
      <c r="AS33" s="59">
        <f t="shared" si="7"/>
        <v>0</v>
      </c>
      <c r="AT33" s="141">
        <f t="shared" si="8"/>
        <v>0</v>
      </c>
      <c r="AU33" s="141">
        <f t="shared" si="9"/>
        <v>0</v>
      </c>
    </row>
    <row r="34" spans="1:47">
      <c r="A34" s="115" t="s">
        <v>100</v>
      </c>
      <c r="B34" s="116">
        <f>SUM(B8:B33)</f>
        <v>0</v>
      </c>
      <c r="C34" s="27">
        <v>0</v>
      </c>
      <c r="D34" s="27">
        <v>0</v>
      </c>
      <c r="E34" s="27"/>
      <c r="F34" s="116">
        <f t="shared" ref="F34:AD34" si="11">SUM(F8:F33)</f>
        <v>19214334.16</v>
      </c>
      <c r="G34" s="116">
        <f t="shared" si="11"/>
        <v>3221819.75</v>
      </c>
      <c r="H34" s="116">
        <f t="shared" si="11"/>
        <v>12056428</v>
      </c>
      <c r="I34" s="116">
        <f t="shared" si="11"/>
        <v>550</v>
      </c>
      <c r="J34" s="116">
        <f t="shared" si="11"/>
        <v>0</v>
      </c>
      <c r="K34" s="116">
        <f t="shared" si="11"/>
        <v>2052</v>
      </c>
      <c r="L34" s="116">
        <f t="shared" si="11"/>
        <v>0</v>
      </c>
      <c r="M34" s="116">
        <f t="shared" si="11"/>
        <v>0</v>
      </c>
      <c r="N34" s="116">
        <f t="shared" si="11"/>
        <v>2602</v>
      </c>
      <c r="O34" s="116">
        <f t="shared" si="11"/>
        <v>15336600</v>
      </c>
      <c r="P34" s="116">
        <f t="shared" si="11"/>
        <v>15336600</v>
      </c>
      <c r="Q34" s="116">
        <f t="shared" si="11"/>
        <v>0</v>
      </c>
      <c r="R34" s="116">
        <f t="shared" si="11"/>
        <v>15336600</v>
      </c>
      <c r="S34" s="116">
        <f t="shared" si="11"/>
        <v>6238750</v>
      </c>
      <c r="T34" s="116">
        <f t="shared" si="11"/>
        <v>640</v>
      </c>
      <c r="U34" s="116">
        <f t="shared" si="11"/>
        <v>2395</v>
      </c>
      <c r="V34" s="116">
        <f>SUM(V8:V33)</f>
        <v>294</v>
      </c>
      <c r="W34" s="116">
        <f>SUM(W8:W33)</f>
        <v>10</v>
      </c>
      <c r="X34" s="116">
        <f>SUM(X8:X33)</f>
        <v>1270</v>
      </c>
      <c r="Y34" s="116">
        <f>SUM(Y8:Y33)</f>
        <v>14</v>
      </c>
      <c r="Z34" s="116">
        <f>SUM(Z8:Z33)</f>
        <v>0</v>
      </c>
      <c r="AA34" s="116">
        <f>SUM(AA8:AA33)</f>
        <v>1588</v>
      </c>
      <c r="AB34" s="116">
        <f>SUM(AB8:AB33)</f>
        <v>9927190</v>
      </c>
      <c r="AC34" s="116">
        <f>SUM(AC8:AC33)</f>
        <v>3325000</v>
      </c>
      <c r="AD34" s="116">
        <f>SUM(AD8:AD33)</f>
        <v>112200</v>
      </c>
      <c r="AE34" s="116"/>
      <c r="AF34" s="116">
        <f>SUM(AF8:AF33)</f>
        <v>0</v>
      </c>
      <c r="AG34" s="116"/>
      <c r="AH34" s="116">
        <f>SUM(AH8:AH33)</f>
        <v>25704324.16</v>
      </c>
      <c r="AI34" s="60">
        <f>AH34-AQ34-H34</f>
        <v>9244852.45667116</v>
      </c>
      <c r="AJ34" s="116">
        <f>SUM(AJ8:AJ33)</f>
        <v>21278702.38</v>
      </c>
      <c r="AK34" s="135"/>
      <c r="AL34" s="116">
        <f t="shared" ref="AL34:BH34" si="12">SUM(AL8:AL33)</f>
        <v>1237426.01</v>
      </c>
      <c r="AM34" s="116">
        <f t="shared" si="12"/>
        <v>1538921.81</v>
      </c>
      <c r="AN34" s="116">
        <f t="shared" si="12"/>
        <v>1525619.68</v>
      </c>
      <c r="AO34" s="116">
        <f t="shared" si="12"/>
        <v>18940.1709401709</v>
      </c>
      <c r="AP34" s="116">
        <f t="shared" si="12"/>
        <v>82136.032388664</v>
      </c>
      <c r="AQ34" s="142">
        <f t="shared" si="12"/>
        <v>4403043.70332883</v>
      </c>
      <c r="AR34" s="116">
        <f t="shared" si="12"/>
        <v>246</v>
      </c>
      <c r="AS34" s="116">
        <f t="shared" si="12"/>
        <v>782</v>
      </c>
      <c r="AT34" s="141">
        <f t="shared" si="8"/>
        <v>18.9230769230769</v>
      </c>
      <c r="AU34" s="141">
        <f t="shared" si="9"/>
        <v>60.1538461538462</v>
      </c>
    </row>
    <row r="35" spans="1:47">
      <c r="A35" s="28" t="s">
        <v>101</v>
      </c>
      <c r="B35" s="27" t="s">
        <v>102</v>
      </c>
      <c r="C35" s="27">
        <v>0</v>
      </c>
      <c r="D35" s="27">
        <v>0</v>
      </c>
      <c r="E35" s="27"/>
      <c r="F35" s="112">
        <v>23946</v>
      </c>
      <c r="G35" s="112"/>
      <c r="H35" s="112"/>
      <c r="I35" s="124">
        <v>0</v>
      </c>
      <c r="J35" s="124">
        <v>0</v>
      </c>
      <c r="K35" s="124">
        <v>0</v>
      </c>
      <c r="L35" s="124">
        <v>0</v>
      </c>
      <c r="M35" s="124">
        <v>0</v>
      </c>
      <c r="N35" s="44">
        <f t="shared" ref="N35:N45" si="13">SUM(I35:M35)</f>
        <v>0</v>
      </c>
      <c r="O35" s="44">
        <v>0</v>
      </c>
      <c r="P35" s="125">
        <f t="shared" si="1"/>
        <v>0</v>
      </c>
      <c r="Q35" s="44"/>
      <c r="R35" s="44">
        <f>P35+Q35</f>
        <v>0</v>
      </c>
      <c r="S35" s="54">
        <v>0</v>
      </c>
      <c r="T35" s="54">
        <v>0</v>
      </c>
      <c r="U35" s="54">
        <v>0</v>
      </c>
      <c r="V35" s="60">
        <v>0</v>
      </c>
      <c r="W35" s="60">
        <v>0</v>
      </c>
      <c r="X35" s="60">
        <v>0</v>
      </c>
      <c r="Y35" s="60">
        <v>0</v>
      </c>
      <c r="Z35" s="60">
        <v>0</v>
      </c>
      <c r="AA35" s="60">
        <f t="shared" ref="AA35:AA53" si="14">V35+W35+X35+Y35+Z35</f>
        <v>0</v>
      </c>
      <c r="AB35" s="60">
        <v>0</v>
      </c>
      <c r="AC35" s="43">
        <v>0</v>
      </c>
      <c r="AD35" s="60">
        <v>0</v>
      </c>
      <c r="AE35" s="60"/>
      <c r="AF35" s="60"/>
      <c r="AG35" s="60"/>
      <c r="AH35" s="60">
        <f>F35+AB35-AC35-AE35-AD35-AF35-AG35</f>
        <v>23946</v>
      </c>
      <c r="AI35" s="60"/>
      <c r="AJ35" s="60"/>
      <c r="AK35" s="7"/>
      <c r="AL35" s="64">
        <v>0</v>
      </c>
      <c r="AM35" s="64">
        <v>0</v>
      </c>
      <c r="AN35" s="64">
        <v>0</v>
      </c>
      <c r="AO35" s="64">
        <v>0</v>
      </c>
      <c r="AP35" s="64">
        <v>0</v>
      </c>
      <c r="AQ35" s="64">
        <f t="shared" ref="AQ35:AQ45" si="15">AL35+AM35+AN35+AO35+AP35</f>
        <v>0</v>
      </c>
      <c r="AR35" s="59">
        <f t="shared" si="6"/>
        <v>0</v>
      </c>
      <c r="AS35" s="59">
        <f t="shared" si="7"/>
        <v>0</v>
      </c>
      <c r="AT35" s="141">
        <f t="shared" si="8"/>
        <v>0</v>
      </c>
      <c r="AU35" s="141">
        <f t="shared" si="9"/>
        <v>0</v>
      </c>
    </row>
    <row r="36" spans="1:47">
      <c r="A36" t="s">
        <v>103</v>
      </c>
      <c r="B36" s="174" t="s">
        <v>104</v>
      </c>
      <c r="C36" s="27"/>
      <c r="D36" s="27"/>
      <c r="E36" s="27"/>
      <c r="F36" s="112">
        <v>182518</v>
      </c>
      <c r="G36" s="112"/>
      <c r="H36" s="112"/>
      <c r="I36" s="124">
        <v>20</v>
      </c>
      <c r="J36" s="124">
        <v>0</v>
      </c>
      <c r="K36" s="124">
        <v>100</v>
      </c>
      <c r="L36" s="124">
        <v>0</v>
      </c>
      <c r="M36" s="124">
        <v>0</v>
      </c>
      <c r="N36" s="44">
        <f t="shared" si="13"/>
        <v>120</v>
      </c>
      <c r="O36" s="44">
        <v>1348000</v>
      </c>
      <c r="P36" s="125">
        <f t="shared" si="1"/>
        <v>1348000</v>
      </c>
      <c r="Q36" s="44"/>
      <c r="R36" s="44"/>
      <c r="S36" s="54">
        <v>0</v>
      </c>
      <c r="T36" s="54">
        <v>0</v>
      </c>
      <c r="U36" s="54">
        <v>150</v>
      </c>
      <c r="V36" s="60">
        <v>14</v>
      </c>
      <c r="W36" s="60">
        <v>0</v>
      </c>
      <c r="X36" s="60">
        <v>41</v>
      </c>
      <c r="Y36" s="60">
        <v>0</v>
      </c>
      <c r="Z36" s="60">
        <v>0</v>
      </c>
      <c r="AA36" s="60">
        <f t="shared" si="14"/>
        <v>55</v>
      </c>
      <c r="AB36" s="60">
        <v>629000</v>
      </c>
      <c r="AC36" s="43">
        <v>0</v>
      </c>
      <c r="AD36" s="60">
        <v>0</v>
      </c>
      <c r="AE36" s="60"/>
      <c r="AF36" s="60"/>
      <c r="AG36" s="60"/>
      <c r="AH36" s="60">
        <f>F36+AB36-AC36-AE36-AD36-AF36-AG36</f>
        <v>811518</v>
      </c>
      <c r="AI36" s="60">
        <f>AH36-AQ36-H36</f>
        <v>811518</v>
      </c>
      <c r="AJ36" s="60">
        <f>AH36-G36</f>
        <v>811518</v>
      </c>
      <c r="AK36" s="7"/>
      <c r="AL36" s="64">
        <v>0</v>
      </c>
      <c r="AM36" s="64">
        <v>0</v>
      </c>
      <c r="AN36" s="64">
        <v>0</v>
      </c>
      <c r="AO36" s="64">
        <v>0</v>
      </c>
      <c r="AP36" s="64">
        <v>0</v>
      </c>
      <c r="AQ36" s="64">
        <f t="shared" si="15"/>
        <v>0</v>
      </c>
      <c r="AR36" s="59">
        <f t="shared" si="6"/>
        <v>6</v>
      </c>
      <c r="AS36" s="59">
        <f t="shared" si="7"/>
        <v>59</v>
      </c>
      <c r="AT36" s="141">
        <f t="shared" si="8"/>
        <v>0.461538461538462</v>
      </c>
      <c r="AU36" s="141">
        <f t="shared" si="9"/>
        <v>4.53846153846154</v>
      </c>
    </row>
    <row r="37" spans="1:47">
      <c r="A37" s="28" t="s">
        <v>105</v>
      </c>
      <c r="B37" s="99" t="s">
        <v>106</v>
      </c>
      <c r="C37" s="27" t="s">
        <v>99</v>
      </c>
      <c r="D37" s="27" t="s">
        <v>99</v>
      </c>
      <c r="E37" s="99"/>
      <c r="F37" s="112">
        <v>1001086</v>
      </c>
      <c r="G37" s="117">
        <v>0</v>
      </c>
      <c r="H37" s="117">
        <v>0</v>
      </c>
      <c r="I37" s="124">
        <v>100</v>
      </c>
      <c r="J37" s="124">
        <v>0</v>
      </c>
      <c r="K37" s="124">
        <v>20</v>
      </c>
      <c r="L37" s="124">
        <v>0</v>
      </c>
      <c r="M37" s="124">
        <v>12</v>
      </c>
      <c r="N37" s="44">
        <f t="shared" si="13"/>
        <v>132</v>
      </c>
      <c r="O37" s="44">
        <v>1620000</v>
      </c>
      <c r="P37" s="125">
        <f t="shared" si="1"/>
        <v>1620000</v>
      </c>
      <c r="Q37" s="44"/>
      <c r="R37" s="44">
        <f t="shared" ref="R37:R42" si="16">P37+Q37</f>
        <v>1620000</v>
      </c>
      <c r="S37" s="54">
        <v>651586.647368421</v>
      </c>
      <c r="T37" s="54">
        <v>100</v>
      </c>
      <c r="U37" s="54">
        <v>50</v>
      </c>
      <c r="V37" s="60">
        <v>32</v>
      </c>
      <c r="W37" s="60">
        <v>0</v>
      </c>
      <c r="X37" s="60">
        <v>12</v>
      </c>
      <c r="Y37" s="60">
        <v>0</v>
      </c>
      <c r="Z37" s="60">
        <v>0</v>
      </c>
      <c r="AA37" s="60">
        <f t="shared" si="14"/>
        <v>44</v>
      </c>
      <c r="AB37" s="60">
        <v>596400</v>
      </c>
      <c r="AC37" s="43">
        <v>150000</v>
      </c>
      <c r="AD37" s="60">
        <v>0</v>
      </c>
      <c r="AE37" s="60"/>
      <c r="AF37" s="60"/>
      <c r="AG37" s="60"/>
      <c r="AH37" s="60">
        <f>F37+AB37-AC37-AE37-AD37-AF37-AG37</f>
        <v>1447486</v>
      </c>
      <c r="AI37" s="60">
        <f>AH37-AQ37-H37</f>
        <v>1344503.44736842</v>
      </c>
      <c r="AJ37" s="60">
        <f>AH37-G37</f>
        <v>1447486</v>
      </c>
      <c r="AK37" s="136" t="e">
        <f>#REF!-#REF!</f>
        <v>#REF!</v>
      </c>
      <c r="AL37" s="64">
        <v>12000</v>
      </c>
      <c r="AM37" s="64">
        <v>0</v>
      </c>
      <c r="AN37" s="64">
        <v>80561.5</v>
      </c>
      <c r="AO37" s="64">
        <v>0</v>
      </c>
      <c r="AP37" s="64">
        <v>10421.0526315789</v>
      </c>
      <c r="AQ37" s="64">
        <f t="shared" si="15"/>
        <v>102982.552631579</v>
      </c>
      <c r="AR37" s="59">
        <f t="shared" si="6"/>
        <v>68</v>
      </c>
      <c r="AS37" s="59">
        <f t="shared" si="7"/>
        <v>8</v>
      </c>
      <c r="AT37" s="141">
        <f t="shared" si="8"/>
        <v>5.23076923076923</v>
      </c>
      <c r="AU37" s="141">
        <f t="shared" si="9"/>
        <v>0.615384615384615</v>
      </c>
    </row>
    <row r="38" spans="1:47">
      <c r="A38" s="28" t="s">
        <v>107</v>
      </c>
      <c r="B38" s="174" t="s">
        <v>108</v>
      </c>
      <c r="C38" s="27">
        <v>0</v>
      </c>
      <c r="D38" s="27">
        <v>0</v>
      </c>
      <c r="E38" s="27"/>
      <c r="F38" s="112">
        <v>34875.58</v>
      </c>
      <c r="G38" s="112"/>
      <c r="H38" s="112"/>
      <c r="I38" s="124">
        <v>0</v>
      </c>
      <c r="J38" s="124">
        <v>0</v>
      </c>
      <c r="K38" s="124">
        <v>0</v>
      </c>
      <c r="L38" s="124">
        <v>0</v>
      </c>
      <c r="M38" s="124">
        <v>0</v>
      </c>
      <c r="N38" s="44">
        <f t="shared" si="13"/>
        <v>0</v>
      </c>
      <c r="O38" s="44">
        <v>0</v>
      </c>
      <c r="P38" s="125">
        <f t="shared" si="1"/>
        <v>0</v>
      </c>
      <c r="Q38" s="44"/>
      <c r="R38" s="44">
        <f t="shared" si="16"/>
        <v>0</v>
      </c>
      <c r="S38" s="54">
        <v>0</v>
      </c>
      <c r="T38" s="54">
        <v>0</v>
      </c>
      <c r="U38" s="54">
        <v>0</v>
      </c>
      <c r="V38" s="60">
        <v>0</v>
      </c>
      <c r="W38" s="60">
        <v>0</v>
      </c>
      <c r="X38" s="60">
        <v>0</v>
      </c>
      <c r="Y38" s="60">
        <v>0</v>
      </c>
      <c r="Z38" s="60">
        <v>0</v>
      </c>
      <c r="AA38" s="60">
        <f t="shared" si="14"/>
        <v>0</v>
      </c>
      <c r="AB38" s="60">
        <v>0</v>
      </c>
      <c r="AC38" s="43">
        <v>0</v>
      </c>
      <c r="AD38" s="60">
        <v>0</v>
      </c>
      <c r="AE38" s="60"/>
      <c r="AF38" s="60"/>
      <c r="AG38" s="60"/>
      <c r="AH38" s="60">
        <f t="shared" ref="AH38:AH45" si="17">F38+AB38-AC38-AE38-AD38-AF38-AG38</f>
        <v>34875.58</v>
      </c>
      <c r="AI38" s="60"/>
      <c r="AJ38" s="60"/>
      <c r="AK38" s="7"/>
      <c r="AL38" s="64">
        <v>0</v>
      </c>
      <c r="AM38" s="64">
        <v>0</v>
      </c>
      <c r="AN38" s="64">
        <v>0</v>
      </c>
      <c r="AO38" s="64">
        <v>0</v>
      </c>
      <c r="AP38" s="64">
        <v>0</v>
      </c>
      <c r="AQ38" s="64">
        <f t="shared" si="15"/>
        <v>0</v>
      </c>
      <c r="AR38" s="59">
        <f t="shared" si="6"/>
        <v>0</v>
      </c>
      <c r="AS38" s="59">
        <f t="shared" si="7"/>
        <v>0</v>
      </c>
      <c r="AT38" s="141">
        <f t="shared" si="8"/>
        <v>0</v>
      </c>
      <c r="AU38" s="141">
        <f t="shared" si="9"/>
        <v>0</v>
      </c>
    </row>
    <row r="39" spans="1:47">
      <c r="A39" s="28" t="s">
        <v>109</v>
      </c>
      <c r="B39" s="27" t="s">
        <v>110</v>
      </c>
      <c r="C39" s="27" t="s">
        <v>99</v>
      </c>
      <c r="D39" s="27" t="s">
        <v>99</v>
      </c>
      <c r="E39" s="27"/>
      <c r="F39" s="112">
        <v>28762</v>
      </c>
      <c r="G39" s="112">
        <v>0</v>
      </c>
      <c r="H39" s="112">
        <v>0</v>
      </c>
      <c r="I39" s="124">
        <v>0</v>
      </c>
      <c r="J39" s="124">
        <v>0</v>
      </c>
      <c r="K39" s="124">
        <v>0</v>
      </c>
      <c r="L39" s="124">
        <v>0</v>
      </c>
      <c r="M39" s="124">
        <v>0</v>
      </c>
      <c r="N39" s="44">
        <f t="shared" si="13"/>
        <v>0</v>
      </c>
      <c r="O39" s="44">
        <v>0</v>
      </c>
      <c r="P39" s="125">
        <f t="shared" si="1"/>
        <v>0</v>
      </c>
      <c r="Q39" s="44"/>
      <c r="R39" s="44">
        <f t="shared" si="16"/>
        <v>0</v>
      </c>
      <c r="S39" s="54">
        <v>0</v>
      </c>
      <c r="T39" s="54">
        <v>50</v>
      </c>
      <c r="U39" s="54">
        <v>0</v>
      </c>
      <c r="V39" s="60">
        <v>0</v>
      </c>
      <c r="W39" s="60">
        <v>0</v>
      </c>
      <c r="X39" s="60">
        <v>0</v>
      </c>
      <c r="Y39" s="60">
        <v>0</v>
      </c>
      <c r="Z39" s="60">
        <v>0</v>
      </c>
      <c r="AA39" s="60">
        <f t="shared" si="14"/>
        <v>0</v>
      </c>
      <c r="AB39" s="60">
        <v>0</v>
      </c>
      <c r="AC39" s="43">
        <v>0</v>
      </c>
      <c r="AD39" s="60">
        <v>0</v>
      </c>
      <c r="AE39" s="60"/>
      <c r="AF39" s="60"/>
      <c r="AG39" s="60"/>
      <c r="AH39" s="60">
        <f t="shared" si="17"/>
        <v>28762</v>
      </c>
      <c r="AI39" s="60"/>
      <c r="AJ39" s="60">
        <f>AH39-G39</f>
        <v>28762</v>
      </c>
      <c r="AK39" s="7"/>
      <c r="AL39" s="64">
        <v>0</v>
      </c>
      <c r="AM39" s="64">
        <v>0</v>
      </c>
      <c r="AN39" s="64">
        <v>0</v>
      </c>
      <c r="AO39" s="64">
        <v>0</v>
      </c>
      <c r="AP39" s="64">
        <v>0</v>
      </c>
      <c r="AQ39" s="64">
        <f t="shared" si="15"/>
        <v>0</v>
      </c>
      <c r="AR39" s="59">
        <f t="shared" si="6"/>
        <v>0</v>
      </c>
      <c r="AS39" s="59">
        <f t="shared" si="7"/>
        <v>0</v>
      </c>
      <c r="AT39" s="141">
        <f t="shared" si="8"/>
        <v>0</v>
      </c>
      <c r="AU39" s="141">
        <f t="shared" si="9"/>
        <v>0</v>
      </c>
    </row>
    <row r="40" spans="1:47">
      <c r="A40" s="28" t="s">
        <v>111</v>
      </c>
      <c r="B40" s="27" t="s">
        <v>112</v>
      </c>
      <c r="C40" s="27" t="s">
        <v>99</v>
      </c>
      <c r="D40" s="27" t="s">
        <v>99</v>
      </c>
      <c r="E40" s="27"/>
      <c r="F40" s="112">
        <v>200495</v>
      </c>
      <c r="G40" s="112">
        <v>0</v>
      </c>
      <c r="H40" s="112">
        <v>0</v>
      </c>
      <c r="I40" s="124">
        <v>40</v>
      </c>
      <c r="J40" s="124">
        <v>0</v>
      </c>
      <c r="K40" s="124">
        <v>16</v>
      </c>
      <c r="L40" s="124">
        <v>0</v>
      </c>
      <c r="M40" s="124">
        <v>0</v>
      </c>
      <c r="N40" s="44">
        <f t="shared" si="13"/>
        <v>56</v>
      </c>
      <c r="O40" s="44">
        <v>706400</v>
      </c>
      <c r="P40" s="125">
        <f t="shared" si="1"/>
        <v>706400</v>
      </c>
      <c r="Q40" s="44"/>
      <c r="R40" s="44">
        <f t="shared" si="16"/>
        <v>706400</v>
      </c>
      <c r="S40" s="54">
        <v>26759.9122807018</v>
      </c>
      <c r="T40" s="54">
        <v>50</v>
      </c>
      <c r="U40" s="54">
        <v>0</v>
      </c>
      <c r="V40" s="60">
        <v>45</v>
      </c>
      <c r="W40" s="60">
        <v>0</v>
      </c>
      <c r="X40" s="60">
        <v>16</v>
      </c>
      <c r="Y40" s="60">
        <v>0</v>
      </c>
      <c r="Z40" s="60">
        <v>0</v>
      </c>
      <c r="AA40" s="60">
        <f t="shared" si="14"/>
        <v>61</v>
      </c>
      <c r="AB40" s="60">
        <v>828450</v>
      </c>
      <c r="AC40" s="43">
        <v>0</v>
      </c>
      <c r="AD40" s="60">
        <v>138000</v>
      </c>
      <c r="AE40" s="60"/>
      <c r="AF40" s="60"/>
      <c r="AG40" s="60"/>
      <c r="AH40" s="60">
        <f t="shared" si="17"/>
        <v>890945</v>
      </c>
      <c r="AI40" s="60">
        <f>AH40-AQ40-H40</f>
        <v>854709.912280702</v>
      </c>
      <c r="AJ40" s="60">
        <f>AH40-G40</f>
        <v>890945</v>
      </c>
      <c r="AK40" s="7"/>
      <c r="AL40" s="64">
        <v>0</v>
      </c>
      <c r="AM40" s="64">
        <v>800</v>
      </c>
      <c r="AN40" s="64">
        <v>25400</v>
      </c>
      <c r="AO40" s="64">
        <v>0</v>
      </c>
      <c r="AP40" s="64">
        <v>10035.0877192982</v>
      </c>
      <c r="AQ40" s="64">
        <f t="shared" si="15"/>
        <v>36235.0877192982</v>
      </c>
      <c r="AR40" s="59">
        <f t="shared" si="6"/>
        <v>-5</v>
      </c>
      <c r="AS40" s="59">
        <f t="shared" si="7"/>
        <v>0</v>
      </c>
      <c r="AT40" s="141">
        <f t="shared" si="8"/>
        <v>-0.384615384615385</v>
      </c>
      <c r="AU40" s="141">
        <f t="shared" si="9"/>
        <v>0</v>
      </c>
    </row>
    <row r="41" spans="1:47">
      <c r="A41" s="118" t="s">
        <v>113</v>
      </c>
      <c r="B41" s="99" t="s">
        <v>114</v>
      </c>
      <c r="C41" s="27" t="s">
        <v>99</v>
      </c>
      <c r="D41" s="27" t="s">
        <v>99</v>
      </c>
      <c r="E41" s="99"/>
      <c r="F41" s="112">
        <v>887270</v>
      </c>
      <c r="G41" s="117">
        <v>0</v>
      </c>
      <c r="H41" s="117">
        <v>0</v>
      </c>
      <c r="I41" s="124">
        <v>80</v>
      </c>
      <c r="J41" s="124">
        <v>0</v>
      </c>
      <c r="K41" s="124">
        <v>70</v>
      </c>
      <c r="L41" s="124">
        <v>0</v>
      </c>
      <c r="M41" s="124">
        <v>0</v>
      </c>
      <c r="N41" s="44">
        <f t="shared" si="13"/>
        <v>150</v>
      </c>
      <c r="O41" s="44">
        <v>1820000</v>
      </c>
      <c r="P41" s="125">
        <f t="shared" si="1"/>
        <v>1820000</v>
      </c>
      <c r="Q41" s="44"/>
      <c r="R41" s="44">
        <f t="shared" si="16"/>
        <v>1820000</v>
      </c>
      <c r="S41" s="54">
        <v>795210.711794872</v>
      </c>
      <c r="T41" s="54">
        <v>100</v>
      </c>
      <c r="U41" s="54">
        <v>50</v>
      </c>
      <c r="V41" s="60">
        <v>44</v>
      </c>
      <c r="W41" s="60">
        <v>0</v>
      </c>
      <c r="X41" s="60">
        <v>40</v>
      </c>
      <c r="Y41" s="60">
        <v>0</v>
      </c>
      <c r="Z41" s="60">
        <v>0</v>
      </c>
      <c r="AA41" s="60">
        <f t="shared" si="14"/>
        <v>84</v>
      </c>
      <c r="AB41" s="60">
        <v>1095000</v>
      </c>
      <c r="AC41" s="43">
        <v>700000</v>
      </c>
      <c r="AD41" s="60">
        <v>82592</v>
      </c>
      <c r="AE41" s="60"/>
      <c r="AF41" s="60"/>
      <c r="AG41" s="60"/>
      <c r="AH41" s="60">
        <f t="shared" si="17"/>
        <v>1199678</v>
      </c>
      <c r="AI41" s="60">
        <f>AH41-AQ41-H41</f>
        <v>1107618.71179487</v>
      </c>
      <c r="AJ41" s="60">
        <f>AH41-G41</f>
        <v>1199678</v>
      </c>
      <c r="AK41" s="137" t="e">
        <f>#REF!-#REF!</f>
        <v>#REF!</v>
      </c>
      <c r="AL41" s="64">
        <v>6000</v>
      </c>
      <c r="AM41" s="64">
        <v>0</v>
      </c>
      <c r="AN41" s="64">
        <v>57854.16</v>
      </c>
      <c r="AO41" s="64">
        <v>2564.10256410256</v>
      </c>
      <c r="AP41" s="64">
        <v>25641.0256410256</v>
      </c>
      <c r="AQ41" s="64">
        <f t="shared" si="15"/>
        <v>92059.2882051282</v>
      </c>
      <c r="AR41" s="59">
        <f t="shared" si="6"/>
        <v>36</v>
      </c>
      <c r="AS41" s="59">
        <f t="shared" si="7"/>
        <v>30</v>
      </c>
      <c r="AT41" s="141">
        <f t="shared" si="8"/>
        <v>2.76923076923077</v>
      </c>
      <c r="AU41" s="141">
        <f t="shared" si="9"/>
        <v>2.30769230769231</v>
      </c>
    </row>
    <row r="42" s="107" customFormat="1" spans="1:47">
      <c r="A42" s="28" t="s">
        <v>115</v>
      </c>
      <c r="B42" s="27" t="s">
        <v>116</v>
      </c>
      <c r="C42" s="27" t="s">
        <v>99</v>
      </c>
      <c r="D42" s="27" t="s">
        <v>99</v>
      </c>
      <c r="E42" s="27"/>
      <c r="F42" s="112">
        <v>702817</v>
      </c>
      <c r="G42" s="112">
        <v>0</v>
      </c>
      <c r="H42" s="112">
        <v>205500</v>
      </c>
      <c r="I42" s="124">
        <v>75</v>
      </c>
      <c r="J42" s="124">
        <v>0</v>
      </c>
      <c r="K42" s="124">
        <v>0</v>
      </c>
      <c r="L42" s="124">
        <v>0</v>
      </c>
      <c r="M42" s="124">
        <v>0</v>
      </c>
      <c r="N42" s="44">
        <f t="shared" si="13"/>
        <v>75</v>
      </c>
      <c r="O42" s="44">
        <v>997500</v>
      </c>
      <c r="P42" s="125">
        <f t="shared" si="1"/>
        <v>997500</v>
      </c>
      <c r="Q42" s="44"/>
      <c r="R42" s="44">
        <f t="shared" si="16"/>
        <v>997500</v>
      </c>
      <c r="S42" s="54">
        <v>0</v>
      </c>
      <c r="T42" s="54">
        <v>75</v>
      </c>
      <c r="U42" s="54">
        <v>0</v>
      </c>
      <c r="V42" s="60">
        <v>25</v>
      </c>
      <c r="W42" s="60">
        <v>0</v>
      </c>
      <c r="X42" s="60">
        <v>0</v>
      </c>
      <c r="Y42" s="60">
        <v>0</v>
      </c>
      <c r="Z42" s="60">
        <v>0</v>
      </c>
      <c r="AA42" s="60">
        <f t="shared" si="14"/>
        <v>25</v>
      </c>
      <c r="AB42" s="60">
        <v>356250</v>
      </c>
      <c r="AC42" s="43">
        <v>0</v>
      </c>
      <c r="AD42" s="60">
        <v>0</v>
      </c>
      <c r="AE42" s="60"/>
      <c r="AF42" s="60"/>
      <c r="AG42" s="60"/>
      <c r="AH42" s="60">
        <f t="shared" si="17"/>
        <v>1059067</v>
      </c>
      <c r="AI42" s="60">
        <f>AH42-AQ42-H42</f>
        <v>801467</v>
      </c>
      <c r="AJ42" s="60">
        <f>AH42-G42</f>
        <v>1059067</v>
      </c>
      <c r="AK42" s="138"/>
      <c r="AL42" s="64">
        <v>5300</v>
      </c>
      <c r="AM42" s="64">
        <v>0</v>
      </c>
      <c r="AN42" s="64">
        <v>46800</v>
      </c>
      <c r="AO42" s="64">
        <v>0</v>
      </c>
      <c r="AP42" s="64">
        <v>0</v>
      </c>
      <c r="AQ42" s="64">
        <f t="shared" si="15"/>
        <v>52100</v>
      </c>
      <c r="AR42" s="59">
        <f t="shared" si="6"/>
        <v>50</v>
      </c>
      <c r="AS42" s="59">
        <f t="shared" si="7"/>
        <v>0</v>
      </c>
      <c r="AT42" s="141">
        <f t="shared" si="8"/>
        <v>3.84615384615385</v>
      </c>
      <c r="AU42" s="141">
        <f t="shared" si="9"/>
        <v>0</v>
      </c>
    </row>
    <row r="43" s="107" customFormat="1" spans="1:47">
      <c r="A43" s="28" t="s">
        <v>117</v>
      </c>
      <c r="B43" s="174" t="s">
        <v>118</v>
      </c>
      <c r="C43" s="27" t="s">
        <v>1</v>
      </c>
      <c r="D43" s="27" t="s">
        <v>99</v>
      </c>
      <c r="E43" s="99"/>
      <c r="F43" s="112">
        <v>11756</v>
      </c>
      <c r="G43" s="117"/>
      <c r="H43" s="117"/>
      <c r="I43" s="124">
        <v>60</v>
      </c>
      <c r="J43" s="124">
        <v>0</v>
      </c>
      <c r="K43" s="124">
        <v>0</v>
      </c>
      <c r="L43" s="124">
        <v>0</v>
      </c>
      <c r="M43" s="124">
        <v>0</v>
      </c>
      <c r="N43" s="44">
        <f t="shared" si="13"/>
        <v>60</v>
      </c>
      <c r="O43" s="44">
        <v>798000</v>
      </c>
      <c r="P43" s="125">
        <f t="shared" si="1"/>
        <v>798000</v>
      </c>
      <c r="Q43" s="44"/>
      <c r="R43" s="44"/>
      <c r="S43" s="54">
        <v>0</v>
      </c>
      <c r="T43" s="54">
        <v>0</v>
      </c>
      <c r="U43" s="54">
        <v>0</v>
      </c>
      <c r="V43" s="60">
        <v>50</v>
      </c>
      <c r="W43" s="60">
        <v>0</v>
      </c>
      <c r="X43" s="60">
        <v>0</v>
      </c>
      <c r="Y43" s="60">
        <v>0</v>
      </c>
      <c r="Z43" s="60">
        <v>0</v>
      </c>
      <c r="AA43" s="60">
        <f t="shared" si="14"/>
        <v>50</v>
      </c>
      <c r="AB43" s="60">
        <v>667000</v>
      </c>
      <c r="AC43" s="43">
        <v>110000</v>
      </c>
      <c r="AD43" s="60">
        <v>0</v>
      </c>
      <c r="AE43" s="60"/>
      <c r="AF43" s="60"/>
      <c r="AG43" s="60"/>
      <c r="AH43" s="60">
        <f t="shared" si="17"/>
        <v>568756</v>
      </c>
      <c r="AI43" s="60">
        <f>AH43-AQ43-H43</f>
        <v>557074.771929825</v>
      </c>
      <c r="AJ43" s="60">
        <f>AH43-G43</f>
        <v>568756</v>
      </c>
      <c r="AK43" s="138"/>
      <c r="AL43" s="64">
        <v>0</v>
      </c>
      <c r="AM43" s="64">
        <v>0</v>
      </c>
      <c r="AN43" s="64">
        <v>0</v>
      </c>
      <c r="AO43" s="64">
        <v>0</v>
      </c>
      <c r="AP43" s="64">
        <v>11681.2280701754</v>
      </c>
      <c r="AQ43" s="64">
        <f t="shared" si="15"/>
        <v>11681.2280701754</v>
      </c>
      <c r="AR43" s="59">
        <f t="shared" si="6"/>
        <v>10</v>
      </c>
      <c r="AS43" s="59">
        <f t="shared" si="7"/>
        <v>0</v>
      </c>
      <c r="AT43" s="141">
        <f t="shared" si="8"/>
        <v>0.769230769230769</v>
      </c>
      <c r="AU43" s="141">
        <f t="shared" si="9"/>
        <v>0</v>
      </c>
    </row>
    <row r="44" s="107" customFormat="1" spans="1:47">
      <c r="A44" s="28" t="s">
        <v>119</v>
      </c>
      <c r="B44" s="27" t="s">
        <v>120</v>
      </c>
      <c r="C44" s="27" t="s">
        <v>1</v>
      </c>
      <c r="D44" s="27">
        <v>0</v>
      </c>
      <c r="E44" s="27"/>
      <c r="F44" s="112">
        <v>0</v>
      </c>
      <c r="G44" s="112"/>
      <c r="H44" s="112"/>
      <c r="I44" s="124">
        <v>0</v>
      </c>
      <c r="J44" s="124">
        <v>0</v>
      </c>
      <c r="K44" s="124">
        <v>0</v>
      </c>
      <c r="L44" s="124">
        <v>0</v>
      </c>
      <c r="M44" s="124">
        <v>0</v>
      </c>
      <c r="N44" s="44">
        <f t="shared" si="13"/>
        <v>0</v>
      </c>
      <c r="O44" s="44">
        <v>0</v>
      </c>
      <c r="P44" s="125">
        <f t="shared" si="1"/>
        <v>0</v>
      </c>
      <c r="Q44" s="44"/>
      <c r="R44" s="44">
        <f>P44+Q44</f>
        <v>0</v>
      </c>
      <c r="S44" s="54">
        <v>0</v>
      </c>
      <c r="T44" s="54">
        <v>0</v>
      </c>
      <c r="U44" s="54">
        <v>0</v>
      </c>
      <c r="V44" s="60">
        <v>0</v>
      </c>
      <c r="W44" s="60">
        <v>0</v>
      </c>
      <c r="X44" s="60">
        <v>0</v>
      </c>
      <c r="Y44" s="60">
        <v>0</v>
      </c>
      <c r="Z44" s="60">
        <v>0</v>
      </c>
      <c r="AA44" s="60">
        <f t="shared" si="14"/>
        <v>0</v>
      </c>
      <c r="AB44" s="60">
        <v>0</v>
      </c>
      <c r="AC44" s="43">
        <v>0</v>
      </c>
      <c r="AD44" s="60">
        <v>0</v>
      </c>
      <c r="AE44" s="60"/>
      <c r="AF44" s="60"/>
      <c r="AG44" s="60"/>
      <c r="AH44" s="60">
        <f t="shared" si="17"/>
        <v>0</v>
      </c>
      <c r="AI44" s="60"/>
      <c r="AJ44" s="60"/>
      <c r="AK44" s="7"/>
      <c r="AL44" s="64">
        <v>0</v>
      </c>
      <c r="AM44" s="64">
        <v>0</v>
      </c>
      <c r="AN44" s="64">
        <v>0</v>
      </c>
      <c r="AO44" s="64">
        <v>0</v>
      </c>
      <c r="AP44" s="64">
        <v>0</v>
      </c>
      <c r="AQ44" s="64">
        <f t="shared" si="15"/>
        <v>0</v>
      </c>
      <c r="AR44" s="59">
        <f t="shared" si="6"/>
        <v>0</v>
      </c>
      <c r="AS44" s="59">
        <f t="shared" si="7"/>
        <v>0</v>
      </c>
      <c r="AT44" s="141">
        <f t="shared" si="8"/>
        <v>0</v>
      </c>
      <c r="AU44" s="141">
        <f t="shared" si="9"/>
        <v>0</v>
      </c>
    </row>
    <row r="45" s="107" customFormat="1" spans="1:47">
      <c r="A45" s="28" t="s">
        <v>121</v>
      </c>
      <c r="B45" s="27" t="s">
        <v>122</v>
      </c>
      <c r="C45" s="27" t="s">
        <v>99</v>
      </c>
      <c r="D45" s="27" t="s">
        <v>99</v>
      </c>
      <c r="E45" s="27"/>
      <c r="F45" s="112">
        <v>-656537</v>
      </c>
      <c r="G45" s="112">
        <v>0</v>
      </c>
      <c r="H45" s="112">
        <v>750000</v>
      </c>
      <c r="I45" s="124">
        <v>0</v>
      </c>
      <c r="J45" s="124">
        <v>0</v>
      </c>
      <c r="K45" s="124">
        <v>0</v>
      </c>
      <c r="L45" s="124">
        <v>0</v>
      </c>
      <c r="M45" s="124">
        <v>0</v>
      </c>
      <c r="N45" s="44">
        <f t="shared" si="13"/>
        <v>0</v>
      </c>
      <c r="O45" s="44">
        <v>0</v>
      </c>
      <c r="P45" s="125">
        <f t="shared" si="1"/>
        <v>0</v>
      </c>
      <c r="Q45" s="44"/>
      <c r="R45" s="44">
        <f>P45+Q45</f>
        <v>0</v>
      </c>
      <c r="S45" s="54">
        <v>0</v>
      </c>
      <c r="T45" s="54">
        <v>0</v>
      </c>
      <c r="U45" s="54">
        <v>0</v>
      </c>
      <c r="V45" s="60">
        <v>10</v>
      </c>
      <c r="W45" s="60">
        <v>0</v>
      </c>
      <c r="X45" s="60">
        <v>0</v>
      </c>
      <c r="Y45" s="60">
        <v>0</v>
      </c>
      <c r="Z45" s="60">
        <v>0</v>
      </c>
      <c r="AA45" s="60">
        <f t="shared" si="14"/>
        <v>10</v>
      </c>
      <c r="AB45" s="60">
        <v>142500</v>
      </c>
      <c r="AC45" s="43">
        <v>0</v>
      </c>
      <c r="AD45" s="60">
        <v>0</v>
      </c>
      <c r="AE45" s="60"/>
      <c r="AF45" s="60"/>
      <c r="AG45" s="60"/>
      <c r="AH45" s="60">
        <f t="shared" si="17"/>
        <v>-514037</v>
      </c>
      <c r="AI45" s="60"/>
      <c r="AJ45" s="60">
        <f>AH45-G45</f>
        <v>-514037</v>
      </c>
      <c r="AK45" s="139"/>
      <c r="AL45" s="64">
        <v>18000</v>
      </c>
      <c r="AM45" s="64">
        <v>81000</v>
      </c>
      <c r="AN45" s="64">
        <v>27200</v>
      </c>
      <c r="AO45" s="64">
        <v>0</v>
      </c>
      <c r="AP45" s="64">
        <v>0</v>
      </c>
      <c r="AQ45" s="64">
        <f t="shared" si="15"/>
        <v>126200</v>
      </c>
      <c r="AR45" s="59">
        <f t="shared" si="6"/>
        <v>-10</v>
      </c>
      <c r="AS45" s="59">
        <f t="shared" si="7"/>
        <v>0</v>
      </c>
      <c r="AT45" s="141">
        <f t="shared" si="8"/>
        <v>-0.769230769230769</v>
      </c>
      <c r="AU45" s="141">
        <f t="shared" si="9"/>
        <v>0</v>
      </c>
    </row>
    <row r="46" s="107" customFormat="1" spans="1:47">
      <c r="A46" s="28" t="s">
        <v>123</v>
      </c>
      <c r="B46" s="27" t="s">
        <v>124</v>
      </c>
      <c r="C46" s="27"/>
      <c r="D46" s="27"/>
      <c r="E46" s="27"/>
      <c r="F46" s="112">
        <v>275000</v>
      </c>
      <c r="G46" s="112"/>
      <c r="H46" s="112"/>
      <c r="I46" s="124">
        <v>200</v>
      </c>
      <c r="J46" s="124">
        <v>0</v>
      </c>
      <c r="K46" s="124">
        <v>0</v>
      </c>
      <c r="L46" s="124">
        <v>0</v>
      </c>
      <c r="M46" s="124">
        <v>0</v>
      </c>
      <c r="N46" s="44"/>
      <c r="O46" s="44">
        <v>980000</v>
      </c>
      <c r="P46" s="125">
        <f t="shared" si="1"/>
        <v>980000</v>
      </c>
      <c r="Q46" s="44"/>
      <c r="R46" s="44"/>
      <c r="S46" s="54">
        <v>275000</v>
      </c>
      <c r="T46" s="54">
        <v>0</v>
      </c>
      <c r="U46" s="54">
        <v>0</v>
      </c>
      <c r="V46" s="60">
        <v>50</v>
      </c>
      <c r="W46" s="60">
        <v>0</v>
      </c>
      <c r="X46" s="60">
        <v>0</v>
      </c>
      <c r="Y46" s="60">
        <v>0</v>
      </c>
      <c r="Z46" s="60">
        <v>0</v>
      </c>
      <c r="AA46" s="60">
        <f t="shared" si="14"/>
        <v>50</v>
      </c>
      <c r="AB46" s="60">
        <v>275000</v>
      </c>
      <c r="AC46" s="43">
        <v>275000</v>
      </c>
      <c r="AD46" s="60">
        <v>0</v>
      </c>
      <c r="AE46" s="60"/>
      <c r="AF46" s="60"/>
      <c r="AG46" s="60"/>
      <c r="AH46" s="60"/>
      <c r="AI46" s="60">
        <f>AH46-AQ46-H46</f>
        <v>0</v>
      </c>
      <c r="AJ46" s="60"/>
      <c r="AK46" s="139"/>
      <c r="AL46" s="64"/>
      <c r="AM46" s="64"/>
      <c r="AN46" s="64"/>
      <c r="AO46" s="64"/>
      <c r="AP46" s="64"/>
      <c r="AQ46" s="64"/>
      <c r="AR46" s="59">
        <f t="shared" si="6"/>
        <v>150</v>
      </c>
      <c r="AS46" s="59">
        <f t="shared" si="7"/>
        <v>0</v>
      </c>
      <c r="AT46" s="141">
        <f t="shared" si="8"/>
        <v>11.5384615384615</v>
      </c>
      <c r="AU46" s="141">
        <f t="shared" si="9"/>
        <v>0</v>
      </c>
    </row>
    <row r="47" s="107" customFormat="1" spans="1:47">
      <c r="A47" s="113" t="s">
        <v>125</v>
      </c>
      <c r="B47" s="27" t="s">
        <v>126</v>
      </c>
      <c r="C47" s="27" t="s">
        <v>52</v>
      </c>
      <c r="D47" s="27" t="s">
        <v>52</v>
      </c>
      <c r="E47" s="27"/>
      <c r="F47" s="112">
        <v>27575559.65</v>
      </c>
      <c r="G47" s="112">
        <v>16000000</v>
      </c>
      <c r="H47" s="112">
        <v>22000000</v>
      </c>
      <c r="I47" s="124">
        <v>800</v>
      </c>
      <c r="J47" s="124">
        <v>0</v>
      </c>
      <c r="K47" s="124">
        <v>400</v>
      </c>
      <c r="L47" s="124">
        <v>0</v>
      </c>
      <c r="M47" s="124">
        <v>0</v>
      </c>
      <c r="N47" s="44">
        <f t="shared" ref="N47:N53" si="18">SUM(I47:M47)</f>
        <v>1200</v>
      </c>
      <c r="O47" s="44">
        <v>14960000</v>
      </c>
      <c r="P47" s="125">
        <f t="shared" si="1"/>
        <v>14960000</v>
      </c>
      <c r="Q47" s="44"/>
      <c r="R47" s="44">
        <f>P47+Q47</f>
        <v>14960000</v>
      </c>
      <c r="S47" s="54">
        <v>4500000</v>
      </c>
      <c r="T47" s="54">
        <v>700</v>
      </c>
      <c r="U47" s="54">
        <v>300</v>
      </c>
      <c r="V47" s="60">
        <v>565</v>
      </c>
      <c r="W47" s="60">
        <v>0</v>
      </c>
      <c r="X47" s="60">
        <v>225</v>
      </c>
      <c r="Y47" s="60">
        <v>0</v>
      </c>
      <c r="Z47" s="60">
        <v>0</v>
      </c>
      <c r="AA47" s="60">
        <f t="shared" si="14"/>
        <v>790</v>
      </c>
      <c r="AB47" s="60">
        <v>10683750</v>
      </c>
      <c r="AC47" s="43">
        <v>3450000</v>
      </c>
      <c r="AD47" s="60">
        <v>207000</v>
      </c>
      <c r="AE47" s="60"/>
      <c r="AF47" s="60"/>
      <c r="AG47" s="60"/>
      <c r="AH47" s="60">
        <f t="shared" ref="AH47:AH53" si="19">F47+AB47-AC47-AE47-AD47-AF47-AG47</f>
        <v>34602309.65</v>
      </c>
      <c r="AI47" s="60">
        <f>AH47-AQ47-H47</f>
        <v>11450275.4394737</v>
      </c>
      <c r="AJ47" s="60">
        <f>AH47-G47</f>
        <v>18602309.65</v>
      </c>
      <c r="AK47" s="136" t="e">
        <f>#REF!-#REF!</f>
        <v>#REF!</v>
      </c>
      <c r="AL47" s="64">
        <v>342950</v>
      </c>
      <c r="AM47" s="64">
        <v>374500</v>
      </c>
      <c r="AN47" s="64">
        <v>240900</v>
      </c>
      <c r="AO47" s="64">
        <v>54736.8421052632</v>
      </c>
      <c r="AP47" s="64">
        <v>138947.368421053</v>
      </c>
      <c r="AQ47" s="64">
        <f t="shared" ref="AQ47:AQ53" si="20">AL47+AM47+AN47+AO47+AP47</f>
        <v>1152034.21052632</v>
      </c>
      <c r="AR47" s="59">
        <f t="shared" si="6"/>
        <v>235</v>
      </c>
      <c r="AS47" s="59">
        <f t="shared" si="7"/>
        <v>175</v>
      </c>
      <c r="AT47" s="141">
        <f t="shared" si="8"/>
        <v>18.0769230769231</v>
      </c>
      <c r="AU47" s="141">
        <f t="shared" si="9"/>
        <v>13.4615384615385</v>
      </c>
    </row>
    <row r="48" spans="1:47">
      <c r="A48" s="28" t="s">
        <v>127</v>
      </c>
      <c r="B48" s="27" t="s">
        <v>128</v>
      </c>
      <c r="C48" s="27" t="s">
        <v>52</v>
      </c>
      <c r="D48" s="27" t="s">
        <v>52</v>
      </c>
      <c r="E48" s="27" t="s">
        <v>129</v>
      </c>
      <c r="F48" s="112">
        <v>6132213</v>
      </c>
      <c r="G48" s="112">
        <v>2000000</v>
      </c>
      <c r="H48" s="112">
        <v>3000000</v>
      </c>
      <c r="I48" s="124">
        <v>250</v>
      </c>
      <c r="J48" s="124">
        <v>0</v>
      </c>
      <c r="K48" s="124">
        <v>100</v>
      </c>
      <c r="L48" s="124">
        <v>0</v>
      </c>
      <c r="M48" s="124">
        <v>0</v>
      </c>
      <c r="N48" s="44">
        <f t="shared" si="18"/>
        <v>350</v>
      </c>
      <c r="O48" s="44">
        <v>4405000</v>
      </c>
      <c r="P48" s="125">
        <f t="shared" si="1"/>
        <v>4405000</v>
      </c>
      <c r="Q48" s="44"/>
      <c r="R48" s="44">
        <f>P48+Q48</f>
        <v>4405000</v>
      </c>
      <c r="S48" s="54">
        <v>2000000</v>
      </c>
      <c r="T48" s="54">
        <v>230</v>
      </c>
      <c r="U48" s="54">
        <v>70</v>
      </c>
      <c r="V48" s="60">
        <v>108</v>
      </c>
      <c r="W48" s="60">
        <v>0</v>
      </c>
      <c r="X48" s="60">
        <v>20</v>
      </c>
      <c r="Y48" s="60">
        <v>0</v>
      </c>
      <c r="Z48" s="60">
        <v>0</v>
      </c>
      <c r="AA48" s="60">
        <f t="shared" si="14"/>
        <v>128</v>
      </c>
      <c r="AB48" s="60">
        <v>1773000</v>
      </c>
      <c r="AC48" s="43">
        <v>1550000</v>
      </c>
      <c r="AD48" s="60">
        <v>0</v>
      </c>
      <c r="AE48" s="60"/>
      <c r="AF48" s="60"/>
      <c r="AG48" s="60"/>
      <c r="AH48" s="60">
        <f t="shared" si="19"/>
        <v>6355213</v>
      </c>
      <c r="AI48" s="60">
        <f>AH48-AQ48-H48</f>
        <v>2798829.54385965</v>
      </c>
      <c r="AJ48" s="60">
        <f t="shared" ref="AJ48:AJ52" si="21">AH48-G48</f>
        <v>4355213</v>
      </c>
      <c r="AK48" s="7"/>
      <c r="AL48" s="64">
        <v>149751</v>
      </c>
      <c r="AM48" s="64">
        <v>147400</v>
      </c>
      <c r="AN48" s="64">
        <v>186250</v>
      </c>
      <c r="AO48" s="64">
        <v>18947.3684210526</v>
      </c>
      <c r="AP48" s="64">
        <v>54035.0877192983</v>
      </c>
      <c r="AQ48" s="64">
        <f t="shared" si="20"/>
        <v>556383.456140351</v>
      </c>
      <c r="AR48" s="59">
        <f t="shared" si="6"/>
        <v>142</v>
      </c>
      <c r="AS48" s="59">
        <f t="shared" si="7"/>
        <v>80</v>
      </c>
      <c r="AT48" s="141">
        <f t="shared" si="8"/>
        <v>10.9230769230769</v>
      </c>
      <c r="AU48" s="141">
        <f t="shared" si="9"/>
        <v>6.15384615384615</v>
      </c>
    </row>
    <row r="49" spans="1:47">
      <c r="A49" s="28" t="s">
        <v>130</v>
      </c>
      <c r="B49" s="99" t="s">
        <v>131</v>
      </c>
      <c r="C49" s="27" t="s">
        <v>99</v>
      </c>
      <c r="D49" s="27" t="s">
        <v>99</v>
      </c>
      <c r="E49" s="99"/>
      <c r="F49" s="112">
        <v>87632</v>
      </c>
      <c r="G49" s="117">
        <v>0</v>
      </c>
      <c r="H49" s="117">
        <v>0</v>
      </c>
      <c r="I49" s="124">
        <v>30</v>
      </c>
      <c r="J49" s="124">
        <v>0</v>
      </c>
      <c r="K49" s="124">
        <v>8</v>
      </c>
      <c r="L49" s="124">
        <v>0</v>
      </c>
      <c r="M49" s="124">
        <v>0</v>
      </c>
      <c r="N49" s="44">
        <f t="shared" si="18"/>
        <v>38</v>
      </c>
      <c r="O49" s="44">
        <v>485400</v>
      </c>
      <c r="P49" s="125">
        <f t="shared" si="1"/>
        <v>485400</v>
      </c>
      <c r="Q49" s="44"/>
      <c r="R49" s="44">
        <f>P49+Q49</f>
        <v>485400</v>
      </c>
      <c r="S49" s="54">
        <v>0</v>
      </c>
      <c r="T49" s="54">
        <v>0</v>
      </c>
      <c r="U49" s="54">
        <v>0</v>
      </c>
      <c r="V49" s="60">
        <v>0</v>
      </c>
      <c r="W49" s="60">
        <v>0</v>
      </c>
      <c r="X49" s="60">
        <v>8</v>
      </c>
      <c r="Y49" s="60">
        <v>0</v>
      </c>
      <c r="Z49" s="60">
        <v>0</v>
      </c>
      <c r="AA49" s="60">
        <f t="shared" si="14"/>
        <v>8</v>
      </c>
      <c r="AB49" s="60">
        <v>87200</v>
      </c>
      <c r="AC49" s="43">
        <v>0</v>
      </c>
      <c r="AD49" s="60">
        <v>0</v>
      </c>
      <c r="AE49" s="60"/>
      <c r="AF49" s="60"/>
      <c r="AG49" s="60"/>
      <c r="AH49" s="60">
        <f t="shared" si="19"/>
        <v>174832</v>
      </c>
      <c r="AI49" s="60"/>
      <c r="AJ49" s="60">
        <f t="shared" si="21"/>
        <v>174832</v>
      </c>
      <c r="AK49" s="138"/>
      <c r="AL49" s="64">
        <v>2100</v>
      </c>
      <c r="AM49" s="64">
        <v>0</v>
      </c>
      <c r="AN49" s="64">
        <v>0</v>
      </c>
      <c r="AO49" s="64">
        <v>0</v>
      </c>
      <c r="AP49" s="64">
        <v>0</v>
      </c>
      <c r="AQ49" s="64">
        <f t="shared" si="20"/>
        <v>2100</v>
      </c>
      <c r="AR49" s="59">
        <f t="shared" si="6"/>
        <v>30</v>
      </c>
      <c r="AS49" s="59">
        <f t="shared" si="7"/>
        <v>0</v>
      </c>
      <c r="AT49" s="141">
        <f t="shared" si="8"/>
        <v>2.30769230769231</v>
      </c>
      <c r="AU49" s="141">
        <f t="shared" si="9"/>
        <v>0</v>
      </c>
    </row>
    <row r="50" spans="1:47">
      <c r="A50" s="28" t="s">
        <v>132</v>
      </c>
      <c r="B50" s="99" t="s">
        <v>133</v>
      </c>
      <c r="C50" s="27" t="s">
        <v>99</v>
      </c>
      <c r="D50" s="27" t="s">
        <v>99</v>
      </c>
      <c r="E50" s="99"/>
      <c r="F50" s="112">
        <v>852827</v>
      </c>
      <c r="G50" s="117">
        <v>0</v>
      </c>
      <c r="H50" s="117">
        <v>0</v>
      </c>
      <c r="I50" s="124">
        <v>110</v>
      </c>
      <c r="J50" s="124">
        <v>0</v>
      </c>
      <c r="K50" s="124">
        <v>40</v>
      </c>
      <c r="L50" s="124">
        <v>10</v>
      </c>
      <c r="M50" s="124">
        <v>0</v>
      </c>
      <c r="N50" s="44">
        <f t="shared" si="18"/>
        <v>160</v>
      </c>
      <c r="O50" s="44">
        <v>2099000</v>
      </c>
      <c r="P50" s="125">
        <f t="shared" si="1"/>
        <v>2099000</v>
      </c>
      <c r="Q50" s="44"/>
      <c r="R50" s="44">
        <f>P50+Q50</f>
        <v>2099000</v>
      </c>
      <c r="S50" s="54">
        <v>226609.21</v>
      </c>
      <c r="T50" s="54">
        <v>110</v>
      </c>
      <c r="U50" s="54">
        <v>40</v>
      </c>
      <c r="V50" s="60">
        <v>45</v>
      </c>
      <c r="W50" s="60">
        <v>0</v>
      </c>
      <c r="X50" s="60">
        <v>7</v>
      </c>
      <c r="Y50" s="60">
        <v>10</v>
      </c>
      <c r="Z50" s="60">
        <v>0</v>
      </c>
      <c r="AA50" s="60">
        <f t="shared" si="14"/>
        <v>62</v>
      </c>
      <c r="AB50" s="60">
        <v>961170</v>
      </c>
      <c r="AC50" s="43">
        <v>0</v>
      </c>
      <c r="AD50" s="60">
        <v>0</v>
      </c>
      <c r="AE50" s="60"/>
      <c r="AF50" s="60"/>
      <c r="AG50" s="60"/>
      <c r="AH50" s="60">
        <f t="shared" si="19"/>
        <v>1813997</v>
      </c>
      <c r="AI50" s="60">
        <f>AH50-AQ50-H50</f>
        <v>1705897.21</v>
      </c>
      <c r="AJ50" s="60">
        <f t="shared" si="21"/>
        <v>1813997</v>
      </c>
      <c r="AK50" s="136" t="e">
        <f>#REF!-#REF!</f>
        <v>#REF!</v>
      </c>
      <c r="AL50" s="64">
        <v>15100</v>
      </c>
      <c r="AM50" s="64">
        <v>0</v>
      </c>
      <c r="AN50" s="64">
        <v>92999.79</v>
      </c>
      <c r="AO50" s="64">
        <v>0</v>
      </c>
      <c r="AP50" s="64">
        <v>0</v>
      </c>
      <c r="AQ50" s="64">
        <f t="shared" si="20"/>
        <v>108099.79</v>
      </c>
      <c r="AR50" s="59">
        <f t="shared" si="6"/>
        <v>65</v>
      </c>
      <c r="AS50" s="59">
        <f t="shared" si="7"/>
        <v>33</v>
      </c>
      <c r="AT50" s="141">
        <f t="shared" si="8"/>
        <v>5</v>
      </c>
      <c r="AU50" s="141">
        <f t="shared" si="9"/>
        <v>2.53846153846154</v>
      </c>
    </row>
    <row r="51" spans="1:47">
      <c r="A51" s="28" t="s">
        <v>134</v>
      </c>
      <c r="B51" s="174" t="s">
        <v>135</v>
      </c>
      <c r="C51" s="27">
        <v>0</v>
      </c>
      <c r="D51" s="27">
        <v>0</v>
      </c>
      <c r="E51" s="27"/>
      <c r="F51" s="112">
        <v>371460.52</v>
      </c>
      <c r="G51" s="112"/>
      <c r="H51" s="112"/>
      <c r="I51" s="124">
        <v>0</v>
      </c>
      <c r="J51" s="124">
        <v>0</v>
      </c>
      <c r="K51" s="124">
        <v>0</v>
      </c>
      <c r="L51" s="124">
        <v>0</v>
      </c>
      <c r="M51" s="124">
        <v>0</v>
      </c>
      <c r="N51" s="44">
        <f t="shared" si="18"/>
        <v>0</v>
      </c>
      <c r="O51" s="44">
        <v>0</v>
      </c>
      <c r="P51" s="125">
        <f t="shared" si="1"/>
        <v>0</v>
      </c>
      <c r="Q51" s="44"/>
      <c r="R51" s="44">
        <f>P51+Q51</f>
        <v>0</v>
      </c>
      <c r="S51" s="54">
        <v>0</v>
      </c>
      <c r="T51" s="54">
        <v>0</v>
      </c>
      <c r="U51" s="54">
        <v>0</v>
      </c>
      <c r="V51" s="60">
        <v>0</v>
      </c>
      <c r="W51" s="60">
        <v>0</v>
      </c>
      <c r="X51" s="60">
        <v>0</v>
      </c>
      <c r="Y51" s="60">
        <v>0</v>
      </c>
      <c r="Z51" s="60">
        <v>0</v>
      </c>
      <c r="AA51" s="60">
        <f t="shared" si="14"/>
        <v>0</v>
      </c>
      <c r="AB51" s="60">
        <v>0</v>
      </c>
      <c r="AC51" s="43">
        <v>0</v>
      </c>
      <c r="AD51" s="60">
        <v>0</v>
      </c>
      <c r="AE51" s="60"/>
      <c r="AF51" s="60"/>
      <c r="AG51" s="60"/>
      <c r="AH51" s="60">
        <f t="shared" si="19"/>
        <v>371460.52</v>
      </c>
      <c r="AI51" s="60"/>
      <c r="AJ51" s="60"/>
      <c r="AK51" s="7"/>
      <c r="AL51" s="64">
        <v>0</v>
      </c>
      <c r="AM51" s="64">
        <v>0</v>
      </c>
      <c r="AN51" s="64">
        <v>0</v>
      </c>
      <c r="AO51" s="64">
        <v>0</v>
      </c>
      <c r="AP51" s="64">
        <v>0</v>
      </c>
      <c r="AQ51" s="64">
        <f t="shared" si="20"/>
        <v>0</v>
      </c>
      <c r="AR51" s="59">
        <f t="shared" si="6"/>
        <v>0</v>
      </c>
      <c r="AS51" s="59">
        <f t="shared" si="7"/>
        <v>0</v>
      </c>
      <c r="AT51" s="141">
        <f t="shared" si="8"/>
        <v>0</v>
      </c>
      <c r="AU51" s="141">
        <f t="shared" si="9"/>
        <v>0</v>
      </c>
    </row>
    <row r="52" spans="1:47">
      <c r="A52" t="s">
        <v>136</v>
      </c>
      <c r="B52" s="174" t="str">
        <f>IFERROR(VLOOKUP(A52,'[2]Dealer Wise Net Sales Register1'!D:E,2,FALSE),0)</f>
        <v>01572</v>
      </c>
      <c r="C52" s="27" t="s">
        <v>99</v>
      </c>
      <c r="D52" s="27" t="s">
        <v>99</v>
      </c>
      <c r="E52" s="27"/>
      <c r="F52" s="112">
        <v>109451</v>
      </c>
      <c r="G52" s="112"/>
      <c r="H52" s="112"/>
      <c r="I52" s="124">
        <v>0</v>
      </c>
      <c r="J52" s="124">
        <v>0</v>
      </c>
      <c r="K52" s="124">
        <v>0</v>
      </c>
      <c r="L52" s="124">
        <v>0</v>
      </c>
      <c r="M52" s="124">
        <v>80</v>
      </c>
      <c r="N52" s="44">
        <f t="shared" si="18"/>
        <v>80</v>
      </c>
      <c r="O52" s="44">
        <v>480000</v>
      </c>
      <c r="P52" s="125">
        <f t="shared" si="1"/>
        <v>480000</v>
      </c>
      <c r="Q52" s="44"/>
      <c r="R52" s="44"/>
      <c r="S52" s="54">
        <v>0</v>
      </c>
      <c r="T52" s="54">
        <v>0</v>
      </c>
      <c r="U52" s="54">
        <v>0</v>
      </c>
      <c r="V52" s="60">
        <v>0</v>
      </c>
      <c r="W52" s="60">
        <v>0</v>
      </c>
      <c r="X52" s="60">
        <v>0</v>
      </c>
      <c r="Y52" s="60">
        <v>0</v>
      </c>
      <c r="Z52" s="60">
        <v>25</v>
      </c>
      <c r="AA52" s="60">
        <f t="shared" si="14"/>
        <v>25</v>
      </c>
      <c r="AB52" s="60">
        <v>94480</v>
      </c>
      <c r="AC52" s="43">
        <v>0</v>
      </c>
      <c r="AD52" s="60">
        <v>0</v>
      </c>
      <c r="AE52" s="60"/>
      <c r="AF52" s="60"/>
      <c r="AG52" s="60"/>
      <c r="AH52" s="60">
        <f t="shared" si="19"/>
        <v>203931</v>
      </c>
      <c r="AI52" s="60"/>
      <c r="AJ52" s="60">
        <f t="shared" si="21"/>
        <v>203931</v>
      </c>
      <c r="AK52" s="7"/>
      <c r="AL52" s="64">
        <v>0</v>
      </c>
      <c r="AM52" s="64">
        <v>0</v>
      </c>
      <c r="AN52" s="64">
        <v>0</v>
      </c>
      <c r="AO52" s="64">
        <v>0</v>
      </c>
      <c r="AP52" s="64">
        <v>0</v>
      </c>
      <c r="AQ52" s="64">
        <f t="shared" si="20"/>
        <v>0</v>
      </c>
      <c r="AR52" s="59">
        <f t="shared" si="6"/>
        <v>0</v>
      </c>
      <c r="AS52" s="59">
        <f t="shared" si="7"/>
        <v>0</v>
      </c>
      <c r="AT52" s="141">
        <f t="shared" si="8"/>
        <v>0</v>
      </c>
      <c r="AU52" s="141">
        <f t="shared" si="9"/>
        <v>0</v>
      </c>
    </row>
    <row r="53" spans="1:47">
      <c r="A53" s="28" t="s">
        <v>137</v>
      </c>
      <c r="B53" s="27" t="s">
        <v>138</v>
      </c>
      <c r="C53" s="27">
        <v>0</v>
      </c>
      <c r="D53" s="27">
        <v>0</v>
      </c>
      <c r="E53" s="27"/>
      <c r="F53" s="112">
        <v>-200</v>
      </c>
      <c r="G53" s="112">
        <v>0</v>
      </c>
      <c r="H53" s="112">
        <v>137000</v>
      </c>
      <c r="I53" s="124">
        <v>0</v>
      </c>
      <c r="J53" s="124">
        <v>0</v>
      </c>
      <c r="K53" s="124">
        <v>0</v>
      </c>
      <c r="L53" s="124">
        <v>0</v>
      </c>
      <c r="M53" s="124">
        <v>0</v>
      </c>
      <c r="N53" s="44">
        <f t="shared" si="18"/>
        <v>0</v>
      </c>
      <c r="O53" s="44">
        <v>0</v>
      </c>
      <c r="P53" s="125">
        <f t="shared" si="1"/>
        <v>0</v>
      </c>
      <c r="Q53" s="44"/>
      <c r="R53" s="44">
        <f>P53+Q53</f>
        <v>0</v>
      </c>
      <c r="S53" s="54">
        <v>0</v>
      </c>
      <c r="T53" s="54">
        <v>0</v>
      </c>
      <c r="U53" s="54">
        <v>0</v>
      </c>
      <c r="V53" s="60">
        <v>0</v>
      </c>
      <c r="W53" s="60">
        <v>0</v>
      </c>
      <c r="X53" s="60">
        <v>0</v>
      </c>
      <c r="Y53" s="60">
        <v>0</v>
      </c>
      <c r="Z53" s="60">
        <v>0</v>
      </c>
      <c r="AA53" s="60">
        <f t="shared" si="14"/>
        <v>0</v>
      </c>
      <c r="AB53" s="60">
        <v>0</v>
      </c>
      <c r="AC53" s="43">
        <v>0</v>
      </c>
      <c r="AD53" s="60">
        <v>0</v>
      </c>
      <c r="AE53" s="60"/>
      <c r="AF53" s="60"/>
      <c r="AG53" s="60"/>
      <c r="AH53" s="60">
        <f t="shared" si="19"/>
        <v>-200</v>
      </c>
      <c r="AI53" s="60"/>
      <c r="AJ53" s="60"/>
      <c r="AK53" s="7"/>
      <c r="AL53" s="64">
        <v>0</v>
      </c>
      <c r="AM53" s="64">
        <v>0</v>
      </c>
      <c r="AN53" s="64">
        <v>0</v>
      </c>
      <c r="AO53" s="64">
        <v>0</v>
      </c>
      <c r="AP53" s="64">
        <v>0</v>
      </c>
      <c r="AQ53" s="64">
        <f t="shared" si="20"/>
        <v>0</v>
      </c>
      <c r="AR53" s="59">
        <f t="shared" si="6"/>
        <v>0</v>
      </c>
      <c r="AS53" s="59">
        <f t="shared" si="7"/>
        <v>0</v>
      </c>
      <c r="AT53" s="141">
        <f t="shared" si="8"/>
        <v>0</v>
      </c>
      <c r="AU53" s="141">
        <f t="shared" si="9"/>
        <v>0</v>
      </c>
    </row>
    <row r="54" spans="1:47">
      <c r="A54" s="115" t="s">
        <v>139</v>
      </c>
      <c r="B54" s="119">
        <f>SUM(B35:B53)</f>
        <v>0</v>
      </c>
      <c r="C54" s="27">
        <v>0</v>
      </c>
      <c r="D54" s="27">
        <v>0</v>
      </c>
      <c r="E54" s="27"/>
      <c r="F54" s="119">
        <f t="shared" ref="F54:AD54" si="22">SUM(F35:F53)</f>
        <v>37820931.75</v>
      </c>
      <c r="G54" s="119">
        <f t="shared" si="22"/>
        <v>18000000</v>
      </c>
      <c r="H54" s="119">
        <f t="shared" si="22"/>
        <v>26092500</v>
      </c>
      <c r="I54" s="119">
        <f t="shared" si="22"/>
        <v>1765</v>
      </c>
      <c r="J54" s="119">
        <f t="shared" si="22"/>
        <v>0</v>
      </c>
      <c r="K54" s="119">
        <f t="shared" si="22"/>
        <v>754</v>
      </c>
      <c r="L54" s="119">
        <f t="shared" si="22"/>
        <v>10</v>
      </c>
      <c r="M54" s="119">
        <f t="shared" si="22"/>
        <v>92</v>
      </c>
      <c r="N54" s="119">
        <f t="shared" si="22"/>
        <v>2421</v>
      </c>
      <c r="O54" s="119">
        <f t="shared" si="22"/>
        <v>30699300</v>
      </c>
      <c r="P54" s="119">
        <f t="shared" si="22"/>
        <v>30699300</v>
      </c>
      <c r="Q54" s="119">
        <f t="shared" si="22"/>
        <v>0</v>
      </c>
      <c r="R54" s="119">
        <f t="shared" si="22"/>
        <v>27093300</v>
      </c>
      <c r="S54" s="119">
        <f t="shared" si="22"/>
        <v>8475166.481444</v>
      </c>
      <c r="T54" s="119">
        <f t="shared" si="22"/>
        <v>1415</v>
      </c>
      <c r="U54" s="119">
        <f t="shared" si="22"/>
        <v>660</v>
      </c>
      <c r="V54" s="119">
        <f>SUM(V35:V53)</f>
        <v>988</v>
      </c>
      <c r="W54" s="119">
        <f>SUM(W35:W53)</f>
        <v>0</v>
      </c>
      <c r="X54" s="119">
        <f>SUM(X35:X53)</f>
        <v>369</v>
      </c>
      <c r="Y54" s="119">
        <f>SUM(Y35:Y53)</f>
        <v>10</v>
      </c>
      <c r="Z54" s="119">
        <f>SUM(Z35:Z53)</f>
        <v>25</v>
      </c>
      <c r="AA54" s="119">
        <f>SUM(AA35:AA53)</f>
        <v>1392</v>
      </c>
      <c r="AB54" s="119">
        <f>SUM(AB35:AB53)</f>
        <v>18189200</v>
      </c>
      <c r="AC54" s="119">
        <f>SUM(AC35:AC53)</f>
        <v>6235000</v>
      </c>
      <c r="AD54" s="119">
        <f>SUM(AD35:AD53)</f>
        <v>427592</v>
      </c>
      <c r="AE54" s="119"/>
      <c r="AF54" s="119">
        <f>SUM(AF35:AF53)</f>
        <v>0</v>
      </c>
      <c r="AG54" s="119"/>
      <c r="AH54" s="119">
        <f>SUM(AH35:AH53)</f>
        <v>49072539.75</v>
      </c>
      <c r="AI54" s="60">
        <f>AH54-AQ54-H54</f>
        <v>20740164.1367071</v>
      </c>
      <c r="AJ54" s="119">
        <f>SUM(AJ35:AJ53)</f>
        <v>30642457.65</v>
      </c>
      <c r="AK54" s="135"/>
      <c r="AL54" s="119">
        <f t="shared" ref="AL54:BH54" si="23">SUM(AL35:AL53)</f>
        <v>551201</v>
      </c>
      <c r="AM54" s="119">
        <f t="shared" si="23"/>
        <v>603700</v>
      </c>
      <c r="AN54" s="119">
        <f t="shared" si="23"/>
        <v>757965.45</v>
      </c>
      <c r="AO54" s="119">
        <f t="shared" si="23"/>
        <v>76248.3130904184</v>
      </c>
      <c r="AP54" s="119">
        <f t="shared" si="23"/>
        <v>250760.850202429</v>
      </c>
      <c r="AQ54" s="143">
        <f t="shared" si="23"/>
        <v>2239875.61329285</v>
      </c>
      <c r="AR54" s="119">
        <f t="shared" si="23"/>
        <v>777</v>
      </c>
      <c r="AS54" s="119">
        <f t="shared" si="23"/>
        <v>385</v>
      </c>
      <c r="AT54" s="141">
        <f t="shared" si="8"/>
        <v>59.7692307692308</v>
      </c>
      <c r="AU54" s="141">
        <f t="shared" si="9"/>
        <v>29.6153846153846</v>
      </c>
    </row>
    <row r="55" spans="1:47">
      <c r="A55" s="28" t="s">
        <v>140</v>
      </c>
      <c r="B55" s="27" t="s">
        <v>141</v>
      </c>
      <c r="C55" s="27">
        <v>0</v>
      </c>
      <c r="D55" s="27" t="s">
        <v>2</v>
      </c>
      <c r="E55" s="27" t="s">
        <v>142</v>
      </c>
      <c r="F55" s="112">
        <v>-155227.18</v>
      </c>
      <c r="G55" s="112">
        <v>0</v>
      </c>
      <c r="H55" s="112">
        <v>3207500</v>
      </c>
      <c r="I55" s="124">
        <v>0</v>
      </c>
      <c r="J55" s="124">
        <v>0</v>
      </c>
      <c r="K55" s="124">
        <v>0</v>
      </c>
      <c r="L55" s="124">
        <v>0</v>
      </c>
      <c r="M55" s="124">
        <v>0</v>
      </c>
      <c r="N55" s="44">
        <f t="shared" ref="N55:N88" si="24">SUM(I55:M55)</f>
        <v>0</v>
      </c>
      <c r="O55" s="44">
        <v>0</v>
      </c>
      <c r="P55" s="125">
        <f t="shared" si="1"/>
        <v>0</v>
      </c>
      <c r="Q55" s="44"/>
      <c r="R55" s="44">
        <f t="shared" ref="R55:R78" si="25">P55+Q55</f>
        <v>0</v>
      </c>
      <c r="S55" s="54">
        <v>0</v>
      </c>
      <c r="T55" s="54">
        <v>0</v>
      </c>
      <c r="U55" s="54">
        <v>0</v>
      </c>
      <c r="V55" s="60">
        <v>0</v>
      </c>
      <c r="W55" s="60">
        <v>0</v>
      </c>
      <c r="X55" s="60">
        <v>0</v>
      </c>
      <c r="Y55" s="60">
        <v>0</v>
      </c>
      <c r="Z55" s="60">
        <v>0</v>
      </c>
      <c r="AA55" s="60">
        <f t="shared" ref="AA55:AA88" si="26">V55+W55+X55+Y55+Z55</f>
        <v>0</v>
      </c>
      <c r="AB55" s="60">
        <v>0</v>
      </c>
      <c r="AC55" s="43">
        <v>0</v>
      </c>
      <c r="AD55" s="60">
        <v>0</v>
      </c>
      <c r="AE55" s="60"/>
      <c r="AF55" s="60"/>
      <c r="AG55" s="60"/>
      <c r="AH55" s="60">
        <f t="shared" ref="AH55:AH88" si="27">F55+AB55-AC55-AE55-AD55-AF55-AG55</f>
        <v>-155227.18</v>
      </c>
      <c r="AI55" s="60"/>
      <c r="AJ55" s="60"/>
      <c r="AK55" s="7"/>
      <c r="AL55" s="64">
        <v>0</v>
      </c>
      <c r="AM55" s="64">
        <v>13100</v>
      </c>
      <c r="AN55" s="64">
        <v>0</v>
      </c>
      <c r="AO55" s="64">
        <v>0</v>
      </c>
      <c r="AP55" s="64">
        <v>0</v>
      </c>
      <c r="AQ55" s="64">
        <f t="shared" ref="AQ55:AQ88" si="28">AL55+AM55+AN55+AO55+AP55</f>
        <v>13100</v>
      </c>
      <c r="AR55" s="59">
        <f t="shared" si="6"/>
        <v>0</v>
      </c>
      <c r="AS55" s="59">
        <f t="shared" si="7"/>
        <v>0</v>
      </c>
      <c r="AT55" s="141">
        <f t="shared" si="8"/>
        <v>0</v>
      </c>
      <c r="AU55" s="141">
        <f t="shared" si="9"/>
        <v>0</v>
      </c>
    </row>
    <row r="56" spans="1:47">
      <c r="A56" s="28" t="s">
        <v>143</v>
      </c>
      <c r="B56" s="27" t="s">
        <v>144</v>
      </c>
      <c r="C56" s="27" t="s">
        <v>49</v>
      </c>
      <c r="D56" s="27" t="s">
        <v>49</v>
      </c>
      <c r="E56" s="27"/>
      <c r="F56" s="112">
        <v>1624200</v>
      </c>
      <c r="G56" s="112">
        <v>0</v>
      </c>
      <c r="H56" s="112">
        <v>2140000</v>
      </c>
      <c r="I56" s="124">
        <v>80</v>
      </c>
      <c r="J56" s="124">
        <v>0</v>
      </c>
      <c r="K56" s="124">
        <v>220</v>
      </c>
      <c r="L56" s="124">
        <v>0</v>
      </c>
      <c r="M56" s="124">
        <v>0</v>
      </c>
      <c r="N56" s="44">
        <f t="shared" si="24"/>
        <v>300</v>
      </c>
      <c r="O56" s="44">
        <v>1250000</v>
      </c>
      <c r="P56" s="125">
        <f t="shared" si="1"/>
        <v>1250000</v>
      </c>
      <c r="Q56" s="44"/>
      <c r="R56" s="44">
        <f t="shared" si="25"/>
        <v>1250000</v>
      </c>
      <c r="S56" s="54">
        <v>2324000</v>
      </c>
      <c r="T56" s="54">
        <v>80</v>
      </c>
      <c r="U56" s="54">
        <v>220</v>
      </c>
      <c r="V56" s="60">
        <v>70</v>
      </c>
      <c r="W56" s="60">
        <v>0</v>
      </c>
      <c r="X56" s="60">
        <v>174</v>
      </c>
      <c r="Y56" s="60">
        <v>0</v>
      </c>
      <c r="Z56" s="60">
        <v>0</v>
      </c>
      <c r="AA56" s="60">
        <f t="shared" si="26"/>
        <v>244</v>
      </c>
      <c r="AB56" s="60">
        <v>1168000</v>
      </c>
      <c r="AC56" s="43">
        <v>130000</v>
      </c>
      <c r="AD56" s="60">
        <v>0</v>
      </c>
      <c r="AE56" s="60"/>
      <c r="AF56" s="60"/>
      <c r="AG56" s="60"/>
      <c r="AH56" s="60">
        <f t="shared" si="27"/>
        <v>2662200</v>
      </c>
      <c r="AI56" s="60">
        <f>AH56-AQ56-H56</f>
        <v>-163000</v>
      </c>
      <c r="AJ56" s="60">
        <f t="shared" ref="AJ56:AJ72" si="29">AH56-G56</f>
        <v>2662200</v>
      </c>
      <c r="AK56" s="7" t="e">
        <f>#REF!-#REF!</f>
        <v>#REF!</v>
      </c>
      <c r="AL56" s="64">
        <v>210700</v>
      </c>
      <c r="AM56" s="64">
        <v>256500</v>
      </c>
      <c r="AN56" s="64">
        <v>218000</v>
      </c>
      <c r="AO56" s="64">
        <v>0</v>
      </c>
      <c r="AP56" s="64">
        <v>0</v>
      </c>
      <c r="AQ56" s="64">
        <f t="shared" si="28"/>
        <v>685200</v>
      </c>
      <c r="AR56" s="59">
        <f t="shared" si="6"/>
        <v>10</v>
      </c>
      <c r="AS56" s="59">
        <f t="shared" si="7"/>
        <v>46</v>
      </c>
      <c r="AT56" s="141">
        <f t="shared" si="8"/>
        <v>0.769230769230769</v>
      </c>
      <c r="AU56" s="141">
        <f t="shared" si="9"/>
        <v>3.53846153846154</v>
      </c>
    </row>
    <row r="57" spans="1:47">
      <c r="A57" s="28" t="s">
        <v>145</v>
      </c>
      <c r="B57" s="27" t="s">
        <v>146</v>
      </c>
      <c r="C57" s="27" t="s">
        <v>2</v>
      </c>
      <c r="D57" s="27" t="s">
        <v>2</v>
      </c>
      <c r="E57" s="27" t="s">
        <v>142</v>
      </c>
      <c r="F57" s="112">
        <v>1934000</v>
      </c>
      <c r="G57" s="112">
        <v>0</v>
      </c>
      <c r="H57" s="112">
        <v>1027500</v>
      </c>
      <c r="I57" s="124">
        <v>300</v>
      </c>
      <c r="J57" s="124">
        <v>0</v>
      </c>
      <c r="K57" s="124">
        <v>100</v>
      </c>
      <c r="L57" s="124">
        <v>0</v>
      </c>
      <c r="M57" s="124">
        <v>0</v>
      </c>
      <c r="N57" s="44">
        <f t="shared" si="24"/>
        <v>400</v>
      </c>
      <c r="O57" s="44">
        <v>5055000</v>
      </c>
      <c r="P57" s="125">
        <f t="shared" si="1"/>
        <v>5055000</v>
      </c>
      <c r="Q57" s="44"/>
      <c r="R57" s="44">
        <f t="shared" si="25"/>
        <v>5055000</v>
      </c>
      <c r="S57" s="54">
        <v>0</v>
      </c>
      <c r="T57" s="54">
        <v>400</v>
      </c>
      <c r="U57" s="54">
        <v>200</v>
      </c>
      <c r="V57" s="60">
        <v>210</v>
      </c>
      <c r="W57" s="60">
        <v>0</v>
      </c>
      <c r="X57" s="60">
        <v>100</v>
      </c>
      <c r="Y57" s="60">
        <v>1</v>
      </c>
      <c r="Z57" s="60">
        <v>0</v>
      </c>
      <c r="AA57" s="60">
        <f t="shared" si="26"/>
        <v>311</v>
      </c>
      <c r="AB57" s="60">
        <v>4186302</v>
      </c>
      <c r="AC57" s="43">
        <v>0</v>
      </c>
      <c r="AD57" s="60">
        <v>0</v>
      </c>
      <c r="AE57" s="60"/>
      <c r="AF57" s="60"/>
      <c r="AG57" s="60"/>
      <c r="AH57" s="60">
        <f t="shared" si="27"/>
        <v>6120302</v>
      </c>
      <c r="AI57" s="60">
        <f>AH57-AQ57-H57</f>
        <v>3918627</v>
      </c>
      <c r="AJ57" s="60">
        <f t="shared" si="29"/>
        <v>6120302</v>
      </c>
      <c r="AK57" s="7"/>
      <c r="AL57" s="64">
        <v>383625</v>
      </c>
      <c r="AM57" s="64">
        <v>422225</v>
      </c>
      <c r="AN57" s="64">
        <v>368325</v>
      </c>
      <c r="AO57" s="64">
        <v>0</v>
      </c>
      <c r="AP57" s="64">
        <v>0</v>
      </c>
      <c r="AQ57" s="64">
        <f t="shared" si="28"/>
        <v>1174175</v>
      </c>
      <c r="AR57" s="59">
        <f t="shared" si="6"/>
        <v>90</v>
      </c>
      <c r="AS57" s="59">
        <f t="shared" si="7"/>
        <v>0</v>
      </c>
      <c r="AT57" s="141">
        <f t="shared" si="8"/>
        <v>6.92307692307692</v>
      </c>
      <c r="AU57" s="141">
        <f t="shared" si="9"/>
        <v>0</v>
      </c>
    </row>
    <row r="58" spans="1:47">
      <c r="A58" s="28" t="s">
        <v>147</v>
      </c>
      <c r="B58" s="27" t="s">
        <v>148</v>
      </c>
      <c r="C58" s="27" t="s">
        <v>99</v>
      </c>
      <c r="D58" s="27" t="s">
        <v>99</v>
      </c>
      <c r="E58" s="27"/>
      <c r="F58" s="112">
        <v>34245</v>
      </c>
      <c r="G58" s="112">
        <v>0</v>
      </c>
      <c r="H58" s="112">
        <v>300000</v>
      </c>
      <c r="I58" s="124">
        <v>0</v>
      </c>
      <c r="J58" s="124">
        <v>0</v>
      </c>
      <c r="K58" s="124">
        <v>0</v>
      </c>
      <c r="L58" s="124">
        <v>0</v>
      </c>
      <c r="M58" s="124">
        <v>0</v>
      </c>
      <c r="N58" s="44">
        <f t="shared" si="24"/>
        <v>0</v>
      </c>
      <c r="O58" s="44">
        <v>0</v>
      </c>
      <c r="P58" s="125">
        <f t="shared" si="1"/>
        <v>0</v>
      </c>
      <c r="Q58" s="44"/>
      <c r="R58" s="44">
        <f t="shared" si="25"/>
        <v>0</v>
      </c>
      <c r="S58" s="54">
        <v>0</v>
      </c>
      <c r="T58" s="54">
        <v>0</v>
      </c>
      <c r="U58" s="54">
        <v>0</v>
      </c>
      <c r="V58" s="60">
        <v>0</v>
      </c>
      <c r="W58" s="60">
        <v>0</v>
      </c>
      <c r="X58" s="60">
        <v>0</v>
      </c>
      <c r="Y58" s="60">
        <v>3</v>
      </c>
      <c r="Z58" s="60">
        <v>0</v>
      </c>
      <c r="AA58" s="60">
        <f t="shared" si="26"/>
        <v>3</v>
      </c>
      <c r="AB58" s="60">
        <v>67031</v>
      </c>
      <c r="AC58" s="43">
        <v>0</v>
      </c>
      <c r="AD58" s="60">
        <v>0</v>
      </c>
      <c r="AE58" s="60"/>
      <c r="AF58" s="60"/>
      <c r="AG58" s="60"/>
      <c r="AH58" s="60">
        <f t="shared" si="27"/>
        <v>101276</v>
      </c>
      <c r="AI58" s="60">
        <f>AH58-AQ58-H58</f>
        <v>-200091.14</v>
      </c>
      <c r="AJ58" s="60">
        <f t="shared" si="29"/>
        <v>101276</v>
      </c>
      <c r="AK58" s="7"/>
      <c r="AL58" s="64">
        <v>1367.14</v>
      </c>
      <c r="AM58" s="64">
        <v>0</v>
      </c>
      <c r="AN58" s="64">
        <v>0</v>
      </c>
      <c r="AO58" s="64">
        <v>0</v>
      </c>
      <c r="AP58" s="64">
        <v>0</v>
      </c>
      <c r="AQ58" s="64">
        <f t="shared" si="28"/>
        <v>1367.14</v>
      </c>
      <c r="AR58" s="59">
        <f t="shared" si="6"/>
        <v>0</v>
      </c>
      <c r="AS58" s="59">
        <f t="shared" si="7"/>
        <v>0</v>
      </c>
      <c r="AT58" s="141">
        <f t="shared" si="8"/>
        <v>0</v>
      </c>
      <c r="AU58" s="141">
        <f t="shared" si="9"/>
        <v>0</v>
      </c>
    </row>
    <row r="59" spans="1:47">
      <c r="A59" s="28" t="s">
        <v>149</v>
      </c>
      <c r="B59" s="27" t="s">
        <v>150</v>
      </c>
      <c r="C59" s="27" t="s">
        <v>151</v>
      </c>
      <c r="D59" s="27" t="s">
        <v>151</v>
      </c>
      <c r="E59" s="27"/>
      <c r="F59" s="112">
        <v>540400</v>
      </c>
      <c r="G59" s="112">
        <v>0</v>
      </c>
      <c r="H59" s="112">
        <v>0</v>
      </c>
      <c r="I59" s="124">
        <v>80</v>
      </c>
      <c r="J59" s="124">
        <v>0</v>
      </c>
      <c r="K59" s="124">
        <v>100</v>
      </c>
      <c r="L59" s="124">
        <v>0</v>
      </c>
      <c r="M59" s="124">
        <v>0</v>
      </c>
      <c r="N59" s="44">
        <f t="shared" si="24"/>
        <v>180</v>
      </c>
      <c r="O59" s="44">
        <v>782000</v>
      </c>
      <c r="P59" s="125">
        <f t="shared" si="1"/>
        <v>782000</v>
      </c>
      <c r="Q59" s="44"/>
      <c r="R59" s="44">
        <f t="shared" si="25"/>
        <v>782000</v>
      </c>
      <c r="S59" s="54">
        <v>0</v>
      </c>
      <c r="T59" s="54">
        <v>110</v>
      </c>
      <c r="U59" s="54">
        <v>140</v>
      </c>
      <c r="V59" s="60">
        <v>59</v>
      </c>
      <c r="W59" s="60">
        <v>0</v>
      </c>
      <c r="X59" s="60">
        <v>4</v>
      </c>
      <c r="Y59" s="60">
        <v>0</v>
      </c>
      <c r="Z59" s="60">
        <v>0</v>
      </c>
      <c r="AA59" s="60">
        <f t="shared" si="26"/>
        <v>63</v>
      </c>
      <c r="AB59" s="60">
        <v>342500</v>
      </c>
      <c r="AC59" s="43">
        <v>75200</v>
      </c>
      <c r="AD59" s="60">
        <v>0</v>
      </c>
      <c r="AE59" s="60"/>
      <c r="AF59" s="60"/>
      <c r="AG59" s="60"/>
      <c r="AH59" s="60">
        <f t="shared" si="27"/>
        <v>807700</v>
      </c>
      <c r="AI59" s="60">
        <f>AH59-AQ59-H59</f>
        <v>378900</v>
      </c>
      <c r="AJ59" s="60">
        <f t="shared" si="29"/>
        <v>807700</v>
      </c>
      <c r="AK59" s="139"/>
      <c r="AL59" s="64">
        <v>115500</v>
      </c>
      <c r="AM59" s="64">
        <v>144000</v>
      </c>
      <c r="AN59" s="64">
        <v>169300</v>
      </c>
      <c r="AO59" s="64">
        <v>0</v>
      </c>
      <c r="AP59" s="64">
        <v>0</v>
      </c>
      <c r="AQ59" s="64">
        <f t="shared" si="28"/>
        <v>428800</v>
      </c>
      <c r="AR59" s="59">
        <f t="shared" si="6"/>
        <v>21</v>
      </c>
      <c r="AS59" s="59">
        <f t="shared" si="7"/>
        <v>96</v>
      </c>
      <c r="AT59" s="141">
        <f t="shared" si="8"/>
        <v>1.61538461538462</v>
      </c>
      <c r="AU59" s="141">
        <f t="shared" si="9"/>
        <v>7.38461538461539</v>
      </c>
    </row>
    <row r="60" spans="1:47">
      <c r="A60" s="28" t="s">
        <v>152</v>
      </c>
      <c r="B60" s="27" t="s">
        <v>153</v>
      </c>
      <c r="C60" s="27" t="s">
        <v>99</v>
      </c>
      <c r="D60" s="27" t="s">
        <v>99</v>
      </c>
      <c r="E60" s="27"/>
      <c r="F60" s="112">
        <v>-2116289</v>
      </c>
      <c r="G60" s="112">
        <v>0</v>
      </c>
      <c r="H60" s="112">
        <v>0</v>
      </c>
      <c r="I60" s="124">
        <v>0</v>
      </c>
      <c r="J60" s="124">
        <v>0</v>
      </c>
      <c r="K60" s="124">
        <v>0</v>
      </c>
      <c r="L60" s="124">
        <v>0</v>
      </c>
      <c r="M60" s="124">
        <v>0</v>
      </c>
      <c r="N60" s="44">
        <f t="shared" si="24"/>
        <v>0</v>
      </c>
      <c r="O60" s="44">
        <v>0</v>
      </c>
      <c r="P60" s="125">
        <f t="shared" si="1"/>
        <v>0</v>
      </c>
      <c r="Q60" s="44"/>
      <c r="R60" s="44">
        <f t="shared" si="25"/>
        <v>0</v>
      </c>
      <c r="S60" s="54">
        <v>0</v>
      </c>
      <c r="T60" s="54">
        <v>0</v>
      </c>
      <c r="U60" s="54">
        <v>0</v>
      </c>
      <c r="V60" s="60">
        <v>0</v>
      </c>
      <c r="W60" s="60">
        <v>0</v>
      </c>
      <c r="X60" s="60">
        <v>0</v>
      </c>
      <c r="Y60" s="60">
        <v>0</v>
      </c>
      <c r="Z60" s="60">
        <v>0</v>
      </c>
      <c r="AA60" s="60">
        <f t="shared" si="26"/>
        <v>0</v>
      </c>
      <c r="AB60" s="60">
        <v>0</v>
      </c>
      <c r="AC60" s="43">
        <v>0</v>
      </c>
      <c r="AD60" s="60">
        <v>0</v>
      </c>
      <c r="AE60" s="60"/>
      <c r="AF60" s="60"/>
      <c r="AG60" s="60"/>
      <c r="AH60" s="60">
        <f t="shared" si="27"/>
        <v>-2116289</v>
      </c>
      <c r="AI60" s="60"/>
      <c r="AJ60" s="60"/>
      <c r="AK60" s="7"/>
      <c r="AL60" s="64">
        <v>15000</v>
      </c>
      <c r="AM60" s="64">
        <v>32500</v>
      </c>
      <c r="AN60" s="64">
        <v>0</v>
      </c>
      <c r="AO60" s="64">
        <v>0</v>
      </c>
      <c r="AP60" s="64">
        <v>0</v>
      </c>
      <c r="AQ60" s="64">
        <f t="shared" si="28"/>
        <v>47500</v>
      </c>
      <c r="AR60" s="59">
        <f t="shared" si="6"/>
        <v>0</v>
      </c>
      <c r="AS60" s="59">
        <f t="shared" si="7"/>
        <v>0</v>
      </c>
      <c r="AT60" s="141">
        <f t="shared" si="8"/>
        <v>0</v>
      </c>
      <c r="AU60" s="141">
        <f t="shared" si="9"/>
        <v>0</v>
      </c>
    </row>
    <row r="61" spans="1:47">
      <c r="A61" s="28" t="s">
        <v>154</v>
      </c>
      <c r="B61" s="27" t="s">
        <v>155</v>
      </c>
      <c r="C61" s="27">
        <v>0</v>
      </c>
      <c r="D61" s="27" t="s">
        <v>2</v>
      </c>
      <c r="E61" s="27"/>
      <c r="F61" s="112">
        <v>42834.4</v>
      </c>
      <c r="G61" s="112">
        <v>0</v>
      </c>
      <c r="H61" s="112">
        <v>102750</v>
      </c>
      <c r="I61" s="124">
        <v>0</v>
      </c>
      <c r="J61" s="124">
        <v>0</v>
      </c>
      <c r="K61" s="124">
        <v>0</v>
      </c>
      <c r="L61" s="124">
        <v>0</v>
      </c>
      <c r="M61" s="124">
        <v>0</v>
      </c>
      <c r="N61" s="44">
        <f t="shared" si="24"/>
        <v>0</v>
      </c>
      <c r="O61" s="44">
        <v>0</v>
      </c>
      <c r="P61" s="125">
        <f t="shared" si="1"/>
        <v>0</v>
      </c>
      <c r="Q61" s="44"/>
      <c r="R61" s="44">
        <f t="shared" si="25"/>
        <v>0</v>
      </c>
      <c r="S61" s="54">
        <v>0</v>
      </c>
      <c r="T61" s="54">
        <v>0</v>
      </c>
      <c r="U61" s="54">
        <v>0</v>
      </c>
      <c r="V61" s="60">
        <v>0</v>
      </c>
      <c r="W61" s="60">
        <v>0</v>
      </c>
      <c r="X61" s="60">
        <v>0</v>
      </c>
      <c r="Y61" s="60">
        <v>0</v>
      </c>
      <c r="Z61" s="60">
        <v>0</v>
      </c>
      <c r="AA61" s="60">
        <f t="shared" si="26"/>
        <v>0</v>
      </c>
      <c r="AB61" s="60">
        <v>0</v>
      </c>
      <c r="AC61" s="43">
        <v>0</v>
      </c>
      <c r="AD61" s="60">
        <v>0</v>
      </c>
      <c r="AE61" s="60"/>
      <c r="AF61" s="60"/>
      <c r="AG61" s="60"/>
      <c r="AH61" s="60">
        <f t="shared" si="27"/>
        <v>42834.4</v>
      </c>
      <c r="AI61" s="60"/>
      <c r="AJ61" s="60"/>
      <c r="AK61" s="7"/>
      <c r="AL61" s="64">
        <v>0</v>
      </c>
      <c r="AM61" s="64">
        <v>5250</v>
      </c>
      <c r="AN61" s="64">
        <v>0</v>
      </c>
      <c r="AO61" s="64">
        <v>0</v>
      </c>
      <c r="AP61" s="64">
        <v>0</v>
      </c>
      <c r="AQ61" s="64">
        <f t="shared" si="28"/>
        <v>5250</v>
      </c>
      <c r="AR61" s="59">
        <f t="shared" si="6"/>
        <v>0</v>
      </c>
      <c r="AS61" s="59">
        <f t="shared" si="7"/>
        <v>0</v>
      </c>
      <c r="AT61" s="141">
        <f t="shared" si="8"/>
        <v>0</v>
      </c>
      <c r="AU61" s="141">
        <f t="shared" si="9"/>
        <v>0</v>
      </c>
    </row>
    <row r="62" spans="1:47">
      <c r="A62" s="28" t="s">
        <v>156</v>
      </c>
      <c r="B62" s="27" t="s">
        <v>157</v>
      </c>
      <c r="C62" s="27" t="s">
        <v>99</v>
      </c>
      <c r="D62" s="27" t="s">
        <v>99</v>
      </c>
      <c r="E62" s="27"/>
      <c r="F62" s="112">
        <v>97171</v>
      </c>
      <c r="G62" s="112">
        <v>0</v>
      </c>
      <c r="H62" s="112">
        <v>75979.1666666667</v>
      </c>
      <c r="I62" s="124">
        <v>0</v>
      </c>
      <c r="J62" s="124">
        <v>0</v>
      </c>
      <c r="K62" s="124">
        <v>0</v>
      </c>
      <c r="L62" s="124">
        <v>0</v>
      </c>
      <c r="M62" s="124">
        <v>0</v>
      </c>
      <c r="N62" s="44">
        <f t="shared" si="24"/>
        <v>0</v>
      </c>
      <c r="O62" s="44">
        <v>0</v>
      </c>
      <c r="P62" s="125">
        <f t="shared" si="1"/>
        <v>0</v>
      </c>
      <c r="Q62" s="44"/>
      <c r="R62" s="44">
        <f t="shared" si="25"/>
        <v>0</v>
      </c>
      <c r="S62" s="54">
        <v>0</v>
      </c>
      <c r="T62" s="54">
        <v>0</v>
      </c>
      <c r="U62" s="54">
        <v>0</v>
      </c>
      <c r="V62" s="60">
        <v>0</v>
      </c>
      <c r="W62" s="60">
        <v>0</v>
      </c>
      <c r="X62" s="60">
        <v>0</v>
      </c>
      <c r="Y62" s="60">
        <v>0</v>
      </c>
      <c r="Z62" s="60">
        <v>0</v>
      </c>
      <c r="AA62" s="60">
        <f t="shared" si="26"/>
        <v>0</v>
      </c>
      <c r="AB62" s="60">
        <v>0</v>
      </c>
      <c r="AC62" s="43">
        <v>0</v>
      </c>
      <c r="AD62" s="60">
        <v>0</v>
      </c>
      <c r="AE62" s="60"/>
      <c r="AF62" s="60"/>
      <c r="AG62" s="60"/>
      <c r="AH62" s="60">
        <f t="shared" si="27"/>
        <v>97171</v>
      </c>
      <c r="AI62" s="60"/>
      <c r="AJ62" s="60"/>
      <c r="AK62" s="7"/>
      <c r="AL62" s="64">
        <v>0</v>
      </c>
      <c r="AM62" s="64">
        <v>40500</v>
      </c>
      <c r="AN62" s="64">
        <v>0</v>
      </c>
      <c r="AO62" s="64">
        <v>0</v>
      </c>
      <c r="AP62" s="64">
        <v>0</v>
      </c>
      <c r="AQ62" s="64">
        <f t="shared" si="28"/>
        <v>40500</v>
      </c>
      <c r="AR62" s="59">
        <f t="shared" si="6"/>
        <v>0</v>
      </c>
      <c r="AS62" s="59">
        <f t="shared" si="7"/>
        <v>0</v>
      </c>
      <c r="AT62" s="141">
        <f t="shared" si="8"/>
        <v>0</v>
      </c>
      <c r="AU62" s="141">
        <f t="shared" si="9"/>
        <v>0</v>
      </c>
    </row>
    <row r="63" spans="1:47">
      <c r="A63" s="28" t="s">
        <v>158</v>
      </c>
      <c r="B63" s="27" t="s">
        <v>159</v>
      </c>
      <c r="C63" s="27">
        <v>0</v>
      </c>
      <c r="D63" s="27" t="s">
        <v>52</v>
      </c>
      <c r="E63" s="27"/>
      <c r="F63" s="112">
        <v>279667.71</v>
      </c>
      <c r="G63" s="112">
        <v>1500000</v>
      </c>
      <c r="H63" s="112">
        <v>2265500</v>
      </c>
      <c r="I63" s="124">
        <v>0</v>
      </c>
      <c r="J63" s="124">
        <v>0</v>
      </c>
      <c r="K63" s="124">
        <v>0</v>
      </c>
      <c r="L63" s="124">
        <v>0</v>
      </c>
      <c r="M63" s="124">
        <v>0</v>
      </c>
      <c r="N63" s="44">
        <f t="shared" si="24"/>
        <v>0</v>
      </c>
      <c r="O63" s="44">
        <v>0</v>
      </c>
      <c r="P63" s="125">
        <f t="shared" si="1"/>
        <v>0</v>
      </c>
      <c r="Q63" s="44"/>
      <c r="R63" s="44">
        <f t="shared" si="25"/>
        <v>0</v>
      </c>
      <c r="S63" s="54">
        <v>0</v>
      </c>
      <c r="T63" s="54">
        <v>0</v>
      </c>
      <c r="U63" s="54">
        <v>0</v>
      </c>
      <c r="V63" s="60">
        <v>0</v>
      </c>
      <c r="W63" s="60">
        <v>0</v>
      </c>
      <c r="X63" s="60">
        <v>0</v>
      </c>
      <c r="Y63" s="60">
        <v>0</v>
      </c>
      <c r="Z63" s="60">
        <v>0</v>
      </c>
      <c r="AA63" s="60">
        <f t="shared" si="26"/>
        <v>0</v>
      </c>
      <c r="AB63" s="60">
        <v>0</v>
      </c>
      <c r="AC63" s="43">
        <v>0</v>
      </c>
      <c r="AD63" s="60">
        <v>0</v>
      </c>
      <c r="AE63" s="60"/>
      <c r="AF63" s="60"/>
      <c r="AG63" s="60"/>
      <c r="AH63" s="60">
        <f t="shared" si="27"/>
        <v>279667.71</v>
      </c>
      <c r="AI63" s="60"/>
      <c r="AJ63" s="60"/>
      <c r="AK63" s="7"/>
      <c r="AL63" s="64">
        <v>0</v>
      </c>
      <c r="AM63" s="64">
        <v>0</v>
      </c>
      <c r="AN63" s="64">
        <v>0</v>
      </c>
      <c r="AO63" s="64">
        <v>0</v>
      </c>
      <c r="AP63" s="64">
        <v>0</v>
      </c>
      <c r="AQ63" s="64">
        <f t="shared" si="28"/>
        <v>0</v>
      </c>
      <c r="AR63" s="59">
        <f t="shared" si="6"/>
        <v>0</v>
      </c>
      <c r="AS63" s="59">
        <f t="shared" si="7"/>
        <v>0</v>
      </c>
      <c r="AT63" s="141">
        <f t="shared" si="8"/>
        <v>0</v>
      </c>
      <c r="AU63" s="141">
        <f t="shared" si="9"/>
        <v>0</v>
      </c>
    </row>
    <row r="64" spans="1:47">
      <c r="A64" s="28" t="s">
        <v>160</v>
      </c>
      <c r="B64" s="27" t="s">
        <v>161</v>
      </c>
      <c r="C64" s="27" t="s">
        <v>49</v>
      </c>
      <c r="D64" s="27" t="s">
        <v>49</v>
      </c>
      <c r="E64" s="27"/>
      <c r="F64" s="112">
        <v>763635</v>
      </c>
      <c r="G64" s="112">
        <v>0</v>
      </c>
      <c r="H64" s="112">
        <v>1120000</v>
      </c>
      <c r="I64" s="124">
        <v>40</v>
      </c>
      <c r="J64" s="124">
        <v>0</v>
      </c>
      <c r="K64" s="124">
        <v>260</v>
      </c>
      <c r="L64" s="124">
        <v>0</v>
      </c>
      <c r="M64" s="124">
        <v>0</v>
      </c>
      <c r="N64" s="44">
        <f t="shared" si="24"/>
        <v>300</v>
      </c>
      <c r="O64" s="44">
        <v>1210000</v>
      </c>
      <c r="P64" s="125">
        <f t="shared" si="1"/>
        <v>1210000</v>
      </c>
      <c r="Q64" s="44"/>
      <c r="R64" s="44">
        <f t="shared" si="25"/>
        <v>1210000</v>
      </c>
      <c r="S64" s="54">
        <v>0</v>
      </c>
      <c r="T64" s="54">
        <v>40</v>
      </c>
      <c r="U64" s="54">
        <v>260</v>
      </c>
      <c r="V64" s="60">
        <v>0</v>
      </c>
      <c r="W64" s="60">
        <v>0</v>
      </c>
      <c r="X64" s="60">
        <v>76</v>
      </c>
      <c r="Y64" s="60">
        <v>0</v>
      </c>
      <c r="Z64" s="60">
        <v>0</v>
      </c>
      <c r="AA64" s="60">
        <f t="shared" si="26"/>
        <v>76</v>
      </c>
      <c r="AB64" s="60">
        <v>342000</v>
      </c>
      <c r="AC64" s="43">
        <v>0</v>
      </c>
      <c r="AD64" s="60">
        <v>0</v>
      </c>
      <c r="AE64" s="60"/>
      <c r="AF64" s="60"/>
      <c r="AG64" s="60"/>
      <c r="AH64" s="60">
        <f t="shared" si="27"/>
        <v>1105635</v>
      </c>
      <c r="AI64" s="60">
        <f>AH64-AQ64-H64</f>
        <v>-947365</v>
      </c>
      <c r="AJ64" s="60">
        <f>AH64-G64</f>
        <v>1105635</v>
      </c>
      <c r="AK64" s="7"/>
      <c r="AL64" s="64">
        <v>98200</v>
      </c>
      <c r="AM64" s="64">
        <v>649800</v>
      </c>
      <c r="AN64" s="64">
        <v>185000</v>
      </c>
      <c r="AO64" s="64">
        <v>0</v>
      </c>
      <c r="AP64" s="64">
        <v>0</v>
      </c>
      <c r="AQ64" s="64">
        <f t="shared" si="28"/>
        <v>933000</v>
      </c>
      <c r="AR64" s="59">
        <f t="shared" si="6"/>
        <v>40</v>
      </c>
      <c r="AS64" s="59">
        <f t="shared" si="7"/>
        <v>184</v>
      </c>
      <c r="AT64" s="141">
        <f t="shared" si="8"/>
        <v>3.07692307692308</v>
      </c>
      <c r="AU64" s="141">
        <f t="shared" si="9"/>
        <v>14.1538461538462</v>
      </c>
    </row>
    <row r="65" spans="1:47">
      <c r="A65" s="113" t="s">
        <v>162</v>
      </c>
      <c r="B65" s="27" t="s">
        <v>163</v>
      </c>
      <c r="C65" s="27" t="s">
        <v>52</v>
      </c>
      <c r="D65" s="27" t="s">
        <v>52</v>
      </c>
      <c r="E65" s="27"/>
      <c r="F65" s="112">
        <v>585980.71</v>
      </c>
      <c r="G65" s="112">
        <v>300000</v>
      </c>
      <c r="H65" s="112">
        <v>505500</v>
      </c>
      <c r="I65" s="124">
        <v>25</v>
      </c>
      <c r="J65" s="124">
        <v>0</v>
      </c>
      <c r="K65" s="124">
        <v>0</v>
      </c>
      <c r="L65" s="124">
        <v>0</v>
      </c>
      <c r="M65" s="124">
        <v>0</v>
      </c>
      <c r="N65" s="44">
        <f t="shared" si="24"/>
        <v>25</v>
      </c>
      <c r="O65" s="44">
        <v>332500</v>
      </c>
      <c r="P65" s="125">
        <f t="shared" si="1"/>
        <v>332500</v>
      </c>
      <c r="Q65" s="44"/>
      <c r="R65" s="44">
        <f t="shared" si="25"/>
        <v>332500</v>
      </c>
      <c r="S65" s="54">
        <v>172576.84</v>
      </c>
      <c r="T65" s="54">
        <v>25</v>
      </c>
      <c r="U65" s="54">
        <v>0</v>
      </c>
      <c r="V65" s="60">
        <v>10</v>
      </c>
      <c r="W65" s="60">
        <v>0</v>
      </c>
      <c r="X65" s="60">
        <v>0</v>
      </c>
      <c r="Y65" s="60">
        <v>0</v>
      </c>
      <c r="Z65" s="60">
        <v>0</v>
      </c>
      <c r="AA65" s="60">
        <f t="shared" si="26"/>
        <v>10</v>
      </c>
      <c r="AB65" s="60">
        <v>142500</v>
      </c>
      <c r="AC65" s="43">
        <v>278500</v>
      </c>
      <c r="AD65" s="60">
        <v>0</v>
      </c>
      <c r="AE65" s="60"/>
      <c r="AF65" s="60"/>
      <c r="AG65" s="60"/>
      <c r="AH65" s="60">
        <f t="shared" si="27"/>
        <v>449980.71</v>
      </c>
      <c r="AI65" s="60">
        <f>AH65-AQ65-H65</f>
        <v>-168923.16</v>
      </c>
      <c r="AJ65" s="60">
        <f t="shared" si="29"/>
        <v>149980.71</v>
      </c>
      <c r="AK65" s="7"/>
      <c r="AL65" s="64">
        <v>49758.87</v>
      </c>
      <c r="AM65" s="64">
        <v>46945</v>
      </c>
      <c r="AN65" s="64">
        <v>3500</v>
      </c>
      <c r="AO65" s="64">
        <v>0</v>
      </c>
      <c r="AP65" s="64">
        <v>13200</v>
      </c>
      <c r="AQ65" s="64">
        <f t="shared" si="28"/>
        <v>113403.87</v>
      </c>
      <c r="AR65" s="59">
        <f t="shared" si="6"/>
        <v>15</v>
      </c>
      <c r="AS65" s="59">
        <f t="shared" si="7"/>
        <v>0</v>
      </c>
      <c r="AT65" s="141">
        <f t="shared" si="8"/>
        <v>1.15384615384615</v>
      </c>
      <c r="AU65" s="141">
        <f t="shared" si="9"/>
        <v>0</v>
      </c>
    </row>
    <row r="66" spans="1:47">
      <c r="A66" s="28" t="s">
        <v>164</v>
      </c>
      <c r="B66" s="27" t="s">
        <v>165</v>
      </c>
      <c r="C66" s="27" t="s">
        <v>2</v>
      </c>
      <c r="D66" s="27" t="s">
        <v>2</v>
      </c>
      <c r="E66" s="27"/>
      <c r="F66" s="112">
        <v>104897.93</v>
      </c>
      <c r="G66" s="112">
        <v>0</v>
      </c>
      <c r="H66" s="112">
        <v>400000</v>
      </c>
      <c r="I66" s="124">
        <v>50</v>
      </c>
      <c r="J66" s="124">
        <v>0</v>
      </c>
      <c r="K66" s="124">
        <v>0</v>
      </c>
      <c r="L66" s="124">
        <v>0</v>
      </c>
      <c r="M66" s="124">
        <v>0</v>
      </c>
      <c r="N66" s="44">
        <f t="shared" si="24"/>
        <v>50</v>
      </c>
      <c r="O66" s="44">
        <v>660000</v>
      </c>
      <c r="P66" s="125">
        <f t="shared" si="1"/>
        <v>660000</v>
      </c>
      <c r="Q66" s="44"/>
      <c r="R66" s="44">
        <f t="shared" si="25"/>
        <v>660000</v>
      </c>
      <c r="S66" s="54">
        <v>0</v>
      </c>
      <c r="T66" s="54">
        <v>50</v>
      </c>
      <c r="U66" s="54">
        <v>0</v>
      </c>
      <c r="V66" s="60">
        <v>25</v>
      </c>
      <c r="W66" s="60">
        <v>0</v>
      </c>
      <c r="X66" s="60">
        <v>0</v>
      </c>
      <c r="Y66" s="60">
        <v>0</v>
      </c>
      <c r="Z66" s="60">
        <v>0</v>
      </c>
      <c r="AA66" s="60">
        <f t="shared" si="26"/>
        <v>25</v>
      </c>
      <c r="AB66" s="60">
        <v>356250</v>
      </c>
      <c r="AC66" s="43">
        <v>340000</v>
      </c>
      <c r="AD66" s="60">
        <v>0</v>
      </c>
      <c r="AE66" s="60"/>
      <c r="AF66" s="60"/>
      <c r="AG66" s="60"/>
      <c r="AH66" s="60">
        <f t="shared" si="27"/>
        <v>121147.93</v>
      </c>
      <c r="AI66" s="60">
        <f>AH66-AQ66-H66</f>
        <v>-339859.08754386</v>
      </c>
      <c r="AJ66" s="60">
        <f t="shared" si="29"/>
        <v>121147.93</v>
      </c>
      <c r="AK66" s="7"/>
      <c r="AL66" s="64">
        <v>17350</v>
      </c>
      <c r="AM66" s="64">
        <v>18375</v>
      </c>
      <c r="AN66" s="64">
        <v>20475</v>
      </c>
      <c r="AO66" s="64">
        <v>4807.01754385965</v>
      </c>
      <c r="AP66" s="64">
        <v>0</v>
      </c>
      <c r="AQ66" s="64">
        <f t="shared" si="28"/>
        <v>61007.0175438596</v>
      </c>
      <c r="AR66" s="59">
        <f t="shared" si="6"/>
        <v>25</v>
      </c>
      <c r="AS66" s="59">
        <f t="shared" si="7"/>
        <v>0</v>
      </c>
      <c r="AT66" s="141">
        <f t="shared" si="8"/>
        <v>1.92307692307692</v>
      </c>
      <c r="AU66" s="141">
        <f t="shared" si="9"/>
        <v>0</v>
      </c>
    </row>
    <row r="67" spans="1:47">
      <c r="A67" s="28" t="s">
        <v>166</v>
      </c>
      <c r="B67" s="27" t="s">
        <v>167</v>
      </c>
      <c r="C67" s="27" t="s">
        <v>52</v>
      </c>
      <c r="D67" s="27" t="s">
        <v>52</v>
      </c>
      <c r="E67" s="27" t="s">
        <v>129</v>
      </c>
      <c r="F67" s="112">
        <v>4107135.77</v>
      </c>
      <c r="G67" s="112">
        <v>2812814.27</v>
      </c>
      <c r="H67" s="112">
        <v>4300000</v>
      </c>
      <c r="I67" s="124">
        <v>30</v>
      </c>
      <c r="J67" s="124">
        <v>0</v>
      </c>
      <c r="K67" s="124">
        <v>0</v>
      </c>
      <c r="L67" s="124">
        <v>0</v>
      </c>
      <c r="M67" s="124">
        <v>0</v>
      </c>
      <c r="N67" s="44">
        <f t="shared" si="24"/>
        <v>30</v>
      </c>
      <c r="O67" s="44">
        <v>399000</v>
      </c>
      <c r="P67" s="125">
        <f t="shared" si="1"/>
        <v>399000</v>
      </c>
      <c r="Q67" s="44"/>
      <c r="R67" s="44">
        <f t="shared" si="25"/>
        <v>399000</v>
      </c>
      <c r="S67" s="54">
        <v>0</v>
      </c>
      <c r="T67" s="54">
        <v>30</v>
      </c>
      <c r="U67" s="54">
        <v>20</v>
      </c>
      <c r="V67" s="60">
        <v>2</v>
      </c>
      <c r="W67" s="60">
        <v>0</v>
      </c>
      <c r="X67" s="60">
        <v>8</v>
      </c>
      <c r="Y67" s="60">
        <v>10</v>
      </c>
      <c r="Z67" s="60">
        <v>0</v>
      </c>
      <c r="AA67" s="60">
        <f t="shared" si="26"/>
        <v>20</v>
      </c>
      <c r="AB67" s="60">
        <v>360120</v>
      </c>
      <c r="AC67" s="43">
        <v>200000</v>
      </c>
      <c r="AD67" s="60">
        <v>0</v>
      </c>
      <c r="AE67" s="60"/>
      <c r="AF67" s="60"/>
      <c r="AG67" s="60"/>
      <c r="AH67" s="60">
        <f t="shared" si="27"/>
        <v>4267255.77</v>
      </c>
      <c r="AI67" s="60">
        <f>AH67-AQ67-H67</f>
        <v>-201351.203333334</v>
      </c>
      <c r="AJ67" s="60">
        <f t="shared" si="29"/>
        <v>1454441.5</v>
      </c>
      <c r="AK67" s="7"/>
      <c r="AL67" s="64">
        <v>67357.4</v>
      </c>
      <c r="AM67" s="64">
        <v>59710</v>
      </c>
      <c r="AN67" s="64">
        <v>8206.24</v>
      </c>
      <c r="AO67" s="64">
        <v>3418.80341880342</v>
      </c>
      <c r="AP67" s="64">
        <v>29914.5299145299</v>
      </c>
      <c r="AQ67" s="64">
        <f t="shared" si="28"/>
        <v>168606.973333333</v>
      </c>
      <c r="AR67" s="59">
        <f t="shared" si="6"/>
        <v>28</v>
      </c>
      <c r="AS67" s="59">
        <f t="shared" si="7"/>
        <v>-8</v>
      </c>
      <c r="AT67" s="141">
        <f t="shared" si="8"/>
        <v>2.15384615384615</v>
      </c>
      <c r="AU67" s="141">
        <f t="shared" si="9"/>
        <v>-0.615384615384615</v>
      </c>
    </row>
    <row r="68" spans="1:47">
      <c r="A68" s="28" t="s">
        <v>168</v>
      </c>
      <c r="B68" s="27" t="s">
        <v>169</v>
      </c>
      <c r="C68" s="27" t="s">
        <v>2</v>
      </c>
      <c r="D68" s="27" t="s">
        <v>2</v>
      </c>
      <c r="E68" s="27"/>
      <c r="F68" s="112">
        <v>658366.74</v>
      </c>
      <c r="G68" s="112">
        <v>400000</v>
      </c>
      <c r="H68" s="112">
        <v>996666.666666667</v>
      </c>
      <c r="I68" s="124">
        <v>60</v>
      </c>
      <c r="J68" s="124">
        <v>0</v>
      </c>
      <c r="K68" s="124">
        <v>0</v>
      </c>
      <c r="L68" s="124">
        <v>0</v>
      </c>
      <c r="M68" s="124">
        <v>0</v>
      </c>
      <c r="N68" s="44">
        <f t="shared" si="24"/>
        <v>60</v>
      </c>
      <c r="O68" s="44">
        <v>786000</v>
      </c>
      <c r="P68" s="125">
        <f t="shared" si="1"/>
        <v>786000</v>
      </c>
      <c r="Q68" s="44"/>
      <c r="R68" s="44">
        <f t="shared" si="25"/>
        <v>786000</v>
      </c>
      <c r="S68" s="54">
        <v>0</v>
      </c>
      <c r="T68" s="54">
        <v>60</v>
      </c>
      <c r="U68" s="54">
        <v>0</v>
      </c>
      <c r="V68" s="60">
        <v>0</v>
      </c>
      <c r="W68" s="60">
        <v>0</v>
      </c>
      <c r="X68" s="60">
        <v>0</v>
      </c>
      <c r="Y68" s="60">
        <v>0</v>
      </c>
      <c r="Z68" s="60">
        <v>0</v>
      </c>
      <c r="AA68" s="60">
        <f t="shared" si="26"/>
        <v>0</v>
      </c>
      <c r="AB68" s="60">
        <v>0</v>
      </c>
      <c r="AC68" s="43">
        <v>330000</v>
      </c>
      <c r="AD68" s="60">
        <v>0</v>
      </c>
      <c r="AE68" s="60"/>
      <c r="AF68" s="60"/>
      <c r="AG68" s="60"/>
      <c r="AH68" s="60">
        <f t="shared" si="27"/>
        <v>328366.74</v>
      </c>
      <c r="AI68" s="60"/>
      <c r="AJ68" s="60">
        <f t="shared" si="29"/>
        <v>-71633.26</v>
      </c>
      <c r="AK68" s="7"/>
      <c r="AL68" s="64">
        <v>96675</v>
      </c>
      <c r="AM68" s="64">
        <v>32375</v>
      </c>
      <c r="AN68" s="64">
        <v>37500</v>
      </c>
      <c r="AO68" s="64">
        <v>9473.68421052632</v>
      </c>
      <c r="AP68" s="64">
        <v>0</v>
      </c>
      <c r="AQ68" s="64">
        <f t="shared" si="28"/>
        <v>176023.684210526</v>
      </c>
      <c r="AR68" s="59">
        <f t="shared" si="6"/>
        <v>60</v>
      </c>
      <c r="AS68" s="59">
        <f t="shared" si="7"/>
        <v>0</v>
      </c>
      <c r="AT68" s="141">
        <f t="shared" si="8"/>
        <v>4.61538461538461</v>
      </c>
      <c r="AU68" s="141">
        <f t="shared" si="9"/>
        <v>0</v>
      </c>
    </row>
    <row r="69" spans="1:47">
      <c r="A69" s="113" t="s">
        <v>170</v>
      </c>
      <c r="B69" s="27" t="s">
        <v>171</v>
      </c>
      <c r="C69" s="27" t="s">
        <v>52</v>
      </c>
      <c r="D69" s="27" t="s">
        <v>52</v>
      </c>
      <c r="E69" s="27"/>
      <c r="F69" s="112">
        <v>1993875.29</v>
      </c>
      <c r="G69" s="112">
        <v>1200000</v>
      </c>
      <c r="H69" s="112">
        <v>2835000</v>
      </c>
      <c r="I69" s="124">
        <v>180</v>
      </c>
      <c r="J69" s="124">
        <v>0</v>
      </c>
      <c r="K69" s="124">
        <v>30</v>
      </c>
      <c r="L69" s="124">
        <v>0</v>
      </c>
      <c r="M69" s="124">
        <v>0</v>
      </c>
      <c r="N69" s="44">
        <f t="shared" si="24"/>
        <v>210</v>
      </c>
      <c r="O69" s="44">
        <v>2709000</v>
      </c>
      <c r="P69" s="125">
        <f t="shared" si="1"/>
        <v>2709000</v>
      </c>
      <c r="Q69" s="44"/>
      <c r="R69" s="44">
        <f t="shared" si="25"/>
        <v>2709000</v>
      </c>
      <c r="S69" s="54">
        <v>585105.114561404</v>
      </c>
      <c r="T69" s="54">
        <v>135</v>
      </c>
      <c r="U69" s="54">
        <v>40</v>
      </c>
      <c r="V69" s="60">
        <v>180</v>
      </c>
      <c r="W69" s="60">
        <v>0</v>
      </c>
      <c r="X69" s="60">
        <v>30</v>
      </c>
      <c r="Y69" s="60">
        <v>0</v>
      </c>
      <c r="Z69" s="60">
        <v>0</v>
      </c>
      <c r="AA69" s="60">
        <f t="shared" si="26"/>
        <v>210</v>
      </c>
      <c r="AB69" s="60">
        <v>2916000</v>
      </c>
      <c r="AC69" s="43">
        <v>700000</v>
      </c>
      <c r="AD69" s="60">
        <v>0</v>
      </c>
      <c r="AE69" s="60"/>
      <c r="AF69" s="60"/>
      <c r="AG69" s="60"/>
      <c r="AH69" s="60">
        <f t="shared" si="27"/>
        <v>4209875.29</v>
      </c>
      <c r="AI69" s="60">
        <f>AH69-AQ69-H69</f>
        <v>1166105.1145614</v>
      </c>
      <c r="AJ69" s="60">
        <f t="shared" si="29"/>
        <v>3009875.29</v>
      </c>
      <c r="AK69" s="7"/>
      <c r="AL69" s="64">
        <v>48750</v>
      </c>
      <c r="AM69" s="64">
        <v>75150</v>
      </c>
      <c r="AN69" s="64">
        <v>46800</v>
      </c>
      <c r="AO69" s="64">
        <v>11052.6315789474</v>
      </c>
      <c r="AP69" s="64">
        <v>27017.5438596491</v>
      </c>
      <c r="AQ69" s="64">
        <f t="shared" si="28"/>
        <v>208770.175438596</v>
      </c>
      <c r="AR69" s="59">
        <f t="shared" si="6"/>
        <v>0</v>
      </c>
      <c r="AS69" s="59">
        <f t="shared" si="7"/>
        <v>0</v>
      </c>
      <c r="AT69" s="141">
        <f t="shared" si="8"/>
        <v>0</v>
      </c>
      <c r="AU69" s="141">
        <f t="shared" si="9"/>
        <v>0</v>
      </c>
    </row>
    <row r="70" spans="1:47">
      <c r="A70" s="28" t="s">
        <v>172</v>
      </c>
      <c r="B70" s="27" t="s">
        <v>173</v>
      </c>
      <c r="C70" s="27">
        <v>0</v>
      </c>
      <c r="D70" s="27">
        <v>0</v>
      </c>
      <c r="E70" s="27"/>
      <c r="F70" s="112">
        <v>9000</v>
      </c>
      <c r="G70" s="112">
        <v>0</v>
      </c>
      <c r="H70" s="112">
        <v>0</v>
      </c>
      <c r="I70" s="124">
        <v>0</v>
      </c>
      <c r="J70" s="124">
        <v>0</v>
      </c>
      <c r="K70" s="124">
        <v>0</v>
      </c>
      <c r="L70" s="124">
        <v>0</v>
      </c>
      <c r="M70" s="124">
        <v>0</v>
      </c>
      <c r="N70" s="44">
        <f t="shared" si="24"/>
        <v>0</v>
      </c>
      <c r="O70" s="44">
        <v>0</v>
      </c>
      <c r="P70" s="125">
        <f t="shared" si="1"/>
        <v>0</v>
      </c>
      <c r="Q70" s="44"/>
      <c r="R70" s="44">
        <f t="shared" si="25"/>
        <v>0</v>
      </c>
      <c r="S70" s="54">
        <v>0</v>
      </c>
      <c r="T70" s="54">
        <v>0</v>
      </c>
      <c r="U70" s="54">
        <v>0</v>
      </c>
      <c r="V70" s="60">
        <v>0</v>
      </c>
      <c r="W70" s="60">
        <v>0</v>
      </c>
      <c r="X70" s="60">
        <v>0</v>
      </c>
      <c r="Y70" s="60">
        <v>0</v>
      </c>
      <c r="Z70" s="60">
        <v>0</v>
      </c>
      <c r="AA70" s="60">
        <f t="shared" si="26"/>
        <v>0</v>
      </c>
      <c r="AB70" s="60">
        <v>0</v>
      </c>
      <c r="AC70" s="43">
        <v>0</v>
      </c>
      <c r="AD70" s="60">
        <v>0</v>
      </c>
      <c r="AE70" s="60"/>
      <c r="AF70" s="60"/>
      <c r="AG70" s="60"/>
      <c r="AH70" s="60">
        <f t="shared" si="27"/>
        <v>9000</v>
      </c>
      <c r="AI70" s="60"/>
      <c r="AJ70" s="60"/>
      <c r="AK70" s="7"/>
      <c r="AL70" s="64">
        <v>0</v>
      </c>
      <c r="AM70" s="64">
        <v>1234.92</v>
      </c>
      <c r="AN70" s="64">
        <v>0</v>
      </c>
      <c r="AO70" s="64">
        <v>0</v>
      </c>
      <c r="AP70" s="64">
        <v>0</v>
      </c>
      <c r="AQ70" s="64">
        <f t="shared" si="28"/>
        <v>1234.92</v>
      </c>
      <c r="AR70" s="59">
        <f t="shared" si="6"/>
        <v>0</v>
      </c>
      <c r="AS70" s="59">
        <f t="shared" si="7"/>
        <v>0</v>
      </c>
      <c r="AT70" s="141">
        <f t="shared" si="8"/>
        <v>0</v>
      </c>
      <c r="AU70" s="141">
        <f t="shared" si="9"/>
        <v>0</v>
      </c>
    </row>
    <row r="71" spans="1:47">
      <c r="A71" s="28" t="s">
        <v>174</v>
      </c>
      <c r="B71" s="27" t="s">
        <v>175</v>
      </c>
      <c r="C71" s="27">
        <v>0</v>
      </c>
      <c r="D71" s="27">
        <v>0</v>
      </c>
      <c r="E71" s="27"/>
      <c r="F71" s="112">
        <v>0</v>
      </c>
      <c r="G71" s="112">
        <v>0</v>
      </c>
      <c r="H71" s="112">
        <v>0</v>
      </c>
      <c r="I71" s="124">
        <v>0</v>
      </c>
      <c r="J71" s="124">
        <v>0</v>
      </c>
      <c r="K71" s="124">
        <v>0</v>
      </c>
      <c r="L71" s="124">
        <v>0</v>
      </c>
      <c r="M71" s="124">
        <v>0</v>
      </c>
      <c r="N71" s="44">
        <f t="shared" si="24"/>
        <v>0</v>
      </c>
      <c r="O71" s="44">
        <v>0</v>
      </c>
      <c r="P71" s="125">
        <f t="shared" si="1"/>
        <v>0</v>
      </c>
      <c r="Q71" s="44"/>
      <c r="R71" s="44">
        <f t="shared" si="25"/>
        <v>0</v>
      </c>
      <c r="S71" s="54">
        <v>0</v>
      </c>
      <c r="T71" s="54">
        <v>0</v>
      </c>
      <c r="U71" s="54">
        <v>0</v>
      </c>
      <c r="V71" s="60">
        <v>0</v>
      </c>
      <c r="W71" s="60">
        <v>0</v>
      </c>
      <c r="X71" s="60">
        <v>0</v>
      </c>
      <c r="Y71" s="60">
        <v>0</v>
      </c>
      <c r="Z71" s="60">
        <v>0</v>
      </c>
      <c r="AA71" s="60">
        <f t="shared" si="26"/>
        <v>0</v>
      </c>
      <c r="AB71" s="60">
        <v>0</v>
      </c>
      <c r="AC71" s="43">
        <v>0</v>
      </c>
      <c r="AD71" s="60">
        <v>0</v>
      </c>
      <c r="AE71" s="60"/>
      <c r="AF71" s="60"/>
      <c r="AG71" s="60"/>
      <c r="AH71" s="60">
        <f t="shared" si="27"/>
        <v>0</v>
      </c>
      <c r="AI71" s="60"/>
      <c r="AJ71" s="60">
        <f t="shared" si="29"/>
        <v>0</v>
      </c>
      <c r="AK71" s="7"/>
      <c r="AL71" s="64">
        <v>0</v>
      </c>
      <c r="AM71" s="64">
        <v>0</v>
      </c>
      <c r="AN71" s="64">
        <v>0</v>
      </c>
      <c r="AO71" s="64">
        <v>0</v>
      </c>
      <c r="AP71" s="64">
        <v>0</v>
      </c>
      <c r="AQ71" s="64">
        <f t="shared" si="28"/>
        <v>0</v>
      </c>
      <c r="AR71" s="59">
        <f t="shared" si="6"/>
        <v>0</v>
      </c>
      <c r="AS71" s="59">
        <f t="shared" si="7"/>
        <v>0</v>
      </c>
      <c r="AT71" s="141">
        <f t="shared" si="8"/>
        <v>0</v>
      </c>
      <c r="AU71" s="141">
        <f t="shared" si="9"/>
        <v>0</v>
      </c>
    </row>
    <row r="72" spans="1:47">
      <c r="A72" s="28" t="s">
        <v>176</v>
      </c>
      <c r="B72" s="87" t="s">
        <v>177</v>
      </c>
      <c r="C72" s="27" t="s">
        <v>49</v>
      </c>
      <c r="D72" s="27" t="s">
        <v>49</v>
      </c>
      <c r="E72" s="27"/>
      <c r="F72" s="112">
        <v>350200</v>
      </c>
      <c r="G72" s="112"/>
      <c r="H72" s="112"/>
      <c r="I72" s="124">
        <v>0</v>
      </c>
      <c r="J72" s="124">
        <v>0</v>
      </c>
      <c r="K72" s="124">
        <v>250</v>
      </c>
      <c r="L72" s="124">
        <v>0</v>
      </c>
      <c r="M72" s="124">
        <v>0</v>
      </c>
      <c r="N72" s="44">
        <f t="shared" si="24"/>
        <v>250</v>
      </c>
      <c r="O72" s="44">
        <v>975000</v>
      </c>
      <c r="P72" s="125">
        <f t="shared" si="1"/>
        <v>975000</v>
      </c>
      <c r="Q72" s="44"/>
      <c r="R72" s="44">
        <f t="shared" si="25"/>
        <v>975000</v>
      </c>
      <c r="S72" s="54">
        <v>0</v>
      </c>
      <c r="T72" s="54">
        <v>250</v>
      </c>
      <c r="U72" s="54">
        <v>0</v>
      </c>
      <c r="V72" s="60">
        <v>0</v>
      </c>
      <c r="W72" s="60">
        <v>0</v>
      </c>
      <c r="X72" s="60">
        <v>100</v>
      </c>
      <c r="Y72" s="60">
        <v>0</v>
      </c>
      <c r="Z72" s="60">
        <v>0</v>
      </c>
      <c r="AA72" s="60">
        <f t="shared" si="26"/>
        <v>100</v>
      </c>
      <c r="AB72" s="60">
        <v>450000</v>
      </c>
      <c r="AC72" s="43">
        <v>410000</v>
      </c>
      <c r="AD72" s="60">
        <v>0</v>
      </c>
      <c r="AE72" s="60"/>
      <c r="AF72" s="60"/>
      <c r="AG72" s="60"/>
      <c r="AH72" s="60">
        <f t="shared" si="27"/>
        <v>390200</v>
      </c>
      <c r="AI72" s="60">
        <f>AH72-AQ72-H72</f>
        <v>-123800</v>
      </c>
      <c r="AJ72" s="60">
        <f t="shared" si="29"/>
        <v>390200</v>
      </c>
      <c r="AK72" s="7"/>
      <c r="AL72" s="64">
        <v>112400</v>
      </c>
      <c r="AM72" s="64">
        <v>193600</v>
      </c>
      <c r="AN72" s="64">
        <v>208000</v>
      </c>
      <c r="AO72" s="64">
        <v>0</v>
      </c>
      <c r="AP72" s="64">
        <v>0</v>
      </c>
      <c r="AQ72" s="64">
        <f t="shared" si="28"/>
        <v>514000</v>
      </c>
      <c r="AR72" s="59">
        <f t="shared" si="6"/>
        <v>0</v>
      </c>
      <c r="AS72" s="59">
        <f t="shared" si="7"/>
        <v>150</v>
      </c>
      <c r="AT72" s="141">
        <f t="shared" si="8"/>
        <v>0</v>
      </c>
      <c r="AU72" s="141">
        <f t="shared" si="9"/>
        <v>11.5384615384615</v>
      </c>
    </row>
    <row r="73" spans="1:47">
      <c r="A73" s="28" t="s">
        <v>178</v>
      </c>
      <c r="B73" s="27" t="s">
        <v>179</v>
      </c>
      <c r="C73" s="27" t="s">
        <v>99</v>
      </c>
      <c r="D73" s="27" t="s">
        <v>99</v>
      </c>
      <c r="E73" s="27"/>
      <c r="F73" s="112">
        <v>90176</v>
      </c>
      <c r="G73" s="112">
        <v>0</v>
      </c>
      <c r="H73" s="112">
        <v>70950</v>
      </c>
      <c r="I73" s="124">
        <v>0</v>
      </c>
      <c r="J73" s="124">
        <v>0</v>
      </c>
      <c r="K73" s="124">
        <v>0</v>
      </c>
      <c r="L73" s="124">
        <v>0</v>
      </c>
      <c r="M73" s="124">
        <v>0</v>
      </c>
      <c r="N73" s="44">
        <f t="shared" si="24"/>
        <v>0</v>
      </c>
      <c r="O73" s="44">
        <v>0</v>
      </c>
      <c r="P73" s="125">
        <f t="shared" ref="P73:P136" si="30">O73</f>
        <v>0</v>
      </c>
      <c r="Q73" s="44"/>
      <c r="R73" s="44">
        <f t="shared" si="25"/>
        <v>0</v>
      </c>
      <c r="S73" s="54">
        <v>0</v>
      </c>
      <c r="T73" s="54">
        <v>30</v>
      </c>
      <c r="U73" s="54">
        <v>20</v>
      </c>
      <c r="V73" s="60">
        <v>0</v>
      </c>
      <c r="W73" s="60">
        <v>0</v>
      </c>
      <c r="X73" s="60">
        <v>0</v>
      </c>
      <c r="Y73" s="60">
        <v>0</v>
      </c>
      <c r="Z73" s="60">
        <v>0</v>
      </c>
      <c r="AA73" s="60">
        <f t="shared" si="26"/>
        <v>0</v>
      </c>
      <c r="AB73" s="60">
        <v>0</v>
      </c>
      <c r="AC73" s="43">
        <v>0</v>
      </c>
      <c r="AD73" s="60">
        <v>0</v>
      </c>
      <c r="AE73" s="60"/>
      <c r="AF73" s="60"/>
      <c r="AG73" s="60"/>
      <c r="AH73" s="60">
        <f t="shared" si="27"/>
        <v>90176</v>
      </c>
      <c r="AI73" s="60"/>
      <c r="AJ73" s="60">
        <f t="shared" ref="AJ73:AJ139" si="31">AH73-G73</f>
        <v>90176</v>
      </c>
      <c r="AK73" s="7"/>
      <c r="AL73" s="64">
        <v>11400</v>
      </c>
      <c r="AM73" s="64">
        <v>39652.08</v>
      </c>
      <c r="AN73" s="64">
        <v>29800</v>
      </c>
      <c r="AO73" s="64">
        <v>5731.9298245614</v>
      </c>
      <c r="AP73" s="64">
        <v>0</v>
      </c>
      <c r="AQ73" s="64">
        <f t="shared" si="28"/>
        <v>86584.0098245614</v>
      </c>
      <c r="AR73" s="59">
        <f t="shared" ref="AR73:AR136" si="32">I73+J73-V73-W73</f>
        <v>0</v>
      </c>
      <c r="AS73" s="59">
        <f t="shared" ref="AS73:AS136" si="33">K73-X73</f>
        <v>0</v>
      </c>
      <c r="AT73" s="141">
        <f t="shared" ref="AT73:AT136" si="34">AR73/13</f>
        <v>0</v>
      </c>
      <c r="AU73" s="141">
        <f t="shared" ref="AU73:AU136" si="35">AS73/13</f>
        <v>0</v>
      </c>
    </row>
    <row r="74" spans="1:47">
      <c r="A74" s="28" t="s">
        <v>180</v>
      </c>
      <c r="B74" s="174" t="s">
        <v>181</v>
      </c>
      <c r="C74" s="27">
        <v>0</v>
      </c>
      <c r="D74" s="27" t="s">
        <v>99</v>
      </c>
      <c r="E74" s="27"/>
      <c r="F74" s="112">
        <v>189572.91</v>
      </c>
      <c r="G74" s="112"/>
      <c r="H74" s="112"/>
      <c r="I74" s="124">
        <v>0</v>
      </c>
      <c r="J74" s="124">
        <v>0</v>
      </c>
      <c r="K74" s="124">
        <v>0</v>
      </c>
      <c r="L74" s="124">
        <v>0</v>
      </c>
      <c r="M74" s="124">
        <v>0</v>
      </c>
      <c r="N74" s="44">
        <f t="shared" si="24"/>
        <v>0</v>
      </c>
      <c r="O74" s="44">
        <v>0</v>
      </c>
      <c r="P74" s="125">
        <f t="shared" si="30"/>
        <v>0</v>
      </c>
      <c r="Q74" s="44"/>
      <c r="R74" s="44">
        <f t="shared" si="25"/>
        <v>0</v>
      </c>
      <c r="S74" s="54">
        <v>0</v>
      </c>
      <c r="T74" s="54">
        <v>0</v>
      </c>
      <c r="U74" s="54">
        <v>0</v>
      </c>
      <c r="V74" s="60">
        <v>0</v>
      </c>
      <c r="W74" s="60">
        <v>0</v>
      </c>
      <c r="X74" s="60">
        <v>0</v>
      </c>
      <c r="Y74" s="60">
        <v>0</v>
      </c>
      <c r="Z74" s="60">
        <v>0</v>
      </c>
      <c r="AA74" s="60">
        <f t="shared" si="26"/>
        <v>0</v>
      </c>
      <c r="AB74" s="60">
        <v>0</v>
      </c>
      <c r="AC74" s="43">
        <v>0</v>
      </c>
      <c r="AD74" s="60">
        <v>0</v>
      </c>
      <c r="AE74" s="60"/>
      <c r="AF74" s="60"/>
      <c r="AG74" s="60"/>
      <c r="AH74" s="60">
        <f t="shared" si="27"/>
        <v>189572.91</v>
      </c>
      <c r="AI74" s="60"/>
      <c r="AJ74" s="60">
        <f t="shared" si="31"/>
        <v>189572.91</v>
      </c>
      <c r="AK74" s="7"/>
      <c r="AL74" s="64">
        <v>0</v>
      </c>
      <c r="AM74" s="64">
        <v>22151</v>
      </c>
      <c r="AN74" s="64">
        <v>0</v>
      </c>
      <c r="AO74" s="64">
        <v>0</v>
      </c>
      <c r="AP74" s="64">
        <v>0</v>
      </c>
      <c r="AQ74" s="64">
        <f t="shared" si="28"/>
        <v>22151</v>
      </c>
      <c r="AR74" s="59">
        <f t="shared" si="32"/>
        <v>0</v>
      </c>
      <c r="AS74" s="59">
        <f t="shared" si="33"/>
        <v>0</v>
      </c>
      <c r="AT74" s="141">
        <f t="shared" si="34"/>
        <v>0</v>
      </c>
      <c r="AU74" s="141">
        <f t="shared" si="35"/>
        <v>0</v>
      </c>
    </row>
    <row r="75" spans="1:47">
      <c r="A75" s="28" t="s">
        <v>182</v>
      </c>
      <c r="B75" s="27" t="s">
        <v>183</v>
      </c>
      <c r="C75" s="27">
        <v>0</v>
      </c>
      <c r="D75" s="27">
        <v>0</v>
      </c>
      <c r="E75" s="27"/>
      <c r="F75" s="112">
        <v>-57720.07</v>
      </c>
      <c r="G75" s="112">
        <v>0</v>
      </c>
      <c r="H75" s="112">
        <v>0</v>
      </c>
      <c r="I75" s="124">
        <v>0</v>
      </c>
      <c r="J75" s="124">
        <v>0</v>
      </c>
      <c r="K75" s="124">
        <v>0</v>
      </c>
      <c r="L75" s="124">
        <v>0</v>
      </c>
      <c r="M75" s="124">
        <v>0</v>
      </c>
      <c r="N75" s="44">
        <f t="shared" si="24"/>
        <v>0</v>
      </c>
      <c r="O75" s="44">
        <v>0</v>
      </c>
      <c r="P75" s="125">
        <f t="shared" si="30"/>
        <v>0</v>
      </c>
      <c r="Q75" s="44"/>
      <c r="R75" s="44">
        <f t="shared" si="25"/>
        <v>0</v>
      </c>
      <c r="S75" s="54">
        <v>0</v>
      </c>
      <c r="T75" s="54">
        <v>0</v>
      </c>
      <c r="U75" s="54">
        <v>0</v>
      </c>
      <c r="V75" s="60">
        <v>0</v>
      </c>
      <c r="W75" s="60">
        <v>0</v>
      </c>
      <c r="X75" s="60">
        <v>0</v>
      </c>
      <c r="Y75" s="60">
        <v>0</v>
      </c>
      <c r="Z75" s="60">
        <v>0</v>
      </c>
      <c r="AA75" s="60">
        <f t="shared" si="26"/>
        <v>0</v>
      </c>
      <c r="AB75" s="60">
        <v>0</v>
      </c>
      <c r="AC75" s="43">
        <v>0</v>
      </c>
      <c r="AD75" s="60">
        <v>0</v>
      </c>
      <c r="AE75" s="60"/>
      <c r="AF75" s="60"/>
      <c r="AG75" s="60"/>
      <c r="AH75" s="60">
        <f t="shared" si="27"/>
        <v>-57720.07</v>
      </c>
      <c r="AI75" s="60"/>
      <c r="AJ75" s="60"/>
      <c r="AK75" s="7"/>
      <c r="AL75" s="64">
        <v>0</v>
      </c>
      <c r="AM75" s="64">
        <v>0</v>
      </c>
      <c r="AN75" s="64">
        <v>0</v>
      </c>
      <c r="AO75" s="64">
        <v>0</v>
      </c>
      <c r="AP75" s="64">
        <v>0</v>
      </c>
      <c r="AQ75" s="64">
        <f t="shared" si="28"/>
        <v>0</v>
      </c>
      <c r="AR75" s="59">
        <f t="shared" si="32"/>
        <v>0</v>
      </c>
      <c r="AS75" s="59">
        <f t="shared" si="33"/>
        <v>0</v>
      </c>
      <c r="AT75" s="141">
        <f t="shared" si="34"/>
        <v>0</v>
      </c>
      <c r="AU75" s="141">
        <f t="shared" si="35"/>
        <v>0</v>
      </c>
    </row>
    <row r="76" spans="1:47">
      <c r="A76" s="28" t="s">
        <v>184</v>
      </c>
      <c r="B76" s="27" t="s">
        <v>185</v>
      </c>
      <c r="C76" s="27" t="s">
        <v>99</v>
      </c>
      <c r="D76" s="27" t="s">
        <v>99</v>
      </c>
      <c r="E76" s="27"/>
      <c r="F76" s="112">
        <v>44823.05</v>
      </c>
      <c r="G76" s="112">
        <v>0</v>
      </c>
      <c r="H76" s="112">
        <v>0</v>
      </c>
      <c r="I76" s="124">
        <v>0</v>
      </c>
      <c r="J76" s="124">
        <v>0</v>
      </c>
      <c r="K76" s="124">
        <v>0</v>
      </c>
      <c r="L76" s="124">
        <v>0</v>
      </c>
      <c r="M76" s="124">
        <v>0</v>
      </c>
      <c r="N76" s="44">
        <f t="shared" si="24"/>
        <v>0</v>
      </c>
      <c r="O76" s="44">
        <v>0</v>
      </c>
      <c r="P76" s="125">
        <f t="shared" si="30"/>
        <v>0</v>
      </c>
      <c r="Q76" s="44"/>
      <c r="R76" s="44">
        <f t="shared" si="25"/>
        <v>0</v>
      </c>
      <c r="S76" s="54">
        <v>0</v>
      </c>
      <c r="T76" s="54">
        <v>0</v>
      </c>
      <c r="U76" s="54">
        <v>0</v>
      </c>
      <c r="V76" s="60">
        <v>0</v>
      </c>
      <c r="W76" s="60">
        <v>0</v>
      </c>
      <c r="X76" s="60">
        <v>0</v>
      </c>
      <c r="Y76" s="60">
        <v>0</v>
      </c>
      <c r="Z76" s="60">
        <v>0</v>
      </c>
      <c r="AA76" s="60">
        <f t="shared" si="26"/>
        <v>0</v>
      </c>
      <c r="AB76" s="60">
        <v>0</v>
      </c>
      <c r="AC76" s="43">
        <v>0</v>
      </c>
      <c r="AD76" s="60">
        <v>0</v>
      </c>
      <c r="AE76" s="60"/>
      <c r="AF76" s="60"/>
      <c r="AG76" s="60"/>
      <c r="AH76" s="60">
        <f t="shared" si="27"/>
        <v>44823.05</v>
      </c>
      <c r="AI76" s="60"/>
      <c r="AJ76" s="60">
        <f t="shared" si="31"/>
        <v>44823.05</v>
      </c>
      <c r="AK76" s="7"/>
      <c r="AL76" s="64">
        <v>35683.28</v>
      </c>
      <c r="AM76" s="64">
        <v>2800</v>
      </c>
      <c r="AN76" s="64">
        <v>0</v>
      </c>
      <c r="AO76" s="64">
        <v>0</v>
      </c>
      <c r="AP76" s="64">
        <v>0</v>
      </c>
      <c r="AQ76" s="64">
        <f t="shared" si="28"/>
        <v>38483.28</v>
      </c>
      <c r="AR76" s="59">
        <f t="shared" si="32"/>
        <v>0</v>
      </c>
      <c r="AS76" s="59">
        <f t="shared" si="33"/>
        <v>0</v>
      </c>
      <c r="AT76" s="141">
        <f t="shared" si="34"/>
        <v>0</v>
      </c>
      <c r="AU76" s="141">
        <f t="shared" si="35"/>
        <v>0</v>
      </c>
    </row>
    <row r="77" spans="1:47">
      <c r="A77" s="28" t="s">
        <v>186</v>
      </c>
      <c r="B77" s="27" t="s">
        <v>187</v>
      </c>
      <c r="C77" s="27" t="s">
        <v>52</v>
      </c>
      <c r="D77" s="27" t="s">
        <v>52</v>
      </c>
      <c r="E77" s="27" t="s">
        <v>79</v>
      </c>
      <c r="F77" s="112">
        <v>5347539.19</v>
      </c>
      <c r="G77" s="112">
        <f>F77</f>
        <v>5347539.19</v>
      </c>
      <c r="H77" s="112">
        <v>5186000</v>
      </c>
      <c r="I77" s="124">
        <v>140</v>
      </c>
      <c r="J77" s="124">
        <v>0</v>
      </c>
      <c r="K77" s="124">
        <v>40</v>
      </c>
      <c r="L77" s="124">
        <v>0</v>
      </c>
      <c r="M77" s="124">
        <v>0</v>
      </c>
      <c r="N77" s="44">
        <f t="shared" si="24"/>
        <v>180</v>
      </c>
      <c r="O77" s="44">
        <v>2330000</v>
      </c>
      <c r="P77" s="125">
        <f t="shared" si="30"/>
        <v>2330000</v>
      </c>
      <c r="Q77" s="44"/>
      <c r="R77" s="44">
        <f t="shared" si="25"/>
        <v>2330000</v>
      </c>
      <c r="S77" s="54">
        <v>0</v>
      </c>
      <c r="T77" s="54">
        <v>140</v>
      </c>
      <c r="U77" s="54">
        <v>35</v>
      </c>
      <c r="V77" s="60">
        <v>0</v>
      </c>
      <c r="W77" s="60">
        <v>0</v>
      </c>
      <c r="X77" s="60">
        <v>0</v>
      </c>
      <c r="Y77" s="60">
        <v>0</v>
      </c>
      <c r="Z77" s="60">
        <v>0</v>
      </c>
      <c r="AA77" s="60">
        <f t="shared" si="26"/>
        <v>0</v>
      </c>
      <c r="AB77" s="60">
        <v>0</v>
      </c>
      <c r="AC77" s="43">
        <v>0</v>
      </c>
      <c r="AD77" s="60">
        <v>0</v>
      </c>
      <c r="AE77" s="60"/>
      <c r="AF77" s="60"/>
      <c r="AG77" s="60"/>
      <c r="AH77" s="60">
        <f t="shared" si="27"/>
        <v>5347539.19</v>
      </c>
      <c r="AI77" s="60"/>
      <c r="AJ77" s="60">
        <f t="shared" si="31"/>
        <v>0</v>
      </c>
      <c r="AK77" s="7"/>
      <c r="AL77" s="64">
        <v>63400</v>
      </c>
      <c r="AM77" s="64">
        <v>112100</v>
      </c>
      <c r="AN77" s="64">
        <v>3600</v>
      </c>
      <c r="AO77" s="64">
        <v>0</v>
      </c>
      <c r="AP77" s="64">
        <v>0</v>
      </c>
      <c r="AQ77" s="64">
        <f t="shared" si="28"/>
        <v>179100</v>
      </c>
      <c r="AR77" s="59">
        <f t="shared" si="32"/>
        <v>140</v>
      </c>
      <c r="AS77" s="59">
        <f t="shared" si="33"/>
        <v>40</v>
      </c>
      <c r="AT77" s="141">
        <f t="shared" si="34"/>
        <v>10.7692307692308</v>
      </c>
      <c r="AU77" s="141">
        <f t="shared" si="35"/>
        <v>3.07692307692308</v>
      </c>
    </row>
    <row r="78" spans="1:47">
      <c r="A78" s="28" t="s">
        <v>188</v>
      </c>
      <c r="B78" s="27" t="s">
        <v>189</v>
      </c>
      <c r="C78" s="27">
        <v>0</v>
      </c>
      <c r="D78" s="27">
        <v>0</v>
      </c>
      <c r="E78" s="27"/>
      <c r="F78" s="112">
        <v>1250777</v>
      </c>
      <c r="G78" s="112">
        <v>0</v>
      </c>
      <c r="H78" s="112">
        <v>0</v>
      </c>
      <c r="I78" s="124">
        <v>0</v>
      </c>
      <c r="J78" s="124">
        <v>0</v>
      </c>
      <c r="K78" s="124">
        <v>0</v>
      </c>
      <c r="L78" s="124">
        <v>0</v>
      </c>
      <c r="M78" s="124">
        <v>0</v>
      </c>
      <c r="N78" s="44">
        <f t="shared" si="24"/>
        <v>0</v>
      </c>
      <c r="O78" s="44">
        <v>0</v>
      </c>
      <c r="P78" s="125">
        <f t="shared" si="30"/>
        <v>0</v>
      </c>
      <c r="Q78" s="44"/>
      <c r="R78" s="44">
        <f t="shared" si="25"/>
        <v>0</v>
      </c>
      <c r="S78" s="54">
        <v>0</v>
      </c>
      <c r="T78" s="54">
        <v>0</v>
      </c>
      <c r="U78" s="54">
        <v>0</v>
      </c>
      <c r="V78" s="60">
        <v>0</v>
      </c>
      <c r="W78" s="60">
        <v>0</v>
      </c>
      <c r="X78" s="60">
        <v>0</v>
      </c>
      <c r="Y78" s="60">
        <v>0</v>
      </c>
      <c r="Z78" s="60">
        <v>0</v>
      </c>
      <c r="AA78" s="60">
        <f t="shared" si="26"/>
        <v>0</v>
      </c>
      <c r="AB78" s="60">
        <v>0</v>
      </c>
      <c r="AC78" s="43">
        <v>0</v>
      </c>
      <c r="AD78" s="60">
        <v>0</v>
      </c>
      <c r="AE78" s="60"/>
      <c r="AF78" s="60"/>
      <c r="AG78" s="60"/>
      <c r="AH78" s="60">
        <f t="shared" si="27"/>
        <v>1250777</v>
      </c>
      <c r="AI78" s="60"/>
      <c r="AJ78" s="60"/>
      <c r="AK78" s="7"/>
      <c r="AL78" s="64">
        <v>0</v>
      </c>
      <c r="AM78" s="64">
        <v>0</v>
      </c>
      <c r="AN78" s="64">
        <v>0</v>
      </c>
      <c r="AO78" s="64">
        <v>0</v>
      </c>
      <c r="AP78" s="64">
        <v>0</v>
      </c>
      <c r="AQ78" s="64">
        <f t="shared" si="28"/>
        <v>0</v>
      </c>
      <c r="AR78" s="59">
        <f t="shared" si="32"/>
        <v>0</v>
      </c>
      <c r="AS78" s="59">
        <f t="shared" si="33"/>
        <v>0</v>
      </c>
      <c r="AT78" s="141">
        <f t="shared" si="34"/>
        <v>0</v>
      </c>
      <c r="AU78" s="141">
        <f t="shared" si="35"/>
        <v>0</v>
      </c>
    </row>
    <row r="79" spans="1:47">
      <c r="A79" s="28" t="s">
        <v>190</v>
      </c>
      <c r="B79" s="174" t="s">
        <v>191</v>
      </c>
      <c r="C79" s="27" t="s">
        <v>49</v>
      </c>
      <c r="D79" s="27" t="s">
        <v>49</v>
      </c>
      <c r="E79" s="27"/>
      <c r="F79" s="112">
        <v>301656</v>
      </c>
      <c r="G79" s="112"/>
      <c r="H79" s="112"/>
      <c r="I79" s="124">
        <v>50</v>
      </c>
      <c r="J79" s="124">
        <v>0</v>
      </c>
      <c r="K79" s="124">
        <v>100</v>
      </c>
      <c r="L79" s="124">
        <v>0</v>
      </c>
      <c r="M79" s="124">
        <v>0</v>
      </c>
      <c r="N79" s="44">
        <f t="shared" si="24"/>
        <v>150</v>
      </c>
      <c r="O79" s="44">
        <v>635000</v>
      </c>
      <c r="P79" s="125">
        <f t="shared" si="30"/>
        <v>635000</v>
      </c>
      <c r="Q79" s="44"/>
      <c r="R79" s="44"/>
      <c r="S79" s="54">
        <v>0</v>
      </c>
      <c r="T79" s="54">
        <v>60</v>
      </c>
      <c r="U79" s="54">
        <v>140</v>
      </c>
      <c r="V79" s="60">
        <v>0</v>
      </c>
      <c r="W79" s="60">
        <v>0</v>
      </c>
      <c r="X79" s="60">
        <v>0</v>
      </c>
      <c r="Y79" s="60">
        <v>0</v>
      </c>
      <c r="Z79" s="60">
        <v>0</v>
      </c>
      <c r="AA79" s="60">
        <f t="shared" si="26"/>
        <v>0</v>
      </c>
      <c r="AB79" s="60">
        <v>0</v>
      </c>
      <c r="AC79" s="43">
        <v>0</v>
      </c>
      <c r="AD79" s="60">
        <v>0</v>
      </c>
      <c r="AE79" s="60"/>
      <c r="AF79" s="60"/>
      <c r="AG79" s="60"/>
      <c r="AH79" s="60">
        <f t="shared" si="27"/>
        <v>301656</v>
      </c>
      <c r="AI79" s="60"/>
      <c r="AJ79" s="60">
        <f t="shared" si="31"/>
        <v>301656</v>
      </c>
      <c r="AK79" s="7"/>
      <c r="AL79" s="64">
        <v>0</v>
      </c>
      <c r="AM79" s="64">
        <v>70000</v>
      </c>
      <c r="AN79" s="64">
        <v>80000</v>
      </c>
      <c r="AO79" s="64">
        <v>0</v>
      </c>
      <c r="AP79" s="64">
        <v>0</v>
      </c>
      <c r="AQ79" s="64">
        <f t="shared" si="28"/>
        <v>150000</v>
      </c>
      <c r="AR79" s="59">
        <f t="shared" si="32"/>
        <v>50</v>
      </c>
      <c r="AS79" s="59">
        <f t="shared" si="33"/>
        <v>100</v>
      </c>
      <c r="AT79" s="141">
        <f t="shared" si="34"/>
        <v>3.84615384615385</v>
      </c>
      <c r="AU79" s="141">
        <f t="shared" si="35"/>
        <v>7.69230769230769</v>
      </c>
    </row>
    <row r="80" spans="1:47">
      <c r="A80" s="28" t="s">
        <v>192</v>
      </c>
      <c r="B80" s="27" t="s">
        <v>193</v>
      </c>
      <c r="C80" s="27" t="s">
        <v>99</v>
      </c>
      <c r="D80" s="27" t="s">
        <v>99</v>
      </c>
      <c r="E80" s="27"/>
      <c r="F80" s="112">
        <v>713266</v>
      </c>
      <c r="G80" s="112">
        <v>0</v>
      </c>
      <c r="H80" s="112">
        <v>0</v>
      </c>
      <c r="I80" s="124">
        <v>30</v>
      </c>
      <c r="J80" s="124">
        <v>0</v>
      </c>
      <c r="K80" s="124">
        <v>0</v>
      </c>
      <c r="L80" s="124">
        <v>0</v>
      </c>
      <c r="M80" s="124">
        <v>0</v>
      </c>
      <c r="N80" s="44">
        <f t="shared" si="24"/>
        <v>30</v>
      </c>
      <c r="O80" s="44">
        <v>396000</v>
      </c>
      <c r="P80" s="125">
        <f t="shared" si="30"/>
        <v>396000</v>
      </c>
      <c r="Q80" s="44"/>
      <c r="R80" s="44">
        <f t="shared" ref="R80:R88" si="36">P80+Q80</f>
        <v>396000</v>
      </c>
      <c r="S80" s="54">
        <v>457915.484210526</v>
      </c>
      <c r="T80" s="54">
        <v>60</v>
      </c>
      <c r="U80" s="54">
        <v>0</v>
      </c>
      <c r="V80" s="60">
        <v>4</v>
      </c>
      <c r="W80" s="60">
        <v>0</v>
      </c>
      <c r="X80" s="60">
        <v>0</v>
      </c>
      <c r="Y80" s="60">
        <v>0</v>
      </c>
      <c r="Z80" s="60">
        <v>0</v>
      </c>
      <c r="AA80" s="60">
        <f t="shared" si="26"/>
        <v>4</v>
      </c>
      <c r="AB80" s="60">
        <v>57000</v>
      </c>
      <c r="AC80" s="43">
        <v>417750</v>
      </c>
      <c r="AD80" s="60">
        <v>0</v>
      </c>
      <c r="AE80" s="60"/>
      <c r="AF80" s="60"/>
      <c r="AG80" s="60"/>
      <c r="AH80" s="60">
        <f t="shared" si="27"/>
        <v>352516</v>
      </c>
      <c r="AI80" s="60"/>
      <c r="AJ80" s="60">
        <f t="shared" si="31"/>
        <v>352516</v>
      </c>
      <c r="AK80" s="7"/>
      <c r="AL80" s="64">
        <v>100371</v>
      </c>
      <c r="AM80" s="64">
        <v>69641.2</v>
      </c>
      <c r="AN80" s="64">
        <v>67812</v>
      </c>
      <c r="AO80" s="64">
        <v>1894.73684210526</v>
      </c>
      <c r="AP80" s="64">
        <v>15631.5789473684</v>
      </c>
      <c r="AQ80" s="64">
        <f t="shared" si="28"/>
        <v>255350.515789474</v>
      </c>
      <c r="AR80" s="59">
        <f t="shared" si="32"/>
        <v>26</v>
      </c>
      <c r="AS80" s="59">
        <f t="shared" si="33"/>
        <v>0</v>
      </c>
      <c r="AT80" s="141">
        <f t="shared" si="34"/>
        <v>2</v>
      </c>
      <c r="AU80" s="141">
        <f t="shared" si="35"/>
        <v>0</v>
      </c>
    </row>
    <row r="81" spans="1:47">
      <c r="A81" s="28" t="s">
        <v>194</v>
      </c>
      <c r="B81" s="27" t="s">
        <v>195</v>
      </c>
      <c r="C81" s="27" t="s">
        <v>2</v>
      </c>
      <c r="D81" s="27" t="s">
        <v>2</v>
      </c>
      <c r="E81" s="27"/>
      <c r="F81" s="112">
        <v>107560</v>
      </c>
      <c r="G81" s="112">
        <v>0</v>
      </c>
      <c r="H81" s="112">
        <v>0</v>
      </c>
      <c r="I81" s="124">
        <v>0</v>
      </c>
      <c r="J81" s="124">
        <v>0</v>
      </c>
      <c r="K81" s="124">
        <v>0</v>
      </c>
      <c r="L81" s="124">
        <v>0</v>
      </c>
      <c r="M81" s="124">
        <v>0</v>
      </c>
      <c r="N81" s="44">
        <f t="shared" si="24"/>
        <v>0</v>
      </c>
      <c r="O81" s="44">
        <v>0</v>
      </c>
      <c r="P81" s="125">
        <f t="shared" si="30"/>
        <v>0</v>
      </c>
      <c r="Q81" s="44"/>
      <c r="R81" s="44">
        <f t="shared" si="36"/>
        <v>0</v>
      </c>
      <c r="S81" s="54">
        <v>0</v>
      </c>
      <c r="T81" s="54">
        <v>20</v>
      </c>
      <c r="U81" s="54">
        <v>0</v>
      </c>
      <c r="V81" s="60">
        <v>0</v>
      </c>
      <c r="W81" s="60">
        <v>0</v>
      </c>
      <c r="X81" s="60">
        <v>0</v>
      </c>
      <c r="Y81" s="60">
        <v>10</v>
      </c>
      <c r="Z81" s="60">
        <v>0</v>
      </c>
      <c r="AA81" s="60">
        <f t="shared" si="26"/>
        <v>10</v>
      </c>
      <c r="AB81" s="60">
        <v>216145</v>
      </c>
      <c r="AC81" s="43">
        <v>60000</v>
      </c>
      <c r="AD81" s="60">
        <v>0</v>
      </c>
      <c r="AE81" s="60"/>
      <c r="AF81" s="60"/>
      <c r="AG81" s="60"/>
      <c r="AH81" s="60">
        <f t="shared" si="27"/>
        <v>263705</v>
      </c>
      <c r="AI81" s="60">
        <f>AH81-AQ81-H81</f>
        <v>239801.49122807</v>
      </c>
      <c r="AJ81" s="60">
        <f t="shared" si="31"/>
        <v>263705</v>
      </c>
      <c r="AK81" s="7"/>
      <c r="AL81" s="64">
        <v>0</v>
      </c>
      <c r="AM81" s="64">
        <v>7500</v>
      </c>
      <c r="AN81" s="64">
        <v>15000</v>
      </c>
      <c r="AO81" s="64">
        <v>1403.50877192982</v>
      </c>
      <c r="AP81" s="64">
        <v>0</v>
      </c>
      <c r="AQ81" s="64">
        <f t="shared" si="28"/>
        <v>23903.5087719298</v>
      </c>
      <c r="AR81" s="59">
        <f t="shared" si="32"/>
        <v>0</v>
      </c>
      <c r="AS81" s="59">
        <f t="shared" si="33"/>
        <v>0</v>
      </c>
      <c r="AT81" s="141">
        <f t="shared" si="34"/>
        <v>0</v>
      </c>
      <c r="AU81" s="141">
        <f t="shared" si="35"/>
        <v>0</v>
      </c>
    </row>
    <row r="82" spans="1:47">
      <c r="A82" s="28" t="s">
        <v>196</v>
      </c>
      <c r="B82" s="27" t="s">
        <v>197</v>
      </c>
      <c r="C82" s="27">
        <v>0</v>
      </c>
      <c r="D82" s="27" t="s">
        <v>99</v>
      </c>
      <c r="E82" s="27"/>
      <c r="F82" s="112">
        <v>8094.96</v>
      </c>
      <c r="G82" s="112">
        <v>0</v>
      </c>
      <c r="H82" s="112">
        <v>0</v>
      </c>
      <c r="I82" s="124">
        <v>0</v>
      </c>
      <c r="J82" s="124">
        <v>0</v>
      </c>
      <c r="K82" s="124">
        <v>0</v>
      </c>
      <c r="L82" s="124">
        <v>0</v>
      </c>
      <c r="M82" s="124">
        <v>0</v>
      </c>
      <c r="N82" s="44">
        <f t="shared" si="24"/>
        <v>0</v>
      </c>
      <c r="O82" s="44">
        <v>0</v>
      </c>
      <c r="P82" s="125">
        <f t="shared" si="30"/>
        <v>0</v>
      </c>
      <c r="Q82" s="44"/>
      <c r="R82" s="44">
        <f t="shared" si="36"/>
        <v>0</v>
      </c>
      <c r="S82" s="54">
        <v>0</v>
      </c>
      <c r="T82" s="54">
        <v>0</v>
      </c>
      <c r="U82" s="54">
        <v>0</v>
      </c>
      <c r="V82" s="60">
        <v>0</v>
      </c>
      <c r="W82" s="60">
        <v>0</v>
      </c>
      <c r="X82" s="60">
        <v>0</v>
      </c>
      <c r="Y82" s="60">
        <v>0</v>
      </c>
      <c r="Z82" s="60">
        <v>0</v>
      </c>
      <c r="AA82" s="60">
        <f t="shared" si="26"/>
        <v>0</v>
      </c>
      <c r="AB82" s="60">
        <v>0</v>
      </c>
      <c r="AC82" s="43">
        <v>0</v>
      </c>
      <c r="AD82" s="60">
        <v>0</v>
      </c>
      <c r="AE82" s="60"/>
      <c r="AF82" s="60"/>
      <c r="AG82" s="60"/>
      <c r="AH82" s="60">
        <f t="shared" si="27"/>
        <v>8094.96</v>
      </c>
      <c r="AI82" s="60"/>
      <c r="AJ82" s="60"/>
      <c r="AK82" s="7"/>
      <c r="AL82" s="64">
        <v>0</v>
      </c>
      <c r="AM82" s="64">
        <v>0</v>
      </c>
      <c r="AN82" s="64">
        <v>700</v>
      </c>
      <c r="AO82" s="64">
        <v>0</v>
      </c>
      <c r="AP82" s="64">
        <v>0</v>
      </c>
      <c r="AQ82" s="64">
        <f t="shared" si="28"/>
        <v>700</v>
      </c>
      <c r="AR82" s="59">
        <f t="shared" si="32"/>
        <v>0</v>
      </c>
      <c r="AS82" s="59">
        <f t="shared" si="33"/>
        <v>0</v>
      </c>
      <c r="AT82" s="141">
        <f t="shared" si="34"/>
        <v>0</v>
      </c>
      <c r="AU82" s="141">
        <f t="shared" si="35"/>
        <v>0</v>
      </c>
    </row>
    <row r="83" spans="1:47">
      <c r="A83" s="28" t="s">
        <v>198</v>
      </c>
      <c r="B83" s="27" t="s">
        <v>199</v>
      </c>
      <c r="C83" s="27" t="s">
        <v>52</v>
      </c>
      <c r="D83" s="27" t="s">
        <v>52</v>
      </c>
      <c r="E83" s="27" t="s">
        <v>142</v>
      </c>
      <c r="F83" s="112">
        <v>6515760</v>
      </c>
      <c r="G83" s="112">
        <v>1500000</v>
      </c>
      <c r="H83" s="112">
        <v>3500000</v>
      </c>
      <c r="I83" s="124">
        <v>200</v>
      </c>
      <c r="J83" s="124">
        <v>0</v>
      </c>
      <c r="K83" s="124">
        <v>0</v>
      </c>
      <c r="L83" s="124">
        <v>0</v>
      </c>
      <c r="M83" s="124">
        <v>0</v>
      </c>
      <c r="N83" s="44">
        <f t="shared" si="24"/>
        <v>200</v>
      </c>
      <c r="O83" s="44">
        <v>2600000</v>
      </c>
      <c r="P83" s="125">
        <f t="shared" si="30"/>
        <v>2600000</v>
      </c>
      <c r="Q83" s="44"/>
      <c r="R83" s="44">
        <f t="shared" si="36"/>
        <v>2600000</v>
      </c>
      <c r="S83" s="54">
        <v>2000000</v>
      </c>
      <c r="T83" s="54">
        <v>200</v>
      </c>
      <c r="U83" s="54">
        <v>0</v>
      </c>
      <c r="V83" s="60">
        <v>235</v>
      </c>
      <c r="W83" s="60">
        <v>0</v>
      </c>
      <c r="X83" s="60">
        <v>0</v>
      </c>
      <c r="Y83" s="60">
        <v>0</v>
      </c>
      <c r="Z83" s="60">
        <v>0</v>
      </c>
      <c r="AA83" s="60">
        <f t="shared" si="26"/>
        <v>235</v>
      </c>
      <c r="AB83" s="60">
        <v>3348750</v>
      </c>
      <c r="AC83" s="43">
        <v>0</v>
      </c>
      <c r="AD83" s="60">
        <v>2284200</v>
      </c>
      <c r="AE83" s="60"/>
      <c r="AF83" s="60"/>
      <c r="AG83" s="60"/>
      <c r="AH83" s="60">
        <f t="shared" si="27"/>
        <v>7580310</v>
      </c>
      <c r="AI83" s="60">
        <f>AH83-AQ83-H83</f>
        <v>3581578.27157895</v>
      </c>
      <c r="AJ83" s="60">
        <f t="shared" si="31"/>
        <v>6080310</v>
      </c>
      <c r="AK83" s="7"/>
      <c r="AL83" s="64">
        <v>120830.2</v>
      </c>
      <c r="AM83" s="64">
        <v>162000</v>
      </c>
      <c r="AN83" s="64">
        <v>168554.16</v>
      </c>
      <c r="AO83" s="64">
        <v>12610.5263157895</v>
      </c>
      <c r="AP83" s="64">
        <v>34736.8421052632</v>
      </c>
      <c r="AQ83" s="64">
        <f t="shared" si="28"/>
        <v>498731.728421053</v>
      </c>
      <c r="AR83" s="59">
        <f t="shared" si="32"/>
        <v>-35</v>
      </c>
      <c r="AS83" s="59">
        <f t="shared" si="33"/>
        <v>0</v>
      </c>
      <c r="AT83" s="141">
        <f t="shared" si="34"/>
        <v>-2.69230769230769</v>
      </c>
      <c r="AU83" s="141">
        <f t="shared" si="35"/>
        <v>0</v>
      </c>
    </row>
    <row r="84" spans="1:47">
      <c r="A84" s="28" t="s">
        <v>200</v>
      </c>
      <c r="B84" s="27" t="s">
        <v>201</v>
      </c>
      <c r="C84" s="27" t="s">
        <v>49</v>
      </c>
      <c r="D84" s="27" t="s">
        <v>49</v>
      </c>
      <c r="E84" s="27" t="s">
        <v>142</v>
      </c>
      <c r="F84" s="112">
        <v>3075700</v>
      </c>
      <c r="G84" s="112">
        <v>0</v>
      </c>
      <c r="H84" s="112">
        <v>600000</v>
      </c>
      <c r="I84" s="124">
        <v>0</v>
      </c>
      <c r="J84" s="124">
        <v>0</v>
      </c>
      <c r="K84" s="124">
        <v>550</v>
      </c>
      <c r="L84" s="124">
        <v>0</v>
      </c>
      <c r="M84" s="124">
        <v>0</v>
      </c>
      <c r="N84" s="44">
        <f t="shared" si="24"/>
        <v>550</v>
      </c>
      <c r="O84" s="44">
        <v>2145000</v>
      </c>
      <c r="P84" s="125">
        <f t="shared" si="30"/>
        <v>2145000</v>
      </c>
      <c r="Q84" s="44"/>
      <c r="R84" s="44">
        <f t="shared" si="36"/>
        <v>2145000</v>
      </c>
      <c r="S84" s="54">
        <v>1072100</v>
      </c>
      <c r="T84" s="54">
        <v>0</v>
      </c>
      <c r="U84" s="54">
        <v>500</v>
      </c>
      <c r="V84" s="60">
        <v>0</v>
      </c>
      <c r="W84" s="60">
        <v>0</v>
      </c>
      <c r="X84" s="60">
        <v>530</v>
      </c>
      <c r="Y84" s="60">
        <v>0</v>
      </c>
      <c r="Z84" s="60">
        <v>0</v>
      </c>
      <c r="AA84" s="60">
        <f t="shared" si="26"/>
        <v>530</v>
      </c>
      <c r="AB84" s="60">
        <v>2385000</v>
      </c>
      <c r="AC84" s="43">
        <v>900000</v>
      </c>
      <c r="AD84" s="60">
        <v>0</v>
      </c>
      <c r="AE84" s="60"/>
      <c r="AF84" s="60"/>
      <c r="AG84" s="60"/>
      <c r="AH84" s="60">
        <f t="shared" si="27"/>
        <v>4560700</v>
      </c>
      <c r="AI84" s="60">
        <f>AH84-AQ84-H84</f>
        <v>3075100</v>
      </c>
      <c r="AJ84" s="60">
        <f t="shared" si="31"/>
        <v>4560700</v>
      </c>
      <c r="AK84" s="7"/>
      <c r="AL84" s="64">
        <v>209600</v>
      </c>
      <c r="AM84" s="64">
        <v>253000</v>
      </c>
      <c r="AN84" s="64">
        <v>423000</v>
      </c>
      <c r="AO84" s="64">
        <v>0</v>
      </c>
      <c r="AP84" s="64">
        <v>0</v>
      </c>
      <c r="AQ84" s="64">
        <f t="shared" si="28"/>
        <v>885600</v>
      </c>
      <c r="AR84" s="59">
        <f t="shared" si="32"/>
        <v>0</v>
      </c>
      <c r="AS84" s="59">
        <f t="shared" si="33"/>
        <v>20</v>
      </c>
      <c r="AT84" s="141">
        <f t="shared" si="34"/>
        <v>0</v>
      </c>
      <c r="AU84" s="141">
        <f t="shared" si="35"/>
        <v>1.53846153846154</v>
      </c>
    </row>
    <row r="85" spans="1:47">
      <c r="A85" s="28" t="s">
        <v>202</v>
      </c>
      <c r="B85" s="174" t="s">
        <v>203</v>
      </c>
      <c r="C85" s="27">
        <v>0</v>
      </c>
      <c r="D85" s="27" t="s">
        <v>99</v>
      </c>
      <c r="E85" s="27"/>
      <c r="F85" s="112">
        <v>299421</v>
      </c>
      <c r="G85" s="112"/>
      <c r="H85" s="112"/>
      <c r="I85" s="124">
        <v>0</v>
      </c>
      <c r="J85" s="124">
        <v>0</v>
      </c>
      <c r="K85" s="124">
        <v>0</v>
      </c>
      <c r="L85" s="124">
        <v>0</v>
      </c>
      <c r="M85" s="124">
        <v>0</v>
      </c>
      <c r="N85" s="44">
        <f t="shared" si="24"/>
        <v>0</v>
      </c>
      <c r="O85" s="44">
        <v>0</v>
      </c>
      <c r="P85" s="125">
        <f t="shared" si="30"/>
        <v>0</v>
      </c>
      <c r="Q85" s="44"/>
      <c r="R85" s="44">
        <f t="shared" si="36"/>
        <v>0</v>
      </c>
      <c r="S85" s="54">
        <v>0</v>
      </c>
      <c r="T85" s="54">
        <v>0</v>
      </c>
      <c r="U85" s="54">
        <v>0</v>
      </c>
      <c r="V85" s="60">
        <v>0</v>
      </c>
      <c r="W85" s="60">
        <v>0</v>
      </c>
      <c r="X85" s="60">
        <v>0</v>
      </c>
      <c r="Y85" s="60">
        <v>0</v>
      </c>
      <c r="Z85" s="60">
        <v>0</v>
      </c>
      <c r="AA85" s="60">
        <f t="shared" si="26"/>
        <v>0</v>
      </c>
      <c r="AB85" s="60">
        <v>0</v>
      </c>
      <c r="AC85" s="43">
        <v>0</v>
      </c>
      <c r="AD85" s="60">
        <v>0</v>
      </c>
      <c r="AE85" s="60"/>
      <c r="AF85" s="60"/>
      <c r="AG85" s="60"/>
      <c r="AH85" s="60">
        <f t="shared" si="27"/>
        <v>299421</v>
      </c>
      <c r="AI85" s="60"/>
      <c r="AJ85" s="60">
        <f t="shared" si="31"/>
        <v>299421</v>
      </c>
      <c r="AK85" s="7"/>
      <c r="AL85" s="64">
        <v>0</v>
      </c>
      <c r="AM85" s="64">
        <v>0</v>
      </c>
      <c r="AN85" s="64">
        <v>0</v>
      </c>
      <c r="AO85" s="64">
        <v>0</v>
      </c>
      <c r="AP85" s="64">
        <v>0</v>
      </c>
      <c r="AQ85" s="64">
        <f t="shared" si="28"/>
        <v>0</v>
      </c>
      <c r="AR85" s="59">
        <f t="shared" si="32"/>
        <v>0</v>
      </c>
      <c r="AS85" s="59">
        <f t="shared" si="33"/>
        <v>0</v>
      </c>
      <c r="AT85" s="141">
        <f t="shared" si="34"/>
        <v>0</v>
      </c>
      <c r="AU85" s="141">
        <f t="shared" si="35"/>
        <v>0</v>
      </c>
    </row>
    <row r="86" spans="1:47">
      <c r="A86" s="28" t="s">
        <v>204</v>
      </c>
      <c r="B86" s="27" t="s">
        <v>205</v>
      </c>
      <c r="C86" s="27" t="s">
        <v>49</v>
      </c>
      <c r="D86" s="27" t="s">
        <v>49</v>
      </c>
      <c r="E86" s="27"/>
      <c r="F86" s="112">
        <v>590000</v>
      </c>
      <c r="G86" s="112">
        <v>0</v>
      </c>
      <c r="H86" s="112">
        <v>400000</v>
      </c>
      <c r="I86" s="124">
        <v>100</v>
      </c>
      <c r="J86" s="124">
        <v>0</v>
      </c>
      <c r="K86" s="124">
        <v>300</v>
      </c>
      <c r="L86" s="124">
        <v>0</v>
      </c>
      <c r="M86" s="124">
        <v>0</v>
      </c>
      <c r="N86" s="44">
        <f t="shared" si="24"/>
        <v>400</v>
      </c>
      <c r="O86" s="44">
        <v>1660000</v>
      </c>
      <c r="P86" s="125">
        <f t="shared" si="30"/>
        <v>1660000</v>
      </c>
      <c r="Q86" s="44"/>
      <c r="R86" s="44">
        <f t="shared" si="36"/>
        <v>1660000</v>
      </c>
      <c r="S86" s="54">
        <v>0</v>
      </c>
      <c r="T86" s="54">
        <v>150</v>
      </c>
      <c r="U86" s="54">
        <v>450</v>
      </c>
      <c r="V86" s="60">
        <v>20</v>
      </c>
      <c r="W86" s="60">
        <v>0</v>
      </c>
      <c r="X86" s="60">
        <v>100</v>
      </c>
      <c r="Y86" s="60">
        <v>0</v>
      </c>
      <c r="Z86" s="60">
        <v>0</v>
      </c>
      <c r="AA86" s="60">
        <f t="shared" si="26"/>
        <v>120</v>
      </c>
      <c r="AB86" s="60">
        <v>560000</v>
      </c>
      <c r="AC86" s="43">
        <v>0</v>
      </c>
      <c r="AD86" s="60">
        <v>0</v>
      </c>
      <c r="AE86" s="60"/>
      <c r="AF86" s="60"/>
      <c r="AG86" s="60"/>
      <c r="AH86" s="60">
        <f t="shared" si="27"/>
        <v>1150000</v>
      </c>
      <c r="AI86" s="60"/>
      <c r="AJ86" s="60">
        <f t="shared" si="31"/>
        <v>1150000</v>
      </c>
      <c r="AK86" s="7"/>
      <c r="AL86" s="64">
        <v>259800</v>
      </c>
      <c r="AM86" s="64">
        <v>294000</v>
      </c>
      <c r="AN86" s="64">
        <v>241000</v>
      </c>
      <c r="AO86" s="64">
        <v>0</v>
      </c>
      <c r="AP86" s="64">
        <v>0</v>
      </c>
      <c r="AQ86" s="64">
        <f t="shared" si="28"/>
        <v>794800</v>
      </c>
      <c r="AR86" s="59">
        <f t="shared" si="32"/>
        <v>80</v>
      </c>
      <c r="AS86" s="59">
        <f t="shared" si="33"/>
        <v>200</v>
      </c>
      <c r="AT86" s="141">
        <f t="shared" si="34"/>
        <v>6.15384615384615</v>
      </c>
      <c r="AU86" s="141">
        <f t="shared" si="35"/>
        <v>15.3846153846154</v>
      </c>
    </row>
    <row r="87" spans="1:47">
      <c r="A87" s="144" t="s">
        <v>206</v>
      </c>
      <c r="B87" s="27" t="s">
        <v>207</v>
      </c>
      <c r="C87" s="27" t="s">
        <v>2</v>
      </c>
      <c r="D87" s="27" t="s">
        <v>2</v>
      </c>
      <c r="E87" s="27"/>
      <c r="F87" s="112">
        <v>16946.33</v>
      </c>
      <c r="G87" s="112">
        <v>0</v>
      </c>
      <c r="H87" s="112">
        <v>174104.166666667</v>
      </c>
      <c r="I87" s="124">
        <v>0</v>
      </c>
      <c r="J87" s="124">
        <v>0</v>
      </c>
      <c r="K87" s="124">
        <v>0</v>
      </c>
      <c r="L87" s="124">
        <v>0</v>
      </c>
      <c r="M87" s="124">
        <v>0</v>
      </c>
      <c r="N87" s="44">
        <f t="shared" si="24"/>
        <v>0</v>
      </c>
      <c r="O87" s="44">
        <v>0</v>
      </c>
      <c r="P87" s="125">
        <f t="shared" si="30"/>
        <v>0</v>
      </c>
      <c r="Q87" s="44"/>
      <c r="R87" s="44">
        <f t="shared" si="36"/>
        <v>0</v>
      </c>
      <c r="S87" s="54">
        <v>0</v>
      </c>
      <c r="T87" s="54">
        <v>20</v>
      </c>
      <c r="U87" s="54">
        <v>0</v>
      </c>
      <c r="V87" s="60">
        <v>0</v>
      </c>
      <c r="W87" s="60">
        <v>0</v>
      </c>
      <c r="X87" s="60">
        <v>0</v>
      </c>
      <c r="Y87" s="60">
        <v>0</v>
      </c>
      <c r="Z87" s="60">
        <v>0</v>
      </c>
      <c r="AA87" s="60">
        <f t="shared" si="26"/>
        <v>0</v>
      </c>
      <c r="AB87" s="60">
        <v>0</v>
      </c>
      <c r="AC87" s="43">
        <v>0</v>
      </c>
      <c r="AD87" s="60">
        <v>0</v>
      </c>
      <c r="AE87" s="60"/>
      <c r="AF87" s="60"/>
      <c r="AG87" s="60"/>
      <c r="AH87" s="60">
        <f t="shared" si="27"/>
        <v>16946.33</v>
      </c>
      <c r="AI87" s="60"/>
      <c r="AJ87" s="60"/>
      <c r="AK87" s="7"/>
      <c r="AL87" s="64">
        <v>7875</v>
      </c>
      <c r="AM87" s="64">
        <v>7875</v>
      </c>
      <c r="AN87" s="64">
        <v>1050</v>
      </c>
      <c r="AO87" s="64">
        <v>1403.50877192982</v>
      </c>
      <c r="AP87" s="64">
        <v>0</v>
      </c>
      <c r="AQ87" s="64">
        <f t="shared" si="28"/>
        <v>18203.5087719298</v>
      </c>
      <c r="AR87" s="59">
        <f t="shared" si="32"/>
        <v>0</v>
      </c>
      <c r="AS87" s="59">
        <f t="shared" si="33"/>
        <v>0</v>
      </c>
      <c r="AT87" s="141">
        <f t="shared" si="34"/>
        <v>0</v>
      </c>
      <c r="AU87" s="141">
        <f t="shared" si="35"/>
        <v>0</v>
      </c>
    </row>
    <row r="88" spans="1:47">
      <c r="A88" s="28" t="s">
        <v>208</v>
      </c>
      <c r="B88" s="27" t="s">
        <v>209</v>
      </c>
      <c r="C88" s="27" t="s">
        <v>2</v>
      </c>
      <c r="D88" s="27" t="s">
        <v>2</v>
      </c>
      <c r="E88" s="27" t="s">
        <v>79</v>
      </c>
      <c r="F88" s="112">
        <v>372976</v>
      </c>
      <c r="G88" s="112">
        <v>300000</v>
      </c>
      <c r="H88" s="112">
        <v>600000</v>
      </c>
      <c r="I88" s="124">
        <v>20</v>
      </c>
      <c r="J88" s="124">
        <v>0</v>
      </c>
      <c r="K88" s="124">
        <v>0</v>
      </c>
      <c r="L88" s="124">
        <v>0</v>
      </c>
      <c r="M88" s="124">
        <v>0</v>
      </c>
      <c r="N88" s="44">
        <f t="shared" si="24"/>
        <v>20</v>
      </c>
      <c r="O88" s="44">
        <v>274000</v>
      </c>
      <c r="P88" s="125">
        <f t="shared" si="30"/>
        <v>274000</v>
      </c>
      <c r="Q88" s="44"/>
      <c r="R88" s="44">
        <f t="shared" si="36"/>
        <v>274000</v>
      </c>
      <c r="S88" s="54">
        <v>0</v>
      </c>
      <c r="T88" s="54">
        <v>20</v>
      </c>
      <c r="U88" s="54">
        <v>0</v>
      </c>
      <c r="V88" s="60">
        <v>0</v>
      </c>
      <c r="W88" s="60">
        <v>0</v>
      </c>
      <c r="X88" s="60">
        <v>0</v>
      </c>
      <c r="Y88" s="60">
        <v>0</v>
      </c>
      <c r="Z88" s="60">
        <v>0</v>
      </c>
      <c r="AA88" s="60">
        <f t="shared" si="26"/>
        <v>0</v>
      </c>
      <c r="AB88" s="60">
        <v>0</v>
      </c>
      <c r="AC88" s="43">
        <v>0</v>
      </c>
      <c r="AD88" s="60">
        <v>0</v>
      </c>
      <c r="AE88" s="60"/>
      <c r="AF88" s="60"/>
      <c r="AG88" s="60"/>
      <c r="AH88" s="60">
        <f t="shared" si="27"/>
        <v>372976</v>
      </c>
      <c r="AI88" s="60"/>
      <c r="AJ88" s="60">
        <f t="shared" si="31"/>
        <v>72976</v>
      </c>
      <c r="AK88" s="7"/>
      <c r="AL88" s="64">
        <v>38666.64</v>
      </c>
      <c r="AM88" s="64">
        <v>7300</v>
      </c>
      <c r="AN88" s="64">
        <v>0</v>
      </c>
      <c r="AO88" s="64">
        <v>0</v>
      </c>
      <c r="AP88" s="64">
        <v>0</v>
      </c>
      <c r="AQ88" s="64">
        <f t="shared" si="28"/>
        <v>45966.64</v>
      </c>
      <c r="AR88" s="59">
        <f t="shared" si="32"/>
        <v>20</v>
      </c>
      <c r="AS88" s="59">
        <f t="shared" si="33"/>
        <v>0</v>
      </c>
      <c r="AT88" s="141">
        <f t="shared" si="34"/>
        <v>1.53846153846154</v>
      </c>
      <c r="AU88" s="141">
        <f t="shared" si="35"/>
        <v>0</v>
      </c>
    </row>
    <row r="89" spans="1:47">
      <c r="A89" s="115" t="s">
        <v>210</v>
      </c>
      <c r="B89" s="119">
        <f>SUM(B55:B88)</f>
        <v>0</v>
      </c>
      <c r="C89" s="27">
        <v>0</v>
      </c>
      <c r="D89" s="27">
        <v>0</v>
      </c>
      <c r="E89" s="27"/>
      <c r="F89" s="119">
        <f t="shared" ref="F89:AD89" si="37">SUM(F55:F88)</f>
        <v>29720641.74</v>
      </c>
      <c r="G89" s="119">
        <f t="shared" si="37"/>
        <v>13360353.46</v>
      </c>
      <c r="H89" s="119">
        <f t="shared" si="37"/>
        <v>29807450</v>
      </c>
      <c r="I89" s="119">
        <f t="shared" si="37"/>
        <v>1385</v>
      </c>
      <c r="J89" s="119">
        <f t="shared" si="37"/>
        <v>0</v>
      </c>
      <c r="K89" s="119">
        <f t="shared" si="37"/>
        <v>1950</v>
      </c>
      <c r="L89" s="119">
        <f t="shared" si="37"/>
        <v>0</v>
      </c>
      <c r="M89" s="119">
        <f t="shared" si="37"/>
        <v>0</v>
      </c>
      <c r="N89" s="119">
        <f t="shared" si="37"/>
        <v>3335</v>
      </c>
      <c r="O89" s="119">
        <f t="shared" si="37"/>
        <v>24198500</v>
      </c>
      <c r="P89" s="119">
        <f t="shared" si="37"/>
        <v>24198500</v>
      </c>
      <c r="Q89" s="119">
        <f t="shared" si="37"/>
        <v>0</v>
      </c>
      <c r="R89" s="119">
        <f t="shared" si="37"/>
        <v>23563500</v>
      </c>
      <c r="S89" s="119">
        <f t="shared" si="37"/>
        <v>6611697.43877193</v>
      </c>
      <c r="T89" s="119">
        <f t="shared" si="37"/>
        <v>1880</v>
      </c>
      <c r="U89" s="119">
        <f t="shared" si="37"/>
        <v>2025</v>
      </c>
      <c r="V89" s="119">
        <f>SUM(V55:V88)</f>
        <v>815</v>
      </c>
      <c r="W89" s="119">
        <f>SUM(W55:W88)</f>
        <v>0</v>
      </c>
      <c r="X89" s="119">
        <f>SUM(X55:X88)</f>
        <v>1122</v>
      </c>
      <c r="Y89" s="119">
        <f>SUM(Y55:Y88)</f>
        <v>24</v>
      </c>
      <c r="Z89" s="119">
        <f>SUM(Z55:Z88)</f>
        <v>0</v>
      </c>
      <c r="AA89" s="119">
        <f>SUM(AA55:AA88)</f>
        <v>1961</v>
      </c>
      <c r="AB89" s="119">
        <f>SUM(AB55:AB88)</f>
        <v>16897598</v>
      </c>
      <c r="AC89" s="119">
        <f>SUM(AC55:AC88)</f>
        <v>3841450</v>
      </c>
      <c r="AD89" s="119">
        <f>SUM(AD55:AD88)</f>
        <v>2284200</v>
      </c>
      <c r="AE89" s="119"/>
      <c r="AF89" s="119">
        <f>SUM(AF55:AF88)</f>
        <v>0</v>
      </c>
      <c r="AG89" s="119"/>
      <c r="AH89" s="119">
        <f>SUM(AH55:AH88)</f>
        <v>40492589.74</v>
      </c>
      <c r="AI89" s="60">
        <f>AH89-AQ89-H89</f>
        <v>3113626.76789474</v>
      </c>
      <c r="AJ89" s="119">
        <f>SUM(AJ55:AJ88)</f>
        <v>29256981.13</v>
      </c>
      <c r="AK89" s="147"/>
      <c r="AL89" s="119">
        <f t="shared" ref="AL89:BH89" si="38">SUM(AL55:AL88)</f>
        <v>2064309.53</v>
      </c>
      <c r="AM89" s="119">
        <f t="shared" si="38"/>
        <v>3039284.2</v>
      </c>
      <c r="AN89" s="119">
        <f t="shared" si="38"/>
        <v>2295622.4</v>
      </c>
      <c r="AO89" s="119">
        <f t="shared" si="38"/>
        <v>51796.3472784526</v>
      </c>
      <c r="AP89" s="119">
        <f t="shared" si="38"/>
        <v>120500.494826811</v>
      </c>
      <c r="AQ89" s="143">
        <f t="shared" si="38"/>
        <v>7571512.97210526</v>
      </c>
      <c r="AR89" s="119">
        <f t="shared" si="38"/>
        <v>570</v>
      </c>
      <c r="AS89" s="119">
        <f t="shared" si="38"/>
        <v>828</v>
      </c>
      <c r="AT89" s="141">
        <f t="shared" si="34"/>
        <v>43.8461538461538</v>
      </c>
      <c r="AU89" s="141">
        <f t="shared" si="35"/>
        <v>63.6923076923077</v>
      </c>
    </row>
    <row r="90" spans="1:47">
      <c r="A90" s="28" t="s">
        <v>211</v>
      </c>
      <c r="B90" s="27" t="s">
        <v>212</v>
      </c>
      <c r="C90" s="27" t="s">
        <v>99</v>
      </c>
      <c r="D90" s="27" t="s">
        <v>99</v>
      </c>
      <c r="E90" s="27"/>
      <c r="F90" s="112">
        <v>56939</v>
      </c>
      <c r="G90" s="112">
        <v>0</v>
      </c>
      <c r="H90" s="112">
        <v>0</v>
      </c>
      <c r="I90" s="124">
        <v>0</v>
      </c>
      <c r="J90" s="124">
        <v>0</v>
      </c>
      <c r="K90" s="124">
        <v>20</v>
      </c>
      <c r="L90" s="124">
        <v>0</v>
      </c>
      <c r="M90" s="124">
        <v>0</v>
      </c>
      <c r="N90" s="44">
        <f t="shared" ref="N90:N95" si="39">SUM(I90:M90)</f>
        <v>20</v>
      </c>
      <c r="O90" s="44">
        <v>216000</v>
      </c>
      <c r="P90" s="125">
        <f t="shared" si="30"/>
        <v>216000</v>
      </c>
      <c r="Q90" s="44"/>
      <c r="R90" s="44">
        <f t="shared" ref="R90:R95" si="40">P90+Q90</f>
        <v>216000</v>
      </c>
      <c r="S90" s="54">
        <v>0</v>
      </c>
      <c r="T90" s="54">
        <v>0</v>
      </c>
      <c r="U90" s="54">
        <v>40</v>
      </c>
      <c r="V90" s="60">
        <v>0</v>
      </c>
      <c r="W90" s="60">
        <v>0</v>
      </c>
      <c r="X90" s="60">
        <v>8</v>
      </c>
      <c r="Y90" s="60">
        <v>0</v>
      </c>
      <c r="Z90" s="60">
        <v>0</v>
      </c>
      <c r="AA90" s="60">
        <f t="shared" ref="AA90:AA95" si="41">V90+W90+X90+Y90+Z90</f>
        <v>8</v>
      </c>
      <c r="AB90" s="60">
        <v>93600</v>
      </c>
      <c r="AC90" s="43">
        <v>43200</v>
      </c>
      <c r="AD90" s="60">
        <v>0</v>
      </c>
      <c r="AE90" s="60"/>
      <c r="AF90" s="60"/>
      <c r="AG90" s="60"/>
      <c r="AH90" s="60">
        <f t="shared" ref="AH90:AH95" si="42">F90+AB90-AC90-AE90-AD90-AF90-AG90</f>
        <v>107339</v>
      </c>
      <c r="AI90" s="60">
        <f>AH90-AQ90-H90</f>
        <v>46874.0427350427</v>
      </c>
      <c r="AJ90" s="60">
        <f t="shared" si="31"/>
        <v>107339</v>
      </c>
      <c r="AK90" s="7"/>
      <c r="AL90" s="64">
        <v>7000</v>
      </c>
      <c r="AM90" s="64">
        <v>25650</v>
      </c>
      <c r="AN90" s="64">
        <v>20550</v>
      </c>
      <c r="AO90" s="64">
        <v>1692.30769230769</v>
      </c>
      <c r="AP90" s="64">
        <v>5572.64957264957</v>
      </c>
      <c r="AQ90" s="64">
        <f t="shared" ref="AQ90:AQ95" si="43">AL90+AM90+AN90+AO90+AP90</f>
        <v>60464.9572649573</v>
      </c>
      <c r="AR90" s="59">
        <f t="shared" si="32"/>
        <v>0</v>
      </c>
      <c r="AS90" s="59">
        <f t="shared" si="33"/>
        <v>12</v>
      </c>
      <c r="AT90" s="141">
        <f t="shared" si="34"/>
        <v>0</v>
      </c>
      <c r="AU90" s="141">
        <f t="shared" si="35"/>
        <v>0.923076923076923</v>
      </c>
    </row>
    <row r="91" spans="1:47">
      <c r="A91" s="28" t="s">
        <v>213</v>
      </c>
      <c r="B91" s="27" t="s">
        <v>214</v>
      </c>
      <c r="C91" s="27">
        <v>0</v>
      </c>
      <c r="D91" s="27" t="s">
        <v>52</v>
      </c>
      <c r="E91" s="27"/>
      <c r="F91" s="112">
        <v>186052.92</v>
      </c>
      <c r="G91" s="112">
        <v>300000</v>
      </c>
      <c r="H91" s="112">
        <v>251583.333333333</v>
      </c>
      <c r="I91" s="124">
        <v>0</v>
      </c>
      <c r="J91" s="124">
        <v>0</v>
      </c>
      <c r="K91" s="124">
        <v>0</v>
      </c>
      <c r="L91" s="124">
        <v>0</v>
      </c>
      <c r="M91" s="124">
        <v>0</v>
      </c>
      <c r="N91" s="44">
        <f t="shared" si="39"/>
        <v>0</v>
      </c>
      <c r="O91" s="44">
        <v>0</v>
      </c>
      <c r="P91" s="125">
        <f t="shared" si="30"/>
        <v>0</v>
      </c>
      <c r="Q91" s="44"/>
      <c r="R91" s="44">
        <f t="shared" si="40"/>
        <v>0</v>
      </c>
      <c r="S91" s="54">
        <v>0</v>
      </c>
      <c r="T91" s="54">
        <v>0</v>
      </c>
      <c r="U91" s="54">
        <v>0</v>
      </c>
      <c r="V91" s="60">
        <v>0</v>
      </c>
      <c r="W91" s="60">
        <v>0</v>
      </c>
      <c r="X91" s="60">
        <v>0</v>
      </c>
      <c r="Y91" s="60">
        <v>0</v>
      </c>
      <c r="Z91" s="60">
        <v>0</v>
      </c>
      <c r="AA91" s="60">
        <f t="shared" si="41"/>
        <v>0</v>
      </c>
      <c r="AB91" s="60">
        <v>0</v>
      </c>
      <c r="AC91" s="43">
        <v>0</v>
      </c>
      <c r="AD91" s="60">
        <v>0</v>
      </c>
      <c r="AE91" s="60"/>
      <c r="AF91" s="60"/>
      <c r="AG91" s="60"/>
      <c r="AH91" s="60">
        <f t="shared" si="42"/>
        <v>186052.92</v>
      </c>
      <c r="AI91" s="60"/>
      <c r="AJ91" s="60"/>
      <c r="AK91" s="7"/>
      <c r="AL91" s="64">
        <v>0</v>
      </c>
      <c r="AM91" s="64">
        <v>0</v>
      </c>
      <c r="AN91" s="64">
        <v>0</v>
      </c>
      <c r="AO91" s="64">
        <v>0</v>
      </c>
      <c r="AP91" s="64">
        <v>0</v>
      </c>
      <c r="AQ91" s="64">
        <f t="shared" si="43"/>
        <v>0</v>
      </c>
      <c r="AR91" s="59">
        <f t="shared" si="32"/>
        <v>0</v>
      </c>
      <c r="AS91" s="59">
        <f t="shared" si="33"/>
        <v>0</v>
      </c>
      <c r="AT91" s="141">
        <f t="shared" si="34"/>
        <v>0</v>
      </c>
      <c r="AU91" s="141">
        <f t="shared" si="35"/>
        <v>0</v>
      </c>
    </row>
    <row r="92" spans="1:47">
      <c r="A92" s="28" t="s">
        <v>215</v>
      </c>
      <c r="B92" s="174" t="s">
        <v>216</v>
      </c>
      <c r="C92" s="27" t="s">
        <v>99</v>
      </c>
      <c r="D92" s="27" t="s">
        <v>99</v>
      </c>
      <c r="E92" s="27"/>
      <c r="F92" s="112">
        <v>37769</v>
      </c>
      <c r="G92" s="112"/>
      <c r="H92" s="112"/>
      <c r="I92" s="124">
        <v>0</v>
      </c>
      <c r="J92" s="124">
        <v>0</v>
      </c>
      <c r="K92" s="124">
        <v>0</v>
      </c>
      <c r="L92" s="124">
        <v>0</v>
      </c>
      <c r="M92" s="124">
        <v>0</v>
      </c>
      <c r="N92" s="44">
        <f t="shared" si="39"/>
        <v>0</v>
      </c>
      <c r="O92" s="44">
        <v>0</v>
      </c>
      <c r="P92" s="125">
        <f t="shared" si="30"/>
        <v>0</v>
      </c>
      <c r="Q92" s="44"/>
      <c r="R92" s="44">
        <f t="shared" si="40"/>
        <v>0</v>
      </c>
      <c r="S92" s="54">
        <v>0</v>
      </c>
      <c r="T92" s="54">
        <v>0</v>
      </c>
      <c r="U92" s="54">
        <v>0</v>
      </c>
      <c r="V92" s="60">
        <v>0</v>
      </c>
      <c r="W92" s="60">
        <v>0</v>
      </c>
      <c r="X92" s="60">
        <v>0</v>
      </c>
      <c r="Y92" s="60">
        <v>0</v>
      </c>
      <c r="Z92" s="60">
        <v>0</v>
      </c>
      <c r="AA92" s="60">
        <f t="shared" si="41"/>
        <v>0</v>
      </c>
      <c r="AB92" s="60">
        <v>0</v>
      </c>
      <c r="AC92" s="43">
        <v>0</v>
      </c>
      <c r="AD92" s="60">
        <v>0</v>
      </c>
      <c r="AE92" s="60"/>
      <c r="AF92" s="60"/>
      <c r="AG92" s="60"/>
      <c r="AH92" s="60">
        <f t="shared" si="42"/>
        <v>37769</v>
      </c>
      <c r="AI92" s="60"/>
      <c r="AJ92" s="60">
        <f t="shared" si="31"/>
        <v>37769</v>
      </c>
      <c r="AK92" s="7"/>
      <c r="AL92" s="64">
        <v>3600</v>
      </c>
      <c r="AM92" s="64">
        <v>3400</v>
      </c>
      <c r="AN92" s="64">
        <v>0</v>
      </c>
      <c r="AO92" s="64">
        <v>189.473684210526</v>
      </c>
      <c r="AP92" s="64">
        <v>0</v>
      </c>
      <c r="AQ92" s="64">
        <f t="shared" si="43"/>
        <v>7189.47368421053</v>
      </c>
      <c r="AR92" s="59">
        <f t="shared" si="32"/>
        <v>0</v>
      </c>
      <c r="AS92" s="59">
        <f t="shared" si="33"/>
        <v>0</v>
      </c>
      <c r="AT92" s="141">
        <f t="shared" si="34"/>
        <v>0</v>
      </c>
      <c r="AU92" s="141">
        <f t="shared" si="35"/>
        <v>0</v>
      </c>
    </row>
    <row r="93" spans="1:47">
      <c r="A93" s="28" t="s">
        <v>217</v>
      </c>
      <c r="B93" s="27" t="s">
        <v>218</v>
      </c>
      <c r="C93" s="27" t="s">
        <v>99</v>
      </c>
      <c r="D93" s="27" t="s">
        <v>99</v>
      </c>
      <c r="E93" s="27"/>
      <c r="F93" s="112">
        <v>417047</v>
      </c>
      <c r="G93" s="112">
        <v>208250</v>
      </c>
      <c r="H93" s="112">
        <v>0</v>
      </c>
      <c r="I93" s="124">
        <v>30</v>
      </c>
      <c r="J93" s="124">
        <v>0</v>
      </c>
      <c r="K93" s="124">
        <v>50</v>
      </c>
      <c r="L93" s="124">
        <v>0</v>
      </c>
      <c r="M93" s="124">
        <v>0</v>
      </c>
      <c r="N93" s="44">
        <f t="shared" si="39"/>
        <v>80</v>
      </c>
      <c r="O93" s="44">
        <v>931000</v>
      </c>
      <c r="P93" s="125">
        <f t="shared" si="30"/>
        <v>931000</v>
      </c>
      <c r="Q93" s="44"/>
      <c r="R93" s="44">
        <f t="shared" si="40"/>
        <v>931000</v>
      </c>
      <c r="S93" s="54">
        <v>0</v>
      </c>
      <c r="T93" s="54">
        <v>50</v>
      </c>
      <c r="U93" s="54">
        <v>80</v>
      </c>
      <c r="V93" s="60">
        <v>15</v>
      </c>
      <c r="W93" s="60">
        <v>0</v>
      </c>
      <c r="X93" s="60">
        <v>32</v>
      </c>
      <c r="Y93" s="60">
        <v>0</v>
      </c>
      <c r="Z93" s="60">
        <v>0</v>
      </c>
      <c r="AA93" s="60">
        <f t="shared" si="41"/>
        <v>47</v>
      </c>
      <c r="AB93" s="60">
        <v>588150</v>
      </c>
      <c r="AC93" s="43">
        <v>543500</v>
      </c>
      <c r="AD93" s="60">
        <v>0</v>
      </c>
      <c r="AE93" s="60"/>
      <c r="AF93" s="60"/>
      <c r="AG93" s="60"/>
      <c r="AH93" s="60">
        <f t="shared" si="42"/>
        <v>461697</v>
      </c>
      <c r="AI93" s="60">
        <f>AH93-AQ93-H93</f>
        <v>138558.052631579</v>
      </c>
      <c r="AJ93" s="60">
        <f t="shared" si="31"/>
        <v>253447</v>
      </c>
      <c r="AK93" s="7"/>
      <c r="AL93" s="64">
        <v>128500</v>
      </c>
      <c r="AM93" s="64">
        <v>112750</v>
      </c>
      <c r="AN93" s="64">
        <v>60200</v>
      </c>
      <c r="AO93" s="64">
        <v>5013.33333333333</v>
      </c>
      <c r="AP93" s="64">
        <v>16675.6140350877</v>
      </c>
      <c r="AQ93" s="64">
        <f t="shared" si="43"/>
        <v>323138.947368421</v>
      </c>
      <c r="AR93" s="59">
        <f t="shared" si="32"/>
        <v>15</v>
      </c>
      <c r="AS93" s="59">
        <f t="shared" si="33"/>
        <v>18</v>
      </c>
      <c r="AT93" s="141">
        <f t="shared" si="34"/>
        <v>1.15384615384615</v>
      </c>
      <c r="AU93" s="141">
        <f t="shared" si="35"/>
        <v>1.38461538461538</v>
      </c>
    </row>
    <row r="94" spans="1:47">
      <c r="A94" t="s">
        <v>219</v>
      </c>
      <c r="B94" s="27" t="s">
        <v>220</v>
      </c>
      <c r="C94" s="27">
        <v>0</v>
      </c>
      <c r="D94" s="27" t="s">
        <v>99</v>
      </c>
      <c r="E94" s="27"/>
      <c r="F94" s="112">
        <v>-19574</v>
      </c>
      <c r="G94" s="112">
        <v>0</v>
      </c>
      <c r="H94" s="112">
        <v>0</v>
      </c>
      <c r="I94" s="124">
        <v>0</v>
      </c>
      <c r="J94" s="124">
        <v>0</v>
      </c>
      <c r="K94" s="124">
        <v>0</v>
      </c>
      <c r="L94" s="124">
        <v>0</v>
      </c>
      <c r="M94" s="124">
        <v>0</v>
      </c>
      <c r="N94" s="44">
        <f t="shared" si="39"/>
        <v>0</v>
      </c>
      <c r="O94" s="44">
        <v>0</v>
      </c>
      <c r="P94" s="125">
        <f t="shared" si="30"/>
        <v>0</v>
      </c>
      <c r="Q94" s="44"/>
      <c r="R94" s="44">
        <f t="shared" si="40"/>
        <v>0</v>
      </c>
      <c r="S94" s="54">
        <v>0</v>
      </c>
      <c r="T94" s="54">
        <v>0</v>
      </c>
      <c r="U94" s="54">
        <v>0</v>
      </c>
      <c r="V94" s="60">
        <v>0</v>
      </c>
      <c r="W94" s="60">
        <v>0</v>
      </c>
      <c r="X94" s="60">
        <v>0</v>
      </c>
      <c r="Y94" s="60">
        <v>0</v>
      </c>
      <c r="Z94" s="60">
        <v>0</v>
      </c>
      <c r="AA94" s="60">
        <f t="shared" si="41"/>
        <v>0</v>
      </c>
      <c r="AB94" s="60">
        <v>0</v>
      </c>
      <c r="AC94" s="43">
        <v>0</v>
      </c>
      <c r="AD94" s="60">
        <v>0</v>
      </c>
      <c r="AE94" s="60"/>
      <c r="AF94" s="60"/>
      <c r="AG94" s="60"/>
      <c r="AH94" s="60">
        <f t="shared" si="42"/>
        <v>-19574</v>
      </c>
      <c r="AI94" s="60"/>
      <c r="AJ94" s="60"/>
      <c r="AK94" s="7"/>
      <c r="AL94" s="64">
        <v>0</v>
      </c>
      <c r="AM94" s="64">
        <v>0</v>
      </c>
      <c r="AN94" s="64">
        <v>0</v>
      </c>
      <c r="AO94" s="64">
        <v>0</v>
      </c>
      <c r="AP94" s="64">
        <v>0</v>
      </c>
      <c r="AQ94" s="64">
        <f t="shared" si="43"/>
        <v>0</v>
      </c>
      <c r="AR94" s="59">
        <f t="shared" si="32"/>
        <v>0</v>
      </c>
      <c r="AS94" s="59">
        <f t="shared" si="33"/>
        <v>0</v>
      </c>
      <c r="AT94" s="141">
        <f t="shared" si="34"/>
        <v>0</v>
      </c>
      <c r="AU94" s="141">
        <f t="shared" si="35"/>
        <v>0</v>
      </c>
    </row>
    <row r="95" spans="1:47">
      <c r="A95" s="28" t="s">
        <v>221</v>
      </c>
      <c r="B95" s="27" t="s">
        <v>222</v>
      </c>
      <c r="C95" s="27" t="s">
        <v>151</v>
      </c>
      <c r="D95" s="27" t="s">
        <v>151</v>
      </c>
      <c r="E95" s="27"/>
      <c r="F95" s="112">
        <v>136227</v>
      </c>
      <c r="G95" s="112"/>
      <c r="H95" s="112"/>
      <c r="I95" s="124">
        <v>30</v>
      </c>
      <c r="J95" s="124">
        <v>0</v>
      </c>
      <c r="K95" s="124">
        <v>100</v>
      </c>
      <c r="L95" s="124">
        <v>0</v>
      </c>
      <c r="M95" s="124">
        <v>0</v>
      </c>
      <c r="N95" s="44">
        <f t="shared" si="39"/>
        <v>130</v>
      </c>
      <c r="O95" s="44">
        <v>537000</v>
      </c>
      <c r="P95" s="125">
        <f t="shared" si="30"/>
        <v>537000</v>
      </c>
      <c r="Q95" s="44"/>
      <c r="R95" s="44">
        <f t="shared" si="40"/>
        <v>537000</v>
      </c>
      <c r="S95" s="54">
        <v>0</v>
      </c>
      <c r="T95" s="54">
        <v>30</v>
      </c>
      <c r="U95" s="54">
        <v>100</v>
      </c>
      <c r="V95" s="60">
        <v>0</v>
      </c>
      <c r="W95" s="60">
        <v>0</v>
      </c>
      <c r="X95" s="60">
        <v>40</v>
      </c>
      <c r="Y95" s="60">
        <v>0</v>
      </c>
      <c r="Z95" s="60">
        <v>0</v>
      </c>
      <c r="AA95" s="60">
        <f t="shared" si="41"/>
        <v>40</v>
      </c>
      <c r="AB95" s="60">
        <v>180000</v>
      </c>
      <c r="AC95" s="43">
        <v>178884</v>
      </c>
      <c r="AD95" s="60">
        <v>0</v>
      </c>
      <c r="AE95" s="60"/>
      <c r="AF95" s="60"/>
      <c r="AG95" s="60"/>
      <c r="AH95" s="60">
        <f t="shared" si="42"/>
        <v>137343</v>
      </c>
      <c r="AI95" s="60">
        <f>AH95-AQ95-H95</f>
        <v>-226707</v>
      </c>
      <c r="AJ95" s="60">
        <f t="shared" si="31"/>
        <v>137343</v>
      </c>
      <c r="AK95" s="7"/>
      <c r="AL95" s="64">
        <v>81600</v>
      </c>
      <c r="AM95" s="64">
        <v>217950</v>
      </c>
      <c r="AN95" s="64">
        <v>64500</v>
      </c>
      <c r="AO95" s="64">
        <v>0</v>
      </c>
      <c r="AP95" s="64">
        <v>0</v>
      </c>
      <c r="AQ95" s="64">
        <f t="shared" si="43"/>
        <v>364050</v>
      </c>
      <c r="AR95" s="59">
        <f t="shared" si="32"/>
        <v>30</v>
      </c>
      <c r="AS95" s="59">
        <f t="shared" si="33"/>
        <v>60</v>
      </c>
      <c r="AT95" s="141">
        <f t="shared" si="34"/>
        <v>2.30769230769231</v>
      </c>
      <c r="AU95" s="141">
        <f t="shared" si="35"/>
        <v>4.61538461538461</v>
      </c>
    </row>
    <row r="96" spans="1:47">
      <c r="A96" s="115" t="s">
        <v>223</v>
      </c>
      <c r="B96" s="119">
        <f>SUM(B90:B95)</f>
        <v>0</v>
      </c>
      <c r="C96" s="27">
        <v>0</v>
      </c>
      <c r="D96" s="27">
        <v>0</v>
      </c>
      <c r="E96" s="27"/>
      <c r="F96" s="119">
        <f t="shared" ref="F96:AD96" si="44">SUM(F90:F95)</f>
        <v>814460.92</v>
      </c>
      <c r="G96" s="119">
        <f t="shared" si="44"/>
        <v>508250</v>
      </c>
      <c r="H96" s="119">
        <f t="shared" si="44"/>
        <v>251583.333333333</v>
      </c>
      <c r="I96" s="119">
        <f t="shared" si="44"/>
        <v>60</v>
      </c>
      <c r="J96" s="119">
        <f t="shared" si="44"/>
        <v>0</v>
      </c>
      <c r="K96" s="119">
        <f t="shared" si="44"/>
        <v>170</v>
      </c>
      <c r="L96" s="119">
        <f t="shared" si="44"/>
        <v>0</v>
      </c>
      <c r="M96" s="119">
        <f t="shared" si="44"/>
        <v>0</v>
      </c>
      <c r="N96" s="119">
        <f t="shared" si="44"/>
        <v>230</v>
      </c>
      <c r="O96" s="119">
        <f t="shared" si="44"/>
        <v>1684000</v>
      </c>
      <c r="P96" s="119">
        <f t="shared" si="44"/>
        <v>1684000</v>
      </c>
      <c r="Q96" s="119">
        <f t="shared" si="44"/>
        <v>0</v>
      </c>
      <c r="R96" s="119">
        <f t="shared" si="44"/>
        <v>1684000</v>
      </c>
      <c r="S96" s="119">
        <f t="shared" si="44"/>
        <v>0</v>
      </c>
      <c r="T96" s="119">
        <f t="shared" si="44"/>
        <v>80</v>
      </c>
      <c r="U96" s="119">
        <f t="shared" si="44"/>
        <v>220</v>
      </c>
      <c r="V96" s="119">
        <f>SUM(V90:V95)</f>
        <v>15</v>
      </c>
      <c r="W96" s="119">
        <f>SUM(W90:W95)</f>
        <v>0</v>
      </c>
      <c r="X96" s="119">
        <f>SUM(X90:X95)</f>
        <v>80</v>
      </c>
      <c r="Y96" s="119">
        <f>SUM(Y90:Y95)</f>
        <v>0</v>
      </c>
      <c r="Z96" s="119">
        <f>SUM(Z90:Z95)</f>
        <v>0</v>
      </c>
      <c r="AA96" s="119">
        <f>SUM(AA90:AA95)</f>
        <v>95</v>
      </c>
      <c r="AB96" s="119">
        <f>SUM(AB90:AB95)</f>
        <v>861750</v>
      </c>
      <c r="AC96" s="119">
        <f>SUM(AC90:AC95)</f>
        <v>765584</v>
      </c>
      <c r="AD96" s="119">
        <f>SUM(AD90:AD95)</f>
        <v>0</v>
      </c>
      <c r="AE96" s="119"/>
      <c r="AF96" s="119">
        <f>SUM(AF90:AF95)</f>
        <v>0</v>
      </c>
      <c r="AG96" s="119"/>
      <c r="AH96" s="119">
        <f>SUM(AH90:AH95)</f>
        <v>910626.92</v>
      </c>
      <c r="AI96" s="60">
        <f>AH96-AQ96-H96</f>
        <v>-95799.7916509218</v>
      </c>
      <c r="AJ96" s="119">
        <f>SUM(AJ90:AJ95)</f>
        <v>535898</v>
      </c>
      <c r="AK96" s="135"/>
      <c r="AL96" s="119">
        <f t="shared" ref="AL96:BH96" si="45">SUM(AL90:AL95)</f>
        <v>220700</v>
      </c>
      <c r="AM96" s="119">
        <f t="shared" si="45"/>
        <v>359750</v>
      </c>
      <c r="AN96" s="119">
        <f t="shared" si="45"/>
        <v>145250</v>
      </c>
      <c r="AO96" s="119">
        <f t="shared" si="45"/>
        <v>6895.11470985155</v>
      </c>
      <c r="AP96" s="119">
        <f t="shared" si="45"/>
        <v>22248.2636077373</v>
      </c>
      <c r="AQ96" s="143">
        <f t="shared" si="45"/>
        <v>754843.378317589</v>
      </c>
      <c r="AR96" s="119">
        <f t="shared" si="45"/>
        <v>45</v>
      </c>
      <c r="AS96" s="119">
        <f t="shared" si="45"/>
        <v>90</v>
      </c>
      <c r="AT96" s="141">
        <f t="shared" si="34"/>
        <v>3.46153846153846</v>
      </c>
      <c r="AU96" s="141">
        <f t="shared" si="35"/>
        <v>6.92307692307692</v>
      </c>
    </row>
    <row r="97" spans="1:47">
      <c r="A97" s="28" t="s">
        <v>224</v>
      </c>
      <c r="B97" s="27" t="s">
        <v>225</v>
      </c>
      <c r="C97" s="27" t="s">
        <v>99</v>
      </c>
      <c r="D97" s="27" t="s">
        <v>99</v>
      </c>
      <c r="E97" s="27"/>
      <c r="F97" s="112">
        <v>-301</v>
      </c>
      <c r="G97" s="112">
        <v>0</v>
      </c>
      <c r="H97" s="112">
        <v>0</v>
      </c>
      <c r="I97" s="124">
        <v>0</v>
      </c>
      <c r="J97" s="124">
        <v>0</v>
      </c>
      <c r="K97" s="124">
        <v>0</v>
      </c>
      <c r="L97" s="124">
        <v>0</v>
      </c>
      <c r="M97" s="124">
        <v>0</v>
      </c>
      <c r="N97" s="44">
        <f t="shared" ref="N97:N111" si="46">SUM(I97:M97)</f>
        <v>0</v>
      </c>
      <c r="O97" s="44">
        <v>0</v>
      </c>
      <c r="P97" s="125">
        <f t="shared" si="30"/>
        <v>0</v>
      </c>
      <c r="Q97" s="44"/>
      <c r="R97" s="44">
        <f>P97+Q97</f>
        <v>0</v>
      </c>
      <c r="S97" s="54">
        <v>0</v>
      </c>
      <c r="T97" s="54">
        <v>0</v>
      </c>
      <c r="U97" s="54">
        <v>0</v>
      </c>
      <c r="V97" s="60">
        <v>0</v>
      </c>
      <c r="W97" s="60">
        <v>0</v>
      </c>
      <c r="X97" s="60">
        <v>0</v>
      </c>
      <c r="Y97" s="60">
        <v>0</v>
      </c>
      <c r="Z97" s="60">
        <v>0</v>
      </c>
      <c r="AA97" s="60">
        <f t="shared" ref="AA97:AA111" si="47">V97+W97+X97+Y97+Z97</f>
        <v>0</v>
      </c>
      <c r="AB97" s="60">
        <v>0</v>
      </c>
      <c r="AC97" s="43">
        <v>0</v>
      </c>
      <c r="AD97" s="60">
        <v>0</v>
      </c>
      <c r="AE97" s="60"/>
      <c r="AF97" s="60"/>
      <c r="AG97" s="60"/>
      <c r="AH97" s="60">
        <f t="shared" ref="AH97:AH102" si="48">F97+AB97-AC97-AE97-AD97-AF97-AG97</f>
        <v>-301</v>
      </c>
      <c r="AI97" s="60"/>
      <c r="AJ97" s="60"/>
      <c r="AK97" s="7"/>
      <c r="AL97" s="64">
        <v>0</v>
      </c>
      <c r="AM97" s="64">
        <v>0</v>
      </c>
      <c r="AN97" s="64">
        <v>0</v>
      </c>
      <c r="AO97" s="64">
        <v>0</v>
      </c>
      <c r="AP97" s="64">
        <v>0</v>
      </c>
      <c r="AQ97" s="64">
        <f t="shared" ref="AQ97:AQ111" si="49">AL97+AM97+AN97+AO97+AP97</f>
        <v>0</v>
      </c>
      <c r="AR97" s="59">
        <f t="shared" si="32"/>
        <v>0</v>
      </c>
      <c r="AS97" s="59">
        <f t="shared" si="33"/>
        <v>0</v>
      </c>
      <c r="AT97" s="141">
        <f t="shared" si="34"/>
        <v>0</v>
      </c>
      <c r="AU97" s="141">
        <f t="shared" si="35"/>
        <v>0</v>
      </c>
    </row>
    <row r="98" spans="1:47">
      <c r="A98" s="28" t="s">
        <v>226</v>
      </c>
      <c r="B98" s="27" t="s">
        <v>227</v>
      </c>
      <c r="C98" s="27" t="s">
        <v>99</v>
      </c>
      <c r="D98" s="27" t="s">
        <v>99</v>
      </c>
      <c r="E98" s="27"/>
      <c r="F98" s="112">
        <v>-6800</v>
      </c>
      <c r="G98" s="112">
        <v>0</v>
      </c>
      <c r="H98" s="112">
        <v>0</v>
      </c>
      <c r="I98" s="124">
        <v>0</v>
      </c>
      <c r="J98" s="124">
        <v>0</v>
      </c>
      <c r="K98" s="124">
        <v>0</v>
      </c>
      <c r="L98" s="124">
        <v>0</v>
      </c>
      <c r="M98" s="124">
        <v>0</v>
      </c>
      <c r="N98" s="44">
        <f t="shared" si="46"/>
        <v>0</v>
      </c>
      <c r="O98" s="44">
        <v>0</v>
      </c>
      <c r="P98" s="125">
        <f t="shared" si="30"/>
        <v>0</v>
      </c>
      <c r="Q98" s="44"/>
      <c r="R98" s="44">
        <f>P98+Q98</f>
        <v>0</v>
      </c>
      <c r="S98" s="54">
        <v>0</v>
      </c>
      <c r="T98" s="54">
        <v>0</v>
      </c>
      <c r="U98" s="54">
        <v>20</v>
      </c>
      <c r="V98" s="60">
        <v>0</v>
      </c>
      <c r="W98" s="60">
        <v>0</v>
      </c>
      <c r="X98" s="60">
        <v>0</v>
      </c>
      <c r="Y98" s="60">
        <v>0</v>
      </c>
      <c r="Z98" s="60">
        <v>0</v>
      </c>
      <c r="AA98" s="60">
        <f t="shared" si="47"/>
        <v>0</v>
      </c>
      <c r="AB98" s="60">
        <v>0</v>
      </c>
      <c r="AC98" s="43">
        <v>0</v>
      </c>
      <c r="AD98" s="60">
        <v>0</v>
      </c>
      <c r="AE98" s="60"/>
      <c r="AF98" s="60"/>
      <c r="AG98" s="60"/>
      <c r="AH98" s="60">
        <f t="shared" si="48"/>
        <v>-6800</v>
      </c>
      <c r="AI98" s="60"/>
      <c r="AJ98" s="60"/>
      <c r="AK98" s="7"/>
      <c r="AL98" s="64">
        <v>38700</v>
      </c>
      <c r="AM98" s="64">
        <v>0</v>
      </c>
      <c r="AN98" s="64">
        <v>0</v>
      </c>
      <c r="AO98" s="64">
        <v>0</v>
      </c>
      <c r="AP98" s="64">
        <v>0</v>
      </c>
      <c r="AQ98" s="64">
        <f t="shared" si="49"/>
        <v>38700</v>
      </c>
      <c r="AR98" s="59">
        <f t="shared" si="32"/>
        <v>0</v>
      </c>
      <c r="AS98" s="59">
        <f t="shared" si="33"/>
        <v>0</v>
      </c>
      <c r="AT98" s="141">
        <f t="shared" si="34"/>
        <v>0</v>
      </c>
      <c r="AU98" s="141">
        <f t="shared" si="35"/>
        <v>0</v>
      </c>
    </row>
    <row r="99" spans="1:47">
      <c r="A99" s="28" t="s">
        <v>228</v>
      </c>
      <c r="B99" s="27" t="s">
        <v>229</v>
      </c>
      <c r="C99" s="27" t="s">
        <v>99</v>
      </c>
      <c r="D99" s="27" t="s">
        <v>99</v>
      </c>
      <c r="E99" s="27"/>
      <c r="F99" s="112">
        <v>150552</v>
      </c>
      <c r="G99" s="112">
        <v>0</v>
      </c>
      <c r="H99" s="112">
        <v>0</v>
      </c>
      <c r="I99" s="124">
        <v>0</v>
      </c>
      <c r="J99" s="124">
        <v>0</v>
      </c>
      <c r="K99" s="124">
        <v>0</v>
      </c>
      <c r="L99" s="124">
        <v>0</v>
      </c>
      <c r="M99" s="124">
        <v>0</v>
      </c>
      <c r="N99" s="44">
        <f t="shared" si="46"/>
        <v>0</v>
      </c>
      <c r="O99" s="44">
        <v>0</v>
      </c>
      <c r="P99" s="125">
        <f t="shared" si="30"/>
        <v>0</v>
      </c>
      <c r="Q99" s="44"/>
      <c r="R99" s="44">
        <f>P99+Q99</f>
        <v>0</v>
      </c>
      <c r="S99" s="54">
        <v>0</v>
      </c>
      <c r="T99" s="54">
        <v>0</v>
      </c>
      <c r="U99" s="54">
        <v>20</v>
      </c>
      <c r="V99" s="60">
        <v>0</v>
      </c>
      <c r="W99" s="60">
        <v>0</v>
      </c>
      <c r="X99" s="60">
        <v>0</v>
      </c>
      <c r="Y99" s="60">
        <v>0</v>
      </c>
      <c r="Z99" s="60">
        <v>0</v>
      </c>
      <c r="AA99" s="60">
        <f t="shared" si="47"/>
        <v>0</v>
      </c>
      <c r="AB99" s="60">
        <v>0</v>
      </c>
      <c r="AC99" s="43">
        <v>0</v>
      </c>
      <c r="AD99" s="60">
        <v>0</v>
      </c>
      <c r="AE99" s="60"/>
      <c r="AF99" s="60"/>
      <c r="AG99" s="60"/>
      <c r="AH99" s="60">
        <f t="shared" si="48"/>
        <v>150552</v>
      </c>
      <c r="AI99" s="60"/>
      <c r="AJ99" s="60">
        <f t="shared" si="31"/>
        <v>150552</v>
      </c>
      <c r="AK99" s="7"/>
      <c r="AL99" s="64">
        <v>0</v>
      </c>
      <c r="AM99" s="64">
        <v>0</v>
      </c>
      <c r="AN99" s="64">
        <v>0</v>
      </c>
      <c r="AO99" s="64">
        <v>0</v>
      </c>
      <c r="AP99" s="64">
        <v>0</v>
      </c>
      <c r="AQ99" s="64">
        <f t="shared" si="49"/>
        <v>0</v>
      </c>
      <c r="AR99" s="59">
        <f t="shared" si="32"/>
        <v>0</v>
      </c>
      <c r="AS99" s="59">
        <f t="shared" si="33"/>
        <v>0</v>
      </c>
      <c r="AT99" s="141">
        <f t="shared" si="34"/>
        <v>0</v>
      </c>
      <c r="AU99" s="141">
        <f t="shared" si="35"/>
        <v>0</v>
      </c>
    </row>
    <row r="100" spans="1:47">
      <c r="A100" s="28" t="s">
        <v>230</v>
      </c>
      <c r="B100" s="27" t="s">
        <v>231</v>
      </c>
      <c r="C100" s="27" t="s">
        <v>99</v>
      </c>
      <c r="D100" s="27" t="s">
        <v>99</v>
      </c>
      <c r="E100" s="27" t="s">
        <v>129</v>
      </c>
      <c r="F100" s="112">
        <v>287531.95</v>
      </c>
      <c r="G100" s="112">
        <v>0</v>
      </c>
      <c r="H100" s="112">
        <v>0</v>
      </c>
      <c r="I100" s="124">
        <v>0</v>
      </c>
      <c r="J100" s="124">
        <v>0</v>
      </c>
      <c r="K100" s="124">
        <v>0</v>
      </c>
      <c r="L100" s="124">
        <v>0</v>
      </c>
      <c r="M100" s="124">
        <v>0</v>
      </c>
      <c r="N100" s="44">
        <f t="shared" si="46"/>
        <v>0</v>
      </c>
      <c r="O100" s="44">
        <v>0</v>
      </c>
      <c r="P100" s="125">
        <f t="shared" si="30"/>
        <v>0</v>
      </c>
      <c r="Q100" s="44"/>
      <c r="R100" s="44">
        <f>P100+Q100</f>
        <v>0</v>
      </c>
      <c r="S100" s="54">
        <v>0</v>
      </c>
      <c r="T100" s="54">
        <v>0</v>
      </c>
      <c r="U100" s="54">
        <v>0</v>
      </c>
      <c r="V100" s="60">
        <v>0</v>
      </c>
      <c r="W100" s="60">
        <v>0</v>
      </c>
      <c r="X100" s="60">
        <v>0</v>
      </c>
      <c r="Y100" s="60">
        <v>0</v>
      </c>
      <c r="Z100" s="60">
        <v>0</v>
      </c>
      <c r="AA100" s="60">
        <f t="shared" si="47"/>
        <v>0</v>
      </c>
      <c r="AB100" s="60">
        <v>0</v>
      </c>
      <c r="AC100" s="43">
        <v>0</v>
      </c>
      <c r="AD100" s="60">
        <v>0</v>
      </c>
      <c r="AE100" s="60"/>
      <c r="AF100" s="60"/>
      <c r="AG100" s="60"/>
      <c r="AH100" s="60">
        <f t="shared" si="48"/>
        <v>287531.95</v>
      </c>
      <c r="AI100" s="60"/>
      <c r="AJ100" s="60">
        <f t="shared" si="31"/>
        <v>287531.95</v>
      </c>
      <c r="AK100" s="7"/>
      <c r="AL100" s="64">
        <v>8208.32</v>
      </c>
      <c r="AM100" s="64">
        <v>0</v>
      </c>
      <c r="AN100" s="64">
        <v>4104.16</v>
      </c>
      <c r="AO100" s="64">
        <v>0</v>
      </c>
      <c r="AP100" s="64">
        <v>0</v>
      </c>
      <c r="AQ100" s="64">
        <f t="shared" si="49"/>
        <v>12312.48</v>
      </c>
      <c r="AR100" s="59">
        <f t="shared" si="32"/>
        <v>0</v>
      </c>
      <c r="AS100" s="59">
        <f t="shared" si="33"/>
        <v>0</v>
      </c>
      <c r="AT100" s="141">
        <f t="shared" si="34"/>
        <v>0</v>
      </c>
      <c r="AU100" s="141">
        <f t="shared" si="35"/>
        <v>0</v>
      </c>
    </row>
    <row r="101" spans="1:47">
      <c r="A101" s="113" t="s">
        <v>232</v>
      </c>
      <c r="B101" s="27" t="s">
        <v>233</v>
      </c>
      <c r="C101" s="27" t="s">
        <v>49</v>
      </c>
      <c r="D101" s="27" t="s">
        <v>49</v>
      </c>
      <c r="E101" s="27"/>
      <c r="F101" s="112">
        <v>4144200</v>
      </c>
      <c r="G101" s="112">
        <v>0</v>
      </c>
      <c r="H101" s="112">
        <v>2000000</v>
      </c>
      <c r="I101" s="124">
        <v>300</v>
      </c>
      <c r="J101" s="124">
        <v>0</v>
      </c>
      <c r="K101" s="124">
        <v>700</v>
      </c>
      <c r="L101" s="124">
        <v>0</v>
      </c>
      <c r="M101" s="124">
        <v>0</v>
      </c>
      <c r="N101" s="44">
        <f t="shared" si="46"/>
        <v>1000</v>
      </c>
      <c r="O101" s="44">
        <v>4200000</v>
      </c>
      <c r="P101" s="125">
        <f t="shared" si="30"/>
        <v>4200000</v>
      </c>
      <c r="Q101" s="44"/>
      <c r="R101" s="44">
        <f>P101+Q101</f>
        <v>4200000</v>
      </c>
      <c r="S101" s="54">
        <v>1589500</v>
      </c>
      <c r="T101" s="54">
        <v>300</v>
      </c>
      <c r="U101" s="54">
        <v>1100</v>
      </c>
      <c r="V101" s="60">
        <v>220</v>
      </c>
      <c r="W101" s="60">
        <v>0</v>
      </c>
      <c r="X101" s="60">
        <v>502</v>
      </c>
      <c r="Y101" s="60">
        <v>0</v>
      </c>
      <c r="Z101" s="60">
        <v>0</v>
      </c>
      <c r="AA101" s="60">
        <f t="shared" si="47"/>
        <v>722</v>
      </c>
      <c r="AB101" s="60">
        <v>3469000</v>
      </c>
      <c r="AC101" s="43">
        <v>2000000</v>
      </c>
      <c r="AD101" s="60">
        <v>0</v>
      </c>
      <c r="AE101" s="60"/>
      <c r="AF101" s="60"/>
      <c r="AG101" s="60"/>
      <c r="AH101" s="60">
        <f t="shared" si="48"/>
        <v>5613200</v>
      </c>
      <c r="AI101" s="60">
        <f>AH101-AQ101-H101</f>
        <v>1058500</v>
      </c>
      <c r="AJ101" s="60">
        <f t="shared" si="31"/>
        <v>5613200</v>
      </c>
      <c r="AK101" s="7"/>
      <c r="AL101" s="64">
        <v>733000</v>
      </c>
      <c r="AM101" s="64">
        <v>1123200</v>
      </c>
      <c r="AN101" s="64">
        <v>698500</v>
      </c>
      <c r="AO101" s="64">
        <v>0</v>
      </c>
      <c r="AP101" s="64">
        <v>0</v>
      </c>
      <c r="AQ101" s="64">
        <f t="shared" si="49"/>
        <v>2554700</v>
      </c>
      <c r="AR101" s="59">
        <f t="shared" si="32"/>
        <v>80</v>
      </c>
      <c r="AS101" s="59">
        <f t="shared" si="33"/>
        <v>198</v>
      </c>
      <c r="AT101" s="141">
        <f t="shared" si="34"/>
        <v>6.15384615384615</v>
      </c>
      <c r="AU101" s="141">
        <f t="shared" si="35"/>
        <v>15.2307692307692</v>
      </c>
    </row>
    <row r="102" s="4" customFormat="1" spans="1:47">
      <c r="A102" s="28" t="s">
        <v>234</v>
      </c>
      <c r="B102" s="174" t="s">
        <v>235</v>
      </c>
      <c r="C102" s="27" t="s">
        <v>99</v>
      </c>
      <c r="D102" s="27" t="s">
        <v>99</v>
      </c>
      <c r="E102" s="27"/>
      <c r="F102" s="112">
        <v>640890.3</v>
      </c>
      <c r="G102" s="112"/>
      <c r="H102" s="112"/>
      <c r="I102" s="124">
        <v>0</v>
      </c>
      <c r="J102" s="124">
        <v>0</v>
      </c>
      <c r="K102" s="124">
        <v>0</v>
      </c>
      <c r="L102" s="124">
        <v>0</v>
      </c>
      <c r="M102" s="124">
        <v>0</v>
      </c>
      <c r="N102" s="44">
        <f t="shared" si="46"/>
        <v>0</v>
      </c>
      <c r="O102" s="44">
        <v>0</v>
      </c>
      <c r="P102" s="125">
        <f t="shared" si="30"/>
        <v>0</v>
      </c>
      <c r="Q102" s="94"/>
      <c r="R102" s="94"/>
      <c r="S102" s="54">
        <v>23644.7368421053</v>
      </c>
      <c r="T102" s="54">
        <v>0</v>
      </c>
      <c r="U102" s="54">
        <v>0</v>
      </c>
      <c r="V102" s="60">
        <v>8</v>
      </c>
      <c r="W102" s="60">
        <v>0</v>
      </c>
      <c r="X102" s="60">
        <v>5</v>
      </c>
      <c r="Y102" s="60">
        <v>0</v>
      </c>
      <c r="Z102" s="60">
        <v>0</v>
      </c>
      <c r="AA102" s="60">
        <f t="shared" si="47"/>
        <v>13</v>
      </c>
      <c r="AB102" s="60">
        <v>172500</v>
      </c>
      <c r="AC102" s="43">
        <v>0</v>
      </c>
      <c r="AD102" s="60">
        <v>0</v>
      </c>
      <c r="AE102" s="43"/>
      <c r="AF102" s="43"/>
      <c r="AG102" s="43"/>
      <c r="AH102" s="60">
        <f t="shared" si="48"/>
        <v>813390.3</v>
      </c>
      <c r="AI102" s="60">
        <f>AH102-AQ102-H102</f>
        <v>788385.036842105</v>
      </c>
      <c r="AJ102" s="60">
        <f t="shared" si="31"/>
        <v>813390.3</v>
      </c>
      <c r="AK102" s="7"/>
      <c r="AL102" s="64">
        <v>0</v>
      </c>
      <c r="AM102" s="64">
        <v>0</v>
      </c>
      <c r="AN102" s="64">
        <v>22400</v>
      </c>
      <c r="AO102" s="64">
        <v>0</v>
      </c>
      <c r="AP102" s="64">
        <v>2605.26315789474</v>
      </c>
      <c r="AQ102" s="64">
        <f t="shared" si="49"/>
        <v>25005.2631578947</v>
      </c>
      <c r="AR102" s="59">
        <f t="shared" si="32"/>
        <v>-8</v>
      </c>
      <c r="AS102" s="59">
        <f t="shared" si="33"/>
        <v>-5</v>
      </c>
      <c r="AT102" s="141">
        <f t="shared" si="34"/>
        <v>-0.615384615384615</v>
      </c>
      <c r="AU102" s="141">
        <f t="shared" si="35"/>
        <v>-0.384615384615385</v>
      </c>
    </row>
    <row r="103" spans="1:47">
      <c r="A103" s="28" t="s">
        <v>236</v>
      </c>
      <c r="B103" s="27" t="s">
        <v>237</v>
      </c>
      <c r="C103" s="27" t="s">
        <v>99</v>
      </c>
      <c r="D103" s="27" t="s">
        <v>99</v>
      </c>
      <c r="E103" s="27"/>
      <c r="F103" s="112">
        <v>-1544243.86</v>
      </c>
      <c r="G103" s="112"/>
      <c r="H103" s="112"/>
      <c r="I103" s="124">
        <v>100</v>
      </c>
      <c r="J103" s="124">
        <v>0</v>
      </c>
      <c r="K103" s="124">
        <v>300</v>
      </c>
      <c r="L103" s="124">
        <v>0</v>
      </c>
      <c r="M103" s="124">
        <v>0</v>
      </c>
      <c r="N103" s="44">
        <f t="shared" si="46"/>
        <v>400</v>
      </c>
      <c r="O103" s="44">
        <v>4470000</v>
      </c>
      <c r="P103" s="125">
        <f t="shared" si="30"/>
        <v>4470000</v>
      </c>
      <c r="Q103" s="44"/>
      <c r="R103" s="44">
        <f>P103+Q103</f>
        <v>4470000</v>
      </c>
      <c r="S103" s="54">
        <v>0</v>
      </c>
      <c r="T103" s="54">
        <v>100</v>
      </c>
      <c r="U103" s="54">
        <v>500</v>
      </c>
      <c r="V103" s="60">
        <v>50</v>
      </c>
      <c r="W103" s="60">
        <v>0</v>
      </c>
      <c r="X103" s="60">
        <v>150</v>
      </c>
      <c r="Y103" s="60">
        <v>0</v>
      </c>
      <c r="Z103" s="60">
        <v>0</v>
      </c>
      <c r="AA103" s="60">
        <f t="shared" si="47"/>
        <v>200</v>
      </c>
      <c r="AB103" s="60">
        <v>2467500</v>
      </c>
      <c r="AC103" s="43">
        <v>0</v>
      </c>
      <c r="AD103" s="60">
        <v>0</v>
      </c>
      <c r="AE103" s="60"/>
      <c r="AF103" s="60"/>
      <c r="AG103" s="60"/>
      <c r="AH103" s="60">
        <f t="shared" ref="AH103:AH111" si="50">F103+AB103-AC103-AE103-AD103-AF103-AG103</f>
        <v>923256.14</v>
      </c>
      <c r="AI103" s="60"/>
      <c r="AJ103" s="60">
        <f t="shared" si="31"/>
        <v>923256.14</v>
      </c>
      <c r="AK103" s="7"/>
      <c r="AL103" s="64">
        <v>0</v>
      </c>
      <c r="AM103" s="64">
        <v>0</v>
      </c>
      <c r="AN103" s="64">
        <v>740950</v>
      </c>
      <c r="AO103" s="64">
        <v>28410.2564102564</v>
      </c>
      <c r="AP103" s="64">
        <v>101495.726495726</v>
      </c>
      <c r="AQ103" s="64">
        <f t="shared" si="49"/>
        <v>870855.982905982</v>
      </c>
      <c r="AR103" s="59">
        <f t="shared" si="32"/>
        <v>50</v>
      </c>
      <c r="AS103" s="59">
        <f t="shared" si="33"/>
        <v>150</v>
      </c>
      <c r="AT103" s="141">
        <f t="shared" si="34"/>
        <v>3.84615384615385</v>
      </c>
      <c r="AU103" s="141">
        <f t="shared" si="35"/>
        <v>11.5384615384615</v>
      </c>
    </row>
    <row r="104" spans="1:47">
      <c r="A104" s="28" t="s">
        <v>238</v>
      </c>
      <c r="B104" s="27" t="s">
        <v>239</v>
      </c>
      <c r="C104" s="27" t="s">
        <v>99</v>
      </c>
      <c r="D104" s="27" t="s">
        <v>99</v>
      </c>
      <c r="E104" s="27"/>
      <c r="F104" s="112">
        <v>108600</v>
      </c>
      <c r="G104" s="112">
        <v>0</v>
      </c>
      <c r="H104" s="112">
        <v>0</v>
      </c>
      <c r="I104" s="124">
        <v>0</v>
      </c>
      <c r="J104" s="124">
        <v>0</v>
      </c>
      <c r="K104" s="124">
        <v>0</v>
      </c>
      <c r="L104" s="124">
        <v>0</v>
      </c>
      <c r="M104" s="124">
        <v>0</v>
      </c>
      <c r="N104" s="44">
        <f t="shared" si="46"/>
        <v>0</v>
      </c>
      <c r="O104" s="44">
        <v>0</v>
      </c>
      <c r="P104" s="125">
        <f t="shared" si="30"/>
        <v>0</v>
      </c>
      <c r="Q104" s="44"/>
      <c r="R104" s="44">
        <f>P104+Q104</f>
        <v>0</v>
      </c>
      <c r="S104" s="54">
        <v>0</v>
      </c>
      <c r="T104" s="54">
        <v>0</v>
      </c>
      <c r="U104" s="54">
        <v>0</v>
      </c>
      <c r="V104" s="60">
        <v>0</v>
      </c>
      <c r="W104" s="60">
        <v>0</v>
      </c>
      <c r="X104" s="60">
        <v>0</v>
      </c>
      <c r="Y104" s="60">
        <v>0</v>
      </c>
      <c r="Z104" s="60">
        <v>0</v>
      </c>
      <c r="AA104" s="60">
        <f t="shared" si="47"/>
        <v>0</v>
      </c>
      <c r="AB104" s="60">
        <v>0</v>
      </c>
      <c r="AC104" s="43">
        <v>0</v>
      </c>
      <c r="AD104" s="60">
        <v>0</v>
      </c>
      <c r="AE104" s="60"/>
      <c r="AF104" s="60"/>
      <c r="AG104" s="60"/>
      <c r="AH104" s="60">
        <f t="shared" si="50"/>
        <v>108600</v>
      </c>
      <c r="AI104" s="60"/>
      <c r="AJ104" s="60">
        <f t="shared" si="31"/>
        <v>108600</v>
      </c>
      <c r="AK104" s="7"/>
      <c r="AL104" s="64">
        <v>6000</v>
      </c>
      <c r="AM104" s="64">
        <v>0</v>
      </c>
      <c r="AN104" s="64">
        <v>0</v>
      </c>
      <c r="AO104" s="64">
        <v>0</v>
      </c>
      <c r="AP104" s="64">
        <v>0</v>
      </c>
      <c r="AQ104" s="64">
        <f t="shared" si="49"/>
        <v>6000</v>
      </c>
      <c r="AR104" s="59">
        <f t="shared" si="32"/>
        <v>0</v>
      </c>
      <c r="AS104" s="59">
        <f t="shared" si="33"/>
        <v>0</v>
      </c>
      <c r="AT104" s="141">
        <f t="shared" si="34"/>
        <v>0</v>
      </c>
      <c r="AU104" s="141">
        <f t="shared" si="35"/>
        <v>0</v>
      </c>
    </row>
    <row r="105" spans="1:47">
      <c r="A105" s="28" t="s">
        <v>240</v>
      </c>
      <c r="B105" s="27" t="s">
        <v>241</v>
      </c>
      <c r="C105" s="27">
        <v>0</v>
      </c>
      <c r="D105" s="27" t="s">
        <v>99</v>
      </c>
      <c r="E105" s="27"/>
      <c r="F105" s="112">
        <v>186321.63</v>
      </c>
      <c r="G105" s="112">
        <v>0</v>
      </c>
      <c r="H105" s="112">
        <v>0</v>
      </c>
      <c r="I105" s="124">
        <v>0</v>
      </c>
      <c r="J105" s="124">
        <v>0</v>
      </c>
      <c r="K105" s="124">
        <v>0</v>
      </c>
      <c r="L105" s="124">
        <v>0</v>
      </c>
      <c r="M105" s="124">
        <v>0</v>
      </c>
      <c r="N105" s="44">
        <f t="shared" si="46"/>
        <v>0</v>
      </c>
      <c r="O105" s="44">
        <v>0</v>
      </c>
      <c r="P105" s="125">
        <f t="shared" si="30"/>
        <v>0</v>
      </c>
      <c r="Q105" s="44"/>
      <c r="R105" s="44">
        <f>P105+Q105</f>
        <v>0</v>
      </c>
      <c r="S105" s="54">
        <v>0</v>
      </c>
      <c r="T105" s="54">
        <v>0</v>
      </c>
      <c r="U105" s="54">
        <v>0</v>
      </c>
      <c r="V105" s="60">
        <v>0</v>
      </c>
      <c r="W105" s="60">
        <v>0</v>
      </c>
      <c r="X105" s="60">
        <v>0</v>
      </c>
      <c r="Y105" s="60">
        <v>0</v>
      </c>
      <c r="Z105" s="60">
        <v>0</v>
      </c>
      <c r="AA105" s="60">
        <f t="shared" si="47"/>
        <v>0</v>
      </c>
      <c r="AB105" s="60">
        <v>0</v>
      </c>
      <c r="AC105" s="43">
        <v>0</v>
      </c>
      <c r="AD105" s="60">
        <v>0</v>
      </c>
      <c r="AE105" s="60"/>
      <c r="AF105" s="60"/>
      <c r="AG105" s="60"/>
      <c r="AH105" s="60">
        <f t="shared" si="50"/>
        <v>186321.63</v>
      </c>
      <c r="AI105" s="60"/>
      <c r="AJ105" s="60">
        <f t="shared" si="31"/>
        <v>186321.63</v>
      </c>
      <c r="AK105" s="7"/>
      <c r="AL105" s="64">
        <v>0</v>
      </c>
      <c r="AM105" s="64">
        <v>0</v>
      </c>
      <c r="AN105" s="64">
        <v>0</v>
      </c>
      <c r="AO105" s="64">
        <v>0</v>
      </c>
      <c r="AP105" s="64">
        <v>0</v>
      </c>
      <c r="AQ105" s="64">
        <f t="shared" si="49"/>
        <v>0</v>
      </c>
      <c r="AR105" s="59">
        <f t="shared" si="32"/>
        <v>0</v>
      </c>
      <c r="AS105" s="59">
        <f t="shared" si="33"/>
        <v>0</v>
      </c>
      <c r="AT105" s="141">
        <f t="shared" si="34"/>
        <v>0</v>
      </c>
      <c r="AU105" s="141">
        <f t="shared" si="35"/>
        <v>0</v>
      </c>
    </row>
    <row r="106" spans="1:47">
      <c r="A106" s="113" t="s">
        <v>242</v>
      </c>
      <c r="B106" s="27" t="s">
        <v>243</v>
      </c>
      <c r="C106" s="27" t="s">
        <v>49</v>
      </c>
      <c r="D106" s="27" t="s">
        <v>49</v>
      </c>
      <c r="E106" s="27"/>
      <c r="F106" s="112">
        <v>2269295</v>
      </c>
      <c r="G106" s="112">
        <v>0</v>
      </c>
      <c r="H106" s="112">
        <v>1200000</v>
      </c>
      <c r="I106" s="124">
        <v>100</v>
      </c>
      <c r="J106" s="124">
        <v>0</v>
      </c>
      <c r="K106" s="124">
        <v>500</v>
      </c>
      <c r="L106" s="124">
        <v>0</v>
      </c>
      <c r="M106" s="124">
        <v>0</v>
      </c>
      <c r="N106" s="44">
        <f t="shared" si="46"/>
        <v>600</v>
      </c>
      <c r="O106" s="44">
        <v>2440000</v>
      </c>
      <c r="P106" s="125">
        <f t="shared" si="30"/>
        <v>2440000</v>
      </c>
      <c r="Q106" s="44"/>
      <c r="R106" s="44">
        <f>P106+Q106</f>
        <v>2440000</v>
      </c>
      <c r="S106" s="54">
        <v>894995</v>
      </c>
      <c r="T106" s="54">
        <v>300</v>
      </c>
      <c r="U106" s="54">
        <v>700</v>
      </c>
      <c r="V106" s="60">
        <v>50</v>
      </c>
      <c r="W106" s="60">
        <v>0</v>
      </c>
      <c r="X106" s="60">
        <v>100</v>
      </c>
      <c r="Y106" s="60">
        <v>0</v>
      </c>
      <c r="Z106" s="60">
        <v>0</v>
      </c>
      <c r="AA106" s="60">
        <f t="shared" si="47"/>
        <v>150</v>
      </c>
      <c r="AB106" s="60">
        <v>725000</v>
      </c>
      <c r="AC106" s="43">
        <v>1100000</v>
      </c>
      <c r="AD106" s="60">
        <v>0</v>
      </c>
      <c r="AE106" s="60"/>
      <c r="AF106" s="60"/>
      <c r="AG106" s="60"/>
      <c r="AH106" s="60">
        <f t="shared" si="50"/>
        <v>1894295</v>
      </c>
      <c r="AI106" s="60"/>
      <c r="AJ106" s="60">
        <f t="shared" si="31"/>
        <v>1894295</v>
      </c>
      <c r="AK106" s="7"/>
      <c r="AL106" s="64">
        <v>395500</v>
      </c>
      <c r="AM106" s="64">
        <v>680800</v>
      </c>
      <c r="AN106" s="64">
        <v>298000</v>
      </c>
      <c r="AO106" s="64">
        <v>0</v>
      </c>
      <c r="AP106" s="64">
        <v>0</v>
      </c>
      <c r="AQ106" s="64">
        <f t="shared" si="49"/>
        <v>1374300</v>
      </c>
      <c r="AR106" s="59">
        <f t="shared" si="32"/>
        <v>50</v>
      </c>
      <c r="AS106" s="59">
        <f t="shared" si="33"/>
        <v>400</v>
      </c>
      <c r="AT106" s="141">
        <f t="shared" si="34"/>
        <v>3.84615384615385</v>
      </c>
      <c r="AU106" s="141">
        <f t="shared" si="35"/>
        <v>30.7692307692308</v>
      </c>
    </row>
    <row r="107" spans="1:47">
      <c r="A107" s="28" t="s">
        <v>244</v>
      </c>
      <c r="B107" s="27" t="s">
        <v>245</v>
      </c>
      <c r="C107" s="27">
        <v>0</v>
      </c>
      <c r="D107" s="27" t="s">
        <v>99</v>
      </c>
      <c r="E107" s="27"/>
      <c r="F107" s="112">
        <v>-14223</v>
      </c>
      <c r="G107" s="112">
        <v>0</v>
      </c>
      <c r="H107" s="112">
        <v>0</v>
      </c>
      <c r="I107" s="124">
        <v>0</v>
      </c>
      <c r="J107" s="124">
        <v>0</v>
      </c>
      <c r="K107" s="124">
        <v>0</v>
      </c>
      <c r="L107" s="124">
        <v>0</v>
      </c>
      <c r="M107" s="124">
        <v>0</v>
      </c>
      <c r="N107" s="44">
        <f t="shared" si="46"/>
        <v>0</v>
      </c>
      <c r="O107" s="44">
        <v>0</v>
      </c>
      <c r="P107" s="125">
        <f t="shared" si="30"/>
        <v>0</v>
      </c>
      <c r="Q107" s="44"/>
      <c r="R107" s="44">
        <f>P107+Q107</f>
        <v>0</v>
      </c>
      <c r="S107" s="54">
        <v>0</v>
      </c>
      <c r="T107" s="54">
        <v>0</v>
      </c>
      <c r="U107" s="54">
        <v>0</v>
      </c>
      <c r="V107" s="60">
        <v>0</v>
      </c>
      <c r="W107" s="60">
        <v>0</v>
      </c>
      <c r="X107" s="60">
        <v>0</v>
      </c>
      <c r="Y107" s="60">
        <v>0</v>
      </c>
      <c r="Z107" s="60">
        <v>0</v>
      </c>
      <c r="AA107" s="60">
        <f t="shared" si="47"/>
        <v>0</v>
      </c>
      <c r="AB107" s="60">
        <v>0</v>
      </c>
      <c r="AC107" s="43">
        <v>0</v>
      </c>
      <c r="AD107" s="60">
        <v>0</v>
      </c>
      <c r="AE107" s="60"/>
      <c r="AF107" s="60"/>
      <c r="AG107" s="60"/>
      <c r="AH107" s="60">
        <f t="shared" si="50"/>
        <v>-14223</v>
      </c>
      <c r="AI107" s="60"/>
      <c r="AJ107" s="60"/>
      <c r="AK107" s="7"/>
      <c r="AL107" s="64">
        <v>0</v>
      </c>
      <c r="AM107" s="64">
        <v>0</v>
      </c>
      <c r="AN107" s="64">
        <v>0</v>
      </c>
      <c r="AO107" s="64">
        <v>0</v>
      </c>
      <c r="AP107" s="64">
        <v>0</v>
      </c>
      <c r="AQ107" s="64">
        <f t="shared" si="49"/>
        <v>0</v>
      </c>
      <c r="AR107" s="59">
        <f t="shared" si="32"/>
        <v>0</v>
      </c>
      <c r="AS107" s="59">
        <f t="shared" si="33"/>
        <v>0</v>
      </c>
      <c r="AT107" s="141">
        <f t="shared" si="34"/>
        <v>0</v>
      </c>
      <c r="AU107" s="141">
        <f t="shared" si="35"/>
        <v>0</v>
      </c>
    </row>
    <row r="108" spans="1:47">
      <c r="A108" s="28" t="s">
        <v>246</v>
      </c>
      <c r="B108" s="174" t="s">
        <v>247</v>
      </c>
      <c r="C108" s="27" t="s">
        <v>1</v>
      </c>
      <c r="D108" s="27"/>
      <c r="E108" s="27"/>
      <c r="F108" s="112">
        <v>243441.77</v>
      </c>
      <c r="G108" s="112"/>
      <c r="H108" s="112"/>
      <c r="I108" s="124">
        <v>0</v>
      </c>
      <c r="J108" s="124">
        <v>0</v>
      </c>
      <c r="K108" s="124">
        <v>0</v>
      </c>
      <c r="L108" s="124">
        <v>0</v>
      </c>
      <c r="M108" s="124">
        <v>0</v>
      </c>
      <c r="N108" s="44">
        <f t="shared" si="46"/>
        <v>0</v>
      </c>
      <c r="O108" s="44">
        <v>0</v>
      </c>
      <c r="P108" s="125">
        <f t="shared" si="30"/>
        <v>0</v>
      </c>
      <c r="Q108" s="44"/>
      <c r="R108" s="44"/>
      <c r="S108" s="54">
        <v>0</v>
      </c>
      <c r="T108" s="54">
        <v>0</v>
      </c>
      <c r="U108" s="54">
        <v>0</v>
      </c>
      <c r="V108" s="60">
        <v>0</v>
      </c>
      <c r="W108" s="60">
        <v>0</v>
      </c>
      <c r="X108" s="60">
        <v>0</v>
      </c>
      <c r="Y108" s="60">
        <v>0</v>
      </c>
      <c r="Z108" s="60">
        <v>0</v>
      </c>
      <c r="AA108" s="60">
        <f t="shared" si="47"/>
        <v>0</v>
      </c>
      <c r="AB108" s="60">
        <v>0</v>
      </c>
      <c r="AC108" s="43">
        <v>0</v>
      </c>
      <c r="AD108" s="60">
        <v>0</v>
      </c>
      <c r="AE108" s="60"/>
      <c r="AF108" s="60"/>
      <c r="AG108" s="60"/>
      <c r="AH108" s="60">
        <f t="shared" si="50"/>
        <v>243441.77</v>
      </c>
      <c r="AI108" s="60"/>
      <c r="AJ108" s="60"/>
      <c r="AK108" s="7"/>
      <c r="AL108" s="64">
        <v>8860.4</v>
      </c>
      <c r="AM108" s="64">
        <v>0</v>
      </c>
      <c r="AN108" s="64">
        <v>0</v>
      </c>
      <c r="AO108" s="64">
        <v>0</v>
      </c>
      <c r="AP108" s="64">
        <v>0</v>
      </c>
      <c r="AQ108" s="64">
        <f t="shared" si="49"/>
        <v>8860.4</v>
      </c>
      <c r="AR108" s="59">
        <f t="shared" si="32"/>
        <v>0</v>
      </c>
      <c r="AS108" s="59">
        <f t="shared" si="33"/>
        <v>0</v>
      </c>
      <c r="AT108" s="141">
        <f t="shared" si="34"/>
        <v>0</v>
      </c>
      <c r="AU108" s="141">
        <f t="shared" si="35"/>
        <v>0</v>
      </c>
    </row>
    <row r="109" spans="1:47">
      <c r="A109" s="28" t="s">
        <v>248</v>
      </c>
      <c r="B109" s="27" t="s">
        <v>249</v>
      </c>
      <c r="C109" s="27">
        <v>0</v>
      </c>
      <c r="D109" s="27" t="s">
        <v>99</v>
      </c>
      <c r="E109" s="27"/>
      <c r="F109" s="112">
        <v>-29544</v>
      </c>
      <c r="G109" s="112">
        <v>0</v>
      </c>
      <c r="H109" s="112">
        <v>0</v>
      </c>
      <c r="I109" s="124">
        <v>0</v>
      </c>
      <c r="J109" s="124">
        <v>0</v>
      </c>
      <c r="K109" s="124">
        <v>0</v>
      </c>
      <c r="L109" s="124">
        <v>0</v>
      </c>
      <c r="M109" s="124">
        <v>0</v>
      </c>
      <c r="N109" s="44">
        <f t="shared" si="46"/>
        <v>0</v>
      </c>
      <c r="O109" s="44">
        <v>0</v>
      </c>
      <c r="P109" s="125">
        <f t="shared" si="30"/>
        <v>0</v>
      </c>
      <c r="Q109" s="44"/>
      <c r="R109" s="44">
        <f>P109+Q109</f>
        <v>0</v>
      </c>
      <c r="S109" s="54">
        <v>0</v>
      </c>
      <c r="T109" s="54">
        <v>0</v>
      </c>
      <c r="U109" s="54">
        <v>0</v>
      </c>
      <c r="V109" s="60">
        <v>0</v>
      </c>
      <c r="W109" s="60">
        <v>0</v>
      </c>
      <c r="X109" s="60">
        <v>0</v>
      </c>
      <c r="Y109" s="60">
        <v>0</v>
      </c>
      <c r="Z109" s="60">
        <v>0</v>
      </c>
      <c r="AA109" s="60">
        <f t="shared" si="47"/>
        <v>0</v>
      </c>
      <c r="AB109" s="60">
        <v>0</v>
      </c>
      <c r="AC109" s="43">
        <v>0</v>
      </c>
      <c r="AD109" s="60">
        <v>0</v>
      </c>
      <c r="AE109" s="60"/>
      <c r="AF109" s="60"/>
      <c r="AG109" s="60"/>
      <c r="AH109" s="60">
        <f t="shared" si="50"/>
        <v>-29544</v>
      </c>
      <c r="AI109" s="60"/>
      <c r="AJ109" s="60"/>
      <c r="AK109" s="7"/>
      <c r="AL109" s="64">
        <v>0</v>
      </c>
      <c r="AM109" s="64">
        <v>0</v>
      </c>
      <c r="AN109" s="64">
        <v>0</v>
      </c>
      <c r="AO109" s="64">
        <v>0</v>
      </c>
      <c r="AP109" s="64">
        <v>0</v>
      </c>
      <c r="AQ109" s="64">
        <f t="shared" si="49"/>
        <v>0</v>
      </c>
      <c r="AR109" s="59">
        <f t="shared" si="32"/>
        <v>0</v>
      </c>
      <c r="AS109" s="59">
        <f t="shared" si="33"/>
        <v>0</v>
      </c>
      <c r="AT109" s="141">
        <f t="shared" si="34"/>
        <v>0</v>
      </c>
      <c r="AU109" s="141">
        <f t="shared" si="35"/>
        <v>0</v>
      </c>
    </row>
    <row r="110" spans="1:47">
      <c r="A110" s="28" t="s">
        <v>250</v>
      </c>
      <c r="B110" s="27" t="s">
        <v>251</v>
      </c>
      <c r="C110" s="27">
        <v>0</v>
      </c>
      <c r="D110" s="27" t="s">
        <v>2</v>
      </c>
      <c r="E110" s="27"/>
      <c r="F110" s="112">
        <v>-450657.22</v>
      </c>
      <c r="G110" s="112">
        <v>0</v>
      </c>
      <c r="H110" s="112">
        <v>500000</v>
      </c>
      <c r="I110" s="124">
        <v>0</v>
      </c>
      <c r="J110" s="124">
        <v>0</v>
      </c>
      <c r="K110" s="124">
        <v>0</v>
      </c>
      <c r="L110" s="124">
        <v>0</v>
      </c>
      <c r="M110" s="124">
        <v>0</v>
      </c>
      <c r="N110" s="44">
        <f t="shared" si="46"/>
        <v>0</v>
      </c>
      <c r="O110" s="44">
        <v>0</v>
      </c>
      <c r="P110" s="125">
        <f t="shared" si="30"/>
        <v>0</v>
      </c>
      <c r="Q110" s="44"/>
      <c r="R110" s="44">
        <f>P110+Q110</f>
        <v>0</v>
      </c>
      <c r="S110" s="54">
        <v>0</v>
      </c>
      <c r="T110" s="54">
        <v>0</v>
      </c>
      <c r="U110" s="54">
        <v>0</v>
      </c>
      <c r="V110" s="60">
        <v>0</v>
      </c>
      <c r="W110" s="60">
        <v>0</v>
      </c>
      <c r="X110" s="60">
        <v>0</v>
      </c>
      <c r="Y110" s="60">
        <v>0</v>
      </c>
      <c r="Z110" s="60">
        <v>0</v>
      </c>
      <c r="AA110" s="60">
        <f t="shared" si="47"/>
        <v>0</v>
      </c>
      <c r="AB110" s="60">
        <v>0</v>
      </c>
      <c r="AC110" s="43">
        <v>0</v>
      </c>
      <c r="AD110" s="60">
        <v>0</v>
      </c>
      <c r="AE110" s="60"/>
      <c r="AF110" s="60"/>
      <c r="AG110" s="60"/>
      <c r="AH110" s="60">
        <f t="shared" si="50"/>
        <v>-450657.22</v>
      </c>
      <c r="AI110" s="60"/>
      <c r="AJ110" s="60">
        <f t="shared" si="31"/>
        <v>-450657.22</v>
      </c>
      <c r="AK110" s="7"/>
      <c r="AL110" s="64">
        <v>0</v>
      </c>
      <c r="AM110" s="64">
        <v>0</v>
      </c>
      <c r="AN110" s="64">
        <v>0</v>
      </c>
      <c r="AO110" s="64">
        <v>0</v>
      </c>
      <c r="AP110" s="64">
        <v>0</v>
      </c>
      <c r="AQ110" s="64">
        <f t="shared" si="49"/>
        <v>0</v>
      </c>
      <c r="AR110" s="59">
        <f t="shared" si="32"/>
        <v>0</v>
      </c>
      <c r="AS110" s="59">
        <f t="shared" si="33"/>
        <v>0</v>
      </c>
      <c r="AT110" s="141">
        <f t="shared" si="34"/>
        <v>0</v>
      </c>
      <c r="AU110" s="141">
        <f t="shared" si="35"/>
        <v>0</v>
      </c>
    </row>
    <row r="111" spans="1:47">
      <c r="A111" s="28" t="s">
        <v>252</v>
      </c>
      <c r="B111" s="27" t="s">
        <v>253</v>
      </c>
      <c r="C111" s="27" t="s">
        <v>49</v>
      </c>
      <c r="D111" s="27" t="s">
        <v>49</v>
      </c>
      <c r="E111" s="27"/>
      <c r="F111" s="112">
        <v>145500</v>
      </c>
      <c r="G111" s="112">
        <v>0</v>
      </c>
      <c r="H111" s="112">
        <v>0</v>
      </c>
      <c r="I111" s="124">
        <v>40</v>
      </c>
      <c r="J111" s="124">
        <v>0</v>
      </c>
      <c r="K111" s="124">
        <v>100</v>
      </c>
      <c r="L111" s="124">
        <v>0</v>
      </c>
      <c r="M111" s="124">
        <v>0</v>
      </c>
      <c r="N111" s="44">
        <f t="shared" si="46"/>
        <v>140</v>
      </c>
      <c r="O111" s="44">
        <v>586000</v>
      </c>
      <c r="P111" s="125">
        <f t="shared" si="30"/>
        <v>586000</v>
      </c>
      <c r="Q111" s="44"/>
      <c r="R111" s="44">
        <f>P111+Q111</f>
        <v>586000</v>
      </c>
      <c r="S111" s="54">
        <v>0</v>
      </c>
      <c r="T111" s="54">
        <v>40</v>
      </c>
      <c r="U111" s="54">
        <v>160</v>
      </c>
      <c r="V111" s="60">
        <v>30</v>
      </c>
      <c r="W111" s="60">
        <v>0</v>
      </c>
      <c r="X111" s="60">
        <v>0</v>
      </c>
      <c r="Y111" s="60">
        <v>0</v>
      </c>
      <c r="Z111" s="60">
        <v>0</v>
      </c>
      <c r="AA111" s="60">
        <f t="shared" si="47"/>
        <v>30</v>
      </c>
      <c r="AB111" s="60">
        <v>165000</v>
      </c>
      <c r="AC111" s="43">
        <v>300000</v>
      </c>
      <c r="AD111" s="60">
        <v>0</v>
      </c>
      <c r="AE111" s="60"/>
      <c r="AF111" s="60"/>
      <c r="AG111" s="60"/>
      <c r="AH111" s="60">
        <f t="shared" si="50"/>
        <v>10500</v>
      </c>
      <c r="AI111" s="60">
        <f>AH111-AQ111-H111</f>
        <v>-258300</v>
      </c>
      <c r="AJ111" s="60">
        <f t="shared" si="31"/>
        <v>10500</v>
      </c>
      <c r="AK111" s="7"/>
      <c r="AL111" s="64">
        <v>68800</v>
      </c>
      <c r="AM111" s="64">
        <v>80000</v>
      </c>
      <c r="AN111" s="64">
        <v>120000</v>
      </c>
      <c r="AO111" s="64">
        <v>0</v>
      </c>
      <c r="AP111" s="64">
        <v>0</v>
      </c>
      <c r="AQ111" s="64">
        <f t="shared" si="49"/>
        <v>268800</v>
      </c>
      <c r="AR111" s="59">
        <f t="shared" si="32"/>
        <v>10</v>
      </c>
      <c r="AS111" s="59">
        <f t="shared" si="33"/>
        <v>100</v>
      </c>
      <c r="AT111" s="141">
        <f t="shared" si="34"/>
        <v>0.769230769230769</v>
      </c>
      <c r="AU111" s="141">
        <f t="shared" si="35"/>
        <v>7.69230769230769</v>
      </c>
    </row>
    <row r="112" spans="1:47">
      <c r="A112" s="115" t="s">
        <v>254</v>
      </c>
      <c r="B112" s="119">
        <f>SUM(B97:B111)</f>
        <v>0</v>
      </c>
      <c r="C112" s="27">
        <v>0</v>
      </c>
      <c r="D112" s="27">
        <v>0</v>
      </c>
      <c r="E112" s="27"/>
      <c r="F112" s="119">
        <f t="shared" ref="F112:AD112" si="51">SUM(F97:F111)</f>
        <v>6130563.57</v>
      </c>
      <c r="G112" s="119">
        <f t="shared" si="51"/>
        <v>0</v>
      </c>
      <c r="H112" s="119">
        <f t="shared" si="51"/>
        <v>3700000</v>
      </c>
      <c r="I112" s="119">
        <f t="shared" si="51"/>
        <v>540</v>
      </c>
      <c r="J112" s="119">
        <f t="shared" si="51"/>
        <v>0</v>
      </c>
      <c r="K112" s="119">
        <f t="shared" si="51"/>
        <v>1600</v>
      </c>
      <c r="L112" s="119">
        <f t="shared" si="51"/>
        <v>0</v>
      </c>
      <c r="M112" s="119">
        <f t="shared" si="51"/>
        <v>0</v>
      </c>
      <c r="N112" s="119">
        <f t="shared" si="51"/>
        <v>2140</v>
      </c>
      <c r="O112" s="119">
        <f t="shared" si="51"/>
        <v>11696000</v>
      </c>
      <c r="P112" s="119">
        <f t="shared" si="51"/>
        <v>11696000</v>
      </c>
      <c r="Q112" s="119">
        <f t="shared" si="51"/>
        <v>0</v>
      </c>
      <c r="R112" s="119">
        <f t="shared" si="51"/>
        <v>11696000</v>
      </c>
      <c r="S112" s="119">
        <f t="shared" si="51"/>
        <v>2508139.73684211</v>
      </c>
      <c r="T112" s="119">
        <f t="shared" si="51"/>
        <v>740</v>
      </c>
      <c r="U112" s="119">
        <f t="shared" si="51"/>
        <v>2500</v>
      </c>
      <c r="V112" s="119">
        <f>SUM(V97:V111)</f>
        <v>358</v>
      </c>
      <c r="W112" s="119">
        <f>SUM(W97:W111)</f>
        <v>0</v>
      </c>
      <c r="X112" s="119">
        <f>SUM(X97:X111)</f>
        <v>757</v>
      </c>
      <c r="Y112" s="119">
        <f>SUM(Y97:Y111)</f>
        <v>0</v>
      </c>
      <c r="Z112" s="119">
        <f>SUM(Z97:Z111)</f>
        <v>0</v>
      </c>
      <c r="AA112" s="119">
        <f>SUM(AA97:AA111)</f>
        <v>1115</v>
      </c>
      <c r="AB112" s="119">
        <f>SUM(AB97:AB111)</f>
        <v>6999000</v>
      </c>
      <c r="AC112" s="119">
        <f>SUM(AC97:AC111)</f>
        <v>3400000</v>
      </c>
      <c r="AD112" s="119">
        <f>SUM(AD97:AD111)</f>
        <v>0</v>
      </c>
      <c r="AE112" s="119"/>
      <c r="AF112" s="119">
        <f>SUM(AF97:AF111)</f>
        <v>0</v>
      </c>
      <c r="AG112" s="119"/>
      <c r="AH112" s="119">
        <f>SUM(AH97:AH111)</f>
        <v>9729563.57</v>
      </c>
      <c r="AI112" s="60">
        <f>AH112-AQ112-H112</f>
        <v>870029.443936121</v>
      </c>
      <c r="AJ112" s="119">
        <f>SUM(AJ97:AJ111)</f>
        <v>9536989.8</v>
      </c>
      <c r="AK112" s="135"/>
      <c r="AL112" s="119">
        <f t="shared" ref="AL112:BH112" si="52">SUM(AL97:AL111)</f>
        <v>1259068.72</v>
      </c>
      <c r="AM112" s="119">
        <f t="shared" si="52"/>
        <v>1884000</v>
      </c>
      <c r="AN112" s="119">
        <f t="shared" si="52"/>
        <v>1883954.16</v>
      </c>
      <c r="AO112" s="119">
        <f t="shared" si="52"/>
        <v>28410.2564102564</v>
      </c>
      <c r="AP112" s="119">
        <f t="shared" si="52"/>
        <v>104100.989653621</v>
      </c>
      <c r="AQ112" s="143">
        <f t="shared" si="52"/>
        <v>5159534.12606388</v>
      </c>
      <c r="AR112" s="119">
        <f t="shared" si="52"/>
        <v>182</v>
      </c>
      <c r="AS112" s="119">
        <f t="shared" si="52"/>
        <v>843</v>
      </c>
      <c r="AT112" s="141">
        <f t="shared" si="34"/>
        <v>14</v>
      </c>
      <c r="AU112" s="141">
        <f t="shared" si="35"/>
        <v>64.8461538461538</v>
      </c>
    </row>
    <row r="113" s="3" customFormat="1" spans="1:47">
      <c r="A113" s="83" t="s">
        <v>255</v>
      </c>
      <c r="B113" s="89"/>
      <c r="C113" s="27">
        <v>0</v>
      </c>
      <c r="D113" s="145"/>
      <c r="E113" s="145"/>
      <c r="F113" s="112">
        <v>0</v>
      </c>
      <c r="G113" s="89"/>
      <c r="H113" s="89"/>
      <c r="I113" s="124">
        <v>550</v>
      </c>
      <c r="J113" s="124">
        <v>0</v>
      </c>
      <c r="K113" s="124">
        <v>2052</v>
      </c>
      <c r="L113" s="124">
        <v>0</v>
      </c>
      <c r="M113" s="124">
        <v>0</v>
      </c>
      <c r="N113" s="89">
        <f t="shared" ref="N113:N122" si="53">SUM(I113:M113)</f>
        <v>2602</v>
      </c>
      <c r="O113" s="44">
        <v>15336600</v>
      </c>
      <c r="P113" s="125">
        <f t="shared" si="30"/>
        <v>15336600</v>
      </c>
      <c r="Q113" s="89"/>
      <c r="R113" s="89"/>
      <c r="S113" s="54">
        <v>6238750</v>
      </c>
      <c r="T113" s="54"/>
      <c r="U113" s="54"/>
      <c r="V113" s="60">
        <v>0</v>
      </c>
      <c r="W113" s="60">
        <v>0</v>
      </c>
      <c r="X113" s="60">
        <v>0</v>
      </c>
      <c r="Y113" s="60">
        <v>0</v>
      </c>
      <c r="Z113" s="60">
        <v>0</v>
      </c>
      <c r="AA113" s="60">
        <f t="shared" ref="AA113:AA142" si="54">V113+W113+X113+Y113+Z113</f>
        <v>0</v>
      </c>
      <c r="AB113" s="60">
        <v>112622349</v>
      </c>
      <c r="AC113" s="43">
        <v>0</v>
      </c>
      <c r="AD113" s="60">
        <v>0</v>
      </c>
      <c r="AE113" s="60"/>
      <c r="AF113" s="60"/>
      <c r="AG113" s="60"/>
      <c r="AH113" s="89"/>
      <c r="AI113" s="89"/>
      <c r="AJ113" s="89">
        <f t="shared" si="31"/>
        <v>0</v>
      </c>
      <c r="AK113" s="148"/>
      <c r="AL113" s="64">
        <v>0</v>
      </c>
      <c r="AM113" s="64">
        <v>0</v>
      </c>
      <c r="AN113" s="64">
        <v>0</v>
      </c>
      <c r="AO113" s="64">
        <v>4912.28070175439</v>
      </c>
      <c r="AP113" s="64">
        <v>0</v>
      </c>
      <c r="AQ113" s="64"/>
      <c r="AR113" s="59">
        <f t="shared" si="32"/>
        <v>550</v>
      </c>
      <c r="AS113" s="59">
        <f t="shared" si="33"/>
        <v>2052</v>
      </c>
      <c r="AT113" s="141">
        <f t="shared" si="34"/>
        <v>42.3076923076923</v>
      </c>
      <c r="AU113" s="141">
        <f t="shared" si="35"/>
        <v>157.846153846154</v>
      </c>
    </row>
    <row r="114" s="3" customFormat="1" spans="1:47">
      <c r="A114" s="83" t="s">
        <v>256</v>
      </c>
      <c r="B114" s="89"/>
      <c r="C114" s="27">
        <v>0</v>
      </c>
      <c r="D114" s="145"/>
      <c r="E114" s="145"/>
      <c r="F114" s="112">
        <v>0</v>
      </c>
      <c r="G114" s="89"/>
      <c r="H114" s="89"/>
      <c r="I114" s="124">
        <v>550</v>
      </c>
      <c r="J114" s="124">
        <v>0</v>
      </c>
      <c r="K114" s="124">
        <v>2052</v>
      </c>
      <c r="L114" s="124">
        <v>0</v>
      </c>
      <c r="M114" s="124">
        <v>0</v>
      </c>
      <c r="N114" s="89">
        <f t="shared" si="53"/>
        <v>2602</v>
      </c>
      <c r="O114" s="44">
        <v>15336600</v>
      </c>
      <c r="P114" s="125">
        <f t="shared" si="30"/>
        <v>15336600</v>
      </c>
      <c r="Q114" s="89"/>
      <c r="R114" s="89"/>
      <c r="S114" s="54">
        <v>6238750</v>
      </c>
      <c r="T114" s="54"/>
      <c r="U114" s="54"/>
      <c r="V114" s="60">
        <v>0</v>
      </c>
      <c r="W114" s="60">
        <v>0</v>
      </c>
      <c r="X114" s="60">
        <v>0</v>
      </c>
      <c r="Y114" s="60">
        <v>0</v>
      </c>
      <c r="Z114" s="60">
        <v>0</v>
      </c>
      <c r="AA114" s="60">
        <f t="shared" si="54"/>
        <v>0</v>
      </c>
      <c r="AB114" s="60">
        <v>112622349</v>
      </c>
      <c r="AC114" s="43">
        <v>0</v>
      </c>
      <c r="AD114" s="60">
        <v>0</v>
      </c>
      <c r="AE114" s="60"/>
      <c r="AF114" s="60"/>
      <c r="AG114" s="60"/>
      <c r="AH114" s="89"/>
      <c r="AI114" s="89"/>
      <c r="AJ114" s="89">
        <f t="shared" si="31"/>
        <v>0</v>
      </c>
      <c r="AK114" s="148"/>
      <c r="AL114" s="64">
        <v>0</v>
      </c>
      <c r="AM114" s="64">
        <v>0</v>
      </c>
      <c r="AN114" s="64">
        <v>0</v>
      </c>
      <c r="AO114" s="64">
        <v>4912.28070175439</v>
      </c>
      <c r="AP114" s="64">
        <v>0</v>
      </c>
      <c r="AQ114" s="64"/>
      <c r="AR114" s="59">
        <f t="shared" si="32"/>
        <v>550</v>
      </c>
      <c r="AS114" s="59">
        <f t="shared" si="33"/>
        <v>2052</v>
      </c>
      <c r="AT114" s="141">
        <f t="shared" si="34"/>
        <v>42.3076923076923</v>
      </c>
      <c r="AU114" s="141">
        <f t="shared" si="35"/>
        <v>157.846153846154</v>
      </c>
    </row>
    <row r="115" spans="1:47">
      <c r="A115" s="28" t="s">
        <v>257</v>
      </c>
      <c r="B115" s="27" t="s">
        <v>258</v>
      </c>
      <c r="C115" s="27" t="s">
        <v>2</v>
      </c>
      <c r="D115" s="27" t="s">
        <v>2</v>
      </c>
      <c r="E115" s="27"/>
      <c r="F115" s="112">
        <v>200747.8</v>
      </c>
      <c r="G115" s="112">
        <v>700000</v>
      </c>
      <c r="H115" s="112">
        <v>2128750</v>
      </c>
      <c r="I115" s="124">
        <v>0</v>
      </c>
      <c r="J115" s="124">
        <v>0</v>
      </c>
      <c r="K115" s="124">
        <v>58</v>
      </c>
      <c r="L115" s="124">
        <v>0</v>
      </c>
      <c r="M115" s="124">
        <v>0</v>
      </c>
      <c r="N115" s="44">
        <f t="shared" si="53"/>
        <v>58</v>
      </c>
      <c r="O115" s="44">
        <v>655400</v>
      </c>
      <c r="P115" s="125">
        <f t="shared" si="30"/>
        <v>655400</v>
      </c>
      <c r="Q115" s="44"/>
      <c r="R115" s="44">
        <f>P115+Q115</f>
        <v>655400</v>
      </c>
      <c r="S115" s="54">
        <v>0</v>
      </c>
      <c r="T115" s="54">
        <v>0</v>
      </c>
      <c r="U115" s="54">
        <v>0</v>
      </c>
      <c r="V115" s="60">
        <v>0</v>
      </c>
      <c r="W115" s="60">
        <v>0</v>
      </c>
      <c r="X115" s="60">
        <v>128</v>
      </c>
      <c r="Y115" s="60">
        <v>0</v>
      </c>
      <c r="Z115" s="60">
        <v>0</v>
      </c>
      <c r="AA115" s="60">
        <f t="shared" si="54"/>
        <v>128</v>
      </c>
      <c r="AB115" s="60">
        <v>1088000</v>
      </c>
      <c r="AC115" s="43">
        <v>121600</v>
      </c>
      <c r="AD115" s="60">
        <v>0</v>
      </c>
      <c r="AE115" s="60"/>
      <c r="AF115" s="60"/>
      <c r="AG115" s="60"/>
      <c r="AH115" s="60">
        <f>F115+AB115-AC115-AE115-AD115-AF115-AG115</f>
        <v>1167147.8</v>
      </c>
      <c r="AI115" s="60">
        <f>AH115-AQ115-H115</f>
        <v>-1248431.9008547</v>
      </c>
      <c r="AJ115" s="60">
        <f t="shared" si="31"/>
        <v>467147.8</v>
      </c>
      <c r="AK115" s="7"/>
      <c r="AL115" s="64">
        <v>63700</v>
      </c>
      <c r="AM115" s="64">
        <v>98000</v>
      </c>
      <c r="AN115" s="64">
        <v>100275</v>
      </c>
      <c r="AO115" s="64">
        <v>2564.10256410256</v>
      </c>
      <c r="AP115" s="64">
        <v>22290.5982905983</v>
      </c>
      <c r="AQ115" s="64">
        <f>AL115+AM115+AN115+AO115+AP115</f>
        <v>286829.700854701</v>
      </c>
      <c r="AR115" s="59">
        <f t="shared" si="32"/>
        <v>0</v>
      </c>
      <c r="AS115" s="59">
        <f t="shared" si="33"/>
        <v>-70</v>
      </c>
      <c r="AT115" s="141">
        <f t="shared" si="34"/>
        <v>0</v>
      </c>
      <c r="AU115" s="141">
        <f t="shared" si="35"/>
        <v>-5.38461538461539</v>
      </c>
    </row>
    <row r="116" spans="1:47">
      <c r="A116" s="146" t="s">
        <v>259</v>
      </c>
      <c r="B116" s="27" t="s">
        <v>260</v>
      </c>
      <c r="C116" s="27" t="s">
        <v>3</v>
      </c>
      <c r="D116" s="27" t="s">
        <v>49</v>
      </c>
      <c r="E116" s="27"/>
      <c r="F116" s="112">
        <v>197000</v>
      </c>
      <c r="G116" s="112"/>
      <c r="H116" s="112"/>
      <c r="I116" s="124">
        <v>250</v>
      </c>
      <c r="J116" s="124">
        <v>0</v>
      </c>
      <c r="K116" s="124">
        <v>12</v>
      </c>
      <c r="L116" s="124">
        <v>0</v>
      </c>
      <c r="M116" s="124">
        <v>0</v>
      </c>
      <c r="N116" s="44">
        <f t="shared" si="53"/>
        <v>262</v>
      </c>
      <c r="O116" s="44">
        <v>1271800</v>
      </c>
      <c r="P116" s="125">
        <f t="shared" si="30"/>
        <v>1271800</v>
      </c>
      <c r="Q116" s="44"/>
      <c r="R116" s="44">
        <f>P116+Q116</f>
        <v>1271800</v>
      </c>
      <c r="S116" s="54">
        <v>0</v>
      </c>
      <c r="T116" s="54">
        <v>250</v>
      </c>
      <c r="U116" s="54">
        <v>0</v>
      </c>
      <c r="V116" s="60">
        <v>120</v>
      </c>
      <c r="W116" s="60">
        <v>5</v>
      </c>
      <c r="X116" s="60">
        <v>12</v>
      </c>
      <c r="Y116" s="60">
        <v>0</v>
      </c>
      <c r="Z116" s="60">
        <v>0</v>
      </c>
      <c r="AA116" s="60">
        <f t="shared" si="54"/>
        <v>137</v>
      </c>
      <c r="AB116" s="60">
        <v>742500</v>
      </c>
      <c r="AC116" s="43">
        <v>500000</v>
      </c>
      <c r="AD116" s="60">
        <v>0</v>
      </c>
      <c r="AE116" s="60"/>
      <c r="AF116" s="60"/>
      <c r="AG116" s="60"/>
      <c r="AH116" s="60"/>
      <c r="AI116" s="60">
        <f>AH116-AQ116-H116</f>
        <v>-333000</v>
      </c>
      <c r="AJ116" s="60">
        <f t="shared" si="31"/>
        <v>0</v>
      </c>
      <c r="AK116" s="7"/>
      <c r="AL116" s="64">
        <v>32000</v>
      </c>
      <c r="AM116" s="64">
        <v>130000</v>
      </c>
      <c r="AN116" s="64">
        <v>171000</v>
      </c>
      <c r="AO116" s="64">
        <v>0</v>
      </c>
      <c r="AP116" s="64">
        <v>0</v>
      </c>
      <c r="AQ116" s="64">
        <f>AL116+AM116+AN116+AO116+AP116</f>
        <v>333000</v>
      </c>
      <c r="AR116" s="59">
        <f t="shared" si="32"/>
        <v>125</v>
      </c>
      <c r="AS116" s="59">
        <f t="shared" si="33"/>
        <v>0</v>
      </c>
      <c r="AT116" s="141">
        <f t="shared" si="34"/>
        <v>9.61538461538461</v>
      </c>
      <c r="AU116" s="141">
        <f t="shared" si="35"/>
        <v>0</v>
      </c>
    </row>
    <row r="117" spans="1:47">
      <c r="A117" s="146" t="s">
        <v>261</v>
      </c>
      <c r="B117" s="174" t="s">
        <v>262</v>
      </c>
      <c r="C117" s="27"/>
      <c r="D117" s="27"/>
      <c r="E117" s="27"/>
      <c r="F117" s="112">
        <v>0</v>
      </c>
      <c r="G117" s="112"/>
      <c r="H117" s="112"/>
      <c r="I117" s="124">
        <v>0</v>
      </c>
      <c r="J117" s="124">
        <v>0</v>
      </c>
      <c r="K117" s="124">
        <v>0</v>
      </c>
      <c r="L117" s="124">
        <v>0</v>
      </c>
      <c r="M117" s="124">
        <v>0</v>
      </c>
      <c r="N117" s="44">
        <f t="shared" si="53"/>
        <v>0</v>
      </c>
      <c r="O117" s="44">
        <v>0</v>
      </c>
      <c r="P117" s="125">
        <f t="shared" si="30"/>
        <v>0</v>
      </c>
      <c r="Q117" s="44"/>
      <c r="R117" s="44"/>
      <c r="S117" s="54">
        <v>0</v>
      </c>
      <c r="T117" s="54">
        <v>0</v>
      </c>
      <c r="U117" s="54">
        <v>0</v>
      </c>
      <c r="V117" s="60">
        <v>0</v>
      </c>
      <c r="W117" s="60">
        <v>0</v>
      </c>
      <c r="X117" s="60">
        <v>0</v>
      </c>
      <c r="Y117" s="60">
        <v>0</v>
      </c>
      <c r="Z117" s="60">
        <v>0</v>
      </c>
      <c r="AA117" s="60">
        <f t="shared" si="54"/>
        <v>0</v>
      </c>
      <c r="AB117" s="60">
        <v>0</v>
      </c>
      <c r="AC117" s="43">
        <v>0</v>
      </c>
      <c r="AD117" s="60">
        <v>0</v>
      </c>
      <c r="AE117" s="60"/>
      <c r="AF117" s="60"/>
      <c r="AG117" s="60"/>
      <c r="AH117" s="60"/>
      <c r="AI117" s="60"/>
      <c r="AJ117" s="60"/>
      <c r="AK117" s="7"/>
      <c r="AL117" s="64">
        <v>0</v>
      </c>
      <c r="AM117" s="64">
        <v>0</v>
      </c>
      <c r="AN117" s="64">
        <v>0</v>
      </c>
      <c r="AO117" s="64">
        <v>0</v>
      </c>
      <c r="AP117" s="64">
        <v>0</v>
      </c>
      <c r="AQ117" s="64">
        <f>AL117+AM117+AN117+AO117+AP117</f>
        <v>0</v>
      </c>
      <c r="AR117" s="59">
        <f t="shared" si="32"/>
        <v>0</v>
      </c>
      <c r="AS117" s="59">
        <f t="shared" si="33"/>
        <v>0</v>
      </c>
      <c r="AT117" s="141">
        <f t="shared" si="34"/>
        <v>0</v>
      </c>
      <c r="AU117" s="141">
        <f t="shared" si="35"/>
        <v>0</v>
      </c>
    </row>
    <row r="118" spans="1:47">
      <c r="A118" s="28" t="s">
        <v>263</v>
      </c>
      <c r="B118" s="27" t="s">
        <v>264</v>
      </c>
      <c r="C118" s="27">
        <v>0</v>
      </c>
      <c r="D118" s="27" t="s">
        <v>99</v>
      </c>
      <c r="E118" s="27"/>
      <c r="F118" s="112">
        <v>-14502</v>
      </c>
      <c r="G118" s="112">
        <v>0</v>
      </c>
      <c r="H118" s="112">
        <v>0</v>
      </c>
      <c r="I118" s="124">
        <v>0</v>
      </c>
      <c r="J118" s="124">
        <v>0</v>
      </c>
      <c r="K118" s="124">
        <v>0</v>
      </c>
      <c r="L118" s="124">
        <v>0</v>
      </c>
      <c r="M118" s="124">
        <v>0</v>
      </c>
      <c r="N118" s="44">
        <f t="shared" si="53"/>
        <v>0</v>
      </c>
      <c r="O118" s="44">
        <v>0</v>
      </c>
      <c r="P118" s="125">
        <f t="shared" si="30"/>
        <v>0</v>
      </c>
      <c r="Q118" s="44"/>
      <c r="R118" s="44">
        <f>P118+Q118</f>
        <v>0</v>
      </c>
      <c r="S118" s="54">
        <v>0</v>
      </c>
      <c r="T118" s="54">
        <v>0</v>
      </c>
      <c r="U118" s="54">
        <v>0</v>
      </c>
      <c r="V118" s="60">
        <v>0</v>
      </c>
      <c r="W118" s="60">
        <v>0</v>
      </c>
      <c r="X118" s="60">
        <v>0</v>
      </c>
      <c r="Y118" s="60">
        <v>0</v>
      </c>
      <c r="Z118" s="60">
        <v>0</v>
      </c>
      <c r="AA118" s="60">
        <f t="shared" si="54"/>
        <v>0</v>
      </c>
      <c r="AB118" s="60">
        <v>0</v>
      </c>
      <c r="AC118" s="43">
        <v>0</v>
      </c>
      <c r="AD118" s="60">
        <v>0</v>
      </c>
      <c r="AE118" s="60"/>
      <c r="AF118" s="60"/>
      <c r="AG118" s="60"/>
      <c r="AH118" s="60">
        <f t="shared" ref="AH118:AH123" si="55">F118+AB118-AC118-AE118-AD118-AF118-AG118</f>
        <v>-14502</v>
      </c>
      <c r="AI118" s="60"/>
      <c r="AJ118" s="60"/>
      <c r="AK118" s="7"/>
      <c r="AL118" s="64">
        <v>0</v>
      </c>
      <c r="AM118" s="64">
        <v>0</v>
      </c>
      <c r="AN118" s="64">
        <v>0</v>
      </c>
      <c r="AO118" s="64">
        <v>0</v>
      </c>
      <c r="AP118" s="64">
        <v>0</v>
      </c>
      <c r="AQ118" s="64">
        <f>AL118+AM118+AN118+AO118+AP118</f>
        <v>0</v>
      </c>
      <c r="AR118" s="59">
        <f t="shared" si="32"/>
        <v>0</v>
      </c>
      <c r="AS118" s="59">
        <f t="shared" si="33"/>
        <v>0</v>
      </c>
      <c r="AT118" s="141">
        <f t="shared" si="34"/>
        <v>0</v>
      </c>
      <c r="AU118" s="141">
        <f t="shared" si="35"/>
        <v>0</v>
      </c>
    </row>
    <row r="119" spans="1:47">
      <c r="A119" s="28" t="s">
        <v>265</v>
      </c>
      <c r="B119" s="27" t="s">
        <v>266</v>
      </c>
      <c r="C119" s="27" t="s">
        <v>52</v>
      </c>
      <c r="D119" s="27" t="s">
        <v>2</v>
      </c>
      <c r="E119" s="27"/>
      <c r="F119" s="112">
        <v>200106.18</v>
      </c>
      <c r="G119" s="112">
        <v>400000</v>
      </c>
      <c r="H119" s="112">
        <v>724920.833333333</v>
      </c>
      <c r="I119" s="124">
        <v>18</v>
      </c>
      <c r="J119" s="124">
        <v>0</v>
      </c>
      <c r="K119" s="124">
        <v>48</v>
      </c>
      <c r="L119" s="124">
        <v>0</v>
      </c>
      <c r="M119" s="124">
        <v>0</v>
      </c>
      <c r="N119" s="44">
        <f t="shared" si="53"/>
        <v>66</v>
      </c>
      <c r="O119" s="44">
        <v>762600</v>
      </c>
      <c r="P119" s="125">
        <f t="shared" si="30"/>
        <v>762600</v>
      </c>
      <c r="Q119" s="44"/>
      <c r="R119" s="44">
        <f>P119+Q119</f>
        <v>762600</v>
      </c>
      <c r="S119" s="54">
        <v>0</v>
      </c>
      <c r="T119" s="54">
        <v>20</v>
      </c>
      <c r="U119" s="54">
        <v>40</v>
      </c>
      <c r="V119" s="60">
        <v>8</v>
      </c>
      <c r="W119" s="60">
        <v>0</v>
      </c>
      <c r="X119" s="60">
        <v>24</v>
      </c>
      <c r="Y119" s="60">
        <v>0</v>
      </c>
      <c r="Z119" s="60">
        <v>0</v>
      </c>
      <c r="AA119" s="60">
        <f t="shared" si="54"/>
        <v>32</v>
      </c>
      <c r="AB119" s="60">
        <v>394800</v>
      </c>
      <c r="AC119" s="43">
        <v>100000</v>
      </c>
      <c r="AD119" s="60">
        <v>0</v>
      </c>
      <c r="AE119" s="60"/>
      <c r="AF119" s="60"/>
      <c r="AG119" s="60"/>
      <c r="AH119" s="60">
        <f t="shared" si="55"/>
        <v>494906.18</v>
      </c>
      <c r="AI119" s="60">
        <f>AH119-AQ119-H119</f>
        <v>-282191.846315789</v>
      </c>
      <c r="AJ119" s="60">
        <f t="shared" si="31"/>
        <v>94906.1799999999</v>
      </c>
      <c r="AK119" s="7"/>
      <c r="AL119" s="64">
        <v>17400</v>
      </c>
      <c r="AM119" s="64">
        <v>9850</v>
      </c>
      <c r="AN119" s="64">
        <v>14050</v>
      </c>
      <c r="AO119" s="64">
        <v>3157.89473684211</v>
      </c>
      <c r="AP119" s="64">
        <v>7719.29824561403</v>
      </c>
      <c r="AQ119" s="64">
        <f>AL119+AM119+AN119+AO119+AP119</f>
        <v>52177.1929824561</v>
      </c>
      <c r="AR119" s="59">
        <f t="shared" si="32"/>
        <v>10</v>
      </c>
      <c r="AS119" s="59">
        <f t="shared" si="33"/>
        <v>24</v>
      </c>
      <c r="AT119" s="141">
        <f t="shared" si="34"/>
        <v>0.769230769230769</v>
      </c>
      <c r="AU119" s="141">
        <f t="shared" si="35"/>
        <v>1.84615384615385</v>
      </c>
    </row>
    <row r="120" spans="1:47">
      <c r="A120" s="28" t="s">
        <v>267</v>
      </c>
      <c r="B120" s="27" t="s">
        <v>268</v>
      </c>
      <c r="C120" s="18" t="s">
        <v>49</v>
      </c>
      <c r="D120" s="18" t="s">
        <v>49</v>
      </c>
      <c r="E120" s="27"/>
      <c r="F120" s="112">
        <v>0</v>
      </c>
      <c r="G120" s="112"/>
      <c r="H120" s="112"/>
      <c r="I120" s="124">
        <v>0</v>
      </c>
      <c r="J120" s="124">
        <v>0</v>
      </c>
      <c r="K120" s="124">
        <v>0</v>
      </c>
      <c r="L120" s="124">
        <v>0</v>
      </c>
      <c r="M120" s="124">
        <v>0</v>
      </c>
      <c r="N120" s="44">
        <f t="shared" si="53"/>
        <v>0</v>
      </c>
      <c r="O120" s="44">
        <v>0</v>
      </c>
      <c r="P120" s="125">
        <f t="shared" si="30"/>
        <v>0</v>
      </c>
      <c r="Q120" s="44"/>
      <c r="R120" s="44"/>
      <c r="S120" s="54">
        <v>0</v>
      </c>
      <c r="T120" s="54">
        <v>0</v>
      </c>
      <c r="U120" s="54">
        <v>0</v>
      </c>
      <c r="V120" s="60">
        <v>0</v>
      </c>
      <c r="W120" s="60">
        <v>0</v>
      </c>
      <c r="X120" s="60">
        <v>0</v>
      </c>
      <c r="Y120" s="60">
        <v>0</v>
      </c>
      <c r="Z120" s="60">
        <v>0</v>
      </c>
      <c r="AA120" s="60">
        <f t="shared" si="54"/>
        <v>0</v>
      </c>
      <c r="AB120" s="60">
        <v>0</v>
      </c>
      <c r="AC120" s="43">
        <v>0</v>
      </c>
      <c r="AD120" s="60">
        <v>0</v>
      </c>
      <c r="AE120" s="60"/>
      <c r="AF120" s="60"/>
      <c r="AG120" s="60"/>
      <c r="AH120" s="60">
        <f t="shared" si="55"/>
        <v>0</v>
      </c>
      <c r="AI120" s="60"/>
      <c r="AJ120" s="60">
        <f t="shared" si="31"/>
        <v>0</v>
      </c>
      <c r="AK120" s="7"/>
      <c r="AL120" s="64"/>
      <c r="AM120" s="64"/>
      <c r="AN120" s="64"/>
      <c r="AO120" s="64"/>
      <c r="AP120" s="64"/>
      <c r="AQ120" s="64"/>
      <c r="AR120" s="59">
        <f t="shared" si="32"/>
        <v>0</v>
      </c>
      <c r="AS120" s="59">
        <f t="shared" si="33"/>
        <v>0</v>
      </c>
      <c r="AT120" s="141">
        <f t="shared" si="34"/>
        <v>0</v>
      </c>
      <c r="AU120" s="141">
        <f t="shared" si="35"/>
        <v>0</v>
      </c>
    </row>
    <row r="121" spans="1:47">
      <c r="A121" s="28" t="s">
        <v>269</v>
      </c>
      <c r="B121" s="27" t="s">
        <v>270</v>
      </c>
      <c r="C121" s="18" t="s">
        <v>49</v>
      </c>
      <c r="D121" s="18" t="s">
        <v>49</v>
      </c>
      <c r="E121" s="27"/>
      <c r="F121" s="112">
        <v>-538020</v>
      </c>
      <c r="G121" s="112"/>
      <c r="H121" s="112"/>
      <c r="I121" s="124">
        <v>100</v>
      </c>
      <c r="J121" s="124">
        <v>0</v>
      </c>
      <c r="K121" s="124">
        <v>0</v>
      </c>
      <c r="L121" s="124">
        <v>0</v>
      </c>
      <c r="M121" s="124">
        <v>0</v>
      </c>
      <c r="N121" s="44">
        <f t="shared" si="53"/>
        <v>100</v>
      </c>
      <c r="O121" s="44">
        <v>490000</v>
      </c>
      <c r="P121" s="125">
        <f t="shared" si="30"/>
        <v>490000</v>
      </c>
      <c r="Q121" s="44"/>
      <c r="R121" s="44"/>
      <c r="S121" s="54">
        <v>0</v>
      </c>
      <c r="T121" s="54">
        <v>0</v>
      </c>
      <c r="U121" s="54">
        <v>0</v>
      </c>
      <c r="V121" s="60">
        <v>100</v>
      </c>
      <c r="W121" s="60">
        <v>0</v>
      </c>
      <c r="X121" s="60">
        <v>0</v>
      </c>
      <c r="Y121" s="60">
        <v>0</v>
      </c>
      <c r="Z121" s="60">
        <v>0</v>
      </c>
      <c r="AA121" s="60">
        <f t="shared" si="54"/>
        <v>100</v>
      </c>
      <c r="AB121" s="60">
        <v>550000</v>
      </c>
      <c r="AC121" s="43">
        <v>0</v>
      </c>
      <c r="AD121" s="60">
        <v>0</v>
      </c>
      <c r="AE121" s="60"/>
      <c r="AF121" s="60"/>
      <c r="AG121" s="60"/>
      <c r="AH121" s="60">
        <f t="shared" si="55"/>
        <v>11980</v>
      </c>
      <c r="AI121" s="60">
        <f>AH121-AQ121-H121</f>
        <v>11980</v>
      </c>
      <c r="AJ121" s="60">
        <f t="shared" si="31"/>
        <v>11980</v>
      </c>
      <c r="AK121" s="7"/>
      <c r="AL121" s="64"/>
      <c r="AM121" s="64"/>
      <c r="AN121" s="64"/>
      <c r="AO121" s="64"/>
      <c r="AP121" s="64"/>
      <c r="AQ121" s="64"/>
      <c r="AR121" s="59">
        <f t="shared" si="32"/>
        <v>0</v>
      </c>
      <c r="AS121" s="59">
        <f t="shared" si="33"/>
        <v>0</v>
      </c>
      <c r="AT121" s="141">
        <f t="shared" si="34"/>
        <v>0</v>
      </c>
      <c r="AU121" s="141">
        <f t="shared" si="35"/>
        <v>0</v>
      </c>
    </row>
    <row r="122" spans="1:47">
      <c r="A122" s="28" t="s">
        <v>271</v>
      </c>
      <c r="B122" s="27" t="s">
        <v>272</v>
      </c>
      <c r="C122" s="27">
        <v>0</v>
      </c>
      <c r="D122" s="27" t="s">
        <v>2</v>
      </c>
      <c r="E122" s="27"/>
      <c r="F122" s="112">
        <v>-126555.66</v>
      </c>
      <c r="G122" s="112">
        <v>150000</v>
      </c>
      <c r="H122" s="112">
        <v>508420.833333333</v>
      </c>
      <c r="I122" s="124">
        <v>0</v>
      </c>
      <c r="J122" s="124">
        <v>0</v>
      </c>
      <c r="K122" s="124">
        <v>0</v>
      </c>
      <c r="L122" s="124">
        <v>0</v>
      </c>
      <c r="M122" s="124">
        <v>0</v>
      </c>
      <c r="N122" s="44">
        <f t="shared" si="53"/>
        <v>0</v>
      </c>
      <c r="O122" s="44">
        <v>0</v>
      </c>
      <c r="P122" s="125">
        <f t="shared" si="30"/>
        <v>0</v>
      </c>
      <c r="Q122" s="44"/>
      <c r="R122" s="44">
        <f t="shared" ref="R122:R142" si="56">P122+Q122</f>
        <v>0</v>
      </c>
      <c r="S122" s="54">
        <v>0</v>
      </c>
      <c r="T122" s="54">
        <v>0</v>
      </c>
      <c r="U122" s="54">
        <v>0</v>
      </c>
      <c r="V122" s="60">
        <v>0</v>
      </c>
      <c r="W122" s="60">
        <v>0</v>
      </c>
      <c r="X122" s="60">
        <v>0</v>
      </c>
      <c r="Y122" s="60">
        <v>0</v>
      </c>
      <c r="Z122" s="60">
        <v>0</v>
      </c>
      <c r="AA122" s="60">
        <f t="shared" si="54"/>
        <v>0</v>
      </c>
      <c r="AB122" s="60">
        <v>0</v>
      </c>
      <c r="AC122" s="43">
        <v>100000</v>
      </c>
      <c r="AD122" s="60">
        <v>0</v>
      </c>
      <c r="AE122" s="60"/>
      <c r="AF122" s="60"/>
      <c r="AG122" s="60"/>
      <c r="AH122" s="60">
        <f t="shared" si="55"/>
        <v>-226555.66</v>
      </c>
      <c r="AI122" s="60"/>
      <c r="AJ122" s="60"/>
      <c r="AK122" s="7"/>
      <c r="AL122" s="64">
        <v>0</v>
      </c>
      <c r="AM122" s="64">
        <v>0</v>
      </c>
      <c r="AN122" s="64">
        <v>0</v>
      </c>
      <c r="AO122" s="64">
        <v>0</v>
      </c>
      <c r="AP122" s="64">
        <v>0</v>
      </c>
      <c r="AQ122" s="64">
        <f t="shared" ref="AQ122:AQ142" si="57">AL122+AM122+AN122+AO122+AP122</f>
        <v>0</v>
      </c>
      <c r="AR122" s="59">
        <f t="shared" si="32"/>
        <v>0</v>
      </c>
      <c r="AS122" s="59">
        <f t="shared" si="33"/>
        <v>0</v>
      </c>
      <c r="AT122" s="141">
        <f t="shared" si="34"/>
        <v>0</v>
      </c>
      <c r="AU122" s="141">
        <f t="shared" si="35"/>
        <v>0</v>
      </c>
    </row>
    <row r="123" spans="1:47">
      <c r="A123" s="28" t="s">
        <v>273</v>
      </c>
      <c r="B123" s="27" t="s">
        <v>274</v>
      </c>
      <c r="C123" s="27" t="s">
        <v>3</v>
      </c>
      <c r="D123" s="27" t="s">
        <v>49</v>
      </c>
      <c r="E123" s="27"/>
      <c r="F123" s="112">
        <v>49500</v>
      </c>
      <c r="G123" s="112"/>
      <c r="H123" s="112"/>
      <c r="I123" s="124">
        <v>42</v>
      </c>
      <c r="J123" s="124">
        <v>0</v>
      </c>
      <c r="K123" s="124">
        <v>0</v>
      </c>
      <c r="L123" s="124">
        <v>0</v>
      </c>
      <c r="M123" s="124">
        <v>0</v>
      </c>
      <c r="N123" s="44">
        <f t="shared" ref="N123:N142" si="58">SUM(I123:M123)</f>
        <v>42</v>
      </c>
      <c r="O123" s="44">
        <v>205800</v>
      </c>
      <c r="P123" s="125">
        <f t="shared" si="30"/>
        <v>205800</v>
      </c>
      <c r="Q123" s="44"/>
      <c r="R123" s="44">
        <f t="shared" si="56"/>
        <v>205800</v>
      </c>
      <c r="S123" s="54">
        <v>0</v>
      </c>
      <c r="T123" s="54">
        <v>40</v>
      </c>
      <c r="U123" s="54">
        <v>0</v>
      </c>
      <c r="V123" s="60">
        <v>18</v>
      </c>
      <c r="W123" s="60">
        <v>0</v>
      </c>
      <c r="X123" s="60">
        <v>0</v>
      </c>
      <c r="Y123" s="60">
        <v>0</v>
      </c>
      <c r="Z123" s="60">
        <v>0</v>
      </c>
      <c r="AA123" s="60">
        <f t="shared" si="54"/>
        <v>18</v>
      </c>
      <c r="AB123" s="60">
        <v>99000</v>
      </c>
      <c r="AC123" s="43">
        <v>0</v>
      </c>
      <c r="AD123" s="60">
        <v>0</v>
      </c>
      <c r="AE123" s="60"/>
      <c r="AF123" s="60"/>
      <c r="AG123" s="60"/>
      <c r="AH123" s="60">
        <f t="shared" si="55"/>
        <v>148500</v>
      </c>
      <c r="AI123" s="60">
        <f>AH123-AQ123-H123</f>
        <v>83500</v>
      </c>
      <c r="AJ123" s="60">
        <f t="shared" si="31"/>
        <v>148500</v>
      </c>
      <c r="AK123" s="7"/>
      <c r="AL123" s="64">
        <v>10000</v>
      </c>
      <c r="AM123" s="64">
        <v>20000</v>
      </c>
      <c r="AN123" s="64">
        <v>35000</v>
      </c>
      <c r="AO123" s="64">
        <v>0</v>
      </c>
      <c r="AP123" s="64">
        <v>0</v>
      </c>
      <c r="AQ123" s="64">
        <f t="shared" si="57"/>
        <v>65000</v>
      </c>
      <c r="AR123" s="59">
        <f t="shared" si="32"/>
        <v>24</v>
      </c>
      <c r="AS123" s="59">
        <f t="shared" si="33"/>
        <v>0</v>
      </c>
      <c r="AT123" s="141">
        <f t="shared" si="34"/>
        <v>1.84615384615385</v>
      </c>
      <c r="AU123" s="141">
        <f t="shared" si="35"/>
        <v>0</v>
      </c>
    </row>
    <row r="124" spans="1:47">
      <c r="A124" s="28" t="s">
        <v>275</v>
      </c>
      <c r="B124" s="27" t="s">
        <v>276</v>
      </c>
      <c r="C124" s="27">
        <v>0</v>
      </c>
      <c r="D124" s="27" t="s">
        <v>49</v>
      </c>
      <c r="E124" s="27"/>
      <c r="F124" s="112">
        <v>-73.9</v>
      </c>
      <c r="G124" s="112">
        <v>0</v>
      </c>
      <c r="H124" s="112">
        <v>94187.5</v>
      </c>
      <c r="I124" s="124">
        <v>0</v>
      </c>
      <c r="J124" s="124">
        <v>0</v>
      </c>
      <c r="K124" s="124">
        <v>0</v>
      </c>
      <c r="L124" s="124">
        <v>0</v>
      </c>
      <c r="M124" s="124">
        <v>0</v>
      </c>
      <c r="N124" s="44">
        <f t="shared" si="58"/>
        <v>0</v>
      </c>
      <c r="O124" s="44">
        <v>0</v>
      </c>
      <c r="P124" s="125">
        <f t="shared" si="30"/>
        <v>0</v>
      </c>
      <c r="Q124" s="44"/>
      <c r="R124" s="44">
        <f t="shared" si="56"/>
        <v>0</v>
      </c>
      <c r="S124" s="54">
        <v>0</v>
      </c>
      <c r="T124" s="54">
        <v>0</v>
      </c>
      <c r="U124" s="54">
        <v>0</v>
      </c>
      <c r="V124" s="60">
        <v>0</v>
      </c>
      <c r="W124" s="60">
        <v>0</v>
      </c>
      <c r="X124" s="60">
        <v>0</v>
      </c>
      <c r="Y124" s="60">
        <v>0</v>
      </c>
      <c r="Z124" s="60">
        <v>0</v>
      </c>
      <c r="AA124" s="60">
        <f t="shared" si="54"/>
        <v>0</v>
      </c>
      <c r="AB124" s="60">
        <v>0</v>
      </c>
      <c r="AC124" s="43">
        <v>0</v>
      </c>
      <c r="AD124" s="60">
        <v>0</v>
      </c>
      <c r="AE124" s="60"/>
      <c r="AF124" s="60"/>
      <c r="AG124" s="60"/>
      <c r="AH124" s="60">
        <f t="shared" ref="AH124:AH142" si="59">F124+AB124-AC124-AE124-AD124-AF124-AG124</f>
        <v>-73.9</v>
      </c>
      <c r="AI124" s="60"/>
      <c r="AJ124" s="60"/>
      <c r="AK124" s="7"/>
      <c r="AL124" s="64">
        <v>0</v>
      </c>
      <c r="AM124" s="64">
        <v>0</v>
      </c>
      <c r="AN124" s="64">
        <v>0</v>
      </c>
      <c r="AO124" s="64">
        <v>0</v>
      </c>
      <c r="AP124" s="64">
        <v>0</v>
      </c>
      <c r="AQ124" s="64">
        <f t="shared" si="57"/>
        <v>0</v>
      </c>
      <c r="AR124" s="59">
        <f t="shared" si="32"/>
        <v>0</v>
      </c>
      <c r="AS124" s="59">
        <f t="shared" si="33"/>
        <v>0</v>
      </c>
      <c r="AT124" s="141">
        <f t="shared" si="34"/>
        <v>0</v>
      </c>
      <c r="AU124" s="141">
        <f t="shared" si="35"/>
        <v>0</v>
      </c>
    </row>
    <row r="125" spans="1:47">
      <c r="A125" s="28" t="s">
        <v>277</v>
      </c>
      <c r="B125" s="27" t="s">
        <v>278</v>
      </c>
      <c r="C125" s="27" t="s">
        <v>3</v>
      </c>
      <c r="D125" s="27" t="s">
        <v>49</v>
      </c>
      <c r="E125" s="27"/>
      <c r="F125" s="112">
        <v>-159750</v>
      </c>
      <c r="G125" s="112"/>
      <c r="H125" s="112"/>
      <c r="I125" s="124">
        <v>275</v>
      </c>
      <c r="J125" s="124">
        <v>0</v>
      </c>
      <c r="K125" s="124">
        <v>0</v>
      </c>
      <c r="L125" s="124">
        <v>0</v>
      </c>
      <c r="M125" s="124">
        <v>0</v>
      </c>
      <c r="N125" s="44">
        <f t="shared" si="58"/>
        <v>275</v>
      </c>
      <c r="O125" s="44">
        <v>1347500</v>
      </c>
      <c r="P125" s="125">
        <f t="shared" si="30"/>
        <v>1347500</v>
      </c>
      <c r="Q125" s="44"/>
      <c r="R125" s="44">
        <f t="shared" si="56"/>
        <v>1347500</v>
      </c>
      <c r="S125" s="54">
        <v>0</v>
      </c>
      <c r="T125" s="54">
        <v>250</v>
      </c>
      <c r="U125" s="54">
        <v>0</v>
      </c>
      <c r="V125" s="60">
        <v>75</v>
      </c>
      <c r="W125" s="60">
        <v>0</v>
      </c>
      <c r="X125" s="60">
        <v>0</v>
      </c>
      <c r="Y125" s="60">
        <v>0</v>
      </c>
      <c r="Z125" s="60">
        <v>0</v>
      </c>
      <c r="AA125" s="60">
        <f t="shared" si="54"/>
        <v>75</v>
      </c>
      <c r="AB125" s="60">
        <v>412500</v>
      </c>
      <c r="AC125" s="43">
        <v>0</v>
      </c>
      <c r="AD125" s="60">
        <v>0</v>
      </c>
      <c r="AE125" s="60"/>
      <c r="AF125" s="60"/>
      <c r="AG125" s="60"/>
      <c r="AH125" s="60">
        <f t="shared" si="59"/>
        <v>252750</v>
      </c>
      <c r="AI125" s="60">
        <f>AH125-AQ125-H125</f>
        <v>115750</v>
      </c>
      <c r="AJ125" s="60">
        <f t="shared" si="31"/>
        <v>252750</v>
      </c>
      <c r="AK125" s="7"/>
      <c r="AL125" s="64">
        <v>32000</v>
      </c>
      <c r="AM125" s="64">
        <v>55000</v>
      </c>
      <c r="AN125" s="64">
        <v>50000</v>
      </c>
      <c r="AO125" s="64">
        <v>0</v>
      </c>
      <c r="AP125" s="64">
        <v>0</v>
      </c>
      <c r="AQ125" s="64">
        <f t="shared" si="57"/>
        <v>137000</v>
      </c>
      <c r="AR125" s="59">
        <f t="shared" si="32"/>
        <v>200</v>
      </c>
      <c r="AS125" s="59">
        <f t="shared" si="33"/>
        <v>0</v>
      </c>
      <c r="AT125" s="141">
        <f t="shared" si="34"/>
        <v>15.3846153846154</v>
      </c>
      <c r="AU125" s="141">
        <f t="shared" si="35"/>
        <v>0</v>
      </c>
    </row>
    <row r="126" spans="1:47">
      <c r="A126" s="28" t="s">
        <v>279</v>
      </c>
      <c r="B126" s="27" t="s">
        <v>280</v>
      </c>
      <c r="C126" s="27" t="s">
        <v>52</v>
      </c>
      <c r="D126" s="27" t="s">
        <v>52</v>
      </c>
      <c r="E126" s="27"/>
      <c r="F126" s="112">
        <v>534631.75</v>
      </c>
      <c r="G126" s="112">
        <v>500000</v>
      </c>
      <c r="H126" s="112">
        <v>1187633.33333333</v>
      </c>
      <c r="I126" s="124">
        <v>60</v>
      </c>
      <c r="J126" s="124">
        <v>0</v>
      </c>
      <c r="K126" s="124">
        <v>48</v>
      </c>
      <c r="L126" s="124">
        <v>0</v>
      </c>
      <c r="M126" s="124">
        <v>0</v>
      </c>
      <c r="N126" s="44">
        <f t="shared" si="58"/>
        <v>108</v>
      </c>
      <c r="O126" s="44">
        <v>1321200</v>
      </c>
      <c r="P126" s="125">
        <f t="shared" si="30"/>
        <v>1321200</v>
      </c>
      <c r="Q126" s="44"/>
      <c r="R126" s="44">
        <f t="shared" si="56"/>
        <v>1321200</v>
      </c>
      <c r="S126" s="54">
        <v>0</v>
      </c>
      <c r="T126" s="54">
        <v>60</v>
      </c>
      <c r="U126" s="54">
        <v>40</v>
      </c>
      <c r="V126" s="60">
        <v>40</v>
      </c>
      <c r="W126" s="60">
        <v>0</v>
      </c>
      <c r="X126" s="60">
        <v>60</v>
      </c>
      <c r="Y126" s="60">
        <v>0</v>
      </c>
      <c r="Z126" s="60">
        <v>0</v>
      </c>
      <c r="AA126" s="60">
        <f t="shared" si="54"/>
        <v>100</v>
      </c>
      <c r="AB126" s="60">
        <v>1272000</v>
      </c>
      <c r="AC126" s="43">
        <v>201650</v>
      </c>
      <c r="AD126" s="60">
        <v>0</v>
      </c>
      <c r="AE126" s="60"/>
      <c r="AF126" s="60"/>
      <c r="AG126" s="60"/>
      <c r="AH126" s="60">
        <f t="shared" si="59"/>
        <v>1604981.75</v>
      </c>
      <c r="AI126" s="60">
        <f>AH126-AQ126-H126</f>
        <v>311513.328947372</v>
      </c>
      <c r="AJ126" s="60">
        <f t="shared" si="31"/>
        <v>1104981.75</v>
      </c>
      <c r="AK126" s="7"/>
      <c r="AL126" s="64">
        <v>30350</v>
      </c>
      <c r="AM126" s="64">
        <v>32450</v>
      </c>
      <c r="AN126" s="64">
        <v>33000</v>
      </c>
      <c r="AO126" s="64">
        <v>2315.78947368421</v>
      </c>
      <c r="AP126" s="64">
        <v>7719.29824561403</v>
      </c>
      <c r="AQ126" s="64">
        <f t="shared" si="57"/>
        <v>105835.087719298</v>
      </c>
      <c r="AR126" s="59">
        <f t="shared" si="32"/>
        <v>20</v>
      </c>
      <c r="AS126" s="59">
        <f t="shared" si="33"/>
        <v>-12</v>
      </c>
      <c r="AT126" s="141">
        <f t="shared" si="34"/>
        <v>1.53846153846154</v>
      </c>
      <c r="AU126" s="141">
        <f t="shared" si="35"/>
        <v>-0.923076923076923</v>
      </c>
    </row>
    <row r="127" spans="1:47">
      <c r="A127" s="28" t="s">
        <v>281</v>
      </c>
      <c r="B127" s="27" t="s">
        <v>282</v>
      </c>
      <c r="C127" s="27">
        <v>0</v>
      </c>
      <c r="D127" s="27">
        <v>0</v>
      </c>
      <c r="E127" s="27"/>
      <c r="F127" s="112">
        <v>2733.49</v>
      </c>
      <c r="G127" s="112">
        <v>0</v>
      </c>
      <c r="H127" s="112">
        <v>39958.3333333333</v>
      </c>
      <c r="I127" s="124">
        <v>0</v>
      </c>
      <c r="J127" s="124">
        <v>0</v>
      </c>
      <c r="K127" s="124">
        <v>0</v>
      </c>
      <c r="L127" s="124">
        <v>0</v>
      </c>
      <c r="M127" s="124">
        <v>0</v>
      </c>
      <c r="N127" s="44">
        <f t="shared" si="58"/>
        <v>0</v>
      </c>
      <c r="O127" s="44">
        <v>0</v>
      </c>
      <c r="P127" s="125">
        <f t="shared" si="30"/>
        <v>0</v>
      </c>
      <c r="Q127" s="44"/>
      <c r="R127" s="44">
        <f t="shared" si="56"/>
        <v>0</v>
      </c>
      <c r="S127" s="54">
        <v>0</v>
      </c>
      <c r="T127" s="54">
        <v>0</v>
      </c>
      <c r="U127" s="54">
        <v>0</v>
      </c>
      <c r="V127" s="60">
        <v>0</v>
      </c>
      <c r="W127" s="60">
        <v>0</v>
      </c>
      <c r="X127" s="60">
        <v>0</v>
      </c>
      <c r="Y127" s="60">
        <v>0</v>
      </c>
      <c r="Z127" s="60">
        <v>0</v>
      </c>
      <c r="AA127" s="60">
        <f t="shared" si="54"/>
        <v>0</v>
      </c>
      <c r="AB127" s="60">
        <v>0</v>
      </c>
      <c r="AC127" s="43">
        <v>0</v>
      </c>
      <c r="AD127" s="60">
        <v>0</v>
      </c>
      <c r="AE127" s="60"/>
      <c r="AF127" s="60"/>
      <c r="AG127" s="60"/>
      <c r="AH127" s="60">
        <f t="shared" si="59"/>
        <v>2733.49</v>
      </c>
      <c r="AI127" s="60"/>
      <c r="AJ127" s="60">
        <f t="shared" si="31"/>
        <v>2733.49</v>
      </c>
      <c r="AK127" s="7"/>
      <c r="AL127" s="64">
        <v>0</v>
      </c>
      <c r="AM127" s="64">
        <v>0</v>
      </c>
      <c r="AN127" s="64">
        <v>3000</v>
      </c>
      <c r="AO127" s="64">
        <v>0</v>
      </c>
      <c r="AP127" s="64">
        <v>0</v>
      </c>
      <c r="AQ127" s="64">
        <f t="shared" si="57"/>
        <v>3000</v>
      </c>
      <c r="AR127" s="59">
        <f t="shared" si="32"/>
        <v>0</v>
      </c>
      <c r="AS127" s="59">
        <f t="shared" si="33"/>
        <v>0</v>
      </c>
      <c r="AT127" s="141">
        <f t="shared" si="34"/>
        <v>0</v>
      </c>
      <c r="AU127" s="141">
        <f t="shared" si="35"/>
        <v>0</v>
      </c>
    </row>
    <row r="128" spans="1:47">
      <c r="A128" s="28" t="s">
        <v>283</v>
      </c>
      <c r="B128" s="27" t="s">
        <v>284</v>
      </c>
      <c r="C128" s="27" t="s">
        <v>2</v>
      </c>
      <c r="D128" s="27" t="s">
        <v>2</v>
      </c>
      <c r="E128" s="27"/>
      <c r="F128" s="112">
        <v>195418</v>
      </c>
      <c r="G128" s="112">
        <v>0</v>
      </c>
      <c r="H128" s="112">
        <v>0</v>
      </c>
      <c r="I128" s="124">
        <v>21</v>
      </c>
      <c r="J128" s="124">
        <v>0</v>
      </c>
      <c r="K128" s="124">
        <v>20</v>
      </c>
      <c r="L128" s="124">
        <v>0</v>
      </c>
      <c r="M128" s="124">
        <v>0</v>
      </c>
      <c r="N128" s="44">
        <f t="shared" si="58"/>
        <v>41</v>
      </c>
      <c r="O128" s="44">
        <v>497300</v>
      </c>
      <c r="P128" s="125">
        <f t="shared" si="30"/>
        <v>497300</v>
      </c>
      <c r="Q128" s="44"/>
      <c r="R128" s="44">
        <f t="shared" si="56"/>
        <v>497300</v>
      </c>
      <c r="S128" s="54">
        <v>115400.051282051</v>
      </c>
      <c r="T128" s="54">
        <v>30</v>
      </c>
      <c r="U128" s="54">
        <v>20</v>
      </c>
      <c r="V128" s="60">
        <v>9</v>
      </c>
      <c r="W128" s="60">
        <v>0</v>
      </c>
      <c r="X128" s="60">
        <v>16</v>
      </c>
      <c r="Y128" s="60">
        <v>0</v>
      </c>
      <c r="Z128" s="60">
        <v>0</v>
      </c>
      <c r="AA128" s="60">
        <f t="shared" si="54"/>
        <v>25</v>
      </c>
      <c r="AB128" s="60">
        <v>315450</v>
      </c>
      <c r="AC128" s="43">
        <v>203000</v>
      </c>
      <c r="AD128" s="60">
        <v>0</v>
      </c>
      <c r="AE128" s="60"/>
      <c r="AF128" s="60"/>
      <c r="AG128" s="60"/>
      <c r="AH128" s="60">
        <f t="shared" si="59"/>
        <v>307868</v>
      </c>
      <c r="AI128" s="60">
        <f>AH128-AQ128-H128</f>
        <v>227850.051282051</v>
      </c>
      <c r="AJ128" s="60">
        <f t="shared" si="31"/>
        <v>307868</v>
      </c>
      <c r="AK128" s="139"/>
      <c r="AL128" s="64">
        <v>16600</v>
      </c>
      <c r="AM128" s="64">
        <v>22800</v>
      </c>
      <c r="AN128" s="64">
        <v>27400</v>
      </c>
      <c r="AO128" s="64">
        <v>3942.30769230769</v>
      </c>
      <c r="AP128" s="64">
        <v>9275.64102564103</v>
      </c>
      <c r="AQ128" s="64">
        <f t="shared" si="57"/>
        <v>80017.9487179487</v>
      </c>
      <c r="AR128" s="59">
        <f t="shared" si="32"/>
        <v>12</v>
      </c>
      <c r="AS128" s="59">
        <f t="shared" si="33"/>
        <v>4</v>
      </c>
      <c r="AT128" s="141">
        <f t="shared" si="34"/>
        <v>0.923076923076923</v>
      </c>
      <c r="AU128" s="141">
        <f t="shared" si="35"/>
        <v>0.307692307692308</v>
      </c>
    </row>
    <row r="129" spans="1:47">
      <c r="A129" s="28" t="s">
        <v>285</v>
      </c>
      <c r="B129" s="27" t="s">
        <v>286</v>
      </c>
      <c r="C129" s="27" t="s">
        <v>1</v>
      </c>
      <c r="D129" s="27">
        <v>0</v>
      </c>
      <c r="E129" s="27"/>
      <c r="F129" s="112">
        <v>10132.13</v>
      </c>
      <c r="G129" s="112">
        <v>0</v>
      </c>
      <c r="H129" s="112">
        <v>0</v>
      </c>
      <c r="I129" s="124">
        <v>4</v>
      </c>
      <c r="J129" s="124">
        <v>0</v>
      </c>
      <c r="K129" s="124">
        <v>0</v>
      </c>
      <c r="L129" s="124">
        <v>0</v>
      </c>
      <c r="M129" s="124">
        <v>0</v>
      </c>
      <c r="N129" s="44">
        <f t="shared" si="58"/>
        <v>4</v>
      </c>
      <c r="O129" s="44">
        <v>54600</v>
      </c>
      <c r="P129" s="125">
        <f t="shared" si="30"/>
        <v>54600</v>
      </c>
      <c r="Q129" s="44"/>
      <c r="R129" s="44">
        <f t="shared" si="56"/>
        <v>54600</v>
      </c>
      <c r="S129" s="54">
        <v>0</v>
      </c>
      <c r="T129" s="54">
        <v>0</v>
      </c>
      <c r="U129" s="54">
        <v>0</v>
      </c>
      <c r="V129" s="60">
        <v>7</v>
      </c>
      <c r="W129" s="60">
        <v>0</v>
      </c>
      <c r="X129" s="60">
        <v>0</v>
      </c>
      <c r="Y129" s="60">
        <v>0</v>
      </c>
      <c r="Z129" s="60">
        <v>0</v>
      </c>
      <c r="AA129" s="60">
        <f t="shared" si="54"/>
        <v>7</v>
      </c>
      <c r="AB129" s="60">
        <v>99750</v>
      </c>
      <c r="AC129" s="43">
        <v>95900</v>
      </c>
      <c r="AD129" s="60">
        <v>0</v>
      </c>
      <c r="AE129" s="60"/>
      <c r="AF129" s="60"/>
      <c r="AG129" s="60"/>
      <c r="AH129" s="60">
        <f t="shared" si="59"/>
        <v>13982.13</v>
      </c>
      <c r="AI129" s="60">
        <f>AH129-AQ129-H129</f>
        <v>-17001.0278947368</v>
      </c>
      <c r="AJ129" s="60"/>
      <c r="AK129" s="7"/>
      <c r="AL129" s="64">
        <v>6800</v>
      </c>
      <c r="AM129" s="64">
        <v>10800</v>
      </c>
      <c r="AN129" s="64">
        <v>7200</v>
      </c>
      <c r="AO129" s="64">
        <v>0</v>
      </c>
      <c r="AP129" s="64">
        <v>6183.15789473684</v>
      </c>
      <c r="AQ129" s="64">
        <f t="shared" si="57"/>
        <v>30983.1578947368</v>
      </c>
      <c r="AR129" s="59">
        <f t="shared" si="32"/>
        <v>-3</v>
      </c>
      <c r="AS129" s="59">
        <f t="shared" si="33"/>
        <v>0</v>
      </c>
      <c r="AT129" s="141">
        <f t="shared" si="34"/>
        <v>-0.230769230769231</v>
      </c>
      <c r="AU129" s="141">
        <f t="shared" si="35"/>
        <v>0</v>
      </c>
    </row>
    <row r="130" spans="1:47">
      <c r="A130" s="28" t="s">
        <v>287</v>
      </c>
      <c r="B130" s="27" t="s">
        <v>288</v>
      </c>
      <c r="C130" s="27">
        <v>0</v>
      </c>
      <c r="D130" s="27" t="s">
        <v>49</v>
      </c>
      <c r="E130" s="27"/>
      <c r="F130" s="112">
        <v>142050.9</v>
      </c>
      <c r="G130" s="112">
        <v>200000</v>
      </c>
      <c r="H130" s="112">
        <v>400000</v>
      </c>
      <c r="I130" s="124">
        <v>0</v>
      </c>
      <c r="J130" s="124">
        <v>0</v>
      </c>
      <c r="K130" s="124">
        <v>0</v>
      </c>
      <c r="L130" s="124">
        <v>0</v>
      </c>
      <c r="M130" s="124">
        <v>0</v>
      </c>
      <c r="N130" s="44">
        <f t="shared" si="58"/>
        <v>0</v>
      </c>
      <c r="O130" s="44">
        <v>0</v>
      </c>
      <c r="P130" s="125">
        <f t="shared" si="30"/>
        <v>0</v>
      </c>
      <c r="Q130" s="44"/>
      <c r="R130" s="44">
        <f t="shared" si="56"/>
        <v>0</v>
      </c>
      <c r="S130" s="54">
        <v>0</v>
      </c>
      <c r="T130" s="54">
        <v>0</v>
      </c>
      <c r="U130" s="54">
        <v>0</v>
      </c>
      <c r="V130" s="60">
        <v>0</v>
      </c>
      <c r="W130" s="60">
        <v>0</v>
      </c>
      <c r="X130" s="60">
        <v>0</v>
      </c>
      <c r="Y130" s="60">
        <v>0</v>
      </c>
      <c r="Z130" s="60">
        <v>0</v>
      </c>
      <c r="AA130" s="60">
        <f t="shared" si="54"/>
        <v>0</v>
      </c>
      <c r="AB130" s="60">
        <v>0</v>
      </c>
      <c r="AC130" s="43">
        <v>0</v>
      </c>
      <c r="AD130" s="60">
        <v>0</v>
      </c>
      <c r="AE130" s="60"/>
      <c r="AF130" s="60"/>
      <c r="AG130" s="60"/>
      <c r="AH130" s="60">
        <f t="shared" si="59"/>
        <v>142050.9</v>
      </c>
      <c r="AI130" s="60"/>
      <c r="AJ130" s="60"/>
      <c r="AK130" s="7"/>
      <c r="AL130" s="64">
        <v>0</v>
      </c>
      <c r="AM130" s="64">
        <v>0</v>
      </c>
      <c r="AN130" s="64">
        <v>0</v>
      </c>
      <c r="AO130" s="64">
        <v>0</v>
      </c>
      <c r="AP130" s="64">
        <v>0</v>
      </c>
      <c r="AQ130" s="64">
        <f t="shared" si="57"/>
        <v>0</v>
      </c>
      <c r="AR130" s="59">
        <f t="shared" si="32"/>
        <v>0</v>
      </c>
      <c r="AS130" s="59">
        <f t="shared" si="33"/>
        <v>0</v>
      </c>
      <c r="AT130" s="141">
        <f t="shared" si="34"/>
        <v>0</v>
      </c>
      <c r="AU130" s="141">
        <f t="shared" si="35"/>
        <v>0</v>
      </c>
    </row>
    <row r="131" spans="1:47">
      <c r="A131" s="28" t="s">
        <v>289</v>
      </c>
      <c r="B131" s="27" t="s">
        <v>290</v>
      </c>
      <c r="C131" s="27" t="s">
        <v>99</v>
      </c>
      <c r="D131" s="27" t="s">
        <v>99</v>
      </c>
      <c r="E131" s="27"/>
      <c r="F131" s="112">
        <v>45558.61</v>
      </c>
      <c r="G131" s="112">
        <v>0</v>
      </c>
      <c r="H131" s="112">
        <v>77062.5</v>
      </c>
      <c r="I131" s="124">
        <v>0</v>
      </c>
      <c r="J131" s="124">
        <v>0</v>
      </c>
      <c r="K131" s="124">
        <v>0</v>
      </c>
      <c r="L131" s="124">
        <v>0</v>
      </c>
      <c r="M131" s="124">
        <v>0</v>
      </c>
      <c r="N131" s="44">
        <f t="shared" si="58"/>
        <v>0</v>
      </c>
      <c r="O131" s="44">
        <v>0</v>
      </c>
      <c r="P131" s="125">
        <f t="shared" si="30"/>
        <v>0</v>
      </c>
      <c r="Q131" s="44"/>
      <c r="R131" s="44">
        <f t="shared" si="56"/>
        <v>0</v>
      </c>
      <c r="S131" s="54">
        <v>0</v>
      </c>
      <c r="T131" s="54">
        <v>0</v>
      </c>
      <c r="U131" s="54">
        <v>0</v>
      </c>
      <c r="V131" s="60">
        <v>0</v>
      </c>
      <c r="W131" s="60">
        <v>0</v>
      </c>
      <c r="X131" s="60">
        <v>0</v>
      </c>
      <c r="Y131" s="60">
        <v>0</v>
      </c>
      <c r="Z131" s="60">
        <v>0</v>
      </c>
      <c r="AA131" s="60">
        <f t="shared" si="54"/>
        <v>0</v>
      </c>
      <c r="AB131" s="60">
        <v>0</v>
      </c>
      <c r="AC131" s="43">
        <v>0</v>
      </c>
      <c r="AD131" s="60">
        <v>0</v>
      </c>
      <c r="AE131" s="60"/>
      <c r="AF131" s="60"/>
      <c r="AG131" s="60"/>
      <c r="AH131" s="60">
        <f t="shared" si="59"/>
        <v>45558.61</v>
      </c>
      <c r="AI131" s="60"/>
      <c r="AJ131" s="60">
        <f t="shared" si="31"/>
        <v>45558.61</v>
      </c>
      <c r="AK131" s="7"/>
      <c r="AL131" s="64">
        <v>3000</v>
      </c>
      <c r="AM131" s="64">
        <v>0</v>
      </c>
      <c r="AN131" s="64">
        <v>0</v>
      </c>
      <c r="AO131" s="64">
        <v>0</v>
      </c>
      <c r="AP131" s="64">
        <v>0</v>
      </c>
      <c r="AQ131" s="64">
        <f t="shared" si="57"/>
        <v>3000</v>
      </c>
      <c r="AR131" s="59">
        <f t="shared" si="32"/>
        <v>0</v>
      </c>
      <c r="AS131" s="59">
        <f t="shared" si="33"/>
        <v>0</v>
      </c>
      <c r="AT131" s="141">
        <f t="shared" si="34"/>
        <v>0</v>
      </c>
      <c r="AU131" s="141">
        <f t="shared" si="35"/>
        <v>0</v>
      </c>
    </row>
    <row r="132" spans="1:47">
      <c r="A132" s="28" t="s">
        <v>291</v>
      </c>
      <c r="B132" s="27" t="s">
        <v>292</v>
      </c>
      <c r="C132" s="27">
        <v>0</v>
      </c>
      <c r="D132" s="27" t="s">
        <v>49</v>
      </c>
      <c r="E132" s="27"/>
      <c r="F132" s="112">
        <v>-127696.9</v>
      </c>
      <c r="G132" s="112">
        <v>800000</v>
      </c>
      <c r="H132" s="112">
        <v>2250000</v>
      </c>
      <c r="I132" s="124">
        <v>0</v>
      </c>
      <c r="J132" s="124">
        <v>0</v>
      </c>
      <c r="K132" s="124">
        <v>0</v>
      </c>
      <c r="L132" s="124">
        <v>0</v>
      </c>
      <c r="M132" s="124">
        <v>0</v>
      </c>
      <c r="N132" s="44">
        <f t="shared" si="58"/>
        <v>0</v>
      </c>
      <c r="O132" s="44">
        <v>0</v>
      </c>
      <c r="P132" s="125">
        <f t="shared" si="30"/>
        <v>0</v>
      </c>
      <c r="Q132" s="44"/>
      <c r="R132" s="44">
        <f t="shared" si="56"/>
        <v>0</v>
      </c>
      <c r="S132" s="54">
        <v>0</v>
      </c>
      <c r="T132" s="54">
        <v>0</v>
      </c>
      <c r="U132" s="54">
        <v>0</v>
      </c>
      <c r="V132" s="60">
        <v>0</v>
      </c>
      <c r="W132" s="60">
        <v>0</v>
      </c>
      <c r="X132" s="60">
        <v>0</v>
      </c>
      <c r="Y132" s="60">
        <v>0</v>
      </c>
      <c r="Z132" s="60">
        <v>0</v>
      </c>
      <c r="AA132" s="60">
        <f t="shared" si="54"/>
        <v>0</v>
      </c>
      <c r="AB132" s="60">
        <v>0</v>
      </c>
      <c r="AC132" s="43">
        <v>0</v>
      </c>
      <c r="AD132" s="60">
        <v>0</v>
      </c>
      <c r="AE132" s="60"/>
      <c r="AF132" s="60"/>
      <c r="AG132" s="60"/>
      <c r="AH132" s="60">
        <f t="shared" si="59"/>
        <v>-127696.9</v>
      </c>
      <c r="AI132" s="60"/>
      <c r="AJ132" s="60"/>
      <c r="AK132" s="7"/>
      <c r="AL132" s="64">
        <v>0</v>
      </c>
      <c r="AM132" s="64">
        <v>600</v>
      </c>
      <c r="AN132" s="64">
        <v>1600</v>
      </c>
      <c r="AO132" s="64">
        <v>0</v>
      </c>
      <c r="AP132" s="64">
        <v>555.789473684211</v>
      </c>
      <c r="AQ132" s="64">
        <f t="shared" si="57"/>
        <v>2755.78947368421</v>
      </c>
      <c r="AR132" s="59">
        <f t="shared" si="32"/>
        <v>0</v>
      </c>
      <c r="AS132" s="59">
        <f t="shared" si="33"/>
        <v>0</v>
      </c>
      <c r="AT132" s="141">
        <f t="shared" si="34"/>
        <v>0</v>
      </c>
      <c r="AU132" s="141">
        <f t="shared" si="35"/>
        <v>0</v>
      </c>
    </row>
    <row r="133" spans="1:47">
      <c r="A133" s="28" t="s">
        <v>293</v>
      </c>
      <c r="B133" s="27" t="s">
        <v>294</v>
      </c>
      <c r="C133" s="27">
        <v>0</v>
      </c>
      <c r="D133" s="27">
        <v>0</v>
      </c>
      <c r="E133" s="27"/>
      <c r="F133" s="112">
        <v>0</v>
      </c>
      <c r="G133" s="112"/>
      <c r="H133" s="112"/>
      <c r="I133" s="124">
        <v>0</v>
      </c>
      <c r="J133" s="124">
        <v>0</v>
      </c>
      <c r="K133" s="124">
        <v>0</v>
      </c>
      <c r="L133" s="124">
        <v>0</v>
      </c>
      <c r="M133" s="124">
        <v>0</v>
      </c>
      <c r="N133" s="44">
        <f t="shared" si="58"/>
        <v>0</v>
      </c>
      <c r="O133" s="44">
        <v>0</v>
      </c>
      <c r="P133" s="125">
        <f t="shared" si="30"/>
        <v>0</v>
      </c>
      <c r="Q133" s="44"/>
      <c r="R133" s="44">
        <f t="shared" si="56"/>
        <v>0</v>
      </c>
      <c r="S133" s="54">
        <v>0</v>
      </c>
      <c r="T133" s="54">
        <v>0</v>
      </c>
      <c r="U133" s="54">
        <v>0</v>
      </c>
      <c r="V133" s="60">
        <v>0</v>
      </c>
      <c r="W133" s="60">
        <v>0</v>
      </c>
      <c r="X133" s="60">
        <v>0</v>
      </c>
      <c r="Y133" s="60">
        <v>0</v>
      </c>
      <c r="Z133" s="60">
        <v>0</v>
      </c>
      <c r="AA133" s="60">
        <f t="shared" si="54"/>
        <v>0</v>
      </c>
      <c r="AB133" s="60">
        <v>0</v>
      </c>
      <c r="AC133" s="43">
        <v>0</v>
      </c>
      <c r="AD133" s="60">
        <v>0</v>
      </c>
      <c r="AE133" s="60"/>
      <c r="AF133" s="60"/>
      <c r="AG133" s="60"/>
      <c r="AH133" s="60">
        <f t="shared" si="59"/>
        <v>0</v>
      </c>
      <c r="AI133" s="60"/>
      <c r="AJ133" s="60">
        <f t="shared" si="31"/>
        <v>0</v>
      </c>
      <c r="AK133" s="7"/>
      <c r="AL133" s="64">
        <v>0</v>
      </c>
      <c r="AM133" s="64">
        <v>0</v>
      </c>
      <c r="AN133" s="64">
        <v>0</v>
      </c>
      <c r="AO133" s="64">
        <v>0</v>
      </c>
      <c r="AP133" s="64">
        <v>0</v>
      </c>
      <c r="AQ133" s="64">
        <f t="shared" si="57"/>
        <v>0</v>
      </c>
      <c r="AR133" s="59">
        <f t="shared" si="32"/>
        <v>0</v>
      </c>
      <c r="AS133" s="59">
        <f t="shared" si="33"/>
        <v>0</v>
      </c>
      <c r="AT133" s="141">
        <f t="shared" si="34"/>
        <v>0</v>
      </c>
      <c r="AU133" s="141">
        <f t="shared" si="35"/>
        <v>0</v>
      </c>
    </row>
    <row r="134" spans="1:47">
      <c r="A134" s="118" t="s">
        <v>295</v>
      </c>
      <c r="B134" s="27" t="s">
        <v>296</v>
      </c>
      <c r="C134" s="27" t="s">
        <v>1</v>
      </c>
      <c r="D134" s="27" t="s">
        <v>297</v>
      </c>
      <c r="E134" s="27"/>
      <c r="F134" s="112">
        <v>175682.06</v>
      </c>
      <c r="G134" s="112">
        <v>0</v>
      </c>
      <c r="H134" s="112">
        <v>400000</v>
      </c>
      <c r="I134" s="124">
        <v>0</v>
      </c>
      <c r="J134" s="124">
        <v>0</v>
      </c>
      <c r="K134" s="124">
        <v>0</v>
      </c>
      <c r="L134" s="124">
        <v>0</v>
      </c>
      <c r="M134" s="124">
        <v>0</v>
      </c>
      <c r="N134" s="44">
        <f t="shared" si="58"/>
        <v>0</v>
      </c>
      <c r="O134" s="44">
        <v>0</v>
      </c>
      <c r="P134" s="125">
        <f t="shared" si="30"/>
        <v>0</v>
      </c>
      <c r="Q134" s="44"/>
      <c r="R134" s="44">
        <f t="shared" si="56"/>
        <v>0</v>
      </c>
      <c r="S134" s="54">
        <v>0</v>
      </c>
      <c r="T134" s="54">
        <v>0</v>
      </c>
      <c r="U134" s="54">
        <v>0</v>
      </c>
      <c r="V134" s="60">
        <v>0</v>
      </c>
      <c r="W134" s="60">
        <v>0</v>
      </c>
      <c r="X134" s="60">
        <v>0</v>
      </c>
      <c r="Y134" s="60">
        <v>0</v>
      </c>
      <c r="Z134" s="60">
        <v>0</v>
      </c>
      <c r="AA134" s="60">
        <f t="shared" si="54"/>
        <v>0</v>
      </c>
      <c r="AB134" s="60">
        <v>0</v>
      </c>
      <c r="AC134" s="43">
        <v>0</v>
      </c>
      <c r="AD134" s="60">
        <v>0</v>
      </c>
      <c r="AE134" s="60"/>
      <c r="AF134" s="60"/>
      <c r="AG134" s="60"/>
      <c r="AH134" s="60">
        <f t="shared" si="59"/>
        <v>175682.06</v>
      </c>
      <c r="AI134" s="60"/>
      <c r="AJ134" s="60">
        <f t="shared" si="31"/>
        <v>175682.06</v>
      </c>
      <c r="AK134" s="139"/>
      <c r="AL134" s="64">
        <v>9800</v>
      </c>
      <c r="AM134" s="64">
        <v>178655</v>
      </c>
      <c r="AN134" s="64">
        <v>0</v>
      </c>
      <c r="AO134" s="64">
        <v>2301.75438596491</v>
      </c>
      <c r="AP134" s="64">
        <v>0</v>
      </c>
      <c r="AQ134" s="64">
        <f t="shared" si="57"/>
        <v>190756.754385965</v>
      </c>
      <c r="AR134" s="59">
        <f t="shared" si="32"/>
        <v>0</v>
      </c>
      <c r="AS134" s="59">
        <f t="shared" si="33"/>
        <v>0</v>
      </c>
      <c r="AT134" s="141">
        <f t="shared" si="34"/>
        <v>0</v>
      </c>
      <c r="AU134" s="141">
        <f t="shared" si="35"/>
        <v>0</v>
      </c>
    </row>
    <row r="135" spans="1:47">
      <c r="A135" s="118" t="s">
        <v>298</v>
      </c>
      <c r="B135" s="27" t="s">
        <v>299</v>
      </c>
      <c r="C135" s="27" t="s">
        <v>49</v>
      </c>
      <c r="D135" s="27" t="s">
        <v>49</v>
      </c>
      <c r="E135" s="27"/>
      <c r="F135" s="112">
        <v>93800</v>
      </c>
      <c r="G135" s="112"/>
      <c r="H135" s="112"/>
      <c r="I135" s="124">
        <v>120</v>
      </c>
      <c r="J135" s="124">
        <v>0</v>
      </c>
      <c r="K135" s="124">
        <v>32</v>
      </c>
      <c r="L135" s="124">
        <v>0</v>
      </c>
      <c r="M135" s="124">
        <v>0</v>
      </c>
      <c r="N135" s="44">
        <f t="shared" si="58"/>
        <v>152</v>
      </c>
      <c r="O135" s="44">
        <v>712800</v>
      </c>
      <c r="P135" s="125">
        <f t="shared" si="30"/>
        <v>712800</v>
      </c>
      <c r="Q135" s="44"/>
      <c r="R135" s="44">
        <f t="shared" si="56"/>
        <v>712800</v>
      </c>
      <c r="S135" s="54">
        <v>0</v>
      </c>
      <c r="T135" s="54">
        <v>250</v>
      </c>
      <c r="U135" s="54">
        <v>0</v>
      </c>
      <c r="V135" s="60">
        <v>100</v>
      </c>
      <c r="W135" s="60">
        <v>0</v>
      </c>
      <c r="X135" s="60">
        <v>20</v>
      </c>
      <c r="Y135" s="60">
        <v>0</v>
      </c>
      <c r="Z135" s="60">
        <v>0</v>
      </c>
      <c r="AA135" s="60">
        <f t="shared" si="54"/>
        <v>120</v>
      </c>
      <c r="AB135" s="60">
        <v>640000</v>
      </c>
      <c r="AC135" s="43">
        <v>0</v>
      </c>
      <c r="AD135" s="60">
        <v>0</v>
      </c>
      <c r="AE135" s="60"/>
      <c r="AF135" s="60"/>
      <c r="AG135" s="60"/>
      <c r="AH135" s="60">
        <f t="shared" si="59"/>
        <v>733800</v>
      </c>
      <c r="AI135" s="60">
        <f>AH135-AQ135-H135</f>
        <v>487800</v>
      </c>
      <c r="AJ135" s="60">
        <f t="shared" si="31"/>
        <v>733800</v>
      </c>
      <c r="AK135" s="139"/>
      <c r="AL135" s="64">
        <v>36000</v>
      </c>
      <c r="AM135" s="64">
        <v>100000</v>
      </c>
      <c r="AN135" s="64">
        <v>110000</v>
      </c>
      <c r="AO135" s="64">
        <v>0</v>
      </c>
      <c r="AP135" s="64">
        <v>0</v>
      </c>
      <c r="AQ135" s="64">
        <f t="shared" si="57"/>
        <v>246000</v>
      </c>
      <c r="AR135" s="59">
        <f t="shared" si="32"/>
        <v>20</v>
      </c>
      <c r="AS135" s="59">
        <f t="shared" si="33"/>
        <v>12</v>
      </c>
      <c r="AT135" s="141">
        <f t="shared" si="34"/>
        <v>1.53846153846154</v>
      </c>
      <c r="AU135" s="141">
        <f t="shared" si="35"/>
        <v>0.923076923076923</v>
      </c>
    </row>
    <row r="136" spans="1:47">
      <c r="A136" s="28" t="s">
        <v>300</v>
      </c>
      <c r="B136" s="27" t="s">
        <v>301</v>
      </c>
      <c r="C136" s="27" t="s">
        <v>52</v>
      </c>
      <c r="D136" s="27" t="s">
        <v>99</v>
      </c>
      <c r="E136" s="27"/>
      <c r="F136" s="112">
        <v>296102.11</v>
      </c>
      <c r="G136" s="112">
        <f>F136</f>
        <v>296102.11</v>
      </c>
      <c r="H136" s="112">
        <v>0</v>
      </c>
      <c r="I136" s="124">
        <v>0</v>
      </c>
      <c r="J136" s="124">
        <v>0</v>
      </c>
      <c r="K136" s="124">
        <v>0</v>
      </c>
      <c r="L136" s="124">
        <v>0</v>
      </c>
      <c r="M136" s="124">
        <v>0</v>
      </c>
      <c r="N136" s="44">
        <f t="shared" si="58"/>
        <v>0</v>
      </c>
      <c r="O136" s="44">
        <v>0</v>
      </c>
      <c r="P136" s="125">
        <f t="shared" si="30"/>
        <v>0</v>
      </c>
      <c r="Q136" s="44"/>
      <c r="R136" s="44">
        <f t="shared" si="56"/>
        <v>0</v>
      </c>
      <c r="S136" s="54">
        <v>0</v>
      </c>
      <c r="T136" s="54">
        <v>0</v>
      </c>
      <c r="U136" s="54">
        <v>0</v>
      </c>
      <c r="V136" s="60">
        <v>0</v>
      </c>
      <c r="W136" s="60">
        <v>0</v>
      </c>
      <c r="X136" s="60">
        <v>0</v>
      </c>
      <c r="Y136" s="60">
        <v>0</v>
      </c>
      <c r="Z136" s="60">
        <v>0</v>
      </c>
      <c r="AA136" s="60">
        <f t="shared" si="54"/>
        <v>0</v>
      </c>
      <c r="AB136" s="60">
        <v>0</v>
      </c>
      <c r="AC136" s="43">
        <v>0</v>
      </c>
      <c r="AD136" s="60">
        <v>0</v>
      </c>
      <c r="AE136" s="60"/>
      <c r="AF136" s="60"/>
      <c r="AG136" s="60"/>
      <c r="AH136" s="60">
        <f t="shared" si="59"/>
        <v>296102.11</v>
      </c>
      <c r="AI136" s="60"/>
      <c r="AJ136" s="60">
        <f t="shared" si="31"/>
        <v>0</v>
      </c>
      <c r="AK136" s="7"/>
      <c r="AL136" s="64">
        <v>2400</v>
      </c>
      <c r="AM136" s="64">
        <v>1200</v>
      </c>
      <c r="AN136" s="64">
        <v>0</v>
      </c>
      <c r="AO136" s="64">
        <v>0</v>
      </c>
      <c r="AP136" s="64">
        <v>0</v>
      </c>
      <c r="AQ136" s="64">
        <f t="shared" si="57"/>
        <v>3600</v>
      </c>
      <c r="AR136" s="59">
        <f t="shared" si="32"/>
        <v>0</v>
      </c>
      <c r="AS136" s="59">
        <f t="shared" si="33"/>
        <v>0</v>
      </c>
      <c r="AT136" s="141">
        <f t="shared" si="34"/>
        <v>0</v>
      </c>
      <c r="AU136" s="141">
        <f t="shared" si="35"/>
        <v>0</v>
      </c>
    </row>
    <row r="137" spans="1:47">
      <c r="A137" s="28" t="s">
        <v>302</v>
      </c>
      <c r="B137" s="27" t="s">
        <v>303</v>
      </c>
      <c r="C137" s="27">
        <v>0</v>
      </c>
      <c r="D137" s="27" t="s">
        <v>99</v>
      </c>
      <c r="E137" s="27"/>
      <c r="F137" s="112">
        <v>-45500</v>
      </c>
      <c r="G137" s="112"/>
      <c r="H137" s="112"/>
      <c r="I137" s="124">
        <v>0</v>
      </c>
      <c r="J137" s="124">
        <v>0</v>
      </c>
      <c r="K137" s="124">
        <v>0</v>
      </c>
      <c r="L137" s="124">
        <v>0</v>
      </c>
      <c r="M137" s="124">
        <v>0</v>
      </c>
      <c r="N137" s="44">
        <f t="shared" si="58"/>
        <v>0</v>
      </c>
      <c r="O137" s="44">
        <v>0</v>
      </c>
      <c r="P137" s="125">
        <f t="shared" ref="P137:P200" si="60">O137</f>
        <v>0</v>
      </c>
      <c r="Q137" s="44"/>
      <c r="R137" s="44">
        <f t="shared" si="56"/>
        <v>0</v>
      </c>
      <c r="S137" s="54">
        <v>0</v>
      </c>
      <c r="T137" s="54">
        <v>0</v>
      </c>
      <c r="U137" s="54">
        <v>0</v>
      </c>
      <c r="V137" s="60">
        <v>0</v>
      </c>
      <c r="W137" s="60">
        <v>0</v>
      </c>
      <c r="X137" s="60">
        <v>0</v>
      </c>
      <c r="Y137" s="60">
        <v>10</v>
      </c>
      <c r="Z137" s="60">
        <v>0</v>
      </c>
      <c r="AA137" s="60">
        <f t="shared" si="54"/>
        <v>10</v>
      </c>
      <c r="AB137" s="60">
        <v>265000</v>
      </c>
      <c r="AC137" s="43">
        <v>258810</v>
      </c>
      <c r="AD137" s="60">
        <v>0</v>
      </c>
      <c r="AE137" s="60"/>
      <c r="AF137" s="60"/>
      <c r="AG137" s="60"/>
      <c r="AH137" s="60">
        <f t="shared" si="59"/>
        <v>-39310</v>
      </c>
      <c r="AI137" s="60"/>
      <c r="AJ137" s="60"/>
      <c r="AK137" s="7"/>
      <c r="AL137" s="64">
        <v>0</v>
      </c>
      <c r="AM137" s="64">
        <v>0</v>
      </c>
      <c r="AN137" s="64">
        <v>0</v>
      </c>
      <c r="AO137" s="64">
        <v>0</v>
      </c>
      <c r="AP137" s="64">
        <v>0</v>
      </c>
      <c r="AQ137" s="64">
        <f t="shared" si="57"/>
        <v>0</v>
      </c>
      <c r="AR137" s="59">
        <f t="shared" ref="AR137:AR200" si="61">I137+J137-V137-W137</f>
        <v>0</v>
      </c>
      <c r="AS137" s="59">
        <f t="shared" ref="AS137:AS200" si="62">K137-X137</f>
        <v>0</v>
      </c>
      <c r="AT137" s="141">
        <f t="shared" ref="AT137:AT200" si="63">AR137/13</f>
        <v>0</v>
      </c>
      <c r="AU137" s="141">
        <f t="shared" ref="AU137:AU200" si="64">AS137/13</f>
        <v>0</v>
      </c>
    </row>
    <row r="138" spans="1:47">
      <c r="A138" s="28" t="s">
        <v>304</v>
      </c>
      <c r="B138" s="27" t="s">
        <v>305</v>
      </c>
      <c r="C138" s="27">
        <v>0</v>
      </c>
      <c r="D138" s="27" t="s">
        <v>99</v>
      </c>
      <c r="E138" s="27"/>
      <c r="F138" s="112">
        <v>-75403</v>
      </c>
      <c r="G138" s="112">
        <v>0</v>
      </c>
      <c r="H138" s="112">
        <v>500000</v>
      </c>
      <c r="I138" s="124">
        <v>4</v>
      </c>
      <c r="J138" s="124">
        <v>0</v>
      </c>
      <c r="K138" s="124">
        <v>0</v>
      </c>
      <c r="L138" s="124">
        <v>0</v>
      </c>
      <c r="M138" s="124">
        <v>0</v>
      </c>
      <c r="N138" s="44">
        <f t="shared" si="58"/>
        <v>4</v>
      </c>
      <c r="O138" s="44">
        <v>53200</v>
      </c>
      <c r="P138" s="125">
        <f t="shared" si="60"/>
        <v>53200</v>
      </c>
      <c r="Q138" s="44"/>
      <c r="R138" s="44">
        <f t="shared" si="56"/>
        <v>53200</v>
      </c>
      <c r="S138" s="54">
        <v>0</v>
      </c>
      <c r="T138" s="54">
        <v>0</v>
      </c>
      <c r="U138" s="54">
        <v>0</v>
      </c>
      <c r="V138" s="60">
        <v>4</v>
      </c>
      <c r="W138" s="60">
        <v>0</v>
      </c>
      <c r="X138" s="60">
        <v>0</v>
      </c>
      <c r="Y138" s="60">
        <v>0</v>
      </c>
      <c r="Z138" s="60">
        <v>0</v>
      </c>
      <c r="AA138" s="60">
        <f t="shared" si="54"/>
        <v>4</v>
      </c>
      <c r="AB138" s="60">
        <v>57000</v>
      </c>
      <c r="AC138" s="43">
        <v>0</v>
      </c>
      <c r="AD138" s="60">
        <v>0</v>
      </c>
      <c r="AE138" s="60"/>
      <c r="AF138" s="60"/>
      <c r="AG138" s="60"/>
      <c r="AH138" s="60">
        <f t="shared" si="59"/>
        <v>-18403</v>
      </c>
      <c r="AI138" s="60">
        <f>AH138-AQ138-H138</f>
        <v>-521403</v>
      </c>
      <c r="AJ138" s="60"/>
      <c r="AK138" s="7"/>
      <c r="AL138" s="64">
        <v>0</v>
      </c>
      <c r="AM138" s="64">
        <v>3000</v>
      </c>
      <c r="AN138" s="64">
        <v>0</v>
      </c>
      <c r="AO138" s="64">
        <v>0</v>
      </c>
      <c r="AP138" s="64">
        <v>0</v>
      </c>
      <c r="AQ138" s="64">
        <f t="shared" si="57"/>
        <v>3000</v>
      </c>
      <c r="AR138" s="59">
        <f t="shared" si="61"/>
        <v>0</v>
      </c>
      <c r="AS138" s="59">
        <f t="shared" si="62"/>
        <v>0</v>
      </c>
      <c r="AT138" s="141">
        <f t="shared" si="63"/>
        <v>0</v>
      </c>
      <c r="AU138" s="141">
        <f t="shared" si="64"/>
        <v>0</v>
      </c>
    </row>
    <row r="139" spans="1:47">
      <c r="A139" s="149" t="s">
        <v>306</v>
      </c>
      <c r="B139" s="27" t="s">
        <v>307</v>
      </c>
      <c r="C139" s="27" t="s">
        <v>49</v>
      </c>
      <c r="D139" s="27" t="s">
        <v>49</v>
      </c>
      <c r="E139" s="27"/>
      <c r="F139" s="112">
        <v>494100</v>
      </c>
      <c r="G139" s="112"/>
      <c r="H139" s="112"/>
      <c r="I139" s="124">
        <v>0</v>
      </c>
      <c r="J139" s="124">
        <v>0</v>
      </c>
      <c r="K139" s="124">
        <v>150</v>
      </c>
      <c r="L139" s="124">
        <v>0</v>
      </c>
      <c r="M139" s="124">
        <v>0</v>
      </c>
      <c r="N139" s="44">
        <f t="shared" si="58"/>
        <v>150</v>
      </c>
      <c r="O139" s="44">
        <v>585000</v>
      </c>
      <c r="P139" s="125">
        <f t="shared" si="60"/>
        <v>585000</v>
      </c>
      <c r="Q139" s="44"/>
      <c r="R139" s="44">
        <f t="shared" si="56"/>
        <v>585000</v>
      </c>
      <c r="S139" s="54">
        <v>0</v>
      </c>
      <c r="T139" s="54">
        <v>0</v>
      </c>
      <c r="U139" s="54">
        <v>150</v>
      </c>
      <c r="V139" s="60">
        <v>0</v>
      </c>
      <c r="W139" s="60">
        <v>0</v>
      </c>
      <c r="X139" s="60">
        <v>92</v>
      </c>
      <c r="Y139" s="60">
        <v>0</v>
      </c>
      <c r="Z139" s="60">
        <v>0</v>
      </c>
      <c r="AA139" s="60">
        <f t="shared" si="54"/>
        <v>92</v>
      </c>
      <c r="AB139" s="60">
        <v>414000</v>
      </c>
      <c r="AC139" s="43">
        <v>350000</v>
      </c>
      <c r="AD139" s="60">
        <v>0</v>
      </c>
      <c r="AE139" s="60"/>
      <c r="AF139" s="60"/>
      <c r="AG139" s="60"/>
      <c r="AH139" s="60">
        <f t="shared" si="59"/>
        <v>558100</v>
      </c>
      <c r="AI139" s="60">
        <f>AH139-AQ139-H139</f>
        <v>-700</v>
      </c>
      <c r="AJ139" s="60">
        <f t="shared" si="31"/>
        <v>558100</v>
      </c>
      <c r="AK139" s="7"/>
      <c r="AL139" s="64">
        <v>64000</v>
      </c>
      <c r="AM139" s="64">
        <v>412800</v>
      </c>
      <c r="AN139" s="64">
        <v>82000</v>
      </c>
      <c r="AO139" s="64">
        <v>0</v>
      </c>
      <c r="AP139" s="64">
        <v>0</v>
      </c>
      <c r="AQ139" s="64">
        <f t="shared" si="57"/>
        <v>558800</v>
      </c>
      <c r="AR139" s="59">
        <f t="shared" si="61"/>
        <v>0</v>
      </c>
      <c r="AS139" s="59">
        <f t="shared" si="62"/>
        <v>58</v>
      </c>
      <c r="AT139" s="141">
        <f t="shared" si="63"/>
        <v>0</v>
      </c>
      <c r="AU139" s="141">
        <f t="shared" si="64"/>
        <v>4.46153846153846</v>
      </c>
    </row>
    <row r="140" spans="1:47">
      <c r="A140" s="28" t="s">
        <v>308</v>
      </c>
      <c r="B140" s="27" t="s">
        <v>309</v>
      </c>
      <c r="C140" s="27" t="s">
        <v>99</v>
      </c>
      <c r="D140" s="27" t="s">
        <v>99</v>
      </c>
      <c r="E140" s="27"/>
      <c r="F140" s="112">
        <v>-10911.26</v>
      </c>
      <c r="G140" s="112">
        <v>0</v>
      </c>
      <c r="H140" s="112">
        <v>101558.333333333</v>
      </c>
      <c r="I140" s="124">
        <v>0</v>
      </c>
      <c r="J140" s="124">
        <v>0</v>
      </c>
      <c r="K140" s="124">
        <v>0</v>
      </c>
      <c r="L140" s="124">
        <v>0</v>
      </c>
      <c r="M140" s="124">
        <v>0</v>
      </c>
      <c r="N140" s="44">
        <f t="shared" si="58"/>
        <v>0</v>
      </c>
      <c r="O140" s="44">
        <v>0</v>
      </c>
      <c r="P140" s="125">
        <f t="shared" si="60"/>
        <v>0</v>
      </c>
      <c r="Q140" s="44"/>
      <c r="R140" s="44">
        <f t="shared" si="56"/>
        <v>0</v>
      </c>
      <c r="S140" s="54">
        <v>0</v>
      </c>
      <c r="T140" s="54">
        <v>0</v>
      </c>
      <c r="U140" s="54">
        <v>0</v>
      </c>
      <c r="V140" s="60">
        <v>0</v>
      </c>
      <c r="W140" s="60">
        <v>0</v>
      </c>
      <c r="X140" s="60">
        <v>0</v>
      </c>
      <c r="Y140" s="60">
        <v>0</v>
      </c>
      <c r="Z140" s="60">
        <v>0</v>
      </c>
      <c r="AA140" s="60">
        <f t="shared" si="54"/>
        <v>0</v>
      </c>
      <c r="AB140" s="60">
        <v>0</v>
      </c>
      <c r="AC140" s="43">
        <v>0</v>
      </c>
      <c r="AD140" s="60">
        <v>0</v>
      </c>
      <c r="AE140" s="60"/>
      <c r="AF140" s="60"/>
      <c r="AG140" s="60"/>
      <c r="AH140" s="60">
        <f t="shared" si="59"/>
        <v>-10911.26</v>
      </c>
      <c r="AI140" s="60"/>
      <c r="AJ140" s="60"/>
      <c r="AK140" s="7"/>
      <c r="AL140" s="64">
        <v>2000</v>
      </c>
      <c r="AM140" s="64">
        <v>5000</v>
      </c>
      <c r="AN140" s="64">
        <v>0</v>
      </c>
      <c r="AO140" s="64">
        <v>0</v>
      </c>
      <c r="AP140" s="64">
        <v>0</v>
      </c>
      <c r="AQ140" s="64">
        <f t="shared" si="57"/>
        <v>7000</v>
      </c>
      <c r="AR140" s="59">
        <f t="shared" si="61"/>
        <v>0</v>
      </c>
      <c r="AS140" s="59">
        <f t="shared" si="62"/>
        <v>0</v>
      </c>
      <c r="AT140" s="141">
        <f t="shared" si="63"/>
        <v>0</v>
      </c>
      <c r="AU140" s="141">
        <f t="shared" si="64"/>
        <v>0</v>
      </c>
    </row>
    <row r="141" spans="1:47">
      <c r="A141" s="28" t="s">
        <v>310</v>
      </c>
      <c r="B141" s="27" t="s">
        <v>311</v>
      </c>
      <c r="C141" s="27">
        <v>0</v>
      </c>
      <c r="D141" s="27">
        <v>0</v>
      </c>
      <c r="E141" s="27"/>
      <c r="F141" s="112">
        <v>-0.08</v>
      </c>
      <c r="G141" s="112"/>
      <c r="H141" s="112"/>
      <c r="I141" s="124">
        <v>0</v>
      </c>
      <c r="J141" s="124">
        <v>0</v>
      </c>
      <c r="K141" s="124">
        <v>0</v>
      </c>
      <c r="L141" s="124">
        <v>0</v>
      </c>
      <c r="M141" s="124">
        <v>0</v>
      </c>
      <c r="N141" s="44">
        <f t="shared" si="58"/>
        <v>0</v>
      </c>
      <c r="O141" s="44">
        <v>0</v>
      </c>
      <c r="P141" s="125">
        <f t="shared" si="60"/>
        <v>0</v>
      </c>
      <c r="Q141" s="44"/>
      <c r="R141" s="44">
        <f t="shared" si="56"/>
        <v>0</v>
      </c>
      <c r="S141" s="54">
        <v>0</v>
      </c>
      <c r="T141" s="54">
        <v>0</v>
      </c>
      <c r="U141" s="54">
        <v>0</v>
      </c>
      <c r="V141" s="60">
        <v>0</v>
      </c>
      <c r="W141" s="60">
        <v>0</v>
      </c>
      <c r="X141" s="60">
        <v>0</v>
      </c>
      <c r="Y141" s="60">
        <v>0</v>
      </c>
      <c r="Z141" s="60">
        <v>0</v>
      </c>
      <c r="AA141" s="60">
        <f t="shared" si="54"/>
        <v>0</v>
      </c>
      <c r="AB141" s="60">
        <v>0</v>
      </c>
      <c r="AC141" s="43">
        <v>0</v>
      </c>
      <c r="AD141" s="60">
        <v>0</v>
      </c>
      <c r="AE141" s="60"/>
      <c r="AF141" s="60"/>
      <c r="AG141" s="60"/>
      <c r="AH141" s="60">
        <f t="shared" si="59"/>
        <v>-0.08</v>
      </c>
      <c r="AI141" s="60"/>
      <c r="AJ141" s="60"/>
      <c r="AK141" s="7"/>
      <c r="AL141" s="64">
        <v>0</v>
      </c>
      <c r="AM141" s="64">
        <v>0</v>
      </c>
      <c r="AN141" s="64">
        <v>0</v>
      </c>
      <c r="AO141" s="64">
        <v>0</v>
      </c>
      <c r="AP141" s="64">
        <v>0</v>
      </c>
      <c r="AQ141" s="64">
        <f t="shared" si="57"/>
        <v>0</v>
      </c>
      <c r="AR141" s="59">
        <f t="shared" si="61"/>
        <v>0</v>
      </c>
      <c r="AS141" s="59">
        <f t="shared" si="62"/>
        <v>0</v>
      </c>
      <c r="AT141" s="141">
        <f t="shared" si="63"/>
        <v>0</v>
      </c>
      <c r="AU141" s="141">
        <f t="shared" si="64"/>
        <v>0</v>
      </c>
    </row>
    <row r="142" spans="1:47">
      <c r="A142" s="28" t="s">
        <v>312</v>
      </c>
      <c r="B142" s="27" t="s">
        <v>313</v>
      </c>
      <c r="C142" s="27" t="s">
        <v>3</v>
      </c>
      <c r="D142" s="27" t="s">
        <v>49</v>
      </c>
      <c r="E142" s="27"/>
      <c r="F142" s="112">
        <v>50000</v>
      </c>
      <c r="G142" s="112"/>
      <c r="H142" s="112"/>
      <c r="I142" s="124">
        <v>100</v>
      </c>
      <c r="J142" s="124">
        <v>0</v>
      </c>
      <c r="K142" s="124">
        <v>0</v>
      </c>
      <c r="L142" s="124">
        <v>0</v>
      </c>
      <c r="M142" s="124">
        <v>0</v>
      </c>
      <c r="N142" s="44">
        <f t="shared" si="58"/>
        <v>100</v>
      </c>
      <c r="O142" s="44">
        <v>490000</v>
      </c>
      <c r="P142" s="125">
        <f t="shared" si="60"/>
        <v>490000</v>
      </c>
      <c r="Q142" s="44"/>
      <c r="R142" s="44">
        <f t="shared" si="56"/>
        <v>490000</v>
      </c>
      <c r="S142" s="54">
        <v>0</v>
      </c>
      <c r="T142" s="54">
        <v>100</v>
      </c>
      <c r="U142" s="54">
        <v>0</v>
      </c>
      <c r="V142" s="60">
        <v>0</v>
      </c>
      <c r="W142" s="60">
        <v>0</v>
      </c>
      <c r="X142" s="60">
        <v>0</v>
      </c>
      <c r="Y142" s="60">
        <v>0</v>
      </c>
      <c r="Z142" s="60">
        <v>0</v>
      </c>
      <c r="AA142" s="60">
        <f t="shared" si="54"/>
        <v>0</v>
      </c>
      <c r="AB142" s="60">
        <v>0</v>
      </c>
      <c r="AC142" s="43">
        <v>0</v>
      </c>
      <c r="AD142" s="60">
        <v>0</v>
      </c>
      <c r="AE142" s="60"/>
      <c r="AF142" s="60"/>
      <c r="AG142" s="60"/>
      <c r="AH142" s="60">
        <f t="shared" si="59"/>
        <v>50000</v>
      </c>
      <c r="AI142" s="60"/>
      <c r="AJ142" s="60">
        <f>AH142-G142</f>
        <v>50000</v>
      </c>
      <c r="AK142" s="7"/>
      <c r="AL142" s="64">
        <v>28000</v>
      </c>
      <c r="AM142" s="64">
        <v>50000</v>
      </c>
      <c r="AN142" s="64">
        <v>50000</v>
      </c>
      <c r="AO142" s="64">
        <v>0</v>
      </c>
      <c r="AP142" s="64">
        <v>0</v>
      </c>
      <c r="AQ142" s="64">
        <f t="shared" si="57"/>
        <v>128000</v>
      </c>
      <c r="AR142" s="59">
        <f t="shared" si="61"/>
        <v>100</v>
      </c>
      <c r="AS142" s="59">
        <f t="shared" si="62"/>
        <v>0</v>
      </c>
      <c r="AT142" s="141">
        <f t="shared" si="63"/>
        <v>7.69230769230769</v>
      </c>
      <c r="AU142" s="141">
        <f t="shared" si="64"/>
        <v>0</v>
      </c>
    </row>
    <row r="143" spans="1:47">
      <c r="A143" s="115" t="s">
        <v>314</v>
      </c>
      <c r="B143" s="119">
        <f>SUM(B115:B142)</f>
        <v>0</v>
      </c>
      <c r="C143" s="27">
        <v>0</v>
      </c>
      <c r="D143" s="27">
        <v>0</v>
      </c>
      <c r="E143" s="27"/>
      <c r="F143" s="119">
        <f t="shared" ref="F143:AD143" si="65">SUM(F115:F142)</f>
        <v>1589150.23</v>
      </c>
      <c r="G143" s="119">
        <f t="shared" si="65"/>
        <v>3046102.11</v>
      </c>
      <c r="H143" s="119">
        <f t="shared" si="65"/>
        <v>8412491.66666666</v>
      </c>
      <c r="I143" s="119">
        <f t="shared" si="65"/>
        <v>994</v>
      </c>
      <c r="J143" s="119">
        <f t="shared" si="65"/>
        <v>0</v>
      </c>
      <c r="K143" s="119">
        <f t="shared" si="65"/>
        <v>368</v>
      </c>
      <c r="L143" s="119">
        <f t="shared" si="65"/>
        <v>0</v>
      </c>
      <c r="M143" s="119">
        <f t="shared" si="65"/>
        <v>0</v>
      </c>
      <c r="N143" s="119">
        <f t="shared" si="65"/>
        <v>1362</v>
      </c>
      <c r="O143" s="119">
        <f t="shared" si="65"/>
        <v>8447200</v>
      </c>
      <c r="P143" s="119">
        <f t="shared" si="65"/>
        <v>8447200</v>
      </c>
      <c r="Q143" s="119">
        <f t="shared" si="65"/>
        <v>0</v>
      </c>
      <c r="R143" s="119">
        <f t="shared" si="65"/>
        <v>7957200</v>
      </c>
      <c r="S143" s="119">
        <f t="shared" si="65"/>
        <v>115400.051282051</v>
      </c>
      <c r="T143" s="119">
        <f t="shared" si="65"/>
        <v>1000</v>
      </c>
      <c r="U143" s="119">
        <f t="shared" si="65"/>
        <v>250</v>
      </c>
      <c r="V143" s="119">
        <f>SUM(V115:V142)</f>
        <v>481</v>
      </c>
      <c r="W143" s="119">
        <f>SUM(W115:W142)</f>
        <v>5</v>
      </c>
      <c r="X143" s="119">
        <f>SUM(X115:X142)</f>
        <v>352</v>
      </c>
      <c r="Y143" s="119">
        <f>SUM(Y115:Y142)</f>
        <v>10</v>
      </c>
      <c r="Z143" s="119">
        <f>SUM(Z115:Z142)</f>
        <v>0</v>
      </c>
      <c r="AA143" s="119">
        <f>SUM(AA115:AA142)</f>
        <v>848</v>
      </c>
      <c r="AB143" s="119">
        <f>SUM(AB115:AB142)</f>
        <v>6350000</v>
      </c>
      <c r="AC143" s="119">
        <f>SUM(AC115:AC142)</f>
        <v>1930960</v>
      </c>
      <c r="AD143" s="119">
        <f>SUM(AD115:AD142)</f>
        <v>0</v>
      </c>
      <c r="AE143" s="119"/>
      <c r="AF143" s="119">
        <f>SUM(AF115:AF142)</f>
        <v>0</v>
      </c>
      <c r="AG143" s="119"/>
      <c r="AH143" s="119">
        <f>SUM(AH115:AH142)</f>
        <v>5568690.23</v>
      </c>
      <c r="AI143" s="60">
        <f>AH143-AQ143-H143</f>
        <v>-5080557.06869545</v>
      </c>
      <c r="AJ143" s="119">
        <f>SUM(AJ115:AJ142)</f>
        <v>3954007.89</v>
      </c>
      <c r="AK143" s="135"/>
      <c r="AL143" s="119">
        <f t="shared" ref="AL143:BH143" si="66">SUM(AL115:AL142)</f>
        <v>354050</v>
      </c>
      <c r="AM143" s="119">
        <f t="shared" si="66"/>
        <v>1130155</v>
      </c>
      <c r="AN143" s="119">
        <f t="shared" si="66"/>
        <v>684525</v>
      </c>
      <c r="AO143" s="119">
        <f t="shared" si="66"/>
        <v>14281.8488529015</v>
      </c>
      <c r="AP143" s="119">
        <f t="shared" si="66"/>
        <v>53743.7831758884</v>
      </c>
      <c r="AQ143" s="143">
        <f t="shared" si="66"/>
        <v>2236755.63202879</v>
      </c>
      <c r="AR143" s="119">
        <f t="shared" si="66"/>
        <v>508</v>
      </c>
      <c r="AS143" s="119">
        <f t="shared" si="66"/>
        <v>16</v>
      </c>
      <c r="AT143" s="141">
        <f t="shared" si="63"/>
        <v>39.0769230769231</v>
      </c>
      <c r="AU143" s="141">
        <f t="shared" si="64"/>
        <v>1.23076923076923</v>
      </c>
    </row>
    <row r="144" spans="1:47">
      <c r="A144" s="28" t="s">
        <v>315</v>
      </c>
      <c r="B144" s="27" t="s">
        <v>316</v>
      </c>
      <c r="C144" s="27" t="s">
        <v>99</v>
      </c>
      <c r="D144" s="27" t="s">
        <v>99</v>
      </c>
      <c r="E144" s="27"/>
      <c r="F144" s="112">
        <v>539</v>
      </c>
      <c r="G144" s="112"/>
      <c r="H144" s="112"/>
      <c r="I144" s="124">
        <v>0</v>
      </c>
      <c r="J144" s="124">
        <v>0</v>
      </c>
      <c r="K144" s="124">
        <v>0</v>
      </c>
      <c r="L144" s="124">
        <v>0</v>
      </c>
      <c r="M144" s="124">
        <v>0</v>
      </c>
      <c r="N144" s="44">
        <f t="shared" ref="N144:N167" si="67">SUM(I144:M144)</f>
        <v>0</v>
      </c>
      <c r="O144" s="44">
        <v>0</v>
      </c>
      <c r="P144" s="125">
        <f t="shared" si="60"/>
        <v>0</v>
      </c>
      <c r="Q144" s="44"/>
      <c r="R144" s="44">
        <f t="shared" ref="R144:R159" si="68">P144+Q144</f>
        <v>0</v>
      </c>
      <c r="S144" s="54">
        <v>0</v>
      </c>
      <c r="T144" s="54">
        <v>80</v>
      </c>
      <c r="U144" s="54">
        <v>0</v>
      </c>
      <c r="V144" s="60">
        <v>0</v>
      </c>
      <c r="W144" s="60">
        <v>0</v>
      </c>
      <c r="X144" s="60">
        <v>0</v>
      </c>
      <c r="Y144" s="60">
        <v>0</v>
      </c>
      <c r="Z144" s="60">
        <v>0</v>
      </c>
      <c r="AA144" s="60">
        <f t="shared" ref="AA144:AA169" si="69">V144+W144+X144+Y144+Z144</f>
        <v>0</v>
      </c>
      <c r="AB144" s="60">
        <v>0</v>
      </c>
      <c r="AC144" s="43">
        <v>0</v>
      </c>
      <c r="AD144" s="60">
        <v>0</v>
      </c>
      <c r="AE144" s="60"/>
      <c r="AF144" s="60"/>
      <c r="AG144" s="60"/>
      <c r="AH144" s="60">
        <f t="shared" ref="AH144:AH169" si="70">F144+AB144-AC144-AE144-AD144-AF144-AG144</f>
        <v>539</v>
      </c>
      <c r="AI144" s="60"/>
      <c r="AJ144" s="60">
        <f>AH144-G144</f>
        <v>539</v>
      </c>
      <c r="AK144" s="7"/>
      <c r="AL144" s="64">
        <v>48600</v>
      </c>
      <c r="AM144" s="64">
        <v>41400</v>
      </c>
      <c r="AN144" s="64">
        <v>21000</v>
      </c>
      <c r="AO144" s="64">
        <v>1936.84210526316</v>
      </c>
      <c r="AP144" s="64">
        <v>12833.3333333333</v>
      </c>
      <c r="AQ144" s="64">
        <f t="shared" ref="AQ144:AQ159" si="71">AL144+AM144+AN144+AO144+AP144</f>
        <v>125770.175438596</v>
      </c>
      <c r="AR144" s="59">
        <f t="shared" si="61"/>
        <v>0</v>
      </c>
      <c r="AS144" s="59">
        <f t="shared" si="62"/>
        <v>0</v>
      </c>
      <c r="AT144" s="141">
        <f t="shared" si="63"/>
        <v>0</v>
      </c>
      <c r="AU144" s="141">
        <f t="shared" si="64"/>
        <v>0</v>
      </c>
    </row>
    <row r="145" spans="1:47">
      <c r="A145" s="113" t="s">
        <v>317</v>
      </c>
      <c r="B145" s="27" t="s">
        <v>318</v>
      </c>
      <c r="C145" s="27" t="s">
        <v>2</v>
      </c>
      <c r="D145" s="27" t="s">
        <v>2</v>
      </c>
      <c r="E145" s="27"/>
      <c r="F145" s="112">
        <v>599574</v>
      </c>
      <c r="G145" s="112">
        <v>500000</v>
      </c>
      <c r="H145" s="112">
        <v>1038450</v>
      </c>
      <c r="I145" s="124">
        <v>70</v>
      </c>
      <c r="J145" s="124">
        <v>0</v>
      </c>
      <c r="K145" s="124">
        <v>0</v>
      </c>
      <c r="L145" s="124">
        <v>1</v>
      </c>
      <c r="M145" s="124">
        <v>5</v>
      </c>
      <c r="N145" s="44">
        <f t="shared" si="67"/>
        <v>76</v>
      </c>
      <c r="O145" s="44">
        <v>981000</v>
      </c>
      <c r="P145" s="125">
        <f t="shared" si="60"/>
        <v>981000</v>
      </c>
      <c r="Q145" s="44"/>
      <c r="R145" s="44">
        <f t="shared" si="68"/>
        <v>981000</v>
      </c>
      <c r="S145" s="54">
        <v>0</v>
      </c>
      <c r="T145" s="54">
        <v>60</v>
      </c>
      <c r="U145" s="54">
        <v>0</v>
      </c>
      <c r="V145" s="60">
        <v>50</v>
      </c>
      <c r="W145" s="60">
        <v>0</v>
      </c>
      <c r="X145" s="60">
        <v>0</v>
      </c>
      <c r="Y145" s="60">
        <v>1</v>
      </c>
      <c r="Z145" s="60">
        <v>5</v>
      </c>
      <c r="AA145" s="60">
        <f t="shared" si="69"/>
        <v>56</v>
      </c>
      <c r="AB145" s="60">
        <v>762180</v>
      </c>
      <c r="AC145" s="43">
        <v>450000</v>
      </c>
      <c r="AD145" s="60">
        <v>0</v>
      </c>
      <c r="AE145" s="60"/>
      <c r="AF145" s="60"/>
      <c r="AG145" s="60"/>
      <c r="AH145" s="60">
        <f t="shared" si="70"/>
        <v>911754</v>
      </c>
      <c r="AI145" s="60">
        <f>AH145-AQ145-H145</f>
        <v>-231282.339649123</v>
      </c>
      <c r="AJ145" s="60">
        <f>AH145-G145</f>
        <v>411754</v>
      </c>
      <c r="AK145" s="7"/>
      <c r="AL145" s="64">
        <v>39792.48</v>
      </c>
      <c r="AM145" s="64">
        <v>17500</v>
      </c>
      <c r="AN145" s="64">
        <v>29750</v>
      </c>
      <c r="AO145" s="64">
        <v>5964.91228070175</v>
      </c>
      <c r="AP145" s="64">
        <v>11578.9473684211</v>
      </c>
      <c r="AQ145" s="64">
        <f t="shared" si="71"/>
        <v>104586.339649123</v>
      </c>
      <c r="AR145" s="59">
        <f t="shared" si="61"/>
        <v>20</v>
      </c>
      <c r="AS145" s="59">
        <f t="shared" si="62"/>
        <v>0</v>
      </c>
      <c r="AT145" s="141">
        <f t="shared" si="63"/>
        <v>1.53846153846154</v>
      </c>
      <c r="AU145" s="141">
        <f t="shared" si="64"/>
        <v>0</v>
      </c>
    </row>
    <row r="146" spans="1:47">
      <c r="A146" s="28" t="s">
        <v>319</v>
      </c>
      <c r="B146" s="27" t="s">
        <v>320</v>
      </c>
      <c r="C146" s="27">
        <v>0</v>
      </c>
      <c r="D146" s="27" t="s">
        <v>2</v>
      </c>
      <c r="E146" s="27"/>
      <c r="F146" s="112">
        <v>-1902683</v>
      </c>
      <c r="G146" s="112">
        <v>500000</v>
      </c>
      <c r="H146" s="112">
        <v>1000000</v>
      </c>
      <c r="I146" s="124">
        <v>0</v>
      </c>
      <c r="J146" s="124">
        <v>0</v>
      </c>
      <c r="K146" s="124">
        <v>0</v>
      </c>
      <c r="L146" s="124">
        <v>0</v>
      </c>
      <c r="M146" s="124">
        <v>0</v>
      </c>
      <c r="N146" s="44">
        <f t="shared" si="67"/>
        <v>0</v>
      </c>
      <c r="O146" s="44">
        <v>0</v>
      </c>
      <c r="P146" s="125">
        <f t="shared" si="60"/>
        <v>0</v>
      </c>
      <c r="Q146" s="44"/>
      <c r="R146" s="44">
        <f t="shared" si="68"/>
        <v>0</v>
      </c>
      <c r="S146" s="54">
        <v>0</v>
      </c>
      <c r="T146" s="54">
        <v>0</v>
      </c>
      <c r="U146" s="54">
        <v>0</v>
      </c>
      <c r="V146" s="60">
        <v>0</v>
      </c>
      <c r="W146" s="60">
        <v>0</v>
      </c>
      <c r="X146" s="60">
        <v>0</v>
      </c>
      <c r="Y146" s="60">
        <v>0</v>
      </c>
      <c r="Z146" s="60">
        <v>0</v>
      </c>
      <c r="AA146" s="60">
        <f t="shared" si="69"/>
        <v>0</v>
      </c>
      <c r="AB146" s="60">
        <v>0</v>
      </c>
      <c r="AC146" s="43">
        <v>0</v>
      </c>
      <c r="AD146" s="60">
        <v>0</v>
      </c>
      <c r="AE146" s="60"/>
      <c r="AF146" s="60"/>
      <c r="AG146" s="60"/>
      <c r="AH146" s="60">
        <f t="shared" si="70"/>
        <v>-1902683</v>
      </c>
      <c r="AI146" s="60"/>
      <c r="AJ146" s="60">
        <f>AH146-G146</f>
        <v>-2402683</v>
      </c>
      <c r="AK146" s="7"/>
      <c r="AL146" s="64">
        <v>0</v>
      </c>
      <c r="AM146" s="64">
        <v>12000</v>
      </c>
      <c r="AN146" s="64">
        <v>43020</v>
      </c>
      <c r="AO146" s="64">
        <v>1403.50877192982</v>
      </c>
      <c r="AP146" s="64">
        <v>3666.66666666667</v>
      </c>
      <c r="AQ146" s="64">
        <f t="shared" si="71"/>
        <v>60090.1754385965</v>
      </c>
      <c r="AR146" s="59">
        <f t="shared" si="61"/>
        <v>0</v>
      </c>
      <c r="AS146" s="59">
        <f t="shared" si="62"/>
        <v>0</v>
      </c>
      <c r="AT146" s="141">
        <f t="shared" si="63"/>
        <v>0</v>
      </c>
      <c r="AU146" s="141">
        <f t="shared" si="64"/>
        <v>0</v>
      </c>
    </row>
    <row r="147" spans="1:47">
      <c r="A147" s="118" t="s">
        <v>321</v>
      </c>
      <c r="B147" s="87" t="s">
        <v>322</v>
      </c>
      <c r="C147" s="27" t="s">
        <v>3</v>
      </c>
      <c r="D147" s="27" t="s">
        <v>49</v>
      </c>
      <c r="E147" s="27"/>
      <c r="F147" s="112">
        <v>2680476</v>
      </c>
      <c r="G147" s="112"/>
      <c r="H147" s="112"/>
      <c r="I147" s="124">
        <v>200</v>
      </c>
      <c r="J147" s="124">
        <v>0</v>
      </c>
      <c r="K147" s="124">
        <v>188</v>
      </c>
      <c r="L147" s="124">
        <v>0</v>
      </c>
      <c r="M147" s="124">
        <v>0</v>
      </c>
      <c r="N147" s="44">
        <f t="shared" si="67"/>
        <v>388</v>
      </c>
      <c r="O147" s="44">
        <v>1713200</v>
      </c>
      <c r="P147" s="125">
        <f t="shared" si="60"/>
        <v>1713200</v>
      </c>
      <c r="Q147" s="44"/>
      <c r="R147" s="44">
        <f t="shared" si="68"/>
        <v>1713200</v>
      </c>
      <c r="S147" s="54">
        <v>0</v>
      </c>
      <c r="T147" s="54">
        <v>200</v>
      </c>
      <c r="U147" s="54">
        <v>200</v>
      </c>
      <c r="V147" s="60">
        <v>105</v>
      </c>
      <c r="W147" s="60">
        <v>0</v>
      </c>
      <c r="X147" s="60">
        <v>112</v>
      </c>
      <c r="Y147" s="60">
        <v>0</v>
      </c>
      <c r="Z147" s="60">
        <v>0</v>
      </c>
      <c r="AA147" s="60">
        <f t="shared" si="69"/>
        <v>217</v>
      </c>
      <c r="AB147" s="60">
        <v>1081500</v>
      </c>
      <c r="AC147" s="43">
        <v>1260001</v>
      </c>
      <c r="AD147" s="60">
        <v>0</v>
      </c>
      <c r="AE147" s="60"/>
      <c r="AF147" s="60"/>
      <c r="AG147" s="60"/>
      <c r="AH147" s="60">
        <f t="shared" si="70"/>
        <v>2501975</v>
      </c>
      <c r="AI147" s="60">
        <f>AH147-AQ147-H147</f>
        <v>1922875</v>
      </c>
      <c r="AJ147" s="60">
        <f>AH147-G147</f>
        <v>2501975</v>
      </c>
      <c r="AK147" s="7"/>
      <c r="AL147" s="64">
        <v>100600</v>
      </c>
      <c r="AM147" s="64">
        <v>205000</v>
      </c>
      <c r="AN147" s="64">
        <v>273500</v>
      </c>
      <c r="AO147" s="64">
        <v>0</v>
      </c>
      <c r="AP147" s="64">
        <v>0</v>
      </c>
      <c r="AQ147" s="64">
        <f t="shared" si="71"/>
        <v>579100</v>
      </c>
      <c r="AR147" s="59">
        <f t="shared" si="61"/>
        <v>95</v>
      </c>
      <c r="AS147" s="59">
        <f t="shared" si="62"/>
        <v>76</v>
      </c>
      <c r="AT147" s="141">
        <f t="shared" si="63"/>
        <v>7.30769230769231</v>
      </c>
      <c r="AU147" s="141">
        <f t="shared" si="64"/>
        <v>5.84615384615385</v>
      </c>
    </row>
    <row r="148" spans="1:47">
      <c r="A148" s="28" t="s">
        <v>323</v>
      </c>
      <c r="B148" s="27" t="s">
        <v>324</v>
      </c>
      <c r="C148" s="27">
        <v>0</v>
      </c>
      <c r="D148" s="27">
        <v>0</v>
      </c>
      <c r="E148" s="27"/>
      <c r="F148" s="112">
        <v>-22319.4</v>
      </c>
      <c r="G148" s="112">
        <v>0</v>
      </c>
      <c r="H148" s="112">
        <v>175812.5</v>
      </c>
      <c r="I148" s="124">
        <v>0</v>
      </c>
      <c r="J148" s="124">
        <v>0</v>
      </c>
      <c r="K148" s="124">
        <v>0</v>
      </c>
      <c r="L148" s="124">
        <v>0</v>
      </c>
      <c r="M148" s="124">
        <v>0</v>
      </c>
      <c r="N148" s="44">
        <f t="shared" si="67"/>
        <v>0</v>
      </c>
      <c r="O148" s="44">
        <v>0</v>
      </c>
      <c r="P148" s="125">
        <f t="shared" si="60"/>
        <v>0</v>
      </c>
      <c r="Q148" s="44"/>
      <c r="R148" s="44">
        <f t="shared" si="68"/>
        <v>0</v>
      </c>
      <c r="S148" s="54">
        <v>0</v>
      </c>
      <c r="T148" s="54">
        <v>0</v>
      </c>
      <c r="U148" s="54">
        <v>0</v>
      </c>
      <c r="V148" s="60">
        <v>0</v>
      </c>
      <c r="W148" s="60">
        <v>0</v>
      </c>
      <c r="X148" s="60">
        <v>0</v>
      </c>
      <c r="Y148" s="60">
        <v>0</v>
      </c>
      <c r="Z148" s="60">
        <v>0</v>
      </c>
      <c r="AA148" s="60">
        <f t="shared" si="69"/>
        <v>0</v>
      </c>
      <c r="AB148" s="60">
        <v>0</v>
      </c>
      <c r="AC148" s="43">
        <v>0</v>
      </c>
      <c r="AD148" s="60">
        <v>0</v>
      </c>
      <c r="AE148" s="60"/>
      <c r="AF148" s="60"/>
      <c r="AG148" s="60"/>
      <c r="AH148" s="60">
        <f t="shared" si="70"/>
        <v>-22319.4</v>
      </c>
      <c r="AI148" s="60"/>
      <c r="AJ148" s="60"/>
      <c r="AK148" s="7"/>
      <c r="AL148" s="64">
        <v>0</v>
      </c>
      <c r="AM148" s="64">
        <v>0</v>
      </c>
      <c r="AN148" s="64">
        <v>0</v>
      </c>
      <c r="AO148" s="64">
        <v>0</v>
      </c>
      <c r="AP148" s="64">
        <v>0</v>
      </c>
      <c r="AQ148" s="64">
        <f t="shared" si="71"/>
        <v>0</v>
      </c>
      <c r="AR148" s="59">
        <f t="shared" si="61"/>
        <v>0</v>
      </c>
      <c r="AS148" s="59">
        <f t="shared" si="62"/>
        <v>0</v>
      </c>
      <c r="AT148" s="141">
        <f t="shared" si="63"/>
        <v>0</v>
      </c>
      <c r="AU148" s="141">
        <f t="shared" si="64"/>
        <v>0</v>
      </c>
    </row>
    <row r="149" spans="1:47">
      <c r="A149" s="28" t="s">
        <v>325</v>
      </c>
      <c r="B149" s="27" t="s">
        <v>326</v>
      </c>
      <c r="C149" s="27">
        <v>0</v>
      </c>
      <c r="D149" s="27">
        <v>0</v>
      </c>
      <c r="E149" s="27"/>
      <c r="F149" s="112">
        <v>39070.92</v>
      </c>
      <c r="G149" s="112"/>
      <c r="H149" s="112"/>
      <c r="I149" s="124">
        <v>0</v>
      </c>
      <c r="J149" s="124">
        <v>0</v>
      </c>
      <c r="K149" s="124">
        <v>0</v>
      </c>
      <c r="L149" s="124">
        <v>0</v>
      </c>
      <c r="M149" s="124">
        <v>0</v>
      </c>
      <c r="N149" s="44">
        <f t="shared" si="67"/>
        <v>0</v>
      </c>
      <c r="O149" s="44">
        <v>0</v>
      </c>
      <c r="P149" s="125">
        <f t="shared" si="60"/>
        <v>0</v>
      </c>
      <c r="Q149" s="44"/>
      <c r="R149" s="44">
        <f t="shared" si="68"/>
        <v>0</v>
      </c>
      <c r="S149" s="54">
        <v>0</v>
      </c>
      <c r="T149" s="54">
        <v>0</v>
      </c>
      <c r="U149" s="54">
        <v>0</v>
      </c>
      <c r="V149" s="60">
        <v>0</v>
      </c>
      <c r="W149" s="60">
        <v>0</v>
      </c>
      <c r="X149" s="60">
        <v>0</v>
      </c>
      <c r="Y149" s="60">
        <v>0</v>
      </c>
      <c r="Z149" s="60">
        <v>0</v>
      </c>
      <c r="AA149" s="60">
        <f t="shared" si="69"/>
        <v>0</v>
      </c>
      <c r="AB149" s="60">
        <v>0</v>
      </c>
      <c r="AC149" s="43">
        <v>0</v>
      </c>
      <c r="AD149" s="60">
        <v>0</v>
      </c>
      <c r="AE149" s="60"/>
      <c r="AF149" s="60"/>
      <c r="AG149" s="60"/>
      <c r="AH149" s="60">
        <f t="shared" si="70"/>
        <v>39070.92</v>
      </c>
      <c r="AI149" s="60"/>
      <c r="AJ149" s="60"/>
      <c r="AK149" s="7"/>
      <c r="AL149" s="64">
        <v>0</v>
      </c>
      <c r="AM149" s="64">
        <v>0</v>
      </c>
      <c r="AN149" s="64">
        <v>0</v>
      </c>
      <c r="AO149" s="64">
        <v>0</v>
      </c>
      <c r="AP149" s="64">
        <v>0</v>
      </c>
      <c r="AQ149" s="64">
        <f t="shared" si="71"/>
        <v>0</v>
      </c>
      <c r="AR149" s="59">
        <f t="shared" si="61"/>
        <v>0</v>
      </c>
      <c r="AS149" s="59">
        <f t="shared" si="62"/>
        <v>0</v>
      </c>
      <c r="AT149" s="141">
        <f t="shared" si="63"/>
        <v>0</v>
      </c>
      <c r="AU149" s="141">
        <f t="shared" si="64"/>
        <v>0</v>
      </c>
    </row>
    <row r="150" spans="1:47">
      <c r="A150" s="28" t="s">
        <v>327</v>
      </c>
      <c r="B150" s="27" t="s">
        <v>328</v>
      </c>
      <c r="C150" s="27">
        <v>0</v>
      </c>
      <c r="D150" s="27">
        <v>0</v>
      </c>
      <c r="E150" s="27"/>
      <c r="F150" s="112">
        <v>69853</v>
      </c>
      <c r="G150" s="112">
        <v>0</v>
      </c>
      <c r="H150" s="112">
        <v>317512.5</v>
      </c>
      <c r="I150" s="124">
        <v>0</v>
      </c>
      <c r="J150" s="124">
        <v>0</v>
      </c>
      <c r="K150" s="124">
        <v>0</v>
      </c>
      <c r="L150" s="124">
        <v>0</v>
      </c>
      <c r="M150" s="124">
        <v>0</v>
      </c>
      <c r="N150" s="44">
        <f t="shared" si="67"/>
        <v>0</v>
      </c>
      <c r="O150" s="44">
        <v>0</v>
      </c>
      <c r="P150" s="125">
        <f t="shared" si="60"/>
        <v>0</v>
      </c>
      <c r="Q150" s="44"/>
      <c r="R150" s="44">
        <f t="shared" si="68"/>
        <v>0</v>
      </c>
      <c r="S150" s="54">
        <v>0</v>
      </c>
      <c r="T150" s="54">
        <v>0</v>
      </c>
      <c r="U150" s="54">
        <v>0</v>
      </c>
      <c r="V150" s="60">
        <v>0</v>
      </c>
      <c r="W150" s="60">
        <v>0</v>
      </c>
      <c r="X150" s="60">
        <v>0</v>
      </c>
      <c r="Y150" s="60">
        <v>0</v>
      </c>
      <c r="Z150" s="60">
        <v>0</v>
      </c>
      <c r="AA150" s="60">
        <f t="shared" si="69"/>
        <v>0</v>
      </c>
      <c r="AB150" s="60">
        <v>0</v>
      </c>
      <c r="AC150" s="43">
        <v>0</v>
      </c>
      <c r="AD150" s="60">
        <v>0</v>
      </c>
      <c r="AE150" s="60"/>
      <c r="AF150" s="60"/>
      <c r="AG150" s="60"/>
      <c r="AH150" s="60">
        <f t="shared" si="70"/>
        <v>69853</v>
      </c>
      <c r="AI150" s="60"/>
      <c r="AJ150" s="60"/>
      <c r="AK150" s="7"/>
      <c r="AL150" s="64">
        <v>0</v>
      </c>
      <c r="AM150" s="64">
        <v>0</v>
      </c>
      <c r="AN150" s="64">
        <v>0</v>
      </c>
      <c r="AO150" s="64">
        <v>0</v>
      </c>
      <c r="AP150" s="64">
        <v>0</v>
      </c>
      <c r="AQ150" s="64">
        <f t="shared" si="71"/>
        <v>0</v>
      </c>
      <c r="AR150" s="59">
        <f t="shared" si="61"/>
        <v>0</v>
      </c>
      <c r="AS150" s="59">
        <f t="shared" si="62"/>
        <v>0</v>
      </c>
      <c r="AT150" s="141">
        <f t="shared" si="63"/>
        <v>0</v>
      </c>
      <c r="AU150" s="141">
        <f t="shared" si="64"/>
        <v>0</v>
      </c>
    </row>
    <row r="151" spans="1:47">
      <c r="A151" s="28" t="s">
        <v>329</v>
      </c>
      <c r="B151" s="174" t="s">
        <v>330</v>
      </c>
      <c r="C151" s="27">
        <v>0</v>
      </c>
      <c r="D151" s="27">
        <v>0</v>
      </c>
      <c r="E151" s="27"/>
      <c r="F151" s="112">
        <v>87496.38</v>
      </c>
      <c r="G151" s="112"/>
      <c r="H151" s="112"/>
      <c r="I151" s="124">
        <v>0</v>
      </c>
      <c r="J151" s="124">
        <v>0</v>
      </c>
      <c r="K151" s="124">
        <v>0</v>
      </c>
      <c r="L151" s="124">
        <v>0</v>
      </c>
      <c r="M151" s="124">
        <v>0</v>
      </c>
      <c r="N151" s="44">
        <f t="shared" si="67"/>
        <v>0</v>
      </c>
      <c r="O151" s="44">
        <v>0</v>
      </c>
      <c r="P151" s="125">
        <f t="shared" si="60"/>
        <v>0</v>
      </c>
      <c r="Q151" s="44"/>
      <c r="R151" s="44">
        <f t="shared" si="68"/>
        <v>0</v>
      </c>
      <c r="S151" s="54">
        <v>0</v>
      </c>
      <c r="T151" s="54">
        <v>0</v>
      </c>
      <c r="U151" s="54">
        <v>0</v>
      </c>
      <c r="V151" s="60">
        <v>0</v>
      </c>
      <c r="W151" s="60">
        <v>0</v>
      </c>
      <c r="X151" s="60">
        <v>0</v>
      </c>
      <c r="Y151" s="60">
        <v>0</v>
      </c>
      <c r="Z151" s="60">
        <v>0</v>
      </c>
      <c r="AA151" s="60">
        <f t="shared" si="69"/>
        <v>0</v>
      </c>
      <c r="AB151" s="60">
        <v>0</v>
      </c>
      <c r="AC151" s="43">
        <v>0</v>
      </c>
      <c r="AD151" s="60">
        <v>0</v>
      </c>
      <c r="AE151" s="60"/>
      <c r="AF151" s="60"/>
      <c r="AG151" s="60"/>
      <c r="AH151" s="60">
        <f t="shared" si="70"/>
        <v>87496.38</v>
      </c>
      <c r="AI151" s="60"/>
      <c r="AJ151" s="60"/>
      <c r="AK151" s="7"/>
      <c r="AL151" s="64">
        <v>0</v>
      </c>
      <c r="AM151" s="64">
        <v>0</v>
      </c>
      <c r="AN151" s="64">
        <v>0</v>
      </c>
      <c r="AO151" s="64">
        <v>0</v>
      </c>
      <c r="AP151" s="64">
        <v>0</v>
      </c>
      <c r="AQ151" s="64">
        <f t="shared" si="71"/>
        <v>0</v>
      </c>
      <c r="AR151" s="59">
        <f t="shared" si="61"/>
        <v>0</v>
      </c>
      <c r="AS151" s="59">
        <f t="shared" si="62"/>
        <v>0</v>
      </c>
      <c r="AT151" s="141">
        <f t="shared" si="63"/>
        <v>0</v>
      </c>
      <c r="AU151" s="141">
        <f t="shared" si="64"/>
        <v>0</v>
      </c>
    </row>
    <row r="152" spans="1:47">
      <c r="A152" s="28" t="s">
        <v>331</v>
      </c>
      <c r="B152" s="174" t="s">
        <v>332</v>
      </c>
      <c r="C152" s="27" t="s">
        <v>49</v>
      </c>
      <c r="D152" s="27" t="s">
        <v>49</v>
      </c>
      <c r="E152" s="27"/>
      <c r="F152" s="112">
        <v>979671</v>
      </c>
      <c r="G152" s="112"/>
      <c r="H152" s="112"/>
      <c r="I152" s="124">
        <v>130</v>
      </c>
      <c r="J152" s="124">
        <v>0</v>
      </c>
      <c r="K152" s="124">
        <v>196</v>
      </c>
      <c r="L152" s="124">
        <v>0</v>
      </c>
      <c r="M152" s="124">
        <v>0</v>
      </c>
      <c r="N152" s="44">
        <f t="shared" si="67"/>
        <v>326</v>
      </c>
      <c r="O152" s="44">
        <v>1401400</v>
      </c>
      <c r="P152" s="125">
        <f t="shared" si="60"/>
        <v>1401400</v>
      </c>
      <c r="Q152" s="44"/>
      <c r="R152" s="44">
        <f t="shared" si="68"/>
        <v>1401400</v>
      </c>
      <c r="S152" s="54">
        <v>0</v>
      </c>
      <c r="T152" s="54">
        <v>130</v>
      </c>
      <c r="U152" s="54">
        <v>220</v>
      </c>
      <c r="V152" s="60">
        <v>55</v>
      </c>
      <c r="W152" s="60">
        <v>0</v>
      </c>
      <c r="X152" s="60">
        <v>124</v>
      </c>
      <c r="Y152" s="60">
        <v>0</v>
      </c>
      <c r="Z152" s="60">
        <v>0</v>
      </c>
      <c r="AA152" s="60">
        <f t="shared" si="69"/>
        <v>179</v>
      </c>
      <c r="AB152" s="60">
        <v>860500</v>
      </c>
      <c r="AC152" s="43">
        <v>0</v>
      </c>
      <c r="AD152" s="60">
        <v>1394376</v>
      </c>
      <c r="AE152" s="60"/>
      <c r="AF152" s="60"/>
      <c r="AG152" s="60"/>
      <c r="AH152" s="60">
        <f t="shared" si="70"/>
        <v>445795</v>
      </c>
      <c r="AI152" s="60">
        <f>AH152-AQ152-H152</f>
        <v>28795</v>
      </c>
      <c r="AJ152" s="60">
        <f>AH152-G152</f>
        <v>445795</v>
      </c>
      <c r="AK152" s="7"/>
      <c r="AL152" s="64">
        <v>57000</v>
      </c>
      <c r="AM152" s="64">
        <v>205500</v>
      </c>
      <c r="AN152" s="64">
        <v>154500</v>
      </c>
      <c r="AO152" s="64">
        <v>0</v>
      </c>
      <c r="AP152" s="64">
        <v>0</v>
      </c>
      <c r="AQ152" s="64">
        <f t="shared" si="71"/>
        <v>417000</v>
      </c>
      <c r="AR152" s="59">
        <f t="shared" si="61"/>
        <v>75</v>
      </c>
      <c r="AS152" s="59">
        <f t="shared" si="62"/>
        <v>72</v>
      </c>
      <c r="AT152" s="141">
        <f t="shared" si="63"/>
        <v>5.76923076923077</v>
      </c>
      <c r="AU152" s="141">
        <f t="shared" si="64"/>
        <v>5.53846153846154</v>
      </c>
    </row>
    <row r="153" spans="1:47">
      <c r="A153" s="28" t="s">
        <v>333</v>
      </c>
      <c r="B153" s="27" t="s">
        <v>334</v>
      </c>
      <c r="C153" s="27">
        <v>0</v>
      </c>
      <c r="D153" s="27">
        <v>0</v>
      </c>
      <c r="E153" s="27"/>
      <c r="F153" s="112">
        <v>-578.6</v>
      </c>
      <c r="G153" s="112">
        <v>0</v>
      </c>
      <c r="H153" s="112">
        <v>0</v>
      </c>
      <c r="I153" s="124">
        <v>0</v>
      </c>
      <c r="J153" s="124">
        <v>0</v>
      </c>
      <c r="K153" s="124">
        <v>0</v>
      </c>
      <c r="L153" s="124">
        <v>0</v>
      </c>
      <c r="M153" s="124">
        <v>0</v>
      </c>
      <c r="N153" s="44">
        <f t="shared" si="67"/>
        <v>0</v>
      </c>
      <c r="O153" s="44">
        <v>0</v>
      </c>
      <c r="P153" s="125">
        <f t="shared" si="60"/>
        <v>0</v>
      </c>
      <c r="Q153" s="44"/>
      <c r="R153" s="44">
        <f t="shared" si="68"/>
        <v>0</v>
      </c>
      <c r="S153" s="54">
        <v>0</v>
      </c>
      <c r="T153" s="54">
        <v>0</v>
      </c>
      <c r="U153" s="54">
        <v>0</v>
      </c>
      <c r="V153" s="60">
        <v>0</v>
      </c>
      <c r="W153" s="60">
        <v>0</v>
      </c>
      <c r="X153" s="60">
        <v>0</v>
      </c>
      <c r="Y153" s="60">
        <v>0</v>
      </c>
      <c r="Z153" s="60">
        <v>0</v>
      </c>
      <c r="AA153" s="60">
        <f t="shared" si="69"/>
        <v>0</v>
      </c>
      <c r="AB153" s="60">
        <v>0</v>
      </c>
      <c r="AC153" s="43">
        <v>0</v>
      </c>
      <c r="AD153" s="60">
        <v>0</v>
      </c>
      <c r="AE153" s="60"/>
      <c r="AF153" s="60"/>
      <c r="AG153" s="60"/>
      <c r="AH153" s="60">
        <f t="shared" si="70"/>
        <v>-578.6</v>
      </c>
      <c r="AI153" s="60"/>
      <c r="AJ153" s="60"/>
      <c r="AK153" s="7"/>
      <c r="AL153" s="64">
        <v>0</v>
      </c>
      <c r="AM153" s="64">
        <v>0</v>
      </c>
      <c r="AN153" s="64">
        <v>0</v>
      </c>
      <c r="AO153" s="64">
        <v>0</v>
      </c>
      <c r="AP153" s="64">
        <v>0</v>
      </c>
      <c r="AQ153" s="64">
        <f t="shared" si="71"/>
        <v>0</v>
      </c>
      <c r="AR153" s="59">
        <f t="shared" si="61"/>
        <v>0</v>
      </c>
      <c r="AS153" s="59">
        <f t="shared" si="62"/>
        <v>0</v>
      </c>
      <c r="AT153" s="141">
        <f t="shared" si="63"/>
        <v>0</v>
      </c>
      <c r="AU153" s="141">
        <f t="shared" si="64"/>
        <v>0</v>
      </c>
    </row>
    <row r="154" spans="1:47">
      <c r="A154" s="28" t="s">
        <v>335</v>
      </c>
      <c r="B154" s="87" t="s">
        <v>336</v>
      </c>
      <c r="C154" s="27">
        <v>0</v>
      </c>
      <c r="D154" s="27">
        <v>0</v>
      </c>
      <c r="E154" s="27"/>
      <c r="F154" s="112">
        <v>0.26</v>
      </c>
      <c r="G154" s="112"/>
      <c r="H154" s="112"/>
      <c r="I154" s="124">
        <v>0</v>
      </c>
      <c r="J154" s="124">
        <v>0</v>
      </c>
      <c r="K154" s="124">
        <v>0</v>
      </c>
      <c r="L154" s="124">
        <v>0</v>
      </c>
      <c r="M154" s="124">
        <v>0</v>
      </c>
      <c r="N154" s="44">
        <f t="shared" si="67"/>
        <v>0</v>
      </c>
      <c r="O154" s="44">
        <v>0</v>
      </c>
      <c r="P154" s="125">
        <f t="shared" si="60"/>
        <v>0</v>
      </c>
      <c r="Q154" s="44"/>
      <c r="R154" s="44">
        <f t="shared" si="68"/>
        <v>0</v>
      </c>
      <c r="S154" s="54">
        <v>0</v>
      </c>
      <c r="T154" s="54">
        <v>0</v>
      </c>
      <c r="U154" s="54">
        <v>0</v>
      </c>
      <c r="V154" s="60">
        <v>0</v>
      </c>
      <c r="W154" s="60">
        <v>0</v>
      </c>
      <c r="X154" s="60">
        <v>0</v>
      </c>
      <c r="Y154" s="60">
        <v>0</v>
      </c>
      <c r="Z154" s="60">
        <v>0</v>
      </c>
      <c r="AA154" s="60">
        <f t="shared" si="69"/>
        <v>0</v>
      </c>
      <c r="AB154" s="60">
        <v>0</v>
      </c>
      <c r="AC154" s="43">
        <v>0</v>
      </c>
      <c r="AD154" s="60">
        <v>0</v>
      </c>
      <c r="AE154" s="60"/>
      <c r="AF154" s="60"/>
      <c r="AG154" s="60"/>
      <c r="AH154" s="60">
        <f t="shared" si="70"/>
        <v>0.26</v>
      </c>
      <c r="AI154" s="60"/>
      <c r="AJ154" s="60"/>
      <c r="AK154" s="7"/>
      <c r="AL154" s="64">
        <v>0</v>
      </c>
      <c r="AM154" s="64">
        <v>0</v>
      </c>
      <c r="AN154" s="64">
        <v>0</v>
      </c>
      <c r="AO154" s="64">
        <v>0</v>
      </c>
      <c r="AP154" s="64">
        <v>0</v>
      </c>
      <c r="AQ154" s="64">
        <f t="shared" si="71"/>
        <v>0</v>
      </c>
      <c r="AR154" s="59">
        <f t="shared" si="61"/>
        <v>0</v>
      </c>
      <c r="AS154" s="59">
        <f t="shared" si="62"/>
        <v>0</v>
      </c>
      <c r="AT154" s="141">
        <f t="shared" si="63"/>
        <v>0</v>
      </c>
      <c r="AU154" s="141">
        <f t="shared" si="64"/>
        <v>0</v>
      </c>
    </row>
    <row r="155" spans="1:47">
      <c r="A155" s="28" t="s">
        <v>337</v>
      </c>
      <c r="B155" s="87" t="s">
        <v>338</v>
      </c>
      <c r="C155" s="27">
        <v>0</v>
      </c>
      <c r="D155" s="27">
        <v>0</v>
      </c>
      <c r="E155" s="27"/>
      <c r="F155" s="112">
        <v>370500</v>
      </c>
      <c r="G155" s="112"/>
      <c r="H155" s="112"/>
      <c r="I155" s="124">
        <v>0</v>
      </c>
      <c r="J155" s="124">
        <v>0</v>
      </c>
      <c r="K155" s="124">
        <v>0</v>
      </c>
      <c r="L155" s="124">
        <v>0</v>
      </c>
      <c r="M155" s="124">
        <v>0</v>
      </c>
      <c r="N155" s="44">
        <f t="shared" si="67"/>
        <v>0</v>
      </c>
      <c r="O155" s="44">
        <v>0</v>
      </c>
      <c r="P155" s="125">
        <f t="shared" si="60"/>
        <v>0</v>
      </c>
      <c r="Q155" s="44"/>
      <c r="R155" s="44">
        <f t="shared" si="68"/>
        <v>0</v>
      </c>
      <c r="S155" s="54">
        <v>0</v>
      </c>
      <c r="T155" s="54">
        <v>0</v>
      </c>
      <c r="U155" s="54">
        <v>0</v>
      </c>
      <c r="V155" s="60">
        <v>0</v>
      </c>
      <c r="W155" s="60">
        <v>0</v>
      </c>
      <c r="X155" s="60">
        <v>0</v>
      </c>
      <c r="Y155" s="60">
        <v>0</v>
      </c>
      <c r="Z155" s="60">
        <v>0</v>
      </c>
      <c r="AA155" s="60">
        <f t="shared" si="69"/>
        <v>0</v>
      </c>
      <c r="AB155" s="60">
        <v>0</v>
      </c>
      <c r="AC155" s="43">
        <v>0</v>
      </c>
      <c r="AD155" s="60">
        <v>0</v>
      </c>
      <c r="AE155" s="60"/>
      <c r="AF155" s="60"/>
      <c r="AG155" s="60"/>
      <c r="AH155" s="60">
        <f t="shared" si="70"/>
        <v>370500</v>
      </c>
      <c r="AI155" s="60"/>
      <c r="AJ155" s="60">
        <f>AH155-G155</f>
        <v>370500</v>
      </c>
      <c r="AK155" s="7"/>
      <c r="AL155" s="64">
        <v>0</v>
      </c>
      <c r="AM155" s="64">
        <v>0</v>
      </c>
      <c r="AN155" s="64">
        <v>0</v>
      </c>
      <c r="AO155" s="64">
        <v>0</v>
      </c>
      <c r="AP155" s="64">
        <v>0</v>
      </c>
      <c r="AQ155" s="64">
        <f t="shared" si="71"/>
        <v>0</v>
      </c>
      <c r="AR155" s="59">
        <f t="shared" si="61"/>
        <v>0</v>
      </c>
      <c r="AS155" s="59">
        <f t="shared" si="62"/>
        <v>0</v>
      </c>
      <c r="AT155" s="141">
        <f t="shared" si="63"/>
        <v>0</v>
      </c>
      <c r="AU155" s="141">
        <f t="shared" si="64"/>
        <v>0</v>
      </c>
    </row>
    <row r="156" spans="1:47">
      <c r="A156" s="118" t="s">
        <v>339</v>
      </c>
      <c r="B156" s="27" t="s">
        <v>340</v>
      </c>
      <c r="C156" s="27" t="s">
        <v>49</v>
      </c>
      <c r="D156" s="27" t="s">
        <v>49</v>
      </c>
      <c r="E156" s="27"/>
      <c r="F156" s="112">
        <v>864808</v>
      </c>
      <c r="G156" s="112">
        <v>0</v>
      </c>
      <c r="H156" s="112">
        <v>2170833.33333333</v>
      </c>
      <c r="I156" s="124">
        <v>305</v>
      </c>
      <c r="J156" s="124">
        <v>0</v>
      </c>
      <c r="K156" s="124">
        <v>350</v>
      </c>
      <c r="L156" s="124">
        <v>0</v>
      </c>
      <c r="M156" s="124">
        <v>0</v>
      </c>
      <c r="N156" s="44">
        <f t="shared" si="67"/>
        <v>655</v>
      </c>
      <c r="O156" s="44">
        <v>2859500</v>
      </c>
      <c r="P156" s="125">
        <f t="shared" si="60"/>
        <v>2859500</v>
      </c>
      <c r="Q156" s="44"/>
      <c r="R156" s="44">
        <f t="shared" si="68"/>
        <v>2859500</v>
      </c>
      <c r="S156" s="54">
        <v>216808</v>
      </c>
      <c r="T156" s="54">
        <v>200</v>
      </c>
      <c r="U156" s="54">
        <v>300</v>
      </c>
      <c r="V156" s="60">
        <v>336</v>
      </c>
      <c r="W156" s="60">
        <v>0</v>
      </c>
      <c r="X156" s="60">
        <v>300</v>
      </c>
      <c r="Y156" s="60">
        <v>0</v>
      </c>
      <c r="Z156" s="60">
        <v>0</v>
      </c>
      <c r="AA156" s="60">
        <f t="shared" si="69"/>
        <v>636</v>
      </c>
      <c r="AB156" s="60">
        <v>3198000</v>
      </c>
      <c r="AC156" s="43">
        <v>500000</v>
      </c>
      <c r="AD156" s="60">
        <v>0</v>
      </c>
      <c r="AE156" s="60"/>
      <c r="AF156" s="60"/>
      <c r="AG156" s="60"/>
      <c r="AH156" s="60">
        <f t="shared" si="70"/>
        <v>3562808</v>
      </c>
      <c r="AI156" s="60">
        <f>AH156-AQ156-H156</f>
        <v>743974.66666667</v>
      </c>
      <c r="AJ156" s="60">
        <f>AH156-G156</f>
        <v>3562808</v>
      </c>
      <c r="AK156" s="7"/>
      <c r="AL156" s="64">
        <v>185000</v>
      </c>
      <c r="AM156" s="64">
        <v>271000</v>
      </c>
      <c r="AN156" s="64">
        <v>192000</v>
      </c>
      <c r="AO156" s="64">
        <v>0</v>
      </c>
      <c r="AP156" s="64">
        <v>0</v>
      </c>
      <c r="AQ156" s="64">
        <f t="shared" si="71"/>
        <v>648000</v>
      </c>
      <c r="AR156" s="59">
        <f t="shared" si="61"/>
        <v>-31</v>
      </c>
      <c r="AS156" s="59">
        <f t="shared" si="62"/>
        <v>50</v>
      </c>
      <c r="AT156" s="141">
        <f t="shared" si="63"/>
        <v>-2.38461538461538</v>
      </c>
      <c r="AU156" s="141">
        <f t="shared" si="64"/>
        <v>3.84615384615385</v>
      </c>
    </row>
    <row r="157" spans="1:47">
      <c r="A157" s="28" t="s">
        <v>341</v>
      </c>
      <c r="B157" s="27" t="s">
        <v>342</v>
      </c>
      <c r="C157" s="27">
        <v>0</v>
      </c>
      <c r="D157" s="27">
        <v>0</v>
      </c>
      <c r="E157" s="27"/>
      <c r="F157" s="112">
        <v>-4949.1</v>
      </c>
      <c r="G157" s="112">
        <v>0</v>
      </c>
      <c r="H157" s="112">
        <v>0</v>
      </c>
      <c r="I157" s="124">
        <v>0</v>
      </c>
      <c r="J157" s="124">
        <v>0</v>
      </c>
      <c r="K157" s="124">
        <v>0</v>
      </c>
      <c r="L157" s="124">
        <v>0</v>
      </c>
      <c r="M157" s="124">
        <v>0</v>
      </c>
      <c r="N157" s="44">
        <f t="shared" si="67"/>
        <v>0</v>
      </c>
      <c r="O157" s="44">
        <v>0</v>
      </c>
      <c r="P157" s="125">
        <f t="shared" si="60"/>
        <v>0</v>
      </c>
      <c r="Q157" s="44"/>
      <c r="R157" s="44">
        <f t="shared" si="68"/>
        <v>0</v>
      </c>
      <c r="S157" s="54">
        <v>0</v>
      </c>
      <c r="T157" s="54">
        <v>0</v>
      </c>
      <c r="U157" s="54">
        <v>0</v>
      </c>
      <c r="V157" s="60">
        <v>0</v>
      </c>
      <c r="W157" s="60">
        <v>0</v>
      </c>
      <c r="X157" s="60">
        <v>0</v>
      </c>
      <c r="Y157" s="60">
        <v>0</v>
      </c>
      <c r="Z157" s="60">
        <v>0</v>
      </c>
      <c r="AA157" s="60">
        <f t="shared" si="69"/>
        <v>0</v>
      </c>
      <c r="AB157" s="60">
        <v>0</v>
      </c>
      <c r="AC157" s="43">
        <v>0</v>
      </c>
      <c r="AD157" s="60">
        <v>0</v>
      </c>
      <c r="AE157" s="60"/>
      <c r="AF157" s="60"/>
      <c r="AG157" s="60"/>
      <c r="AH157" s="60">
        <f t="shared" si="70"/>
        <v>-4949.1</v>
      </c>
      <c r="AI157" s="60"/>
      <c r="AJ157" s="60"/>
      <c r="AK157" s="7"/>
      <c r="AL157" s="64">
        <v>0</v>
      </c>
      <c r="AM157" s="64">
        <v>0</v>
      </c>
      <c r="AN157" s="64">
        <v>0</v>
      </c>
      <c r="AO157" s="64">
        <v>0</v>
      </c>
      <c r="AP157" s="64">
        <v>0</v>
      </c>
      <c r="AQ157" s="64">
        <f t="shared" si="71"/>
        <v>0</v>
      </c>
      <c r="AR157" s="59">
        <f t="shared" si="61"/>
        <v>0</v>
      </c>
      <c r="AS157" s="59">
        <f t="shared" si="62"/>
        <v>0</v>
      </c>
      <c r="AT157" s="141">
        <f t="shared" si="63"/>
        <v>0</v>
      </c>
      <c r="AU157" s="141">
        <f t="shared" si="64"/>
        <v>0</v>
      </c>
    </row>
    <row r="158" spans="1:47">
      <c r="A158" s="28" t="s">
        <v>343</v>
      </c>
      <c r="B158" s="27" t="s">
        <v>344</v>
      </c>
      <c r="C158" s="27">
        <v>0</v>
      </c>
      <c r="D158" s="27">
        <v>0</v>
      </c>
      <c r="E158" s="27"/>
      <c r="F158" s="112">
        <v>139542.22</v>
      </c>
      <c r="G158" s="112"/>
      <c r="H158" s="112"/>
      <c r="I158" s="124">
        <v>0</v>
      </c>
      <c r="J158" s="124">
        <v>0</v>
      </c>
      <c r="K158" s="124">
        <v>0</v>
      </c>
      <c r="L158" s="124">
        <v>0</v>
      </c>
      <c r="M158" s="124">
        <v>0</v>
      </c>
      <c r="N158" s="44">
        <f t="shared" si="67"/>
        <v>0</v>
      </c>
      <c r="O158" s="44">
        <v>0</v>
      </c>
      <c r="P158" s="125">
        <f t="shared" si="60"/>
        <v>0</v>
      </c>
      <c r="Q158" s="44"/>
      <c r="R158" s="44">
        <f t="shared" si="68"/>
        <v>0</v>
      </c>
      <c r="S158" s="54">
        <v>0</v>
      </c>
      <c r="T158" s="54">
        <v>0</v>
      </c>
      <c r="U158" s="54">
        <v>0</v>
      </c>
      <c r="V158" s="60">
        <v>0</v>
      </c>
      <c r="W158" s="60">
        <v>0</v>
      </c>
      <c r="X158" s="60">
        <v>0</v>
      </c>
      <c r="Y158" s="60">
        <v>0</v>
      </c>
      <c r="Z158" s="60">
        <v>0</v>
      </c>
      <c r="AA158" s="60">
        <f t="shared" si="69"/>
        <v>0</v>
      </c>
      <c r="AB158" s="60">
        <v>0</v>
      </c>
      <c r="AC158" s="43">
        <v>0</v>
      </c>
      <c r="AD158" s="60">
        <v>0</v>
      </c>
      <c r="AE158" s="60"/>
      <c r="AF158" s="60"/>
      <c r="AG158" s="60"/>
      <c r="AH158" s="60">
        <f t="shared" si="70"/>
        <v>139542.22</v>
      </c>
      <c r="AI158" s="60"/>
      <c r="AJ158" s="60"/>
      <c r="AK158" s="7"/>
      <c r="AL158" s="64">
        <v>0</v>
      </c>
      <c r="AM158" s="64">
        <v>0</v>
      </c>
      <c r="AN158" s="64">
        <v>0</v>
      </c>
      <c r="AO158" s="64">
        <v>0</v>
      </c>
      <c r="AP158" s="64">
        <v>0</v>
      </c>
      <c r="AQ158" s="64">
        <f t="shared" si="71"/>
        <v>0</v>
      </c>
      <c r="AR158" s="59">
        <f t="shared" si="61"/>
        <v>0</v>
      </c>
      <c r="AS158" s="59">
        <f t="shared" si="62"/>
        <v>0</v>
      </c>
      <c r="AT158" s="141">
        <f t="shared" si="63"/>
        <v>0</v>
      </c>
      <c r="AU158" s="141">
        <f t="shared" si="64"/>
        <v>0</v>
      </c>
    </row>
    <row r="159" spans="1:47">
      <c r="A159" s="28" t="s">
        <v>345</v>
      </c>
      <c r="B159" s="27" t="s">
        <v>346</v>
      </c>
      <c r="C159" s="27" t="s">
        <v>99</v>
      </c>
      <c r="D159" s="27" t="s">
        <v>99</v>
      </c>
      <c r="E159" s="27"/>
      <c r="F159" s="112">
        <v>-27174</v>
      </c>
      <c r="G159" s="112">
        <v>0</v>
      </c>
      <c r="H159" s="112">
        <v>772750</v>
      </c>
      <c r="I159" s="124">
        <v>0</v>
      </c>
      <c r="J159" s="124">
        <v>0</v>
      </c>
      <c r="K159" s="124">
        <v>0</v>
      </c>
      <c r="L159" s="124">
        <v>0</v>
      </c>
      <c r="M159" s="124">
        <v>0</v>
      </c>
      <c r="N159" s="44">
        <f t="shared" si="67"/>
        <v>0</v>
      </c>
      <c r="O159" s="44">
        <v>0</v>
      </c>
      <c r="P159" s="125">
        <f t="shared" si="60"/>
        <v>0</v>
      </c>
      <c r="Q159" s="44"/>
      <c r="R159" s="44">
        <f t="shared" si="68"/>
        <v>0</v>
      </c>
      <c r="S159" s="54">
        <v>0</v>
      </c>
      <c r="T159" s="54">
        <v>0</v>
      </c>
      <c r="U159" s="54">
        <v>0</v>
      </c>
      <c r="V159" s="60">
        <v>0</v>
      </c>
      <c r="W159" s="60">
        <v>0</v>
      </c>
      <c r="X159" s="60">
        <v>0</v>
      </c>
      <c r="Y159" s="60">
        <v>0</v>
      </c>
      <c r="Z159" s="60">
        <v>0</v>
      </c>
      <c r="AA159" s="60">
        <f t="shared" si="69"/>
        <v>0</v>
      </c>
      <c r="AB159" s="60">
        <v>0</v>
      </c>
      <c r="AC159" s="43">
        <v>150000</v>
      </c>
      <c r="AD159" s="60">
        <v>0</v>
      </c>
      <c r="AE159" s="60"/>
      <c r="AF159" s="60"/>
      <c r="AG159" s="60"/>
      <c r="AH159" s="60">
        <f t="shared" si="70"/>
        <v>-177174</v>
      </c>
      <c r="AI159" s="60"/>
      <c r="AJ159" s="60"/>
      <c r="AK159" s="7"/>
      <c r="AL159" s="64">
        <v>33900</v>
      </c>
      <c r="AM159" s="64">
        <v>15000</v>
      </c>
      <c r="AN159" s="64">
        <v>21000</v>
      </c>
      <c r="AO159" s="64">
        <v>1319.29824561404</v>
      </c>
      <c r="AP159" s="64">
        <v>0</v>
      </c>
      <c r="AQ159" s="64">
        <f t="shared" si="71"/>
        <v>71219.298245614</v>
      </c>
      <c r="AR159" s="59">
        <f t="shared" si="61"/>
        <v>0</v>
      </c>
      <c r="AS159" s="59">
        <f t="shared" si="62"/>
        <v>0</v>
      </c>
      <c r="AT159" s="141">
        <f t="shared" si="63"/>
        <v>0</v>
      </c>
      <c r="AU159" s="141">
        <f t="shared" si="64"/>
        <v>0</v>
      </c>
    </row>
    <row r="160" spans="1:47">
      <c r="A160" s="73" t="s">
        <v>347</v>
      </c>
      <c r="B160" s="27" t="s">
        <v>348</v>
      </c>
      <c r="C160" s="27"/>
      <c r="D160" s="27"/>
      <c r="E160" s="27"/>
      <c r="F160" s="112">
        <v>-168000</v>
      </c>
      <c r="G160" s="112"/>
      <c r="H160" s="112"/>
      <c r="I160" s="124">
        <v>100</v>
      </c>
      <c r="J160" s="124">
        <v>0</v>
      </c>
      <c r="K160" s="124">
        <v>0</v>
      </c>
      <c r="L160" s="124">
        <v>0</v>
      </c>
      <c r="M160" s="124">
        <v>0</v>
      </c>
      <c r="N160" s="44">
        <f t="shared" si="67"/>
        <v>100</v>
      </c>
      <c r="O160" s="44">
        <v>490000</v>
      </c>
      <c r="P160" s="125">
        <f t="shared" si="60"/>
        <v>490000</v>
      </c>
      <c r="Q160" s="44"/>
      <c r="R160" s="44"/>
      <c r="S160" s="54">
        <v>0</v>
      </c>
      <c r="T160" s="54">
        <v>0</v>
      </c>
      <c r="U160" s="54">
        <v>0</v>
      </c>
      <c r="V160" s="60">
        <v>0</v>
      </c>
      <c r="W160" s="60">
        <v>0</v>
      </c>
      <c r="X160" s="60">
        <v>0</v>
      </c>
      <c r="Y160" s="60">
        <v>0</v>
      </c>
      <c r="Z160" s="60">
        <v>0</v>
      </c>
      <c r="AA160" s="60">
        <f t="shared" si="69"/>
        <v>0</v>
      </c>
      <c r="AB160" s="60">
        <v>0</v>
      </c>
      <c r="AC160" s="43">
        <v>250000</v>
      </c>
      <c r="AD160" s="60">
        <v>0</v>
      </c>
      <c r="AE160" s="60"/>
      <c r="AF160" s="60"/>
      <c r="AG160" s="60"/>
      <c r="AH160" s="60">
        <f t="shared" si="70"/>
        <v>-418000</v>
      </c>
      <c r="AI160" s="60"/>
      <c r="AJ160" s="60"/>
      <c r="AK160" s="7"/>
      <c r="AL160" s="64"/>
      <c r="AM160" s="64"/>
      <c r="AN160" s="64"/>
      <c r="AO160" s="64"/>
      <c r="AP160" s="64"/>
      <c r="AQ160" s="64"/>
      <c r="AR160" s="59">
        <f t="shared" si="61"/>
        <v>100</v>
      </c>
      <c r="AS160" s="59">
        <f t="shared" si="62"/>
        <v>0</v>
      </c>
      <c r="AT160" s="141">
        <f t="shared" si="63"/>
        <v>7.69230769230769</v>
      </c>
      <c r="AU160" s="141">
        <f t="shared" si="64"/>
        <v>0</v>
      </c>
    </row>
    <row r="161" spans="1:47">
      <c r="A161" s="28" t="s">
        <v>349</v>
      </c>
      <c r="B161" s="27" t="s">
        <v>350</v>
      </c>
      <c r="C161" s="27">
        <v>0</v>
      </c>
      <c r="D161" s="27">
        <v>0</v>
      </c>
      <c r="E161" s="27"/>
      <c r="F161" s="112">
        <v>0.2</v>
      </c>
      <c r="G161" s="112">
        <v>0</v>
      </c>
      <c r="H161" s="112">
        <v>0</v>
      </c>
      <c r="I161" s="124">
        <v>0</v>
      </c>
      <c r="J161" s="124">
        <v>0</v>
      </c>
      <c r="K161" s="124">
        <v>0</v>
      </c>
      <c r="L161" s="124">
        <v>0</v>
      </c>
      <c r="M161" s="124">
        <v>0</v>
      </c>
      <c r="N161" s="44">
        <f t="shared" si="67"/>
        <v>0</v>
      </c>
      <c r="O161" s="44">
        <v>0</v>
      </c>
      <c r="P161" s="125">
        <f t="shared" si="60"/>
        <v>0</v>
      </c>
      <c r="Q161" s="44"/>
      <c r="R161" s="44">
        <f t="shared" ref="R161:R167" si="72">P161+Q161</f>
        <v>0</v>
      </c>
      <c r="S161" s="54">
        <v>0</v>
      </c>
      <c r="T161" s="54">
        <v>0</v>
      </c>
      <c r="U161" s="54">
        <v>0</v>
      </c>
      <c r="V161" s="60">
        <v>0</v>
      </c>
      <c r="W161" s="60">
        <v>0</v>
      </c>
      <c r="X161" s="60">
        <v>0</v>
      </c>
      <c r="Y161" s="60">
        <v>0</v>
      </c>
      <c r="Z161" s="60">
        <v>0</v>
      </c>
      <c r="AA161" s="60">
        <f t="shared" si="69"/>
        <v>0</v>
      </c>
      <c r="AB161" s="60">
        <v>0</v>
      </c>
      <c r="AC161" s="43">
        <v>0</v>
      </c>
      <c r="AD161" s="60">
        <v>0</v>
      </c>
      <c r="AE161" s="60"/>
      <c r="AF161" s="60"/>
      <c r="AG161" s="60"/>
      <c r="AH161" s="60">
        <f t="shared" si="70"/>
        <v>0.2</v>
      </c>
      <c r="AI161" s="60"/>
      <c r="AJ161" s="60"/>
      <c r="AK161" s="7"/>
      <c r="AL161" s="64">
        <v>0</v>
      </c>
      <c r="AM161" s="64">
        <v>0</v>
      </c>
      <c r="AN161" s="64">
        <v>0</v>
      </c>
      <c r="AO161" s="64">
        <v>0</v>
      </c>
      <c r="AP161" s="64">
        <v>0</v>
      </c>
      <c r="AQ161" s="64">
        <f t="shared" ref="AQ161:AQ167" si="73">AL161+AM161+AN161+AO161+AP161</f>
        <v>0</v>
      </c>
      <c r="AR161" s="59">
        <f t="shared" si="61"/>
        <v>0</v>
      </c>
      <c r="AS161" s="59">
        <f t="shared" si="62"/>
        <v>0</v>
      </c>
      <c r="AT161" s="141">
        <f t="shared" si="63"/>
        <v>0</v>
      </c>
      <c r="AU161" s="141">
        <f t="shared" si="64"/>
        <v>0</v>
      </c>
    </row>
    <row r="162" spans="1:47">
      <c r="A162" s="28" t="s">
        <v>351</v>
      </c>
      <c r="B162" s="27" t="s">
        <v>352</v>
      </c>
      <c r="C162" s="27">
        <v>0</v>
      </c>
      <c r="D162" s="27" t="s">
        <v>49</v>
      </c>
      <c r="E162" s="27"/>
      <c r="F162" s="112">
        <v>-18294</v>
      </c>
      <c r="G162" s="112">
        <v>0</v>
      </c>
      <c r="H162" s="112">
        <v>0</v>
      </c>
      <c r="I162" s="124">
        <v>0</v>
      </c>
      <c r="J162" s="124">
        <v>0</v>
      </c>
      <c r="K162" s="124">
        <v>0</v>
      </c>
      <c r="L162" s="124">
        <v>0</v>
      </c>
      <c r="M162" s="124">
        <v>0</v>
      </c>
      <c r="N162" s="44">
        <f t="shared" si="67"/>
        <v>0</v>
      </c>
      <c r="O162" s="44">
        <v>0</v>
      </c>
      <c r="P162" s="125">
        <f t="shared" si="60"/>
        <v>0</v>
      </c>
      <c r="Q162" s="44"/>
      <c r="R162" s="44">
        <f t="shared" si="72"/>
        <v>0</v>
      </c>
      <c r="S162" s="54">
        <v>0</v>
      </c>
      <c r="T162" s="54">
        <v>0</v>
      </c>
      <c r="U162" s="54">
        <v>0</v>
      </c>
      <c r="V162" s="60">
        <v>0</v>
      </c>
      <c r="W162" s="60">
        <v>0</v>
      </c>
      <c r="X162" s="60">
        <v>0</v>
      </c>
      <c r="Y162" s="60">
        <v>0</v>
      </c>
      <c r="Z162" s="60">
        <v>0</v>
      </c>
      <c r="AA162" s="60">
        <f t="shared" si="69"/>
        <v>0</v>
      </c>
      <c r="AB162" s="60">
        <v>0</v>
      </c>
      <c r="AC162" s="43">
        <v>0</v>
      </c>
      <c r="AD162" s="60">
        <v>0</v>
      </c>
      <c r="AE162" s="60"/>
      <c r="AF162" s="60"/>
      <c r="AG162" s="60"/>
      <c r="AH162" s="60">
        <f t="shared" si="70"/>
        <v>-18294</v>
      </c>
      <c r="AI162" s="60"/>
      <c r="AJ162" s="60"/>
      <c r="AK162" s="7"/>
      <c r="AL162" s="64">
        <v>0</v>
      </c>
      <c r="AM162" s="64">
        <v>0</v>
      </c>
      <c r="AN162" s="64">
        <v>0</v>
      </c>
      <c r="AO162" s="64">
        <v>0</v>
      </c>
      <c r="AP162" s="64">
        <v>0</v>
      </c>
      <c r="AQ162" s="64">
        <f t="shared" si="73"/>
        <v>0</v>
      </c>
      <c r="AR162" s="59">
        <f t="shared" si="61"/>
        <v>0</v>
      </c>
      <c r="AS162" s="59">
        <f t="shared" si="62"/>
        <v>0</v>
      </c>
      <c r="AT162" s="141">
        <f t="shared" si="63"/>
        <v>0</v>
      </c>
      <c r="AU162" s="141">
        <f t="shared" si="64"/>
        <v>0</v>
      </c>
    </row>
    <row r="163" spans="1:47">
      <c r="A163" s="28" t="s">
        <v>353</v>
      </c>
      <c r="B163" s="27" t="s">
        <v>354</v>
      </c>
      <c r="C163" s="27">
        <v>0</v>
      </c>
      <c r="D163" s="27" t="s">
        <v>2</v>
      </c>
      <c r="E163" s="27"/>
      <c r="F163" s="112">
        <v>0.09</v>
      </c>
      <c r="G163" s="112">
        <v>0</v>
      </c>
      <c r="H163" s="112">
        <v>545533.333333333</v>
      </c>
      <c r="I163" s="124">
        <v>0</v>
      </c>
      <c r="J163" s="124">
        <v>0</v>
      </c>
      <c r="K163" s="124">
        <v>0</v>
      </c>
      <c r="L163" s="124">
        <v>0</v>
      </c>
      <c r="M163" s="124">
        <v>0</v>
      </c>
      <c r="N163" s="44">
        <f t="shared" si="67"/>
        <v>0</v>
      </c>
      <c r="O163" s="44">
        <v>0</v>
      </c>
      <c r="P163" s="125">
        <f t="shared" si="60"/>
        <v>0</v>
      </c>
      <c r="Q163" s="44"/>
      <c r="R163" s="44">
        <f t="shared" si="72"/>
        <v>0</v>
      </c>
      <c r="S163" s="54">
        <v>0</v>
      </c>
      <c r="T163" s="54">
        <v>0</v>
      </c>
      <c r="U163" s="54">
        <v>0</v>
      </c>
      <c r="V163" s="60">
        <v>0</v>
      </c>
      <c r="W163" s="60">
        <v>0</v>
      </c>
      <c r="X163" s="60">
        <v>0</v>
      </c>
      <c r="Y163" s="60">
        <v>0</v>
      </c>
      <c r="Z163" s="60">
        <v>0</v>
      </c>
      <c r="AA163" s="60">
        <f t="shared" si="69"/>
        <v>0</v>
      </c>
      <c r="AB163" s="60">
        <v>0</v>
      </c>
      <c r="AC163" s="43">
        <v>0</v>
      </c>
      <c r="AD163" s="60">
        <v>0</v>
      </c>
      <c r="AE163" s="60"/>
      <c r="AF163" s="60"/>
      <c r="AG163" s="60"/>
      <c r="AH163" s="60">
        <f t="shared" si="70"/>
        <v>0.09</v>
      </c>
      <c r="AI163" s="60"/>
      <c r="AJ163" s="60"/>
      <c r="AK163" s="7"/>
      <c r="AL163" s="64">
        <v>0</v>
      </c>
      <c r="AM163" s="64">
        <v>0</v>
      </c>
      <c r="AN163" s="64">
        <v>0</v>
      </c>
      <c r="AO163" s="64">
        <v>0</v>
      </c>
      <c r="AP163" s="64">
        <v>0</v>
      </c>
      <c r="AQ163" s="64">
        <f t="shared" si="73"/>
        <v>0</v>
      </c>
      <c r="AR163" s="59">
        <f t="shared" si="61"/>
        <v>0</v>
      </c>
      <c r="AS163" s="59">
        <f t="shared" si="62"/>
        <v>0</v>
      </c>
      <c r="AT163" s="141">
        <f t="shared" si="63"/>
        <v>0</v>
      </c>
      <c r="AU163" s="141">
        <f t="shared" si="64"/>
        <v>0</v>
      </c>
    </row>
    <row r="164" spans="1:47">
      <c r="A164" s="28" t="s">
        <v>355</v>
      </c>
      <c r="B164" s="27" t="s">
        <v>356</v>
      </c>
      <c r="C164" s="27">
        <v>0</v>
      </c>
      <c r="D164" s="27" t="s">
        <v>99</v>
      </c>
      <c r="E164" s="27"/>
      <c r="F164" s="112">
        <v>-35660</v>
      </c>
      <c r="G164" s="112">
        <v>0</v>
      </c>
      <c r="H164" s="112">
        <v>62791.6666666667</v>
      </c>
      <c r="I164" s="124">
        <v>0</v>
      </c>
      <c r="J164" s="124">
        <v>0</v>
      </c>
      <c r="K164" s="124">
        <v>0</v>
      </c>
      <c r="L164" s="124">
        <v>0</v>
      </c>
      <c r="M164" s="124">
        <v>0</v>
      </c>
      <c r="N164" s="44">
        <f t="shared" si="67"/>
        <v>0</v>
      </c>
      <c r="O164" s="44">
        <v>0</v>
      </c>
      <c r="P164" s="125">
        <f t="shared" si="60"/>
        <v>0</v>
      </c>
      <c r="Q164" s="44"/>
      <c r="R164" s="44">
        <f t="shared" si="72"/>
        <v>0</v>
      </c>
      <c r="S164" s="54">
        <v>0</v>
      </c>
      <c r="T164" s="54">
        <v>0</v>
      </c>
      <c r="U164" s="54">
        <v>0</v>
      </c>
      <c r="V164" s="60">
        <v>0</v>
      </c>
      <c r="W164" s="60">
        <v>0</v>
      </c>
      <c r="X164" s="60">
        <v>0</v>
      </c>
      <c r="Y164" s="60">
        <v>0</v>
      </c>
      <c r="Z164" s="60">
        <v>0</v>
      </c>
      <c r="AA164" s="60">
        <f t="shared" si="69"/>
        <v>0</v>
      </c>
      <c r="AB164" s="60">
        <v>0</v>
      </c>
      <c r="AC164" s="43">
        <v>0</v>
      </c>
      <c r="AD164" s="60">
        <v>0</v>
      </c>
      <c r="AE164" s="60"/>
      <c r="AF164" s="60"/>
      <c r="AG164" s="60"/>
      <c r="AH164" s="60">
        <f t="shared" si="70"/>
        <v>-35660</v>
      </c>
      <c r="AI164" s="60"/>
      <c r="AJ164" s="60"/>
      <c r="AK164" s="7"/>
      <c r="AL164" s="64">
        <v>0</v>
      </c>
      <c r="AM164" s="64">
        <v>0</v>
      </c>
      <c r="AN164" s="64">
        <v>0</v>
      </c>
      <c r="AO164" s="64">
        <v>0</v>
      </c>
      <c r="AP164" s="64">
        <v>0</v>
      </c>
      <c r="AQ164" s="64">
        <f t="shared" si="73"/>
        <v>0</v>
      </c>
      <c r="AR164" s="59">
        <f t="shared" si="61"/>
        <v>0</v>
      </c>
      <c r="AS164" s="59">
        <f t="shared" si="62"/>
        <v>0</v>
      </c>
      <c r="AT164" s="141">
        <f t="shared" si="63"/>
        <v>0</v>
      </c>
      <c r="AU164" s="141">
        <f t="shared" si="64"/>
        <v>0</v>
      </c>
    </row>
    <row r="165" spans="1:47">
      <c r="A165" s="28" t="s">
        <v>357</v>
      </c>
      <c r="B165" s="27" t="s">
        <v>358</v>
      </c>
      <c r="C165" s="27" t="s">
        <v>49</v>
      </c>
      <c r="D165" s="27" t="s">
        <v>49</v>
      </c>
      <c r="E165" s="27"/>
      <c r="F165" s="112">
        <v>-48950</v>
      </c>
      <c r="G165" s="112"/>
      <c r="H165" s="112"/>
      <c r="I165" s="124">
        <v>155</v>
      </c>
      <c r="J165" s="124">
        <v>0</v>
      </c>
      <c r="K165" s="124">
        <v>0</v>
      </c>
      <c r="L165" s="124">
        <v>0</v>
      </c>
      <c r="M165" s="124">
        <v>0</v>
      </c>
      <c r="N165" s="44">
        <f t="shared" si="67"/>
        <v>155</v>
      </c>
      <c r="O165" s="44">
        <v>759500</v>
      </c>
      <c r="P165" s="125">
        <f t="shared" si="60"/>
        <v>759500</v>
      </c>
      <c r="Q165" s="44"/>
      <c r="R165" s="44">
        <f t="shared" si="72"/>
        <v>759500</v>
      </c>
      <c r="S165" s="54">
        <v>0</v>
      </c>
      <c r="T165" s="54">
        <v>200</v>
      </c>
      <c r="U165" s="54">
        <v>0</v>
      </c>
      <c r="V165" s="60">
        <v>55</v>
      </c>
      <c r="W165" s="60">
        <v>0</v>
      </c>
      <c r="X165" s="60">
        <v>0</v>
      </c>
      <c r="Y165" s="60">
        <v>0</v>
      </c>
      <c r="Z165" s="60">
        <v>0</v>
      </c>
      <c r="AA165" s="60">
        <f t="shared" si="69"/>
        <v>55</v>
      </c>
      <c r="AB165" s="60">
        <v>302500</v>
      </c>
      <c r="AC165" s="43">
        <v>0</v>
      </c>
      <c r="AD165" s="60">
        <v>0</v>
      </c>
      <c r="AE165" s="60"/>
      <c r="AF165" s="60"/>
      <c r="AG165" s="60"/>
      <c r="AH165" s="60">
        <f t="shared" si="70"/>
        <v>253550</v>
      </c>
      <c r="AI165" s="60">
        <f>AH165-AQ165-H165</f>
        <v>45450</v>
      </c>
      <c r="AJ165" s="60">
        <f>AH165-G165</f>
        <v>253550</v>
      </c>
      <c r="AK165" s="7"/>
      <c r="AL165" s="64">
        <v>25600</v>
      </c>
      <c r="AM165" s="64">
        <v>125000</v>
      </c>
      <c r="AN165" s="64">
        <v>57500</v>
      </c>
      <c r="AO165" s="64">
        <v>0</v>
      </c>
      <c r="AP165" s="64">
        <v>0</v>
      </c>
      <c r="AQ165" s="64">
        <f t="shared" si="73"/>
        <v>208100</v>
      </c>
      <c r="AR165" s="59">
        <f t="shared" si="61"/>
        <v>100</v>
      </c>
      <c r="AS165" s="59">
        <f t="shared" si="62"/>
        <v>0</v>
      </c>
      <c r="AT165" s="141">
        <f t="shared" si="63"/>
        <v>7.69230769230769</v>
      </c>
      <c r="AU165" s="141">
        <f t="shared" si="64"/>
        <v>0</v>
      </c>
    </row>
    <row r="166" spans="1:47">
      <c r="A166" s="28" t="s">
        <v>359</v>
      </c>
      <c r="B166" s="27" t="s">
        <v>360</v>
      </c>
      <c r="C166" s="27" t="s">
        <v>2</v>
      </c>
      <c r="D166" s="27" t="s">
        <v>2</v>
      </c>
      <c r="E166" s="27"/>
      <c r="F166" s="112">
        <v>-540997</v>
      </c>
      <c r="G166" s="112">
        <v>0</v>
      </c>
      <c r="H166" s="112">
        <v>0</v>
      </c>
      <c r="I166" s="124">
        <v>50</v>
      </c>
      <c r="J166" s="124">
        <v>0</v>
      </c>
      <c r="K166" s="124">
        <v>34</v>
      </c>
      <c r="L166" s="124">
        <v>0</v>
      </c>
      <c r="M166" s="124">
        <v>0</v>
      </c>
      <c r="N166" s="44">
        <f t="shared" si="67"/>
        <v>84</v>
      </c>
      <c r="O166" s="44">
        <v>1035600</v>
      </c>
      <c r="P166" s="125">
        <f t="shared" si="60"/>
        <v>1035600</v>
      </c>
      <c r="Q166" s="44"/>
      <c r="R166" s="44">
        <f t="shared" si="72"/>
        <v>1035600</v>
      </c>
      <c r="S166" s="54">
        <v>0</v>
      </c>
      <c r="T166" s="54">
        <v>60</v>
      </c>
      <c r="U166" s="54">
        <v>40</v>
      </c>
      <c r="V166" s="60">
        <v>30</v>
      </c>
      <c r="W166" s="60">
        <v>0</v>
      </c>
      <c r="X166" s="60">
        <v>22</v>
      </c>
      <c r="Y166" s="60">
        <v>0</v>
      </c>
      <c r="Z166" s="60">
        <v>0</v>
      </c>
      <c r="AA166" s="60">
        <f t="shared" si="69"/>
        <v>52</v>
      </c>
      <c r="AB166" s="60">
        <v>684900</v>
      </c>
      <c r="AC166" s="43">
        <v>0</v>
      </c>
      <c r="AD166" s="60">
        <v>0</v>
      </c>
      <c r="AE166" s="60"/>
      <c r="AF166" s="60"/>
      <c r="AG166" s="60"/>
      <c r="AH166" s="60">
        <f t="shared" si="70"/>
        <v>143903</v>
      </c>
      <c r="AI166" s="60">
        <f>AH166-AQ166-H166</f>
        <v>8403.87719298201</v>
      </c>
      <c r="AJ166" s="60">
        <f>AH166-G166</f>
        <v>143903</v>
      </c>
      <c r="AK166" s="7"/>
      <c r="AL166" s="64">
        <v>34450</v>
      </c>
      <c r="AM166" s="64">
        <v>46750</v>
      </c>
      <c r="AN166" s="64">
        <v>29750</v>
      </c>
      <c r="AO166" s="64">
        <v>2105.26315789474</v>
      </c>
      <c r="AP166" s="64">
        <v>22443.8596491228</v>
      </c>
      <c r="AQ166" s="64">
        <f t="shared" si="73"/>
        <v>135499.122807018</v>
      </c>
      <c r="AR166" s="59">
        <f t="shared" si="61"/>
        <v>20</v>
      </c>
      <c r="AS166" s="59">
        <f t="shared" si="62"/>
        <v>12</v>
      </c>
      <c r="AT166" s="141">
        <f t="shared" si="63"/>
        <v>1.53846153846154</v>
      </c>
      <c r="AU166" s="141">
        <f t="shared" si="64"/>
        <v>0.923076923076923</v>
      </c>
    </row>
    <row r="167" spans="1:47">
      <c r="A167" s="118" t="s">
        <v>361</v>
      </c>
      <c r="B167" s="27" t="s">
        <v>362</v>
      </c>
      <c r="C167" s="27" t="s">
        <v>52</v>
      </c>
      <c r="D167" s="27" t="s">
        <v>2</v>
      </c>
      <c r="E167" s="27"/>
      <c r="F167" s="112">
        <v>1203279.8</v>
      </c>
      <c r="G167" s="112">
        <v>3000000</v>
      </c>
      <c r="H167" s="112">
        <v>8500000</v>
      </c>
      <c r="I167" s="124">
        <v>0</v>
      </c>
      <c r="J167" s="124">
        <v>0</v>
      </c>
      <c r="K167" s="124">
        <v>200</v>
      </c>
      <c r="L167" s="124">
        <v>0</v>
      </c>
      <c r="M167" s="124">
        <v>0</v>
      </c>
      <c r="N167" s="44">
        <f t="shared" si="67"/>
        <v>200</v>
      </c>
      <c r="O167" s="44">
        <v>2280000</v>
      </c>
      <c r="P167" s="125">
        <f t="shared" si="60"/>
        <v>2280000</v>
      </c>
      <c r="Q167" s="44"/>
      <c r="R167" s="44">
        <f t="shared" si="72"/>
        <v>2280000</v>
      </c>
      <c r="S167" s="54">
        <v>0</v>
      </c>
      <c r="T167" s="54">
        <v>400</v>
      </c>
      <c r="U167" s="54">
        <v>200</v>
      </c>
      <c r="V167" s="60">
        <v>0</v>
      </c>
      <c r="W167" s="60">
        <v>0</v>
      </c>
      <c r="X167" s="60">
        <v>100</v>
      </c>
      <c r="Y167" s="60">
        <v>0</v>
      </c>
      <c r="Z167" s="60">
        <v>1</v>
      </c>
      <c r="AA167" s="60">
        <f t="shared" si="69"/>
        <v>101</v>
      </c>
      <c r="AB167" s="60">
        <v>858632</v>
      </c>
      <c r="AC167" s="43">
        <v>0</v>
      </c>
      <c r="AD167" s="60">
        <v>0</v>
      </c>
      <c r="AE167" s="60"/>
      <c r="AF167" s="60"/>
      <c r="AG167" s="60"/>
      <c r="AH167" s="60">
        <f t="shared" si="70"/>
        <v>2061911.8</v>
      </c>
      <c r="AI167" s="60"/>
      <c r="AJ167" s="60">
        <f>AH167-G167</f>
        <v>-938088.2</v>
      </c>
      <c r="AK167" s="7"/>
      <c r="AL167" s="64">
        <v>277700</v>
      </c>
      <c r="AM167" s="64">
        <v>244354.24</v>
      </c>
      <c r="AN167" s="64">
        <v>365104.16</v>
      </c>
      <c r="AO167" s="64">
        <v>24705.8823529412</v>
      </c>
      <c r="AP167" s="64">
        <v>51282.0512820513</v>
      </c>
      <c r="AQ167" s="64">
        <f t="shared" si="73"/>
        <v>963146.333634992</v>
      </c>
      <c r="AR167" s="59">
        <f t="shared" si="61"/>
        <v>0</v>
      </c>
      <c r="AS167" s="59">
        <f t="shared" si="62"/>
        <v>100</v>
      </c>
      <c r="AT167" s="141">
        <f t="shared" si="63"/>
        <v>0</v>
      </c>
      <c r="AU167" s="141">
        <f t="shared" si="64"/>
        <v>7.69230769230769</v>
      </c>
    </row>
    <row r="168" s="108" customFormat="1" spans="1:16314">
      <c r="A168" s="150" t="s">
        <v>363</v>
      </c>
      <c r="B168" s="151" t="s">
        <v>364</v>
      </c>
      <c r="C168" s="151"/>
      <c r="D168" s="151"/>
      <c r="E168" s="151"/>
      <c r="F168" s="112">
        <v>550000</v>
      </c>
      <c r="G168" s="112"/>
      <c r="H168" s="112"/>
      <c r="I168" s="124">
        <v>200</v>
      </c>
      <c r="J168" s="124">
        <v>0</v>
      </c>
      <c r="K168" s="124">
        <v>0</v>
      </c>
      <c r="L168" s="124">
        <v>0</v>
      </c>
      <c r="M168" s="124">
        <v>0</v>
      </c>
      <c r="N168" s="94"/>
      <c r="O168" s="44">
        <v>980000</v>
      </c>
      <c r="P168" s="125">
        <f t="shared" si="60"/>
        <v>980000</v>
      </c>
      <c r="Q168" s="94"/>
      <c r="R168" s="94"/>
      <c r="S168" s="54">
        <v>0</v>
      </c>
      <c r="T168" s="54">
        <v>0</v>
      </c>
      <c r="U168" s="54">
        <v>0</v>
      </c>
      <c r="V168" s="60">
        <v>0</v>
      </c>
      <c r="W168" s="60">
        <v>0</v>
      </c>
      <c r="X168" s="60">
        <v>4</v>
      </c>
      <c r="Y168" s="60">
        <v>0</v>
      </c>
      <c r="Z168" s="60">
        <v>0</v>
      </c>
      <c r="AA168" s="60">
        <f t="shared" si="69"/>
        <v>4</v>
      </c>
      <c r="AB168" s="60">
        <v>18000</v>
      </c>
      <c r="AC168" s="43">
        <v>730000</v>
      </c>
      <c r="AD168" s="60">
        <v>0</v>
      </c>
      <c r="AE168" s="43"/>
      <c r="AF168" s="43"/>
      <c r="AG168" s="43"/>
      <c r="AH168" s="60">
        <f t="shared" si="70"/>
        <v>-162000</v>
      </c>
      <c r="AI168" s="60"/>
      <c r="AJ168" s="43"/>
      <c r="AK168" s="7"/>
      <c r="AL168" s="152"/>
      <c r="AM168" s="152"/>
      <c r="AN168" s="152"/>
      <c r="AO168" s="152"/>
      <c r="AP168" s="152"/>
      <c r="AQ168" s="152"/>
      <c r="AR168" s="59">
        <f t="shared" si="61"/>
        <v>200</v>
      </c>
      <c r="AS168" s="59">
        <f t="shared" si="62"/>
        <v>-4</v>
      </c>
      <c r="AT168" s="141">
        <f t="shared" si="63"/>
        <v>15.3846153846154</v>
      </c>
      <c r="AU168" s="141">
        <f t="shared" si="64"/>
        <v>-0.307692307692308</v>
      </c>
      <c r="AV168" s="153"/>
      <c r="AW168" s="153"/>
      <c r="AX168" s="153"/>
      <c r="AY168" s="153"/>
      <c r="AZ168" s="153"/>
      <c r="BA168" s="153"/>
      <c r="BB168" s="153"/>
      <c r="BC168" s="153"/>
      <c r="BD168" s="153"/>
      <c r="BE168" s="153"/>
      <c r="BF168" s="153"/>
      <c r="BG168" s="153"/>
      <c r="BH168" s="153"/>
      <c r="BI168" s="153"/>
      <c r="BJ168" s="153"/>
      <c r="BK168" s="153"/>
      <c r="BL168" s="153"/>
      <c r="BM168" s="153"/>
      <c r="BN168" s="153"/>
      <c r="BO168" s="153"/>
      <c r="BP168" s="153"/>
      <c r="BQ168" s="153"/>
      <c r="BR168" s="153"/>
      <c r="BS168" s="153"/>
      <c r="BT168" s="153"/>
      <c r="BU168" s="153"/>
      <c r="BV168" s="153"/>
      <c r="BW168" s="153"/>
      <c r="BX168" s="153"/>
      <c r="BY168" s="153"/>
      <c r="BZ168" s="153"/>
      <c r="CA168" s="153"/>
      <c r="CB168" s="153"/>
      <c r="CC168" s="153"/>
      <c r="CD168" s="153"/>
      <c r="CE168" s="153"/>
      <c r="CF168" s="153"/>
      <c r="CG168" s="153"/>
      <c r="CH168" s="153"/>
      <c r="CI168" s="153"/>
      <c r="CJ168" s="153"/>
      <c r="CK168" s="153"/>
      <c r="CL168" s="153"/>
      <c r="CM168" s="153"/>
      <c r="CN168" s="153"/>
      <c r="CO168" s="153"/>
      <c r="CP168" s="153"/>
      <c r="CQ168" s="153"/>
      <c r="CR168" s="153"/>
      <c r="CS168" s="153"/>
      <c r="CT168" s="153"/>
      <c r="CU168" s="153"/>
      <c r="CV168" s="153"/>
      <c r="CW168" s="153"/>
      <c r="CX168" s="153"/>
      <c r="CY168" s="153"/>
      <c r="CZ168" s="153"/>
      <c r="DA168" s="153"/>
      <c r="DB168" s="153"/>
      <c r="DC168" s="153"/>
      <c r="DD168" s="153"/>
      <c r="DE168" s="153"/>
      <c r="DF168" s="153"/>
      <c r="DG168" s="153"/>
      <c r="DH168" s="153"/>
      <c r="DI168" s="153"/>
      <c r="DJ168" s="153"/>
      <c r="DK168" s="153"/>
      <c r="DL168" s="153"/>
      <c r="DM168" s="153"/>
      <c r="DN168" s="153"/>
      <c r="DO168" s="153"/>
      <c r="DP168" s="153"/>
      <c r="DQ168" s="153"/>
      <c r="DR168" s="153"/>
      <c r="DS168" s="153"/>
      <c r="DT168" s="153"/>
      <c r="DU168" s="153"/>
      <c r="DV168" s="153"/>
      <c r="DW168" s="153"/>
      <c r="DX168" s="153"/>
      <c r="DY168" s="153"/>
      <c r="DZ168" s="153"/>
      <c r="EA168" s="153"/>
      <c r="EB168" s="153"/>
      <c r="EC168" s="153"/>
      <c r="ED168" s="153"/>
      <c r="EE168" s="153"/>
      <c r="EF168" s="153"/>
      <c r="EG168" s="153"/>
      <c r="EH168" s="153"/>
      <c r="EI168" s="153"/>
      <c r="EJ168" s="153"/>
      <c r="EK168" s="153"/>
      <c r="EL168" s="153"/>
      <c r="EM168" s="153"/>
      <c r="EN168" s="153"/>
      <c r="EO168" s="153"/>
      <c r="EP168" s="153"/>
      <c r="EQ168" s="153"/>
      <c r="ER168" s="153"/>
      <c r="ES168" s="153"/>
      <c r="ET168" s="153"/>
      <c r="EU168" s="153"/>
      <c r="EV168" s="153"/>
      <c r="EW168" s="153"/>
      <c r="EX168" s="153"/>
      <c r="EY168" s="153"/>
      <c r="EZ168" s="153"/>
      <c r="FA168" s="153"/>
      <c r="FB168" s="153"/>
      <c r="FC168" s="153"/>
      <c r="FD168" s="153"/>
      <c r="FE168" s="153"/>
      <c r="FF168" s="153"/>
      <c r="FG168" s="153"/>
      <c r="FH168" s="153"/>
      <c r="FI168" s="153"/>
      <c r="FJ168" s="153"/>
      <c r="FK168" s="153"/>
      <c r="FL168" s="153"/>
      <c r="FM168" s="153"/>
      <c r="FN168" s="153"/>
      <c r="FO168" s="153"/>
      <c r="FP168" s="153"/>
      <c r="FQ168" s="153"/>
      <c r="FR168" s="153"/>
      <c r="FS168" s="153"/>
      <c r="FT168" s="153"/>
      <c r="FU168" s="153"/>
      <c r="FV168" s="153"/>
      <c r="FW168" s="153"/>
      <c r="FX168" s="153"/>
      <c r="FY168" s="153"/>
      <c r="FZ168" s="153"/>
      <c r="GA168" s="153"/>
      <c r="GB168" s="153"/>
      <c r="GC168" s="153"/>
      <c r="GD168" s="153"/>
      <c r="GE168" s="153"/>
      <c r="GF168" s="153"/>
      <c r="GG168" s="153"/>
      <c r="GH168" s="153"/>
      <c r="GI168" s="153"/>
      <c r="GJ168" s="153"/>
      <c r="GK168" s="153"/>
      <c r="GL168" s="153"/>
      <c r="GM168" s="153"/>
      <c r="GN168" s="153"/>
      <c r="GO168" s="153"/>
      <c r="GP168" s="153"/>
      <c r="GQ168" s="153"/>
      <c r="GR168" s="153"/>
      <c r="GS168" s="153"/>
      <c r="GT168" s="153"/>
      <c r="GU168" s="153"/>
      <c r="GV168" s="153"/>
      <c r="GW168" s="153"/>
      <c r="GX168" s="153"/>
      <c r="GY168" s="153"/>
      <c r="GZ168" s="153"/>
      <c r="HA168" s="153"/>
      <c r="HB168" s="153"/>
      <c r="HC168" s="153"/>
      <c r="HD168" s="153"/>
      <c r="HE168" s="153"/>
      <c r="HF168" s="153"/>
      <c r="HG168" s="153"/>
      <c r="HH168" s="153"/>
      <c r="HI168" s="153"/>
      <c r="HJ168" s="153"/>
      <c r="HK168" s="153"/>
      <c r="HL168" s="153"/>
      <c r="HM168" s="153"/>
      <c r="HN168" s="153"/>
      <c r="HO168" s="153"/>
      <c r="HP168" s="153"/>
      <c r="HQ168" s="153"/>
      <c r="HR168" s="153"/>
      <c r="HS168" s="153"/>
      <c r="HT168" s="153"/>
      <c r="HU168" s="153"/>
      <c r="HV168" s="153"/>
      <c r="HW168" s="153"/>
      <c r="HX168" s="153"/>
      <c r="HY168" s="153"/>
      <c r="HZ168" s="153"/>
      <c r="IA168" s="153"/>
      <c r="IB168" s="153"/>
      <c r="IC168" s="153"/>
      <c r="ID168" s="153"/>
      <c r="IE168" s="153"/>
      <c r="IF168" s="153"/>
      <c r="IG168" s="153"/>
      <c r="IH168" s="153"/>
      <c r="II168" s="153"/>
      <c r="IJ168" s="153"/>
      <c r="IK168" s="153"/>
      <c r="IL168" s="153"/>
      <c r="IM168" s="153"/>
      <c r="IN168" s="153"/>
      <c r="IO168" s="153"/>
      <c r="IP168" s="153"/>
      <c r="IQ168" s="153"/>
      <c r="IR168" s="153"/>
      <c r="IS168" s="153"/>
      <c r="IT168" s="153"/>
      <c r="IU168" s="153"/>
      <c r="IV168" s="153"/>
      <c r="IW168" s="153"/>
      <c r="IX168" s="153"/>
      <c r="IY168" s="153"/>
      <c r="IZ168" s="153"/>
      <c r="JA168" s="153"/>
      <c r="JB168" s="153"/>
      <c r="JC168" s="153"/>
      <c r="JD168" s="153"/>
      <c r="JE168" s="153"/>
      <c r="JF168" s="153"/>
      <c r="JG168" s="153"/>
      <c r="JH168" s="153"/>
      <c r="JI168" s="153"/>
      <c r="JJ168" s="153"/>
      <c r="JK168" s="153"/>
      <c r="JL168" s="153"/>
      <c r="JM168" s="153"/>
      <c r="JN168" s="153"/>
      <c r="JO168" s="153"/>
      <c r="JP168" s="153"/>
      <c r="JQ168" s="153"/>
      <c r="JR168" s="153"/>
      <c r="JS168" s="153"/>
      <c r="JT168" s="153"/>
      <c r="JU168" s="153"/>
      <c r="JV168" s="153"/>
      <c r="JW168" s="153"/>
      <c r="JX168" s="153"/>
      <c r="JY168" s="153"/>
      <c r="JZ168" s="153"/>
      <c r="KA168" s="153"/>
      <c r="KB168" s="153"/>
      <c r="KC168" s="153"/>
      <c r="KD168" s="153"/>
      <c r="KE168" s="153"/>
      <c r="KF168" s="153"/>
      <c r="KG168" s="153"/>
      <c r="KH168" s="153"/>
      <c r="KI168" s="153"/>
      <c r="KJ168" s="153"/>
      <c r="KK168" s="153"/>
      <c r="KL168" s="153"/>
      <c r="KM168" s="153"/>
      <c r="KN168" s="153"/>
      <c r="KO168" s="153"/>
      <c r="KP168" s="153"/>
      <c r="KQ168" s="153"/>
      <c r="KR168" s="153"/>
      <c r="KS168" s="153"/>
      <c r="KT168" s="153"/>
      <c r="KU168" s="153"/>
      <c r="KV168" s="153"/>
      <c r="KW168" s="153"/>
      <c r="KX168" s="153"/>
      <c r="KY168" s="153"/>
      <c r="KZ168" s="153"/>
      <c r="LA168" s="153"/>
      <c r="LB168" s="153"/>
      <c r="LC168" s="153"/>
      <c r="LD168" s="153"/>
      <c r="LE168" s="153"/>
      <c r="LF168" s="153"/>
      <c r="LG168" s="153"/>
      <c r="LH168" s="153"/>
      <c r="LI168" s="153"/>
      <c r="LJ168" s="153"/>
      <c r="LK168" s="153"/>
      <c r="LL168" s="153"/>
      <c r="LM168" s="153"/>
      <c r="LN168" s="153"/>
      <c r="LO168" s="153"/>
      <c r="LP168" s="153"/>
      <c r="LQ168" s="153"/>
      <c r="LR168" s="153"/>
      <c r="LS168" s="153"/>
      <c r="LT168" s="153"/>
      <c r="LU168" s="153"/>
      <c r="LV168" s="153"/>
      <c r="LW168" s="153"/>
      <c r="LX168" s="153"/>
      <c r="LY168" s="153"/>
      <c r="LZ168" s="153"/>
      <c r="MA168" s="153"/>
      <c r="MB168" s="153"/>
      <c r="MC168" s="153"/>
      <c r="MD168" s="153"/>
      <c r="ME168" s="153"/>
      <c r="MF168" s="153"/>
      <c r="MG168" s="153"/>
      <c r="MH168" s="153"/>
      <c r="MI168" s="153"/>
      <c r="MJ168" s="153"/>
      <c r="MK168" s="153"/>
      <c r="ML168" s="153"/>
      <c r="MM168" s="153"/>
      <c r="MN168" s="153"/>
      <c r="MO168" s="153"/>
      <c r="MP168" s="153"/>
      <c r="MQ168" s="153"/>
      <c r="MR168" s="153"/>
      <c r="MS168" s="153"/>
      <c r="MT168" s="153"/>
      <c r="MU168" s="153"/>
      <c r="MV168" s="153"/>
      <c r="MW168" s="153"/>
      <c r="MX168" s="153"/>
      <c r="MY168" s="153"/>
      <c r="MZ168" s="153"/>
      <c r="NA168" s="153"/>
      <c r="NB168" s="153"/>
      <c r="NC168" s="153"/>
      <c r="ND168" s="153"/>
      <c r="NE168" s="153"/>
      <c r="NF168" s="153"/>
      <c r="NG168" s="153"/>
      <c r="NH168" s="153"/>
      <c r="NI168" s="153"/>
      <c r="NJ168" s="153"/>
      <c r="NK168" s="153"/>
      <c r="NL168" s="153"/>
      <c r="NM168" s="153"/>
      <c r="NN168" s="153"/>
      <c r="NO168" s="153"/>
      <c r="NP168" s="153"/>
      <c r="NQ168" s="153"/>
      <c r="NR168" s="153"/>
      <c r="NS168" s="153"/>
      <c r="NT168" s="153"/>
      <c r="NU168" s="153"/>
      <c r="NV168" s="153"/>
      <c r="NW168" s="153"/>
      <c r="NX168" s="153"/>
      <c r="NY168" s="153"/>
      <c r="NZ168" s="153"/>
      <c r="OA168" s="153"/>
      <c r="OB168" s="153"/>
      <c r="OC168" s="153"/>
      <c r="OD168" s="153"/>
      <c r="OE168" s="153"/>
      <c r="OF168" s="153"/>
      <c r="OG168" s="153"/>
      <c r="OH168" s="153"/>
      <c r="OI168" s="153"/>
      <c r="OJ168" s="153"/>
      <c r="OK168" s="153"/>
      <c r="OL168" s="153"/>
      <c r="OM168" s="153"/>
      <c r="ON168" s="153"/>
      <c r="OO168" s="153"/>
      <c r="OP168" s="153"/>
      <c r="OQ168" s="153"/>
      <c r="OR168" s="153"/>
      <c r="OS168" s="153"/>
      <c r="OT168" s="153"/>
      <c r="OU168" s="153"/>
      <c r="OV168" s="153"/>
      <c r="OW168" s="153"/>
      <c r="OX168" s="153"/>
      <c r="OY168" s="153"/>
      <c r="OZ168" s="153"/>
      <c r="PA168" s="153"/>
      <c r="PB168" s="153"/>
      <c r="PC168" s="153"/>
      <c r="PD168" s="153"/>
      <c r="PE168" s="153"/>
      <c r="PF168" s="153"/>
      <c r="PG168" s="153"/>
      <c r="PH168" s="153"/>
      <c r="PI168" s="153"/>
      <c r="PJ168" s="153"/>
      <c r="PK168" s="153"/>
      <c r="PL168" s="153"/>
      <c r="PM168" s="153"/>
      <c r="PN168" s="153"/>
      <c r="PO168" s="153"/>
      <c r="PP168" s="153"/>
      <c r="PQ168" s="153"/>
      <c r="PR168" s="153"/>
      <c r="PS168" s="153"/>
      <c r="PT168" s="153"/>
      <c r="PU168" s="153"/>
      <c r="PV168" s="153"/>
      <c r="PW168" s="153"/>
      <c r="PX168" s="153"/>
      <c r="PY168" s="153"/>
      <c r="PZ168" s="153"/>
      <c r="QA168" s="153"/>
      <c r="QB168" s="153"/>
      <c r="QC168" s="153"/>
      <c r="QD168" s="153"/>
      <c r="QE168" s="153"/>
      <c r="QF168" s="153"/>
      <c r="QG168" s="153"/>
      <c r="QH168" s="153"/>
      <c r="QI168" s="153"/>
      <c r="QJ168" s="153"/>
      <c r="QK168" s="153"/>
      <c r="QL168" s="153"/>
      <c r="QM168" s="153"/>
      <c r="QN168" s="153"/>
      <c r="QO168" s="153"/>
      <c r="QP168" s="153"/>
      <c r="QQ168" s="153"/>
      <c r="QR168" s="153"/>
      <c r="QS168" s="153"/>
      <c r="QT168" s="153"/>
      <c r="QU168" s="153"/>
      <c r="QV168" s="153"/>
      <c r="QW168" s="153"/>
      <c r="QX168" s="153"/>
      <c r="QY168" s="153"/>
      <c r="QZ168" s="153"/>
      <c r="RA168" s="153"/>
      <c r="RB168" s="153"/>
      <c r="RC168" s="153"/>
      <c r="RD168" s="153"/>
      <c r="RE168" s="153"/>
      <c r="RF168" s="153"/>
      <c r="RG168" s="153"/>
      <c r="RH168" s="153"/>
      <c r="RI168" s="153"/>
      <c r="RJ168" s="153"/>
      <c r="RK168" s="153"/>
      <c r="RL168" s="153"/>
      <c r="RM168" s="153"/>
      <c r="RN168" s="153"/>
      <c r="RO168" s="153"/>
      <c r="RP168" s="153"/>
      <c r="RQ168" s="153"/>
      <c r="RR168" s="153"/>
      <c r="RS168" s="153"/>
      <c r="RT168" s="153"/>
      <c r="RU168" s="153"/>
      <c r="RV168" s="153"/>
      <c r="RW168" s="153"/>
      <c r="RX168" s="153"/>
      <c r="RY168" s="153"/>
      <c r="RZ168" s="153"/>
      <c r="SA168" s="153"/>
      <c r="SB168" s="153"/>
      <c r="SC168" s="153"/>
      <c r="SD168" s="153"/>
      <c r="SE168" s="153"/>
      <c r="SF168" s="153"/>
      <c r="SG168" s="153"/>
      <c r="SH168" s="153"/>
      <c r="SI168" s="153"/>
      <c r="SJ168" s="153"/>
      <c r="SK168" s="153"/>
      <c r="SL168" s="153"/>
      <c r="SM168" s="153"/>
      <c r="SN168" s="153"/>
      <c r="SO168" s="153"/>
      <c r="SP168" s="153"/>
      <c r="SQ168" s="153"/>
      <c r="SR168" s="153"/>
      <c r="SS168" s="153"/>
      <c r="ST168" s="153"/>
      <c r="SU168" s="153"/>
      <c r="SV168" s="153"/>
      <c r="SW168" s="153"/>
      <c r="SX168" s="153"/>
      <c r="SY168" s="153"/>
      <c r="SZ168" s="153"/>
      <c r="TA168" s="153"/>
      <c r="TB168" s="153"/>
      <c r="TC168" s="153"/>
      <c r="TD168" s="153"/>
      <c r="TE168" s="153"/>
      <c r="TF168" s="153"/>
      <c r="TG168" s="153"/>
      <c r="TH168" s="153"/>
      <c r="TI168" s="153"/>
      <c r="TJ168" s="153"/>
      <c r="TK168" s="153"/>
      <c r="TL168" s="153"/>
      <c r="TM168" s="153"/>
      <c r="TN168" s="153"/>
      <c r="TO168" s="153"/>
      <c r="TP168" s="153"/>
      <c r="TQ168" s="153"/>
      <c r="TR168" s="153"/>
      <c r="TS168" s="153"/>
      <c r="TT168" s="153"/>
      <c r="TU168" s="153"/>
      <c r="TV168" s="153"/>
      <c r="TW168" s="153"/>
      <c r="TX168" s="153"/>
      <c r="TY168" s="153"/>
      <c r="TZ168" s="153"/>
      <c r="UA168" s="153"/>
      <c r="UB168" s="153"/>
      <c r="UC168" s="153"/>
      <c r="UD168" s="153"/>
      <c r="UE168" s="153"/>
      <c r="UF168" s="153"/>
      <c r="UG168" s="153"/>
      <c r="UH168" s="153"/>
      <c r="UI168" s="153"/>
      <c r="UJ168" s="153"/>
      <c r="UK168" s="153"/>
      <c r="UL168" s="153"/>
      <c r="UM168" s="153"/>
      <c r="UN168" s="153"/>
      <c r="UO168" s="153"/>
      <c r="UP168" s="153"/>
      <c r="UQ168" s="153"/>
      <c r="UR168" s="153"/>
      <c r="US168" s="153"/>
      <c r="UT168" s="153"/>
      <c r="UU168" s="153"/>
      <c r="UV168" s="153"/>
      <c r="UW168" s="153"/>
      <c r="UX168" s="153"/>
      <c r="UY168" s="153"/>
      <c r="UZ168" s="153"/>
      <c r="VA168" s="153"/>
      <c r="VB168" s="153"/>
      <c r="VC168" s="153"/>
      <c r="VD168" s="153"/>
      <c r="VE168" s="153"/>
      <c r="VF168" s="153"/>
      <c r="VG168" s="153"/>
      <c r="VH168" s="153"/>
      <c r="VI168" s="153"/>
      <c r="VJ168" s="153"/>
      <c r="VK168" s="153"/>
      <c r="VL168" s="153"/>
      <c r="VM168" s="153"/>
      <c r="VN168" s="153"/>
      <c r="VO168" s="153"/>
      <c r="VP168" s="153"/>
      <c r="VQ168" s="153"/>
      <c r="VR168" s="153"/>
      <c r="VS168" s="153"/>
      <c r="VT168" s="153"/>
      <c r="VU168" s="153"/>
      <c r="VV168" s="153"/>
      <c r="VW168" s="153"/>
      <c r="VX168" s="153"/>
      <c r="VY168" s="153"/>
      <c r="VZ168" s="153"/>
      <c r="WA168" s="153"/>
      <c r="WB168" s="153"/>
      <c r="WC168" s="153"/>
      <c r="WD168" s="153"/>
      <c r="WE168" s="153"/>
      <c r="WF168" s="153"/>
      <c r="WG168" s="153"/>
      <c r="WH168" s="153"/>
      <c r="WI168" s="153"/>
      <c r="WJ168" s="153"/>
      <c r="WK168" s="153"/>
      <c r="WL168" s="153"/>
      <c r="WM168" s="153"/>
      <c r="WN168" s="153"/>
      <c r="WO168" s="153"/>
      <c r="WP168" s="153"/>
      <c r="WQ168" s="153"/>
      <c r="WR168" s="153"/>
      <c r="WS168" s="153"/>
      <c r="WT168" s="153"/>
      <c r="WU168" s="153"/>
      <c r="WV168" s="153"/>
      <c r="WW168" s="153"/>
      <c r="WX168" s="153"/>
      <c r="WY168" s="153"/>
      <c r="WZ168" s="153"/>
      <c r="XA168" s="153"/>
      <c r="XB168" s="153"/>
      <c r="XC168" s="153"/>
      <c r="XD168" s="153"/>
      <c r="XE168" s="153"/>
      <c r="XF168" s="153"/>
      <c r="XG168" s="153"/>
      <c r="XH168" s="153"/>
      <c r="XI168" s="153"/>
      <c r="XJ168" s="153"/>
      <c r="XK168" s="153"/>
      <c r="XL168" s="153"/>
      <c r="XM168" s="153"/>
      <c r="XN168" s="153"/>
      <c r="XO168" s="153"/>
      <c r="XP168" s="153"/>
      <c r="XQ168" s="153"/>
      <c r="XR168" s="153"/>
      <c r="XS168" s="153"/>
      <c r="XT168" s="153"/>
      <c r="XU168" s="153"/>
      <c r="XV168" s="153"/>
      <c r="XW168" s="153"/>
      <c r="XX168" s="153"/>
      <c r="XY168" s="153"/>
      <c r="XZ168" s="153"/>
      <c r="YA168" s="153"/>
      <c r="YB168" s="153"/>
      <c r="YC168" s="153"/>
      <c r="YD168" s="153"/>
      <c r="YE168" s="153"/>
      <c r="YF168" s="153"/>
      <c r="YG168" s="153"/>
      <c r="YH168" s="153"/>
      <c r="YI168" s="153"/>
      <c r="YJ168" s="153"/>
      <c r="YK168" s="153"/>
      <c r="YL168" s="153"/>
      <c r="YM168" s="153"/>
      <c r="YN168" s="153"/>
      <c r="YO168" s="153"/>
      <c r="YP168" s="153"/>
      <c r="YQ168" s="153"/>
      <c r="YR168" s="153"/>
      <c r="YS168" s="153"/>
      <c r="YT168" s="153"/>
      <c r="YU168" s="153"/>
      <c r="YV168" s="153"/>
      <c r="YW168" s="153"/>
      <c r="YX168" s="153"/>
      <c r="YY168" s="153"/>
      <c r="YZ168" s="153"/>
      <c r="ZA168" s="153"/>
      <c r="ZB168" s="153"/>
      <c r="ZC168" s="153"/>
      <c r="ZD168" s="153"/>
      <c r="ZE168" s="153"/>
      <c r="ZF168" s="153"/>
      <c r="ZG168" s="153"/>
      <c r="ZH168" s="153"/>
      <c r="ZI168" s="153"/>
      <c r="ZJ168" s="153"/>
      <c r="ZK168" s="153"/>
      <c r="ZL168" s="153"/>
      <c r="ZM168" s="153"/>
      <c r="ZN168" s="153"/>
      <c r="ZO168" s="153"/>
      <c r="ZP168" s="153"/>
      <c r="ZQ168" s="153"/>
      <c r="ZR168" s="153"/>
      <c r="ZS168" s="153"/>
      <c r="ZT168" s="153"/>
      <c r="ZU168" s="153"/>
      <c r="ZV168" s="153"/>
      <c r="ZW168" s="153"/>
      <c r="ZX168" s="153"/>
      <c r="ZY168" s="153"/>
      <c r="ZZ168" s="153"/>
      <c r="AAA168" s="153"/>
      <c r="AAB168" s="153"/>
      <c r="AAC168" s="153"/>
      <c r="AAD168" s="153"/>
      <c r="AAE168" s="153"/>
      <c r="AAF168" s="153"/>
      <c r="AAG168" s="153"/>
      <c r="AAH168" s="153"/>
      <c r="AAI168" s="153"/>
      <c r="AAJ168" s="153"/>
      <c r="AAK168" s="153"/>
      <c r="AAL168" s="153"/>
      <c r="AAM168" s="153"/>
      <c r="AAN168" s="153"/>
      <c r="AAO168" s="153"/>
      <c r="AAP168" s="153"/>
      <c r="AAQ168" s="153"/>
      <c r="AAR168" s="153"/>
      <c r="AAS168" s="153"/>
      <c r="AAT168" s="153"/>
      <c r="AAU168" s="153"/>
      <c r="AAV168" s="153"/>
      <c r="AAW168" s="153"/>
      <c r="AAX168" s="153"/>
      <c r="AAY168" s="153"/>
      <c r="AAZ168" s="153"/>
      <c r="ABA168" s="153"/>
      <c r="ABB168" s="153"/>
      <c r="ABC168" s="153"/>
      <c r="ABD168" s="153"/>
      <c r="ABE168" s="153"/>
      <c r="ABF168" s="153"/>
      <c r="ABG168" s="153"/>
      <c r="ABH168" s="153"/>
      <c r="ABI168" s="153"/>
      <c r="ABJ168" s="153"/>
      <c r="ABK168" s="153"/>
      <c r="ABL168" s="153"/>
      <c r="ABM168" s="153"/>
      <c r="ABN168" s="153"/>
      <c r="ABO168" s="153"/>
      <c r="ABP168" s="153"/>
      <c r="ABQ168" s="153"/>
      <c r="ABR168" s="153"/>
      <c r="ABS168" s="153"/>
      <c r="ABT168" s="153"/>
      <c r="ABU168" s="153"/>
      <c r="ABV168" s="153"/>
      <c r="ABW168" s="153"/>
      <c r="ABX168" s="153"/>
      <c r="ABY168" s="153"/>
      <c r="ABZ168" s="153"/>
      <c r="ACA168" s="153"/>
      <c r="ACB168" s="153"/>
      <c r="ACC168" s="153"/>
      <c r="ACD168" s="153"/>
      <c r="ACE168" s="153"/>
      <c r="ACF168" s="153"/>
      <c r="ACG168" s="153"/>
      <c r="ACH168" s="153"/>
      <c r="ACI168" s="153"/>
      <c r="ACJ168" s="153"/>
      <c r="ACK168" s="153"/>
      <c r="ACL168" s="153"/>
      <c r="ACM168" s="153"/>
      <c r="ACN168" s="153"/>
      <c r="ACO168" s="153"/>
      <c r="ACP168" s="153"/>
      <c r="ACQ168" s="153"/>
      <c r="ACR168" s="153"/>
      <c r="ACS168" s="153"/>
      <c r="ACT168" s="153"/>
      <c r="ACU168" s="153"/>
      <c r="ACV168" s="153"/>
      <c r="ACW168" s="153"/>
      <c r="ACX168" s="153"/>
      <c r="ACY168" s="153"/>
      <c r="ACZ168" s="153"/>
      <c r="ADA168" s="153"/>
      <c r="ADB168" s="153"/>
      <c r="ADC168" s="153"/>
      <c r="ADD168" s="153"/>
      <c r="ADE168" s="153"/>
      <c r="ADF168" s="153"/>
      <c r="ADG168" s="153"/>
      <c r="ADH168" s="153"/>
      <c r="ADI168" s="153"/>
      <c r="ADJ168" s="153"/>
      <c r="ADK168" s="153"/>
      <c r="ADL168" s="153"/>
      <c r="ADM168" s="153"/>
      <c r="ADN168" s="153"/>
      <c r="ADO168" s="153"/>
      <c r="ADP168" s="153"/>
      <c r="ADQ168" s="153"/>
      <c r="ADR168" s="153"/>
      <c r="ADS168" s="153"/>
      <c r="ADT168" s="153"/>
      <c r="ADU168" s="153"/>
      <c r="ADV168" s="153"/>
      <c r="ADW168" s="153"/>
      <c r="ADX168" s="153"/>
      <c r="ADY168" s="153"/>
      <c r="ADZ168" s="153"/>
      <c r="AEA168" s="153"/>
      <c r="AEB168" s="153"/>
      <c r="AEC168" s="153"/>
      <c r="AED168" s="153"/>
      <c r="AEE168" s="153"/>
      <c r="AEF168" s="153"/>
      <c r="AEG168" s="153"/>
      <c r="AEH168" s="153"/>
      <c r="AEI168" s="153"/>
      <c r="AEJ168" s="153"/>
      <c r="AEK168" s="153"/>
      <c r="AEL168" s="153"/>
      <c r="AEM168" s="153"/>
      <c r="AEN168" s="153"/>
      <c r="AEO168" s="153"/>
      <c r="AEP168" s="153"/>
      <c r="AEQ168" s="153"/>
      <c r="AER168" s="153"/>
      <c r="AES168" s="153"/>
      <c r="AET168" s="153"/>
      <c r="AEU168" s="153"/>
      <c r="AEV168" s="153"/>
      <c r="AEW168" s="153"/>
      <c r="AEX168" s="153"/>
      <c r="AEY168" s="153"/>
      <c r="AEZ168" s="153"/>
      <c r="AFA168" s="153"/>
      <c r="AFB168" s="153"/>
      <c r="AFC168" s="153"/>
      <c r="AFD168" s="153"/>
      <c r="AFE168" s="153"/>
      <c r="AFF168" s="153"/>
      <c r="AFG168" s="153"/>
      <c r="AFH168" s="153"/>
      <c r="AFI168" s="153"/>
      <c r="AFJ168" s="153"/>
      <c r="AFK168" s="153"/>
      <c r="AFL168" s="153"/>
      <c r="AFM168" s="153"/>
      <c r="AFN168" s="153"/>
      <c r="AFO168" s="153"/>
      <c r="AFP168" s="153"/>
      <c r="AFQ168" s="153"/>
      <c r="AFR168" s="153"/>
      <c r="AFS168" s="153"/>
      <c r="AFT168" s="153"/>
      <c r="AFU168" s="153"/>
      <c r="AFV168" s="153"/>
      <c r="AFW168" s="153"/>
      <c r="AFX168" s="153"/>
      <c r="AFY168" s="153"/>
      <c r="AFZ168" s="153"/>
      <c r="AGA168" s="153"/>
      <c r="AGB168" s="153"/>
      <c r="AGC168" s="153"/>
      <c r="AGD168" s="153"/>
      <c r="AGE168" s="153"/>
      <c r="AGF168" s="153"/>
      <c r="AGG168" s="153"/>
      <c r="AGH168" s="153"/>
      <c r="AGI168" s="153"/>
      <c r="AGJ168" s="153"/>
      <c r="AGK168" s="153"/>
      <c r="AGL168" s="153"/>
      <c r="AGM168" s="153"/>
      <c r="AGN168" s="153"/>
      <c r="AGO168" s="153"/>
      <c r="AGP168" s="153"/>
      <c r="AGQ168" s="153"/>
      <c r="AGR168" s="153"/>
      <c r="AGS168" s="153"/>
      <c r="AGT168" s="153"/>
      <c r="AGU168" s="153"/>
      <c r="AGV168" s="153"/>
      <c r="AGW168" s="153"/>
      <c r="AGX168" s="153"/>
      <c r="AGY168" s="153"/>
      <c r="AGZ168" s="153"/>
      <c r="AHA168" s="153"/>
      <c r="AHB168" s="153"/>
      <c r="AHC168" s="153"/>
      <c r="AHD168" s="153"/>
      <c r="AHE168" s="153"/>
      <c r="AHF168" s="153"/>
      <c r="AHG168" s="153"/>
      <c r="AHH168" s="153"/>
      <c r="AHI168" s="153"/>
      <c r="AHJ168" s="153"/>
      <c r="AHK168" s="153"/>
      <c r="AHL168" s="153"/>
      <c r="AHM168" s="153"/>
      <c r="AHN168" s="153"/>
      <c r="AHO168" s="153"/>
      <c r="AHP168" s="153"/>
      <c r="AHQ168" s="153"/>
      <c r="AHR168" s="153"/>
      <c r="AHS168" s="153"/>
      <c r="AHT168" s="153"/>
      <c r="AHU168" s="153"/>
      <c r="AHV168" s="153"/>
      <c r="AHW168" s="153"/>
      <c r="AHX168" s="153"/>
      <c r="AHY168" s="153"/>
      <c r="AHZ168" s="153"/>
      <c r="AIA168" s="153"/>
      <c r="AIB168" s="153"/>
      <c r="AIC168" s="153"/>
      <c r="AID168" s="153"/>
      <c r="AIE168" s="153"/>
      <c r="AIF168" s="153"/>
      <c r="AIG168" s="153"/>
      <c r="AIH168" s="153"/>
      <c r="AII168" s="153"/>
      <c r="AIJ168" s="153"/>
      <c r="AIK168" s="153"/>
      <c r="AIL168" s="153"/>
      <c r="AIM168" s="153"/>
      <c r="AIN168" s="153"/>
      <c r="AIO168" s="153"/>
      <c r="AIP168" s="153"/>
      <c r="AIQ168" s="153"/>
      <c r="AIR168" s="153"/>
      <c r="AIS168" s="153"/>
      <c r="AIT168" s="153"/>
      <c r="AIU168" s="153"/>
      <c r="AIV168" s="153"/>
      <c r="AIW168" s="153"/>
      <c r="AIX168" s="153"/>
      <c r="AIY168" s="153"/>
      <c r="AIZ168" s="153"/>
      <c r="AJA168" s="153"/>
      <c r="AJB168" s="153"/>
      <c r="AJC168" s="153"/>
      <c r="AJD168" s="153"/>
      <c r="AJE168" s="153"/>
      <c r="AJF168" s="153"/>
      <c r="AJG168" s="153"/>
      <c r="AJH168" s="153"/>
      <c r="AJI168" s="153"/>
      <c r="AJJ168" s="153"/>
      <c r="AJK168" s="153"/>
      <c r="AJL168" s="153"/>
      <c r="AJM168" s="153"/>
      <c r="AJN168" s="153"/>
      <c r="AJO168" s="153"/>
      <c r="AJP168" s="153"/>
      <c r="AJQ168" s="153"/>
      <c r="AJR168" s="153"/>
      <c r="AJS168" s="153"/>
      <c r="AJT168" s="153"/>
      <c r="AJU168" s="153"/>
      <c r="AJV168" s="153"/>
      <c r="AJW168" s="153"/>
      <c r="AJX168" s="153"/>
      <c r="AJY168" s="153"/>
      <c r="AJZ168" s="153"/>
      <c r="AKA168" s="153"/>
      <c r="AKB168" s="153"/>
      <c r="AKC168" s="153"/>
      <c r="AKD168" s="153"/>
      <c r="AKE168" s="153"/>
      <c r="AKF168" s="153"/>
      <c r="AKG168" s="153"/>
      <c r="AKH168" s="153"/>
      <c r="AKI168" s="153"/>
      <c r="AKJ168" s="153"/>
      <c r="AKK168" s="153"/>
      <c r="AKL168" s="153"/>
      <c r="AKM168" s="153"/>
      <c r="AKN168" s="153"/>
      <c r="AKO168" s="153"/>
      <c r="AKP168" s="153"/>
      <c r="AKQ168" s="153"/>
      <c r="AKR168" s="153"/>
      <c r="AKS168" s="153"/>
      <c r="AKT168" s="153"/>
      <c r="AKU168" s="153"/>
      <c r="AKV168" s="153"/>
      <c r="AKW168" s="153"/>
      <c r="AKX168" s="153"/>
      <c r="AKY168" s="153"/>
      <c r="AKZ168" s="153"/>
      <c r="ALA168" s="153"/>
      <c r="ALB168" s="153"/>
      <c r="ALC168" s="153"/>
      <c r="ALD168" s="153"/>
      <c r="ALE168" s="153"/>
      <c r="ALF168" s="153"/>
      <c r="ALG168" s="153"/>
      <c r="ALH168" s="153"/>
      <c r="ALI168" s="153"/>
      <c r="ALJ168" s="153"/>
      <c r="ALK168" s="153"/>
      <c r="ALL168" s="153"/>
      <c r="ALM168" s="153"/>
      <c r="ALN168" s="153"/>
      <c r="ALO168" s="153"/>
      <c r="ALP168" s="153"/>
      <c r="ALQ168" s="153"/>
      <c r="ALR168" s="153"/>
      <c r="ALS168" s="153"/>
      <c r="ALT168" s="153"/>
      <c r="ALU168" s="153"/>
      <c r="ALV168" s="153"/>
      <c r="ALW168" s="153"/>
      <c r="ALX168" s="153"/>
      <c r="ALY168" s="153"/>
      <c r="ALZ168" s="153"/>
      <c r="AMA168" s="153"/>
      <c r="AMB168" s="153"/>
      <c r="AMC168" s="153"/>
      <c r="AMD168" s="153"/>
      <c r="AME168" s="153"/>
      <c r="AMF168" s="153"/>
      <c r="AMG168" s="153"/>
      <c r="AMH168" s="153"/>
      <c r="AMI168" s="153"/>
      <c r="AMJ168" s="153"/>
      <c r="AMK168" s="153"/>
      <c r="AML168" s="153"/>
      <c r="AMM168" s="153"/>
      <c r="AMN168" s="153"/>
      <c r="AMO168" s="153"/>
      <c r="AMP168" s="153"/>
      <c r="AMQ168" s="153"/>
      <c r="AMR168" s="153"/>
      <c r="AMS168" s="153"/>
      <c r="AMT168" s="153"/>
      <c r="AMU168" s="153"/>
      <c r="AMV168" s="153"/>
      <c r="AMW168" s="153"/>
      <c r="AMX168" s="153"/>
      <c r="AMY168" s="153"/>
      <c r="AMZ168" s="153"/>
      <c r="ANA168" s="153"/>
      <c r="ANB168" s="153"/>
      <c r="ANC168" s="153"/>
      <c r="AND168" s="153"/>
      <c r="ANE168" s="153"/>
      <c r="ANF168" s="153"/>
      <c r="ANG168" s="153"/>
      <c r="ANH168" s="153"/>
      <c r="ANI168" s="153"/>
      <c r="ANJ168" s="153"/>
      <c r="ANK168" s="153"/>
      <c r="ANL168" s="153"/>
      <c r="ANM168" s="153"/>
      <c r="ANN168" s="153"/>
      <c r="ANO168" s="153"/>
      <c r="ANP168" s="153"/>
      <c r="ANQ168" s="153"/>
      <c r="ANR168" s="153"/>
      <c r="ANS168" s="153"/>
      <c r="ANT168" s="153"/>
      <c r="ANU168" s="153"/>
      <c r="ANV168" s="153"/>
      <c r="ANW168" s="153"/>
      <c r="ANX168" s="153"/>
      <c r="ANY168" s="153"/>
      <c r="ANZ168" s="153"/>
      <c r="AOA168" s="153"/>
      <c r="AOB168" s="153"/>
      <c r="AOC168" s="153"/>
      <c r="AOD168" s="153"/>
      <c r="AOE168" s="153"/>
      <c r="AOF168" s="153"/>
      <c r="AOG168" s="153"/>
      <c r="AOH168" s="153"/>
      <c r="AOI168" s="153"/>
      <c r="AOJ168" s="153"/>
      <c r="AOK168" s="153"/>
      <c r="AOL168" s="153"/>
      <c r="AOM168" s="153"/>
      <c r="AON168" s="153"/>
      <c r="AOO168" s="153"/>
      <c r="AOP168" s="153"/>
      <c r="AOQ168" s="153"/>
      <c r="AOR168" s="153"/>
      <c r="AOS168" s="153"/>
      <c r="AOT168" s="153"/>
      <c r="AOU168" s="153"/>
      <c r="AOV168" s="153"/>
      <c r="AOW168" s="153"/>
      <c r="AOX168" s="153"/>
      <c r="AOY168" s="153"/>
      <c r="AOZ168" s="153"/>
      <c r="APA168" s="153"/>
      <c r="APB168" s="153"/>
      <c r="APC168" s="153"/>
      <c r="APD168" s="153"/>
      <c r="APE168" s="153"/>
      <c r="APF168" s="153"/>
      <c r="APG168" s="153"/>
      <c r="APH168" s="153"/>
      <c r="API168" s="153"/>
      <c r="APJ168" s="153"/>
      <c r="APK168" s="153"/>
      <c r="APL168" s="153"/>
      <c r="APM168" s="153"/>
      <c r="APN168" s="153"/>
      <c r="APO168" s="153"/>
      <c r="APP168" s="153"/>
      <c r="APQ168" s="153"/>
      <c r="APR168" s="153"/>
      <c r="APS168" s="153"/>
      <c r="APT168" s="153"/>
      <c r="APU168" s="153"/>
      <c r="APV168" s="153"/>
      <c r="APW168" s="153"/>
      <c r="APX168" s="153"/>
      <c r="APY168" s="153"/>
      <c r="APZ168" s="153"/>
      <c r="AQA168" s="153"/>
      <c r="AQB168" s="153"/>
      <c r="AQC168" s="153"/>
      <c r="AQD168" s="153"/>
      <c r="AQE168" s="153"/>
      <c r="AQF168" s="153"/>
      <c r="AQG168" s="153"/>
      <c r="AQH168" s="153"/>
      <c r="AQI168" s="153"/>
      <c r="AQJ168" s="153"/>
      <c r="AQK168" s="153"/>
      <c r="AQL168" s="153"/>
      <c r="AQM168" s="153"/>
      <c r="AQN168" s="153"/>
      <c r="AQO168" s="153"/>
      <c r="AQP168" s="153"/>
      <c r="AQQ168" s="153"/>
      <c r="AQR168" s="153"/>
      <c r="AQS168" s="153"/>
      <c r="AQT168" s="153"/>
      <c r="AQU168" s="153"/>
      <c r="AQV168" s="153"/>
      <c r="AQW168" s="153"/>
      <c r="AQX168" s="153"/>
      <c r="AQY168" s="153"/>
      <c r="AQZ168" s="153"/>
      <c r="ARA168" s="153"/>
      <c r="ARB168" s="153"/>
      <c r="ARC168" s="153"/>
      <c r="ARD168" s="153"/>
      <c r="ARE168" s="153"/>
      <c r="ARF168" s="153"/>
      <c r="ARG168" s="153"/>
      <c r="ARH168" s="153"/>
      <c r="ARI168" s="153"/>
      <c r="ARJ168" s="153"/>
      <c r="ARK168" s="153"/>
      <c r="ARL168" s="153"/>
      <c r="ARM168" s="153"/>
      <c r="ARN168" s="153"/>
      <c r="ARO168" s="153"/>
      <c r="ARP168" s="153"/>
      <c r="ARQ168" s="153"/>
      <c r="ARR168" s="153"/>
      <c r="ARS168" s="153"/>
      <c r="ART168" s="153"/>
      <c r="ARU168" s="153"/>
      <c r="ARV168" s="153"/>
      <c r="ARW168" s="153"/>
      <c r="ARX168" s="153"/>
      <c r="ARY168" s="153"/>
      <c r="ARZ168" s="153"/>
      <c r="ASA168" s="153"/>
      <c r="ASB168" s="153"/>
      <c r="ASC168" s="153"/>
      <c r="ASD168" s="153"/>
      <c r="ASE168" s="153"/>
      <c r="ASF168" s="153"/>
      <c r="ASG168" s="153"/>
      <c r="ASH168" s="153"/>
      <c r="ASI168" s="153"/>
      <c r="ASJ168" s="153"/>
      <c r="ASK168" s="153"/>
      <c r="ASL168" s="153"/>
      <c r="ASM168" s="153"/>
      <c r="ASN168" s="153"/>
      <c r="ASO168" s="153"/>
      <c r="ASP168" s="153"/>
      <c r="ASQ168" s="153"/>
      <c r="ASR168" s="153"/>
      <c r="ASS168" s="153"/>
      <c r="AST168" s="153"/>
      <c r="ASU168" s="153"/>
      <c r="ASV168" s="153"/>
      <c r="ASW168" s="153"/>
      <c r="ASX168" s="153"/>
      <c r="ASY168" s="153"/>
      <c r="ASZ168" s="153"/>
      <c r="ATA168" s="153"/>
      <c r="ATB168" s="153"/>
      <c r="ATC168" s="153"/>
      <c r="ATD168" s="153"/>
      <c r="ATE168" s="153"/>
      <c r="ATF168" s="153"/>
      <c r="ATG168" s="153"/>
      <c r="ATH168" s="153"/>
      <c r="ATI168" s="153"/>
      <c r="ATJ168" s="153"/>
      <c r="ATK168" s="153"/>
      <c r="ATL168" s="153"/>
      <c r="ATM168" s="153"/>
      <c r="ATN168" s="153"/>
      <c r="ATO168" s="153"/>
      <c r="ATP168" s="153"/>
      <c r="ATQ168" s="153"/>
      <c r="ATR168" s="153"/>
      <c r="ATS168" s="153"/>
      <c r="ATT168" s="153"/>
      <c r="ATU168" s="153"/>
      <c r="ATV168" s="153"/>
      <c r="ATW168" s="153"/>
      <c r="ATX168" s="153"/>
      <c r="ATY168" s="153"/>
      <c r="ATZ168" s="153"/>
      <c r="AUA168" s="153"/>
      <c r="AUB168" s="153"/>
      <c r="AUC168" s="153"/>
      <c r="AUD168" s="153"/>
      <c r="AUE168" s="153"/>
      <c r="AUF168" s="153"/>
      <c r="AUG168" s="153"/>
      <c r="AUH168" s="153"/>
      <c r="AUI168" s="153"/>
      <c r="AUJ168" s="153"/>
      <c r="AUK168" s="153"/>
      <c r="AUL168" s="153"/>
      <c r="AUM168" s="153"/>
      <c r="AUN168" s="153"/>
      <c r="AUO168" s="153"/>
      <c r="AUP168" s="153"/>
      <c r="AUQ168" s="153"/>
      <c r="AUR168" s="153"/>
      <c r="AUS168" s="153"/>
      <c r="AUT168" s="153"/>
      <c r="AUU168" s="153"/>
      <c r="AUV168" s="153"/>
      <c r="AUW168" s="153"/>
      <c r="AUX168" s="153"/>
      <c r="AUY168" s="153"/>
      <c r="AUZ168" s="153"/>
      <c r="AVA168" s="153"/>
      <c r="AVB168" s="153"/>
      <c r="AVC168" s="153"/>
      <c r="AVD168" s="153"/>
      <c r="AVE168" s="153"/>
      <c r="AVF168" s="153"/>
      <c r="AVG168" s="153"/>
      <c r="AVH168" s="153"/>
      <c r="AVI168" s="153"/>
      <c r="AVJ168" s="153"/>
      <c r="AVK168" s="153"/>
      <c r="AVL168" s="153"/>
      <c r="AVM168" s="153"/>
      <c r="AVN168" s="153"/>
      <c r="AVO168" s="153"/>
      <c r="AVP168" s="153"/>
      <c r="AVQ168" s="153"/>
      <c r="AVR168" s="153"/>
      <c r="AVS168" s="153"/>
      <c r="AVT168" s="153"/>
      <c r="AVU168" s="153"/>
      <c r="AVV168" s="153"/>
      <c r="AVW168" s="153"/>
      <c r="AVX168" s="153"/>
      <c r="AVY168" s="153"/>
      <c r="AVZ168" s="153"/>
      <c r="AWA168" s="153"/>
      <c r="AWB168" s="153"/>
      <c r="AWC168" s="153"/>
      <c r="AWD168" s="153"/>
      <c r="AWE168" s="153"/>
      <c r="AWF168" s="153"/>
      <c r="AWG168" s="153"/>
      <c r="AWH168" s="153"/>
      <c r="AWI168" s="153"/>
      <c r="AWJ168" s="153"/>
      <c r="AWK168" s="153"/>
      <c r="AWL168" s="153"/>
      <c r="AWM168" s="153"/>
      <c r="AWN168" s="153"/>
      <c r="AWO168" s="153"/>
      <c r="AWP168" s="153"/>
      <c r="AWQ168" s="153"/>
      <c r="AWR168" s="153"/>
      <c r="AWS168" s="153"/>
      <c r="AWT168" s="153"/>
      <c r="AWU168" s="153"/>
      <c r="AWV168" s="153"/>
      <c r="AWW168" s="153"/>
      <c r="AWX168" s="153"/>
      <c r="AWY168" s="153"/>
      <c r="AWZ168" s="153"/>
      <c r="AXA168" s="153"/>
      <c r="AXB168" s="153"/>
      <c r="AXC168" s="153"/>
      <c r="AXD168" s="153"/>
      <c r="AXE168" s="153"/>
      <c r="AXF168" s="153"/>
      <c r="AXG168" s="153"/>
      <c r="AXH168" s="153"/>
      <c r="AXI168" s="153"/>
      <c r="AXJ168" s="153"/>
      <c r="AXK168" s="153"/>
      <c r="AXL168" s="153"/>
      <c r="AXM168" s="153"/>
      <c r="AXN168" s="153"/>
      <c r="AXO168" s="153"/>
      <c r="AXP168" s="153"/>
      <c r="AXQ168" s="153"/>
      <c r="AXR168" s="153"/>
      <c r="AXS168" s="153"/>
      <c r="AXT168" s="153"/>
      <c r="AXU168" s="153"/>
      <c r="AXV168" s="153"/>
      <c r="AXW168" s="153"/>
      <c r="AXX168" s="153"/>
      <c r="AXY168" s="153"/>
      <c r="AXZ168" s="153"/>
      <c r="AYA168" s="153"/>
      <c r="AYB168" s="153"/>
      <c r="AYC168" s="153"/>
      <c r="AYD168" s="153"/>
      <c r="AYE168" s="153"/>
      <c r="AYF168" s="153"/>
      <c r="AYG168" s="153"/>
      <c r="AYH168" s="153"/>
      <c r="AYI168" s="153"/>
      <c r="AYJ168" s="153"/>
      <c r="AYK168" s="153"/>
      <c r="AYL168" s="153"/>
      <c r="AYM168" s="153"/>
      <c r="AYN168" s="153"/>
      <c r="AYO168" s="153"/>
      <c r="AYP168" s="153"/>
      <c r="AYQ168" s="153"/>
      <c r="AYR168" s="153"/>
      <c r="AYS168" s="153"/>
      <c r="AYT168" s="153"/>
      <c r="AYU168" s="153"/>
      <c r="AYV168" s="153"/>
      <c r="AYW168" s="153"/>
      <c r="AYX168" s="153"/>
      <c r="AYY168" s="153"/>
      <c r="AYZ168" s="153"/>
      <c r="AZA168" s="153"/>
      <c r="AZB168" s="153"/>
      <c r="AZC168" s="153"/>
      <c r="AZD168" s="153"/>
      <c r="AZE168" s="153"/>
      <c r="AZF168" s="153"/>
      <c r="AZG168" s="153"/>
      <c r="AZH168" s="153"/>
      <c r="AZI168" s="153"/>
      <c r="AZJ168" s="153"/>
      <c r="AZK168" s="153"/>
      <c r="AZL168" s="153"/>
      <c r="AZM168" s="153"/>
      <c r="AZN168" s="153"/>
      <c r="AZO168" s="153"/>
      <c r="AZP168" s="153"/>
      <c r="AZQ168" s="153"/>
      <c r="AZR168" s="153"/>
      <c r="AZS168" s="153"/>
      <c r="AZT168" s="153"/>
      <c r="AZU168" s="153"/>
      <c r="AZV168" s="153"/>
      <c r="AZW168" s="153"/>
      <c r="AZX168" s="153"/>
      <c r="AZY168" s="153"/>
      <c r="AZZ168" s="153"/>
      <c r="BAA168" s="153"/>
      <c r="BAB168" s="153"/>
      <c r="BAC168" s="153"/>
      <c r="BAD168" s="153"/>
      <c r="BAE168" s="153"/>
      <c r="BAF168" s="153"/>
      <c r="BAG168" s="153"/>
      <c r="BAH168" s="153"/>
      <c r="BAI168" s="153"/>
      <c r="BAJ168" s="153"/>
      <c r="BAK168" s="153"/>
      <c r="BAL168" s="153"/>
      <c r="BAM168" s="153"/>
      <c r="BAN168" s="153"/>
      <c r="BAO168" s="153"/>
      <c r="BAP168" s="153"/>
      <c r="BAQ168" s="153"/>
      <c r="BAR168" s="153"/>
      <c r="BAS168" s="153"/>
      <c r="BAT168" s="153"/>
      <c r="BAU168" s="153"/>
      <c r="BAV168" s="153"/>
      <c r="BAW168" s="153"/>
      <c r="BAX168" s="153"/>
      <c r="BAY168" s="153"/>
      <c r="BAZ168" s="153"/>
      <c r="BBA168" s="153"/>
      <c r="BBB168" s="153"/>
      <c r="BBC168" s="153"/>
      <c r="BBD168" s="153"/>
      <c r="BBE168" s="153"/>
      <c r="BBF168" s="153"/>
      <c r="BBG168" s="153"/>
      <c r="BBH168" s="153"/>
      <c r="BBI168" s="153"/>
      <c r="BBJ168" s="153"/>
      <c r="BBK168" s="153"/>
      <c r="BBL168" s="153"/>
      <c r="BBM168" s="153"/>
      <c r="BBN168" s="153"/>
      <c r="BBO168" s="153"/>
      <c r="BBP168" s="153"/>
      <c r="BBQ168" s="153"/>
      <c r="BBR168" s="153"/>
      <c r="BBS168" s="153"/>
      <c r="BBT168" s="153"/>
      <c r="BBU168" s="153"/>
      <c r="BBV168" s="153"/>
      <c r="BBW168" s="153"/>
      <c r="BBX168" s="153"/>
      <c r="BBY168" s="153"/>
      <c r="BBZ168" s="153"/>
      <c r="BCA168" s="153"/>
      <c r="BCB168" s="153"/>
      <c r="BCC168" s="153"/>
      <c r="BCD168" s="153"/>
      <c r="BCE168" s="153"/>
      <c r="BCF168" s="153"/>
      <c r="BCG168" s="153"/>
      <c r="BCH168" s="153"/>
      <c r="BCI168" s="153"/>
      <c r="BCJ168" s="153"/>
      <c r="BCK168" s="153"/>
      <c r="BCL168" s="153"/>
      <c r="BCM168" s="153"/>
      <c r="BCN168" s="153"/>
      <c r="BCO168" s="153"/>
      <c r="BCP168" s="153"/>
      <c r="BCQ168" s="153"/>
      <c r="BCR168" s="153"/>
      <c r="BCS168" s="153"/>
      <c r="BCT168" s="153"/>
      <c r="BCU168" s="153"/>
      <c r="BCV168" s="153"/>
      <c r="BCW168" s="153"/>
      <c r="BCX168" s="153"/>
      <c r="BCY168" s="153"/>
      <c r="BCZ168" s="153"/>
      <c r="BDA168" s="153"/>
      <c r="BDB168" s="153"/>
      <c r="BDC168" s="153"/>
      <c r="BDD168" s="153"/>
      <c r="BDE168" s="153"/>
      <c r="BDF168" s="153"/>
      <c r="BDG168" s="153"/>
      <c r="BDH168" s="153"/>
      <c r="BDI168" s="153"/>
      <c r="BDJ168" s="153"/>
      <c r="BDK168" s="153"/>
      <c r="BDL168" s="153"/>
      <c r="BDM168" s="153"/>
      <c r="BDN168" s="153"/>
      <c r="BDO168" s="153"/>
      <c r="BDP168" s="153"/>
      <c r="BDQ168" s="153"/>
      <c r="BDR168" s="153"/>
      <c r="BDS168" s="153"/>
      <c r="BDT168" s="153"/>
      <c r="BDU168" s="153"/>
      <c r="BDV168" s="153"/>
      <c r="BDW168" s="153"/>
      <c r="BDX168" s="153"/>
      <c r="BDY168" s="153"/>
      <c r="BDZ168" s="153"/>
      <c r="BEA168" s="153"/>
      <c r="BEB168" s="153"/>
      <c r="BEC168" s="153"/>
      <c r="BED168" s="153"/>
      <c r="BEE168" s="153"/>
      <c r="BEF168" s="153"/>
      <c r="BEG168" s="153"/>
      <c r="BEH168" s="153"/>
      <c r="BEI168" s="153"/>
      <c r="BEJ168" s="153"/>
      <c r="BEK168" s="153"/>
      <c r="BEL168" s="153"/>
      <c r="BEM168" s="153"/>
      <c r="BEN168" s="153"/>
      <c r="BEO168" s="153"/>
      <c r="BEP168" s="153"/>
      <c r="BEQ168" s="153"/>
      <c r="BER168" s="153"/>
      <c r="BES168" s="153"/>
      <c r="BET168" s="153"/>
      <c r="BEU168" s="153"/>
      <c r="BEV168" s="153"/>
      <c r="BEW168" s="153"/>
      <c r="BEX168" s="153"/>
      <c r="BEY168" s="153"/>
      <c r="BEZ168" s="153"/>
      <c r="BFA168" s="153"/>
      <c r="BFB168" s="153"/>
      <c r="BFC168" s="153"/>
      <c r="BFD168" s="153"/>
      <c r="BFE168" s="153"/>
      <c r="BFF168" s="153"/>
      <c r="BFG168" s="153"/>
      <c r="BFH168" s="153"/>
      <c r="BFI168" s="153"/>
      <c r="BFJ168" s="153"/>
      <c r="BFK168" s="153"/>
      <c r="BFL168" s="153"/>
      <c r="BFM168" s="153"/>
      <c r="BFN168" s="153"/>
      <c r="BFO168" s="153"/>
      <c r="BFP168" s="153"/>
      <c r="BFQ168" s="153"/>
      <c r="BFR168" s="153"/>
      <c r="BFS168" s="153"/>
      <c r="BFT168" s="153"/>
      <c r="BFU168" s="153"/>
      <c r="BFV168" s="153"/>
      <c r="BFW168" s="153"/>
      <c r="BFX168" s="153"/>
      <c r="BFY168" s="153"/>
      <c r="BFZ168" s="153"/>
      <c r="BGA168" s="153"/>
      <c r="BGB168" s="153"/>
      <c r="BGC168" s="153"/>
      <c r="BGD168" s="153"/>
      <c r="BGE168" s="153"/>
      <c r="BGF168" s="153"/>
      <c r="BGG168" s="153"/>
      <c r="BGH168" s="153"/>
      <c r="BGI168" s="153"/>
      <c r="BGJ168" s="153"/>
      <c r="BGK168" s="153"/>
      <c r="BGL168" s="153"/>
      <c r="BGM168" s="153"/>
      <c r="BGN168" s="153"/>
      <c r="BGO168" s="153"/>
      <c r="BGP168" s="153"/>
      <c r="BGQ168" s="153"/>
      <c r="BGR168" s="153"/>
      <c r="BGS168" s="153"/>
      <c r="BGT168" s="153"/>
      <c r="BGU168" s="153"/>
      <c r="BGV168" s="153"/>
      <c r="BGW168" s="153"/>
      <c r="BGX168" s="153"/>
      <c r="BGY168" s="153"/>
      <c r="BGZ168" s="153"/>
      <c r="BHA168" s="153"/>
      <c r="BHB168" s="153"/>
      <c r="BHC168" s="153"/>
      <c r="BHD168" s="153"/>
      <c r="BHE168" s="153"/>
      <c r="BHF168" s="153"/>
      <c r="BHG168" s="153"/>
      <c r="BHH168" s="153"/>
      <c r="BHI168" s="153"/>
      <c r="BHJ168" s="153"/>
      <c r="BHK168" s="153"/>
      <c r="BHL168" s="153"/>
      <c r="BHM168" s="153"/>
      <c r="BHN168" s="153"/>
      <c r="BHO168" s="153"/>
      <c r="BHP168" s="153"/>
      <c r="BHQ168" s="153"/>
      <c r="BHR168" s="153"/>
      <c r="BHS168" s="153"/>
      <c r="BHT168" s="153"/>
      <c r="BHU168" s="153"/>
      <c r="BHV168" s="153"/>
      <c r="BHW168" s="153"/>
      <c r="BHX168" s="153"/>
      <c r="BHY168" s="153"/>
      <c r="BHZ168" s="153"/>
      <c r="BIA168" s="153"/>
      <c r="BIB168" s="153"/>
      <c r="BIC168" s="153"/>
      <c r="BID168" s="153"/>
      <c r="BIE168" s="153"/>
      <c r="BIF168" s="153"/>
      <c r="BIG168" s="153"/>
      <c r="BIH168" s="153"/>
      <c r="BII168" s="153"/>
      <c r="BIJ168" s="153"/>
      <c r="BIK168" s="153"/>
      <c r="BIL168" s="153"/>
      <c r="BIM168" s="153"/>
      <c r="BIN168" s="153"/>
      <c r="BIO168" s="153"/>
      <c r="BIP168" s="153"/>
      <c r="BIQ168" s="153"/>
      <c r="BIR168" s="153"/>
      <c r="BIS168" s="153"/>
      <c r="BIT168" s="153"/>
      <c r="BIU168" s="153"/>
      <c r="BIV168" s="153"/>
      <c r="BIW168" s="153"/>
      <c r="BIX168" s="153"/>
      <c r="BIY168" s="153"/>
      <c r="BIZ168" s="153"/>
      <c r="BJA168" s="153"/>
      <c r="BJB168" s="153"/>
      <c r="BJC168" s="153"/>
      <c r="BJD168" s="153"/>
      <c r="BJE168" s="153"/>
      <c r="BJF168" s="153"/>
      <c r="BJG168" s="153"/>
      <c r="BJH168" s="153"/>
      <c r="BJI168" s="153"/>
      <c r="BJJ168" s="153"/>
      <c r="BJK168" s="153"/>
      <c r="BJL168" s="153"/>
      <c r="BJM168" s="153"/>
      <c r="BJN168" s="153"/>
      <c r="BJO168" s="153"/>
      <c r="BJP168" s="153"/>
      <c r="BJQ168" s="153"/>
      <c r="BJR168" s="153"/>
      <c r="BJS168" s="153"/>
      <c r="BJT168" s="153"/>
      <c r="BJU168" s="153"/>
      <c r="BJV168" s="153"/>
      <c r="BJW168" s="153"/>
      <c r="BJX168" s="153"/>
      <c r="BJY168" s="153"/>
      <c r="BJZ168" s="153"/>
      <c r="BKA168" s="153"/>
      <c r="BKB168" s="153"/>
      <c r="BKC168" s="153"/>
      <c r="BKD168" s="153"/>
      <c r="BKE168" s="153"/>
      <c r="BKF168" s="153"/>
      <c r="BKG168" s="153"/>
      <c r="BKH168" s="153"/>
      <c r="BKI168" s="153"/>
      <c r="BKJ168" s="153"/>
      <c r="BKK168" s="153"/>
      <c r="BKL168" s="153"/>
      <c r="BKM168" s="153"/>
      <c r="BKN168" s="153"/>
      <c r="BKO168" s="153"/>
      <c r="BKP168" s="153"/>
      <c r="BKQ168" s="153"/>
      <c r="BKR168" s="153"/>
      <c r="BKS168" s="153"/>
      <c r="BKT168" s="153"/>
      <c r="BKU168" s="153"/>
      <c r="BKV168" s="153"/>
      <c r="BKW168" s="153"/>
      <c r="BKX168" s="153"/>
      <c r="BKY168" s="153"/>
      <c r="BKZ168" s="153"/>
      <c r="BLA168" s="153"/>
      <c r="BLB168" s="153"/>
      <c r="BLC168" s="153"/>
      <c r="BLD168" s="153"/>
      <c r="BLE168" s="153"/>
      <c r="BLF168" s="153"/>
      <c r="BLG168" s="153"/>
      <c r="BLH168" s="153"/>
      <c r="BLI168" s="153"/>
      <c r="BLJ168" s="153"/>
      <c r="BLK168" s="153"/>
      <c r="BLL168" s="153"/>
      <c r="BLM168" s="153"/>
      <c r="BLN168" s="153"/>
      <c r="BLO168" s="153"/>
      <c r="BLP168" s="153"/>
      <c r="BLQ168" s="153"/>
      <c r="BLR168" s="153"/>
      <c r="BLS168" s="153"/>
      <c r="BLT168" s="153"/>
      <c r="BLU168" s="153"/>
      <c r="BLV168" s="153"/>
      <c r="BLW168" s="153"/>
      <c r="BLX168" s="153"/>
      <c r="BLY168" s="153"/>
      <c r="BLZ168" s="153"/>
      <c r="BMA168" s="153"/>
      <c r="BMB168" s="153"/>
      <c r="BMC168" s="153"/>
      <c r="BMD168" s="153"/>
      <c r="BME168" s="153"/>
      <c r="BMF168" s="153"/>
      <c r="BMG168" s="153"/>
      <c r="BMH168" s="153"/>
      <c r="BMI168" s="153"/>
      <c r="BMJ168" s="153"/>
      <c r="BMK168" s="153"/>
      <c r="BML168" s="153"/>
      <c r="BMM168" s="153"/>
      <c r="BMN168" s="153"/>
      <c r="BMO168" s="153"/>
      <c r="BMP168" s="153"/>
      <c r="BMQ168" s="153"/>
      <c r="BMR168" s="153"/>
      <c r="BMS168" s="153"/>
      <c r="BMT168" s="153"/>
      <c r="BMU168" s="153"/>
      <c r="BMV168" s="153"/>
      <c r="BMW168" s="153"/>
      <c r="BMX168" s="153"/>
      <c r="BMY168" s="153"/>
      <c r="BMZ168" s="153"/>
      <c r="BNA168" s="153"/>
      <c r="BNB168" s="153"/>
      <c r="BNC168" s="153"/>
      <c r="BND168" s="153"/>
      <c r="BNE168" s="153"/>
      <c r="BNF168" s="153"/>
      <c r="BNG168" s="153"/>
      <c r="BNH168" s="153"/>
      <c r="BNI168" s="153"/>
      <c r="BNJ168" s="153"/>
      <c r="BNK168" s="153"/>
      <c r="BNL168" s="153"/>
      <c r="BNM168" s="153"/>
      <c r="BNN168" s="153"/>
      <c r="BNO168" s="153"/>
      <c r="BNP168" s="153"/>
      <c r="BNQ168" s="153"/>
      <c r="BNR168" s="153"/>
      <c r="BNS168" s="153"/>
      <c r="BNT168" s="153"/>
      <c r="BNU168" s="153"/>
      <c r="BNV168" s="153"/>
      <c r="BNW168" s="153"/>
      <c r="BNX168" s="153"/>
      <c r="BNY168" s="153"/>
      <c r="BNZ168" s="153"/>
      <c r="BOA168" s="153"/>
      <c r="BOB168" s="153"/>
      <c r="BOC168" s="153"/>
      <c r="BOD168" s="153"/>
      <c r="BOE168" s="153"/>
      <c r="BOF168" s="153"/>
      <c r="BOG168" s="153"/>
      <c r="BOH168" s="153"/>
      <c r="BOI168" s="153"/>
      <c r="BOJ168" s="153"/>
      <c r="BOK168" s="153"/>
      <c r="BOL168" s="153"/>
      <c r="BOM168" s="153"/>
      <c r="BON168" s="153"/>
      <c r="BOO168" s="153"/>
      <c r="BOP168" s="153"/>
      <c r="BOQ168" s="153"/>
      <c r="BOR168" s="153"/>
      <c r="BOS168" s="153"/>
      <c r="BOT168" s="153"/>
      <c r="BOU168" s="153"/>
      <c r="BOV168" s="153"/>
      <c r="BOW168" s="153"/>
      <c r="BOX168" s="153"/>
      <c r="BOY168" s="153"/>
      <c r="BOZ168" s="153"/>
      <c r="BPA168" s="153"/>
      <c r="BPB168" s="153"/>
      <c r="BPC168" s="153"/>
      <c r="BPD168" s="153"/>
      <c r="BPE168" s="153"/>
      <c r="BPF168" s="153"/>
      <c r="BPG168" s="153"/>
      <c r="BPH168" s="153"/>
      <c r="BPI168" s="153"/>
      <c r="BPJ168" s="153"/>
      <c r="BPK168" s="153"/>
      <c r="BPL168" s="153"/>
      <c r="BPM168" s="153"/>
      <c r="BPN168" s="153"/>
      <c r="BPO168" s="153"/>
      <c r="BPP168" s="153"/>
      <c r="BPQ168" s="153"/>
      <c r="BPR168" s="153"/>
      <c r="BPS168" s="153"/>
      <c r="BPT168" s="153"/>
      <c r="BPU168" s="153"/>
      <c r="BPV168" s="153"/>
      <c r="BPW168" s="153"/>
      <c r="BPX168" s="153"/>
      <c r="BPY168" s="153"/>
      <c r="BPZ168" s="153"/>
      <c r="BQA168" s="153"/>
      <c r="BQB168" s="153"/>
      <c r="BQC168" s="153"/>
      <c r="BQD168" s="153"/>
      <c r="BQE168" s="153"/>
      <c r="BQF168" s="153"/>
      <c r="BQG168" s="153"/>
      <c r="BQH168" s="153"/>
      <c r="BQI168" s="153"/>
      <c r="BQJ168" s="153"/>
      <c r="BQK168" s="153"/>
      <c r="BQL168" s="153"/>
      <c r="BQM168" s="153"/>
      <c r="BQN168" s="153"/>
      <c r="BQO168" s="153"/>
      <c r="BQP168" s="153"/>
      <c r="BQQ168" s="153"/>
      <c r="BQR168" s="153"/>
      <c r="BQS168" s="153"/>
      <c r="BQT168" s="153"/>
      <c r="BQU168" s="153"/>
      <c r="BQV168" s="153"/>
      <c r="BQW168" s="153"/>
      <c r="BQX168" s="153"/>
      <c r="BQY168" s="153"/>
      <c r="BQZ168" s="153"/>
      <c r="BRA168" s="153"/>
      <c r="BRB168" s="153"/>
      <c r="BRC168" s="153"/>
      <c r="BRD168" s="153"/>
      <c r="BRE168" s="153"/>
      <c r="BRF168" s="153"/>
      <c r="BRG168" s="153"/>
      <c r="BRH168" s="153"/>
      <c r="BRI168" s="153"/>
      <c r="BRJ168" s="153"/>
      <c r="BRK168" s="153"/>
      <c r="BRL168" s="153"/>
      <c r="BRM168" s="153"/>
      <c r="BRN168" s="153"/>
      <c r="BRO168" s="153"/>
      <c r="BRP168" s="153"/>
      <c r="BRQ168" s="153"/>
      <c r="BRR168" s="153"/>
      <c r="BRS168" s="153"/>
      <c r="BRT168" s="153"/>
      <c r="BRU168" s="153"/>
      <c r="BRV168" s="153"/>
      <c r="BRW168" s="153"/>
      <c r="BRX168" s="153"/>
      <c r="BRY168" s="153"/>
      <c r="BRZ168" s="153"/>
      <c r="BSA168" s="153"/>
      <c r="BSB168" s="153"/>
      <c r="BSC168" s="153"/>
      <c r="BSD168" s="153"/>
      <c r="BSE168" s="153"/>
      <c r="BSF168" s="153"/>
      <c r="BSG168" s="153"/>
      <c r="BSH168" s="153"/>
      <c r="BSI168" s="153"/>
      <c r="BSJ168" s="153"/>
      <c r="BSK168" s="153"/>
      <c r="BSL168" s="153"/>
      <c r="BSM168" s="153"/>
      <c r="BSN168" s="153"/>
      <c r="BSO168" s="153"/>
      <c r="BSP168" s="153"/>
      <c r="BSQ168" s="153"/>
      <c r="BSR168" s="153"/>
      <c r="BSS168" s="153"/>
      <c r="BST168" s="153"/>
      <c r="BSU168" s="153"/>
      <c r="BSV168" s="153"/>
      <c r="BSW168" s="153"/>
      <c r="BSX168" s="153"/>
      <c r="BSY168" s="153"/>
      <c r="BSZ168" s="153"/>
      <c r="BTA168" s="153"/>
      <c r="BTB168" s="153"/>
      <c r="BTC168" s="153"/>
      <c r="BTD168" s="153"/>
      <c r="BTE168" s="153"/>
      <c r="BTF168" s="153"/>
      <c r="BTG168" s="153"/>
      <c r="BTH168" s="153"/>
      <c r="BTI168" s="153"/>
      <c r="BTJ168" s="153"/>
      <c r="BTK168" s="153"/>
      <c r="BTL168" s="153"/>
      <c r="BTM168" s="153"/>
      <c r="BTN168" s="153"/>
      <c r="BTO168" s="153"/>
      <c r="BTP168" s="153"/>
      <c r="BTQ168" s="153"/>
      <c r="BTR168" s="153"/>
      <c r="BTS168" s="153"/>
      <c r="BTT168" s="153"/>
      <c r="BTU168" s="153"/>
      <c r="BTV168" s="153"/>
      <c r="BTW168" s="153"/>
      <c r="BTX168" s="153"/>
      <c r="BTY168" s="153"/>
      <c r="BTZ168" s="153"/>
      <c r="BUA168" s="153"/>
      <c r="BUB168" s="153"/>
      <c r="BUC168" s="153"/>
      <c r="BUD168" s="153"/>
      <c r="BUE168" s="153"/>
      <c r="BUF168" s="153"/>
      <c r="BUG168" s="153"/>
      <c r="BUH168" s="153"/>
      <c r="BUI168" s="153"/>
      <c r="BUJ168" s="153"/>
      <c r="BUK168" s="153"/>
      <c r="BUL168" s="153"/>
      <c r="BUM168" s="153"/>
      <c r="BUN168" s="153"/>
      <c r="BUO168" s="153"/>
      <c r="BUP168" s="153"/>
      <c r="BUQ168" s="153"/>
      <c r="BUR168" s="153"/>
      <c r="BUS168" s="153"/>
      <c r="BUT168" s="153"/>
      <c r="BUU168" s="153"/>
      <c r="BUV168" s="153"/>
      <c r="BUW168" s="153"/>
      <c r="BUX168" s="153"/>
      <c r="BUY168" s="153"/>
      <c r="BUZ168" s="153"/>
      <c r="BVA168" s="153"/>
      <c r="BVB168" s="153"/>
      <c r="BVC168" s="153"/>
      <c r="BVD168" s="153"/>
      <c r="BVE168" s="153"/>
      <c r="BVF168" s="153"/>
      <c r="BVG168" s="153"/>
      <c r="BVH168" s="153"/>
      <c r="BVI168" s="153"/>
      <c r="BVJ168" s="153"/>
      <c r="BVK168" s="153"/>
      <c r="BVL168" s="153"/>
      <c r="BVM168" s="153"/>
      <c r="BVN168" s="153"/>
      <c r="BVO168" s="153"/>
      <c r="BVP168" s="153"/>
      <c r="BVQ168" s="153"/>
      <c r="BVR168" s="153"/>
      <c r="BVS168" s="153"/>
      <c r="BVT168" s="153"/>
      <c r="BVU168" s="153"/>
      <c r="BVV168" s="153"/>
      <c r="BVW168" s="153"/>
      <c r="BVX168" s="153"/>
      <c r="BVY168" s="153"/>
      <c r="BVZ168" s="153"/>
      <c r="BWA168" s="153"/>
      <c r="BWB168" s="153"/>
      <c r="BWC168" s="153"/>
      <c r="BWD168" s="153"/>
      <c r="BWE168" s="153"/>
      <c r="BWF168" s="153"/>
      <c r="BWG168" s="153"/>
      <c r="BWH168" s="153"/>
      <c r="BWI168" s="153"/>
      <c r="BWJ168" s="153"/>
      <c r="BWK168" s="153"/>
      <c r="BWL168" s="153"/>
      <c r="BWM168" s="153"/>
      <c r="BWN168" s="153"/>
      <c r="BWO168" s="153"/>
      <c r="BWP168" s="153"/>
      <c r="BWQ168" s="153"/>
      <c r="BWR168" s="153"/>
      <c r="BWS168" s="153"/>
      <c r="BWT168" s="153"/>
      <c r="BWU168" s="153"/>
      <c r="BWV168" s="153"/>
      <c r="BWW168" s="153"/>
      <c r="BWX168" s="153"/>
      <c r="BWY168" s="153"/>
      <c r="BWZ168" s="153"/>
      <c r="BXA168" s="153"/>
      <c r="BXB168" s="153"/>
      <c r="BXC168" s="153"/>
      <c r="BXD168" s="153"/>
      <c r="BXE168" s="153"/>
      <c r="BXF168" s="153"/>
      <c r="BXG168" s="153"/>
      <c r="BXH168" s="153"/>
      <c r="BXI168" s="153"/>
      <c r="BXJ168" s="153"/>
      <c r="BXK168" s="153"/>
      <c r="BXL168" s="153"/>
      <c r="BXM168" s="153"/>
      <c r="BXN168" s="153"/>
      <c r="BXO168" s="153"/>
      <c r="BXP168" s="153"/>
      <c r="BXQ168" s="153"/>
      <c r="BXR168" s="153"/>
      <c r="BXS168" s="153"/>
      <c r="BXT168" s="153"/>
      <c r="BXU168" s="153"/>
      <c r="BXV168" s="153"/>
      <c r="BXW168" s="153"/>
      <c r="BXX168" s="153"/>
      <c r="BXY168" s="153"/>
      <c r="BXZ168" s="153"/>
      <c r="BYA168" s="153"/>
      <c r="BYB168" s="153"/>
      <c r="BYC168" s="153"/>
      <c r="BYD168" s="153"/>
      <c r="BYE168" s="153"/>
      <c r="BYF168" s="153"/>
      <c r="BYG168" s="153"/>
      <c r="BYH168" s="153"/>
      <c r="BYI168" s="153"/>
      <c r="BYJ168" s="153"/>
      <c r="BYK168" s="153"/>
      <c r="BYL168" s="153"/>
      <c r="BYM168" s="153"/>
      <c r="BYN168" s="153"/>
      <c r="BYO168" s="153"/>
      <c r="BYP168" s="153"/>
      <c r="BYQ168" s="153"/>
      <c r="BYR168" s="153"/>
      <c r="BYS168" s="153"/>
      <c r="BYT168" s="153"/>
      <c r="BYU168" s="153"/>
      <c r="BYV168" s="153"/>
      <c r="BYW168" s="153"/>
      <c r="BYX168" s="153"/>
      <c r="BYY168" s="153"/>
      <c r="BYZ168" s="153"/>
      <c r="BZA168" s="153"/>
      <c r="BZB168" s="153"/>
      <c r="BZC168" s="153"/>
      <c r="BZD168" s="153"/>
      <c r="BZE168" s="153"/>
      <c r="BZF168" s="153"/>
      <c r="BZG168" s="153"/>
      <c r="BZH168" s="153"/>
      <c r="BZI168" s="153"/>
      <c r="BZJ168" s="153"/>
      <c r="BZK168" s="153"/>
      <c r="BZL168" s="153"/>
      <c r="BZM168" s="153"/>
      <c r="BZN168" s="153"/>
      <c r="BZO168" s="153"/>
      <c r="BZP168" s="153"/>
      <c r="BZQ168" s="153"/>
      <c r="BZR168" s="153"/>
      <c r="BZS168" s="153"/>
      <c r="BZT168" s="153"/>
      <c r="BZU168" s="153"/>
      <c r="BZV168" s="153"/>
      <c r="BZW168" s="153"/>
      <c r="BZX168" s="153"/>
      <c r="BZY168" s="153"/>
      <c r="BZZ168" s="153"/>
      <c r="CAA168" s="153"/>
      <c r="CAB168" s="153"/>
      <c r="CAC168" s="153"/>
      <c r="CAD168" s="153"/>
      <c r="CAE168" s="153"/>
      <c r="CAF168" s="153"/>
      <c r="CAG168" s="153"/>
      <c r="CAH168" s="153"/>
      <c r="CAI168" s="153"/>
      <c r="CAJ168" s="153"/>
      <c r="CAK168" s="153"/>
      <c r="CAL168" s="153"/>
      <c r="CAM168" s="153"/>
      <c r="CAN168" s="153"/>
      <c r="CAO168" s="153"/>
      <c r="CAP168" s="153"/>
      <c r="CAQ168" s="153"/>
      <c r="CAR168" s="153"/>
      <c r="CAS168" s="153"/>
      <c r="CAT168" s="153"/>
      <c r="CAU168" s="153"/>
      <c r="CAV168" s="153"/>
      <c r="CAW168" s="153"/>
      <c r="CAX168" s="153"/>
      <c r="CAY168" s="153"/>
      <c r="CAZ168" s="153"/>
      <c r="CBA168" s="153"/>
      <c r="CBB168" s="153"/>
      <c r="CBC168" s="153"/>
      <c r="CBD168" s="153"/>
      <c r="CBE168" s="153"/>
      <c r="CBF168" s="153"/>
      <c r="CBG168" s="153"/>
      <c r="CBH168" s="153"/>
      <c r="CBI168" s="153"/>
      <c r="CBJ168" s="153"/>
      <c r="CBK168" s="153"/>
      <c r="CBL168" s="153"/>
      <c r="CBM168" s="153"/>
      <c r="CBN168" s="153"/>
      <c r="CBO168" s="153"/>
      <c r="CBP168" s="153"/>
      <c r="CBQ168" s="153"/>
      <c r="CBR168" s="153"/>
      <c r="CBS168" s="153"/>
      <c r="CBT168" s="153"/>
      <c r="CBU168" s="153"/>
      <c r="CBV168" s="153"/>
      <c r="CBW168" s="153"/>
      <c r="CBX168" s="153"/>
      <c r="CBY168" s="153"/>
      <c r="CBZ168" s="153"/>
      <c r="CCA168" s="153"/>
      <c r="CCB168" s="153"/>
      <c r="CCC168" s="153"/>
      <c r="CCD168" s="153"/>
      <c r="CCE168" s="153"/>
      <c r="CCF168" s="153"/>
      <c r="CCG168" s="153"/>
      <c r="CCH168" s="153"/>
      <c r="CCI168" s="153"/>
      <c r="CCJ168" s="153"/>
      <c r="CCK168" s="153"/>
      <c r="CCL168" s="153"/>
      <c r="CCM168" s="153"/>
      <c r="CCN168" s="153"/>
      <c r="CCO168" s="153"/>
      <c r="CCP168" s="153"/>
      <c r="CCQ168" s="153"/>
      <c r="CCR168" s="153"/>
      <c r="CCS168" s="153"/>
      <c r="CCT168" s="153"/>
      <c r="CCU168" s="153"/>
      <c r="CCV168" s="153"/>
      <c r="CCW168" s="153"/>
      <c r="CCX168" s="153"/>
      <c r="CCY168" s="153"/>
      <c r="CCZ168" s="153"/>
      <c r="CDA168" s="153"/>
      <c r="CDB168" s="153"/>
      <c r="CDC168" s="153"/>
      <c r="CDD168" s="153"/>
      <c r="CDE168" s="153"/>
      <c r="CDF168" s="153"/>
      <c r="CDG168" s="153"/>
      <c r="CDH168" s="153"/>
      <c r="CDI168" s="153"/>
      <c r="CDJ168" s="153"/>
      <c r="CDK168" s="153"/>
      <c r="CDL168" s="153"/>
      <c r="CDM168" s="153"/>
      <c r="CDN168" s="153"/>
      <c r="CDO168" s="153"/>
      <c r="CDP168" s="153"/>
      <c r="CDQ168" s="153"/>
      <c r="CDR168" s="153"/>
      <c r="CDS168" s="153"/>
      <c r="CDT168" s="153"/>
      <c r="CDU168" s="153"/>
      <c r="CDV168" s="153"/>
      <c r="CDW168" s="153"/>
      <c r="CDX168" s="153"/>
      <c r="CDY168" s="153"/>
      <c r="CDZ168" s="153"/>
      <c r="CEA168" s="153"/>
      <c r="CEB168" s="153"/>
      <c r="CEC168" s="153"/>
      <c r="CED168" s="153"/>
      <c r="CEE168" s="153"/>
      <c r="CEF168" s="153"/>
      <c r="CEG168" s="153"/>
      <c r="CEH168" s="153"/>
      <c r="CEI168" s="153"/>
      <c r="CEJ168" s="153"/>
      <c r="CEK168" s="153"/>
      <c r="CEL168" s="153"/>
      <c r="CEM168" s="153"/>
      <c r="CEN168" s="153"/>
      <c r="CEO168" s="153"/>
      <c r="CEP168" s="153"/>
      <c r="CEQ168" s="153"/>
      <c r="CER168" s="153"/>
      <c r="CES168" s="153"/>
      <c r="CET168" s="153"/>
      <c r="CEU168" s="153"/>
      <c r="CEV168" s="153"/>
      <c r="CEW168" s="153"/>
      <c r="CEX168" s="153"/>
      <c r="CEY168" s="153"/>
      <c r="CEZ168" s="153"/>
      <c r="CFA168" s="153"/>
      <c r="CFB168" s="153"/>
      <c r="CFC168" s="153"/>
      <c r="CFD168" s="153"/>
      <c r="CFE168" s="153"/>
      <c r="CFF168" s="153"/>
      <c r="CFG168" s="153"/>
      <c r="CFH168" s="153"/>
      <c r="CFI168" s="153"/>
      <c r="CFJ168" s="153"/>
      <c r="CFK168" s="153"/>
      <c r="CFL168" s="153"/>
      <c r="CFM168" s="153"/>
      <c r="CFN168" s="153"/>
      <c r="CFO168" s="153"/>
      <c r="CFP168" s="153"/>
      <c r="CFQ168" s="153"/>
      <c r="CFR168" s="153"/>
      <c r="CFS168" s="153"/>
      <c r="CFT168" s="153"/>
      <c r="CFU168" s="153"/>
      <c r="CFV168" s="153"/>
      <c r="CFW168" s="153"/>
      <c r="CFX168" s="153"/>
      <c r="CFY168" s="153"/>
      <c r="CFZ168" s="153"/>
      <c r="CGA168" s="153"/>
      <c r="CGB168" s="153"/>
      <c r="CGC168" s="153"/>
      <c r="CGD168" s="153"/>
      <c r="CGE168" s="153"/>
      <c r="CGF168" s="153"/>
      <c r="CGG168" s="153"/>
      <c r="CGH168" s="153"/>
      <c r="CGI168" s="153"/>
      <c r="CGJ168" s="153"/>
      <c r="CGK168" s="153"/>
      <c r="CGL168" s="153"/>
      <c r="CGM168" s="153"/>
      <c r="CGN168" s="153"/>
      <c r="CGO168" s="153"/>
      <c r="CGP168" s="153"/>
      <c r="CGQ168" s="153"/>
      <c r="CGR168" s="153"/>
      <c r="CGS168" s="153"/>
      <c r="CGT168" s="153"/>
      <c r="CGU168" s="153"/>
      <c r="CGV168" s="153"/>
      <c r="CGW168" s="153"/>
      <c r="CGX168" s="153"/>
      <c r="CGY168" s="153"/>
      <c r="CGZ168" s="153"/>
      <c r="CHA168" s="153"/>
      <c r="CHB168" s="153"/>
      <c r="CHC168" s="153"/>
      <c r="CHD168" s="153"/>
      <c r="CHE168" s="153"/>
      <c r="CHF168" s="153"/>
      <c r="CHG168" s="153"/>
      <c r="CHH168" s="153"/>
      <c r="CHI168" s="153"/>
      <c r="CHJ168" s="153"/>
      <c r="CHK168" s="153"/>
      <c r="CHL168" s="153"/>
      <c r="CHM168" s="153"/>
      <c r="CHN168" s="153"/>
      <c r="CHO168" s="153"/>
      <c r="CHP168" s="153"/>
      <c r="CHQ168" s="153"/>
      <c r="CHR168" s="153"/>
      <c r="CHS168" s="153"/>
      <c r="CHT168" s="153"/>
      <c r="CHU168" s="153"/>
      <c r="CHV168" s="153"/>
      <c r="CHW168" s="153"/>
      <c r="CHX168" s="153"/>
      <c r="CHY168" s="153"/>
      <c r="CHZ168" s="153"/>
      <c r="CIA168" s="153"/>
      <c r="CIB168" s="153"/>
      <c r="CIC168" s="153"/>
      <c r="CID168" s="153"/>
      <c r="CIE168" s="153"/>
      <c r="CIF168" s="153"/>
      <c r="CIG168" s="153"/>
      <c r="CIH168" s="153"/>
      <c r="CII168" s="153"/>
      <c r="CIJ168" s="153"/>
      <c r="CIK168" s="153"/>
      <c r="CIL168" s="153"/>
      <c r="CIM168" s="153"/>
      <c r="CIN168" s="153"/>
      <c r="CIO168" s="153"/>
      <c r="CIP168" s="153"/>
      <c r="CIQ168" s="153"/>
      <c r="CIR168" s="153"/>
      <c r="CIS168" s="153"/>
      <c r="CIT168" s="153"/>
      <c r="CIU168" s="153"/>
      <c r="CIV168" s="153"/>
      <c r="CIW168" s="153"/>
      <c r="CIX168" s="153"/>
      <c r="CIY168" s="153"/>
      <c r="CIZ168" s="153"/>
      <c r="CJA168" s="153"/>
      <c r="CJB168" s="153"/>
      <c r="CJC168" s="153"/>
      <c r="CJD168" s="153"/>
      <c r="CJE168" s="153"/>
      <c r="CJF168" s="153"/>
      <c r="CJG168" s="153"/>
      <c r="CJH168" s="153"/>
      <c r="CJI168" s="153"/>
      <c r="CJJ168" s="153"/>
      <c r="CJK168" s="153"/>
      <c r="CJL168" s="153"/>
      <c r="CJM168" s="153"/>
      <c r="CJN168" s="153"/>
      <c r="CJO168" s="153"/>
      <c r="CJP168" s="153"/>
      <c r="CJQ168" s="153"/>
      <c r="CJR168" s="153"/>
      <c r="CJS168" s="153"/>
      <c r="CJT168" s="153"/>
      <c r="CJU168" s="153"/>
      <c r="CJV168" s="153"/>
      <c r="CJW168" s="153"/>
      <c r="CJX168" s="153"/>
      <c r="CJY168" s="153"/>
      <c r="CJZ168" s="153"/>
      <c r="CKA168" s="153"/>
      <c r="CKB168" s="153"/>
      <c r="CKC168" s="153"/>
      <c r="CKD168" s="153"/>
      <c r="CKE168" s="153"/>
      <c r="CKF168" s="153"/>
      <c r="CKG168" s="153"/>
      <c r="CKH168" s="153"/>
      <c r="CKI168" s="153"/>
      <c r="CKJ168" s="153"/>
      <c r="CKK168" s="153"/>
      <c r="CKL168" s="153"/>
      <c r="CKM168" s="153"/>
      <c r="CKN168" s="153"/>
      <c r="CKO168" s="153"/>
      <c r="CKP168" s="153"/>
      <c r="CKQ168" s="153"/>
      <c r="CKR168" s="153"/>
      <c r="CKS168" s="153"/>
      <c r="CKT168" s="153"/>
      <c r="CKU168" s="153"/>
      <c r="CKV168" s="153"/>
      <c r="CKW168" s="153"/>
      <c r="CKX168" s="153"/>
      <c r="CKY168" s="153"/>
      <c r="CKZ168" s="153"/>
      <c r="CLA168" s="153"/>
      <c r="CLB168" s="153"/>
      <c r="CLC168" s="153"/>
      <c r="CLD168" s="153"/>
      <c r="CLE168" s="153"/>
      <c r="CLF168" s="153"/>
      <c r="CLG168" s="153"/>
      <c r="CLH168" s="153"/>
      <c r="CLI168" s="153"/>
      <c r="CLJ168" s="153"/>
      <c r="CLK168" s="153"/>
      <c r="CLL168" s="153"/>
      <c r="CLM168" s="153"/>
      <c r="CLN168" s="153"/>
      <c r="CLO168" s="153"/>
      <c r="CLP168" s="153"/>
      <c r="CLQ168" s="153"/>
      <c r="CLR168" s="153"/>
      <c r="CLS168" s="153"/>
      <c r="CLT168" s="153"/>
      <c r="CLU168" s="153"/>
      <c r="CLV168" s="153"/>
      <c r="CLW168" s="153"/>
      <c r="CLX168" s="153"/>
      <c r="CLY168" s="153"/>
      <c r="CLZ168" s="153"/>
      <c r="CMA168" s="153"/>
      <c r="CMB168" s="153"/>
      <c r="CMC168" s="153"/>
      <c r="CMD168" s="153"/>
      <c r="CME168" s="153"/>
      <c r="CMF168" s="153"/>
      <c r="CMG168" s="153"/>
      <c r="CMH168" s="153"/>
      <c r="CMI168" s="153"/>
      <c r="CMJ168" s="153"/>
      <c r="CMK168" s="153"/>
      <c r="CML168" s="153"/>
      <c r="CMM168" s="153"/>
      <c r="CMN168" s="153"/>
      <c r="CMO168" s="153"/>
      <c r="CMP168" s="153"/>
      <c r="CMQ168" s="153"/>
      <c r="CMR168" s="153"/>
      <c r="CMS168" s="153"/>
      <c r="CMT168" s="153"/>
      <c r="CMU168" s="153"/>
      <c r="CMV168" s="153"/>
      <c r="CMW168" s="153"/>
      <c r="CMX168" s="153"/>
      <c r="CMY168" s="153"/>
      <c r="CMZ168" s="153"/>
      <c r="CNA168" s="153"/>
      <c r="CNB168" s="153"/>
      <c r="CNC168" s="153"/>
      <c r="CND168" s="153"/>
      <c r="CNE168" s="153"/>
      <c r="CNF168" s="153"/>
      <c r="CNG168" s="153"/>
      <c r="CNH168" s="153"/>
      <c r="CNI168" s="153"/>
      <c r="CNJ168" s="153"/>
      <c r="CNK168" s="153"/>
      <c r="CNL168" s="153"/>
      <c r="CNM168" s="153"/>
      <c r="CNN168" s="153"/>
      <c r="CNO168" s="153"/>
      <c r="CNP168" s="153"/>
      <c r="CNQ168" s="153"/>
      <c r="CNR168" s="153"/>
      <c r="CNS168" s="153"/>
      <c r="CNT168" s="153"/>
      <c r="CNU168" s="153"/>
      <c r="CNV168" s="153"/>
      <c r="CNW168" s="153"/>
      <c r="CNX168" s="153"/>
      <c r="CNY168" s="153"/>
      <c r="CNZ168" s="153"/>
      <c r="COA168" s="153"/>
      <c r="COB168" s="153"/>
      <c r="COC168" s="153"/>
      <c r="COD168" s="153"/>
      <c r="COE168" s="153"/>
      <c r="COF168" s="153"/>
      <c r="COG168" s="153"/>
      <c r="COH168" s="153"/>
      <c r="COI168" s="153"/>
      <c r="COJ168" s="153"/>
      <c r="COK168" s="153"/>
      <c r="COL168" s="153"/>
      <c r="COM168" s="153"/>
      <c r="CON168" s="153"/>
      <c r="COO168" s="153"/>
      <c r="COP168" s="153"/>
      <c r="COQ168" s="153"/>
      <c r="COR168" s="153"/>
      <c r="COS168" s="153"/>
      <c r="COT168" s="153"/>
      <c r="COU168" s="153"/>
      <c r="COV168" s="153"/>
      <c r="COW168" s="153"/>
      <c r="COX168" s="153"/>
      <c r="COY168" s="153"/>
      <c r="COZ168" s="153"/>
      <c r="CPA168" s="153"/>
      <c r="CPB168" s="153"/>
      <c r="CPC168" s="153"/>
      <c r="CPD168" s="153"/>
      <c r="CPE168" s="153"/>
      <c r="CPF168" s="153"/>
      <c r="CPG168" s="153"/>
      <c r="CPH168" s="153"/>
      <c r="CPI168" s="153"/>
      <c r="CPJ168" s="153"/>
      <c r="CPK168" s="153"/>
      <c r="CPL168" s="153"/>
      <c r="CPM168" s="153"/>
      <c r="CPN168" s="153"/>
      <c r="CPO168" s="153"/>
      <c r="CPP168" s="153"/>
      <c r="CPQ168" s="153"/>
      <c r="CPR168" s="153"/>
      <c r="CPS168" s="153"/>
      <c r="CPT168" s="153"/>
      <c r="CPU168" s="153"/>
      <c r="CPV168" s="153"/>
      <c r="CPW168" s="153"/>
      <c r="CPX168" s="153"/>
      <c r="CPY168" s="153"/>
      <c r="CPZ168" s="153"/>
      <c r="CQA168" s="153"/>
      <c r="CQB168" s="153"/>
      <c r="CQC168" s="153"/>
      <c r="CQD168" s="153"/>
      <c r="CQE168" s="153"/>
      <c r="CQF168" s="153"/>
      <c r="CQG168" s="153"/>
      <c r="CQH168" s="153"/>
      <c r="CQI168" s="153"/>
      <c r="CQJ168" s="153"/>
      <c r="CQK168" s="153"/>
      <c r="CQL168" s="153"/>
      <c r="CQM168" s="153"/>
      <c r="CQN168" s="153"/>
      <c r="CQO168" s="153"/>
      <c r="CQP168" s="153"/>
      <c r="CQQ168" s="153"/>
      <c r="CQR168" s="153"/>
      <c r="CQS168" s="153"/>
      <c r="CQT168" s="153"/>
      <c r="CQU168" s="153"/>
      <c r="CQV168" s="153"/>
      <c r="CQW168" s="153"/>
      <c r="CQX168" s="153"/>
      <c r="CQY168" s="153"/>
      <c r="CQZ168" s="153"/>
      <c r="CRA168" s="153"/>
      <c r="CRB168" s="153"/>
      <c r="CRC168" s="153"/>
      <c r="CRD168" s="153"/>
      <c r="CRE168" s="153"/>
      <c r="CRF168" s="153"/>
      <c r="CRG168" s="153"/>
      <c r="CRH168" s="153"/>
      <c r="CRI168" s="153"/>
      <c r="CRJ168" s="153"/>
      <c r="CRK168" s="153"/>
      <c r="CRL168" s="153"/>
      <c r="CRM168" s="153"/>
      <c r="CRN168" s="153"/>
      <c r="CRO168" s="153"/>
      <c r="CRP168" s="153"/>
      <c r="CRQ168" s="153"/>
      <c r="CRR168" s="153"/>
      <c r="CRS168" s="153"/>
      <c r="CRT168" s="153"/>
      <c r="CRU168" s="153"/>
      <c r="CRV168" s="153"/>
      <c r="CRW168" s="153"/>
      <c r="CRX168" s="153"/>
      <c r="CRY168" s="153"/>
      <c r="CRZ168" s="153"/>
      <c r="CSA168" s="153"/>
      <c r="CSB168" s="153"/>
      <c r="CSC168" s="153"/>
      <c r="CSD168" s="153"/>
      <c r="CSE168" s="153"/>
      <c r="CSF168" s="153"/>
      <c r="CSG168" s="153"/>
      <c r="CSH168" s="153"/>
      <c r="CSI168" s="153"/>
      <c r="CSJ168" s="153"/>
      <c r="CSK168" s="153"/>
      <c r="CSL168" s="153"/>
      <c r="CSM168" s="153"/>
      <c r="CSN168" s="153"/>
      <c r="CSO168" s="153"/>
      <c r="CSP168" s="153"/>
      <c r="CSQ168" s="153"/>
      <c r="CSR168" s="153"/>
      <c r="CSS168" s="153"/>
      <c r="CST168" s="153"/>
      <c r="CSU168" s="153"/>
      <c r="CSV168" s="153"/>
      <c r="CSW168" s="153"/>
      <c r="CSX168" s="153"/>
      <c r="CSY168" s="153"/>
      <c r="CSZ168" s="153"/>
      <c r="CTA168" s="153"/>
      <c r="CTB168" s="153"/>
      <c r="CTC168" s="153"/>
      <c r="CTD168" s="153"/>
      <c r="CTE168" s="153"/>
      <c r="CTF168" s="153"/>
      <c r="CTG168" s="153"/>
      <c r="CTH168" s="153"/>
      <c r="CTI168" s="153"/>
      <c r="CTJ168" s="153"/>
      <c r="CTK168" s="153"/>
      <c r="CTL168" s="153"/>
      <c r="CTM168" s="153"/>
      <c r="CTN168" s="153"/>
      <c r="CTO168" s="153"/>
      <c r="CTP168" s="153"/>
      <c r="CTQ168" s="153"/>
      <c r="CTR168" s="153"/>
      <c r="CTS168" s="153"/>
      <c r="CTT168" s="153"/>
      <c r="CTU168" s="153"/>
      <c r="CTV168" s="153"/>
      <c r="CTW168" s="153"/>
      <c r="CTX168" s="153"/>
      <c r="CTY168" s="153"/>
      <c r="CTZ168" s="153"/>
      <c r="CUA168" s="153"/>
      <c r="CUB168" s="153"/>
      <c r="CUC168" s="153"/>
      <c r="CUD168" s="153"/>
      <c r="CUE168" s="153"/>
      <c r="CUF168" s="153"/>
      <c r="CUG168" s="153"/>
      <c r="CUH168" s="153"/>
      <c r="CUI168" s="153"/>
      <c r="CUJ168" s="153"/>
      <c r="CUK168" s="153"/>
      <c r="CUL168" s="153"/>
      <c r="CUM168" s="153"/>
      <c r="CUN168" s="153"/>
      <c r="CUO168" s="153"/>
      <c r="CUP168" s="153"/>
      <c r="CUQ168" s="153"/>
      <c r="CUR168" s="153"/>
      <c r="CUS168" s="153"/>
      <c r="CUT168" s="153"/>
      <c r="CUU168" s="153"/>
      <c r="CUV168" s="153"/>
      <c r="CUW168" s="153"/>
      <c r="CUX168" s="153"/>
      <c r="CUY168" s="153"/>
      <c r="CUZ168" s="153"/>
      <c r="CVA168" s="153"/>
      <c r="CVB168" s="153"/>
      <c r="CVC168" s="153"/>
      <c r="CVD168" s="153"/>
      <c r="CVE168" s="153"/>
      <c r="CVF168" s="153"/>
      <c r="CVG168" s="153"/>
      <c r="CVH168" s="153"/>
      <c r="CVI168" s="153"/>
      <c r="CVJ168" s="153"/>
      <c r="CVK168" s="153"/>
      <c r="CVL168" s="153"/>
      <c r="CVM168" s="153"/>
      <c r="CVN168" s="153"/>
      <c r="CVO168" s="153"/>
      <c r="CVP168" s="153"/>
      <c r="CVQ168" s="153"/>
      <c r="CVR168" s="153"/>
      <c r="CVS168" s="153"/>
      <c r="CVT168" s="153"/>
      <c r="CVU168" s="153"/>
      <c r="CVV168" s="153"/>
      <c r="CVW168" s="153"/>
      <c r="CVX168" s="153"/>
      <c r="CVY168" s="153"/>
      <c r="CVZ168" s="153"/>
      <c r="CWA168" s="153"/>
      <c r="CWB168" s="153"/>
      <c r="CWC168" s="153"/>
      <c r="CWD168" s="153"/>
      <c r="CWE168" s="153"/>
      <c r="CWF168" s="153"/>
      <c r="CWG168" s="153"/>
      <c r="CWH168" s="153"/>
      <c r="CWI168" s="153"/>
      <c r="CWJ168" s="153"/>
      <c r="CWK168" s="153"/>
      <c r="CWL168" s="153"/>
      <c r="CWM168" s="153"/>
      <c r="CWN168" s="153"/>
      <c r="CWO168" s="153"/>
      <c r="CWP168" s="153"/>
      <c r="CWQ168" s="153"/>
      <c r="CWR168" s="153"/>
      <c r="CWS168" s="153"/>
      <c r="CWT168" s="153"/>
      <c r="CWU168" s="153"/>
      <c r="CWV168" s="153"/>
      <c r="CWW168" s="153"/>
      <c r="CWX168" s="153"/>
      <c r="CWY168" s="153"/>
      <c r="CWZ168" s="153"/>
      <c r="CXA168" s="153"/>
      <c r="CXB168" s="153"/>
      <c r="CXC168" s="153"/>
      <c r="CXD168" s="153"/>
      <c r="CXE168" s="153"/>
      <c r="CXF168" s="153"/>
      <c r="CXG168" s="153"/>
      <c r="CXH168" s="153"/>
      <c r="CXI168" s="153"/>
      <c r="CXJ168" s="153"/>
      <c r="CXK168" s="153"/>
      <c r="CXL168" s="153"/>
      <c r="CXM168" s="153"/>
      <c r="CXN168" s="153"/>
      <c r="CXO168" s="153"/>
      <c r="CXP168" s="153"/>
      <c r="CXQ168" s="153"/>
      <c r="CXR168" s="153"/>
      <c r="CXS168" s="153"/>
      <c r="CXT168" s="153"/>
      <c r="CXU168" s="153"/>
      <c r="CXV168" s="153"/>
      <c r="CXW168" s="153"/>
      <c r="CXX168" s="153"/>
      <c r="CXY168" s="153"/>
      <c r="CXZ168" s="153"/>
      <c r="CYA168" s="153"/>
      <c r="CYB168" s="153"/>
      <c r="CYC168" s="153"/>
      <c r="CYD168" s="153"/>
      <c r="CYE168" s="153"/>
      <c r="CYF168" s="153"/>
      <c r="CYG168" s="153"/>
      <c r="CYH168" s="153"/>
      <c r="CYI168" s="153"/>
      <c r="CYJ168" s="153"/>
      <c r="CYK168" s="153"/>
      <c r="CYL168" s="153"/>
      <c r="CYM168" s="153"/>
      <c r="CYN168" s="153"/>
      <c r="CYO168" s="153"/>
      <c r="CYP168" s="153"/>
      <c r="CYQ168" s="153"/>
      <c r="CYR168" s="153"/>
      <c r="CYS168" s="153"/>
      <c r="CYT168" s="153"/>
      <c r="CYU168" s="153"/>
      <c r="CYV168" s="153"/>
      <c r="CYW168" s="153"/>
      <c r="CYX168" s="153"/>
      <c r="CYY168" s="153"/>
      <c r="CYZ168" s="153"/>
      <c r="CZA168" s="153"/>
      <c r="CZB168" s="153"/>
      <c r="CZC168" s="153"/>
      <c r="CZD168" s="153"/>
      <c r="CZE168" s="153"/>
      <c r="CZF168" s="153"/>
      <c r="CZG168" s="153"/>
      <c r="CZH168" s="153"/>
      <c r="CZI168" s="153"/>
      <c r="CZJ168" s="153"/>
      <c r="CZK168" s="153"/>
      <c r="CZL168" s="153"/>
      <c r="CZM168" s="153"/>
      <c r="CZN168" s="153"/>
      <c r="CZO168" s="153"/>
      <c r="CZP168" s="153"/>
      <c r="CZQ168" s="153"/>
      <c r="CZR168" s="153"/>
      <c r="CZS168" s="153"/>
      <c r="CZT168" s="153"/>
      <c r="CZU168" s="153"/>
      <c r="CZV168" s="153"/>
      <c r="CZW168" s="153"/>
      <c r="CZX168" s="153"/>
      <c r="CZY168" s="153"/>
      <c r="CZZ168" s="153"/>
      <c r="DAA168" s="153"/>
      <c r="DAB168" s="153"/>
      <c r="DAC168" s="153"/>
      <c r="DAD168" s="153"/>
      <c r="DAE168" s="153"/>
      <c r="DAF168" s="153"/>
      <c r="DAG168" s="153"/>
      <c r="DAH168" s="153"/>
      <c r="DAI168" s="153"/>
      <c r="DAJ168" s="153"/>
      <c r="DAK168" s="153"/>
      <c r="DAL168" s="153"/>
      <c r="DAM168" s="153"/>
      <c r="DAN168" s="153"/>
      <c r="DAO168" s="153"/>
      <c r="DAP168" s="153"/>
      <c r="DAQ168" s="153"/>
      <c r="DAR168" s="153"/>
      <c r="DAS168" s="153"/>
      <c r="DAT168" s="153"/>
      <c r="DAU168" s="153"/>
      <c r="DAV168" s="153"/>
      <c r="DAW168" s="153"/>
      <c r="DAX168" s="153"/>
      <c r="DAY168" s="153"/>
      <c r="DAZ168" s="153"/>
      <c r="DBA168" s="153"/>
      <c r="DBB168" s="153"/>
      <c r="DBC168" s="153"/>
      <c r="DBD168" s="153"/>
      <c r="DBE168" s="153"/>
      <c r="DBF168" s="153"/>
      <c r="DBG168" s="153"/>
      <c r="DBH168" s="153"/>
      <c r="DBI168" s="153"/>
      <c r="DBJ168" s="153"/>
      <c r="DBK168" s="153"/>
      <c r="DBL168" s="153"/>
      <c r="DBM168" s="153"/>
      <c r="DBN168" s="153"/>
      <c r="DBO168" s="153"/>
      <c r="DBP168" s="153"/>
      <c r="DBQ168" s="153"/>
      <c r="DBR168" s="153"/>
      <c r="DBS168" s="153"/>
      <c r="DBT168" s="153"/>
      <c r="DBU168" s="153"/>
      <c r="DBV168" s="153"/>
      <c r="DBW168" s="153"/>
      <c r="DBX168" s="153"/>
      <c r="DBY168" s="153"/>
      <c r="DBZ168" s="153"/>
      <c r="DCA168" s="153"/>
      <c r="DCB168" s="153"/>
      <c r="DCC168" s="153"/>
      <c r="DCD168" s="153"/>
      <c r="DCE168" s="153"/>
      <c r="DCF168" s="153"/>
      <c r="DCG168" s="153"/>
      <c r="DCH168" s="153"/>
      <c r="DCI168" s="153"/>
      <c r="DCJ168" s="153"/>
      <c r="DCK168" s="153"/>
      <c r="DCL168" s="153"/>
      <c r="DCM168" s="153"/>
      <c r="DCN168" s="153"/>
      <c r="DCO168" s="153"/>
      <c r="DCP168" s="153"/>
      <c r="DCQ168" s="153"/>
      <c r="DCR168" s="153"/>
      <c r="DCS168" s="153"/>
      <c r="DCT168" s="153"/>
      <c r="DCU168" s="153"/>
      <c r="DCV168" s="153"/>
      <c r="DCW168" s="153"/>
      <c r="DCX168" s="153"/>
      <c r="DCY168" s="153"/>
      <c r="DCZ168" s="153"/>
      <c r="DDA168" s="153"/>
      <c r="DDB168" s="153"/>
      <c r="DDC168" s="153"/>
      <c r="DDD168" s="153"/>
      <c r="DDE168" s="153"/>
      <c r="DDF168" s="153"/>
      <c r="DDG168" s="153"/>
      <c r="DDH168" s="153"/>
      <c r="DDI168" s="153"/>
      <c r="DDJ168" s="153"/>
      <c r="DDK168" s="153"/>
      <c r="DDL168" s="153"/>
      <c r="DDM168" s="153"/>
      <c r="DDN168" s="153"/>
      <c r="DDO168" s="153"/>
      <c r="DDP168" s="153"/>
      <c r="DDQ168" s="153"/>
      <c r="DDR168" s="153"/>
      <c r="DDS168" s="153"/>
      <c r="DDT168" s="153"/>
      <c r="DDU168" s="153"/>
      <c r="DDV168" s="153"/>
      <c r="DDW168" s="153"/>
      <c r="DDX168" s="153"/>
      <c r="DDY168" s="153"/>
      <c r="DDZ168" s="153"/>
      <c r="DEA168" s="153"/>
      <c r="DEB168" s="153"/>
      <c r="DEC168" s="153"/>
      <c r="DED168" s="153"/>
      <c r="DEE168" s="153"/>
      <c r="DEF168" s="153"/>
      <c r="DEG168" s="153"/>
      <c r="DEH168" s="153"/>
      <c r="DEI168" s="153"/>
      <c r="DEJ168" s="153"/>
      <c r="DEK168" s="153"/>
      <c r="DEL168" s="153"/>
      <c r="DEM168" s="153"/>
      <c r="DEN168" s="153"/>
      <c r="DEO168" s="153"/>
      <c r="DEP168" s="153"/>
      <c r="DEQ168" s="153"/>
      <c r="DER168" s="153"/>
      <c r="DES168" s="153"/>
      <c r="DET168" s="153"/>
      <c r="DEU168" s="153"/>
      <c r="DEV168" s="153"/>
      <c r="DEW168" s="153"/>
      <c r="DEX168" s="153"/>
      <c r="DEY168" s="153"/>
      <c r="DEZ168" s="153"/>
      <c r="DFA168" s="153"/>
      <c r="DFB168" s="153"/>
      <c r="DFC168" s="153"/>
      <c r="DFD168" s="153"/>
      <c r="DFE168" s="153"/>
      <c r="DFF168" s="153"/>
      <c r="DFG168" s="153"/>
      <c r="DFH168" s="153"/>
      <c r="DFI168" s="153"/>
      <c r="DFJ168" s="153"/>
      <c r="DFK168" s="153"/>
      <c r="DFL168" s="153"/>
      <c r="DFM168" s="153"/>
      <c r="DFN168" s="153"/>
      <c r="DFO168" s="153"/>
      <c r="DFP168" s="153"/>
      <c r="DFQ168" s="153"/>
      <c r="DFR168" s="153"/>
      <c r="DFS168" s="153"/>
      <c r="DFT168" s="153"/>
      <c r="DFU168" s="153"/>
      <c r="DFV168" s="153"/>
      <c r="DFW168" s="153"/>
      <c r="DFX168" s="153"/>
      <c r="DFY168" s="153"/>
      <c r="DFZ168" s="153"/>
      <c r="DGA168" s="153"/>
      <c r="DGB168" s="153"/>
      <c r="DGC168" s="153"/>
      <c r="DGD168" s="153"/>
      <c r="DGE168" s="153"/>
      <c r="DGF168" s="153"/>
      <c r="DGG168" s="153"/>
      <c r="DGH168" s="153"/>
      <c r="DGI168" s="153"/>
      <c r="DGJ168" s="153"/>
      <c r="DGK168" s="153"/>
      <c r="DGL168" s="153"/>
      <c r="DGM168" s="153"/>
      <c r="DGN168" s="153"/>
      <c r="DGO168" s="153"/>
      <c r="DGP168" s="153"/>
      <c r="DGQ168" s="153"/>
      <c r="DGR168" s="153"/>
      <c r="DGS168" s="153"/>
      <c r="DGT168" s="153"/>
      <c r="DGU168" s="153"/>
      <c r="DGV168" s="153"/>
      <c r="DGW168" s="153"/>
      <c r="DGX168" s="153"/>
      <c r="DGY168" s="153"/>
      <c r="DGZ168" s="153"/>
      <c r="DHA168" s="153"/>
      <c r="DHB168" s="153"/>
      <c r="DHC168" s="153"/>
      <c r="DHD168" s="153"/>
      <c r="DHE168" s="153"/>
      <c r="DHF168" s="153"/>
      <c r="DHG168" s="153"/>
      <c r="DHH168" s="153"/>
      <c r="DHI168" s="153"/>
      <c r="DHJ168" s="153"/>
      <c r="DHK168" s="153"/>
      <c r="DHL168" s="153"/>
      <c r="DHM168" s="153"/>
      <c r="DHN168" s="153"/>
      <c r="DHO168" s="153"/>
      <c r="DHP168" s="153"/>
      <c r="DHQ168" s="153"/>
      <c r="DHR168" s="153"/>
      <c r="DHS168" s="153"/>
      <c r="DHT168" s="153"/>
      <c r="DHU168" s="153"/>
      <c r="DHV168" s="153"/>
      <c r="DHW168" s="153"/>
      <c r="DHX168" s="153"/>
      <c r="DHY168" s="153"/>
      <c r="DHZ168" s="153"/>
      <c r="DIA168" s="153"/>
      <c r="DIB168" s="153"/>
      <c r="DIC168" s="153"/>
      <c r="DID168" s="153"/>
      <c r="DIE168" s="153"/>
      <c r="DIF168" s="153"/>
      <c r="DIG168" s="153"/>
      <c r="DIH168" s="153"/>
      <c r="DII168" s="153"/>
      <c r="DIJ168" s="153"/>
      <c r="DIK168" s="153"/>
      <c r="DIL168" s="153"/>
      <c r="DIM168" s="153"/>
      <c r="DIN168" s="153"/>
      <c r="DIO168" s="153"/>
      <c r="DIP168" s="153"/>
      <c r="DIQ168" s="153"/>
      <c r="DIR168" s="153"/>
      <c r="DIS168" s="153"/>
      <c r="DIT168" s="153"/>
      <c r="DIU168" s="153"/>
      <c r="DIV168" s="153"/>
      <c r="DIW168" s="153"/>
      <c r="DIX168" s="153"/>
      <c r="DIY168" s="153"/>
      <c r="DIZ168" s="153"/>
      <c r="DJA168" s="153"/>
      <c r="DJB168" s="153"/>
      <c r="DJC168" s="153"/>
      <c r="DJD168" s="153"/>
      <c r="DJE168" s="153"/>
      <c r="DJF168" s="153"/>
      <c r="DJG168" s="153"/>
      <c r="DJH168" s="153"/>
      <c r="DJI168" s="153"/>
      <c r="DJJ168" s="153"/>
      <c r="DJK168" s="153"/>
      <c r="DJL168" s="153"/>
      <c r="DJM168" s="153"/>
      <c r="DJN168" s="153"/>
      <c r="DJO168" s="153"/>
      <c r="DJP168" s="153"/>
      <c r="DJQ168" s="153"/>
      <c r="DJR168" s="153"/>
      <c r="DJS168" s="153"/>
      <c r="DJT168" s="153"/>
      <c r="DJU168" s="153"/>
      <c r="DJV168" s="153"/>
      <c r="DJW168" s="153"/>
      <c r="DJX168" s="153"/>
      <c r="DJY168" s="153"/>
      <c r="DJZ168" s="153"/>
      <c r="DKA168" s="153"/>
      <c r="DKB168" s="153"/>
      <c r="DKC168" s="153"/>
      <c r="DKD168" s="153"/>
      <c r="DKE168" s="153"/>
      <c r="DKF168" s="153"/>
      <c r="DKG168" s="153"/>
      <c r="DKH168" s="153"/>
      <c r="DKI168" s="153"/>
      <c r="DKJ168" s="153"/>
      <c r="DKK168" s="153"/>
      <c r="DKL168" s="153"/>
      <c r="DKM168" s="153"/>
      <c r="DKN168" s="153"/>
      <c r="DKO168" s="153"/>
      <c r="DKP168" s="153"/>
      <c r="DKQ168" s="153"/>
      <c r="DKR168" s="153"/>
      <c r="DKS168" s="153"/>
      <c r="DKT168" s="153"/>
      <c r="DKU168" s="153"/>
      <c r="DKV168" s="153"/>
      <c r="DKW168" s="153"/>
      <c r="DKX168" s="153"/>
      <c r="DKY168" s="153"/>
      <c r="DKZ168" s="153"/>
      <c r="DLA168" s="153"/>
      <c r="DLB168" s="153"/>
      <c r="DLC168" s="153"/>
      <c r="DLD168" s="153"/>
      <c r="DLE168" s="153"/>
      <c r="DLF168" s="153"/>
      <c r="DLG168" s="153"/>
      <c r="DLH168" s="153"/>
      <c r="DLI168" s="153"/>
      <c r="DLJ168" s="153"/>
      <c r="DLK168" s="153"/>
      <c r="DLL168" s="153"/>
      <c r="DLM168" s="153"/>
      <c r="DLN168" s="153"/>
      <c r="DLO168" s="153"/>
      <c r="DLP168" s="153"/>
      <c r="DLQ168" s="153"/>
      <c r="DLR168" s="153"/>
      <c r="DLS168" s="153"/>
      <c r="DLT168" s="153"/>
      <c r="DLU168" s="153"/>
      <c r="DLV168" s="153"/>
      <c r="DLW168" s="153"/>
      <c r="DLX168" s="153"/>
      <c r="DLY168" s="153"/>
      <c r="DLZ168" s="153"/>
      <c r="DMA168" s="153"/>
      <c r="DMB168" s="153"/>
      <c r="DMC168" s="153"/>
      <c r="DMD168" s="153"/>
      <c r="DME168" s="153"/>
      <c r="DMF168" s="153"/>
      <c r="DMG168" s="153"/>
      <c r="DMH168" s="153"/>
      <c r="DMI168" s="153"/>
      <c r="DMJ168" s="153"/>
      <c r="DMK168" s="153"/>
      <c r="DML168" s="153"/>
      <c r="DMM168" s="153"/>
      <c r="DMN168" s="153"/>
      <c r="DMO168" s="153"/>
      <c r="DMP168" s="153"/>
      <c r="DMQ168" s="153"/>
      <c r="DMR168" s="153"/>
      <c r="DMS168" s="153"/>
      <c r="DMT168" s="153"/>
      <c r="DMU168" s="153"/>
      <c r="DMV168" s="153"/>
      <c r="DMW168" s="153"/>
      <c r="DMX168" s="153"/>
      <c r="DMY168" s="153"/>
      <c r="DMZ168" s="153"/>
      <c r="DNA168" s="153"/>
      <c r="DNB168" s="153"/>
      <c r="DNC168" s="153"/>
      <c r="DND168" s="153"/>
      <c r="DNE168" s="153"/>
      <c r="DNF168" s="153"/>
      <c r="DNG168" s="153"/>
      <c r="DNH168" s="153"/>
      <c r="DNI168" s="153"/>
      <c r="DNJ168" s="153"/>
      <c r="DNK168" s="153"/>
      <c r="DNL168" s="153"/>
      <c r="DNM168" s="153"/>
      <c r="DNN168" s="153"/>
      <c r="DNO168" s="153"/>
      <c r="DNP168" s="153"/>
      <c r="DNQ168" s="153"/>
      <c r="DNR168" s="153"/>
      <c r="DNS168" s="153"/>
      <c r="DNT168" s="153"/>
      <c r="DNU168" s="153"/>
      <c r="DNV168" s="153"/>
      <c r="DNW168" s="153"/>
      <c r="DNX168" s="153"/>
      <c r="DNY168" s="153"/>
      <c r="DNZ168" s="153"/>
      <c r="DOA168" s="153"/>
      <c r="DOB168" s="153"/>
      <c r="DOC168" s="153"/>
      <c r="DOD168" s="153"/>
      <c r="DOE168" s="153"/>
      <c r="DOF168" s="153"/>
      <c r="DOG168" s="153"/>
      <c r="DOH168" s="153"/>
      <c r="DOI168" s="153"/>
      <c r="DOJ168" s="153"/>
      <c r="DOK168" s="153"/>
      <c r="DOL168" s="153"/>
      <c r="DOM168" s="153"/>
      <c r="DON168" s="153"/>
      <c r="DOO168" s="153"/>
      <c r="DOP168" s="153"/>
      <c r="DOQ168" s="153"/>
      <c r="DOR168" s="153"/>
      <c r="DOS168" s="153"/>
      <c r="DOT168" s="153"/>
      <c r="DOU168" s="153"/>
      <c r="DOV168" s="153"/>
      <c r="DOW168" s="153"/>
      <c r="DOX168" s="153"/>
      <c r="DOY168" s="153"/>
      <c r="DOZ168" s="153"/>
      <c r="DPA168" s="153"/>
      <c r="DPB168" s="153"/>
      <c r="DPC168" s="153"/>
      <c r="DPD168" s="153"/>
      <c r="DPE168" s="153"/>
      <c r="DPF168" s="153"/>
      <c r="DPG168" s="153"/>
      <c r="DPH168" s="153"/>
      <c r="DPI168" s="153"/>
      <c r="DPJ168" s="153"/>
      <c r="DPK168" s="153"/>
      <c r="DPL168" s="153"/>
      <c r="DPM168" s="153"/>
      <c r="DPN168" s="153"/>
      <c r="DPO168" s="153"/>
      <c r="DPP168" s="153"/>
      <c r="DPQ168" s="153"/>
      <c r="DPR168" s="153"/>
      <c r="DPS168" s="153"/>
      <c r="DPT168" s="153"/>
      <c r="DPU168" s="153"/>
      <c r="DPV168" s="153"/>
      <c r="DPW168" s="153"/>
      <c r="DPX168" s="153"/>
      <c r="DPY168" s="153"/>
      <c r="DPZ168" s="153"/>
      <c r="DQA168" s="153"/>
      <c r="DQB168" s="153"/>
      <c r="DQC168" s="153"/>
      <c r="DQD168" s="153"/>
      <c r="DQE168" s="153"/>
      <c r="DQF168" s="153"/>
      <c r="DQG168" s="153"/>
      <c r="DQH168" s="153"/>
      <c r="DQI168" s="153"/>
      <c r="DQJ168" s="153"/>
      <c r="DQK168" s="153"/>
      <c r="DQL168" s="153"/>
      <c r="DQM168" s="153"/>
      <c r="DQN168" s="153"/>
      <c r="DQO168" s="153"/>
      <c r="DQP168" s="153"/>
      <c r="DQQ168" s="153"/>
      <c r="DQR168" s="153"/>
      <c r="DQS168" s="153"/>
      <c r="DQT168" s="153"/>
      <c r="DQU168" s="153"/>
      <c r="DQV168" s="153"/>
      <c r="DQW168" s="153"/>
      <c r="DQX168" s="153"/>
      <c r="DQY168" s="153"/>
      <c r="DQZ168" s="153"/>
      <c r="DRA168" s="153"/>
      <c r="DRB168" s="153"/>
      <c r="DRC168" s="153"/>
      <c r="DRD168" s="153"/>
      <c r="DRE168" s="153"/>
      <c r="DRF168" s="153"/>
      <c r="DRG168" s="153"/>
      <c r="DRH168" s="153"/>
      <c r="DRI168" s="153"/>
      <c r="DRJ168" s="153"/>
      <c r="DRK168" s="153"/>
      <c r="DRL168" s="153"/>
      <c r="DRM168" s="153"/>
      <c r="DRN168" s="153"/>
      <c r="DRO168" s="153"/>
      <c r="DRP168" s="153"/>
      <c r="DRQ168" s="153"/>
      <c r="DRR168" s="153"/>
      <c r="DRS168" s="153"/>
      <c r="DRT168" s="153"/>
      <c r="DRU168" s="153"/>
      <c r="DRV168" s="153"/>
      <c r="DRW168" s="153"/>
      <c r="DRX168" s="153"/>
      <c r="DRY168" s="153"/>
      <c r="DRZ168" s="153"/>
      <c r="DSA168" s="153"/>
      <c r="DSB168" s="153"/>
      <c r="DSC168" s="153"/>
      <c r="DSD168" s="153"/>
      <c r="DSE168" s="153"/>
      <c r="DSF168" s="153"/>
      <c r="DSG168" s="153"/>
      <c r="DSH168" s="153"/>
      <c r="DSI168" s="153"/>
      <c r="DSJ168" s="153"/>
      <c r="DSK168" s="153"/>
      <c r="DSL168" s="153"/>
      <c r="DSM168" s="153"/>
      <c r="DSN168" s="153"/>
      <c r="DSO168" s="153"/>
      <c r="DSP168" s="153"/>
      <c r="DSQ168" s="153"/>
      <c r="DSR168" s="153"/>
      <c r="DSS168" s="153"/>
      <c r="DST168" s="153"/>
      <c r="DSU168" s="153"/>
      <c r="DSV168" s="153"/>
      <c r="DSW168" s="153"/>
      <c r="DSX168" s="153"/>
      <c r="DSY168" s="153"/>
      <c r="DSZ168" s="153"/>
      <c r="DTA168" s="153"/>
      <c r="DTB168" s="153"/>
      <c r="DTC168" s="153"/>
      <c r="DTD168" s="153"/>
      <c r="DTE168" s="153"/>
      <c r="DTF168" s="153"/>
      <c r="DTG168" s="153"/>
      <c r="DTH168" s="153"/>
      <c r="DTI168" s="153"/>
      <c r="DTJ168" s="153"/>
      <c r="DTK168" s="153"/>
      <c r="DTL168" s="153"/>
      <c r="DTM168" s="153"/>
      <c r="DTN168" s="153"/>
      <c r="DTO168" s="153"/>
      <c r="DTP168" s="153"/>
      <c r="DTQ168" s="153"/>
      <c r="DTR168" s="153"/>
      <c r="DTS168" s="153"/>
      <c r="DTT168" s="153"/>
      <c r="DTU168" s="153"/>
      <c r="DTV168" s="153"/>
      <c r="DTW168" s="153"/>
      <c r="DTX168" s="153"/>
      <c r="DTY168" s="153"/>
      <c r="DTZ168" s="153"/>
      <c r="DUA168" s="153"/>
      <c r="DUB168" s="153"/>
      <c r="DUC168" s="153"/>
      <c r="DUD168" s="153"/>
      <c r="DUE168" s="153"/>
      <c r="DUF168" s="153"/>
      <c r="DUG168" s="153"/>
      <c r="DUH168" s="153"/>
      <c r="DUI168" s="153"/>
      <c r="DUJ168" s="153"/>
      <c r="DUK168" s="153"/>
      <c r="DUL168" s="153"/>
      <c r="DUM168" s="153"/>
      <c r="DUN168" s="153"/>
      <c r="DUO168" s="153"/>
      <c r="DUP168" s="153"/>
      <c r="DUQ168" s="153"/>
      <c r="DUR168" s="153"/>
      <c r="DUS168" s="153"/>
      <c r="DUT168" s="153"/>
      <c r="DUU168" s="153"/>
      <c r="DUV168" s="153"/>
      <c r="DUW168" s="153"/>
      <c r="DUX168" s="153"/>
      <c r="DUY168" s="153"/>
      <c r="DUZ168" s="153"/>
      <c r="DVA168" s="153"/>
      <c r="DVB168" s="153"/>
      <c r="DVC168" s="153"/>
      <c r="DVD168" s="153"/>
      <c r="DVE168" s="153"/>
      <c r="DVF168" s="153"/>
      <c r="DVG168" s="153"/>
      <c r="DVH168" s="153"/>
      <c r="DVI168" s="153"/>
      <c r="DVJ168" s="153"/>
      <c r="DVK168" s="153"/>
      <c r="DVL168" s="153"/>
      <c r="DVM168" s="153"/>
      <c r="DVN168" s="153"/>
      <c r="DVO168" s="153"/>
      <c r="DVP168" s="153"/>
      <c r="DVQ168" s="153"/>
      <c r="DVR168" s="153"/>
      <c r="DVS168" s="153"/>
      <c r="DVT168" s="153"/>
      <c r="DVU168" s="153"/>
      <c r="DVV168" s="153"/>
      <c r="DVW168" s="153"/>
      <c r="DVX168" s="153"/>
      <c r="DVY168" s="153"/>
      <c r="DVZ168" s="153"/>
      <c r="DWA168" s="153"/>
      <c r="DWB168" s="153"/>
      <c r="DWC168" s="153"/>
      <c r="DWD168" s="153"/>
      <c r="DWE168" s="153"/>
      <c r="DWF168" s="153"/>
      <c r="DWG168" s="153"/>
      <c r="DWH168" s="153"/>
      <c r="DWI168" s="153"/>
      <c r="DWJ168" s="153"/>
      <c r="DWK168" s="153"/>
      <c r="DWL168" s="153"/>
      <c r="DWM168" s="153"/>
      <c r="DWN168" s="153"/>
      <c r="DWO168" s="153"/>
      <c r="DWP168" s="153"/>
      <c r="DWQ168" s="153"/>
      <c r="DWR168" s="153"/>
      <c r="DWS168" s="153"/>
      <c r="DWT168" s="153"/>
      <c r="DWU168" s="153"/>
      <c r="DWV168" s="153"/>
      <c r="DWW168" s="153"/>
      <c r="DWX168" s="153"/>
      <c r="DWY168" s="153"/>
      <c r="DWZ168" s="153"/>
      <c r="DXA168" s="153"/>
      <c r="DXB168" s="153"/>
      <c r="DXC168" s="153"/>
      <c r="DXD168" s="153"/>
      <c r="DXE168" s="153"/>
      <c r="DXF168" s="153"/>
      <c r="DXG168" s="153"/>
      <c r="DXH168" s="153"/>
      <c r="DXI168" s="153"/>
      <c r="DXJ168" s="153"/>
      <c r="DXK168" s="153"/>
      <c r="DXL168" s="153"/>
      <c r="DXM168" s="153"/>
      <c r="DXN168" s="153"/>
      <c r="DXO168" s="153"/>
      <c r="DXP168" s="153"/>
      <c r="DXQ168" s="153"/>
      <c r="DXR168" s="153"/>
      <c r="DXS168" s="153"/>
      <c r="DXT168" s="153"/>
      <c r="DXU168" s="153"/>
      <c r="DXV168" s="153"/>
      <c r="DXW168" s="153"/>
      <c r="DXX168" s="153"/>
      <c r="DXY168" s="153"/>
      <c r="DXZ168" s="153"/>
      <c r="DYA168" s="153"/>
      <c r="DYB168" s="153"/>
      <c r="DYC168" s="153"/>
      <c r="DYD168" s="153"/>
      <c r="DYE168" s="153"/>
      <c r="DYF168" s="153"/>
      <c r="DYG168" s="153"/>
      <c r="DYH168" s="153"/>
      <c r="DYI168" s="153"/>
      <c r="DYJ168" s="153"/>
      <c r="DYK168" s="153"/>
      <c r="DYL168" s="153"/>
      <c r="DYM168" s="153"/>
      <c r="DYN168" s="153"/>
      <c r="DYO168" s="153"/>
      <c r="DYP168" s="153"/>
      <c r="DYQ168" s="153"/>
      <c r="DYR168" s="153"/>
      <c r="DYS168" s="153"/>
      <c r="DYT168" s="153"/>
      <c r="DYU168" s="153"/>
      <c r="DYV168" s="153"/>
      <c r="DYW168" s="153"/>
      <c r="DYX168" s="153"/>
      <c r="DYY168" s="153"/>
      <c r="DYZ168" s="153"/>
      <c r="DZA168" s="153"/>
      <c r="DZB168" s="153"/>
      <c r="DZC168" s="153"/>
      <c r="DZD168" s="153"/>
      <c r="DZE168" s="153"/>
      <c r="DZF168" s="153"/>
      <c r="DZG168" s="153"/>
      <c r="DZH168" s="153"/>
      <c r="DZI168" s="153"/>
      <c r="DZJ168" s="153"/>
      <c r="DZK168" s="153"/>
      <c r="DZL168" s="153"/>
      <c r="DZM168" s="153"/>
      <c r="DZN168" s="153"/>
      <c r="DZO168" s="153"/>
      <c r="DZP168" s="153"/>
      <c r="DZQ168" s="153"/>
      <c r="DZR168" s="153"/>
      <c r="DZS168" s="153"/>
      <c r="DZT168" s="153"/>
      <c r="DZU168" s="153"/>
      <c r="DZV168" s="153"/>
      <c r="DZW168" s="153"/>
      <c r="DZX168" s="153"/>
      <c r="DZY168" s="153"/>
      <c r="DZZ168" s="153"/>
      <c r="EAA168" s="153"/>
      <c r="EAB168" s="153"/>
      <c r="EAC168" s="153"/>
      <c r="EAD168" s="153"/>
      <c r="EAE168" s="153"/>
      <c r="EAF168" s="153"/>
      <c r="EAG168" s="153"/>
      <c r="EAH168" s="153"/>
      <c r="EAI168" s="153"/>
      <c r="EAJ168" s="153"/>
      <c r="EAK168" s="153"/>
      <c r="EAL168" s="153"/>
      <c r="EAM168" s="153"/>
      <c r="EAN168" s="153"/>
      <c r="EAO168" s="153"/>
      <c r="EAP168" s="153"/>
      <c r="EAQ168" s="153"/>
      <c r="EAR168" s="153"/>
      <c r="EAS168" s="153"/>
      <c r="EAT168" s="153"/>
      <c r="EAU168" s="153"/>
      <c r="EAV168" s="153"/>
      <c r="EAW168" s="153"/>
      <c r="EAX168" s="153"/>
      <c r="EAY168" s="153"/>
      <c r="EAZ168" s="153"/>
      <c r="EBA168" s="153"/>
      <c r="EBB168" s="153"/>
      <c r="EBC168" s="153"/>
      <c r="EBD168" s="153"/>
      <c r="EBE168" s="153"/>
      <c r="EBF168" s="153"/>
      <c r="EBG168" s="153"/>
      <c r="EBH168" s="153"/>
      <c r="EBI168" s="153"/>
      <c r="EBJ168" s="153"/>
      <c r="EBK168" s="153"/>
      <c r="EBL168" s="153"/>
      <c r="EBM168" s="153"/>
      <c r="EBN168" s="153"/>
      <c r="EBO168" s="153"/>
      <c r="EBP168" s="153"/>
      <c r="EBQ168" s="153"/>
      <c r="EBR168" s="153"/>
      <c r="EBS168" s="153"/>
      <c r="EBT168" s="153"/>
      <c r="EBU168" s="153"/>
      <c r="EBV168" s="153"/>
      <c r="EBW168" s="153"/>
      <c r="EBX168" s="153"/>
      <c r="EBY168" s="153"/>
      <c r="EBZ168" s="153"/>
      <c r="ECA168" s="153"/>
      <c r="ECB168" s="153"/>
      <c r="ECC168" s="153"/>
      <c r="ECD168" s="153"/>
      <c r="ECE168" s="153"/>
      <c r="ECF168" s="153"/>
      <c r="ECG168" s="153"/>
      <c r="ECH168" s="153"/>
      <c r="ECI168" s="153"/>
      <c r="ECJ168" s="153"/>
      <c r="ECK168" s="153"/>
      <c r="ECL168" s="153"/>
      <c r="ECM168" s="153"/>
      <c r="ECN168" s="153"/>
      <c r="ECO168" s="153"/>
      <c r="ECP168" s="153"/>
      <c r="ECQ168" s="153"/>
      <c r="ECR168" s="153"/>
      <c r="ECS168" s="153"/>
      <c r="ECT168" s="153"/>
      <c r="ECU168" s="153"/>
      <c r="ECV168" s="153"/>
      <c r="ECW168" s="153"/>
      <c r="ECX168" s="153"/>
      <c r="ECY168" s="153"/>
      <c r="ECZ168" s="153"/>
      <c r="EDA168" s="153"/>
      <c r="EDB168" s="153"/>
      <c r="EDC168" s="153"/>
      <c r="EDD168" s="153"/>
      <c r="EDE168" s="153"/>
      <c r="EDF168" s="153"/>
      <c r="EDG168" s="153"/>
      <c r="EDH168" s="153"/>
      <c r="EDI168" s="153"/>
      <c r="EDJ168" s="153"/>
      <c r="EDK168" s="153"/>
      <c r="EDL168" s="153"/>
      <c r="EDM168" s="153"/>
      <c r="EDN168" s="153"/>
      <c r="EDO168" s="153"/>
      <c r="EDP168" s="153"/>
      <c r="EDQ168" s="153"/>
      <c r="EDR168" s="153"/>
      <c r="EDS168" s="153"/>
      <c r="EDT168" s="153"/>
      <c r="EDU168" s="153"/>
      <c r="EDV168" s="153"/>
      <c r="EDW168" s="153"/>
      <c r="EDX168" s="153"/>
      <c r="EDY168" s="153"/>
      <c r="EDZ168" s="153"/>
      <c r="EEA168" s="153"/>
      <c r="EEB168" s="153"/>
      <c r="EEC168" s="153"/>
      <c r="EED168" s="153"/>
      <c r="EEE168" s="153"/>
      <c r="EEF168" s="153"/>
      <c r="EEG168" s="153"/>
      <c r="EEH168" s="153"/>
      <c r="EEI168" s="153"/>
      <c r="EEJ168" s="153"/>
      <c r="EEK168" s="153"/>
      <c r="EEL168" s="153"/>
      <c r="EEM168" s="153"/>
      <c r="EEN168" s="153"/>
      <c r="EEO168" s="153"/>
      <c r="EEP168" s="153"/>
      <c r="EEQ168" s="153"/>
      <c r="EER168" s="153"/>
      <c r="EES168" s="153"/>
      <c r="EET168" s="153"/>
      <c r="EEU168" s="153"/>
      <c r="EEV168" s="153"/>
      <c r="EEW168" s="153"/>
      <c r="EEX168" s="153"/>
      <c r="EEY168" s="153"/>
      <c r="EEZ168" s="153"/>
      <c r="EFA168" s="153"/>
      <c r="EFB168" s="153"/>
      <c r="EFC168" s="153"/>
      <c r="EFD168" s="153"/>
      <c r="EFE168" s="153"/>
      <c r="EFF168" s="153"/>
      <c r="EFG168" s="153"/>
      <c r="EFH168" s="153"/>
      <c r="EFI168" s="153"/>
      <c r="EFJ168" s="153"/>
      <c r="EFK168" s="153"/>
      <c r="EFL168" s="153"/>
      <c r="EFM168" s="153"/>
      <c r="EFN168" s="153"/>
      <c r="EFO168" s="153"/>
      <c r="EFP168" s="153"/>
      <c r="EFQ168" s="153"/>
      <c r="EFR168" s="153"/>
      <c r="EFS168" s="153"/>
      <c r="EFT168" s="153"/>
      <c r="EFU168" s="153"/>
      <c r="EFV168" s="153"/>
      <c r="EFW168" s="153"/>
      <c r="EFX168" s="153"/>
      <c r="EFY168" s="153"/>
      <c r="EFZ168" s="153"/>
      <c r="EGA168" s="153"/>
      <c r="EGB168" s="153"/>
      <c r="EGC168" s="153"/>
      <c r="EGD168" s="153"/>
      <c r="EGE168" s="153"/>
      <c r="EGF168" s="153"/>
      <c r="EGG168" s="153"/>
      <c r="EGH168" s="153"/>
      <c r="EGI168" s="153"/>
      <c r="EGJ168" s="153"/>
      <c r="EGK168" s="153"/>
      <c r="EGL168" s="153"/>
      <c r="EGM168" s="153"/>
      <c r="EGN168" s="153"/>
      <c r="EGO168" s="153"/>
      <c r="EGP168" s="153"/>
      <c r="EGQ168" s="153"/>
      <c r="EGR168" s="153"/>
      <c r="EGS168" s="153"/>
      <c r="EGT168" s="153"/>
      <c r="EGU168" s="153"/>
      <c r="EGV168" s="153"/>
      <c r="EGW168" s="153"/>
      <c r="EGX168" s="153"/>
      <c r="EGY168" s="153"/>
      <c r="EGZ168" s="153"/>
      <c r="EHA168" s="153"/>
      <c r="EHB168" s="153"/>
      <c r="EHC168" s="153"/>
      <c r="EHD168" s="153"/>
      <c r="EHE168" s="153"/>
      <c r="EHF168" s="153"/>
      <c r="EHG168" s="153"/>
      <c r="EHH168" s="153"/>
      <c r="EHI168" s="153"/>
      <c r="EHJ168" s="153"/>
      <c r="EHK168" s="153"/>
      <c r="EHL168" s="153"/>
      <c r="EHM168" s="153"/>
      <c r="EHN168" s="153"/>
      <c r="EHO168" s="153"/>
      <c r="EHP168" s="153"/>
      <c r="EHQ168" s="153"/>
      <c r="EHR168" s="153"/>
      <c r="EHS168" s="153"/>
      <c r="EHT168" s="153"/>
      <c r="EHU168" s="153"/>
      <c r="EHV168" s="153"/>
      <c r="EHW168" s="153"/>
      <c r="EHX168" s="153"/>
      <c r="EHY168" s="153"/>
      <c r="EHZ168" s="153"/>
      <c r="EIA168" s="153"/>
      <c r="EIB168" s="153"/>
      <c r="EIC168" s="153"/>
      <c r="EID168" s="153"/>
      <c r="EIE168" s="153"/>
      <c r="EIF168" s="153"/>
      <c r="EIG168" s="153"/>
      <c r="EIH168" s="153"/>
      <c r="EII168" s="153"/>
      <c r="EIJ168" s="153"/>
      <c r="EIK168" s="153"/>
      <c r="EIL168" s="153"/>
      <c r="EIM168" s="153"/>
      <c r="EIN168" s="153"/>
      <c r="EIO168" s="153"/>
      <c r="EIP168" s="153"/>
      <c r="EIQ168" s="153"/>
      <c r="EIR168" s="153"/>
      <c r="EIS168" s="153"/>
      <c r="EIT168" s="153"/>
      <c r="EIU168" s="153"/>
      <c r="EIV168" s="153"/>
      <c r="EIW168" s="153"/>
      <c r="EIX168" s="153"/>
      <c r="EIY168" s="153"/>
      <c r="EIZ168" s="153"/>
      <c r="EJA168" s="153"/>
      <c r="EJB168" s="153"/>
      <c r="EJC168" s="153"/>
      <c r="EJD168" s="153"/>
      <c r="EJE168" s="153"/>
      <c r="EJF168" s="153"/>
      <c r="EJG168" s="153"/>
      <c r="EJH168" s="153"/>
      <c r="EJI168" s="153"/>
      <c r="EJJ168" s="153"/>
      <c r="EJK168" s="153"/>
      <c r="EJL168" s="153"/>
      <c r="EJM168" s="153"/>
      <c r="EJN168" s="153"/>
      <c r="EJO168" s="153"/>
      <c r="EJP168" s="153"/>
      <c r="EJQ168" s="153"/>
      <c r="EJR168" s="153"/>
      <c r="EJS168" s="153"/>
      <c r="EJT168" s="153"/>
      <c r="EJU168" s="153"/>
      <c r="EJV168" s="153"/>
      <c r="EJW168" s="153"/>
      <c r="EJX168" s="153"/>
      <c r="EJY168" s="153"/>
      <c r="EJZ168" s="153"/>
      <c r="EKA168" s="153"/>
      <c r="EKB168" s="153"/>
      <c r="EKC168" s="153"/>
      <c r="EKD168" s="153"/>
      <c r="EKE168" s="153"/>
      <c r="EKF168" s="153"/>
      <c r="EKG168" s="153"/>
      <c r="EKH168" s="153"/>
      <c r="EKI168" s="153"/>
      <c r="EKJ168" s="153"/>
      <c r="EKK168" s="153"/>
      <c r="EKL168" s="153"/>
      <c r="EKM168" s="153"/>
      <c r="EKN168" s="153"/>
      <c r="EKO168" s="153"/>
      <c r="EKP168" s="153"/>
      <c r="EKQ168" s="153"/>
      <c r="EKR168" s="153"/>
      <c r="EKS168" s="153"/>
      <c r="EKT168" s="153"/>
      <c r="EKU168" s="153"/>
      <c r="EKV168" s="153"/>
      <c r="EKW168" s="153"/>
      <c r="EKX168" s="153"/>
      <c r="EKY168" s="153"/>
      <c r="EKZ168" s="153"/>
      <c r="ELA168" s="153"/>
      <c r="ELB168" s="153"/>
      <c r="ELC168" s="153"/>
      <c r="ELD168" s="153"/>
      <c r="ELE168" s="153"/>
      <c r="ELF168" s="153"/>
      <c r="ELG168" s="153"/>
      <c r="ELH168" s="153"/>
      <c r="ELI168" s="153"/>
      <c r="ELJ168" s="153"/>
      <c r="ELK168" s="153"/>
      <c r="ELL168" s="153"/>
      <c r="ELM168" s="153"/>
      <c r="ELN168" s="153"/>
      <c r="ELO168" s="153"/>
      <c r="ELP168" s="153"/>
      <c r="ELQ168" s="153"/>
      <c r="ELR168" s="153"/>
      <c r="ELS168" s="153"/>
      <c r="ELT168" s="153"/>
      <c r="ELU168" s="153"/>
      <c r="ELV168" s="153"/>
      <c r="ELW168" s="153"/>
      <c r="ELX168" s="153"/>
      <c r="ELY168" s="153"/>
      <c r="ELZ168" s="153"/>
      <c r="EMA168" s="153"/>
      <c r="EMB168" s="153"/>
      <c r="EMC168" s="153"/>
      <c r="EMD168" s="153"/>
      <c r="EME168" s="153"/>
      <c r="EMF168" s="153"/>
      <c r="EMG168" s="153"/>
      <c r="EMH168" s="153"/>
      <c r="EMI168" s="153"/>
      <c r="EMJ168" s="153"/>
      <c r="EMK168" s="153"/>
      <c r="EML168" s="153"/>
      <c r="EMM168" s="153"/>
      <c r="EMN168" s="153"/>
      <c r="EMO168" s="153"/>
      <c r="EMP168" s="153"/>
      <c r="EMQ168" s="153"/>
      <c r="EMR168" s="153"/>
      <c r="EMS168" s="153"/>
      <c r="EMT168" s="153"/>
      <c r="EMU168" s="153"/>
      <c r="EMV168" s="153"/>
      <c r="EMW168" s="153"/>
      <c r="EMX168" s="153"/>
      <c r="EMY168" s="153"/>
      <c r="EMZ168" s="153"/>
      <c r="ENA168" s="153"/>
      <c r="ENB168" s="153"/>
      <c r="ENC168" s="153"/>
      <c r="END168" s="153"/>
      <c r="ENE168" s="153"/>
      <c r="ENF168" s="153"/>
      <c r="ENG168" s="153"/>
      <c r="ENH168" s="153"/>
      <c r="ENI168" s="153"/>
      <c r="ENJ168" s="153"/>
      <c r="ENK168" s="153"/>
      <c r="ENL168" s="153"/>
      <c r="ENM168" s="153"/>
      <c r="ENN168" s="153"/>
      <c r="ENO168" s="153"/>
      <c r="ENP168" s="153"/>
      <c r="ENQ168" s="153"/>
      <c r="ENR168" s="153"/>
      <c r="ENS168" s="153"/>
      <c r="ENT168" s="153"/>
      <c r="ENU168" s="153"/>
      <c r="ENV168" s="153"/>
      <c r="ENW168" s="153"/>
      <c r="ENX168" s="153"/>
      <c r="ENY168" s="153"/>
      <c r="ENZ168" s="153"/>
      <c r="EOA168" s="153"/>
      <c r="EOB168" s="153"/>
      <c r="EOC168" s="153"/>
      <c r="EOD168" s="153"/>
      <c r="EOE168" s="153"/>
      <c r="EOF168" s="153"/>
      <c r="EOG168" s="153"/>
      <c r="EOH168" s="153"/>
      <c r="EOI168" s="153"/>
      <c r="EOJ168" s="153"/>
      <c r="EOK168" s="153"/>
      <c r="EOL168" s="153"/>
      <c r="EOM168" s="153"/>
      <c r="EON168" s="153"/>
      <c r="EOO168" s="153"/>
      <c r="EOP168" s="153"/>
      <c r="EOQ168" s="153"/>
      <c r="EOR168" s="153"/>
      <c r="EOS168" s="153"/>
      <c r="EOT168" s="153"/>
      <c r="EOU168" s="153"/>
      <c r="EOV168" s="153"/>
      <c r="EOW168" s="153"/>
      <c r="EOX168" s="153"/>
      <c r="EOY168" s="153"/>
      <c r="EOZ168" s="153"/>
      <c r="EPA168" s="153"/>
      <c r="EPB168" s="153"/>
      <c r="EPC168" s="153"/>
      <c r="EPD168" s="153"/>
      <c r="EPE168" s="153"/>
      <c r="EPF168" s="153"/>
      <c r="EPG168" s="153"/>
      <c r="EPH168" s="153"/>
      <c r="EPI168" s="153"/>
      <c r="EPJ168" s="153"/>
      <c r="EPK168" s="153"/>
      <c r="EPL168" s="153"/>
      <c r="EPM168" s="153"/>
      <c r="EPN168" s="153"/>
      <c r="EPO168" s="153"/>
      <c r="EPP168" s="153"/>
      <c r="EPQ168" s="153"/>
      <c r="EPR168" s="153"/>
      <c r="EPS168" s="153"/>
      <c r="EPT168" s="153"/>
      <c r="EPU168" s="153"/>
      <c r="EPV168" s="153"/>
      <c r="EPW168" s="153"/>
      <c r="EPX168" s="153"/>
      <c r="EPY168" s="153"/>
      <c r="EPZ168" s="153"/>
      <c r="EQA168" s="153"/>
      <c r="EQB168" s="153"/>
      <c r="EQC168" s="153"/>
      <c r="EQD168" s="153"/>
      <c r="EQE168" s="153"/>
      <c r="EQF168" s="153"/>
      <c r="EQG168" s="153"/>
      <c r="EQH168" s="153"/>
      <c r="EQI168" s="153"/>
      <c r="EQJ168" s="153"/>
      <c r="EQK168" s="153"/>
      <c r="EQL168" s="153"/>
      <c r="EQM168" s="153"/>
      <c r="EQN168" s="153"/>
      <c r="EQO168" s="153"/>
      <c r="EQP168" s="153"/>
      <c r="EQQ168" s="153"/>
      <c r="EQR168" s="153"/>
      <c r="EQS168" s="153"/>
      <c r="EQT168" s="153"/>
      <c r="EQU168" s="153"/>
      <c r="EQV168" s="153"/>
      <c r="EQW168" s="153"/>
      <c r="EQX168" s="153"/>
      <c r="EQY168" s="153"/>
      <c r="EQZ168" s="153"/>
      <c r="ERA168" s="153"/>
      <c r="ERB168" s="153"/>
      <c r="ERC168" s="153"/>
      <c r="ERD168" s="153"/>
      <c r="ERE168" s="153"/>
      <c r="ERF168" s="153"/>
      <c r="ERG168" s="153"/>
      <c r="ERH168" s="153"/>
      <c r="ERI168" s="153"/>
      <c r="ERJ168" s="153"/>
      <c r="ERK168" s="153"/>
      <c r="ERL168" s="153"/>
      <c r="ERM168" s="153"/>
      <c r="ERN168" s="153"/>
      <c r="ERO168" s="153"/>
      <c r="ERP168" s="153"/>
      <c r="ERQ168" s="153"/>
      <c r="ERR168" s="153"/>
      <c r="ERS168" s="153"/>
      <c r="ERT168" s="153"/>
      <c r="ERU168" s="153"/>
      <c r="ERV168" s="153"/>
      <c r="ERW168" s="153"/>
      <c r="ERX168" s="153"/>
      <c r="ERY168" s="153"/>
      <c r="ERZ168" s="153"/>
      <c r="ESA168" s="153"/>
      <c r="ESB168" s="153"/>
      <c r="ESC168" s="153"/>
      <c r="ESD168" s="153"/>
      <c r="ESE168" s="153"/>
      <c r="ESF168" s="153"/>
      <c r="ESG168" s="153"/>
      <c r="ESH168" s="153"/>
      <c r="ESI168" s="153"/>
      <c r="ESJ168" s="153"/>
      <c r="ESK168" s="153"/>
      <c r="ESL168" s="153"/>
      <c r="ESM168" s="153"/>
      <c r="ESN168" s="153"/>
      <c r="ESO168" s="153"/>
      <c r="ESP168" s="153"/>
      <c r="ESQ168" s="153"/>
      <c r="ESR168" s="153"/>
      <c r="ESS168" s="153"/>
      <c r="EST168" s="153"/>
      <c r="ESU168" s="153"/>
      <c r="ESV168" s="153"/>
      <c r="ESW168" s="153"/>
      <c r="ESX168" s="153"/>
      <c r="ESY168" s="153"/>
      <c r="ESZ168" s="153"/>
      <c r="ETA168" s="153"/>
      <c r="ETB168" s="153"/>
      <c r="ETC168" s="153"/>
      <c r="ETD168" s="153"/>
      <c r="ETE168" s="153"/>
      <c r="ETF168" s="153"/>
      <c r="ETG168" s="153"/>
      <c r="ETH168" s="153"/>
      <c r="ETI168" s="153"/>
      <c r="ETJ168" s="153"/>
      <c r="ETK168" s="153"/>
      <c r="ETL168" s="153"/>
      <c r="ETM168" s="153"/>
      <c r="ETN168" s="153"/>
      <c r="ETO168" s="153"/>
      <c r="ETP168" s="153"/>
      <c r="ETQ168" s="153"/>
      <c r="ETR168" s="153"/>
      <c r="ETS168" s="153"/>
      <c r="ETT168" s="153"/>
      <c r="ETU168" s="153"/>
      <c r="ETV168" s="153"/>
      <c r="ETW168" s="153"/>
      <c r="ETX168" s="153"/>
      <c r="ETY168" s="153"/>
      <c r="ETZ168" s="153"/>
      <c r="EUA168" s="153"/>
      <c r="EUB168" s="153"/>
      <c r="EUC168" s="153"/>
      <c r="EUD168" s="153"/>
      <c r="EUE168" s="153"/>
      <c r="EUF168" s="153"/>
      <c r="EUG168" s="153"/>
      <c r="EUH168" s="153"/>
      <c r="EUI168" s="153"/>
      <c r="EUJ168" s="153"/>
      <c r="EUK168" s="153"/>
      <c r="EUL168" s="153"/>
      <c r="EUM168" s="153"/>
      <c r="EUN168" s="153"/>
      <c r="EUO168" s="153"/>
      <c r="EUP168" s="153"/>
      <c r="EUQ168" s="153"/>
      <c r="EUR168" s="153"/>
      <c r="EUS168" s="153"/>
      <c r="EUT168" s="153"/>
      <c r="EUU168" s="153"/>
      <c r="EUV168" s="153"/>
      <c r="EUW168" s="153"/>
      <c r="EUX168" s="153"/>
      <c r="EUY168" s="153"/>
      <c r="EUZ168" s="153"/>
      <c r="EVA168" s="153"/>
      <c r="EVB168" s="153"/>
      <c r="EVC168" s="153"/>
      <c r="EVD168" s="153"/>
      <c r="EVE168" s="153"/>
      <c r="EVF168" s="153"/>
      <c r="EVG168" s="153"/>
      <c r="EVH168" s="153"/>
      <c r="EVI168" s="153"/>
      <c r="EVJ168" s="153"/>
      <c r="EVK168" s="153"/>
      <c r="EVL168" s="153"/>
      <c r="EVM168" s="153"/>
      <c r="EVN168" s="153"/>
      <c r="EVO168" s="153"/>
      <c r="EVP168" s="153"/>
      <c r="EVQ168" s="153"/>
      <c r="EVR168" s="153"/>
      <c r="EVS168" s="153"/>
      <c r="EVT168" s="153"/>
      <c r="EVU168" s="153"/>
      <c r="EVV168" s="153"/>
      <c r="EVW168" s="153"/>
      <c r="EVX168" s="153"/>
      <c r="EVY168" s="153"/>
      <c r="EVZ168" s="153"/>
      <c r="EWA168" s="153"/>
      <c r="EWB168" s="153"/>
      <c r="EWC168" s="153"/>
      <c r="EWD168" s="153"/>
      <c r="EWE168" s="153"/>
      <c r="EWF168" s="153"/>
      <c r="EWG168" s="153"/>
      <c r="EWH168" s="153"/>
      <c r="EWI168" s="153"/>
      <c r="EWJ168" s="153"/>
      <c r="EWK168" s="153"/>
      <c r="EWL168" s="153"/>
      <c r="EWM168" s="153"/>
      <c r="EWN168" s="153"/>
      <c r="EWO168" s="153"/>
      <c r="EWP168" s="153"/>
      <c r="EWQ168" s="153"/>
      <c r="EWR168" s="153"/>
      <c r="EWS168" s="153"/>
      <c r="EWT168" s="153"/>
      <c r="EWU168" s="153"/>
      <c r="EWV168" s="153"/>
      <c r="EWW168" s="153"/>
      <c r="EWX168" s="153"/>
      <c r="EWY168" s="153"/>
      <c r="EWZ168" s="153"/>
      <c r="EXA168" s="153"/>
      <c r="EXB168" s="153"/>
      <c r="EXC168" s="153"/>
      <c r="EXD168" s="153"/>
      <c r="EXE168" s="153"/>
      <c r="EXF168" s="153"/>
      <c r="EXG168" s="153"/>
      <c r="EXH168" s="153"/>
      <c r="EXI168" s="153"/>
      <c r="EXJ168" s="153"/>
      <c r="EXK168" s="153"/>
      <c r="EXL168" s="153"/>
      <c r="EXM168" s="153"/>
      <c r="EXN168" s="153"/>
      <c r="EXO168" s="153"/>
      <c r="EXP168" s="153"/>
      <c r="EXQ168" s="153"/>
      <c r="EXR168" s="153"/>
      <c r="EXS168" s="153"/>
      <c r="EXT168" s="153"/>
      <c r="EXU168" s="153"/>
      <c r="EXV168" s="153"/>
      <c r="EXW168" s="153"/>
      <c r="EXX168" s="153"/>
      <c r="EXY168" s="153"/>
      <c r="EXZ168" s="153"/>
      <c r="EYA168" s="153"/>
      <c r="EYB168" s="153"/>
      <c r="EYC168" s="153"/>
      <c r="EYD168" s="153"/>
      <c r="EYE168" s="153"/>
      <c r="EYF168" s="153"/>
      <c r="EYG168" s="153"/>
      <c r="EYH168" s="153"/>
      <c r="EYI168" s="153"/>
      <c r="EYJ168" s="153"/>
      <c r="EYK168" s="153"/>
      <c r="EYL168" s="153"/>
      <c r="EYM168" s="153"/>
      <c r="EYN168" s="153"/>
      <c r="EYO168" s="153"/>
      <c r="EYP168" s="153"/>
      <c r="EYQ168" s="153"/>
      <c r="EYR168" s="153"/>
      <c r="EYS168" s="153"/>
      <c r="EYT168" s="153"/>
      <c r="EYU168" s="153"/>
      <c r="EYV168" s="153"/>
      <c r="EYW168" s="153"/>
      <c r="EYX168" s="153"/>
      <c r="EYY168" s="153"/>
      <c r="EYZ168" s="153"/>
      <c r="EZA168" s="153"/>
      <c r="EZB168" s="153"/>
      <c r="EZC168" s="153"/>
      <c r="EZD168" s="153"/>
      <c r="EZE168" s="153"/>
      <c r="EZF168" s="153"/>
      <c r="EZG168" s="153"/>
      <c r="EZH168" s="153"/>
      <c r="EZI168" s="153"/>
      <c r="EZJ168" s="153"/>
      <c r="EZK168" s="153"/>
      <c r="EZL168" s="153"/>
      <c r="EZM168" s="153"/>
      <c r="EZN168" s="153"/>
      <c r="EZO168" s="153"/>
      <c r="EZP168" s="153"/>
      <c r="EZQ168" s="153"/>
      <c r="EZR168" s="153"/>
      <c r="EZS168" s="153"/>
      <c r="EZT168" s="153"/>
      <c r="EZU168" s="153"/>
      <c r="EZV168" s="153"/>
      <c r="EZW168" s="153"/>
      <c r="EZX168" s="153"/>
      <c r="EZY168" s="153"/>
      <c r="EZZ168" s="153"/>
      <c r="FAA168" s="153"/>
      <c r="FAB168" s="153"/>
      <c r="FAC168" s="153"/>
      <c r="FAD168" s="153"/>
      <c r="FAE168" s="153"/>
      <c r="FAF168" s="153"/>
      <c r="FAG168" s="153"/>
      <c r="FAH168" s="153"/>
      <c r="FAI168" s="153"/>
      <c r="FAJ168" s="153"/>
      <c r="FAK168" s="153"/>
      <c r="FAL168" s="153"/>
      <c r="FAM168" s="153"/>
      <c r="FAN168" s="153"/>
      <c r="FAO168" s="153"/>
      <c r="FAP168" s="153"/>
      <c r="FAQ168" s="153"/>
      <c r="FAR168" s="153"/>
      <c r="FAS168" s="153"/>
      <c r="FAT168" s="153"/>
      <c r="FAU168" s="153"/>
      <c r="FAV168" s="153"/>
      <c r="FAW168" s="153"/>
      <c r="FAX168" s="153"/>
      <c r="FAY168" s="153"/>
      <c r="FAZ168" s="153"/>
      <c r="FBA168" s="153"/>
      <c r="FBB168" s="153"/>
      <c r="FBC168" s="153"/>
      <c r="FBD168" s="153"/>
      <c r="FBE168" s="153"/>
      <c r="FBF168" s="153"/>
      <c r="FBG168" s="153"/>
      <c r="FBH168" s="153"/>
      <c r="FBI168" s="153"/>
      <c r="FBJ168" s="153"/>
      <c r="FBK168" s="153"/>
      <c r="FBL168" s="153"/>
      <c r="FBM168" s="153"/>
      <c r="FBN168" s="153"/>
      <c r="FBO168" s="153"/>
      <c r="FBP168" s="153"/>
      <c r="FBQ168" s="153"/>
      <c r="FBR168" s="153"/>
      <c r="FBS168" s="153"/>
      <c r="FBT168" s="153"/>
      <c r="FBU168" s="153"/>
      <c r="FBV168" s="153"/>
      <c r="FBW168" s="153"/>
      <c r="FBX168" s="153"/>
      <c r="FBY168" s="153"/>
      <c r="FBZ168" s="153"/>
      <c r="FCA168" s="153"/>
      <c r="FCB168" s="153"/>
      <c r="FCC168" s="153"/>
      <c r="FCD168" s="153"/>
      <c r="FCE168" s="153"/>
      <c r="FCF168" s="153"/>
      <c r="FCG168" s="153"/>
      <c r="FCH168" s="153"/>
      <c r="FCI168" s="153"/>
      <c r="FCJ168" s="153"/>
      <c r="FCK168" s="153"/>
      <c r="FCL168" s="153"/>
      <c r="FCM168" s="153"/>
      <c r="FCN168" s="153"/>
      <c r="FCO168" s="153"/>
      <c r="FCP168" s="153"/>
      <c r="FCQ168" s="153"/>
      <c r="FCR168" s="153"/>
      <c r="FCS168" s="153"/>
      <c r="FCT168" s="153"/>
      <c r="FCU168" s="153"/>
      <c r="FCV168" s="153"/>
      <c r="FCW168" s="153"/>
      <c r="FCX168" s="153"/>
      <c r="FCY168" s="153"/>
      <c r="FCZ168" s="153"/>
      <c r="FDA168" s="153"/>
      <c r="FDB168" s="153"/>
      <c r="FDC168" s="153"/>
      <c r="FDD168" s="153"/>
      <c r="FDE168" s="153"/>
      <c r="FDF168" s="153"/>
      <c r="FDG168" s="153"/>
      <c r="FDH168" s="153"/>
      <c r="FDI168" s="153"/>
      <c r="FDJ168" s="153"/>
      <c r="FDK168" s="153"/>
      <c r="FDL168" s="153"/>
      <c r="FDM168" s="153"/>
      <c r="FDN168" s="153"/>
      <c r="FDO168" s="153"/>
      <c r="FDP168" s="153"/>
      <c r="FDQ168" s="153"/>
      <c r="FDR168" s="153"/>
      <c r="FDS168" s="153"/>
      <c r="FDT168" s="153"/>
      <c r="FDU168" s="153"/>
      <c r="FDV168" s="153"/>
      <c r="FDW168" s="153"/>
      <c r="FDX168" s="153"/>
      <c r="FDY168" s="153"/>
      <c r="FDZ168" s="153"/>
      <c r="FEA168" s="153"/>
      <c r="FEB168" s="153"/>
      <c r="FEC168" s="153"/>
      <c r="FED168" s="153"/>
      <c r="FEE168" s="153"/>
      <c r="FEF168" s="153"/>
      <c r="FEG168" s="153"/>
      <c r="FEH168" s="153"/>
      <c r="FEI168" s="153"/>
      <c r="FEJ168" s="153"/>
      <c r="FEK168" s="153"/>
      <c r="FEL168" s="153"/>
      <c r="FEM168" s="153"/>
      <c r="FEN168" s="153"/>
      <c r="FEO168" s="153"/>
      <c r="FEP168" s="153"/>
      <c r="FEQ168" s="153"/>
      <c r="FER168" s="153"/>
      <c r="FES168" s="153"/>
      <c r="FET168" s="153"/>
      <c r="FEU168" s="153"/>
      <c r="FEV168" s="153"/>
      <c r="FEW168" s="153"/>
      <c r="FEX168" s="153"/>
      <c r="FEY168" s="153"/>
      <c r="FEZ168" s="153"/>
      <c r="FFA168" s="153"/>
      <c r="FFB168" s="153"/>
      <c r="FFC168" s="153"/>
      <c r="FFD168" s="153"/>
      <c r="FFE168" s="153"/>
      <c r="FFF168" s="153"/>
      <c r="FFG168" s="153"/>
      <c r="FFH168" s="153"/>
      <c r="FFI168" s="153"/>
      <c r="FFJ168" s="153"/>
      <c r="FFK168" s="153"/>
      <c r="FFL168" s="153"/>
      <c r="FFM168" s="153"/>
      <c r="FFN168" s="153"/>
      <c r="FFO168" s="153"/>
      <c r="FFP168" s="153"/>
      <c r="FFQ168" s="153"/>
      <c r="FFR168" s="153"/>
      <c r="FFS168" s="153"/>
      <c r="FFT168" s="153"/>
      <c r="FFU168" s="153"/>
      <c r="FFV168" s="153"/>
      <c r="FFW168" s="153"/>
      <c r="FFX168" s="153"/>
      <c r="FFY168" s="153"/>
      <c r="FFZ168" s="153"/>
      <c r="FGA168" s="153"/>
      <c r="FGB168" s="153"/>
      <c r="FGC168" s="153"/>
      <c r="FGD168" s="153"/>
      <c r="FGE168" s="153"/>
      <c r="FGF168" s="153"/>
      <c r="FGG168" s="153"/>
      <c r="FGH168" s="153"/>
      <c r="FGI168" s="153"/>
      <c r="FGJ168" s="153"/>
      <c r="FGK168" s="153"/>
      <c r="FGL168" s="153"/>
      <c r="FGM168" s="153"/>
      <c r="FGN168" s="153"/>
      <c r="FGO168" s="153"/>
      <c r="FGP168" s="153"/>
      <c r="FGQ168" s="153"/>
      <c r="FGR168" s="153"/>
      <c r="FGS168" s="153"/>
      <c r="FGT168" s="153"/>
      <c r="FGU168" s="153"/>
      <c r="FGV168" s="153"/>
      <c r="FGW168" s="153"/>
      <c r="FGX168" s="153"/>
      <c r="FGY168" s="153"/>
      <c r="FGZ168" s="153"/>
      <c r="FHA168" s="153"/>
      <c r="FHB168" s="153"/>
      <c r="FHC168" s="153"/>
      <c r="FHD168" s="153"/>
      <c r="FHE168" s="153"/>
      <c r="FHF168" s="153"/>
      <c r="FHG168" s="153"/>
      <c r="FHH168" s="153"/>
      <c r="FHI168" s="153"/>
      <c r="FHJ168" s="153"/>
      <c r="FHK168" s="153"/>
      <c r="FHL168" s="153"/>
      <c r="FHM168" s="153"/>
      <c r="FHN168" s="153"/>
      <c r="FHO168" s="153"/>
      <c r="FHP168" s="153"/>
      <c r="FHQ168" s="153"/>
      <c r="FHR168" s="153"/>
      <c r="FHS168" s="153"/>
      <c r="FHT168" s="153"/>
      <c r="FHU168" s="153"/>
      <c r="FHV168" s="153"/>
      <c r="FHW168" s="153"/>
      <c r="FHX168" s="153"/>
      <c r="FHY168" s="153"/>
      <c r="FHZ168" s="153"/>
      <c r="FIA168" s="153"/>
      <c r="FIB168" s="153"/>
      <c r="FIC168" s="153"/>
      <c r="FID168" s="153"/>
      <c r="FIE168" s="153"/>
      <c r="FIF168" s="153"/>
      <c r="FIG168" s="153"/>
      <c r="FIH168" s="153"/>
      <c r="FII168" s="153"/>
      <c r="FIJ168" s="153"/>
      <c r="FIK168" s="153"/>
      <c r="FIL168" s="153"/>
      <c r="FIM168" s="153"/>
      <c r="FIN168" s="153"/>
      <c r="FIO168" s="153"/>
      <c r="FIP168" s="153"/>
      <c r="FIQ168" s="153"/>
      <c r="FIR168" s="153"/>
      <c r="FIS168" s="153"/>
      <c r="FIT168" s="153"/>
      <c r="FIU168" s="153"/>
      <c r="FIV168" s="153"/>
      <c r="FIW168" s="153"/>
      <c r="FIX168" s="153"/>
      <c r="FIY168" s="153"/>
      <c r="FIZ168" s="153"/>
      <c r="FJA168" s="153"/>
      <c r="FJB168" s="153"/>
      <c r="FJC168" s="153"/>
      <c r="FJD168" s="153"/>
      <c r="FJE168" s="153"/>
      <c r="FJF168" s="153"/>
      <c r="FJG168" s="153"/>
      <c r="FJH168" s="153"/>
      <c r="FJI168" s="153"/>
      <c r="FJJ168" s="153"/>
      <c r="FJK168" s="153"/>
      <c r="FJL168" s="153"/>
      <c r="FJM168" s="153"/>
      <c r="FJN168" s="153"/>
      <c r="FJO168" s="153"/>
      <c r="FJP168" s="153"/>
      <c r="FJQ168" s="153"/>
      <c r="FJR168" s="153"/>
      <c r="FJS168" s="153"/>
      <c r="FJT168" s="153"/>
      <c r="FJU168" s="153"/>
      <c r="FJV168" s="153"/>
      <c r="FJW168" s="153"/>
      <c r="FJX168" s="153"/>
      <c r="FJY168" s="153"/>
      <c r="FJZ168" s="153"/>
      <c r="FKA168" s="153"/>
      <c r="FKB168" s="153"/>
      <c r="FKC168" s="153"/>
      <c r="FKD168" s="153"/>
      <c r="FKE168" s="153"/>
      <c r="FKF168" s="153"/>
      <c r="FKG168" s="153"/>
      <c r="FKH168" s="153"/>
      <c r="FKI168" s="153"/>
      <c r="FKJ168" s="153"/>
      <c r="FKK168" s="153"/>
      <c r="FKL168" s="153"/>
      <c r="FKM168" s="153"/>
      <c r="FKN168" s="153"/>
      <c r="FKO168" s="153"/>
      <c r="FKP168" s="153"/>
      <c r="FKQ168" s="153"/>
      <c r="FKR168" s="153"/>
      <c r="FKS168" s="153"/>
      <c r="FKT168" s="153"/>
      <c r="FKU168" s="153"/>
      <c r="FKV168" s="153"/>
      <c r="FKW168" s="153"/>
      <c r="FKX168" s="153"/>
      <c r="FKY168" s="153"/>
      <c r="FKZ168" s="153"/>
      <c r="FLA168" s="153"/>
      <c r="FLB168" s="153"/>
      <c r="FLC168" s="153"/>
      <c r="FLD168" s="153"/>
      <c r="FLE168" s="153"/>
      <c r="FLF168" s="153"/>
      <c r="FLG168" s="153"/>
      <c r="FLH168" s="153"/>
      <c r="FLI168" s="153"/>
      <c r="FLJ168" s="153"/>
      <c r="FLK168" s="153"/>
      <c r="FLL168" s="153"/>
      <c r="FLM168" s="153"/>
      <c r="FLN168" s="153"/>
      <c r="FLO168" s="153"/>
      <c r="FLP168" s="153"/>
      <c r="FLQ168" s="153"/>
      <c r="FLR168" s="153"/>
      <c r="FLS168" s="153"/>
      <c r="FLT168" s="153"/>
      <c r="FLU168" s="153"/>
      <c r="FLV168" s="153"/>
      <c r="FLW168" s="153"/>
      <c r="FLX168" s="153"/>
      <c r="FLY168" s="153"/>
      <c r="FLZ168" s="153"/>
      <c r="FMA168" s="153"/>
      <c r="FMB168" s="153"/>
      <c r="FMC168" s="153"/>
      <c r="FMD168" s="153"/>
      <c r="FME168" s="153"/>
      <c r="FMF168" s="153"/>
      <c r="FMG168" s="153"/>
      <c r="FMH168" s="153"/>
      <c r="FMI168" s="153"/>
      <c r="FMJ168" s="153"/>
      <c r="FMK168" s="153"/>
      <c r="FML168" s="153"/>
      <c r="FMM168" s="153"/>
      <c r="FMN168" s="153"/>
      <c r="FMO168" s="153"/>
      <c r="FMP168" s="153"/>
      <c r="FMQ168" s="153"/>
      <c r="FMR168" s="153"/>
      <c r="FMS168" s="153"/>
      <c r="FMT168" s="153"/>
      <c r="FMU168" s="153"/>
      <c r="FMV168" s="153"/>
      <c r="FMW168" s="153"/>
      <c r="FMX168" s="153"/>
      <c r="FMY168" s="153"/>
      <c r="FMZ168" s="153"/>
      <c r="FNA168" s="153"/>
      <c r="FNB168" s="153"/>
      <c r="FNC168" s="153"/>
      <c r="FND168" s="153"/>
      <c r="FNE168" s="153"/>
      <c r="FNF168" s="153"/>
      <c r="FNG168" s="153"/>
      <c r="FNH168" s="153"/>
      <c r="FNI168" s="153"/>
      <c r="FNJ168" s="153"/>
      <c r="FNK168" s="153"/>
      <c r="FNL168" s="153"/>
      <c r="FNM168" s="153"/>
      <c r="FNN168" s="153"/>
      <c r="FNO168" s="153"/>
      <c r="FNP168" s="153"/>
      <c r="FNQ168" s="153"/>
      <c r="FNR168" s="153"/>
      <c r="FNS168" s="153"/>
      <c r="FNT168" s="153"/>
      <c r="FNU168" s="153"/>
      <c r="FNV168" s="153"/>
      <c r="FNW168" s="153"/>
      <c r="FNX168" s="153"/>
      <c r="FNY168" s="153"/>
      <c r="FNZ168" s="153"/>
      <c r="FOA168" s="153"/>
      <c r="FOB168" s="153"/>
      <c r="FOC168" s="153"/>
      <c r="FOD168" s="153"/>
      <c r="FOE168" s="153"/>
      <c r="FOF168" s="153"/>
      <c r="FOG168" s="153"/>
      <c r="FOH168" s="153"/>
      <c r="FOI168" s="153"/>
      <c r="FOJ168" s="153"/>
      <c r="FOK168" s="153"/>
      <c r="FOL168" s="153"/>
      <c r="FOM168" s="153"/>
      <c r="FON168" s="153"/>
      <c r="FOO168" s="153"/>
      <c r="FOP168" s="153"/>
      <c r="FOQ168" s="153"/>
      <c r="FOR168" s="153"/>
      <c r="FOS168" s="153"/>
      <c r="FOT168" s="153"/>
      <c r="FOU168" s="153"/>
      <c r="FOV168" s="153"/>
      <c r="FOW168" s="153"/>
      <c r="FOX168" s="153"/>
      <c r="FOY168" s="153"/>
      <c r="FOZ168" s="153"/>
      <c r="FPA168" s="153"/>
      <c r="FPB168" s="153"/>
      <c r="FPC168" s="153"/>
      <c r="FPD168" s="153"/>
      <c r="FPE168" s="153"/>
      <c r="FPF168" s="153"/>
      <c r="FPG168" s="153"/>
      <c r="FPH168" s="153"/>
      <c r="FPI168" s="153"/>
      <c r="FPJ168" s="153"/>
      <c r="FPK168" s="153"/>
      <c r="FPL168" s="153"/>
      <c r="FPM168" s="153"/>
      <c r="FPN168" s="153"/>
      <c r="FPO168" s="153"/>
      <c r="FPP168" s="153"/>
      <c r="FPQ168" s="153"/>
      <c r="FPR168" s="153"/>
      <c r="FPS168" s="153"/>
      <c r="FPT168" s="153"/>
      <c r="FPU168" s="153"/>
      <c r="FPV168" s="153"/>
      <c r="FPW168" s="153"/>
      <c r="FPX168" s="153"/>
      <c r="FPY168" s="153"/>
      <c r="FPZ168" s="153"/>
      <c r="FQA168" s="153"/>
      <c r="FQB168" s="153"/>
      <c r="FQC168" s="153"/>
      <c r="FQD168" s="153"/>
      <c r="FQE168" s="153"/>
      <c r="FQF168" s="153"/>
      <c r="FQG168" s="153"/>
      <c r="FQH168" s="153"/>
      <c r="FQI168" s="153"/>
      <c r="FQJ168" s="153"/>
      <c r="FQK168" s="153"/>
      <c r="FQL168" s="153"/>
      <c r="FQM168" s="153"/>
      <c r="FQN168" s="153"/>
      <c r="FQO168" s="153"/>
      <c r="FQP168" s="153"/>
      <c r="FQQ168" s="153"/>
      <c r="FQR168" s="153"/>
      <c r="FQS168" s="153"/>
      <c r="FQT168" s="153"/>
      <c r="FQU168" s="153"/>
      <c r="FQV168" s="153"/>
      <c r="FQW168" s="153"/>
      <c r="FQX168" s="153"/>
      <c r="FQY168" s="153"/>
      <c r="FQZ168" s="153"/>
      <c r="FRA168" s="153"/>
      <c r="FRB168" s="153"/>
      <c r="FRC168" s="153"/>
      <c r="FRD168" s="153"/>
      <c r="FRE168" s="153"/>
      <c r="FRF168" s="153"/>
      <c r="FRG168" s="153"/>
      <c r="FRH168" s="153"/>
      <c r="FRI168" s="153"/>
      <c r="FRJ168" s="153"/>
      <c r="FRK168" s="153"/>
      <c r="FRL168" s="153"/>
      <c r="FRM168" s="153"/>
      <c r="FRN168" s="153"/>
      <c r="FRO168" s="153"/>
      <c r="FRP168" s="153"/>
      <c r="FRQ168" s="153"/>
      <c r="FRR168" s="153"/>
      <c r="FRS168" s="153"/>
      <c r="FRT168" s="153"/>
      <c r="FRU168" s="153"/>
      <c r="FRV168" s="153"/>
      <c r="FRW168" s="153"/>
      <c r="FRX168" s="153"/>
      <c r="FRY168" s="153"/>
      <c r="FRZ168" s="153"/>
      <c r="FSA168" s="153"/>
      <c r="FSB168" s="153"/>
      <c r="FSC168" s="153"/>
      <c r="FSD168" s="153"/>
      <c r="FSE168" s="153"/>
      <c r="FSF168" s="153"/>
      <c r="FSG168" s="153"/>
      <c r="FSH168" s="153"/>
      <c r="FSI168" s="153"/>
      <c r="FSJ168" s="153"/>
      <c r="FSK168" s="153"/>
      <c r="FSL168" s="153"/>
      <c r="FSM168" s="153"/>
      <c r="FSN168" s="153"/>
      <c r="FSO168" s="153"/>
      <c r="FSP168" s="153"/>
      <c r="FSQ168" s="153"/>
      <c r="FSR168" s="153"/>
      <c r="FSS168" s="153"/>
      <c r="FST168" s="153"/>
      <c r="FSU168" s="153"/>
      <c r="FSV168" s="153"/>
      <c r="FSW168" s="153"/>
      <c r="FSX168" s="153"/>
      <c r="FSY168" s="153"/>
      <c r="FSZ168" s="153"/>
      <c r="FTA168" s="153"/>
      <c r="FTB168" s="153"/>
      <c r="FTC168" s="153"/>
      <c r="FTD168" s="153"/>
      <c r="FTE168" s="153"/>
      <c r="FTF168" s="153"/>
      <c r="FTG168" s="153"/>
      <c r="FTH168" s="153"/>
      <c r="FTI168" s="153"/>
      <c r="FTJ168" s="153"/>
      <c r="FTK168" s="153"/>
      <c r="FTL168" s="153"/>
      <c r="FTM168" s="153"/>
      <c r="FTN168" s="153"/>
      <c r="FTO168" s="153"/>
      <c r="FTP168" s="153"/>
      <c r="FTQ168" s="153"/>
      <c r="FTR168" s="153"/>
      <c r="FTS168" s="153"/>
      <c r="FTT168" s="153"/>
      <c r="FTU168" s="153"/>
      <c r="FTV168" s="153"/>
      <c r="FTW168" s="153"/>
      <c r="FTX168" s="153"/>
      <c r="FTY168" s="153"/>
      <c r="FTZ168" s="153"/>
      <c r="FUA168" s="153"/>
      <c r="FUB168" s="153"/>
      <c r="FUC168" s="153"/>
      <c r="FUD168" s="153"/>
      <c r="FUE168" s="153"/>
      <c r="FUF168" s="153"/>
      <c r="FUG168" s="153"/>
      <c r="FUH168" s="153"/>
      <c r="FUI168" s="153"/>
      <c r="FUJ168" s="153"/>
      <c r="FUK168" s="153"/>
      <c r="FUL168" s="153"/>
      <c r="FUM168" s="153"/>
      <c r="FUN168" s="153"/>
      <c r="FUO168" s="153"/>
      <c r="FUP168" s="153"/>
      <c r="FUQ168" s="153"/>
      <c r="FUR168" s="153"/>
      <c r="FUS168" s="153"/>
      <c r="FUT168" s="153"/>
      <c r="FUU168" s="153"/>
      <c r="FUV168" s="153"/>
      <c r="FUW168" s="153"/>
      <c r="FUX168" s="153"/>
      <c r="FUY168" s="153"/>
      <c r="FUZ168" s="153"/>
      <c r="FVA168" s="153"/>
      <c r="FVB168" s="153"/>
      <c r="FVC168" s="153"/>
      <c r="FVD168" s="153"/>
      <c r="FVE168" s="153"/>
      <c r="FVF168" s="153"/>
      <c r="FVG168" s="153"/>
      <c r="FVH168" s="153"/>
      <c r="FVI168" s="153"/>
      <c r="FVJ168" s="153"/>
      <c r="FVK168" s="153"/>
      <c r="FVL168" s="153"/>
      <c r="FVM168" s="153"/>
      <c r="FVN168" s="153"/>
      <c r="FVO168" s="153"/>
      <c r="FVP168" s="153"/>
      <c r="FVQ168" s="153"/>
      <c r="FVR168" s="153"/>
      <c r="FVS168" s="153"/>
      <c r="FVT168" s="153"/>
      <c r="FVU168" s="153"/>
      <c r="FVV168" s="153"/>
      <c r="FVW168" s="153"/>
      <c r="FVX168" s="153"/>
      <c r="FVY168" s="153"/>
      <c r="FVZ168" s="153"/>
      <c r="FWA168" s="153"/>
      <c r="FWB168" s="153"/>
      <c r="FWC168" s="153"/>
      <c r="FWD168" s="153"/>
      <c r="FWE168" s="153"/>
      <c r="FWF168" s="153"/>
      <c r="FWG168" s="153"/>
      <c r="FWH168" s="153"/>
      <c r="FWI168" s="153"/>
      <c r="FWJ168" s="153"/>
      <c r="FWK168" s="153"/>
      <c r="FWL168" s="153"/>
      <c r="FWM168" s="153"/>
      <c r="FWN168" s="153"/>
      <c r="FWO168" s="153"/>
      <c r="FWP168" s="153"/>
      <c r="FWQ168" s="153"/>
      <c r="FWR168" s="153"/>
      <c r="FWS168" s="153"/>
      <c r="FWT168" s="153"/>
      <c r="FWU168" s="153"/>
      <c r="FWV168" s="153"/>
      <c r="FWW168" s="153"/>
      <c r="FWX168" s="153"/>
      <c r="FWY168" s="153"/>
      <c r="FWZ168" s="153"/>
      <c r="FXA168" s="153"/>
      <c r="FXB168" s="153"/>
      <c r="FXC168" s="153"/>
      <c r="FXD168" s="153"/>
      <c r="FXE168" s="153"/>
      <c r="FXF168" s="153"/>
      <c r="FXG168" s="153"/>
      <c r="FXH168" s="153"/>
      <c r="FXI168" s="153"/>
      <c r="FXJ168" s="153"/>
      <c r="FXK168" s="153"/>
      <c r="FXL168" s="153"/>
      <c r="FXM168" s="153"/>
      <c r="FXN168" s="153"/>
      <c r="FXO168" s="153"/>
      <c r="FXP168" s="153"/>
      <c r="FXQ168" s="153"/>
      <c r="FXR168" s="153"/>
      <c r="FXS168" s="153"/>
      <c r="FXT168" s="153"/>
      <c r="FXU168" s="153"/>
      <c r="FXV168" s="153"/>
      <c r="FXW168" s="153"/>
      <c r="FXX168" s="153"/>
      <c r="FXY168" s="153"/>
      <c r="FXZ168" s="153"/>
      <c r="FYA168" s="153"/>
      <c r="FYB168" s="153"/>
      <c r="FYC168" s="153"/>
      <c r="FYD168" s="153"/>
      <c r="FYE168" s="153"/>
      <c r="FYF168" s="153"/>
      <c r="FYG168" s="153"/>
      <c r="FYH168" s="153"/>
      <c r="FYI168" s="153"/>
      <c r="FYJ168" s="153"/>
      <c r="FYK168" s="153"/>
      <c r="FYL168" s="153"/>
      <c r="FYM168" s="153"/>
      <c r="FYN168" s="153"/>
      <c r="FYO168" s="153"/>
      <c r="FYP168" s="153"/>
      <c r="FYQ168" s="153"/>
      <c r="FYR168" s="153"/>
      <c r="FYS168" s="153"/>
      <c r="FYT168" s="153"/>
      <c r="FYU168" s="153"/>
      <c r="FYV168" s="153"/>
      <c r="FYW168" s="153"/>
      <c r="FYX168" s="153"/>
      <c r="FYY168" s="153"/>
      <c r="FYZ168" s="153"/>
      <c r="FZA168" s="153"/>
      <c r="FZB168" s="153"/>
      <c r="FZC168" s="153"/>
      <c r="FZD168" s="153"/>
      <c r="FZE168" s="153"/>
      <c r="FZF168" s="153"/>
      <c r="FZG168" s="153"/>
      <c r="FZH168" s="153"/>
      <c r="FZI168" s="153"/>
      <c r="FZJ168" s="153"/>
      <c r="FZK168" s="153"/>
      <c r="FZL168" s="153"/>
      <c r="FZM168" s="153"/>
      <c r="FZN168" s="153"/>
      <c r="FZO168" s="153"/>
      <c r="FZP168" s="153"/>
      <c r="FZQ168" s="153"/>
      <c r="FZR168" s="153"/>
      <c r="FZS168" s="153"/>
      <c r="FZT168" s="153"/>
      <c r="FZU168" s="153"/>
      <c r="FZV168" s="153"/>
      <c r="FZW168" s="153"/>
      <c r="FZX168" s="153"/>
      <c r="FZY168" s="153"/>
      <c r="FZZ168" s="153"/>
      <c r="GAA168" s="153"/>
      <c r="GAB168" s="153"/>
      <c r="GAC168" s="153"/>
      <c r="GAD168" s="153"/>
      <c r="GAE168" s="153"/>
      <c r="GAF168" s="153"/>
      <c r="GAG168" s="153"/>
      <c r="GAH168" s="153"/>
      <c r="GAI168" s="153"/>
      <c r="GAJ168" s="153"/>
      <c r="GAK168" s="153"/>
      <c r="GAL168" s="153"/>
      <c r="GAM168" s="153"/>
      <c r="GAN168" s="153"/>
      <c r="GAO168" s="153"/>
      <c r="GAP168" s="153"/>
      <c r="GAQ168" s="153"/>
      <c r="GAR168" s="153"/>
      <c r="GAS168" s="153"/>
      <c r="GAT168" s="153"/>
      <c r="GAU168" s="153"/>
      <c r="GAV168" s="153"/>
      <c r="GAW168" s="153"/>
      <c r="GAX168" s="153"/>
      <c r="GAY168" s="153"/>
      <c r="GAZ168" s="153"/>
      <c r="GBA168" s="153"/>
      <c r="GBB168" s="153"/>
      <c r="GBC168" s="153"/>
      <c r="GBD168" s="153"/>
      <c r="GBE168" s="153"/>
      <c r="GBF168" s="153"/>
      <c r="GBG168" s="153"/>
      <c r="GBH168" s="153"/>
      <c r="GBI168" s="153"/>
      <c r="GBJ168" s="153"/>
      <c r="GBK168" s="153"/>
      <c r="GBL168" s="153"/>
      <c r="GBM168" s="153"/>
      <c r="GBN168" s="153"/>
      <c r="GBO168" s="153"/>
      <c r="GBP168" s="153"/>
      <c r="GBQ168" s="153"/>
      <c r="GBR168" s="153"/>
      <c r="GBS168" s="153"/>
      <c r="GBT168" s="153"/>
      <c r="GBU168" s="153"/>
      <c r="GBV168" s="153"/>
      <c r="GBW168" s="153"/>
      <c r="GBX168" s="153"/>
      <c r="GBY168" s="153"/>
      <c r="GBZ168" s="153"/>
      <c r="GCA168" s="153"/>
      <c r="GCB168" s="153"/>
      <c r="GCC168" s="153"/>
      <c r="GCD168" s="153"/>
      <c r="GCE168" s="153"/>
      <c r="GCF168" s="153"/>
      <c r="GCG168" s="153"/>
      <c r="GCH168" s="153"/>
      <c r="GCI168" s="153"/>
      <c r="GCJ168" s="153"/>
      <c r="GCK168" s="153"/>
      <c r="GCL168" s="153"/>
      <c r="GCM168" s="153"/>
      <c r="GCN168" s="153"/>
      <c r="GCO168" s="153"/>
      <c r="GCP168" s="153"/>
      <c r="GCQ168" s="153"/>
      <c r="GCR168" s="153"/>
      <c r="GCS168" s="153"/>
      <c r="GCT168" s="153"/>
      <c r="GCU168" s="153"/>
      <c r="GCV168" s="153"/>
      <c r="GCW168" s="153"/>
      <c r="GCX168" s="153"/>
      <c r="GCY168" s="153"/>
      <c r="GCZ168" s="153"/>
      <c r="GDA168" s="153"/>
      <c r="GDB168" s="153"/>
      <c r="GDC168" s="153"/>
      <c r="GDD168" s="153"/>
      <c r="GDE168" s="153"/>
      <c r="GDF168" s="153"/>
      <c r="GDG168" s="153"/>
      <c r="GDH168" s="153"/>
      <c r="GDI168" s="153"/>
      <c r="GDJ168" s="153"/>
      <c r="GDK168" s="153"/>
      <c r="GDL168" s="153"/>
      <c r="GDM168" s="153"/>
      <c r="GDN168" s="153"/>
      <c r="GDO168" s="153"/>
      <c r="GDP168" s="153"/>
      <c r="GDQ168" s="153"/>
      <c r="GDR168" s="153"/>
      <c r="GDS168" s="153"/>
      <c r="GDT168" s="153"/>
      <c r="GDU168" s="153"/>
      <c r="GDV168" s="153"/>
      <c r="GDW168" s="153"/>
      <c r="GDX168" s="153"/>
      <c r="GDY168" s="153"/>
      <c r="GDZ168" s="153"/>
      <c r="GEA168" s="153"/>
      <c r="GEB168" s="153"/>
      <c r="GEC168" s="153"/>
      <c r="GED168" s="153"/>
      <c r="GEE168" s="153"/>
      <c r="GEF168" s="153"/>
      <c r="GEG168" s="153"/>
      <c r="GEH168" s="153"/>
      <c r="GEI168" s="153"/>
      <c r="GEJ168" s="153"/>
      <c r="GEK168" s="153"/>
      <c r="GEL168" s="153"/>
      <c r="GEM168" s="153"/>
      <c r="GEN168" s="153"/>
      <c r="GEO168" s="153"/>
      <c r="GEP168" s="153"/>
      <c r="GEQ168" s="153"/>
      <c r="GER168" s="153"/>
      <c r="GES168" s="153"/>
      <c r="GET168" s="153"/>
      <c r="GEU168" s="153"/>
      <c r="GEV168" s="153"/>
      <c r="GEW168" s="153"/>
      <c r="GEX168" s="153"/>
      <c r="GEY168" s="153"/>
      <c r="GEZ168" s="153"/>
      <c r="GFA168" s="153"/>
      <c r="GFB168" s="153"/>
      <c r="GFC168" s="153"/>
      <c r="GFD168" s="153"/>
      <c r="GFE168" s="153"/>
      <c r="GFF168" s="153"/>
      <c r="GFG168" s="153"/>
      <c r="GFH168" s="153"/>
      <c r="GFI168" s="153"/>
      <c r="GFJ168" s="153"/>
      <c r="GFK168" s="153"/>
      <c r="GFL168" s="153"/>
      <c r="GFM168" s="153"/>
      <c r="GFN168" s="153"/>
      <c r="GFO168" s="153"/>
      <c r="GFP168" s="153"/>
      <c r="GFQ168" s="153"/>
      <c r="GFR168" s="153"/>
      <c r="GFS168" s="153"/>
      <c r="GFT168" s="153"/>
      <c r="GFU168" s="153"/>
      <c r="GFV168" s="153"/>
      <c r="GFW168" s="153"/>
      <c r="GFX168" s="153"/>
      <c r="GFY168" s="153"/>
      <c r="GFZ168" s="153"/>
      <c r="GGA168" s="153"/>
      <c r="GGB168" s="153"/>
      <c r="GGC168" s="153"/>
      <c r="GGD168" s="153"/>
      <c r="GGE168" s="153"/>
      <c r="GGF168" s="153"/>
      <c r="GGG168" s="153"/>
      <c r="GGH168" s="153"/>
      <c r="GGI168" s="153"/>
      <c r="GGJ168" s="153"/>
      <c r="GGK168" s="153"/>
      <c r="GGL168" s="153"/>
      <c r="GGM168" s="153"/>
      <c r="GGN168" s="153"/>
      <c r="GGO168" s="153"/>
      <c r="GGP168" s="153"/>
      <c r="GGQ168" s="153"/>
      <c r="GGR168" s="153"/>
      <c r="GGS168" s="153"/>
      <c r="GGT168" s="153"/>
      <c r="GGU168" s="153"/>
      <c r="GGV168" s="153"/>
      <c r="GGW168" s="153"/>
      <c r="GGX168" s="153"/>
      <c r="GGY168" s="153"/>
      <c r="GGZ168" s="153"/>
      <c r="GHA168" s="153"/>
      <c r="GHB168" s="153"/>
      <c r="GHC168" s="153"/>
      <c r="GHD168" s="153"/>
      <c r="GHE168" s="153"/>
      <c r="GHF168" s="153"/>
      <c r="GHG168" s="153"/>
      <c r="GHH168" s="153"/>
      <c r="GHI168" s="153"/>
      <c r="GHJ168" s="153"/>
      <c r="GHK168" s="153"/>
      <c r="GHL168" s="153"/>
      <c r="GHM168" s="153"/>
      <c r="GHN168" s="153"/>
      <c r="GHO168" s="153"/>
      <c r="GHP168" s="153"/>
      <c r="GHQ168" s="153"/>
      <c r="GHR168" s="153"/>
      <c r="GHS168" s="153"/>
      <c r="GHT168" s="153"/>
      <c r="GHU168" s="153"/>
      <c r="GHV168" s="153"/>
      <c r="GHW168" s="153"/>
      <c r="GHX168" s="153"/>
      <c r="GHY168" s="153"/>
      <c r="GHZ168" s="153"/>
      <c r="GIA168" s="153"/>
      <c r="GIB168" s="153"/>
      <c r="GIC168" s="153"/>
      <c r="GID168" s="153"/>
      <c r="GIE168" s="153"/>
      <c r="GIF168" s="153"/>
      <c r="GIG168" s="153"/>
      <c r="GIH168" s="153"/>
      <c r="GII168" s="153"/>
      <c r="GIJ168" s="153"/>
      <c r="GIK168" s="153"/>
      <c r="GIL168" s="153"/>
      <c r="GIM168" s="153"/>
      <c r="GIN168" s="153"/>
      <c r="GIO168" s="153"/>
      <c r="GIP168" s="153"/>
      <c r="GIQ168" s="153"/>
      <c r="GIR168" s="153"/>
      <c r="GIS168" s="153"/>
      <c r="GIT168" s="153"/>
      <c r="GIU168" s="153"/>
      <c r="GIV168" s="153"/>
      <c r="GIW168" s="153"/>
      <c r="GIX168" s="153"/>
      <c r="GIY168" s="153"/>
      <c r="GIZ168" s="153"/>
      <c r="GJA168" s="153"/>
      <c r="GJB168" s="153"/>
      <c r="GJC168" s="153"/>
      <c r="GJD168" s="153"/>
      <c r="GJE168" s="153"/>
      <c r="GJF168" s="153"/>
      <c r="GJG168" s="153"/>
      <c r="GJH168" s="153"/>
      <c r="GJI168" s="153"/>
      <c r="GJJ168" s="153"/>
      <c r="GJK168" s="153"/>
      <c r="GJL168" s="153"/>
      <c r="GJM168" s="153"/>
      <c r="GJN168" s="153"/>
      <c r="GJO168" s="153"/>
      <c r="GJP168" s="153"/>
      <c r="GJQ168" s="153"/>
      <c r="GJR168" s="153"/>
      <c r="GJS168" s="153"/>
      <c r="GJT168" s="153"/>
      <c r="GJU168" s="153"/>
      <c r="GJV168" s="153"/>
      <c r="GJW168" s="153"/>
      <c r="GJX168" s="153"/>
      <c r="GJY168" s="153"/>
      <c r="GJZ168" s="153"/>
      <c r="GKA168" s="153"/>
      <c r="GKB168" s="153"/>
      <c r="GKC168" s="153"/>
      <c r="GKD168" s="153"/>
      <c r="GKE168" s="153"/>
      <c r="GKF168" s="153"/>
      <c r="GKG168" s="153"/>
      <c r="GKH168" s="153"/>
      <c r="GKI168" s="153"/>
      <c r="GKJ168" s="153"/>
      <c r="GKK168" s="153"/>
      <c r="GKL168" s="153"/>
      <c r="GKM168" s="153"/>
      <c r="GKN168" s="153"/>
      <c r="GKO168" s="153"/>
      <c r="GKP168" s="153"/>
      <c r="GKQ168" s="153"/>
      <c r="GKR168" s="153"/>
      <c r="GKS168" s="153"/>
      <c r="GKT168" s="153"/>
      <c r="GKU168" s="153"/>
      <c r="GKV168" s="153"/>
      <c r="GKW168" s="153"/>
      <c r="GKX168" s="153"/>
      <c r="GKY168" s="153"/>
      <c r="GKZ168" s="153"/>
      <c r="GLA168" s="153"/>
      <c r="GLB168" s="153"/>
      <c r="GLC168" s="153"/>
      <c r="GLD168" s="153"/>
      <c r="GLE168" s="153"/>
      <c r="GLF168" s="153"/>
      <c r="GLG168" s="153"/>
      <c r="GLH168" s="153"/>
      <c r="GLI168" s="153"/>
      <c r="GLJ168" s="153"/>
      <c r="GLK168" s="153"/>
      <c r="GLL168" s="153"/>
      <c r="GLM168" s="153"/>
      <c r="GLN168" s="153"/>
      <c r="GLO168" s="153"/>
      <c r="GLP168" s="153"/>
      <c r="GLQ168" s="153"/>
      <c r="GLR168" s="153"/>
      <c r="GLS168" s="153"/>
      <c r="GLT168" s="153"/>
      <c r="GLU168" s="153"/>
      <c r="GLV168" s="153"/>
      <c r="GLW168" s="153"/>
      <c r="GLX168" s="153"/>
      <c r="GLY168" s="153"/>
      <c r="GLZ168" s="153"/>
      <c r="GMA168" s="153"/>
      <c r="GMB168" s="153"/>
      <c r="GMC168" s="153"/>
      <c r="GMD168" s="153"/>
      <c r="GME168" s="153"/>
      <c r="GMF168" s="153"/>
      <c r="GMG168" s="153"/>
      <c r="GMH168" s="153"/>
      <c r="GMI168" s="153"/>
      <c r="GMJ168" s="153"/>
      <c r="GMK168" s="153"/>
      <c r="GML168" s="153"/>
      <c r="GMM168" s="153"/>
      <c r="GMN168" s="153"/>
      <c r="GMO168" s="153"/>
      <c r="GMP168" s="153"/>
      <c r="GMQ168" s="153"/>
      <c r="GMR168" s="153"/>
      <c r="GMS168" s="153"/>
      <c r="GMT168" s="153"/>
      <c r="GMU168" s="153"/>
      <c r="GMV168" s="153"/>
      <c r="GMW168" s="153"/>
      <c r="GMX168" s="153"/>
      <c r="GMY168" s="153"/>
      <c r="GMZ168" s="153"/>
      <c r="GNA168" s="153"/>
      <c r="GNB168" s="153"/>
      <c r="GNC168" s="153"/>
      <c r="GND168" s="153"/>
      <c r="GNE168" s="153"/>
      <c r="GNF168" s="153"/>
      <c r="GNG168" s="153"/>
      <c r="GNH168" s="153"/>
      <c r="GNI168" s="153"/>
      <c r="GNJ168" s="153"/>
      <c r="GNK168" s="153"/>
      <c r="GNL168" s="153"/>
      <c r="GNM168" s="153"/>
      <c r="GNN168" s="153"/>
      <c r="GNO168" s="153"/>
      <c r="GNP168" s="153"/>
      <c r="GNQ168" s="153"/>
      <c r="GNR168" s="153"/>
      <c r="GNS168" s="153"/>
      <c r="GNT168" s="153"/>
      <c r="GNU168" s="153"/>
      <c r="GNV168" s="153"/>
      <c r="GNW168" s="153"/>
      <c r="GNX168" s="153"/>
      <c r="GNY168" s="153"/>
      <c r="GNZ168" s="153"/>
      <c r="GOA168" s="153"/>
      <c r="GOB168" s="153"/>
      <c r="GOC168" s="153"/>
      <c r="GOD168" s="153"/>
      <c r="GOE168" s="153"/>
      <c r="GOF168" s="153"/>
      <c r="GOG168" s="153"/>
      <c r="GOH168" s="153"/>
      <c r="GOI168" s="153"/>
      <c r="GOJ168" s="153"/>
      <c r="GOK168" s="153"/>
      <c r="GOL168" s="153"/>
      <c r="GOM168" s="153"/>
      <c r="GON168" s="153"/>
      <c r="GOO168" s="153"/>
      <c r="GOP168" s="153"/>
      <c r="GOQ168" s="153"/>
      <c r="GOR168" s="153"/>
      <c r="GOS168" s="153"/>
      <c r="GOT168" s="153"/>
      <c r="GOU168" s="153"/>
      <c r="GOV168" s="153"/>
      <c r="GOW168" s="153"/>
      <c r="GOX168" s="153"/>
      <c r="GOY168" s="153"/>
      <c r="GOZ168" s="153"/>
      <c r="GPA168" s="153"/>
      <c r="GPB168" s="153"/>
      <c r="GPC168" s="153"/>
      <c r="GPD168" s="153"/>
      <c r="GPE168" s="153"/>
      <c r="GPF168" s="153"/>
      <c r="GPG168" s="153"/>
      <c r="GPH168" s="153"/>
      <c r="GPI168" s="153"/>
      <c r="GPJ168" s="153"/>
      <c r="GPK168" s="153"/>
      <c r="GPL168" s="153"/>
      <c r="GPM168" s="153"/>
      <c r="GPN168" s="153"/>
      <c r="GPO168" s="153"/>
      <c r="GPP168" s="153"/>
      <c r="GPQ168" s="153"/>
      <c r="GPR168" s="153"/>
      <c r="GPS168" s="153"/>
      <c r="GPT168" s="153"/>
      <c r="GPU168" s="153"/>
      <c r="GPV168" s="153"/>
      <c r="GPW168" s="153"/>
      <c r="GPX168" s="153"/>
      <c r="GPY168" s="153"/>
      <c r="GPZ168" s="153"/>
      <c r="GQA168" s="153"/>
      <c r="GQB168" s="153"/>
      <c r="GQC168" s="153"/>
      <c r="GQD168" s="153"/>
      <c r="GQE168" s="153"/>
      <c r="GQF168" s="153"/>
      <c r="GQG168" s="153"/>
      <c r="GQH168" s="153"/>
      <c r="GQI168" s="153"/>
      <c r="GQJ168" s="153"/>
      <c r="GQK168" s="153"/>
      <c r="GQL168" s="153"/>
      <c r="GQM168" s="153"/>
      <c r="GQN168" s="153"/>
      <c r="GQO168" s="153"/>
      <c r="GQP168" s="153"/>
      <c r="GQQ168" s="153"/>
      <c r="GQR168" s="153"/>
      <c r="GQS168" s="153"/>
      <c r="GQT168" s="153"/>
      <c r="GQU168" s="153"/>
      <c r="GQV168" s="153"/>
      <c r="GQW168" s="153"/>
      <c r="GQX168" s="153"/>
      <c r="GQY168" s="153"/>
      <c r="GQZ168" s="153"/>
      <c r="GRA168" s="153"/>
      <c r="GRB168" s="153"/>
      <c r="GRC168" s="153"/>
      <c r="GRD168" s="153"/>
      <c r="GRE168" s="153"/>
      <c r="GRF168" s="153"/>
      <c r="GRG168" s="153"/>
      <c r="GRH168" s="153"/>
      <c r="GRI168" s="153"/>
      <c r="GRJ168" s="153"/>
      <c r="GRK168" s="153"/>
      <c r="GRL168" s="153"/>
      <c r="GRM168" s="153"/>
      <c r="GRN168" s="153"/>
      <c r="GRO168" s="153"/>
      <c r="GRP168" s="153"/>
      <c r="GRQ168" s="153"/>
      <c r="GRR168" s="153"/>
      <c r="GRS168" s="153"/>
      <c r="GRT168" s="153"/>
      <c r="GRU168" s="153"/>
      <c r="GRV168" s="153"/>
      <c r="GRW168" s="153"/>
      <c r="GRX168" s="153"/>
      <c r="GRY168" s="153"/>
      <c r="GRZ168" s="153"/>
      <c r="GSA168" s="153"/>
      <c r="GSB168" s="153"/>
      <c r="GSC168" s="153"/>
      <c r="GSD168" s="153"/>
      <c r="GSE168" s="153"/>
      <c r="GSF168" s="153"/>
      <c r="GSG168" s="153"/>
      <c r="GSH168" s="153"/>
      <c r="GSI168" s="153"/>
      <c r="GSJ168" s="153"/>
      <c r="GSK168" s="153"/>
      <c r="GSL168" s="153"/>
      <c r="GSM168" s="153"/>
      <c r="GSN168" s="153"/>
      <c r="GSO168" s="153"/>
      <c r="GSP168" s="153"/>
      <c r="GSQ168" s="153"/>
      <c r="GSR168" s="153"/>
      <c r="GSS168" s="153"/>
      <c r="GST168" s="153"/>
      <c r="GSU168" s="153"/>
      <c r="GSV168" s="153"/>
      <c r="GSW168" s="153"/>
      <c r="GSX168" s="153"/>
      <c r="GSY168" s="153"/>
      <c r="GSZ168" s="153"/>
      <c r="GTA168" s="153"/>
      <c r="GTB168" s="153"/>
      <c r="GTC168" s="153"/>
      <c r="GTD168" s="153"/>
      <c r="GTE168" s="153"/>
      <c r="GTF168" s="153"/>
      <c r="GTG168" s="153"/>
      <c r="GTH168" s="153"/>
      <c r="GTI168" s="153"/>
      <c r="GTJ168" s="153"/>
      <c r="GTK168" s="153"/>
      <c r="GTL168" s="153"/>
      <c r="GTM168" s="153"/>
      <c r="GTN168" s="153"/>
      <c r="GTO168" s="153"/>
      <c r="GTP168" s="153"/>
      <c r="GTQ168" s="153"/>
      <c r="GTR168" s="153"/>
      <c r="GTS168" s="153"/>
      <c r="GTT168" s="153"/>
      <c r="GTU168" s="153"/>
      <c r="GTV168" s="153"/>
      <c r="GTW168" s="153"/>
      <c r="GTX168" s="153"/>
      <c r="GTY168" s="153"/>
      <c r="GTZ168" s="153"/>
      <c r="GUA168" s="153"/>
      <c r="GUB168" s="153"/>
      <c r="GUC168" s="153"/>
      <c r="GUD168" s="153"/>
      <c r="GUE168" s="153"/>
      <c r="GUF168" s="153"/>
      <c r="GUG168" s="153"/>
      <c r="GUH168" s="153"/>
      <c r="GUI168" s="153"/>
      <c r="GUJ168" s="153"/>
      <c r="GUK168" s="153"/>
      <c r="GUL168" s="153"/>
      <c r="GUM168" s="153"/>
      <c r="GUN168" s="153"/>
      <c r="GUO168" s="153"/>
      <c r="GUP168" s="153"/>
      <c r="GUQ168" s="153"/>
      <c r="GUR168" s="153"/>
      <c r="GUS168" s="153"/>
      <c r="GUT168" s="153"/>
      <c r="GUU168" s="153"/>
      <c r="GUV168" s="153"/>
      <c r="GUW168" s="153"/>
      <c r="GUX168" s="153"/>
      <c r="GUY168" s="153"/>
      <c r="GUZ168" s="153"/>
      <c r="GVA168" s="153"/>
      <c r="GVB168" s="153"/>
      <c r="GVC168" s="153"/>
      <c r="GVD168" s="153"/>
      <c r="GVE168" s="153"/>
      <c r="GVF168" s="153"/>
      <c r="GVG168" s="153"/>
      <c r="GVH168" s="153"/>
      <c r="GVI168" s="153"/>
      <c r="GVJ168" s="153"/>
      <c r="GVK168" s="153"/>
      <c r="GVL168" s="153"/>
      <c r="GVM168" s="153"/>
      <c r="GVN168" s="153"/>
      <c r="GVO168" s="153"/>
      <c r="GVP168" s="153"/>
      <c r="GVQ168" s="153"/>
      <c r="GVR168" s="153"/>
      <c r="GVS168" s="153"/>
      <c r="GVT168" s="153"/>
      <c r="GVU168" s="153"/>
      <c r="GVV168" s="153"/>
      <c r="GVW168" s="153"/>
      <c r="GVX168" s="153"/>
      <c r="GVY168" s="153"/>
      <c r="GVZ168" s="153"/>
      <c r="GWA168" s="153"/>
      <c r="GWB168" s="153"/>
      <c r="GWC168" s="153"/>
      <c r="GWD168" s="153"/>
      <c r="GWE168" s="153"/>
      <c r="GWF168" s="153"/>
      <c r="GWG168" s="153"/>
      <c r="GWH168" s="153"/>
      <c r="GWI168" s="153"/>
      <c r="GWJ168" s="153"/>
      <c r="GWK168" s="153"/>
      <c r="GWL168" s="153"/>
      <c r="GWM168" s="153"/>
      <c r="GWN168" s="153"/>
      <c r="GWO168" s="153"/>
      <c r="GWP168" s="153"/>
      <c r="GWQ168" s="153"/>
      <c r="GWR168" s="153"/>
      <c r="GWS168" s="153"/>
      <c r="GWT168" s="153"/>
      <c r="GWU168" s="153"/>
      <c r="GWV168" s="153"/>
      <c r="GWW168" s="153"/>
      <c r="GWX168" s="153"/>
      <c r="GWY168" s="153"/>
      <c r="GWZ168" s="153"/>
      <c r="GXA168" s="153"/>
      <c r="GXB168" s="153"/>
      <c r="GXC168" s="153"/>
      <c r="GXD168" s="153"/>
      <c r="GXE168" s="153"/>
      <c r="GXF168" s="153"/>
      <c r="GXG168" s="153"/>
      <c r="GXH168" s="153"/>
      <c r="GXI168" s="153"/>
      <c r="GXJ168" s="153"/>
      <c r="GXK168" s="153"/>
      <c r="GXL168" s="153"/>
      <c r="GXM168" s="153"/>
      <c r="GXN168" s="153"/>
      <c r="GXO168" s="153"/>
      <c r="GXP168" s="153"/>
      <c r="GXQ168" s="153"/>
      <c r="GXR168" s="153"/>
      <c r="GXS168" s="153"/>
      <c r="GXT168" s="153"/>
      <c r="GXU168" s="153"/>
      <c r="GXV168" s="153"/>
      <c r="GXW168" s="153"/>
      <c r="GXX168" s="153"/>
      <c r="GXY168" s="153"/>
      <c r="GXZ168" s="153"/>
      <c r="GYA168" s="153"/>
      <c r="GYB168" s="153"/>
      <c r="GYC168" s="153"/>
      <c r="GYD168" s="153"/>
      <c r="GYE168" s="153"/>
      <c r="GYF168" s="153"/>
      <c r="GYG168" s="153"/>
      <c r="GYH168" s="153"/>
      <c r="GYI168" s="153"/>
      <c r="GYJ168" s="153"/>
      <c r="GYK168" s="153"/>
      <c r="GYL168" s="153"/>
      <c r="GYM168" s="153"/>
      <c r="GYN168" s="153"/>
      <c r="GYO168" s="153"/>
      <c r="GYP168" s="153"/>
      <c r="GYQ168" s="153"/>
      <c r="GYR168" s="153"/>
      <c r="GYS168" s="153"/>
      <c r="GYT168" s="153"/>
      <c r="GYU168" s="153"/>
      <c r="GYV168" s="153"/>
      <c r="GYW168" s="153"/>
      <c r="GYX168" s="153"/>
      <c r="GYY168" s="153"/>
      <c r="GYZ168" s="153"/>
      <c r="GZA168" s="153"/>
      <c r="GZB168" s="153"/>
      <c r="GZC168" s="153"/>
      <c r="GZD168" s="153"/>
      <c r="GZE168" s="153"/>
      <c r="GZF168" s="153"/>
      <c r="GZG168" s="153"/>
      <c r="GZH168" s="153"/>
      <c r="GZI168" s="153"/>
      <c r="GZJ168" s="153"/>
      <c r="GZK168" s="153"/>
      <c r="GZL168" s="153"/>
      <c r="GZM168" s="153"/>
      <c r="GZN168" s="153"/>
      <c r="GZO168" s="153"/>
      <c r="GZP168" s="153"/>
      <c r="GZQ168" s="153"/>
      <c r="GZR168" s="153"/>
      <c r="GZS168" s="153"/>
      <c r="GZT168" s="153"/>
      <c r="GZU168" s="153"/>
      <c r="GZV168" s="153"/>
      <c r="GZW168" s="153"/>
      <c r="GZX168" s="153"/>
      <c r="GZY168" s="153"/>
      <c r="GZZ168" s="153"/>
      <c r="HAA168" s="153"/>
      <c r="HAB168" s="153"/>
      <c r="HAC168" s="153"/>
      <c r="HAD168" s="153"/>
      <c r="HAE168" s="153"/>
      <c r="HAF168" s="153"/>
      <c r="HAG168" s="153"/>
      <c r="HAH168" s="153"/>
      <c r="HAI168" s="153"/>
      <c r="HAJ168" s="153"/>
      <c r="HAK168" s="153"/>
      <c r="HAL168" s="153"/>
      <c r="HAM168" s="153"/>
      <c r="HAN168" s="153"/>
      <c r="HAO168" s="153"/>
      <c r="HAP168" s="153"/>
      <c r="HAQ168" s="153"/>
      <c r="HAR168" s="153"/>
      <c r="HAS168" s="153"/>
      <c r="HAT168" s="153"/>
      <c r="HAU168" s="153"/>
      <c r="HAV168" s="153"/>
      <c r="HAW168" s="153"/>
      <c r="HAX168" s="153"/>
      <c r="HAY168" s="153"/>
      <c r="HAZ168" s="153"/>
      <c r="HBA168" s="153"/>
      <c r="HBB168" s="153"/>
      <c r="HBC168" s="153"/>
      <c r="HBD168" s="153"/>
      <c r="HBE168" s="153"/>
      <c r="HBF168" s="153"/>
      <c r="HBG168" s="153"/>
      <c r="HBH168" s="153"/>
      <c r="HBI168" s="153"/>
      <c r="HBJ168" s="153"/>
      <c r="HBK168" s="153"/>
      <c r="HBL168" s="153"/>
      <c r="HBM168" s="153"/>
      <c r="HBN168" s="153"/>
      <c r="HBO168" s="153"/>
      <c r="HBP168" s="153"/>
      <c r="HBQ168" s="153"/>
      <c r="HBR168" s="153"/>
      <c r="HBS168" s="153"/>
      <c r="HBT168" s="153"/>
      <c r="HBU168" s="153"/>
      <c r="HBV168" s="153"/>
      <c r="HBW168" s="153"/>
      <c r="HBX168" s="153"/>
      <c r="HBY168" s="153"/>
      <c r="HBZ168" s="153"/>
      <c r="HCA168" s="153"/>
      <c r="HCB168" s="153"/>
      <c r="HCC168" s="153"/>
      <c r="HCD168" s="153"/>
      <c r="HCE168" s="153"/>
      <c r="HCF168" s="153"/>
      <c r="HCG168" s="153"/>
      <c r="HCH168" s="153"/>
      <c r="HCI168" s="153"/>
      <c r="HCJ168" s="153"/>
      <c r="HCK168" s="153"/>
      <c r="HCL168" s="153"/>
      <c r="HCM168" s="153"/>
      <c r="HCN168" s="153"/>
      <c r="HCO168" s="153"/>
      <c r="HCP168" s="153"/>
      <c r="HCQ168" s="153"/>
      <c r="HCR168" s="153"/>
      <c r="HCS168" s="153"/>
      <c r="HCT168" s="153"/>
      <c r="HCU168" s="153"/>
      <c r="HCV168" s="153"/>
      <c r="HCW168" s="153"/>
      <c r="HCX168" s="153"/>
      <c r="HCY168" s="153"/>
      <c r="HCZ168" s="153"/>
      <c r="HDA168" s="153"/>
      <c r="HDB168" s="153"/>
      <c r="HDC168" s="153"/>
      <c r="HDD168" s="153"/>
      <c r="HDE168" s="153"/>
      <c r="HDF168" s="153"/>
      <c r="HDG168" s="153"/>
      <c r="HDH168" s="153"/>
      <c r="HDI168" s="153"/>
      <c r="HDJ168" s="153"/>
      <c r="HDK168" s="153"/>
      <c r="HDL168" s="153"/>
      <c r="HDM168" s="153"/>
      <c r="HDN168" s="153"/>
      <c r="HDO168" s="153"/>
      <c r="HDP168" s="153"/>
      <c r="HDQ168" s="153"/>
      <c r="HDR168" s="153"/>
      <c r="HDS168" s="153"/>
      <c r="HDT168" s="153"/>
      <c r="HDU168" s="153"/>
      <c r="HDV168" s="153"/>
      <c r="HDW168" s="153"/>
      <c r="HDX168" s="153"/>
      <c r="HDY168" s="153"/>
      <c r="HDZ168" s="153"/>
      <c r="HEA168" s="153"/>
      <c r="HEB168" s="153"/>
      <c r="HEC168" s="153"/>
      <c r="HED168" s="153"/>
      <c r="HEE168" s="153"/>
      <c r="HEF168" s="153"/>
      <c r="HEG168" s="153"/>
      <c r="HEH168" s="153"/>
      <c r="HEI168" s="153"/>
      <c r="HEJ168" s="153"/>
      <c r="HEK168" s="153"/>
      <c r="HEL168" s="153"/>
      <c r="HEM168" s="153"/>
      <c r="HEN168" s="153"/>
      <c r="HEO168" s="153"/>
      <c r="HEP168" s="153"/>
      <c r="HEQ168" s="153"/>
      <c r="HER168" s="153"/>
      <c r="HES168" s="153"/>
      <c r="HET168" s="153"/>
      <c r="HEU168" s="153"/>
      <c r="HEV168" s="153"/>
      <c r="HEW168" s="153"/>
      <c r="HEX168" s="153"/>
      <c r="HEY168" s="153"/>
      <c r="HEZ168" s="153"/>
      <c r="HFA168" s="153"/>
      <c r="HFB168" s="153"/>
      <c r="HFC168" s="153"/>
      <c r="HFD168" s="153"/>
      <c r="HFE168" s="153"/>
      <c r="HFF168" s="153"/>
      <c r="HFG168" s="153"/>
      <c r="HFH168" s="153"/>
      <c r="HFI168" s="153"/>
      <c r="HFJ168" s="153"/>
      <c r="HFK168" s="153"/>
      <c r="HFL168" s="153"/>
      <c r="HFM168" s="153"/>
      <c r="HFN168" s="153"/>
      <c r="HFO168" s="153"/>
      <c r="HFP168" s="153"/>
      <c r="HFQ168" s="153"/>
      <c r="HFR168" s="153"/>
      <c r="HFS168" s="153"/>
      <c r="HFT168" s="153"/>
      <c r="HFU168" s="153"/>
      <c r="HFV168" s="153"/>
      <c r="HFW168" s="153"/>
      <c r="HFX168" s="153"/>
      <c r="HFY168" s="153"/>
      <c r="HFZ168" s="153"/>
      <c r="HGA168" s="153"/>
      <c r="HGB168" s="153"/>
      <c r="HGC168" s="153"/>
      <c r="HGD168" s="153"/>
      <c r="HGE168" s="153"/>
      <c r="HGF168" s="153"/>
      <c r="HGG168" s="153"/>
      <c r="HGH168" s="153"/>
      <c r="HGI168" s="153"/>
      <c r="HGJ168" s="153"/>
      <c r="HGK168" s="153"/>
      <c r="HGL168" s="153"/>
      <c r="HGM168" s="153"/>
      <c r="HGN168" s="153"/>
      <c r="HGO168" s="153"/>
      <c r="HGP168" s="153"/>
      <c r="HGQ168" s="153"/>
      <c r="HGR168" s="153"/>
      <c r="HGS168" s="153"/>
      <c r="HGT168" s="153"/>
      <c r="HGU168" s="153"/>
      <c r="HGV168" s="153"/>
      <c r="HGW168" s="153"/>
      <c r="HGX168" s="153"/>
      <c r="HGY168" s="153"/>
      <c r="HGZ168" s="153"/>
      <c r="HHA168" s="153"/>
      <c r="HHB168" s="153"/>
      <c r="HHC168" s="153"/>
      <c r="HHD168" s="153"/>
      <c r="HHE168" s="153"/>
      <c r="HHF168" s="153"/>
      <c r="HHG168" s="153"/>
      <c r="HHH168" s="153"/>
      <c r="HHI168" s="153"/>
      <c r="HHJ168" s="153"/>
      <c r="HHK168" s="153"/>
      <c r="HHL168" s="153"/>
      <c r="HHM168" s="153"/>
      <c r="HHN168" s="153"/>
      <c r="HHO168" s="153"/>
      <c r="HHP168" s="153"/>
      <c r="HHQ168" s="153"/>
      <c r="HHR168" s="153"/>
      <c r="HHS168" s="153"/>
      <c r="HHT168" s="153"/>
      <c r="HHU168" s="153"/>
      <c r="HHV168" s="153"/>
      <c r="HHW168" s="153"/>
      <c r="HHX168" s="153"/>
      <c r="HHY168" s="153"/>
      <c r="HHZ168" s="153"/>
      <c r="HIA168" s="153"/>
      <c r="HIB168" s="153"/>
      <c r="HIC168" s="153"/>
      <c r="HID168" s="153"/>
      <c r="HIE168" s="153"/>
      <c r="HIF168" s="153"/>
      <c r="HIG168" s="153"/>
      <c r="HIH168" s="153"/>
      <c r="HII168" s="153"/>
      <c r="HIJ168" s="153"/>
      <c r="HIK168" s="153"/>
      <c r="HIL168" s="153"/>
      <c r="HIM168" s="153"/>
      <c r="HIN168" s="153"/>
      <c r="HIO168" s="153"/>
      <c r="HIP168" s="153"/>
      <c r="HIQ168" s="153"/>
      <c r="HIR168" s="153"/>
      <c r="HIS168" s="153"/>
      <c r="HIT168" s="153"/>
      <c r="HIU168" s="153"/>
      <c r="HIV168" s="153"/>
      <c r="HIW168" s="153"/>
      <c r="HIX168" s="153"/>
      <c r="HIY168" s="153"/>
      <c r="HIZ168" s="153"/>
      <c r="HJA168" s="153"/>
      <c r="HJB168" s="153"/>
      <c r="HJC168" s="153"/>
      <c r="HJD168" s="153"/>
      <c r="HJE168" s="153"/>
      <c r="HJF168" s="153"/>
      <c r="HJG168" s="153"/>
      <c r="HJH168" s="153"/>
      <c r="HJI168" s="153"/>
      <c r="HJJ168" s="153"/>
      <c r="HJK168" s="153"/>
      <c r="HJL168" s="153"/>
      <c r="HJM168" s="153"/>
      <c r="HJN168" s="153"/>
      <c r="HJO168" s="153"/>
      <c r="HJP168" s="153"/>
      <c r="HJQ168" s="153"/>
      <c r="HJR168" s="153"/>
      <c r="HJS168" s="153"/>
      <c r="HJT168" s="153"/>
      <c r="HJU168" s="153"/>
      <c r="HJV168" s="153"/>
      <c r="HJW168" s="153"/>
      <c r="HJX168" s="153"/>
      <c r="HJY168" s="153"/>
      <c r="HJZ168" s="153"/>
      <c r="HKA168" s="153"/>
      <c r="HKB168" s="153"/>
      <c r="HKC168" s="153"/>
      <c r="HKD168" s="153"/>
      <c r="HKE168" s="153"/>
      <c r="HKF168" s="153"/>
      <c r="HKG168" s="153"/>
      <c r="HKH168" s="153"/>
      <c r="HKI168" s="153"/>
      <c r="HKJ168" s="153"/>
      <c r="HKK168" s="153"/>
      <c r="HKL168" s="153"/>
      <c r="HKM168" s="153"/>
      <c r="HKN168" s="153"/>
      <c r="HKO168" s="153"/>
      <c r="HKP168" s="153"/>
      <c r="HKQ168" s="153"/>
      <c r="HKR168" s="153"/>
      <c r="HKS168" s="153"/>
      <c r="HKT168" s="153"/>
      <c r="HKU168" s="153"/>
      <c r="HKV168" s="153"/>
      <c r="HKW168" s="153"/>
      <c r="HKX168" s="153"/>
      <c r="HKY168" s="153"/>
      <c r="HKZ168" s="153"/>
      <c r="HLA168" s="153"/>
      <c r="HLB168" s="153"/>
      <c r="HLC168" s="153"/>
      <c r="HLD168" s="153"/>
      <c r="HLE168" s="153"/>
      <c r="HLF168" s="153"/>
      <c r="HLG168" s="153"/>
      <c r="HLH168" s="153"/>
      <c r="HLI168" s="153"/>
      <c r="HLJ168" s="153"/>
      <c r="HLK168" s="153"/>
      <c r="HLL168" s="153"/>
      <c r="HLM168" s="153"/>
      <c r="HLN168" s="153"/>
      <c r="HLO168" s="153"/>
      <c r="HLP168" s="153"/>
      <c r="HLQ168" s="153"/>
      <c r="HLR168" s="153"/>
      <c r="HLS168" s="153"/>
      <c r="HLT168" s="153"/>
      <c r="HLU168" s="153"/>
      <c r="HLV168" s="153"/>
      <c r="HLW168" s="153"/>
      <c r="HLX168" s="153"/>
      <c r="HLY168" s="153"/>
      <c r="HLZ168" s="153"/>
      <c r="HMA168" s="153"/>
      <c r="HMB168" s="153"/>
      <c r="HMC168" s="153"/>
      <c r="HMD168" s="153"/>
      <c r="HME168" s="153"/>
      <c r="HMF168" s="153"/>
      <c r="HMG168" s="153"/>
      <c r="HMH168" s="153"/>
      <c r="HMI168" s="153"/>
      <c r="HMJ168" s="153"/>
      <c r="HMK168" s="153"/>
      <c r="HML168" s="153"/>
      <c r="HMM168" s="153"/>
      <c r="HMN168" s="153"/>
      <c r="HMO168" s="153"/>
      <c r="HMP168" s="153"/>
      <c r="HMQ168" s="153"/>
      <c r="HMR168" s="153"/>
      <c r="HMS168" s="153"/>
      <c r="HMT168" s="153"/>
      <c r="HMU168" s="153"/>
      <c r="HMV168" s="153"/>
      <c r="HMW168" s="153"/>
      <c r="HMX168" s="153"/>
      <c r="HMY168" s="153"/>
      <c r="HMZ168" s="153"/>
      <c r="HNA168" s="153"/>
      <c r="HNB168" s="153"/>
      <c r="HNC168" s="153"/>
      <c r="HND168" s="153"/>
      <c r="HNE168" s="153"/>
      <c r="HNF168" s="153"/>
      <c r="HNG168" s="153"/>
      <c r="HNH168" s="153"/>
      <c r="HNI168" s="153"/>
      <c r="HNJ168" s="153"/>
      <c r="HNK168" s="153"/>
      <c r="HNL168" s="153"/>
      <c r="HNM168" s="153"/>
      <c r="HNN168" s="153"/>
      <c r="HNO168" s="153"/>
      <c r="HNP168" s="153"/>
      <c r="HNQ168" s="153"/>
      <c r="HNR168" s="153"/>
      <c r="HNS168" s="153"/>
      <c r="HNT168" s="153"/>
      <c r="HNU168" s="153"/>
      <c r="HNV168" s="153"/>
      <c r="HNW168" s="153"/>
      <c r="HNX168" s="153"/>
      <c r="HNY168" s="153"/>
      <c r="HNZ168" s="153"/>
      <c r="HOA168" s="153"/>
      <c r="HOB168" s="153"/>
      <c r="HOC168" s="153"/>
      <c r="HOD168" s="153"/>
      <c r="HOE168" s="153"/>
      <c r="HOF168" s="153"/>
      <c r="HOG168" s="153"/>
      <c r="HOH168" s="153"/>
      <c r="HOI168" s="153"/>
      <c r="HOJ168" s="153"/>
      <c r="HOK168" s="153"/>
      <c r="HOL168" s="153"/>
      <c r="HOM168" s="153"/>
      <c r="HON168" s="153"/>
      <c r="HOO168" s="153"/>
      <c r="HOP168" s="153"/>
      <c r="HOQ168" s="153"/>
      <c r="HOR168" s="153"/>
      <c r="HOS168" s="153"/>
      <c r="HOT168" s="153"/>
      <c r="HOU168" s="153"/>
      <c r="HOV168" s="153"/>
      <c r="HOW168" s="153"/>
      <c r="HOX168" s="153"/>
      <c r="HOY168" s="153"/>
      <c r="HOZ168" s="153"/>
      <c r="HPA168" s="153"/>
      <c r="HPB168" s="153"/>
      <c r="HPC168" s="153"/>
      <c r="HPD168" s="153"/>
      <c r="HPE168" s="153"/>
      <c r="HPF168" s="153"/>
      <c r="HPG168" s="153"/>
      <c r="HPH168" s="153"/>
      <c r="HPI168" s="153"/>
      <c r="HPJ168" s="153"/>
      <c r="HPK168" s="153"/>
      <c r="HPL168" s="153"/>
      <c r="HPM168" s="153"/>
      <c r="HPN168" s="153"/>
      <c r="HPO168" s="153"/>
      <c r="HPP168" s="153"/>
      <c r="HPQ168" s="153"/>
      <c r="HPR168" s="153"/>
      <c r="HPS168" s="153"/>
      <c r="HPT168" s="153"/>
      <c r="HPU168" s="153"/>
      <c r="HPV168" s="153"/>
      <c r="HPW168" s="153"/>
      <c r="HPX168" s="153"/>
      <c r="HPY168" s="153"/>
      <c r="HPZ168" s="153"/>
      <c r="HQA168" s="153"/>
      <c r="HQB168" s="153"/>
      <c r="HQC168" s="153"/>
      <c r="HQD168" s="153"/>
      <c r="HQE168" s="153"/>
      <c r="HQF168" s="153"/>
      <c r="HQG168" s="153"/>
      <c r="HQH168" s="153"/>
      <c r="HQI168" s="153"/>
      <c r="HQJ168" s="153"/>
      <c r="HQK168" s="153"/>
      <c r="HQL168" s="153"/>
      <c r="HQM168" s="153"/>
      <c r="HQN168" s="153"/>
      <c r="HQO168" s="153"/>
      <c r="HQP168" s="153"/>
      <c r="HQQ168" s="153"/>
      <c r="HQR168" s="153"/>
      <c r="HQS168" s="153"/>
      <c r="HQT168" s="153"/>
      <c r="HQU168" s="153"/>
      <c r="HQV168" s="153"/>
      <c r="HQW168" s="153"/>
      <c r="HQX168" s="153"/>
      <c r="HQY168" s="153"/>
      <c r="HQZ168" s="153"/>
      <c r="HRA168" s="153"/>
      <c r="HRB168" s="153"/>
      <c r="HRC168" s="153"/>
      <c r="HRD168" s="153"/>
      <c r="HRE168" s="153"/>
      <c r="HRF168" s="153"/>
      <c r="HRG168" s="153"/>
      <c r="HRH168" s="153"/>
      <c r="HRI168" s="153"/>
      <c r="HRJ168" s="153"/>
      <c r="HRK168" s="153"/>
      <c r="HRL168" s="153"/>
      <c r="HRM168" s="153"/>
      <c r="HRN168" s="153"/>
      <c r="HRO168" s="153"/>
      <c r="HRP168" s="153"/>
      <c r="HRQ168" s="153"/>
      <c r="HRR168" s="153"/>
      <c r="HRS168" s="153"/>
      <c r="HRT168" s="153"/>
      <c r="HRU168" s="153"/>
      <c r="HRV168" s="153"/>
      <c r="HRW168" s="153"/>
      <c r="HRX168" s="153"/>
      <c r="HRY168" s="153"/>
      <c r="HRZ168" s="153"/>
      <c r="HSA168" s="153"/>
      <c r="HSB168" s="153"/>
      <c r="HSC168" s="153"/>
      <c r="HSD168" s="153"/>
      <c r="HSE168" s="153"/>
      <c r="HSF168" s="153"/>
      <c r="HSG168" s="153"/>
      <c r="HSH168" s="153"/>
      <c r="HSI168" s="153"/>
      <c r="HSJ168" s="153"/>
      <c r="HSK168" s="153"/>
      <c r="HSL168" s="153"/>
      <c r="HSM168" s="153"/>
      <c r="HSN168" s="153"/>
      <c r="HSO168" s="153"/>
      <c r="HSP168" s="153"/>
      <c r="HSQ168" s="153"/>
      <c r="HSR168" s="153"/>
      <c r="HSS168" s="153"/>
      <c r="HST168" s="153"/>
      <c r="HSU168" s="153"/>
      <c r="HSV168" s="153"/>
      <c r="HSW168" s="153"/>
      <c r="HSX168" s="153"/>
      <c r="HSY168" s="153"/>
      <c r="HSZ168" s="153"/>
      <c r="HTA168" s="153"/>
      <c r="HTB168" s="153"/>
      <c r="HTC168" s="153"/>
      <c r="HTD168" s="153"/>
      <c r="HTE168" s="153"/>
      <c r="HTF168" s="153"/>
      <c r="HTG168" s="153"/>
      <c r="HTH168" s="153"/>
      <c r="HTI168" s="153"/>
      <c r="HTJ168" s="153"/>
      <c r="HTK168" s="153"/>
      <c r="HTL168" s="153"/>
      <c r="HTM168" s="153"/>
      <c r="HTN168" s="153"/>
      <c r="HTO168" s="153"/>
      <c r="HTP168" s="153"/>
      <c r="HTQ168" s="153"/>
      <c r="HTR168" s="153"/>
      <c r="HTS168" s="153"/>
      <c r="HTT168" s="153"/>
      <c r="HTU168" s="153"/>
      <c r="HTV168" s="153"/>
      <c r="HTW168" s="153"/>
      <c r="HTX168" s="153"/>
      <c r="HTY168" s="153"/>
      <c r="HTZ168" s="153"/>
      <c r="HUA168" s="153"/>
      <c r="HUB168" s="153"/>
      <c r="HUC168" s="153"/>
      <c r="HUD168" s="153"/>
      <c r="HUE168" s="153"/>
      <c r="HUF168" s="153"/>
      <c r="HUG168" s="153"/>
      <c r="HUH168" s="153"/>
      <c r="HUI168" s="153"/>
      <c r="HUJ168" s="153"/>
      <c r="HUK168" s="153"/>
      <c r="HUL168" s="153"/>
      <c r="HUM168" s="153"/>
      <c r="HUN168" s="153"/>
      <c r="HUO168" s="153"/>
      <c r="HUP168" s="153"/>
      <c r="HUQ168" s="153"/>
      <c r="HUR168" s="153"/>
      <c r="HUS168" s="153"/>
      <c r="HUT168" s="153"/>
      <c r="HUU168" s="153"/>
      <c r="HUV168" s="153"/>
      <c r="HUW168" s="153"/>
      <c r="HUX168" s="153"/>
      <c r="HUY168" s="153"/>
      <c r="HUZ168" s="153"/>
      <c r="HVA168" s="153"/>
      <c r="HVB168" s="153"/>
      <c r="HVC168" s="153"/>
      <c r="HVD168" s="153"/>
      <c r="HVE168" s="153"/>
      <c r="HVF168" s="153"/>
      <c r="HVG168" s="153"/>
      <c r="HVH168" s="153"/>
      <c r="HVI168" s="153"/>
      <c r="HVJ168" s="153"/>
      <c r="HVK168" s="153"/>
      <c r="HVL168" s="153"/>
      <c r="HVM168" s="153"/>
      <c r="HVN168" s="153"/>
      <c r="HVO168" s="153"/>
      <c r="HVP168" s="153"/>
      <c r="HVQ168" s="153"/>
      <c r="HVR168" s="153"/>
      <c r="HVS168" s="153"/>
      <c r="HVT168" s="153"/>
      <c r="HVU168" s="153"/>
      <c r="HVV168" s="153"/>
      <c r="HVW168" s="153"/>
      <c r="HVX168" s="153"/>
      <c r="HVY168" s="153"/>
      <c r="HVZ168" s="153"/>
      <c r="HWA168" s="153"/>
      <c r="HWB168" s="153"/>
      <c r="HWC168" s="153"/>
      <c r="HWD168" s="153"/>
      <c r="HWE168" s="153"/>
      <c r="HWF168" s="153"/>
      <c r="HWG168" s="153"/>
      <c r="HWH168" s="153"/>
      <c r="HWI168" s="153"/>
      <c r="HWJ168" s="153"/>
      <c r="HWK168" s="153"/>
      <c r="HWL168" s="153"/>
      <c r="HWM168" s="153"/>
      <c r="HWN168" s="153"/>
      <c r="HWO168" s="153"/>
      <c r="HWP168" s="153"/>
      <c r="HWQ168" s="153"/>
      <c r="HWR168" s="153"/>
      <c r="HWS168" s="153"/>
      <c r="HWT168" s="153"/>
      <c r="HWU168" s="153"/>
      <c r="HWV168" s="153"/>
      <c r="HWW168" s="153"/>
      <c r="HWX168" s="153"/>
      <c r="HWY168" s="153"/>
      <c r="HWZ168" s="153"/>
      <c r="HXA168" s="153"/>
      <c r="HXB168" s="153"/>
      <c r="HXC168" s="153"/>
      <c r="HXD168" s="153"/>
      <c r="HXE168" s="153"/>
      <c r="HXF168" s="153"/>
      <c r="HXG168" s="153"/>
      <c r="HXH168" s="153"/>
      <c r="HXI168" s="153"/>
      <c r="HXJ168" s="153"/>
      <c r="HXK168" s="153"/>
      <c r="HXL168" s="153"/>
      <c r="HXM168" s="153"/>
      <c r="HXN168" s="153"/>
      <c r="HXO168" s="153"/>
      <c r="HXP168" s="153"/>
      <c r="HXQ168" s="153"/>
      <c r="HXR168" s="153"/>
      <c r="HXS168" s="153"/>
      <c r="HXT168" s="153"/>
      <c r="HXU168" s="153"/>
      <c r="HXV168" s="153"/>
      <c r="HXW168" s="153"/>
      <c r="HXX168" s="153"/>
      <c r="HXY168" s="153"/>
      <c r="HXZ168" s="153"/>
      <c r="HYA168" s="153"/>
      <c r="HYB168" s="153"/>
      <c r="HYC168" s="153"/>
      <c r="HYD168" s="153"/>
      <c r="HYE168" s="153"/>
      <c r="HYF168" s="153"/>
      <c r="HYG168" s="153"/>
      <c r="HYH168" s="153"/>
      <c r="HYI168" s="153"/>
      <c r="HYJ168" s="153"/>
      <c r="HYK168" s="153"/>
      <c r="HYL168" s="153"/>
      <c r="HYM168" s="153"/>
      <c r="HYN168" s="153"/>
      <c r="HYO168" s="153"/>
      <c r="HYP168" s="153"/>
      <c r="HYQ168" s="153"/>
      <c r="HYR168" s="153"/>
      <c r="HYS168" s="153"/>
      <c r="HYT168" s="153"/>
      <c r="HYU168" s="153"/>
      <c r="HYV168" s="153"/>
      <c r="HYW168" s="153"/>
      <c r="HYX168" s="153"/>
      <c r="HYY168" s="153"/>
      <c r="HYZ168" s="153"/>
      <c r="HZA168" s="153"/>
      <c r="HZB168" s="153"/>
      <c r="HZC168" s="153"/>
      <c r="HZD168" s="153"/>
      <c r="HZE168" s="153"/>
      <c r="HZF168" s="153"/>
      <c r="HZG168" s="153"/>
      <c r="HZH168" s="153"/>
      <c r="HZI168" s="153"/>
      <c r="HZJ168" s="153"/>
      <c r="HZK168" s="153"/>
      <c r="HZL168" s="153"/>
      <c r="HZM168" s="153"/>
      <c r="HZN168" s="153"/>
      <c r="HZO168" s="153"/>
      <c r="HZP168" s="153"/>
      <c r="HZQ168" s="153"/>
      <c r="HZR168" s="153"/>
      <c r="HZS168" s="153"/>
      <c r="HZT168" s="153"/>
      <c r="HZU168" s="153"/>
      <c r="HZV168" s="153"/>
      <c r="HZW168" s="153"/>
      <c r="HZX168" s="153"/>
      <c r="HZY168" s="153"/>
      <c r="HZZ168" s="153"/>
      <c r="IAA168" s="153"/>
      <c r="IAB168" s="153"/>
      <c r="IAC168" s="153"/>
      <c r="IAD168" s="153"/>
      <c r="IAE168" s="153"/>
      <c r="IAF168" s="153"/>
      <c r="IAG168" s="153"/>
      <c r="IAH168" s="153"/>
      <c r="IAI168" s="153"/>
      <c r="IAJ168" s="153"/>
      <c r="IAK168" s="153"/>
      <c r="IAL168" s="153"/>
      <c r="IAM168" s="153"/>
      <c r="IAN168" s="153"/>
      <c r="IAO168" s="153"/>
      <c r="IAP168" s="153"/>
      <c r="IAQ168" s="153"/>
      <c r="IAR168" s="153"/>
      <c r="IAS168" s="153"/>
      <c r="IAT168" s="153"/>
      <c r="IAU168" s="153"/>
      <c r="IAV168" s="153"/>
      <c r="IAW168" s="153"/>
      <c r="IAX168" s="153"/>
      <c r="IAY168" s="153"/>
      <c r="IAZ168" s="153"/>
      <c r="IBA168" s="153"/>
      <c r="IBB168" s="153"/>
      <c r="IBC168" s="153"/>
      <c r="IBD168" s="153"/>
      <c r="IBE168" s="153"/>
      <c r="IBF168" s="153"/>
      <c r="IBG168" s="153"/>
      <c r="IBH168" s="153"/>
      <c r="IBI168" s="153"/>
      <c r="IBJ168" s="153"/>
      <c r="IBK168" s="153"/>
      <c r="IBL168" s="153"/>
      <c r="IBM168" s="153"/>
      <c r="IBN168" s="153"/>
      <c r="IBO168" s="153"/>
      <c r="IBP168" s="153"/>
      <c r="IBQ168" s="153"/>
      <c r="IBR168" s="153"/>
      <c r="IBS168" s="153"/>
      <c r="IBT168" s="153"/>
      <c r="IBU168" s="153"/>
      <c r="IBV168" s="153"/>
      <c r="IBW168" s="153"/>
      <c r="IBX168" s="153"/>
      <c r="IBY168" s="153"/>
      <c r="IBZ168" s="153"/>
      <c r="ICA168" s="153"/>
      <c r="ICB168" s="153"/>
      <c r="ICC168" s="153"/>
      <c r="ICD168" s="153"/>
      <c r="ICE168" s="153"/>
      <c r="ICF168" s="153"/>
      <c r="ICG168" s="153"/>
      <c r="ICH168" s="153"/>
      <c r="ICI168" s="153"/>
      <c r="ICJ168" s="153"/>
      <c r="ICK168" s="153"/>
      <c r="ICL168" s="153"/>
      <c r="ICM168" s="153"/>
      <c r="ICN168" s="153"/>
      <c r="ICO168" s="153"/>
      <c r="ICP168" s="153"/>
      <c r="ICQ168" s="153"/>
      <c r="ICR168" s="153"/>
      <c r="ICS168" s="153"/>
      <c r="ICT168" s="153"/>
      <c r="ICU168" s="153"/>
      <c r="ICV168" s="153"/>
      <c r="ICW168" s="153"/>
      <c r="ICX168" s="153"/>
      <c r="ICY168" s="153"/>
      <c r="ICZ168" s="153"/>
      <c r="IDA168" s="153"/>
      <c r="IDB168" s="153"/>
      <c r="IDC168" s="153"/>
      <c r="IDD168" s="153"/>
      <c r="IDE168" s="153"/>
      <c r="IDF168" s="153"/>
      <c r="IDG168" s="153"/>
      <c r="IDH168" s="153"/>
      <c r="IDI168" s="153"/>
      <c r="IDJ168" s="153"/>
      <c r="IDK168" s="153"/>
      <c r="IDL168" s="153"/>
      <c r="IDM168" s="153"/>
      <c r="IDN168" s="153"/>
      <c r="IDO168" s="153"/>
      <c r="IDP168" s="153"/>
      <c r="IDQ168" s="153"/>
      <c r="IDR168" s="153"/>
      <c r="IDS168" s="153"/>
      <c r="IDT168" s="153"/>
      <c r="IDU168" s="153"/>
      <c r="IDV168" s="153"/>
      <c r="IDW168" s="153"/>
      <c r="IDX168" s="153"/>
      <c r="IDY168" s="153"/>
      <c r="IDZ168" s="153"/>
      <c r="IEA168" s="153"/>
      <c r="IEB168" s="153"/>
      <c r="IEC168" s="153"/>
      <c r="IED168" s="153"/>
      <c r="IEE168" s="153"/>
      <c r="IEF168" s="153"/>
      <c r="IEG168" s="153"/>
      <c r="IEH168" s="153"/>
      <c r="IEI168" s="153"/>
      <c r="IEJ168" s="153"/>
      <c r="IEK168" s="153"/>
      <c r="IEL168" s="153"/>
      <c r="IEM168" s="153"/>
      <c r="IEN168" s="153"/>
      <c r="IEO168" s="153"/>
      <c r="IEP168" s="153"/>
      <c r="IEQ168" s="153"/>
      <c r="IER168" s="153"/>
      <c r="IES168" s="153"/>
      <c r="IET168" s="153"/>
      <c r="IEU168" s="153"/>
      <c r="IEV168" s="153"/>
      <c r="IEW168" s="153"/>
      <c r="IEX168" s="153"/>
      <c r="IEY168" s="153"/>
      <c r="IEZ168" s="153"/>
      <c r="IFA168" s="153"/>
      <c r="IFB168" s="153"/>
      <c r="IFC168" s="153"/>
      <c r="IFD168" s="153"/>
      <c r="IFE168" s="153"/>
      <c r="IFF168" s="153"/>
      <c r="IFG168" s="153"/>
      <c r="IFH168" s="153"/>
      <c r="IFI168" s="153"/>
      <c r="IFJ168" s="153"/>
      <c r="IFK168" s="153"/>
      <c r="IFL168" s="153"/>
      <c r="IFM168" s="153"/>
      <c r="IFN168" s="153"/>
      <c r="IFO168" s="153"/>
      <c r="IFP168" s="153"/>
      <c r="IFQ168" s="153"/>
      <c r="IFR168" s="153"/>
      <c r="IFS168" s="153"/>
      <c r="IFT168" s="153"/>
      <c r="IFU168" s="153"/>
      <c r="IFV168" s="153"/>
      <c r="IFW168" s="153"/>
      <c r="IFX168" s="153"/>
      <c r="IFY168" s="153"/>
      <c r="IFZ168" s="153"/>
      <c r="IGA168" s="153"/>
      <c r="IGB168" s="153"/>
      <c r="IGC168" s="153"/>
      <c r="IGD168" s="153"/>
      <c r="IGE168" s="153"/>
      <c r="IGF168" s="153"/>
      <c r="IGG168" s="153"/>
      <c r="IGH168" s="153"/>
      <c r="IGI168" s="153"/>
      <c r="IGJ168" s="153"/>
      <c r="IGK168" s="153"/>
      <c r="IGL168" s="153"/>
      <c r="IGM168" s="153"/>
      <c r="IGN168" s="153"/>
      <c r="IGO168" s="153"/>
      <c r="IGP168" s="153"/>
      <c r="IGQ168" s="153"/>
      <c r="IGR168" s="153"/>
      <c r="IGS168" s="153"/>
      <c r="IGT168" s="153"/>
      <c r="IGU168" s="153"/>
      <c r="IGV168" s="153"/>
      <c r="IGW168" s="153"/>
      <c r="IGX168" s="153"/>
      <c r="IGY168" s="153"/>
      <c r="IGZ168" s="153"/>
      <c r="IHA168" s="153"/>
      <c r="IHB168" s="153"/>
      <c r="IHC168" s="153"/>
      <c r="IHD168" s="153"/>
      <c r="IHE168" s="153"/>
      <c r="IHF168" s="153"/>
      <c r="IHG168" s="153"/>
      <c r="IHH168" s="153"/>
      <c r="IHI168" s="153"/>
      <c r="IHJ168" s="153"/>
      <c r="IHK168" s="153"/>
      <c r="IHL168" s="153"/>
      <c r="IHM168" s="153"/>
      <c r="IHN168" s="153"/>
      <c r="IHO168" s="153"/>
      <c r="IHP168" s="153"/>
      <c r="IHQ168" s="153"/>
      <c r="IHR168" s="153"/>
      <c r="IHS168" s="153"/>
      <c r="IHT168" s="153"/>
      <c r="IHU168" s="153"/>
      <c r="IHV168" s="153"/>
      <c r="IHW168" s="153"/>
      <c r="IHX168" s="153"/>
      <c r="IHY168" s="153"/>
      <c r="IHZ168" s="153"/>
      <c r="IIA168" s="153"/>
      <c r="IIB168" s="153"/>
      <c r="IIC168" s="153"/>
      <c r="IID168" s="153"/>
      <c r="IIE168" s="153"/>
      <c r="IIF168" s="153"/>
      <c r="IIG168" s="153"/>
      <c r="IIH168" s="153"/>
      <c r="III168" s="153"/>
      <c r="IIJ168" s="153"/>
      <c r="IIK168" s="153"/>
      <c r="IIL168" s="153"/>
      <c r="IIM168" s="153"/>
      <c r="IIN168" s="153"/>
      <c r="IIO168" s="153"/>
      <c r="IIP168" s="153"/>
      <c r="IIQ168" s="153"/>
      <c r="IIR168" s="153"/>
      <c r="IIS168" s="153"/>
      <c r="IIT168" s="153"/>
      <c r="IIU168" s="153"/>
      <c r="IIV168" s="153"/>
      <c r="IIW168" s="153"/>
      <c r="IIX168" s="153"/>
      <c r="IIY168" s="153"/>
      <c r="IIZ168" s="153"/>
      <c r="IJA168" s="153"/>
      <c r="IJB168" s="153"/>
      <c r="IJC168" s="153"/>
      <c r="IJD168" s="153"/>
      <c r="IJE168" s="153"/>
      <c r="IJF168" s="153"/>
      <c r="IJG168" s="153"/>
      <c r="IJH168" s="153"/>
      <c r="IJI168" s="153"/>
      <c r="IJJ168" s="153"/>
      <c r="IJK168" s="153"/>
      <c r="IJL168" s="153"/>
      <c r="IJM168" s="153"/>
      <c r="IJN168" s="153"/>
      <c r="IJO168" s="153"/>
      <c r="IJP168" s="153"/>
      <c r="IJQ168" s="153"/>
      <c r="IJR168" s="153"/>
      <c r="IJS168" s="153"/>
      <c r="IJT168" s="153"/>
      <c r="IJU168" s="153"/>
      <c r="IJV168" s="153"/>
      <c r="IJW168" s="153"/>
      <c r="IJX168" s="153"/>
      <c r="IJY168" s="153"/>
      <c r="IJZ168" s="153"/>
      <c r="IKA168" s="153"/>
      <c r="IKB168" s="153"/>
      <c r="IKC168" s="153"/>
      <c r="IKD168" s="153"/>
      <c r="IKE168" s="153"/>
      <c r="IKF168" s="153"/>
      <c r="IKG168" s="153"/>
      <c r="IKH168" s="153"/>
      <c r="IKI168" s="153"/>
      <c r="IKJ168" s="153"/>
      <c r="IKK168" s="153"/>
      <c r="IKL168" s="153"/>
      <c r="IKM168" s="153"/>
      <c r="IKN168" s="153"/>
      <c r="IKO168" s="153"/>
      <c r="IKP168" s="153"/>
      <c r="IKQ168" s="153"/>
      <c r="IKR168" s="153"/>
      <c r="IKS168" s="153"/>
      <c r="IKT168" s="153"/>
      <c r="IKU168" s="153"/>
      <c r="IKV168" s="153"/>
      <c r="IKW168" s="153"/>
      <c r="IKX168" s="153"/>
      <c r="IKY168" s="153"/>
      <c r="IKZ168" s="153"/>
      <c r="ILA168" s="153"/>
      <c r="ILB168" s="153"/>
      <c r="ILC168" s="153"/>
      <c r="ILD168" s="153"/>
      <c r="ILE168" s="153"/>
      <c r="ILF168" s="153"/>
      <c r="ILG168" s="153"/>
      <c r="ILH168" s="153"/>
      <c r="ILI168" s="153"/>
      <c r="ILJ168" s="153"/>
      <c r="ILK168" s="153"/>
      <c r="ILL168" s="153"/>
      <c r="ILM168" s="153"/>
      <c r="ILN168" s="153"/>
      <c r="ILO168" s="153"/>
      <c r="ILP168" s="153"/>
      <c r="ILQ168" s="153"/>
      <c r="ILR168" s="153"/>
      <c r="ILS168" s="153"/>
      <c r="ILT168" s="153"/>
      <c r="ILU168" s="153"/>
      <c r="ILV168" s="153"/>
      <c r="ILW168" s="153"/>
      <c r="ILX168" s="153"/>
      <c r="ILY168" s="153"/>
      <c r="ILZ168" s="153"/>
      <c r="IMA168" s="153"/>
      <c r="IMB168" s="153"/>
      <c r="IMC168" s="153"/>
      <c r="IMD168" s="153"/>
      <c r="IME168" s="153"/>
      <c r="IMF168" s="153"/>
      <c r="IMG168" s="153"/>
      <c r="IMH168" s="153"/>
      <c r="IMI168" s="153"/>
      <c r="IMJ168" s="153"/>
      <c r="IMK168" s="153"/>
      <c r="IML168" s="153"/>
      <c r="IMM168" s="153"/>
      <c r="IMN168" s="153"/>
      <c r="IMO168" s="153"/>
      <c r="IMP168" s="153"/>
      <c r="IMQ168" s="153"/>
      <c r="IMR168" s="153"/>
      <c r="IMS168" s="153"/>
      <c r="IMT168" s="153"/>
      <c r="IMU168" s="153"/>
      <c r="IMV168" s="153"/>
      <c r="IMW168" s="153"/>
      <c r="IMX168" s="153"/>
      <c r="IMY168" s="153"/>
      <c r="IMZ168" s="153"/>
      <c r="INA168" s="153"/>
      <c r="INB168" s="153"/>
      <c r="INC168" s="153"/>
      <c r="IND168" s="153"/>
      <c r="INE168" s="153"/>
      <c r="INF168" s="153"/>
      <c r="ING168" s="153"/>
      <c r="INH168" s="153"/>
      <c r="INI168" s="153"/>
      <c r="INJ168" s="153"/>
      <c r="INK168" s="153"/>
      <c r="INL168" s="153"/>
      <c r="INM168" s="153"/>
      <c r="INN168" s="153"/>
      <c r="INO168" s="153"/>
      <c r="INP168" s="153"/>
      <c r="INQ168" s="153"/>
      <c r="INR168" s="153"/>
      <c r="INS168" s="153"/>
      <c r="INT168" s="153"/>
      <c r="INU168" s="153"/>
      <c r="INV168" s="153"/>
      <c r="INW168" s="153"/>
      <c r="INX168" s="153"/>
      <c r="INY168" s="153"/>
      <c r="INZ168" s="153"/>
      <c r="IOA168" s="153"/>
      <c r="IOB168" s="153"/>
      <c r="IOC168" s="153"/>
      <c r="IOD168" s="153"/>
      <c r="IOE168" s="153"/>
      <c r="IOF168" s="153"/>
      <c r="IOG168" s="153"/>
      <c r="IOH168" s="153"/>
      <c r="IOI168" s="153"/>
      <c r="IOJ168" s="153"/>
      <c r="IOK168" s="153"/>
      <c r="IOL168" s="153"/>
      <c r="IOM168" s="153"/>
      <c r="ION168" s="153"/>
      <c r="IOO168" s="153"/>
      <c r="IOP168" s="153"/>
      <c r="IOQ168" s="153"/>
      <c r="IOR168" s="153"/>
      <c r="IOS168" s="153"/>
      <c r="IOT168" s="153"/>
      <c r="IOU168" s="153"/>
      <c r="IOV168" s="153"/>
      <c r="IOW168" s="153"/>
      <c r="IOX168" s="153"/>
      <c r="IOY168" s="153"/>
      <c r="IOZ168" s="153"/>
      <c r="IPA168" s="153"/>
      <c r="IPB168" s="153"/>
      <c r="IPC168" s="153"/>
      <c r="IPD168" s="153"/>
      <c r="IPE168" s="153"/>
      <c r="IPF168" s="153"/>
      <c r="IPG168" s="153"/>
      <c r="IPH168" s="153"/>
      <c r="IPI168" s="153"/>
      <c r="IPJ168" s="153"/>
      <c r="IPK168" s="153"/>
      <c r="IPL168" s="153"/>
      <c r="IPM168" s="153"/>
      <c r="IPN168" s="153"/>
      <c r="IPO168" s="153"/>
      <c r="IPP168" s="153"/>
      <c r="IPQ168" s="153"/>
      <c r="IPR168" s="153"/>
      <c r="IPS168" s="153"/>
      <c r="IPT168" s="153"/>
      <c r="IPU168" s="153"/>
      <c r="IPV168" s="153"/>
      <c r="IPW168" s="153"/>
      <c r="IPX168" s="153"/>
      <c r="IPY168" s="153"/>
      <c r="IPZ168" s="153"/>
      <c r="IQA168" s="153"/>
      <c r="IQB168" s="153"/>
      <c r="IQC168" s="153"/>
      <c r="IQD168" s="153"/>
      <c r="IQE168" s="153"/>
      <c r="IQF168" s="153"/>
      <c r="IQG168" s="153"/>
      <c r="IQH168" s="153"/>
      <c r="IQI168" s="153"/>
      <c r="IQJ168" s="153"/>
      <c r="IQK168" s="153"/>
      <c r="IQL168" s="153"/>
      <c r="IQM168" s="153"/>
      <c r="IQN168" s="153"/>
      <c r="IQO168" s="153"/>
      <c r="IQP168" s="153"/>
      <c r="IQQ168" s="153"/>
      <c r="IQR168" s="153"/>
      <c r="IQS168" s="153"/>
      <c r="IQT168" s="153"/>
      <c r="IQU168" s="153"/>
      <c r="IQV168" s="153"/>
      <c r="IQW168" s="153"/>
      <c r="IQX168" s="153"/>
      <c r="IQY168" s="153"/>
      <c r="IQZ168" s="153"/>
      <c r="IRA168" s="153"/>
      <c r="IRB168" s="153"/>
      <c r="IRC168" s="153"/>
      <c r="IRD168" s="153"/>
      <c r="IRE168" s="153"/>
      <c r="IRF168" s="153"/>
      <c r="IRG168" s="153"/>
      <c r="IRH168" s="153"/>
      <c r="IRI168" s="153"/>
      <c r="IRJ168" s="153"/>
      <c r="IRK168" s="153"/>
      <c r="IRL168" s="153"/>
      <c r="IRM168" s="153"/>
      <c r="IRN168" s="153"/>
      <c r="IRO168" s="153"/>
      <c r="IRP168" s="153"/>
      <c r="IRQ168" s="153"/>
      <c r="IRR168" s="153"/>
      <c r="IRS168" s="153"/>
      <c r="IRT168" s="153"/>
      <c r="IRU168" s="153"/>
      <c r="IRV168" s="153"/>
      <c r="IRW168" s="153"/>
      <c r="IRX168" s="153"/>
      <c r="IRY168" s="153"/>
      <c r="IRZ168" s="153"/>
      <c r="ISA168" s="153"/>
      <c r="ISB168" s="153"/>
      <c r="ISC168" s="153"/>
      <c r="ISD168" s="153"/>
      <c r="ISE168" s="153"/>
      <c r="ISF168" s="153"/>
      <c r="ISG168" s="153"/>
      <c r="ISH168" s="153"/>
      <c r="ISI168" s="153"/>
      <c r="ISJ168" s="153"/>
      <c r="ISK168" s="153"/>
      <c r="ISL168" s="153"/>
      <c r="ISM168" s="153"/>
      <c r="ISN168" s="153"/>
      <c r="ISO168" s="153"/>
      <c r="ISP168" s="153"/>
      <c r="ISQ168" s="153"/>
      <c r="ISR168" s="153"/>
      <c r="ISS168" s="153"/>
      <c r="IST168" s="153"/>
      <c r="ISU168" s="153"/>
      <c r="ISV168" s="153"/>
      <c r="ISW168" s="153"/>
      <c r="ISX168" s="153"/>
      <c r="ISY168" s="153"/>
      <c r="ISZ168" s="153"/>
      <c r="ITA168" s="153"/>
      <c r="ITB168" s="153"/>
      <c r="ITC168" s="153"/>
      <c r="ITD168" s="153"/>
      <c r="ITE168" s="153"/>
      <c r="ITF168" s="153"/>
      <c r="ITG168" s="153"/>
      <c r="ITH168" s="153"/>
      <c r="ITI168" s="153"/>
      <c r="ITJ168" s="153"/>
      <c r="ITK168" s="153"/>
      <c r="ITL168" s="153"/>
      <c r="ITM168" s="153"/>
      <c r="ITN168" s="153"/>
      <c r="ITO168" s="153"/>
      <c r="ITP168" s="153"/>
      <c r="ITQ168" s="153"/>
      <c r="ITR168" s="153"/>
      <c r="ITS168" s="153"/>
      <c r="ITT168" s="153"/>
      <c r="ITU168" s="153"/>
      <c r="ITV168" s="153"/>
      <c r="ITW168" s="153"/>
      <c r="ITX168" s="153"/>
      <c r="ITY168" s="153"/>
      <c r="ITZ168" s="153"/>
      <c r="IUA168" s="153"/>
      <c r="IUB168" s="153"/>
      <c r="IUC168" s="153"/>
      <c r="IUD168" s="153"/>
      <c r="IUE168" s="153"/>
      <c r="IUF168" s="153"/>
      <c r="IUG168" s="153"/>
      <c r="IUH168" s="153"/>
      <c r="IUI168" s="153"/>
      <c r="IUJ168" s="153"/>
      <c r="IUK168" s="153"/>
      <c r="IUL168" s="153"/>
      <c r="IUM168" s="153"/>
      <c r="IUN168" s="153"/>
      <c r="IUO168" s="153"/>
      <c r="IUP168" s="153"/>
      <c r="IUQ168" s="153"/>
      <c r="IUR168" s="153"/>
      <c r="IUS168" s="153"/>
      <c r="IUT168" s="153"/>
      <c r="IUU168" s="153"/>
      <c r="IUV168" s="153"/>
      <c r="IUW168" s="153"/>
      <c r="IUX168" s="153"/>
      <c r="IUY168" s="153"/>
      <c r="IUZ168" s="153"/>
      <c r="IVA168" s="153"/>
      <c r="IVB168" s="153"/>
      <c r="IVC168" s="153"/>
      <c r="IVD168" s="153"/>
      <c r="IVE168" s="153"/>
      <c r="IVF168" s="153"/>
      <c r="IVG168" s="153"/>
      <c r="IVH168" s="153"/>
      <c r="IVI168" s="153"/>
      <c r="IVJ168" s="153"/>
      <c r="IVK168" s="153"/>
      <c r="IVL168" s="153"/>
      <c r="IVM168" s="153"/>
      <c r="IVN168" s="153"/>
      <c r="IVO168" s="153"/>
      <c r="IVP168" s="153"/>
      <c r="IVQ168" s="153"/>
      <c r="IVR168" s="153"/>
      <c r="IVS168" s="153"/>
      <c r="IVT168" s="153"/>
      <c r="IVU168" s="153"/>
      <c r="IVV168" s="153"/>
      <c r="IVW168" s="153"/>
      <c r="IVX168" s="153"/>
      <c r="IVY168" s="153"/>
      <c r="IVZ168" s="153"/>
      <c r="IWA168" s="153"/>
      <c r="IWB168" s="153"/>
      <c r="IWC168" s="153"/>
      <c r="IWD168" s="153"/>
      <c r="IWE168" s="153"/>
      <c r="IWF168" s="153"/>
      <c r="IWG168" s="153"/>
      <c r="IWH168" s="153"/>
      <c r="IWI168" s="153"/>
      <c r="IWJ168" s="153"/>
      <c r="IWK168" s="153"/>
      <c r="IWL168" s="153"/>
      <c r="IWM168" s="153"/>
      <c r="IWN168" s="153"/>
      <c r="IWO168" s="153"/>
      <c r="IWP168" s="153"/>
      <c r="IWQ168" s="153"/>
      <c r="IWR168" s="153"/>
      <c r="IWS168" s="153"/>
      <c r="IWT168" s="153"/>
      <c r="IWU168" s="153"/>
      <c r="IWV168" s="153"/>
      <c r="IWW168" s="153"/>
      <c r="IWX168" s="153"/>
      <c r="IWY168" s="153"/>
      <c r="IWZ168" s="153"/>
      <c r="IXA168" s="153"/>
      <c r="IXB168" s="153"/>
      <c r="IXC168" s="153"/>
      <c r="IXD168" s="153"/>
      <c r="IXE168" s="153"/>
      <c r="IXF168" s="153"/>
      <c r="IXG168" s="153"/>
      <c r="IXH168" s="153"/>
      <c r="IXI168" s="153"/>
      <c r="IXJ168" s="153"/>
      <c r="IXK168" s="153"/>
      <c r="IXL168" s="153"/>
      <c r="IXM168" s="153"/>
      <c r="IXN168" s="153"/>
      <c r="IXO168" s="153"/>
      <c r="IXP168" s="153"/>
      <c r="IXQ168" s="153"/>
      <c r="IXR168" s="153"/>
      <c r="IXS168" s="153"/>
      <c r="IXT168" s="153"/>
      <c r="IXU168" s="153"/>
      <c r="IXV168" s="153"/>
      <c r="IXW168" s="153"/>
      <c r="IXX168" s="153"/>
      <c r="IXY168" s="153"/>
      <c r="IXZ168" s="153"/>
      <c r="IYA168" s="153"/>
      <c r="IYB168" s="153"/>
      <c r="IYC168" s="153"/>
      <c r="IYD168" s="153"/>
      <c r="IYE168" s="153"/>
      <c r="IYF168" s="153"/>
      <c r="IYG168" s="153"/>
      <c r="IYH168" s="153"/>
      <c r="IYI168" s="153"/>
      <c r="IYJ168" s="153"/>
      <c r="IYK168" s="153"/>
      <c r="IYL168" s="153"/>
      <c r="IYM168" s="153"/>
      <c r="IYN168" s="153"/>
      <c r="IYO168" s="153"/>
      <c r="IYP168" s="153"/>
      <c r="IYQ168" s="153"/>
      <c r="IYR168" s="153"/>
      <c r="IYS168" s="153"/>
      <c r="IYT168" s="153"/>
      <c r="IYU168" s="153"/>
      <c r="IYV168" s="153"/>
      <c r="IYW168" s="153"/>
      <c r="IYX168" s="153"/>
      <c r="IYY168" s="153"/>
      <c r="IYZ168" s="153"/>
      <c r="IZA168" s="153"/>
      <c r="IZB168" s="153"/>
      <c r="IZC168" s="153"/>
      <c r="IZD168" s="153"/>
      <c r="IZE168" s="153"/>
      <c r="IZF168" s="153"/>
      <c r="IZG168" s="153"/>
      <c r="IZH168" s="153"/>
      <c r="IZI168" s="153"/>
      <c r="IZJ168" s="153"/>
      <c r="IZK168" s="153"/>
      <c r="IZL168" s="153"/>
      <c r="IZM168" s="153"/>
      <c r="IZN168" s="153"/>
      <c r="IZO168" s="153"/>
      <c r="IZP168" s="153"/>
      <c r="IZQ168" s="153"/>
      <c r="IZR168" s="153"/>
      <c r="IZS168" s="153"/>
      <c r="IZT168" s="153"/>
      <c r="IZU168" s="153"/>
      <c r="IZV168" s="153"/>
      <c r="IZW168" s="153"/>
      <c r="IZX168" s="153"/>
      <c r="IZY168" s="153"/>
      <c r="IZZ168" s="153"/>
      <c r="JAA168" s="153"/>
      <c r="JAB168" s="153"/>
      <c r="JAC168" s="153"/>
      <c r="JAD168" s="153"/>
      <c r="JAE168" s="153"/>
      <c r="JAF168" s="153"/>
      <c r="JAG168" s="153"/>
      <c r="JAH168" s="153"/>
      <c r="JAI168" s="153"/>
      <c r="JAJ168" s="153"/>
      <c r="JAK168" s="153"/>
      <c r="JAL168" s="153"/>
      <c r="JAM168" s="153"/>
      <c r="JAN168" s="153"/>
      <c r="JAO168" s="153"/>
      <c r="JAP168" s="153"/>
      <c r="JAQ168" s="153"/>
      <c r="JAR168" s="153"/>
      <c r="JAS168" s="153"/>
      <c r="JAT168" s="153"/>
      <c r="JAU168" s="153"/>
      <c r="JAV168" s="153"/>
      <c r="JAW168" s="153"/>
      <c r="JAX168" s="153"/>
      <c r="JAY168" s="153"/>
      <c r="JAZ168" s="153"/>
      <c r="JBA168" s="153"/>
      <c r="JBB168" s="153"/>
      <c r="JBC168" s="153"/>
      <c r="JBD168" s="153"/>
      <c r="JBE168" s="153"/>
      <c r="JBF168" s="153"/>
      <c r="JBG168" s="153"/>
      <c r="JBH168" s="153"/>
      <c r="JBI168" s="153"/>
      <c r="JBJ168" s="153"/>
      <c r="JBK168" s="153"/>
      <c r="JBL168" s="153"/>
      <c r="JBM168" s="153"/>
      <c r="JBN168" s="153"/>
      <c r="JBO168" s="153"/>
      <c r="JBP168" s="153"/>
      <c r="JBQ168" s="153"/>
      <c r="JBR168" s="153"/>
      <c r="JBS168" s="153"/>
      <c r="JBT168" s="153"/>
      <c r="JBU168" s="153"/>
      <c r="JBV168" s="153"/>
      <c r="JBW168" s="153"/>
      <c r="JBX168" s="153"/>
      <c r="JBY168" s="153"/>
      <c r="JBZ168" s="153"/>
      <c r="JCA168" s="153"/>
      <c r="JCB168" s="153"/>
      <c r="JCC168" s="153"/>
      <c r="JCD168" s="153"/>
      <c r="JCE168" s="153"/>
      <c r="JCF168" s="153"/>
      <c r="JCG168" s="153"/>
      <c r="JCH168" s="153"/>
      <c r="JCI168" s="153"/>
      <c r="JCJ168" s="153"/>
      <c r="JCK168" s="153"/>
      <c r="JCL168" s="153"/>
      <c r="JCM168" s="153"/>
      <c r="JCN168" s="153"/>
      <c r="JCO168" s="153"/>
      <c r="JCP168" s="153"/>
      <c r="JCQ168" s="153"/>
      <c r="JCR168" s="153"/>
      <c r="JCS168" s="153"/>
      <c r="JCT168" s="153"/>
      <c r="JCU168" s="153"/>
      <c r="JCV168" s="153"/>
      <c r="JCW168" s="153"/>
      <c r="JCX168" s="153"/>
      <c r="JCY168" s="153"/>
      <c r="JCZ168" s="153"/>
      <c r="JDA168" s="153"/>
      <c r="JDB168" s="153"/>
      <c r="JDC168" s="153"/>
      <c r="JDD168" s="153"/>
      <c r="JDE168" s="153"/>
      <c r="JDF168" s="153"/>
      <c r="JDG168" s="153"/>
      <c r="JDH168" s="153"/>
      <c r="JDI168" s="153"/>
      <c r="JDJ168" s="153"/>
      <c r="JDK168" s="153"/>
      <c r="JDL168" s="153"/>
      <c r="JDM168" s="153"/>
      <c r="JDN168" s="153"/>
      <c r="JDO168" s="153"/>
      <c r="JDP168" s="153"/>
      <c r="JDQ168" s="153"/>
      <c r="JDR168" s="153"/>
      <c r="JDS168" s="153"/>
      <c r="JDT168" s="153"/>
      <c r="JDU168" s="153"/>
      <c r="JDV168" s="153"/>
      <c r="JDW168" s="153"/>
      <c r="JDX168" s="153"/>
      <c r="JDY168" s="153"/>
      <c r="JDZ168" s="153"/>
      <c r="JEA168" s="153"/>
      <c r="JEB168" s="153"/>
      <c r="JEC168" s="153"/>
      <c r="JED168" s="153"/>
      <c r="JEE168" s="153"/>
      <c r="JEF168" s="153"/>
      <c r="JEG168" s="153"/>
      <c r="JEH168" s="153"/>
      <c r="JEI168" s="153"/>
      <c r="JEJ168" s="153"/>
      <c r="JEK168" s="153"/>
      <c r="JEL168" s="153"/>
      <c r="JEM168" s="153"/>
      <c r="JEN168" s="153"/>
      <c r="JEO168" s="153"/>
      <c r="JEP168" s="153"/>
      <c r="JEQ168" s="153"/>
      <c r="JER168" s="153"/>
      <c r="JES168" s="153"/>
      <c r="JET168" s="153"/>
      <c r="JEU168" s="153"/>
      <c r="JEV168" s="153"/>
      <c r="JEW168" s="153"/>
      <c r="JEX168" s="153"/>
      <c r="JEY168" s="153"/>
      <c r="JEZ168" s="153"/>
      <c r="JFA168" s="153"/>
      <c r="JFB168" s="153"/>
      <c r="JFC168" s="153"/>
      <c r="JFD168" s="153"/>
      <c r="JFE168" s="153"/>
      <c r="JFF168" s="153"/>
      <c r="JFG168" s="153"/>
      <c r="JFH168" s="153"/>
      <c r="JFI168" s="153"/>
      <c r="JFJ168" s="153"/>
      <c r="JFK168" s="153"/>
      <c r="JFL168" s="153"/>
      <c r="JFM168" s="153"/>
      <c r="JFN168" s="153"/>
      <c r="JFO168" s="153"/>
      <c r="JFP168" s="153"/>
      <c r="JFQ168" s="153"/>
      <c r="JFR168" s="153"/>
      <c r="JFS168" s="153"/>
      <c r="JFT168" s="153"/>
      <c r="JFU168" s="153"/>
      <c r="JFV168" s="153"/>
      <c r="JFW168" s="153"/>
      <c r="JFX168" s="153"/>
      <c r="JFY168" s="153"/>
      <c r="JFZ168" s="153"/>
      <c r="JGA168" s="153"/>
      <c r="JGB168" s="153"/>
      <c r="JGC168" s="153"/>
      <c r="JGD168" s="153"/>
      <c r="JGE168" s="153"/>
      <c r="JGF168" s="153"/>
      <c r="JGG168" s="153"/>
      <c r="JGH168" s="153"/>
      <c r="JGI168" s="153"/>
      <c r="JGJ168" s="153"/>
      <c r="JGK168" s="153"/>
      <c r="JGL168" s="153"/>
      <c r="JGM168" s="153"/>
      <c r="JGN168" s="153"/>
      <c r="JGO168" s="153"/>
      <c r="JGP168" s="153"/>
      <c r="JGQ168" s="153"/>
      <c r="JGR168" s="153"/>
      <c r="JGS168" s="153"/>
      <c r="JGT168" s="153"/>
      <c r="JGU168" s="153"/>
      <c r="JGV168" s="153"/>
      <c r="JGW168" s="153"/>
      <c r="JGX168" s="153"/>
      <c r="JGY168" s="153"/>
      <c r="JGZ168" s="153"/>
      <c r="JHA168" s="153"/>
      <c r="JHB168" s="153"/>
      <c r="JHC168" s="153"/>
      <c r="JHD168" s="153"/>
      <c r="JHE168" s="153"/>
      <c r="JHF168" s="153"/>
      <c r="JHG168" s="153"/>
      <c r="JHH168" s="153"/>
      <c r="JHI168" s="153"/>
      <c r="JHJ168" s="153"/>
      <c r="JHK168" s="153"/>
      <c r="JHL168" s="153"/>
      <c r="JHM168" s="153"/>
      <c r="JHN168" s="153"/>
      <c r="JHO168" s="153"/>
      <c r="JHP168" s="153"/>
      <c r="JHQ168" s="153"/>
      <c r="JHR168" s="153"/>
      <c r="JHS168" s="153"/>
      <c r="JHT168" s="153"/>
      <c r="JHU168" s="153"/>
      <c r="JHV168" s="153"/>
      <c r="JHW168" s="153"/>
      <c r="JHX168" s="153"/>
      <c r="JHY168" s="153"/>
      <c r="JHZ168" s="153"/>
      <c r="JIA168" s="153"/>
      <c r="JIB168" s="153"/>
      <c r="JIC168" s="153"/>
      <c r="JID168" s="153"/>
      <c r="JIE168" s="153"/>
      <c r="JIF168" s="153"/>
      <c r="JIG168" s="153"/>
      <c r="JIH168" s="153"/>
      <c r="JII168" s="153"/>
      <c r="JIJ168" s="153"/>
      <c r="JIK168" s="153"/>
      <c r="JIL168" s="153"/>
      <c r="JIM168" s="153"/>
      <c r="JIN168" s="153"/>
      <c r="JIO168" s="153"/>
      <c r="JIP168" s="153"/>
      <c r="JIQ168" s="153"/>
      <c r="JIR168" s="153"/>
      <c r="JIS168" s="153"/>
      <c r="JIT168" s="153"/>
      <c r="JIU168" s="153"/>
      <c r="JIV168" s="153"/>
      <c r="JIW168" s="153"/>
      <c r="JIX168" s="153"/>
      <c r="JIY168" s="153"/>
      <c r="JIZ168" s="153"/>
      <c r="JJA168" s="153"/>
      <c r="JJB168" s="153"/>
      <c r="JJC168" s="153"/>
      <c r="JJD168" s="153"/>
      <c r="JJE168" s="153"/>
      <c r="JJF168" s="153"/>
      <c r="JJG168" s="153"/>
      <c r="JJH168" s="153"/>
      <c r="JJI168" s="153"/>
      <c r="JJJ168" s="153"/>
      <c r="JJK168" s="153"/>
      <c r="JJL168" s="153"/>
      <c r="JJM168" s="153"/>
      <c r="JJN168" s="153"/>
      <c r="JJO168" s="153"/>
      <c r="JJP168" s="153"/>
      <c r="JJQ168" s="153"/>
      <c r="JJR168" s="153"/>
      <c r="JJS168" s="153"/>
      <c r="JJT168" s="153"/>
      <c r="JJU168" s="153"/>
      <c r="JJV168" s="153"/>
      <c r="JJW168" s="153"/>
      <c r="JJX168" s="153"/>
      <c r="JJY168" s="153"/>
      <c r="JJZ168" s="153"/>
      <c r="JKA168" s="153"/>
      <c r="JKB168" s="153"/>
      <c r="JKC168" s="153"/>
      <c r="JKD168" s="153"/>
      <c r="JKE168" s="153"/>
      <c r="JKF168" s="153"/>
      <c r="JKG168" s="153"/>
      <c r="JKH168" s="153"/>
      <c r="JKI168" s="153"/>
      <c r="JKJ168" s="153"/>
      <c r="JKK168" s="153"/>
      <c r="JKL168" s="153"/>
      <c r="JKM168" s="153"/>
      <c r="JKN168" s="153"/>
      <c r="JKO168" s="153"/>
      <c r="JKP168" s="153"/>
      <c r="JKQ168" s="153"/>
      <c r="JKR168" s="153"/>
      <c r="JKS168" s="153"/>
      <c r="JKT168" s="153"/>
      <c r="JKU168" s="153"/>
      <c r="JKV168" s="153"/>
      <c r="JKW168" s="153"/>
      <c r="JKX168" s="153"/>
      <c r="JKY168" s="153"/>
      <c r="JKZ168" s="153"/>
      <c r="JLA168" s="153"/>
      <c r="JLB168" s="153"/>
      <c r="JLC168" s="153"/>
      <c r="JLD168" s="153"/>
      <c r="JLE168" s="153"/>
      <c r="JLF168" s="153"/>
      <c r="JLG168" s="153"/>
      <c r="JLH168" s="153"/>
      <c r="JLI168" s="153"/>
      <c r="JLJ168" s="153"/>
      <c r="JLK168" s="153"/>
      <c r="JLL168" s="153"/>
      <c r="JLM168" s="153"/>
      <c r="JLN168" s="153"/>
      <c r="JLO168" s="153"/>
      <c r="JLP168" s="153"/>
      <c r="JLQ168" s="153"/>
      <c r="JLR168" s="153"/>
      <c r="JLS168" s="153"/>
      <c r="JLT168" s="153"/>
      <c r="JLU168" s="153"/>
      <c r="JLV168" s="153"/>
      <c r="JLW168" s="153"/>
      <c r="JLX168" s="153"/>
      <c r="JLY168" s="153"/>
      <c r="JLZ168" s="153"/>
      <c r="JMA168" s="153"/>
      <c r="JMB168" s="153"/>
      <c r="JMC168" s="153"/>
      <c r="JMD168" s="153"/>
      <c r="JME168" s="153"/>
      <c r="JMF168" s="153"/>
      <c r="JMG168" s="153"/>
      <c r="JMH168" s="153"/>
      <c r="JMI168" s="153"/>
      <c r="JMJ168" s="153"/>
      <c r="JMK168" s="153"/>
      <c r="JML168" s="153"/>
      <c r="JMM168" s="153"/>
      <c r="JMN168" s="153"/>
      <c r="JMO168" s="153"/>
      <c r="JMP168" s="153"/>
      <c r="JMQ168" s="153"/>
      <c r="JMR168" s="153"/>
      <c r="JMS168" s="153"/>
      <c r="JMT168" s="153"/>
      <c r="JMU168" s="153"/>
      <c r="JMV168" s="153"/>
      <c r="JMW168" s="153"/>
      <c r="JMX168" s="153"/>
      <c r="JMY168" s="153"/>
      <c r="JMZ168" s="153"/>
      <c r="JNA168" s="153"/>
      <c r="JNB168" s="153"/>
      <c r="JNC168" s="153"/>
      <c r="JND168" s="153"/>
      <c r="JNE168" s="153"/>
      <c r="JNF168" s="153"/>
      <c r="JNG168" s="153"/>
      <c r="JNH168" s="153"/>
      <c r="JNI168" s="153"/>
      <c r="JNJ168" s="153"/>
      <c r="JNK168" s="153"/>
      <c r="JNL168" s="153"/>
      <c r="JNM168" s="153"/>
      <c r="JNN168" s="153"/>
      <c r="JNO168" s="153"/>
      <c r="JNP168" s="153"/>
      <c r="JNQ168" s="153"/>
      <c r="JNR168" s="153"/>
      <c r="JNS168" s="153"/>
      <c r="JNT168" s="153"/>
      <c r="JNU168" s="153"/>
      <c r="JNV168" s="153"/>
      <c r="JNW168" s="153"/>
      <c r="JNX168" s="153"/>
      <c r="JNY168" s="153"/>
      <c r="JNZ168" s="153"/>
      <c r="JOA168" s="153"/>
      <c r="JOB168" s="153"/>
      <c r="JOC168" s="153"/>
      <c r="JOD168" s="153"/>
      <c r="JOE168" s="153"/>
      <c r="JOF168" s="153"/>
      <c r="JOG168" s="153"/>
      <c r="JOH168" s="153"/>
      <c r="JOI168" s="153"/>
      <c r="JOJ168" s="153"/>
      <c r="JOK168" s="153"/>
      <c r="JOL168" s="153"/>
      <c r="JOM168" s="153"/>
      <c r="JON168" s="153"/>
      <c r="JOO168" s="153"/>
      <c r="JOP168" s="153"/>
      <c r="JOQ168" s="153"/>
      <c r="JOR168" s="153"/>
      <c r="JOS168" s="153"/>
      <c r="JOT168" s="153"/>
      <c r="JOU168" s="153"/>
      <c r="JOV168" s="153"/>
      <c r="JOW168" s="153"/>
      <c r="JOX168" s="153"/>
      <c r="JOY168" s="153"/>
      <c r="JOZ168" s="153"/>
      <c r="JPA168" s="153"/>
      <c r="JPB168" s="153"/>
      <c r="JPC168" s="153"/>
      <c r="JPD168" s="153"/>
      <c r="JPE168" s="153"/>
      <c r="JPF168" s="153"/>
      <c r="JPG168" s="153"/>
      <c r="JPH168" s="153"/>
      <c r="JPI168" s="153"/>
      <c r="JPJ168" s="153"/>
      <c r="JPK168" s="153"/>
      <c r="JPL168" s="153"/>
      <c r="JPM168" s="153"/>
      <c r="JPN168" s="153"/>
      <c r="JPO168" s="153"/>
      <c r="JPP168" s="153"/>
      <c r="JPQ168" s="153"/>
      <c r="JPR168" s="153"/>
      <c r="JPS168" s="153"/>
      <c r="JPT168" s="153"/>
      <c r="JPU168" s="153"/>
      <c r="JPV168" s="153"/>
      <c r="JPW168" s="153"/>
      <c r="JPX168" s="153"/>
      <c r="JPY168" s="153"/>
      <c r="JPZ168" s="153"/>
      <c r="JQA168" s="153"/>
      <c r="JQB168" s="153"/>
      <c r="JQC168" s="153"/>
      <c r="JQD168" s="153"/>
      <c r="JQE168" s="153"/>
      <c r="JQF168" s="153"/>
      <c r="JQG168" s="153"/>
      <c r="JQH168" s="153"/>
      <c r="JQI168" s="153"/>
      <c r="JQJ168" s="153"/>
      <c r="JQK168" s="153"/>
      <c r="JQL168" s="153"/>
      <c r="JQM168" s="153"/>
      <c r="JQN168" s="153"/>
      <c r="JQO168" s="153"/>
      <c r="JQP168" s="153"/>
      <c r="JQQ168" s="153"/>
      <c r="JQR168" s="153"/>
      <c r="JQS168" s="153"/>
      <c r="JQT168" s="153"/>
      <c r="JQU168" s="153"/>
      <c r="JQV168" s="153"/>
      <c r="JQW168" s="153"/>
      <c r="JQX168" s="153"/>
      <c r="JQY168" s="153"/>
      <c r="JQZ168" s="153"/>
      <c r="JRA168" s="153"/>
      <c r="JRB168" s="153"/>
      <c r="JRC168" s="153"/>
      <c r="JRD168" s="153"/>
      <c r="JRE168" s="153"/>
      <c r="JRF168" s="153"/>
      <c r="JRG168" s="153"/>
      <c r="JRH168" s="153"/>
      <c r="JRI168" s="153"/>
      <c r="JRJ168" s="153"/>
      <c r="JRK168" s="153"/>
      <c r="JRL168" s="153"/>
      <c r="JRM168" s="153"/>
      <c r="JRN168" s="153"/>
      <c r="JRO168" s="153"/>
      <c r="JRP168" s="153"/>
      <c r="JRQ168" s="153"/>
      <c r="JRR168" s="153"/>
      <c r="JRS168" s="153"/>
      <c r="JRT168" s="153"/>
      <c r="JRU168" s="153"/>
      <c r="JRV168" s="153"/>
      <c r="JRW168" s="153"/>
      <c r="JRX168" s="153"/>
      <c r="JRY168" s="153"/>
      <c r="JRZ168" s="153"/>
      <c r="JSA168" s="153"/>
      <c r="JSB168" s="153"/>
      <c r="JSC168" s="153"/>
      <c r="JSD168" s="153"/>
      <c r="JSE168" s="153"/>
      <c r="JSF168" s="153"/>
      <c r="JSG168" s="153"/>
      <c r="JSH168" s="153"/>
      <c r="JSI168" s="153"/>
      <c r="JSJ168" s="153"/>
      <c r="JSK168" s="153"/>
      <c r="JSL168" s="153"/>
      <c r="JSM168" s="153"/>
      <c r="JSN168" s="153"/>
      <c r="JSO168" s="153"/>
      <c r="JSP168" s="153"/>
      <c r="JSQ168" s="153"/>
      <c r="JSR168" s="153"/>
      <c r="JSS168" s="153"/>
      <c r="JST168" s="153"/>
      <c r="JSU168" s="153"/>
      <c r="JSV168" s="153"/>
      <c r="JSW168" s="153"/>
      <c r="JSX168" s="153"/>
      <c r="JSY168" s="153"/>
      <c r="JSZ168" s="153"/>
      <c r="JTA168" s="153"/>
      <c r="JTB168" s="153"/>
      <c r="JTC168" s="153"/>
      <c r="JTD168" s="153"/>
      <c r="JTE168" s="153"/>
      <c r="JTF168" s="153"/>
      <c r="JTG168" s="153"/>
      <c r="JTH168" s="153"/>
      <c r="JTI168" s="153"/>
      <c r="JTJ168" s="153"/>
      <c r="JTK168" s="153"/>
      <c r="JTL168" s="153"/>
      <c r="JTM168" s="153"/>
      <c r="JTN168" s="153"/>
      <c r="JTO168" s="153"/>
      <c r="JTP168" s="153"/>
      <c r="JTQ168" s="153"/>
      <c r="JTR168" s="153"/>
      <c r="JTS168" s="153"/>
      <c r="JTT168" s="153"/>
      <c r="JTU168" s="153"/>
      <c r="JTV168" s="153"/>
      <c r="JTW168" s="153"/>
      <c r="JTX168" s="153"/>
      <c r="JTY168" s="153"/>
      <c r="JTZ168" s="153"/>
      <c r="JUA168" s="153"/>
      <c r="JUB168" s="153"/>
      <c r="JUC168" s="153"/>
      <c r="JUD168" s="153"/>
      <c r="JUE168" s="153"/>
      <c r="JUF168" s="153"/>
      <c r="JUG168" s="153"/>
      <c r="JUH168" s="153"/>
      <c r="JUI168" s="153"/>
      <c r="JUJ168" s="153"/>
      <c r="JUK168" s="153"/>
      <c r="JUL168" s="153"/>
      <c r="JUM168" s="153"/>
      <c r="JUN168" s="153"/>
      <c r="JUO168" s="153"/>
      <c r="JUP168" s="153"/>
      <c r="JUQ168" s="153"/>
      <c r="JUR168" s="153"/>
      <c r="JUS168" s="153"/>
      <c r="JUT168" s="153"/>
      <c r="JUU168" s="153"/>
      <c r="JUV168" s="153"/>
      <c r="JUW168" s="153"/>
      <c r="JUX168" s="153"/>
      <c r="JUY168" s="153"/>
      <c r="JUZ168" s="153"/>
      <c r="JVA168" s="153"/>
      <c r="JVB168" s="153"/>
      <c r="JVC168" s="153"/>
      <c r="JVD168" s="153"/>
      <c r="JVE168" s="153"/>
      <c r="JVF168" s="153"/>
      <c r="JVG168" s="153"/>
      <c r="JVH168" s="153"/>
      <c r="JVI168" s="153"/>
      <c r="JVJ168" s="153"/>
      <c r="JVK168" s="153"/>
      <c r="JVL168" s="153"/>
      <c r="JVM168" s="153"/>
      <c r="JVN168" s="153"/>
      <c r="JVO168" s="153"/>
      <c r="JVP168" s="153"/>
      <c r="JVQ168" s="153"/>
      <c r="JVR168" s="153"/>
      <c r="JVS168" s="153"/>
      <c r="JVT168" s="153"/>
      <c r="JVU168" s="153"/>
      <c r="JVV168" s="153"/>
      <c r="JVW168" s="153"/>
      <c r="JVX168" s="153"/>
      <c r="JVY168" s="153"/>
      <c r="JVZ168" s="153"/>
      <c r="JWA168" s="153"/>
      <c r="JWB168" s="153"/>
      <c r="JWC168" s="153"/>
      <c r="JWD168" s="153"/>
      <c r="JWE168" s="153"/>
      <c r="JWF168" s="153"/>
      <c r="JWG168" s="153"/>
      <c r="JWH168" s="153"/>
      <c r="JWI168" s="153"/>
      <c r="JWJ168" s="153"/>
      <c r="JWK168" s="153"/>
      <c r="JWL168" s="153"/>
      <c r="JWM168" s="153"/>
      <c r="JWN168" s="153"/>
      <c r="JWO168" s="153"/>
      <c r="JWP168" s="153"/>
      <c r="JWQ168" s="153"/>
      <c r="JWR168" s="153"/>
      <c r="JWS168" s="153"/>
      <c r="JWT168" s="153"/>
      <c r="JWU168" s="153"/>
      <c r="JWV168" s="153"/>
      <c r="JWW168" s="153"/>
      <c r="JWX168" s="153"/>
      <c r="JWY168" s="153"/>
      <c r="JWZ168" s="153"/>
      <c r="JXA168" s="153"/>
      <c r="JXB168" s="153"/>
      <c r="JXC168" s="153"/>
      <c r="JXD168" s="153"/>
      <c r="JXE168" s="153"/>
      <c r="JXF168" s="153"/>
      <c r="JXG168" s="153"/>
      <c r="JXH168" s="153"/>
      <c r="JXI168" s="153"/>
      <c r="JXJ168" s="153"/>
      <c r="JXK168" s="153"/>
      <c r="JXL168" s="153"/>
      <c r="JXM168" s="153"/>
      <c r="JXN168" s="153"/>
      <c r="JXO168" s="153"/>
      <c r="JXP168" s="153"/>
      <c r="JXQ168" s="153"/>
      <c r="JXR168" s="153"/>
      <c r="JXS168" s="153"/>
      <c r="JXT168" s="153"/>
      <c r="JXU168" s="153"/>
      <c r="JXV168" s="153"/>
      <c r="JXW168" s="153"/>
      <c r="JXX168" s="153"/>
      <c r="JXY168" s="153"/>
      <c r="JXZ168" s="153"/>
      <c r="JYA168" s="153"/>
      <c r="JYB168" s="153"/>
      <c r="JYC168" s="153"/>
      <c r="JYD168" s="153"/>
      <c r="JYE168" s="153"/>
      <c r="JYF168" s="153"/>
      <c r="JYG168" s="153"/>
      <c r="JYH168" s="153"/>
      <c r="JYI168" s="153"/>
      <c r="JYJ168" s="153"/>
      <c r="JYK168" s="153"/>
      <c r="JYL168" s="153"/>
      <c r="JYM168" s="153"/>
      <c r="JYN168" s="153"/>
      <c r="JYO168" s="153"/>
      <c r="JYP168" s="153"/>
      <c r="JYQ168" s="153"/>
      <c r="JYR168" s="153"/>
      <c r="JYS168" s="153"/>
      <c r="JYT168" s="153"/>
      <c r="JYU168" s="153"/>
      <c r="JYV168" s="153"/>
      <c r="JYW168" s="153"/>
      <c r="JYX168" s="153"/>
      <c r="JYY168" s="153"/>
      <c r="JYZ168" s="153"/>
      <c r="JZA168" s="153"/>
      <c r="JZB168" s="153"/>
      <c r="JZC168" s="153"/>
      <c r="JZD168" s="153"/>
      <c r="JZE168" s="153"/>
      <c r="JZF168" s="153"/>
      <c r="JZG168" s="153"/>
      <c r="JZH168" s="153"/>
      <c r="JZI168" s="153"/>
      <c r="JZJ168" s="153"/>
      <c r="JZK168" s="153"/>
      <c r="JZL168" s="153"/>
      <c r="JZM168" s="153"/>
      <c r="JZN168" s="153"/>
      <c r="JZO168" s="153"/>
      <c r="JZP168" s="153"/>
      <c r="JZQ168" s="153"/>
      <c r="JZR168" s="153"/>
      <c r="JZS168" s="153"/>
      <c r="JZT168" s="153"/>
      <c r="JZU168" s="153"/>
      <c r="JZV168" s="153"/>
      <c r="JZW168" s="153"/>
      <c r="JZX168" s="153"/>
      <c r="JZY168" s="153"/>
      <c r="JZZ168" s="153"/>
      <c r="KAA168" s="153"/>
      <c r="KAB168" s="153"/>
      <c r="KAC168" s="153"/>
      <c r="KAD168" s="153"/>
      <c r="KAE168" s="153"/>
      <c r="KAF168" s="153"/>
      <c r="KAG168" s="153"/>
      <c r="KAH168" s="153"/>
      <c r="KAI168" s="153"/>
      <c r="KAJ168" s="153"/>
      <c r="KAK168" s="153"/>
      <c r="KAL168" s="153"/>
      <c r="KAM168" s="153"/>
      <c r="KAN168" s="153"/>
      <c r="KAO168" s="153"/>
      <c r="KAP168" s="153"/>
      <c r="KAQ168" s="153"/>
      <c r="KAR168" s="153"/>
      <c r="KAS168" s="153"/>
      <c r="KAT168" s="153"/>
      <c r="KAU168" s="153"/>
      <c r="KAV168" s="153"/>
      <c r="KAW168" s="153"/>
      <c r="KAX168" s="153"/>
      <c r="KAY168" s="153"/>
      <c r="KAZ168" s="153"/>
      <c r="KBA168" s="153"/>
      <c r="KBB168" s="153"/>
      <c r="KBC168" s="153"/>
      <c r="KBD168" s="153"/>
      <c r="KBE168" s="153"/>
      <c r="KBF168" s="153"/>
      <c r="KBG168" s="153"/>
      <c r="KBH168" s="153"/>
      <c r="KBI168" s="153"/>
      <c r="KBJ168" s="153"/>
      <c r="KBK168" s="153"/>
      <c r="KBL168" s="153"/>
      <c r="KBM168" s="153"/>
      <c r="KBN168" s="153"/>
      <c r="KBO168" s="153"/>
      <c r="KBP168" s="153"/>
      <c r="KBQ168" s="153"/>
      <c r="KBR168" s="153"/>
      <c r="KBS168" s="153"/>
      <c r="KBT168" s="153"/>
      <c r="KBU168" s="153"/>
      <c r="KBV168" s="153"/>
      <c r="KBW168" s="153"/>
      <c r="KBX168" s="153"/>
      <c r="KBY168" s="153"/>
      <c r="KBZ168" s="153"/>
      <c r="KCA168" s="153"/>
      <c r="KCB168" s="153"/>
      <c r="KCC168" s="153"/>
      <c r="KCD168" s="153"/>
      <c r="KCE168" s="153"/>
      <c r="KCF168" s="153"/>
      <c r="KCG168" s="153"/>
      <c r="KCH168" s="153"/>
      <c r="KCI168" s="153"/>
      <c r="KCJ168" s="153"/>
      <c r="KCK168" s="153"/>
      <c r="KCL168" s="153"/>
      <c r="KCM168" s="153"/>
      <c r="KCN168" s="153"/>
      <c r="KCO168" s="153"/>
      <c r="KCP168" s="153"/>
      <c r="KCQ168" s="153"/>
      <c r="KCR168" s="153"/>
      <c r="KCS168" s="153"/>
      <c r="KCT168" s="153"/>
      <c r="KCU168" s="153"/>
      <c r="KCV168" s="153"/>
      <c r="KCW168" s="153"/>
      <c r="KCX168" s="153"/>
      <c r="KCY168" s="153"/>
      <c r="KCZ168" s="153"/>
      <c r="KDA168" s="153"/>
      <c r="KDB168" s="153"/>
      <c r="KDC168" s="153"/>
      <c r="KDD168" s="153"/>
      <c r="KDE168" s="153"/>
      <c r="KDF168" s="153"/>
      <c r="KDG168" s="153"/>
      <c r="KDH168" s="153"/>
      <c r="KDI168" s="153"/>
      <c r="KDJ168" s="153"/>
      <c r="KDK168" s="153"/>
      <c r="KDL168" s="153"/>
      <c r="KDM168" s="153"/>
      <c r="KDN168" s="153"/>
      <c r="KDO168" s="153"/>
      <c r="KDP168" s="153"/>
      <c r="KDQ168" s="153"/>
      <c r="KDR168" s="153"/>
      <c r="KDS168" s="153"/>
      <c r="KDT168" s="153"/>
      <c r="KDU168" s="153"/>
      <c r="KDV168" s="153"/>
      <c r="KDW168" s="153"/>
      <c r="KDX168" s="153"/>
      <c r="KDY168" s="153"/>
      <c r="KDZ168" s="153"/>
      <c r="KEA168" s="153"/>
      <c r="KEB168" s="153"/>
      <c r="KEC168" s="153"/>
      <c r="KED168" s="153"/>
      <c r="KEE168" s="153"/>
      <c r="KEF168" s="153"/>
      <c r="KEG168" s="153"/>
      <c r="KEH168" s="153"/>
      <c r="KEI168" s="153"/>
      <c r="KEJ168" s="153"/>
      <c r="KEK168" s="153"/>
      <c r="KEL168" s="153"/>
      <c r="KEM168" s="153"/>
      <c r="KEN168" s="153"/>
      <c r="KEO168" s="153"/>
      <c r="KEP168" s="153"/>
      <c r="KEQ168" s="153"/>
      <c r="KER168" s="153"/>
      <c r="KES168" s="153"/>
      <c r="KET168" s="153"/>
      <c r="KEU168" s="153"/>
      <c r="KEV168" s="153"/>
      <c r="KEW168" s="153"/>
      <c r="KEX168" s="153"/>
      <c r="KEY168" s="153"/>
      <c r="KEZ168" s="153"/>
      <c r="KFA168" s="153"/>
      <c r="KFB168" s="153"/>
      <c r="KFC168" s="153"/>
      <c r="KFD168" s="153"/>
      <c r="KFE168" s="153"/>
      <c r="KFF168" s="153"/>
      <c r="KFG168" s="153"/>
      <c r="KFH168" s="153"/>
      <c r="KFI168" s="153"/>
      <c r="KFJ168" s="153"/>
      <c r="KFK168" s="153"/>
      <c r="KFL168" s="153"/>
      <c r="KFM168" s="153"/>
      <c r="KFN168" s="153"/>
      <c r="KFO168" s="153"/>
      <c r="KFP168" s="153"/>
      <c r="KFQ168" s="153"/>
      <c r="KFR168" s="153"/>
      <c r="KFS168" s="153"/>
      <c r="KFT168" s="153"/>
      <c r="KFU168" s="153"/>
      <c r="KFV168" s="153"/>
      <c r="KFW168" s="153"/>
      <c r="KFX168" s="153"/>
      <c r="KFY168" s="153"/>
      <c r="KFZ168" s="153"/>
      <c r="KGA168" s="153"/>
      <c r="KGB168" s="153"/>
      <c r="KGC168" s="153"/>
      <c r="KGD168" s="153"/>
      <c r="KGE168" s="153"/>
      <c r="KGF168" s="153"/>
      <c r="KGG168" s="153"/>
      <c r="KGH168" s="153"/>
      <c r="KGI168" s="153"/>
      <c r="KGJ168" s="153"/>
      <c r="KGK168" s="153"/>
      <c r="KGL168" s="153"/>
      <c r="KGM168" s="153"/>
      <c r="KGN168" s="153"/>
      <c r="KGO168" s="153"/>
      <c r="KGP168" s="153"/>
      <c r="KGQ168" s="153"/>
      <c r="KGR168" s="153"/>
      <c r="KGS168" s="153"/>
      <c r="KGT168" s="153"/>
      <c r="KGU168" s="153"/>
      <c r="KGV168" s="153"/>
      <c r="KGW168" s="153"/>
      <c r="KGX168" s="153"/>
      <c r="KGY168" s="153"/>
      <c r="KGZ168" s="153"/>
      <c r="KHA168" s="153"/>
      <c r="KHB168" s="153"/>
      <c r="KHC168" s="153"/>
      <c r="KHD168" s="153"/>
      <c r="KHE168" s="153"/>
      <c r="KHF168" s="153"/>
      <c r="KHG168" s="153"/>
      <c r="KHH168" s="153"/>
      <c r="KHI168" s="153"/>
      <c r="KHJ168" s="153"/>
      <c r="KHK168" s="153"/>
      <c r="KHL168" s="153"/>
      <c r="KHM168" s="153"/>
      <c r="KHN168" s="153"/>
      <c r="KHO168" s="153"/>
      <c r="KHP168" s="153"/>
      <c r="KHQ168" s="153"/>
      <c r="KHR168" s="153"/>
      <c r="KHS168" s="153"/>
      <c r="KHT168" s="153"/>
      <c r="KHU168" s="153"/>
      <c r="KHV168" s="153"/>
      <c r="KHW168" s="153"/>
      <c r="KHX168" s="153"/>
      <c r="KHY168" s="153"/>
      <c r="KHZ168" s="153"/>
      <c r="KIA168" s="153"/>
      <c r="KIB168" s="153"/>
      <c r="KIC168" s="153"/>
      <c r="KID168" s="153"/>
      <c r="KIE168" s="153"/>
      <c r="KIF168" s="153"/>
      <c r="KIG168" s="153"/>
      <c r="KIH168" s="153"/>
      <c r="KII168" s="153"/>
      <c r="KIJ168" s="153"/>
      <c r="KIK168" s="153"/>
      <c r="KIL168" s="153"/>
      <c r="KIM168" s="153"/>
      <c r="KIN168" s="153"/>
      <c r="KIO168" s="153"/>
      <c r="KIP168" s="153"/>
      <c r="KIQ168" s="153"/>
      <c r="KIR168" s="153"/>
      <c r="KIS168" s="153"/>
      <c r="KIT168" s="153"/>
      <c r="KIU168" s="153"/>
      <c r="KIV168" s="153"/>
      <c r="KIW168" s="153"/>
      <c r="KIX168" s="153"/>
      <c r="KIY168" s="153"/>
      <c r="KIZ168" s="153"/>
      <c r="KJA168" s="153"/>
      <c r="KJB168" s="153"/>
      <c r="KJC168" s="153"/>
      <c r="KJD168" s="153"/>
      <c r="KJE168" s="153"/>
      <c r="KJF168" s="153"/>
      <c r="KJG168" s="153"/>
      <c r="KJH168" s="153"/>
      <c r="KJI168" s="153"/>
      <c r="KJJ168" s="153"/>
      <c r="KJK168" s="153"/>
      <c r="KJL168" s="153"/>
      <c r="KJM168" s="153"/>
      <c r="KJN168" s="153"/>
      <c r="KJO168" s="153"/>
      <c r="KJP168" s="153"/>
      <c r="KJQ168" s="153"/>
      <c r="KJR168" s="153"/>
      <c r="KJS168" s="153"/>
      <c r="KJT168" s="153"/>
      <c r="KJU168" s="153"/>
      <c r="KJV168" s="153"/>
      <c r="KJW168" s="153"/>
      <c r="KJX168" s="153"/>
      <c r="KJY168" s="153"/>
      <c r="KJZ168" s="153"/>
      <c r="KKA168" s="153"/>
      <c r="KKB168" s="153"/>
      <c r="KKC168" s="153"/>
      <c r="KKD168" s="153"/>
      <c r="KKE168" s="153"/>
      <c r="KKF168" s="153"/>
      <c r="KKG168" s="153"/>
      <c r="KKH168" s="153"/>
      <c r="KKI168" s="153"/>
      <c r="KKJ168" s="153"/>
      <c r="KKK168" s="153"/>
      <c r="KKL168" s="153"/>
      <c r="KKM168" s="153"/>
      <c r="KKN168" s="153"/>
      <c r="KKO168" s="153"/>
      <c r="KKP168" s="153"/>
      <c r="KKQ168" s="153"/>
      <c r="KKR168" s="153"/>
      <c r="KKS168" s="153"/>
      <c r="KKT168" s="153"/>
      <c r="KKU168" s="153"/>
      <c r="KKV168" s="153"/>
      <c r="KKW168" s="153"/>
      <c r="KKX168" s="153"/>
      <c r="KKY168" s="153"/>
      <c r="KKZ168" s="153"/>
      <c r="KLA168" s="153"/>
      <c r="KLB168" s="153"/>
      <c r="KLC168" s="153"/>
      <c r="KLD168" s="153"/>
      <c r="KLE168" s="153"/>
      <c r="KLF168" s="153"/>
      <c r="KLG168" s="153"/>
      <c r="KLH168" s="153"/>
      <c r="KLI168" s="153"/>
      <c r="KLJ168" s="153"/>
      <c r="KLK168" s="153"/>
      <c r="KLL168" s="153"/>
      <c r="KLM168" s="153"/>
      <c r="KLN168" s="153"/>
      <c r="KLO168" s="153"/>
      <c r="KLP168" s="153"/>
      <c r="KLQ168" s="153"/>
      <c r="KLR168" s="153"/>
      <c r="KLS168" s="153"/>
      <c r="KLT168" s="153"/>
      <c r="KLU168" s="153"/>
      <c r="KLV168" s="153"/>
      <c r="KLW168" s="153"/>
      <c r="KLX168" s="153"/>
      <c r="KLY168" s="153"/>
      <c r="KLZ168" s="153"/>
      <c r="KMA168" s="153"/>
      <c r="KMB168" s="153"/>
      <c r="KMC168" s="153"/>
      <c r="KMD168" s="153"/>
      <c r="KME168" s="153"/>
      <c r="KMF168" s="153"/>
      <c r="KMG168" s="153"/>
      <c r="KMH168" s="153"/>
      <c r="KMI168" s="153"/>
      <c r="KMJ168" s="153"/>
      <c r="KMK168" s="153"/>
      <c r="KML168" s="153"/>
      <c r="KMM168" s="153"/>
      <c r="KMN168" s="153"/>
      <c r="KMO168" s="153"/>
      <c r="KMP168" s="153"/>
      <c r="KMQ168" s="153"/>
      <c r="KMR168" s="153"/>
      <c r="KMS168" s="153"/>
      <c r="KMT168" s="153"/>
      <c r="KMU168" s="153"/>
      <c r="KMV168" s="153"/>
      <c r="KMW168" s="153"/>
      <c r="KMX168" s="153"/>
      <c r="KMY168" s="153"/>
      <c r="KMZ168" s="153"/>
      <c r="KNA168" s="153"/>
      <c r="KNB168" s="153"/>
      <c r="KNC168" s="153"/>
      <c r="KND168" s="153"/>
      <c r="KNE168" s="153"/>
      <c r="KNF168" s="153"/>
      <c r="KNG168" s="153"/>
      <c r="KNH168" s="153"/>
      <c r="KNI168" s="153"/>
      <c r="KNJ168" s="153"/>
      <c r="KNK168" s="153"/>
      <c r="KNL168" s="153"/>
      <c r="KNM168" s="153"/>
      <c r="KNN168" s="153"/>
      <c r="KNO168" s="153"/>
      <c r="KNP168" s="153"/>
      <c r="KNQ168" s="153"/>
      <c r="KNR168" s="153"/>
      <c r="KNS168" s="153"/>
      <c r="KNT168" s="153"/>
      <c r="KNU168" s="153"/>
      <c r="KNV168" s="153"/>
      <c r="KNW168" s="153"/>
      <c r="KNX168" s="153"/>
      <c r="KNY168" s="153"/>
      <c r="KNZ168" s="153"/>
      <c r="KOA168" s="153"/>
      <c r="KOB168" s="153"/>
      <c r="KOC168" s="153"/>
      <c r="KOD168" s="153"/>
      <c r="KOE168" s="153"/>
      <c r="KOF168" s="153"/>
      <c r="KOG168" s="153"/>
      <c r="KOH168" s="153"/>
      <c r="KOI168" s="153"/>
      <c r="KOJ168" s="153"/>
      <c r="KOK168" s="153"/>
      <c r="KOL168" s="153"/>
      <c r="KOM168" s="153"/>
      <c r="KON168" s="153"/>
      <c r="KOO168" s="153"/>
      <c r="KOP168" s="153"/>
      <c r="KOQ168" s="153"/>
      <c r="KOR168" s="153"/>
      <c r="KOS168" s="153"/>
      <c r="KOT168" s="153"/>
      <c r="KOU168" s="153"/>
      <c r="KOV168" s="153"/>
      <c r="KOW168" s="153"/>
      <c r="KOX168" s="153"/>
      <c r="KOY168" s="153"/>
      <c r="KOZ168" s="153"/>
      <c r="KPA168" s="153"/>
      <c r="KPB168" s="153"/>
      <c r="KPC168" s="153"/>
      <c r="KPD168" s="153"/>
      <c r="KPE168" s="153"/>
      <c r="KPF168" s="153"/>
      <c r="KPG168" s="153"/>
      <c r="KPH168" s="153"/>
      <c r="KPI168" s="153"/>
      <c r="KPJ168" s="153"/>
      <c r="KPK168" s="153"/>
      <c r="KPL168" s="153"/>
      <c r="KPM168" s="153"/>
      <c r="KPN168" s="153"/>
      <c r="KPO168" s="153"/>
      <c r="KPP168" s="153"/>
      <c r="KPQ168" s="153"/>
      <c r="KPR168" s="153"/>
      <c r="KPS168" s="153"/>
      <c r="KPT168" s="153"/>
      <c r="KPU168" s="153"/>
      <c r="KPV168" s="153"/>
      <c r="KPW168" s="153"/>
      <c r="KPX168" s="153"/>
      <c r="KPY168" s="153"/>
      <c r="KPZ168" s="153"/>
      <c r="KQA168" s="153"/>
      <c r="KQB168" s="153"/>
      <c r="KQC168" s="153"/>
      <c r="KQD168" s="153"/>
      <c r="KQE168" s="153"/>
      <c r="KQF168" s="153"/>
      <c r="KQG168" s="153"/>
      <c r="KQH168" s="153"/>
      <c r="KQI168" s="153"/>
      <c r="KQJ168" s="153"/>
      <c r="KQK168" s="153"/>
      <c r="KQL168" s="153"/>
      <c r="KQM168" s="153"/>
      <c r="KQN168" s="153"/>
      <c r="KQO168" s="153"/>
      <c r="KQP168" s="153"/>
      <c r="KQQ168" s="153"/>
      <c r="KQR168" s="153"/>
      <c r="KQS168" s="153"/>
      <c r="KQT168" s="153"/>
      <c r="KQU168" s="153"/>
      <c r="KQV168" s="153"/>
      <c r="KQW168" s="153"/>
      <c r="KQX168" s="153"/>
      <c r="KQY168" s="153"/>
      <c r="KQZ168" s="153"/>
      <c r="KRA168" s="153"/>
      <c r="KRB168" s="153"/>
      <c r="KRC168" s="153"/>
      <c r="KRD168" s="153"/>
      <c r="KRE168" s="153"/>
      <c r="KRF168" s="153"/>
      <c r="KRG168" s="153"/>
      <c r="KRH168" s="153"/>
      <c r="KRI168" s="153"/>
      <c r="KRJ168" s="153"/>
      <c r="KRK168" s="153"/>
      <c r="KRL168" s="153"/>
      <c r="KRM168" s="153"/>
      <c r="KRN168" s="153"/>
      <c r="KRO168" s="153"/>
      <c r="KRP168" s="153"/>
      <c r="KRQ168" s="153"/>
      <c r="KRR168" s="153"/>
      <c r="KRS168" s="153"/>
      <c r="KRT168" s="153"/>
      <c r="KRU168" s="153"/>
      <c r="KRV168" s="153"/>
      <c r="KRW168" s="153"/>
      <c r="KRX168" s="153"/>
      <c r="KRY168" s="153"/>
      <c r="KRZ168" s="153"/>
      <c r="KSA168" s="153"/>
      <c r="KSB168" s="153"/>
      <c r="KSC168" s="153"/>
      <c r="KSD168" s="153"/>
      <c r="KSE168" s="153"/>
      <c r="KSF168" s="153"/>
      <c r="KSG168" s="153"/>
      <c r="KSH168" s="153"/>
      <c r="KSI168" s="153"/>
      <c r="KSJ168" s="153"/>
      <c r="KSK168" s="153"/>
      <c r="KSL168" s="153"/>
      <c r="KSM168" s="153"/>
      <c r="KSN168" s="153"/>
      <c r="KSO168" s="153"/>
      <c r="KSP168" s="153"/>
      <c r="KSQ168" s="153"/>
      <c r="KSR168" s="153"/>
      <c r="KSS168" s="153"/>
      <c r="KST168" s="153"/>
      <c r="KSU168" s="153"/>
      <c r="KSV168" s="153"/>
      <c r="KSW168" s="153"/>
      <c r="KSX168" s="153"/>
      <c r="KSY168" s="153"/>
      <c r="KSZ168" s="153"/>
      <c r="KTA168" s="153"/>
      <c r="KTB168" s="153"/>
      <c r="KTC168" s="153"/>
      <c r="KTD168" s="153"/>
      <c r="KTE168" s="153"/>
      <c r="KTF168" s="153"/>
      <c r="KTG168" s="153"/>
      <c r="KTH168" s="153"/>
      <c r="KTI168" s="153"/>
      <c r="KTJ168" s="153"/>
      <c r="KTK168" s="153"/>
      <c r="KTL168" s="153"/>
      <c r="KTM168" s="153"/>
      <c r="KTN168" s="153"/>
      <c r="KTO168" s="153"/>
      <c r="KTP168" s="153"/>
      <c r="KTQ168" s="153"/>
      <c r="KTR168" s="153"/>
      <c r="KTS168" s="153"/>
      <c r="KTT168" s="153"/>
      <c r="KTU168" s="153"/>
      <c r="KTV168" s="153"/>
      <c r="KTW168" s="153"/>
      <c r="KTX168" s="153"/>
      <c r="KTY168" s="153"/>
      <c r="KTZ168" s="153"/>
      <c r="KUA168" s="153"/>
      <c r="KUB168" s="153"/>
      <c r="KUC168" s="153"/>
      <c r="KUD168" s="153"/>
      <c r="KUE168" s="153"/>
      <c r="KUF168" s="153"/>
      <c r="KUG168" s="153"/>
      <c r="KUH168" s="153"/>
      <c r="KUI168" s="153"/>
      <c r="KUJ168" s="153"/>
      <c r="KUK168" s="153"/>
      <c r="KUL168" s="153"/>
      <c r="KUM168" s="153"/>
      <c r="KUN168" s="153"/>
      <c r="KUO168" s="153"/>
      <c r="KUP168" s="153"/>
      <c r="KUQ168" s="153"/>
      <c r="KUR168" s="153"/>
      <c r="KUS168" s="153"/>
      <c r="KUT168" s="153"/>
      <c r="KUU168" s="153"/>
      <c r="KUV168" s="153"/>
      <c r="KUW168" s="153"/>
      <c r="KUX168" s="153"/>
      <c r="KUY168" s="153"/>
      <c r="KUZ168" s="153"/>
      <c r="KVA168" s="153"/>
      <c r="KVB168" s="153"/>
      <c r="KVC168" s="153"/>
      <c r="KVD168" s="153"/>
      <c r="KVE168" s="153"/>
      <c r="KVF168" s="153"/>
      <c r="KVG168" s="153"/>
      <c r="KVH168" s="153"/>
      <c r="KVI168" s="153"/>
      <c r="KVJ168" s="153"/>
      <c r="KVK168" s="153"/>
      <c r="KVL168" s="153"/>
      <c r="KVM168" s="153"/>
      <c r="KVN168" s="153"/>
      <c r="KVO168" s="153"/>
      <c r="KVP168" s="153"/>
      <c r="KVQ168" s="153"/>
      <c r="KVR168" s="153"/>
      <c r="KVS168" s="153"/>
      <c r="KVT168" s="153"/>
      <c r="KVU168" s="153"/>
      <c r="KVV168" s="153"/>
      <c r="KVW168" s="153"/>
      <c r="KVX168" s="153"/>
      <c r="KVY168" s="153"/>
      <c r="KVZ168" s="153"/>
      <c r="KWA168" s="153"/>
      <c r="KWB168" s="153"/>
      <c r="KWC168" s="153"/>
      <c r="KWD168" s="153"/>
      <c r="KWE168" s="153"/>
      <c r="KWF168" s="153"/>
      <c r="KWG168" s="153"/>
      <c r="KWH168" s="153"/>
      <c r="KWI168" s="153"/>
      <c r="KWJ168" s="153"/>
      <c r="KWK168" s="153"/>
      <c r="KWL168" s="153"/>
      <c r="KWM168" s="153"/>
      <c r="KWN168" s="153"/>
      <c r="KWO168" s="153"/>
      <c r="KWP168" s="153"/>
      <c r="KWQ168" s="153"/>
      <c r="KWR168" s="153"/>
      <c r="KWS168" s="153"/>
      <c r="KWT168" s="153"/>
      <c r="KWU168" s="153"/>
      <c r="KWV168" s="153"/>
      <c r="KWW168" s="153"/>
      <c r="KWX168" s="153"/>
      <c r="KWY168" s="153"/>
      <c r="KWZ168" s="153"/>
      <c r="KXA168" s="153"/>
      <c r="KXB168" s="153"/>
      <c r="KXC168" s="153"/>
      <c r="KXD168" s="153"/>
      <c r="KXE168" s="153"/>
      <c r="KXF168" s="153"/>
      <c r="KXG168" s="153"/>
      <c r="KXH168" s="153"/>
      <c r="KXI168" s="153"/>
      <c r="KXJ168" s="153"/>
      <c r="KXK168" s="153"/>
      <c r="KXL168" s="153"/>
      <c r="KXM168" s="153"/>
      <c r="KXN168" s="153"/>
      <c r="KXO168" s="153"/>
      <c r="KXP168" s="153"/>
      <c r="KXQ168" s="153"/>
      <c r="KXR168" s="153"/>
      <c r="KXS168" s="153"/>
      <c r="KXT168" s="153"/>
      <c r="KXU168" s="153"/>
      <c r="KXV168" s="153"/>
      <c r="KXW168" s="153"/>
      <c r="KXX168" s="153"/>
      <c r="KXY168" s="153"/>
      <c r="KXZ168" s="153"/>
      <c r="KYA168" s="153"/>
      <c r="KYB168" s="153"/>
      <c r="KYC168" s="153"/>
      <c r="KYD168" s="153"/>
      <c r="KYE168" s="153"/>
      <c r="KYF168" s="153"/>
      <c r="KYG168" s="153"/>
      <c r="KYH168" s="153"/>
      <c r="KYI168" s="153"/>
      <c r="KYJ168" s="153"/>
      <c r="KYK168" s="153"/>
      <c r="KYL168" s="153"/>
      <c r="KYM168" s="153"/>
      <c r="KYN168" s="153"/>
      <c r="KYO168" s="153"/>
      <c r="KYP168" s="153"/>
      <c r="KYQ168" s="153"/>
      <c r="KYR168" s="153"/>
      <c r="KYS168" s="153"/>
      <c r="KYT168" s="153"/>
      <c r="KYU168" s="153"/>
      <c r="KYV168" s="153"/>
      <c r="KYW168" s="153"/>
      <c r="KYX168" s="153"/>
      <c r="KYY168" s="153"/>
      <c r="KYZ168" s="153"/>
      <c r="KZA168" s="153"/>
      <c r="KZB168" s="153"/>
      <c r="KZC168" s="153"/>
      <c r="KZD168" s="153"/>
      <c r="KZE168" s="153"/>
      <c r="KZF168" s="153"/>
      <c r="KZG168" s="153"/>
      <c r="KZH168" s="153"/>
      <c r="KZI168" s="153"/>
      <c r="KZJ168" s="153"/>
      <c r="KZK168" s="153"/>
      <c r="KZL168" s="153"/>
      <c r="KZM168" s="153"/>
      <c r="KZN168" s="153"/>
      <c r="KZO168" s="153"/>
      <c r="KZP168" s="153"/>
      <c r="KZQ168" s="153"/>
      <c r="KZR168" s="153"/>
      <c r="KZS168" s="153"/>
      <c r="KZT168" s="153"/>
      <c r="KZU168" s="153"/>
      <c r="KZV168" s="153"/>
      <c r="KZW168" s="153"/>
      <c r="KZX168" s="153"/>
      <c r="KZY168" s="153"/>
      <c r="KZZ168" s="153"/>
      <c r="LAA168" s="153"/>
      <c r="LAB168" s="153"/>
      <c r="LAC168" s="153"/>
      <c r="LAD168" s="153"/>
      <c r="LAE168" s="153"/>
      <c r="LAF168" s="153"/>
      <c r="LAG168" s="153"/>
      <c r="LAH168" s="153"/>
      <c r="LAI168" s="153"/>
      <c r="LAJ168" s="153"/>
      <c r="LAK168" s="153"/>
      <c r="LAL168" s="153"/>
      <c r="LAM168" s="153"/>
      <c r="LAN168" s="153"/>
      <c r="LAO168" s="153"/>
      <c r="LAP168" s="153"/>
      <c r="LAQ168" s="153"/>
      <c r="LAR168" s="153"/>
      <c r="LAS168" s="153"/>
      <c r="LAT168" s="153"/>
      <c r="LAU168" s="153"/>
      <c r="LAV168" s="153"/>
      <c r="LAW168" s="153"/>
      <c r="LAX168" s="153"/>
      <c r="LAY168" s="153"/>
      <c r="LAZ168" s="153"/>
      <c r="LBA168" s="153"/>
      <c r="LBB168" s="153"/>
      <c r="LBC168" s="153"/>
      <c r="LBD168" s="153"/>
      <c r="LBE168" s="153"/>
      <c r="LBF168" s="153"/>
      <c r="LBG168" s="153"/>
      <c r="LBH168" s="153"/>
      <c r="LBI168" s="153"/>
      <c r="LBJ168" s="153"/>
      <c r="LBK168" s="153"/>
      <c r="LBL168" s="153"/>
      <c r="LBM168" s="153"/>
      <c r="LBN168" s="153"/>
      <c r="LBO168" s="153"/>
      <c r="LBP168" s="153"/>
      <c r="LBQ168" s="153"/>
      <c r="LBR168" s="153"/>
      <c r="LBS168" s="153"/>
      <c r="LBT168" s="153"/>
      <c r="LBU168" s="153"/>
      <c r="LBV168" s="153"/>
      <c r="LBW168" s="153"/>
      <c r="LBX168" s="153"/>
      <c r="LBY168" s="153"/>
      <c r="LBZ168" s="153"/>
      <c r="LCA168" s="153"/>
      <c r="LCB168" s="153"/>
      <c r="LCC168" s="153"/>
      <c r="LCD168" s="153"/>
      <c r="LCE168" s="153"/>
      <c r="LCF168" s="153"/>
      <c r="LCG168" s="153"/>
      <c r="LCH168" s="153"/>
      <c r="LCI168" s="153"/>
      <c r="LCJ168" s="153"/>
      <c r="LCK168" s="153"/>
      <c r="LCL168" s="153"/>
      <c r="LCM168" s="153"/>
      <c r="LCN168" s="153"/>
      <c r="LCO168" s="153"/>
      <c r="LCP168" s="153"/>
      <c r="LCQ168" s="153"/>
      <c r="LCR168" s="153"/>
      <c r="LCS168" s="153"/>
      <c r="LCT168" s="153"/>
      <c r="LCU168" s="153"/>
      <c r="LCV168" s="153"/>
      <c r="LCW168" s="153"/>
      <c r="LCX168" s="153"/>
      <c r="LCY168" s="153"/>
      <c r="LCZ168" s="153"/>
      <c r="LDA168" s="153"/>
      <c r="LDB168" s="153"/>
      <c r="LDC168" s="153"/>
      <c r="LDD168" s="153"/>
      <c r="LDE168" s="153"/>
      <c r="LDF168" s="153"/>
      <c r="LDG168" s="153"/>
      <c r="LDH168" s="153"/>
      <c r="LDI168" s="153"/>
      <c r="LDJ168" s="153"/>
      <c r="LDK168" s="153"/>
      <c r="LDL168" s="153"/>
      <c r="LDM168" s="153"/>
      <c r="LDN168" s="153"/>
      <c r="LDO168" s="153"/>
      <c r="LDP168" s="153"/>
      <c r="LDQ168" s="153"/>
      <c r="LDR168" s="153"/>
      <c r="LDS168" s="153"/>
      <c r="LDT168" s="153"/>
      <c r="LDU168" s="153"/>
      <c r="LDV168" s="153"/>
      <c r="LDW168" s="153"/>
      <c r="LDX168" s="153"/>
      <c r="LDY168" s="153"/>
      <c r="LDZ168" s="153"/>
      <c r="LEA168" s="153"/>
      <c r="LEB168" s="153"/>
      <c r="LEC168" s="153"/>
      <c r="LED168" s="153"/>
      <c r="LEE168" s="153"/>
      <c r="LEF168" s="153"/>
      <c r="LEG168" s="153"/>
      <c r="LEH168" s="153"/>
      <c r="LEI168" s="153"/>
      <c r="LEJ168" s="153"/>
      <c r="LEK168" s="153"/>
      <c r="LEL168" s="153"/>
      <c r="LEM168" s="153"/>
      <c r="LEN168" s="153"/>
      <c r="LEO168" s="153"/>
      <c r="LEP168" s="153"/>
      <c r="LEQ168" s="153"/>
      <c r="LER168" s="153"/>
      <c r="LES168" s="153"/>
      <c r="LET168" s="153"/>
      <c r="LEU168" s="153"/>
      <c r="LEV168" s="153"/>
      <c r="LEW168" s="153"/>
      <c r="LEX168" s="153"/>
      <c r="LEY168" s="153"/>
      <c r="LEZ168" s="153"/>
      <c r="LFA168" s="153"/>
      <c r="LFB168" s="153"/>
      <c r="LFC168" s="153"/>
      <c r="LFD168" s="153"/>
      <c r="LFE168" s="153"/>
      <c r="LFF168" s="153"/>
      <c r="LFG168" s="153"/>
      <c r="LFH168" s="153"/>
      <c r="LFI168" s="153"/>
      <c r="LFJ168" s="153"/>
      <c r="LFK168" s="153"/>
      <c r="LFL168" s="153"/>
      <c r="LFM168" s="153"/>
      <c r="LFN168" s="153"/>
      <c r="LFO168" s="153"/>
      <c r="LFP168" s="153"/>
      <c r="LFQ168" s="153"/>
      <c r="LFR168" s="153"/>
      <c r="LFS168" s="153"/>
      <c r="LFT168" s="153"/>
      <c r="LFU168" s="153"/>
      <c r="LFV168" s="153"/>
      <c r="LFW168" s="153"/>
      <c r="LFX168" s="153"/>
      <c r="LFY168" s="153"/>
      <c r="LFZ168" s="153"/>
      <c r="LGA168" s="153"/>
      <c r="LGB168" s="153"/>
      <c r="LGC168" s="153"/>
      <c r="LGD168" s="153"/>
      <c r="LGE168" s="153"/>
      <c r="LGF168" s="153"/>
      <c r="LGG168" s="153"/>
      <c r="LGH168" s="153"/>
      <c r="LGI168" s="153"/>
      <c r="LGJ168" s="153"/>
      <c r="LGK168" s="153"/>
      <c r="LGL168" s="153"/>
      <c r="LGM168" s="153"/>
      <c r="LGN168" s="153"/>
      <c r="LGO168" s="153"/>
      <c r="LGP168" s="153"/>
      <c r="LGQ168" s="153"/>
      <c r="LGR168" s="153"/>
      <c r="LGS168" s="153"/>
      <c r="LGT168" s="153"/>
      <c r="LGU168" s="153"/>
      <c r="LGV168" s="153"/>
      <c r="LGW168" s="153"/>
      <c r="LGX168" s="153"/>
      <c r="LGY168" s="153"/>
      <c r="LGZ168" s="153"/>
      <c r="LHA168" s="153"/>
      <c r="LHB168" s="153"/>
      <c r="LHC168" s="153"/>
      <c r="LHD168" s="153"/>
      <c r="LHE168" s="153"/>
      <c r="LHF168" s="153"/>
      <c r="LHG168" s="153"/>
      <c r="LHH168" s="153"/>
      <c r="LHI168" s="153"/>
      <c r="LHJ168" s="153"/>
      <c r="LHK168" s="153"/>
      <c r="LHL168" s="153"/>
      <c r="LHM168" s="153"/>
      <c r="LHN168" s="153"/>
      <c r="LHO168" s="153"/>
      <c r="LHP168" s="153"/>
      <c r="LHQ168" s="153"/>
      <c r="LHR168" s="153"/>
      <c r="LHS168" s="153"/>
      <c r="LHT168" s="153"/>
      <c r="LHU168" s="153"/>
      <c r="LHV168" s="153"/>
      <c r="LHW168" s="153"/>
      <c r="LHX168" s="153"/>
      <c r="LHY168" s="153"/>
      <c r="LHZ168" s="153"/>
      <c r="LIA168" s="153"/>
      <c r="LIB168" s="153"/>
      <c r="LIC168" s="153"/>
      <c r="LID168" s="153"/>
      <c r="LIE168" s="153"/>
      <c r="LIF168" s="153"/>
      <c r="LIG168" s="153"/>
      <c r="LIH168" s="153"/>
      <c r="LII168" s="153"/>
      <c r="LIJ168" s="153"/>
      <c r="LIK168" s="153"/>
      <c r="LIL168" s="153"/>
      <c r="LIM168" s="153"/>
      <c r="LIN168" s="153"/>
      <c r="LIO168" s="153"/>
      <c r="LIP168" s="153"/>
      <c r="LIQ168" s="153"/>
      <c r="LIR168" s="153"/>
      <c r="LIS168" s="153"/>
      <c r="LIT168" s="153"/>
      <c r="LIU168" s="153"/>
      <c r="LIV168" s="153"/>
      <c r="LIW168" s="153"/>
      <c r="LIX168" s="153"/>
      <c r="LIY168" s="153"/>
      <c r="LIZ168" s="153"/>
      <c r="LJA168" s="153"/>
      <c r="LJB168" s="153"/>
      <c r="LJC168" s="153"/>
      <c r="LJD168" s="153"/>
      <c r="LJE168" s="153"/>
      <c r="LJF168" s="153"/>
      <c r="LJG168" s="153"/>
      <c r="LJH168" s="153"/>
      <c r="LJI168" s="153"/>
      <c r="LJJ168" s="153"/>
      <c r="LJK168" s="153"/>
      <c r="LJL168" s="153"/>
      <c r="LJM168" s="153"/>
      <c r="LJN168" s="153"/>
      <c r="LJO168" s="153"/>
      <c r="LJP168" s="153"/>
      <c r="LJQ168" s="153"/>
      <c r="LJR168" s="153"/>
      <c r="LJS168" s="153"/>
      <c r="LJT168" s="153"/>
      <c r="LJU168" s="153"/>
      <c r="LJV168" s="153"/>
      <c r="LJW168" s="153"/>
      <c r="LJX168" s="153"/>
      <c r="LJY168" s="153"/>
      <c r="LJZ168" s="153"/>
      <c r="LKA168" s="153"/>
      <c r="LKB168" s="153"/>
      <c r="LKC168" s="153"/>
      <c r="LKD168" s="153"/>
      <c r="LKE168" s="153"/>
      <c r="LKF168" s="153"/>
      <c r="LKG168" s="153"/>
      <c r="LKH168" s="153"/>
      <c r="LKI168" s="153"/>
      <c r="LKJ168" s="153"/>
      <c r="LKK168" s="153"/>
      <c r="LKL168" s="153"/>
      <c r="LKM168" s="153"/>
      <c r="LKN168" s="153"/>
      <c r="LKO168" s="153"/>
      <c r="LKP168" s="153"/>
      <c r="LKQ168" s="153"/>
      <c r="LKR168" s="153"/>
      <c r="LKS168" s="153"/>
      <c r="LKT168" s="153"/>
      <c r="LKU168" s="153"/>
      <c r="LKV168" s="153"/>
      <c r="LKW168" s="153"/>
      <c r="LKX168" s="153"/>
      <c r="LKY168" s="153"/>
      <c r="LKZ168" s="153"/>
      <c r="LLA168" s="153"/>
      <c r="LLB168" s="153"/>
      <c r="LLC168" s="153"/>
      <c r="LLD168" s="153"/>
      <c r="LLE168" s="153"/>
      <c r="LLF168" s="153"/>
      <c r="LLG168" s="153"/>
      <c r="LLH168" s="153"/>
      <c r="LLI168" s="153"/>
      <c r="LLJ168" s="153"/>
      <c r="LLK168" s="153"/>
      <c r="LLL168" s="153"/>
      <c r="LLM168" s="153"/>
      <c r="LLN168" s="153"/>
      <c r="LLO168" s="153"/>
      <c r="LLP168" s="153"/>
      <c r="LLQ168" s="153"/>
      <c r="LLR168" s="153"/>
      <c r="LLS168" s="153"/>
      <c r="LLT168" s="153"/>
      <c r="LLU168" s="153"/>
      <c r="LLV168" s="153"/>
      <c r="LLW168" s="153"/>
      <c r="LLX168" s="153"/>
      <c r="LLY168" s="153"/>
      <c r="LLZ168" s="153"/>
      <c r="LMA168" s="153"/>
      <c r="LMB168" s="153"/>
      <c r="LMC168" s="153"/>
      <c r="LMD168" s="153"/>
      <c r="LME168" s="153"/>
      <c r="LMF168" s="153"/>
      <c r="LMG168" s="153"/>
      <c r="LMH168" s="153"/>
      <c r="LMI168" s="153"/>
      <c r="LMJ168" s="153"/>
      <c r="LMK168" s="153"/>
      <c r="LML168" s="153"/>
      <c r="LMM168" s="153"/>
      <c r="LMN168" s="153"/>
      <c r="LMO168" s="153"/>
      <c r="LMP168" s="153"/>
      <c r="LMQ168" s="153"/>
      <c r="LMR168" s="153"/>
      <c r="LMS168" s="153"/>
      <c r="LMT168" s="153"/>
      <c r="LMU168" s="153"/>
      <c r="LMV168" s="153"/>
      <c r="LMW168" s="153"/>
      <c r="LMX168" s="153"/>
      <c r="LMY168" s="153"/>
      <c r="LMZ168" s="153"/>
      <c r="LNA168" s="153"/>
      <c r="LNB168" s="153"/>
      <c r="LNC168" s="153"/>
      <c r="LND168" s="153"/>
      <c r="LNE168" s="153"/>
      <c r="LNF168" s="153"/>
      <c r="LNG168" s="153"/>
      <c r="LNH168" s="153"/>
      <c r="LNI168" s="153"/>
      <c r="LNJ168" s="153"/>
      <c r="LNK168" s="153"/>
      <c r="LNL168" s="153"/>
      <c r="LNM168" s="153"/>
      <c r="LNN168" s="153"/>
      <c r="LNO168" s="153"/>
      <c r="LNP168" s="153"/>
      <c r="LNQ168" s="153"/>
      <c r="LNR168" s="153"/>
      <c r="LNS168" s="153"/>
      <c r="LNT168" s="153"/>
      <c r="LNU168" s="153"/>
      <c r="LNV168" s="153"/>
      <c r="LNW168" s="153"/>
      <c r="LNX168" s="153"/>
      <c r="LNY168" s="153"/>
      <c r="LNZ168" s="153"/>
      <c r="LOA168" s="153"/>
      <c r="LOB168" s="153"/>
      <c r="LOC168" s="153"/>
      <c r="LOD168" s="153"/>
      <c r="LOE168" s="153"/>
      <c r="LOF168" s="153"/>
      <c r="LOG168" s="153"/>
      <c r="LOH168" s="153"/>
      <c r="LOI168" s="153"/>
      <c r="LOJ168" s="153"/>
      <c r="LOK168" s="153"/>
      <c r="LOL168" s="153"/>
      <c r="LOM168" s="153"/>
      <c r="LON168" s="153"/>
      <c r="LOO168" s="153"/>
      <c r="LOP168" s="153"/>
      <c r="LOQ168" s="153"/>
      <c r="LOR168" s="153"/>
      <c r="LOS168" s="153"/>
      <c r="LOT168" s="153"/>
      <c r="LOU168" s="153"/>
      <c r="LOV168" s="153"/>
      <c r="LOW168" s="153"/>
      <c r="LOX168" s="153"/>
      <c r="LOY168" s="153"/>
      <c r="LOZ168" s="153"/>
      <c r="LPA168" s="153"/>
      <c r="LPB168" s="153"/>
      <c r="LPC168" s="153"/>
      <c r="LPD168" s="153"/>
      <c r="LPE168" s="153"/>
      <c r="LPF168" s="153"/>
      <c r="LPG168" s="153"/>
      <c r="LPH168" s="153"/>
      <c r="LPI168" s="153"/>
      <c r="LPJ168" s="153"/>
      <c r="LPK168" s="153"/>
      <c r="LPL168" s="153"/>
      <c r="LPM168" s="153"/>
      <c r="LPN168" s="153"/>
      <c r="LPO168" s="153"/>
      <c r="LPP168" s="153"/>
      <c r="LPQ168" s="153"/>
      <c r="LPR168" s="153"/>
      <c r="LPS168" s="153"/>
      <c r="LPT168" s="153"/>
      <c r="LPU168" s="153"/>
      <c r="LPV168" s="153"/>
      <c r="LPW168" s="153"/>
      <c r="LPX168" s="153"/>
      <c r="LPY168" s="153"/>
      <c r="LPZ168" s="153"/>
      <c r="LQA168" s="153"/>
      <c r="LQB168" s="153"/>
      <c r="LQC168" s="153"/>
      <c r="LQD168" s="153"/>
      <c r="LQE168" s="153"/>
      <c r="LQF168" s="153"/>
      <c r="LQG168" s="153"/>
      <c r="LQH168" s="153"/>
      <c r="LQI168" s="153"/>
      <c r="LQJ168" s="153"/>
      <c r="LQK168" s="153"/>
      <c r="LQL168" s="153"/>
      <c r="LQM168" s="153"/>
      <c r="LQN168" s="153"/>
      <c r="LQO168" s="153"/>
      <c r="LQP168" s="153"/>
      <c r="LQQ168" s="153"/>
      <c r="LQR168" s="153"/>
      <c r="LQS168" s="153"/>
      <c r="LQT168" s="153"/>
      <c r="LQU168" s="153"/>
      <c r="LQV168" s="153"/>
      <c r="LQW168" s="153"/>
      <c r="LQX168" s="153"/>
      <c r="LQY168" s="153"/>
      <c r="LQZ168" s="153"/>
      <c r="LRA168" s="153"/>
      <c r="LRB168" s="153"/>
      <c r="LRC168" s="153"/>
      <c r="LRD168" s="153"/>
      <c r="LRE168" s="153"/>
      <c r="LRF168" s="153"/>
      <c r="LRG168" s="153"/>
      <c r="LRH168" s="153"/>
      <c r="LRI168" s="153"/>
      <c r="LRJ168" s="153"/>
      <c r="LRK168" s="153"/>
      <c r="LRL168" s="153"/>
      <c r="LRM168" s="153"/>
      <c r="LRN168" s="153"/>
      <c r="LRO168" s="153"/>
      <c r="LRP168" s="153"/>
      <c r="LRQ168" s="153"/>
      <c r="LRR168" s="153"/>
      <c r="LRS168" s="153"/>
      <c r="LRT168" s="153"/>
      <c r="LRU168" s="153"/>
      <c r="LRV168" s="153"/>
      <c r="LRW168" s="153"/>
      <c r="LRX168" s="153"/>
      <c r="LRY168" s="153"/>
      <c r="LRZ168" s="153"/>
      <c r="LSA168" s="153"/>
      <c r="LSB168" s="153"/>
      <c r="LSC168" s="153"/>
      <c r="LSD168" s="153"/>
      <c r="LSE168" s="153"/>
      <c r="LSF168" s="153"/>
      <c r="LSG168" s="153"/>
      <c r="LSH168" s="153"/>
      <c r="LSI168" s="153"/>
      <c r="LSJ168" s="153"/>
      <c r="LSK168" s="153"/>
      <c r="LSL168" s="153"/>
      <c r="LSM168" s="153"/>
      <c r="LSN168" s="153"/>
      <c r="LSO168" s="153"/>
      <c r="LSP168" s="153"/>
      <c r="LSQ168" s="153"/>
      <c r="LSR168" s="153"/>
      <c r="LSS168" s="153"/>
      <c r="LST168" s="153"/>
      <c r="LSU168" s="153"/>
      <c r="LSV168" s="153"/>
      <c r="LSW168" s="153"/>
      <c r="LSX168" s="153"/>
      <c r="LSY168" s="153"/>
      <c r="LSZ168" s="153"/>
      <c r="LTA168" s="153"/>
      <c r="LTB168" s="153"/>
      <c r="LTC168" s="153"/>
      <c r="LTD168" s="153"/>
      <c r="LTE168" s="153"/>
      <c r="LTF168" s="153"/>
      <c r="LTG168" s="153"/>
      <c r="LTH168" s="153"/>
      <c r="LTI168" s="153"/>
      <c r="LTJ168" s="153"/>
      <c r="LTK168" s="153"/>
      <c r="LTL168" s="153"/>
      <c r="LTM168" s="153"/>
      <c r="LTN168" s="153"/>
      <c r="LTO168" s="153"/>
      <c r="LTP168" s="153"/>
      <c r="LTQ168" s="153"/>
      <c r="LTR168" s="153"/>
      <c r="LTS168" s="153"/>
      <c r="LTT168" s="153"/>
      <c r="LTU168" s="153"/>
      <c r="LTV168" s="153"/>
      <c r="LTW168" s="153"/>
      <c r="LTX168" s="153"/>
      <c r="LTY168" s="153"/>
      <c r="LTZ168" s="153"/>
      <c r="LUA168" s="153"/>
      <c r="LUB168" s="153"/>
      <c r="LUC168" s="153"/>
      <c r="LUD168" s="153"/>
      <c r="LUE168" s="153"/>
      <c r="LUF168" s="153"/>
      <c r="LUG168" s="153"/>
      <c r="LUH168" s="153"/>
      <c r="LUI168" s="153"/>
      <c r="LUJ168" s="153"/>
      <c r="LUK168" s="153"/>
      <c r="LUL168" s="153"/>
      <c r="LUM168" s="153"/>
      <c r="LUN168" s="153"/>
      <c r="LUO168" s="153"/>
      <c r="LUP168" s="153"/>
      <c r="LUQ168" s="153"/>
      <c r="LUR168" s="153"/>
      <c r="LUS168" s="153"/>
      <c r="LUT168" s="153"/>
      <c r="LUU168" s="153"/>
      <c r="LUV168" s="153"/>
      <c r="LUW168" s="153"/>
      <c r="LUX168" s="153"/>
      <c r="LUY168" s="153"/>
      <c r="LUZ168" s="153"/>
      <c r="LVA168" s="153"/>
      <c r="LVB168" s="153"/>
      <c r="LVC168" s="153"/>
      <c r="LVD168" s="153"/>
      <c r="LVE168" s="153"/>
      <c r="LVF168" s="153"/>
      <c r="LVG168" s="153"/>
      <c r="LVH168" s="153"/>
      <c r="LVI168" s="153"/>
      <c r="LVJ168" s="153"/>
      <c r="LVK168" s="153"/>
      <c r="LVL168" s="153"/>
      <c r="LVM168" s="153"/>
      <c r="LVN168" s="153"/>
      <c r="LVO168" s="153"/>
      <c r="LVP168" s="153"/>
      <c r="LVQ168" s="153"/>
      <c r="LVR168" s="153"/>
      <c r="LVS168" s="153"/>
      <c r="LVT168" s="153"/>
      <c r="LVU168" s="153"/>
      <c r="LVV168" s="153"/>
      <c r="LVW168" s="153"/>
      <c r="LVX168" s="153"/>
      <c r="LVY168" s="153"/>
      <c r="LVZ168" s="153"/>
      <c r="LWA168" s="153"/>
      <c r="LWB168" s="153"/>
      <c r="LWC168" s="153"/>
      <c r="LWD168" s="153"/>
      <c r="LWE168" s="153"/>
      <c r="LWF168" s="153"/>
      <c r="LWG168" s="153"/>
      <c r="LWH168" s="153"/>
      <c r="LWI168" s="153"/>
      <c r="LWJ168" s="153"/>
      <c r="LWK168" s="153"/>
      <c r="LWL168" s="153"/>
      <c r="LWM168" s="153"/>
      <c r="LWN168" s="153"/>
      <c r="LWO168" s="153"/>
      <c r="LWP168" s="153"/>
      <c r="LWQ168" s="153"/>
      <c r="LWR168" s="153"/>
      <c r="LWS168" s="153"/>
      <c r="LWT168" s="153"/>
      <c r="LWU168" s="153"/>
      <c r="LWV168" s="153"/>
      <c r="LWW168" s="153"/>
      <c r="LWX168" s="153"/>
      <c r="LWY168" s="153"/>
      <c r="LWZ168" s="153"/>
      <c r="LXA168" s="153"/>
      <c r="LXB168" s="153"/>
      <c r="LXC168" s="153"/>
      <c r="LXD168" s="153"/>
      <c r="LXE168" s="153"/>
      <c r="LXF168" s="153"/>
      <c r="LXG168" s="153"/>
      <c r="LXH168" s="153"/>
      <c r="LXI168" s="153"/>
      <c r="LXJ168" s="153"/>
      <c r="LXK168" s="153"/>
      <c r="LXL168" s="153"/>
      <c r="LXM168" s="153"/>
      <c r="LXN168" s="153"/>
      <c r="LXO168" s="153"/>
      <c r="LXP168" s="153"/>
      <c r="LXQ168" s="153"/>
      <c r="LXR168" s="153"/>
      <c r="LXS168" s="153"/>
      <c r="LXT168" s="153"/>
      <c r="LXU168" s="153"/>
      <c r="LXV168" s="153"/>
      <c r="LXW168" s="153"/>
      <c r="LXX168" s="153"/>
      <c r="LXY168" s="153"/>
      <c r="LXZ168" s="153"/>
      <c r="LYA168" s="153"/>
      <c r="LYB168" s="153"/>
      <c r="LYC168" s="153"/>
      <c r="LYD168" s="153"/>
      <c r="LYE168" s="153"/>
      <c r="LYF168" s="153"/>
      <c r="LYG168" s="153"/>
      <c r="LYH168" s="153"/>
      <c r="LYI168" s="153"/>
      <c r="LYJ168" s="153"/>
      <c r="LYK168" s="153"/>
      <c r="LYL168" s="153"/>
      <c r="LYM168" s="153"/>
      <c r="LYN168" s="153"/>
      <c r="LYO168" s="153"/>
      <c r="LYP168" s="153"/>
      <c r="LYQ168" s="153"/>
      <c r="LYR168" s="153"/>
      <c r="LYS168" s="153"/>
      <c r="LYT168" s="153"/>
      <c r="LYU168" s="153"/>
      <c r="LYV168" s="153"/>
      <c r="LYW168" s="153"/>
      <c r="LYX168" s="153"/>
      <c r="LYY168" s="153"/>
      <c r="LYZ168" s="153"/>
      <c r="LZA168" s="153"/>
      <c r="LZB168" s="153"/>
      <c r="LZC168" s="153"/>
      <c r="LZD168" s="153"/>
      <c r="LZE168" s="153"/>
      <c r="LZF168" s="153"/>
      <c r="LZG168" s="153"/>
      <c r="LZH168" s="153"/>
      <c r="LZI168" s="153"/>
      <c r="LZJ168" s="153"/>
      <c r="LZK168" s="153"/>
      <c r="LZL168" s="153"/>
      <c r="LZM168" s="153"/>
      <c r="LZN168" s="153"/>
      <c r="LZO168" s="153"/>
      <c r="LZP168" s="153"/>
      <c r="LZQ168" s="153"/>
      <c r="LZR168" s="153"/>
      <c r="LZS168" s="153"/>
      <c r="LZT168" s="153"/>
      <c r="LZU168" s="153"/>
      <c r="LZV168" s="153"/>
      <c r="LZW168" s="153"/>
      <c r="LZX168" s="153"/>
      <c r="LZY168" s="153"/>
      <c r="LZZ168" s="153"/>
      <c r="MAA168" s="153"/>
      <c r="MAB168" s="153"/>
      <c r="MAC168" s="153"/>
      <c r="MAD168" s="153"/>
      <c r="MAE168" s="153"/>
      <c r="MAF168" s="153"/>
      <c r="MAG168" s="153"/>
      <c r="MAH168" s="153"/>
      <c r="MAI168" s="153"/>
      <c r="MAJ168" s="153"/>
      <c r="MAK168" s="153"/>
      <c r="MAL168" s="153"/>
      <c r="MAM168" s="153"/>
      <c r="MAN168" s="153"/>
      <c r="MAO168" s="153"/>
      <c r="MAP168" s="153"/>
      <c r="MAQ168" s="153"/>
      <c r="MAR168" s="153"/>
      <c r="MAS168" s="153"/>
      <c r="MAT168" s="153"/>
      <c r="MAU168" s="153"/>
      <c r="MAV168" s="153"/>
      <c r="MAW168" s="153"/>
      <c r="MAX168" s="153"/>
      <c r="MAY168" s="153"/>
      <c r="MAZ168" s="153"/>
      <c r="MBA168" s="153"/>
      <c r="MBB168" s="153"/>
      <c r="MBC168" s="153"/>
      <c r="MBD168" s="153"/>
      <c r="MBE168" s="153"/>
      <c r="MBF168" s="153"/>
      <c r="MBG168" s="153"/>
      <c r="MBH168" s="153"/>
      <c r="MBI168" s="153"/>
      <c r="MBJ168" s="153"/>
      <c r="MBK168" s="153"/>
      <c r="MBL168" s="153"/>
      <c r="MBM168" s="153"/>
      <c r="MBN168" s="153"/>
      <c r="MBO168" s="153"/>
      <c r="MBP168" s="153"/>
      <c r="MBQ168" s="153"/>
      <c r="MBR168" s="153"/>
      <c r="MBS168" s="153"/>
      <c r="MBT168" s="153"/>
      <c r="MBU168" s="153"/>
      <c r="MBV168" s="153"/>
      <c r="MBW168" s="153"/>
      <c r="MBX168" s="153"/>
      <c r="MBY168" s="153"/>
      <c r="MBZ168" s="153"/>
      <c r="MCA168" s="153"/>
      <c r="MCB168" s="153"/>
      <c r="MCC168" s="153"/>
      <c r="MCD168" s="153"/>
      <c r="MCE168" s="153"/>
      <c r="MCF168" s="153"/>
      <c r="MCG168" s="153"/>
      <c r="MCH168" s="153"/>
      <c r="MCI168" s="153"/>
      <c r="MCJ168" s="153"/>
      <c r="MCK168" s="153"/>
      <c r="MCL168" s="153"/>
      <c r="MCM168" s="153"/>
      <c r="MCN168" s="153"/>
      <c r="MCO168" s="153"/>
      <c r="MCP168" s="153"/>
      <c r="MCQ168" s="153"/>
      <c r="MCR168" s="153"/>
      <c r="MCS168" s="153"/>
      <c r="MCT168" s="153"/>
      <c r="MCU168" s="153"/>
      <c r="MCV168" s="153"/>
      <c r="MCW168" s="153"/>
      <c r="MCX168" s="153"/>
      <c r="MCY168" s="153"/>
      <c r="MCZ168" s="153"/>
      <c r="MDA168" s="153"/>
      <c r="MDB168" s="153"/>
      <c r="MDC168" s="153"/>
      <c r="MDD168" s="153"/>
      <c r="MDE168" s="153"/>
      <c r="MDF168" s="153"/>
      <c r="MDG168" s="153"/>
      <c r="MDH168" s="153"/>
      <c r="MDI168" s="153"/>
      <c r="MDJ168" s="153"/>
      <c r="MDK168" s="153"/>
      <c r="MDL168" s="153"/>
      <c r="MDM168" s="153"/>
      <c r="MDN168" s="153"/>
      <c r="MDO168" s="153"/>
      <c r="MDP168" s="153"/>
      <c r="MDQ168" s="153"/>
      <c r="MDR168" s="153"/>
      <c r="MDS168" s="153"/>
      <c r="MDT168" s="153"/>
      <c r="MDU168" s="153"/>
      <c r="MDV168" s="153"/>
      <c r="MDW168" s="153"/>
      <c r="MDX168" s="153"/>
      <c r="MDY168" s="153"/>
      <c r="MDZ168" s="153"/>
      <c r="MEA168" s="153"/>
      <c r="MEB168" s="153"/>
      <c r="MEC168" s="153"/>
      <c r="MED168" s="153"/>
      <c r="MEE168" s="153"/>
      <c r="MEF168" s="153"/>
      <c r="MEG168" s="153"/>
      <c r="MEH168" s="153"/>
      <c r="MEI168" s="153"/>
      <c r="MEJ168" s="153"/>
      <c r="MEK168" s="153"/>
      <c r="MEL168" s="153"/>
      <c r="MEM168" s="153"/>
      <c r="MEN168" s="153"/>
      <c r="MEO168" s="153"/>
      <c r="MEP168" s="153"/>
      <c r="MEQ168" s="153"/>
      <c r="MER168" s="153"/>
      <c r="MES168" s="153"/>
      <c r="MET168" s="153"/>
      <c r="MEU168" s="153"/>
      <c r="MEV168" s="153"/>
      <c r="MEW168" s="153"/>
      <c r="MEX168" s="153"/>
      <c r="MEY168" s="153"/>
      <c r="MEZ168" s="153"/>
      <c r="MFA168" s="153"/>
      <c r="MFB168" s="153"/>
      <c r="MFC168" s="153"/>
      <c r="MFD168" s="153"/>
      <c r="MFE168" s="153"/>
      <c r="MFF168" s="153"/>
      <c r="MFG168" s="153"/>
      <c r="MFH168" s="153"/>
      <c r="MFI168" s="153"/>
      <c r="MFJ168" s="153"/>
      <c r="MFK168" s="153"/>
      <c r="MFL168" s="153"/>
      <c r="MFM168" s="153"/>
      <c r="MFN168" s="153"/>
      <c r="MFO168" s="153"/>
      <c r="MFP168" s="153"/>
      <c r="MFQ168" s="153"/>
      <c r="MFR168" s="153"/>
      <c r="MFS168" s="153"/>
      <c r="MFT168" s="153"/>
      <c r="MFU168" s="153"/>
      <c r="MFV168" s="153"/>
      <c r="MFW168" s="153"/>
      <c r="MFX168" s="153"/>
      <c r="MFY168" s="153"/>
      <c r="MFZ168" s="153"/>
      <c r="MGA168" s="153"/>
      <c r="MGB168" s="153"/>
      <c r="MGC168" s="153"/>
      <c r="MGD168" s="153"/>
      <c r="MGE168" s="153"/>
      <c r="MGF168" s="153"/>
      <c r="MGG168" s="153"/>
      <c r="MGH168" s="153"/>
      <c r="MGI168" s="153"/>
      <c r="MGJ168" s="153"/>
      <c r="MGK168" s="153"/>
      <c r="MGL168" s="153"/>
      <c r="MGM168" s="153"/>
      <c r="MGN168" s="153"/>
      <c r="MGO168" s="153"/>
      <c r="MGP168" s="153"/>
      <c r="MGQ168" s="153"/>
      <c r="MGR168" s="153"/>
      <c r="MGS168" s="153"/>
      <c r="MGT168" s="153"/>
      <c r="MGU168" s="153"/>
      <c r="MGV168" s="153"/>
      <c r="MGW168" s="153"/>
      <c r="MGX168" s="153"/>
      <c r="MGY168" s="153"/>
      <c r="MGZ168" s="153"/>
      <c r="MHA168" s="153"/>
      <c r="MHB168" s="153"/>
      <c r="MHC168" s="153"/>
      <c r="MHD168" s="153"/>
      <c r="MHE168" s="153"/>
      <c r="MHF168" s="153"/>
      <c r="MHG168" s="153"/>
      <c r="MHH168" s="153"/>
      <c r="MHI168" s="153"/>
      <c r="MHJ168" s="153"/>
      <c r="MHK168" s="153"/>
      <c r="MHL168" s="153"/>
      <c r="MHM168" s="153"/>
      <c r="MHN168" s="153"/>
      <c r="MHO168" s="153"/>
      <c r="MHP168" s="153"/>
      <c r="MHQ168" s="153"/>
      <c r="MHR168" s="153"/>
      <c r="MHS168" s="153"/>
      <c r="MHT168" s="153"/>
      <c r="MHU168" s="153"/>
      <c r="MHV168" s="153"/>
      <c r="MHW168" s="153"/>
      <c r="MHX168" s="153"/>
      <c r="MHY168" s="153"/>
      <c r="MHZ168" s="153"/>
      <c r="MIA168" s="153"/>
      <c r="MIB168" s="153"/>
      <c r="MIC168" s="153"/>
      <c r="MID168" s="153"/>
      <c r="MIE168" s="153"/>
      <c r="MIF168" s="153"/>
      <c r="MIG168" s="153"/>
      <c r="MIH168" s="153"/>
      <c r="MII168" s="153"/>
      <c r="MIJ168" s="153"/>
      <c r="MIK168" s="153"/>
      <c r="MIL168" s="153"/>
      <c r="MIM168" s="153"/>
      <c r="MIN168" s="153"/>
      <c r="MIO168" s="153"/>
      <c r="MIP168" s="153"/>
      <c r="MIQ168" s="153"/>
      <c r="MIR168" s="153"/>
      <c r="MIS168" s="153"/>
      <c r="MIT168" s="153"/>
      <c r="MIU168" s="153"/>
      <c r="MIV168" s="153"/>
      <c r="MIW168" s="153"/>
      <c r="MIX168" s="153"/>
      <c r="MIY168" s="153"/>
      <c r="MIZ168" s="153"/>
      <c r="MJA168" s="153"/>
      <c r="MJB168" s="153"/>
      <c r="MJC168" s="153"/>
      <c r="MJD168" s="153"/>
      <c r="MJE168" s="153"/>
      <c r="MJF168" s="153"/>
      <c r="MJG168" s="153"/>
      <c r="MJH168" s="153"/>
      <c r="MJI168" s="153"/>
      <c r="MJJ168" s="153"/>
      <c r="MJK168" s="153"/>
      <c r="MJL168" s="153"/>
      <c r="MJM168" s="153"/>
      <c r="MJN168" s="153"/>
      <c r="MJO168" s="153"/>
      <c r="MJP168" s="153"/>
      <c r="MJQ168" s="153"/>
      <c r="MJR168" s="153"/>
      <c r="MJS168" s="153"/>
      <c r="MJT168" s="153"/>
      <c r="MJU168" s="153"/>
      <c r="MJV168" s="153"/>
      <c r="MJW168" s="153"/>
      <c r="MJX168" s="153"/>
      <c r="MJY168" s="153"/>
      <c r="MJZ168" s="153"/>
      <c r="MKA168" s="153"/>
      <c r="MKB168" s="153"/>
      <c r="MKC168" s="153"/>
      <c r="MKD168" s="153"/>
      <c r="MKE168" s="153"/>
      <c r="MKF168" s="153"/>
      <c r="MKG168" s="153"/>
      <c r="MKH168" s="153"/>
      <c r="MKI168" s="153"/>
      <c r="MKJ168" s="153"/>
      <c r="MKK168" s="153"/>
      <c r="MKL168" s="153"/>
      <c r="MKM168" s="153"/>
      <c r="MKN168" s="153"/>
      <c r="MKO168" s="153"/>
      <c r="MKP168" s="153"/>
      <c r="MKQ168" s="153"/>
      <c r="MKR168" s="153"/>
      <c r="MKS168" s="153"/>
      <c r="MKT168" s="153"/>
      <c r="MKU168" s="153"/>
      <c r="MKV168" s="153"/>
      <c r="MKW168" s="153"/>
      <c r="MKX168" s="153"/>
      <c r="MKY168" s="153"/>
      <c r="MKZ168" s="153"/>
      <c r="MLA168" s="153"/>
      <c r="MLB168" s="153"/>
      <c r="MLC168" s="153"/>
      <c r="MLD168" s="153"/>
      <c r="MLE168" s="153"/>
      <c r="MLF168" s="153"/>
      <c r="MLG168" s="153"/>
      <c r="MLH168" s="153"/>
      <c r="MLI168" s="153"/>
      <c r="MLJ168" s="153"/>
      <c r="MLK168" s="153"/>
      <c r="MLL168" s="153"/>
      <c r="MLM168" s="153"/>
      <c r="MLN168" s="153"/>
      <c r="MLO168" s="153"/>
      <c r="MLP168" s="153"/>
      <c r="MLQ168" s="153"/>
      <c r="MLR168" s="153"/>
      <c r="MLS168" s="153"/>
      <c r="MLT168" s="153"/>
      <c r="MLU168" s="153"/>
      <c r="MLV168" s="153"/>
      <c r="MLW168" s="153"/>
      <c r="MLX168" s="153"/>
      <c r="MLY168" s="153"/>
      <c r="MLZ168" s="153"/>
      <c r="MMA168" s="153"/>
      <c r="MMB168" s="153"/>
      <c r="MMC168" s="153"/>
      <c r="MMD168" s="153"/>
      <c r="MME168" s="153"/>
      <c r="MMF168" s="153"/>
      <c r="MMG168" s="153"/>
      <c r="MMH168" s="153"/>
      <c r="MMI168" s="153"/>
      <c r="MMJ168" s="153"/>
      <c r="MMK168" s="153"/>
      <c r="MML168" s="153"/>
      <c r="MMM168" s="153"/>
      <c r="MMN168" s="153"/>
      <c r="MMO168" s="153"/>
      <c r="MMP168" s="153"/>
      <c r="MMQ168" s="153"/>
      <c r="MMR168" s="153"/>
      <c r="MMS168" s="153"/>
      <c r="MMT168" s="153"/>
      <c r="MMU168" s="153"/>
      <c r="MMV168" s="153"/>
      <c r="MMW168" s="153"/>
      <c r="MMX168" s="153"/>
      <c r="MMY168" s="153"/>
      <c r="MMZ168" s="153"/>
      <c r="MNA168" s="153"/>
      <c r="MNB168" s="153"/>
      <c r="MNC168" s="153"/>
      <c r="MND168" s="153"/>
      <c r="MNE168" s="153"/>
      <c r="MNF168" s="153"/>
      <c r="MNG168" s="153"/>
      <c r="MNH168" s="153"/>
      <c r="MNI168" s="153"/>
      <c r="MNJ168" s="153"/>
      <c r="MNK168" s="153"/>
      <c r="MNL168" s="153"/>
      <c r="MNM168" s="153"/>
      <c r="MNN168" s="153"/>
      <c r="MNO168" s="153"/>
      <c r="MNP168" s="153"/>
      <c r="MNQ168" s="153"/>
      <c r="MNR168" s="153"/>
      <c r="MNS168" s="153"/>
      <c r="MNT168" s="153"/>
      <c r="MNU168" s="153"/>
      <c r="MNV168" s="153"/>
      <c r="MNW168" s="153"/>
      <c r="MNX168" s="153"/>
      <c r="MNY168" s="153"/>
      <c r="MNZ168" s="153"/>
      <c r="MOA168" s="153"/>
      <c r="MOB168" s="153"/>
      <c r="MOC168" s="153"/>
      <c r="MOD168" s="153"/>
      <c r="MOE168" s="153"/>
      <c r="MOF168" s="153"/>
      <c r="MOG168" s="153"/>
      <c r="MOH168" s="153"/>
      <c r="MOI168" s="153"/>
      <c r="MOJ168" s="153"/>
      <c r="MOK168" s="153"/>
      <c r="MOL168" s="153"/>
      <c r="MOM168" s="153"/>
      <c r="MON168" s="153"/>
      <c r="MOO168" s="153"/>
      <c r="MOP168" s="153"/>
      <c r="MOQ168" s="153"/>
      <c r="MOR168" s="153"/>
      <c r="MOS168" s="153"/>
      <c r="MOT168" s="153"/>
      <c r="MOU168" s="153"/>
      <c r="MOV168" s="153"/>
      <c r="MOW168" s="153"/>
      <c r="MOX168" s="153"/>
      <c r="MOY168" s="153"/>
      <c r="MOZ168" s="153"/>
      <c r="MPA168" s="153"/>
      <c r="MPB168" s="153"/>
      <c r="MPC168" s="153"/>
      <c r="MPD168" s="153"/>
      <c r="MPE168" s="153"/>
      <c r="MPF168" s="153"/>
      <c r="MPG168" s="153"/>
      <c r="MPH168" s="153"/>
      <c r="MPI168" s="153"/>
      <c r="MPJ168" s="153"/>
      <c r="MPK168" s="153"/>
      <c r="MPL168" s="153"/>
      <c r="MPM168" s="153"/>
      <c r="MPN168" s="153"/>
      <c r="MPO168" s="153"/>
      <c r="MPP168" s="153"/>
      <c r="MPQ168" s="153"/>
      <c r="MPR168" s="153"/>
      <c r="MPS168" s="153"/>
      <c r="MPT168" s="153"/>
      <c r="MPU168" s="153"/>
      <c r="MPV168" s="153"/>
      <c r="MPW168" s="153"/>
      <c r="MPX168" s="153"/>
      <c r="MPY168" s="153"/>
      <c r="MPZ168" s="153"/>
      <c r="MQA168" s="153"/>
      <c r="MQB168" s="153"/>
      <c r="MQC168" s="153"/>
      <c r="MQD168" s="153"/>
      <c r="MQE168" s="153"/>
      <c r="MQF168" s="153"/>
      <c r="MQG168" s="153"/>
      <c r="MQH168" s="153"/>
      <c r="MQI168" s="153"/>
      <c r="MQJ168" s="153"/>
      <c r="MQK168" s="153"/>
      <c r="MQL168" s="153"/>
      <c r="MQM168" s="153"/>
      <c r="MQN168" s="153"/>
      <c r="MQO168" s="153"/>
      <c r="MQP168" s="153"/>
      <c r="MQQ168" s="153"/>
      <c r="MQR168" s="153"/>
      <c r="MQS168" s="153"/>
      <c r="MQT168" s="153"/>
      <c r="MQU168" s="153"/>
      <c r="MQV168" s="153"/>
      <c r="MQW168" s="153"/>
      <c r="MQX168" s="153"/>
      <c r="MQY168" s="153"/>
      <c r="MQZ168" s="153"/>
      <c r="MRA168" s="153"/>
      <c r="MRB168" s="153"/>
      <c r="MRC168" s="153"/>
      <c r="MRD168" s="153"/>
      <c r="MRE168" s="153"/>
      <c r="MRF168" s="153"/>
      <c r="MRG168" s="153"/>
      <c r="MRH168" s="153"/>
      <c r="MRI168" s="153"/>
      <c r="MRJ168" s="153"/>
      <c r="MRK168" s="153"/>
      <c r="MRL168" s="153"/>
      <c r="MRM168" s="153"/>
      <c r="MRN168" s="153"/>
      <c r="MRO168" s="153"/>
      <c r="MRP168" s="153"/>
      <c r="MRQ168" s="153"/>
      <c r="MRR168" s="153"/>
      <c r="MRS168" s="153"/>
      <c r="MRT168" s="153"/>
      <c r="MRU168" s="153"/>
      <c r="MRV168" s="153"/>
      <c r="MRW168" s="153"/>
      <c r="MRX168" s="153"/>
      <c r="MRY168" s="153"/>
      <c r="MRZ168" s="153"/>
      <c r="MSA168" s="153"/>
      <c r="MSB168" s="153"/>
      <c r="MSC168" s="153"/>
      <c r="MSD168" s="153"/>
      <c r="MSE168" s="153"/>
      <c r="MSF168" s="153"/>
      <c r="MSG168" s="153"/>
      <c r="MSH168" s="153"/>
      <c r="MSI168" s="153"/>
      <c r="MSJ168" s="153"/>
      <c r="MSK168" s="153"/>
      <c r="MSL168" s="153"/>
      <c r="MSM168" s="153"/>
      <c r="MSN168" s="153"/>
      <c r="MSO168" s="153"/>
      <c r="MSP168" s="153"/>
      <c r="MSQ168" s="153"/>
      <c r="MSR168" s="153"/>
      <c r="MSS168" s="153"/>
      <c r="MST168" s="153"/>
      <c r="MSU168" s="153"/>
      <c r="MSV168" s="153"/>
      <c r="MSW168" s="153"/>
      <c r="MSX168" s="153"/>
      <c r="MSY168" s="153"/>
      <c r="MSZ168" s="153"/>
      <c r="MTA168" s="153"/>
      <c r="MTB168" s="153"/>
      <c r="MTC168" s="153"/>
      <c r="MTD168" s="153"/>
      <c r="MTE168" s="153"/>
      <c r="MTF168" s="153"/>
      <c r="MTG168" s="153"/>
      <c r="MTH168" s="153"/>
      <c r="MTI168" s="153"/>
      <c r="MTJ168" s="153"/>
      <c r="MTK168" s="153"/>
      <c r="MTL168" s="153"/>
      <c r="MTM168" s="153"/>
      <c r="MTN168" s="153"/>
      <c r="MTO168" s="153"/>
      <c r="MTP168" s="153"/>
      <c r="MTQ168" s="153"/>
      <c r="MTR168" s="153"/>
      <c r="MTS168" s="153"/>
      <c r="MTT168" s="153"/>
      <c r="MTU168" s="153"/>
      <c r="MTV168" s="153"/>
      <c r="MTW168" s="153"/>
      <c r="MTX168" s="153"/>
      <c r="MTY168" s="153"/>
      <c r="MTZ168" s="153"/>
      <c r="MUA168" s="153"/>
      <c r="MUB168" s="153"/>
      <c r="MUC168" s="153"/>
      <c r="MUD168" s="153"/>
      <c r="MUE168" s="153"/>
      <c r="MUF168" s="153"/>
      <c r="MUG168" s="153"/>
      <c r="MUH168" s="153"/>
      <c r="MUI168" s="153"/>
      <c r="MUJ168" s="153"/>
      <c r="MUK168" s="153"/>
      <c r="MUL168" s="153"/>
      <c r="MUM168" s="153"/>
      <c r="MUN168" s="153"/>
      <c r="MUO168" s="153"/>
      <c r="MUP168" s="153"/>
      <c r="MUQ168" s="153"/>
      <c r="MUR168" s="153"/>
      <c r="MUS168" s="153"/>
      <c r="MUT168" s="153"/>
      <c r="MUU168" s="153"/>
      <c r="MUV168" s="153"/>
      <c r="MUW168" s="153"/>
      <c r="MUX168" s="153"/>
      <c r="MUY168" s="153"/>
      <c r="MUZ168" s="153"/>
      <c r="MVA168" s="153"/>
      <c r="MVB168" s="153"/>
      <c r="MVC168" s="153"/>
      <c r="MVD168" s="153"/>
      <c r="MVE168" s="153"/>
      <c r="MVF168" s="153"/>
      <c r="MVG168" s="153"/>
      <c r="MVH168" s="153"/>
      <c r="MVI168" s="153"/>
      <c r="MVJ168" s="153"/>
      <c r="MVK168" s="153"/>
      <c r="MVL168" s="153"/>
      <c r="MVM168" s="153"/>
      <c r="MVN168" s="153"/>
      <c r="MVO168" s="153"/>
      <c r="MVP168" s="153"/>
      <c r="MVQ168" s="153"/>
      <c r="MVR168" s="153"/>
      <c r="MVS168" s="153"/>
      <c r="MVT168" s="153"/>
      <c r="MVU168" s="153"/>
      <c r="MVV168" s="153"/>
      <c r="MVW168" s="153"/>
      <c r="MVX168" s="153"/>
      <c r="MVY168" s="153"/>
      <c r="MVZ168" s="153"/>
      <c r="MWA168" s="153"/>
      <c r="MWB168" s="153"/>
      <c r="MWC168" s="153"/>
      <c r="MWD168" s="153"/>
      <c r="MWE168" s="153"/>
      <c r="MWF168" s="153"/>
      <c r="MWG168" s="153"/>
      <c r="MWH168" s="153"/>
      <c r="MWI168" s="153"/>
      <c r="MWJ168" s="153"/>
      <c r="MWK168" s="153"/>
      <c r="MWL168" s="153"/>
      <c r="MWM168" s="153"/>
      <c r="MWN168" s="153"/>
      <c r="MWO168" s="153"/>
      <c r="MWP168" s="153"/>
      <c r="MWQ168" s="153"/>
      <c r="MWR168" s="153"/>
      <c r="MWS168" s="153"/>
      <c r="MWT168" s="153"/>
      <c r="MWU168" s="153"/>
      <c r="MWV168" s="153"/>
      <c r="MWW168" s="153"/>
      <c r="MWX168" s="153"/>
      <c r="MWY168" s="153"/>
      <c r="MWZ168" s="153"/>
      <c r="MXA168" s="153"/>
      <c r="MXB168" s="153"/>
      <c r="MXC168" s="153"/>
      <c r="MXD168" s="153"/>
      <c r="MXE168" s="153"/>
      <c r="MXF168" s="153"/>
      <c r="MXG168" s="153"/>
      <c r="MXH168" s="153"/>
      <c r="MXI168" s="153"/>
      <c r="MXJ168" s="153"/>
      <c r="MXK168" s="153"/>
      <c r="MXL168" s="153"/>
      <c r="MXM168" s="153"/>
      <c r="MXN168" s="153"/>
      <c r="MXO168" s="153"/>
      <c r="MXP168" s="153"/>
      <c r="MXQ168" s="153"/>
      <c r="MXR168" s="153"/>
      <c r="MXS168" s="153"/>
      <c r="MXT168" s="153"/>
      <c r="MXU168" s="153"/>
      <c r="MXV168" s="153"/>
      <c r="MXW168" s="153"/>
      <c r="MXX168" s="153"/>
      <c r="MXY168" s="153"/>
      <c r="MXZ168" s="153"/>
      <c r="MYA168" s="153"/>
      <c r="MYB168" s="153"/>
      <c r="MYC168" s="153"/>
      <c r="MYD168" s="153"/>
      <c r="MYE168" s="153"/>
      <c r="MYF168" s="153"/>
      <c r="MYG168" s="153"/>
      <c r="MYH168" s="153"/>
      <c r="MYI168" s="153"/>
      <c r="MYJ168" s="153"/>
      <c r="MYK168" s="153"/>
      <c r="MYL168" s="153"/>
      <c r="MYM168" s="153"/>
      <c r="MYN168" s="153"/>
      <c r="MYO168" s="153"/>
      <c r="MYP168" s="153"/>
      <c r="MYQ168" s="153"/>
      <c r="MYR168" s="153"/>
      <c r="MYS168" s="153"/>
      <c r="MYT168" s="153"/>
      <c r="MYU168" s="153"/>
      <c r="MYV168" s="153"/>
      <c r="MYW168" s="153"/>
      <c r="MYX168" s="153"/>
      <c r="MYY168" s="153"/>
      <c r="MYZ168" s="153"/>
      <c r="MZA168" s="153"/>
      <c r="MZB168" s="153"/>
      <c r="MZC168" s="153"/>
      <c r="MZD168" s="153"/>
      <c r="MZE168" s="153"/>
      <c r="MZF168" s="153"/>
      <c r="MZG168" s="153"/>
      <c r="MZH168" s="153"/>
      <c r="MZI168" s="153"/>
      <c r="MZJ168" s="153"/>
      <c r="MZK168" s="153"/>
      <c r="MZL168" s="153"/>
      <c r="MZM168" s="153"/>
      <c r="MZN168" s="153"/>
      <c r="MZO168" s="153"/>
      <c r="MZP168" s="153"/>
      <c r="MZQ168" s="153"/>
      <c r="MZR168" s="153"/>
      <c r="MZS168" s="153"/>
      <c r="MZT168" s="153"/>
      <c r="MZU168" s="153"/>
      <c r="MZV168" s="153"/>
      <c r="MZW168" s="153"/>
      <c r="MZX168" s="153"/>
      <c r="MZY168" s="153"/>
      <c r="MZZ168" s="153"/>
      <c r="NAA168" s="153"/>
      <c r="NAB168" s="153"/>
      <c r="NAC168" s="153"/>
      <c r="NAD168" s="153"/>
      <c r="NAE168" s="153"/>
      <c r="NAF168" s="153"/>
      <c r="NAG168" s="153"/>
      <c r="NAH168" s="153"/>
      <c r="NAI168" s="153"/>
      <c r="NAJ168" s="153"/>
      <c r="NAK168" s="153"/>
      <c r="NAL168" s="153"/>
      <c r="NAM168" s="153"/>
      <c r="NAN168" s="153"/>
      <c r="NAO168" s="153"/>
      <c r="NAP168" s="153"/>
      <c r="NAQ168" s="153"/>
      <c r="NAR168" s="153"/>
      <c r="NAS168" s="153"/>
      <c r="NAT168" s="153"/>
      <c r="NAU168" s="153"/>
      <c r="NAV168" s="153"/>
      <c r="NAW168" s="153"/>
      <c r="NAX168" s="153"/>
      <c r="NAY168" s="153"/>
      <c r="NAZ168" s="153"/>
      <c r="NBA168" s="153"/>
      <c r="NBB168" s="153"/>
      <c r="NBC168" s="153"/>
      <c r="NBD168" s="153"/>
      <c r="NBE168" s="153"/>
      <c r="NBF168" s="153"/>
      <c r="NBG168" s="153"/>
      <c r="NBH168" s="153"/>
      <c r="NBI168" s="153"/>
      <c r="NBJ168" s="153"/>
      <c r="NBK168" s="153"/>
      <c r="NBL168" s="153"/>
      <c r="NBM168" s="153"/>
      <c r="NBN168" s="153"/>
      <c r="NBO168" s="153"/>
      <c r="NBP168" s="153"/>
      <c r="NBQ168" s="153"/>
      <c r="NBR168" s="153"/>
      <c r="NBS168" s="153"/>
      <c r="NBT168" s="153"/>
      <c r="NBU168" s="153"/>
      <c r="NBV168" s="153"/>
      <c r="NBW168" s="153"/>
      <c r="NBX168" s="153"/>
      <c r="NBY168" s="153"/>
      <c r="NBZ168" s="153"/>
      <c r="NCA168" s="153"/>
      <c r="NCB168" s="153"/>
      <c r="NCC168" s="153"/>
      <c r="NCD168" s="153"/>
      <c r="NCE168" s="153"/>
      <c r="NCF168" s="153"/>
      <c r="NCG168" s="153"/>
      <c r="NCH168" s="153"/>
      <c r="NCI168" s="153"/>
      <c r="NCJ168" s="153"/>
      <c r="NCK168" s="153"/>
      <c r="NCL168" s="153"/>
      <c r="NCM168" s="153"/>
      <c r="NCN168" s="153"/>
      <c r="NCO168" s="153"/>
      <c r="NCP168" s="153"/>
      <c r="NCQ168" s="153"/>
      <c r="NCR168" s="153"/>
      <c r="NCS168" s="153"/>
      <c r="NCT168" s="153"/>
      <c r="NCU168" s="153"/>
      <c r="NCV168" s="153"/>
      <c r="NCW168" s="153"/>
      <c r="NCX168" s="153"/>
      <c r="NCY168" s="153"/>
      <c r="NCZ168" s="153"/>
      <c r="NDA168" s="153"/>
      <c r="NDB168" s="153"/>
      <c r="NDC168" s="153"/>
      <c r="NDD168" s="153"/>
      <c r="NDE168" s="153"/>
      <c r="NDF168" s="153"/>
      <c r="NDG168" s="153"/>
      <c r="NDH168" s="153"/>
      <c r="NDI168" s="153"/>
      <c r="NDJ168" s="153"/>
      <c r="NDK168" s="153"/>
      <c r="NDL168" s="153"/>
      <c r="NDM168" s="153"/>
      <c r="NDN168" s="153"/>
      <c r="NDO168" s="153"/>
      <c r="NDP168" s="153"/>
      <c r="NDQ168" s="153"/>
      <c r="NDR168" s="153"/>
      <c r="NDS168" s="153"/>
      <c r="NDT168" s="153"/>
      <c r="NDU168" s="153"/>
      <c r="NDV168" s="153"/>
      <c r="NDW168" s="153"/>
      <c r="NDX168" s="153"/>
      <c r="NDY168" s="153"/>
      <c r="NDZ168" s="153"/>
      <c r="NEA168" s="153"/>
      <c r="NEB168" s="153"/>
      <c r="NEC168" s="153"/>
      <c r="NED168" s="153"/>
      <c r="NEE168" s="153"/>
      <c r="NEF168" s="153"/>
      <c r="NEG168" s="153"/>
      <c r="NEH168" s="153"/>
      <c r="NEI168" s="153"/>
      <c r="NEJ168" s="153"/>
      <c r="NEK168" s="153"/>
      <c r="NEL168" s="153"/>
      <c r="NEM168" s="153"/>
      <c r="NEN168" s="153"/>
      <c r="NEO168" s="153"/>
      <c r="NEP168" s="153"/>
      <c r="NEQ168" s="153"/>
      <c r="NER168" s="153"/>
      <c r="NES168" s="153"/>
      <c r="NET168" s="153"/>
      <c r="NEU168" s="153"/>
      <c r="NEV168" s="153"/>
      <c r="NEW168" s="153"/>
      <c r="NEX168" s="153"/>
      <c r="NEY168" s="153"/>
      <c r="NEZ168" s="153"/>
      <c r="NFA168" s="153"/>
      <c r="NFB168" s="153"/>
      <c r="NFC168" s="153"/>
      <c r="NFD168" s="153"/>
      <c r="NFE168" s="153"/>
      <c r="NFF168" s="153"/>
      <c r="NFG168" s="153"/>
      <c r="NFH168" s="153"/>
      <c r="NFI168" s="153"/>
      <c r="NFJ168" s="153"/>
      <c r="NFK168" s="153"/>
      <c r="NFL168" s="153"/>
      <c r="NFM168" s="153"/>
      <c r="NFN168" s="153"/>
      <c r="NFO168" s="153"/>
      <c r="NFP168" s="153"/>
      <c r="NFQ168" s="153"/>
      <c r="NFR168" s="153"/>
      <c r="NFS168" s="153"/>
      <c r="NFT168" s="153"/>
      <c r="NFU168" s="153"/>
      <c r="NFV168" s="153"/>
      <c r="NFW168" s="153"/>
      <c r="NFX168" s="153"/>
      <c r="NFY168" s="153"/>
      <c r="NFZ168" s="153"/>
      <c r="NGA168" s="153"/>
      <c r="NGB168" s="153"/>
      <c r="NGC168" s="153"/>
      <c r="NGD168" s="153"/>
      <c r="NGE168" s="153"/>
      <c r="NGF168" s="153"/>
      <c r="NGG168" s="153"/>
      <c r="NGH168" s="153"/>
      <c r="NGI168" s="153"/>
      <c r="NGJ168" s="153"/>
      <c r="NGK168" s="153"/>
      <c r="NGL168" s="153"/>
      <c r="NGM168" s="153"/>
      <c r="NGN168" s="153"/>
      <c r="NGO168" s="153"/>
      <c r="NGP168" s="153"/>
      <c r="NGQ168" s="153"/>
      <c r="NGR168" s="153"/>
      <c r="NGS168" s="153"/>
      <c r="NGT168" s="153"/>
      <c r="NGU168" s="153"/>
      <c r="NGV168" s="153"/>
      <c r="NGW168" s="153"/>
      <c r="NGX168" s="153"/>
      <c r="NGY168" s="153"/>
      <c r="NGZ168" s="153"/>
      <c r="NHA168" s="153"/>
      <c r="NHB168" s="153"/>
      <c r="NHC168" s="153"/>
      <c r="NHD168" s="153"/>
      <c r="NHE168" s="153"/>
      <c r="NHF168" s="153"/>
      <c r="NHG168" s="153"/>
      <c r="NHH168" s="153"/>
      <c r="NHI168" s="153"/>
      <c r="NHJ168" s="153"/>
      <c r="NHK168" s="153"/>
      <c r="NHL168" s="153"/>
      <c r="NHM168" s="153"/>
      <c r="NHN168" s="153"/>
      <c r="NHO168" s="153"/>
      <c r="NHP168" s="153"/>
      <c r="NHQ168" s="153"/>
      <c r="NHR168" s="153"/>
      <c r="NHS168" s="153"/>
      <c r="NHT168" s="153"/>
      <c r="NHU168" s="153"/>
      <c r="NHV168" s="153"/>
      <c r="NHW168" s="153"/>
      <c r="NHX168" s="153"/>
      <c r="NHY168" s="153"/>
      <c r="NHZ168" s="153"/>
      <c r="NIA168" s="153"/>
      <c r="NIB168" s="153"/>
      <c r="NIC168" s="153"/>
      <c r="NID168" s="153"/>
      <c r="NIE168" s="153"/>
      <c r="NIF168" s="153"/>
      <c r="NIG168" s="153"/>
      <c r="NIH168" s="153"/>
      <c r="NII168" s="153"/>
      <c r="NIJ168" s="153"/>
      <c r="NIK168" s="153"/>
      <c r="NIL168" s="153"/>
      <c r="NIM168" s="153"/>
      <c r="NIN168" s="153"/>
      <c r="NIO168" s="153"/>
      <c r="NIP168" s="153"/>
      <c r="NIQ168" s="153"/>
      <c r="NIR168" s="153"/>
      <c r="NIS168" s="153"/>
      <c r="NIT168" s="153"/>
      <c r="NIU168" s="153"/>
      <c r="NIV168" s="153"/>
      <c r="NIW168" s="153"/>
      <c r="NIX168" s="153"/>
      <c r="NIY168" s="153"/>
      <c r="NIZ168" s="153"/>
      <c r="NJA168" s="153"/>
      <c r="NJB168" s="153"/>
      <c r="NJC168" s="153"/>
      <c r="NJD168" s="153"/>
      <c r="NJE168" s="153"/>
      <c r="NJF168" s="153"/>
      <c r="NJG168" s="153"/>
      <c r="NJH168" s="153"/>
      <c r="NJI168" s="153"/>
      <c r="NJJ168" s="153"/>
      <c r="NJK168" s="153"/>
      <c r="NJL168" s="153"/>
      <c r="NJM168" s="153"/>
      <c r="NJN168" s="153"/>
      <c r="NJO168" s="153"/>
      <c r="NJP168" s="153"/>
      <c r="NJQ168" s="153"/>
      <c r="NJR168" s="153"/>
      <c r="NJS168" s="153"/>
      <c r="NJT168" s="153"/>
      <c r="NJU168" s="153"/>
      <c r="NJV168" s="153"/>
      <c r="NJW168" s="153"/>
      <c r="NJX168" s="153"/>
      <c r="NJY168" s="153"/>
      <c r="NJZ168" s="153"/>
      <c r="NKA168" s="153"/>
      <c r="NKB168" s="153"/>
      <c r="NKC168" s="153"/>
      <c r="NKD168" s="153"/>
      <c r="NKE168" s="153"/>
      <c r="NKF168" s="153"/>
      <c r="NKG168" s="153"/>
      <c r="NKH168" s="153"/>
      <c r="NKI168" s="153"/>
      <c r="NKJ168" s="153"/>
      <c r="NKK168" s="153"/>
      <c r="NKL168" s="153"/>
      <c r="NKM168" s="153"/>
      <c r="NKN168" s="153"/>
      <c r="NKO168" s="153"/>
      <c r="NKP168" s="153"/>
      <c r="NKQ168" s="153"/>
      <c r="NKR168" s="153"/>
      <c r="NKS168" s="153"/>
      <c r="NKT168" s="153"/>
      <c r="NKU168" s="153"/>
      <c r="NKV168" s="153"/>
      <c r="NKW168" s="153"/>
      <c r="NKX168" s="153"/>
      <c r="NKY168" s="153"/>
      <c r="NKZ168" s="153"/>
      <c r="NLA168" s="153"/>
      <c r="NLB168" s="153"/>
      <c r="NLC168" s="153"/>
      <c r="NLD168" s="153"/>
      <c r="NLE168" s="153"/>
      <c r="NLF168" s="153"/>
      <c r="NLG168" s="153"/>
      <c r="NLH168" s="153"/>
      <c r="NLI168" s="153"/>
      <c r="NLJ168" s="153"/>
      <c r="NLK168" s="153"/>
      <c r="NLL168" s="153"/>
      <c r="NLM168" s="153"/>
      <c r="NLN168" s="153"/>
      <c r="NLO168" s="153"/>
      <c r="NLP168" s="153"/>
      <c r="NLQ168" s="153"/>
      <c r="NLR168" s="153"/>
      <c r="NLS168" s="153"/>
      <c r="NLT168" s="153"/>
      <c r="NLU168" s="153"/>
      <c r="NLV168" s="153"/>
      <c r="NLW168" s="153"/>
      <c r="NLX168" s="153"/>
      <c r="NLY168" s="153"/>
      <c r="NLZ168" s="153"/>
      <c r="NMA168" s="153"/>
      <c r="NMB168" s="153"/>
      <c r="NMC168" s="153"/>
      <c r="NMD168" s="153"/>
      <c r="NME168" s="153"/>
      <c r="NMF168" s="153"/>
      <c r="NMG168" s="153"/>
      <c r="NMH168" s="153"/>
      <c r="NMI168" s="153"/>
      <c r="NMJ168" s="153"/>
      <c r="NMK168" s="153"/>
      <c r="NML168" s="153"/>
      <c r="NMM168" s="153"/>
      <c r="NMN168" s="153"/>
      <c r="NMO168" s="153"/>
      <c r="NMP168" s="153"/>
      <c r="NMQ168" s="153"/>
      <c r="NMR168" s="153"/>
      <c r="NMS168" s="153"/>
      <c r="NMT168" s="153"/>
      <c r="NMU168" s="153"/>
      <c r="NMV168" s="153"/>
      <c r="NMW168" s="153"/>
      <c r="NMX168" s="153"/>
      <c r="NMY168" s="153"/>
      <c r="NMZ168" s="153"/>
      <c r="NNA168" s="153"/>
      <c r="NNB168" s="153"/>
      <c r="NNC168" s="153"/>
      <c r="NND168" s="153"/>
      <c r="NNE168" s="153"/>
      <c r="NNF168" s="153"/>
      <c r="NNG168" s="153"/>
      <c r="NNH168" s="153"/>
      <c r="NNI168" s="153"/>
      <c r="NNJ168" s="153"/>
      <c r="NNK168" s="153"/>
      <c r="NNL168" s="153"/>
      <c r="NNM168" s="153"/>
      <c r="NNN168" s="153"/>
      <c r="NNO168" s="153"/>
      <c r="NNP168" s="153"/>
      <c r="NNQ168" s="153"/>
      <c r="NNR168" s="153"/>
      <c r="NNS168" s="153"/>
      <c r="NNT168" s="153"/>
      <c r="NNU168" s="153"/>
      <c r="NNV168" s="153"/>
      <c r="NNW168" s="153"/>
      <c r="NNX168" s="153"/>
      <c r="NNY168" s="153"/>
      <c r="NNZ168" s="153"/>
      <c r="NOA168" s="153"/>
      <c r="NOB168" s="153"/>
      <c r="NOC168" s="153"/>
      <c r="NOD168" s="153"/>
      <c r="NOE168" s="153"/>
      <c r="NOF168" s="153"/>
      <c r="NOG168" s="153"/>
      <c r="NOH168" s="153"/>
      <c r="NOI168" s="153"/>
      <c r="NOJ168" s="153"/>
      <c r="NOK168" s="153"/>
      <c r="NOL168" s="153"/>
      <c r="NOM168" s="153"/>
      <c r="NON168" s="153"/>
      <c r="NOO168" s="153"/>
      <c r="NOP168" s="153"/>
      <c r="NOQ168" s="153"/>
      <c r="NOR168" s="153"/>
      <c r="NOS168" s="153"/>
      <c r="NOT168" s="153"/>
      <c r="NOU168" s="153"/>
      <c r="NOV168" s="153"/>
      <c r="NOW168" s="153"/>
      <c r="NOX168" s="153"/>
      <c r="NOY168" s="153"/>
      <c r="NOZ168" s="153"/>
      <c r="NPA168" s="153"/>
      <c r="NPB168" s="153"/>
      <c r="NPC168" s="153"/>
      <c r="NPD168" s="153"/>
      <c r="NPE168" s="153"/>
      <c r="NPF168" s="153"/>
      <c r="NPG168" s="153"/>
      <c r="NPH168" s="153"/>
      <c r="NPI168" s="153"/>
      <c r="NPJ168" s="153"/>
      <c r="NPK168" s="153"/>
      <c r="NPL168" s="153"/>
      <c r="NPM168" s="153"/>
      <c r="NPN168" s="153"/>
      <c r="NPO168" s="153"/>
      <c r="NPP168" s="153"/>
      <c r="NPQ168" s="153"/>
      <c r="NPR168" s="153"/>
      <c r="NPS168" s="153"/>
      <c r="NPT168" s="153"/>
      <c r="NPU168" s="153"/>
      <c r="NPV168" s="153"/>
      <c r="NPW168" s="153"/>
      <c r="NPX168" s="153"/>
      <c r="NPY168" s="153"/>
      <c r="NPZ168" s="153"/>
      <c r="NQA168" s="153"/>
      <c r="NQB168" s="153"/>
      <c r="NQC168" s="153"/>
      <c r="NQD168" s="153"/>
      <c r="NQE168" s="153"/>
      <c r="NQF168" s="153"/>
      <c r="NQG168" s="153"/>
      <c r="NQH168" s="153"/>
      <c r="NQI168" s="153"/>
      <c r="NQJ168" s="153"/>
      <c r="NQK168" s="153"/>
      <c r="NQL168" s="153"/>
      <c r="NQM168" s="153"/>
      <c r="NQN168" s="153"/>
      <c r="NQO168" s="153"/>
      <c r="NQP168" s="153"/>
      <c r="NQQ168" s="153"/>
      <c r="NQR168" s="153"/>
      <c r="NQS168" s="153"/>
      <c r="NQT168" s="153"/>
      <c r="NQU168" s="153"/>
      <c r="NQV168" s="153"/>
      <c r="NQW168" s="153"/>
      <c r="NQX168" s="153"/>
      <c r="NQY168" s="153"/>
      <c r="NQZ168" s="153"/>
      <c r="NRA168" s="153"/>
      <c r="NRB168" s="153"/>
      <c r="NRC168" s="153"/>
      <c r="NRD168" s="153"/>
      <c r="NRE168" s="153"/>
      <c r="NRF168" s="153"/>
      <c r="NRG168" s="153"/>
      <c r="NRH168" s="153"/>
      <c r="NRI168" s="153"/>
      <c r="NRJ168" s="153"/>
      <c r="NRK168" s="153"/>
      <c r="NRL168" s="153"/>
      <c r="NRM168" s="153"/>
      <c r="NRN168" s="153"/>
      <c r="NRO168" s="153"/>
      <c r="NRP168" s="153"/>
      <c r="NRQ168" s="153"/>
      <c r="NRR168" s="153"/>
      <c r="NRS168" s="153"/>
      <c r="NRT168" s="153"/>
      <c r="NRU168" s="153"/>
      <c r="NRV168" s="153"/>
      <c r="NRW168" s="153"/>
      <c r="NRX168" s="153"/>
      <c r="NRY168" s="153"/>
      <c r="NRZ168" s="153"/>
      <c r="NSA168" s="153"/>
      <c r="NSB168" s="153"/>
      <c r="NSC168" s="153"/>
      <c r="NSD168" s="153"/>
      <c r="NSE168" s="153"/>
      <c r="NSF168" s="153"/>
      <c r="NSG168" s="153"/>
      <c r="NSH168" s="153"/>
      <c r="NSI168" s="153"/>
      <c r="NSJ168" s="153"/>
      <c r="NSK168" s="153"/>
      <c r="NSL168" s="153"/>
      <c r="NSM168" s="153"/>
      <c r="NSN168" s="153"/>
      <c r="NSO168" s="153"/>
      <c r="NSP168" s="153"/>
      <c r="NSQ168" s="153"/>
      <c r="NSR168" s="153"/>
      <c r="NSS168" s="153"/>
      <c r="NST168" s="153"/>
      <c r="NSU168" s="153"/>
      <c r="NSV168" s="153"/>
      <c r="NSW168" s="153"/>
      <c r="NSX168" s="153"/>
      <c r="NSY168" s="153"/>
      <c r="NSZ168" s="153"/>
      <c r="NTA168" s="153"/>
      <c r="NTB168" s="153"/>
      <c r="NTC168" s="153"/>
      <c r="NTD168" s="153"/>
      <c r="NTE168" s="153"/>
      <c r="NTF168" s="153"/>
      <c r="NTG168" s="153"/>
      <c r="NTH168" s="153"/>
      <c r="NTI168" s="153"/>
      <c r="NTJ168" s="153"/>
      <c r="NTK168" s="153"/>
      <c r="NTL168" s="153"/>
      <c r="NTM168" s="153"/>
      <c r="NTN168" s="153"/>
      <c r="NTO168" s="153"/>
      <c r="NTP168" s="153"/>
      <c r="NTQ168" s="153"/>
      <c r="NTR168" s="153"/>
      <c r="NTS168" s="153"/>
      <c r="NTT168" s="153"/>
      <c r="NTU168" s="153"/>
      <c r="NTV168" s="153"/>
      <c r="NTW168" s="153"/>
      <c r="NTX168" s="153"/>
      <c r="NTY168" s="153"/>
      <c r="NTZ168" s="153"/>
      <c r="NUA168" s="153"/>
      <c r="NUB168" s="153"/>
      <c r="NUC168" s="153"/>
      <c r="NUD168" s="153"/>
      <c r="NUE168" s="153"/>
      <c r="NUF168" s="153"/>
      <c r="NUG168" s="153"/>
      <c r="NUH168" s="153"/>
      <c r="NUI168" s="153"/>
      <c r="NUJ168" s="153"/>
      <c r="NUK168" s="153"/>
      <c r="NUL168" s="153"/>
      <c r="NUM168" s="153"/>
      <c r="NUN168" s="153"/>
      <c r="NUO168" s="153"/>
      <c r="NUP168" s="153"/>
      <c r="NUQ168" s="153"/>
      <c r="NUR168" s="153"/>
      <c r="NUS168" s="153"/>
      <c r="NUT168" s="153"/>
      <c r="NUU168" s="153"/>
      <c r="NUV168" s="153"/>
      <c r="NUW168" s="153"/>
      <c r="NUX168" s="153"/>
      <c r="NUY168" s="153"/>
      <c r="NUZ168" s="153"/>
      <c r="NVA168" s="153"/>
      <c r="NVB168" s="153"/>
      <c r="NVC168" s="153"/>
      <c r="NVD168" s="153"/>
      <c r="NVE168" s="153"/>
      <c r="NVF168" s="153"/>
      <c r="NVG168" s="153"/>
      <c r="NVH168" s="153"/>
      <c r="NVI168" s="153"/>
      <c r="NVJ168" s="153"/>
      <c r="NVK168" s="153"/>
      <c r="NVL168" s="153"/>
      <c r="NVM168" s="153"/>
      <c r="NVN168" s="153"/>
      <c r="NVO168" s="153"/>
      <c r="NVP168" s="153"/>
      <c r="NVQ168" s="153"/>
      <c r="NVR168" s="153"/>
      <c r="NVS168" s="153"/>
      <c r="NVT168" s="153"/>
      <c r="NVU168" s="153"/>
      <c r="NVV168" s="153"/>
      <c r="NVW168" s="153"/>
      <c r="NVX168" s="153"/>
      <c r="NVY168" s="153"/>
      <c r="NVZ168" s="153"/>
      <c r="NWA168" s="153"/>
      <c r="NWB168" s="153"/>
      <c r="NWC168" s="153"/>
      <c r="NWD168" s="153"/>
      <c r="NWE168" s="153"/>
      <c r="NWF168" s="153"/>
      <c r="NWG168" s="153"/>
      <c r="NWH168" s="153"/>
      <c r="NWI168" s="153"/>
      <c r="NWJ168" s="153"/>
      <c r="NWK168" s="153"/>
      <c r="NWL168" s="153"/>
      <c r="NWM168" s="153"/>
      <c r="NWN168" s="153"/>
      <c r="NWO168" s="153"/>
      <c r="NWP168" s="153"/>
      <c r="NWQ168" s="153"/>
      <c r="NWR168" s="153"/>
      <c r="NWS168" s="153"/>
      <c r="NWT168" s="153"/>
      <c r="NWU168" s="153"/>
      <c r="NWV168" s="153"/>
      <c r="NWW168" s="153"/>
      <c r="NWX168" s="153"/>
      <c r="NWY168" s="153"/>
      <c r="NWZ168" s="153"/>
      <c r="NXA168" s="153"/>
      <c r="NXB168" s="153"/>
      <c r="NXC168" s="153"/>
      <c r="NXD168" s="153"/>
      <c r="NXE168" s="153"/>
      <c r="NXF168" s="153"/>
      <c r="NXG168" s="153"/>
      <c r="NXH168" s="153"/>
      <c r="NXI168" s="153"/>
      <c r="NXJ168" s="153"/>
      <c r="NXK168" s="153"/>
      <c r="NXL168" s="153"/>
      <c r="NXM168" s="153"/>
      <c r="NXN168" s="153"/>
      <c r="NXO168" s="153"/>
      <c r="NXP168" s="153"/>
      <c r="NXQ168" s="153"/>
      <c r="NXR168" s="153"/>
      <c r="NXS168" s="153"/>
      <c r="NXT168" s="153"/>
      <c r="NXU168" s="153"/>
      <c r="NXV168" s="153"/>
      <c r="NXW168" s="153"/>
      <c r="NXX168" s="153"/>
      <c r="NXY168" s="153"/>
      <c r="NXZ168" s="153"/>
      <c r="NYA168" s="153"/>
      <c r="NYB168" s="153"/>
      <c r="NYC168" s="153"/>
      <c r="NYD168" s="153"/>
      <c r="NYE168" s="153"/>
      <c r="NYF168" s="153"/>
      <c r="NYG168" s="153"/>
      <c r="NYH168" s="153"/>
      <c r="NYI168" s="153"/>
      <c r="NYJ168" s="153"/>
      <c r="NYK168" s="153"/>
      <c r="NYL168" s="153"/>
      <c r="NYM168" s="153"/>
      <c r="NYN168" s="153"/>
      <c r="NYO168" s="153"/>
      <c r="NYP168" s="153"/>
      <c r="NYQ168" s="153"/>
      <c r="NYR168" s="153"/>
      <c r="NYS168" s="153"/>
      <c r="NYT168" s="153"/>
      <c r="NYU168" s="153"/>
      <c r="NYV168" s="153"/>
      <c r="NYW168" s="153"/>
      <c r="NYX168" s="153"/>
      <c r="NYY168" s="153"/>
      <c r="NYZ168" s="153"/>
      <c r="NZA168" s="153"/>
      <c r="NZB168" s="153"/>
      <c r="NZC168" s="153"/>
      <c r="NZD168" s="153"/>
      <c r="NZE168" s="153"/>
      <c r="NZF168" s="153"/>
      <c r="NZG168" s="153"/>
      <c r="NZH168" s="153"/>
      <c r="NZI168" s="153"/>
      <c r="NZJ168" s="153"/>
      <c r="NZK168" s="153"/>
      <c r="NZL168" s="153"/>
      <c r="NZM168" s="153"/>
      <c r="NZN168" s="153"/>
      <c r="NZO168" s="153"/>
      <c r="NZP168" s="153"/>
      <c r="NZQ168" s="153"/>
      <c r="NZR168" s="153"/>
      <c r="NZS168" s="153"/>
      <c r="NZT168" s="153"/>
      <c r="NZU168" s="153"/>
      <c r="NZV168" s="153"/>
      <c r="NZW168" s="153"/>
      <c r="NZX168" s="153"/>
      <c r="NZY168" s="153"/>
      <c r="NZZ168" s="153"/>
      <c r="OAA168" s="153"/>
      <c r="OAB168" s="153"/>
      <c r="OAC168" s="153"/>
      <c r="OAD168" s="153"/>
      <c r="OAE168" s="153"/>
      <c r="OAF168" s="153"/>
      <c r="OAG168" s="153"/>
      <c r="OAH168" s="153"/>
      <c r="OAI168" s="153"/>
      <c r="OAJ168" s="153"/>
      <c r="OAK168" s="153"/>
      <c r="OAL168" s="153"/>
      <c r="OAM168" s="153"/>
      <c r="OAN168" s="153"/>
      <c r="OAO168" s="153"/>
      <c r="OAP168" s="153"/>
      <c r="OAQ168" s="153"/>
      <c r="OAR168" s="153"/>
      <c r="OAS168" s="153"/>
      <c r="OAT168" s="153"/>
      <c r="OAU168" s="153"/>
      <c r="OAV168" s="153"/>
      <c r="OAW168" s="153"/>
      <c r="OAX168" s="153"/>
      <c r="OAY168" s="153"/>
      <c r="OAZ168" s="153"/>
      <c r="OBA168" s="153"/>
      <c r="OBB168" s="153"/>
      <c r="OBC168" s="153"/>
      <c r="OBD168" s="153"/>
      <c r="OBE168" s="153"/>
      <c r="OBF168" s="153"/>
      <c r="OBG168" s="153"/>
      <c r="OBH168" s="153"/>
      <c r="OBI168" s="153"/>
      <c r="OBJ168" s="153"/>
      <c r="OBK168" s="153"/>
      <c r="OBL168" s="153"/>
      <c r="OBM168" s="153"/>
      <c r="OBN168" s="153"/>
      <c r="OBO168" s="153"/>
      <c r="OBP168" s="153"/>
      <c r="OBQ168" s="153"/>
      <c r="OBR168" s="153"/>
      <c r="OBS168" s="153"/>
      <c r="OBT168" s="153"/>
      <c r="OBU168" s="153"/>
      <c r="OBV168" s="153"/>
      <c r="OBW168" s="153"/>
      <c r="OBX168" s="153"/>
      <c r="OBY168" s="153"/>
      <c r="OBZ168" s="153"/>
      <c r="OCA168" s="153"/>
      <c r="OCB168" s="153"/>
      <c r="OCC168" s="153"/>
      <c r="OCD168" s="153"/>
      <c r="OCE168" s="153"/>
      <c r="OCF168" s="153"/>
      <c r="OCG168" s="153"/>
      <c r="OCH168" s="153"/>
      <c r="OCI168" s="153"/>
      <c r="OCJ168" s="153"/>
      <c r="OCK168" s="153"/>
      <c r="OCL168" s="153"/>
      <c r="OCM168" s="153"/>
      <c r="OCN168" s="153"/>
      <c r="OCO168" s="153"/>
      <c r="OCP168" s="153"/>
      <c r="OCQ168" s="153"/>
      <c r="OCR168" s="153"/>
      <c r="OCS168" s="153"/>
      <c r="OCT168" s="153"/>
      <c r="OCU168" s="153"/>
      <c r="OCV168" s="153"/>
      <c r="OCW168" s="153"/>
      <c r="OCX168" s="153"/>
      <c r="OCY168" s="153"/>
      <c r="OCZ168" s="153"/>
      <c r="ODA168" s="153"/>
      <c r="ODB168" s="153"/>
      <c r="ODC168" s="153"/>
      <c r="ODD168" s="153"/>
      <c r="ODE168" s="153"/>
      <c r="ODF168" s="153"/>
      <c r="ODG168" s="153"/>
      <c r="ODH168" s="153"/>
      <c r="ODI168" s="153"/>
      <c r="ODJ168" s="153"/>
      <c r="ODK168" s="153"/>
      <c r="ODL168" s="153"/>
      <c r="ODM168" s="153"/>
      <c r="ODN168" s="153"/>
      <c r="ODO168" s="153"/>
      <c r="ODP168" s="153"/>
      <c r="ODQ168" s="153"/>
      <c r="ODR168" s="153"/>
      <c r="ODS168" s="153"/>
      <c r="ODT168" s="153"/>
      <c r="ODU168" s="153"/>
      <c r="ODV168" s="153"/>
      <c r="ODW168" s="153"/>
      <c r="ODX168" s="153"/>
      <c r="ODY168" s="153"/>
      <c r="ODZ168" s="153"/>
      <c r="OEA168" s="153"/>
      <c r="OEB168" s="153"/>
      <c r="OEC168" s="153"/>
      <c r="OED168" s="153"/>
      <c r="OEE168" s="153"/>
      <c r="OEF168" s="153"/>
      <c r="OEG168" s="153"/>
      <c r="OEH168" s="153"/>
      <c r="OEI168" s="153"/>
      <c r="OEJ168" s="153"/>
      <c r="OEK168" s="153"/>
      <c r="OEL168" s="153"/>
      <c r="OEM168" s="153"/>
      <c r="OEN168" s="153"/>
      <c r="OEO168" s="153"/>
      <c r="OEP168" s="153"/>
      <c r="OEQ168" s="153"/>
      <c r="OER168" s="153"/>
      <c r="OES168" s="153"/>
      <c r="OET168" s="153"/>
      <c r="OEU168" s="153"/>
      <c r="OEV168" s="153"/>
      <c r="OEW168" s="153"/>
      <c r="OEX168" s="153"/>
      <c r="OEY168" s="153"/>
      <c r="OEZ168" s="153"/>
      <c r="OFA168" s="153"/>
      <c r="OFB168" s="153"/>
      <c r="OFC168" s="153"/>
      <c r="OFD168" s="153"/>
      <c r="OFE168" s="153"/>
      <c r="OFF168" s="153"/>
      <c r="OFG168" s="153"/>
      <c r="OFH168" s="153"/>
      <c r="OFI168" s="153"/>
      <c r="OFJ168" s="153"/>
      <c r="OFK168" s="153"/>
      <c r="OFL168" s="153"/>
      <c r="OFM168" s="153"/>
      <c r="OFN168" s="153"/>
      <c r="OFO168" s="153"/>
      <c r="OFP168" s="153"/>
      <c r="OFQ168" s="153"/>
      <c r="OFR168" s="153"/>
      <c r="OFS168" s="153"/>
      <c r="OFT168" s="153"/>
      <c r="OFU168" s="153"/>
      <c r="OFV168" s="153"/>
      <c r="OFW168" s="153"/>
      <c r="OFX168" s="153"/>
      <c r="OFY168" s="153"/>
      <c r="OFZ168" s="153"/>
      <c r="OGA168" s="153"/>
      <c r="OGB168" s="153"/>
      <c r="OGC168" s="153"/>
      <c r="OGD168" s="153"/>
      <c r="OGE168" s="153"/>
      <c r="OGF168" s="153"/>
      <c r="OGG168" s="153"/>
      <c r="OGH168" s="153"/>
      <c r="OGI168" s="153"/>
      <c r="OGJ168" s="153"/>
      <c r="OGK168" s="153"/>
      <c r="OGL168" s="153"/>
      <c r="OGM168" s="153"/>
      <c r="OGN168" s="153"/>
      <c r="OGO168" s="153"/>
      <c r="OGP168" s="153"/>
      <c r="OGQ168" s="153"/>
      <c r="OGR168" s="153"/>
      <c r="OGS168" s="153"/>
      <c r="OGT168" s="153"/>
      <c r="OGU168" s="153"/>
      <c r="OGV168" s="153"/>
      <c r="OGW168" s="153"/>
      <c r="OGX168" s="153"/>
      <c r="OGY168" s="153"/>
      <c r="OGZ168" s="153"/>
      <c r="OHA168" s="153"/>
      <c r="OHB168" s="153"/>
      <c r="OHC168" s="153"/>
      <c r="OHD168" s="153"/>
      <c r="OHE168" s="153"/>
      <c r="OHF168" s="153"/>
      <c r="OHG168" s="153"/>
      <c r="OHH168" s="153"/>
      <c r="OHI168" s="153"/>
      <c r="OHJ168" s="153"/>
      <c r="OHK168" s="153"/>
      <c r="OHL168" s="153"/>
      <c r="OHM168" s="153"/>
      <c r="OHN168" s="153"/>
      <c r="OHO168" s="153"/>
      <c r="OHP168" s="153"/>
      <c r="OHQ168" s="153"/>
      <c r="OHR168" s="153"/>
      <c r="OHS168" s="153"/>
      <c r="OHT168" s="153"/>
      <c r="OHU168" s="153"/>
      <c r="OHV168" s="153"/>
      <c r="OHW168" s="153"/>
      <c r="OHX168" s="153"/>
      <c r="OHY168" s="153"/>
      <c r="OHZ168" s="153"/>
      <c r="OIA168" s="153"/>
      <c r="OIB168" s="153"/>
      <c r="OIC168" s="153"/>
      <c r="OID168" s="153"/>
      <c r="OIE168" s="153"/>
      <c r="OIF168" s="153"/>
      <c r="OIG168" s="153"/>
      <c r="OIH168" s="153"/>
      <c r="OII168" s="153"/>
      <c r="OIJ168" s="153"/>
      <c r="OIK168" s="153"/>
      <c r="OIL168" s="153"/>
      <c r="OIM168" s="153"/>
      <c r="OIN168" s="153"/>
      <c r="OIO168" s="153"/>
      <c r="OIP168" s="153"/>
      <c r="OIQ168" s="153"/>
      <c r="OIR168" s="153"/>
      <c r="OIS168" s="153"/>
      <c r="OIT168" s="153"/>
      <c r="OIU168" s="153"/>
      <c r="OIV168" s="153"/>
      <c r="OIW168" s="153"/>
      <c r="OIX168" s="153"/>
      <c r="OIY168" s="153"/>
      <c r="OIZ168" s="153"/>
      <c r="OJA168" s="153"/>
      <c r="OJB168" s="153"/>
      <c r="OJC168" s="153"/>
      <c r="OJD168" s="153"/>
      <c r="OJE168" s="153"/>
      <c r="OJF168" s="153"/>
      <c r="OJG168" s="153"/>
      <c r="OJH168" s="153"/>
      <c r="OJI168" s="153"/>
      <c r="OJJ168" s="153"/>
      <c r="OJK168" s="153"/>
      <c r="OJL168" s="153"/>
      <c r="OJM168" s="153"/>
      <c r="OJN168" s="153"/>
      <c r="OJO168" s="153"/>
      <c r="OJP168" s="153"/>
      <c r="OJQ168" s="153"/>
      <c r="OJR168" s="153"/>
      <c r="OJS168" s="153"/>
      <c r="OJT168" s="153"/>
      <c r="OJU168" s="153"/>
      <c r="OJV168" s="153"/>
      <c r="OJW168" s="153"/>
      <c r="OJX168" s="153"/>
      <c r="OJY168" s="153"/>
      <c r="OJZ168" s="153"/>
      <c r="OKA168" s="153"/>
      <c r="OKB168" s="153"/>
      <c r="OKC168" s="153"/>
      <c r="OKD168" s="153"/>
      <c r="OKE168" s="153"/>
      <c r="OKF168" s="153"/>
      <c r="OKG168" s="153"/>
      <c r="OKH168" s="153"/>
      <c r="OKI168" s="153"/>
      <c r="OKJ168" s="153"/>
      <c r="OKK168" s="153"/>
      <c r="OKL168" s="153"/>
      <c r="OKM168" s="153"/>
      <c r="OKN168" s="153"/>
      <c r="OKO168" s="153"/>
      <c r="OKP168" s="153"/>
      <c r="OKQ168" s="153"/>
      <c r="OKR168" s="153"/>
      <c r="OKS168" s="153"/>
      <c r="OKT168" s="153"/>
      <c r="OKU168" s="153"/>
      <c r="OKV168" s="153"/>
      <c r="OKW168" s="153"/>
      <c r="OKX168" s="153"/>
      <c r="OKY168" s="153"/>
      <c r="OKZ168" s="153"/>
      <c r="OLA168" s="153"/>
      <c r="OLB168" s="153"/>
      <c r="OLC168" s="153"/>
      <c r="OLD168" s="153"/>
      <c r="OLE168" s="153"/>
      <c r="OLF168" s="153"/>
      <c r="OLG168" s="153"/>
      <c r="OLH168" s="153"/>
      <c r="OLI168" s="153"/>
      <c r="OLJ168" s="153"/>
      <c r="OLK168" s="153"/>
      <c r="OLL168" s="153"/>
      <c r="OLM168" s="153"/>
      <c r="OLN168" s="153"/>
      <c r="OLO168" s="153"/>
      <c r="OLP168" s="153"/>
      <c r="OLQ168" s="153"/>
      <c r="OLR168" s="153"/>
      <c r="OLS168" s="153"/>
      <c r="OLT168" s="153"/>
      <c r="OLU168" s="153"/>
      <c r="OLV168" s="153"/>
      <c r="OLW168" s="153"/>
      <c r="OLX168" s="153"/>
      <c r="OLY168" s="153"/>
      <c r="OLZ168" s="153"/>
      <c r="OMA168" s="153"/>
      <c r="OMB168" s="153"/>
      <c r="OMC168" s="153"/>
      <c r="OMD168" s="153"/>
      <c r="OME168" s="153"/>
      <c r="OMF168" s="153"/>
      <c r="OMG168" s="153"/>
      <c r="OMH168" s="153"/>
      <c r="OMI168" s="153"/>
      <c r="OMJ168" s="153"/>
      <c r="OMK168" s="153"/>
      <c r="OML168" s="153"/>
      <c r="OMM168" s="153"/>
      <c r="OMN168" s="153"/>
      <c r="OMO168" s="153"/>
      <c r="OMP168" s="153"/>
      <c r="OMQ168" s="153"/>
      <c r="OMR168" s="153"/>
      <c r="OMS168" s="153"/>
      <c r="OMT168" s="153"/>
      <c r="OMU168" s="153"/>
      <c r="OMV168" s="153"/>
      <c r="OMW168" s="153"/>
      <c r="OMX168" s="153"/>
      <c r="OMY168" s="153"/>
      <c r="OMZ168" s="153"/>
      <c r="ONA168" s="153"/>
      <c r="ONB168" s="153"/>
      <c r="ONC168" s="153"/>
      <c r="OND168" s="153"/>
      <c r="ONE168" s="153"/>
      <c r="ONF168" s="153"/>
      <c r="ONG168" s="153"/>
      <c r="ONH168" s="153"/>
      <c r="ONI168" s="153"/>
      <c r="ONJ168" s="153"/>
      <c r="ONK168" s="153"/>
      <c r="ONL168" s="153"/>
      <c r="ONM168" s="153"/>
      <c r="ONN168" s="153"/>
      <c r="ONO168" s="153"/>
      <c r="ONP168" s="153"/>
      <c r="ONQ168" s="153"/>
      <c r="ONR168" s="153"/>
      <c r="ONS168" s="153"/>
      <c r="ONT168" s="153"/>
      <c r="ONU168" s="153"/>
      <c r="ONV168" s="153"/>
      <c r="ONW168" s="153"/>
      <c r="ONX168" s="153"/>
      <c r="ONY168" s="153"/>
      <c r="ONZ168" s="153"/>
      <c r="OOA168" s="153"/>
      <c r="OOB168" s="153"/>
      <c r="OOC168" s="153"/>
      <c r="OOD168" s="153"/>
      <c r="OOE168" s="153"/>
      <c r="OOF168" s="153"/>
      <c r="OOG168" s="153"/>
      <c r="OOH168" s="153"/>
      <c r="OOI168" s="153"/>
      <c r="OOJ168" s="153"/>
      <c r="OOK168" s="153"/>
      <c r="OOL168" s="153"/>
      <c r="OOM168" s="153"/>
      <c r="OON168" s="153"/>
      <c r="OOO168" s="153"/>
      <c r="OOP168" s="153"/>
      <c r="OOQ168" s="153"/>
      <c r="OOR168" s="153"/>
      <c r="OOS168" s="153"/>
      <c r="OOT168" s="153"/>
      <c r="OOU168" s="153"/>
      <c r="OOV168" s="153"/>
      <c r="OOW168" s="153"/>
      <c r="OOX168" s="153"/>
      <c r="OOY168" s="153"/>
      <c r="OOZ168" s="153"/>
      <c r="OPA168" s="153"/>
      <c r="OPB168" s="153"/>
      <c r="OPC168" s="153"/>
      <c r="OPD168" s="153"/>
      <c r="OPE168" s="153"/>
      <c r="OPF168" s="153"/>
      <c r="OPG168" s="153"/>
      <c r="OPH168" s="153"/>
      <c r="OPI168" s="153"/>
      <c r="OPJ168" s="153"/>
      <c r="OPK168" s="153"/>
      <c r="OPL168" s="153"/>
      <c r="OPM168" s="153"/>
      <c r="OPN168" s="153"/>
      <c r="OPO168" s="153"/>
      <c r="OPP168" s="153"/>
      <c r="OPQ168" s="153"/>
      <c r="OPR168" s="153"/>
      <c r="OPS168" s="153"/>
      <c r="OPT168" s="153"/>
      <c r="OPU168" s="153"/>
      <c r="OPV168" s="153"/>
      <c r="OPW168" s="153"/>
      <c r="OPX168" s="153"/>
      <c r="OPY168" s="153"/>
      <c r="OPZ168" s="153"/>
      <c r="OQA168" s="153"/>
      <c r="OQB168" s="153"/>
      <c r="OQC168" s="153"/>
      <c r="OQD168" s="153"/>
      <c r="OQE168" s="153"/>
      <c r="OQF168" s="153"/>
      <c r="OQG168" s="153"/>
      <c r="OQH168" s="153"/>
      <c r="OQI168" s="153"/>
      <c r="OQJ168" s="153"/>
      <c r="OQK168" s="153"/>
      <c r="OQL168" s="153"/>
      <c r="OQM168" s="153"/>
      <c r="OQN168" s="153"/>
      <c r="OQO168" s="153"/>
      <c r="OQP168" s="153"/>
      <c r="OQQ168" s="153"/>
      <c r="OQR168" s="153"/>
      <c r="OQS168" s="153"/>
      <c r="OQT168" s="153"/>
      <c r="OQU168" s="153"/>
      <c r="OQV168" s="153"/>
      <c r="OQW168" s="153"/>
      <c r="OQX168" s="153"/>
      <c r="OQY168" s="153"/>
      <c r="OQZ168" s="153"/>
      <c r="ORA168" s="153"/>
      <c r="ORB168" s="153"/>
      <c r="ORC168" s="153"/>
      <c r="ORD168" s="153"/>
      <c r="ORE168" s="153"/>
      <c r="ORF168" s="153"/>
      <c r="ORG168" s="153"/>
      <c r="ORH168" s="153"/>
      <c r="ORI168" s="153"/>
      <c r="ORJ168" s="153"/>
      <c r="ORK168" s="153"/>
      <c r="ORL168" s="153"/>
      <c r="ORM168" s="153"/>
      <c r="ORN168" s="153"/>
      <c r="ORO168" s="153"/>
      <c r="ORP168" s="153"/>
      <c r="ORQ168" s="153"/>
      <c r="ORR168" s="153"/>
      <c r="ORS168" s="153"/>
      <c r="ORT168" s="153"/>
      <c r="ORU168" s="153"/>
      <c r="ORV168" s="153"/>
      <c r="ORW168" s="153"/>
      <c r="ORX168" s="153"/>
      <c r="ORY168" s="153"/>
      <c r="ORZ168" s="153"/>
      <c r="OSA168" s="153"/>
      <c r="OSB168" s="153"/>
      <c r="OSC168" s="153"/>
      <c r="OSD168" s="153"/>
      <c r="OSE168" s="153"/>
      <c r="OSF168" s="153"/>
      <c r="OSG168" s="153"/>
      <c r="OSH168" s="153"/>
      <c r="OSI168" s="153"/>
      <c r="OSJ168" s="153"/>
      <c r="OSK168" s="153"/>
      <c r="OSL168" s="153"/>
      <c r="OSM168" s="153"/>
      <c r="OSN168" s="153"/>
      <c r="OSO168" s="153"/>
      <c r="OSP168" s="153"/>
      <c r="OSQ168" s="153"/>
      <c r="OSR168" s="153"/>
      <c r="OSS168" s="153"/>
      <c r="OST168" s="153"/>
      <c r="OSU168" s="153"/>
      <c r="OSV168" s="153"/>
      <c r="OSW168" s="153"/>
      <c r="OSX168" s="153"/>
      <c r="OSY168" s="153"/>
      <c r="OSZ168" s="153"/>
      <c r="OTA168" s="153"/>
      <c r="OTB168" s="153"/>
      <c r="OTC168" s="153"/>
      <c r="OTD168" s="153"/>
      <c r="OTE168" s="153"/>
      <c r="OTF168" s="153"/>
      <c r="OTG168" s="153"/>
      <c r="OTH168" s="153"/>
      <c r="OTI168" s="153"/>
      <c r="OTJ168" s="153"/>
      <c r="OTK168" s="153"/>
      <c r="OTL168" s="153"/>
      <c r="OTM168" s="153"/>
      <c r="OTN168" s="153"/>
      <c r="OTO168" s="153"/>
      <c r="OTP168" s="153"/>
      <c r="OTQ168" s="153"/>
      <c r="OTR168" s="153"/>
      <c r="OTS168" s="153"/>
      <c r="OTT168" s="153"/>
      <c r="OTU168" s="153"/>
      <c r="OTV168" s="153"/>
      <c r="OTW168" s="153"/>
      <c r="OTX168" s="153"/>
      <c r="OTY168" s="153"/>
      <c r="OTZ168" s="153"/>
      <c r="OUA168" s="153"/>
      <c r="OUB168" s="153"/>
      <c r="OUC168" s="153"/>
      <c r="OUD168" s="153"/>
      <c r="OUE168" s="153"/>
      <c r="OUF168" s="153"/>
      <c r="OUG168" s="153"/>
      <c r="OUH168" s="153"/>
      <c r="OUI168" s="153"/>
      <c r="OUJ168" s="153"/>
      <c r="OUK168" s="153"/>
      <c r="OUL168" s="153"/>
      <c r="OUM168" s="153"/>
      <c r="OUN168" s="153"/>
      <c r="OUO168" s="153"/>
      <c r="OUP168" s="153"/>
      <c r="OUQ168" s="153"/>
      <c r="OUR168" s="153"/>
      <c r="OUS168" s="153"/>
      <c r="OUT168" s="153"/>
      <c r="OUU168" s="153"/>
      <c r="OUV168" s="153"/>
      <c r="OUW168" s="153"/>
      <c r="OUX168" s="153"/>
      <c r="OUY168" s="153"/>
      <c r="OUZ168" s="153"/>
      <c r="OVA168" s="153"/>
      <c r="OVB168" s="153"/>
      <c r="OVC168" s="153"/>
      <c r="OVD168" s="153"/>
      <c r="OVE168" s="153"/>
      <c r="OVF168" s="153"/>
      <c r="OVG168" s="153"/>
      <c r="OVH168" s="153"/>
      <c r="OVI168" s="153"/>
      <c r="OVJ168" s="153"/>
      <c r="OVK168" s="153"/>
      <c r="OVL168" s="153"/>
      <c r="OVM168" s="153"/>
      <c r="OVN168" s="153"/>
      <c r="OVO168" s="153"/>
      <c r="OVP168" s="153"/>
      <c r="OVQ168" s="153"/>
      <c r="OVR168" s="153"/>
      <c r="OVS168" s="153"/>
      <c r="OVT168" s="153"/>
      <c r="OVU168" s="153"/>
      <c r="OVV168" s="153"/>
      <c r="OVW168" s="153"/>
      <c r="OVX168" s="153"/>
      <c r="OVY168" s="153"/>
      <c r="OVZ168" s="153"/>
      <c r="OWA168" s="153"/>
      <c r="OWB168" s="153"/>
      <c r="OWC168" s="153"/>
      <c r="OWD168" s="153"/>
      <c r="OWE168" s="153"/>
      <c r="OWF168" s="153"/>
      <c r="OWG168" s="153"/>
      <c r="OWH168" s="153"/>
      <c r="OWI168" s="153"/>
      <c r="OWJ168" s="153"/>
      <c r="OWK168" s="153"/>
      <c r="OWL168" s="153"/>
      <c r="OWM168" s="153"/>
      <c r="OWN168" s="153"/>
      <c r="OWO168" s="153"/>
      <c r="OWP168" s="153"/>
      <c r="OWQ168" s="153"/>
      <c r="OWR168" s="153"/>
      <c r="OWS168" s="153"/>
      <c r="OWT168" s="153"/>
      <c r="OWU168" s="153"/>
      <c r="OWV168" s="153"/>
      <c r="OWW168" s="153"/>
      <c r="OWX168" s="153"/>
      <c r="OWY168" s="153"/>
      <c r="OWZ168" s="153"/>
      <c r="OXA168" s="153"/>
      <c r="OXB168" s="153"/>
      <c r="OXC168" s="153"/>
      <c r="OXD168" s="153"/>
      <c r="OXE168" s="153"/>
      <c r="OXF168" s="153"/>
      <c r="OXG168" s="153"/>
      <c r="OXH168" s="153"/>
      <c r="OXI168" s="153"/>
      <c r="OXJ168" s="153"/>
      <c r="OXK168" s="153"/>
      <c r="OXL168" s="153"/>
      <c r="OXM168" s="153"/>
      <c r="OXN168" s="153"/>
      <c r="OXO168" s="153"/>
      <c r="OXP168" s="153"/>
      <c r="OXQ168" s="153"/>
      <c r="OXR168" s="153"/>
      <c r="OXS168" s="153"/>
      <c r="OXT168" s="153"/>
      <c r="OXU168" s="153"/>
      <c r="OXV168" s="153"/>
      <c r="OXW168" s="153"/>
      <c r="OXX168" s="153"/>
      <c r="OXY168" s="153"/>
      <c r="OXZ168" s="153"/>
      <c r="OYA168" s="153"/>
      <c r="OYB168" s="153"/>
      <c r="OYC168" s="153"/>
      <c r="OYD168" s="153"/>
      <c r="OYE168" s="153"/>
      <c r="OYF168" s="153"/>
      <c r="OYG168" s="153"/>
      <c r="OYH168" s="153"/>
      <c r="OYI168" s="153"/>
      <c r="OYJ168" s="153"/>
      <c r="OYK168" s="153"/>
      <c r="OYL168" s="153"/>
      <c r="OYM168" s="153"/>
      <c r="OYN168" s="153"/>
      <c r="OYO168" s="153"/>
      <c r="OYP168" s="153"/>
      <c r="OYQ168" s="153"/>
      <c r="OYR168" s="153"/>
      <c r="OYS168" s="153"/>
      <c r="OYT168" s="153"/>
      <c r="OYU168" s="153"/>
      <c r="OYV168" s="153"/>
      <c r="OYW168" s="153"/>
      <c r="OYX168" s="153"/>
      <c r="OYY168" s="153"/>
      <c r="OYZ168" s="153"/>
      <c r="OZA168" s="153"/>
      <c r="OZB168" s="153"/>
      <c r="OZC168" s="153"/>
      <c r="OZD168" s="153"/>
      <c r="OZE168" s="153"/>
      <c r="OZF168" s="153"/>
      <c r="OZG168" s="153"/>
      <c r="OZH168" s="153"/>
      <c r="OZI168" s="153"/>
      <c r="OZJ168" s="153"/>
      <c r="OZK168" s="153"/>
      <c r="OZL168" s="153"/>
      <c r="OZM168" s="153"/>
      <c r="OZN168" s="153"/>
      <c r="OZO168" s="153"/>
      <c r="OZP168" s="153"/>
      <c r="OZQ168" s="153"/>
      <c r="OZR168" s="153"/>
      <c r="OZS168" s="153"/>
      <c r="OZT168" s="153"/>
      <c r="OZU168" s="153"/>
      <c r="OZV168" s="153"/>
      <c r="OZW168" s="153"/>
      <c r="OZX168" s="153"/>
      <c r="OZY168" s="153"/>
      <c r="OZZ168" s="153"/>
      <c r="PAA168" s="153"/>
      <c r="PAB168" s="153"/>
      <c r="PAC168" s="153"/>
      <c r="PAD168" s="153"/>
      <c r="PAE168" s="153"/>
      <c r="PAF168" s="153"/>
      <c r="PAG168" s="153"/>
      <c r="PAH168" s="153"/>
      <c r="PAI168" s="153"/>
      <c r="PAJ168" s="153"/>
      <c r="PAK168" s="153"/>
      <c r="PAL168" s="153"/>
      <c r="PAM168" s="153"/>
      <c r="PAN168" s="153"/>
      <c r="PAO168" s="153"/>
      <c r="PAP168" s="153"/>
      <c r="PAQ168" s="153"/>
      <c r="PAR168" s="153"/>
      <c r="PAS168" s="153"/>
      <c r="PAT168" s="153"/>
      <c r="PAU168" s="153"/>
      <c r="PAV168" s="153"/>
      <c r="PAW168" s="153"/>
      <c r="PAX168" s="153"/>
      <c r="PAY168" s="153"/>
      <c r="PAZ168" s="153"/>
      <c r="PBA168" s="153"/>
      <c r="PBB168" s="153"/>
      <c r="PBC168" s="153"/>
      <c r="PBD168" s="153"/>
      <c r="PBE168" s="153"/>
      <c r="PBF168" s="153"/>
      <c r="PBG168" s="153"/>
      <c r="PBH168" s="153"/>
      <c r="PBI168" s="153"/>
      <c r="PBJ168" s="153"/>
      <c r="PBK168" s="153"/>
      <c r="PBL168" s="153"/>
      <c r="PBM168" s="153"/>
      <c r="PBN168" s="153"/>
      <c r="PBO168" s="153"/>
      <c r="PBP168" s="153"/>
      <c r="PBQ168" s="153"/>
      <c r="PBR168" s="153"/>
      <c r="PBS168" s="153"/>
      <c r="PBT168" s="153"/>
      <c r="PBU168" s="153"/>
      <c r="PBV168" s="153"/>
      <c r="PBW168" s="153"/>
      <c r="PBX168" s="153"/>
      <c r="PBY168" s="153"/>
      <c r="PBZ168" s="153"/>
      <c r="PCA168" s="153"/>
      <c r="PCB168" s="153"/>
      <c r="PCC168" s="153"/>
      <c r="PCD168" s="153"/>
      <c r="PCE168" s="153"/>
      <c r="PCF168" s="153"/>
      <c r="PCG168" s="153"/>
      <c r="PCH168" s="153"/>
      <c r="PCI168" s="153"/>
      <c r="PCJ168" s="153"/>
      <c r="PCK168" s="153"/>
      <c r="PCL168" s="153"/>
      <c r="PCM168" s="153"/>
      <c r="PCN168" s="153"/>
      <c r="PCO168" s="153"/>
      <c r="PCP168" s="153"/>
      <c r="PCQ168" s="153"/>
      <c r="PCR168" s="153"/>
      <c r="PCS168" s="153"/>
      <c r="PCT168" s="153"/>
      <c r="PCU168" s="153"/>
      <c r="PCV168" s="153"/>
      <c r="PCW168" s="153"/>
      <c r="PCX168" s="153"/>
      <c r="PCY168" s="153"/>
      <c r="PCZ168" s="153"/>
      <c r="PDA168" s="153"/>
      <c r="PDB168" s="153"/>
      <c r="PDC168" s="153"/>
      <c r="PDD168" s="153"/>
      <c r="PDE168" s="153"/>
      <c r="PDF168" s="153"/>
      <c r="PDG168" s="153"/>
      <c r="PDH168" s="153"/>
      <c r="PDI168" s="153"/>
      <c r="PDJ168" s="153"/>
      <c r="PDK168" s="153"/>
      <c r="PDL168" s="153"/>
      <c r="PDM168" s="153"/>
      <c r="PDN168" s="153"/>
      <c r="PDO168" s="153"/>
      <c r="PDP168" s="153"/>
      <c r="PDQ168" s="153"/>
      <c r="PDR168" s="153"/>
      <c r="PDS168" s="153"/>
      <c r="PDT168" s="153"/>
      <c r="PDU168" s="153"/>
      <c r="PDV168" s="153"/>
      <c r="PDW168" s="153"/>
      <c r="PDX168" s="153"/>
      <c r="PDY168" s="153"/>
      <c r="PDZ168" s="153"/>
      <c r="PEA168" s="153"/>
      <c r="PEB168" s="153"/>
      <c r="PEC168" s="153"/>
      <c r="PED168" s="153"/>
      <c r="PEE168" s="153"/>
      <c r="PEF168" s="153"/>
      <c r="PEG168" s="153"/>
      <c r="PEH168" s="153"/>
      <c r="PEI168" s="153"/>
      <c r="PEJ168" s="153"/>
      <c r="PEK168" s="153"/>
      <c r="PEL168" s="153"/>
      <c r="PEM168" s="153"/>
      <c r="PEN168" s="153"/>
      <c r="PEO168" s="153"/>
      <c r="PEP168" s="153"/>
      <c r="PEQ168" s="153"/>
      <c r="PER168" s="153"/>
      <c r="PES168" s="153"/>
      <c r="PET168" s="153"/>
      <c r="PEU168" s="153"/>
      <c r="PEV168" s="153"/>
      <c r="PEW168" s="153"/>
      <c r="PEX168" s="153"/>
      <c r="PEY168" s="153"/>
      <c r="PEZ168" s="153"/>
      <c r="PFA168" s="153"/>
      <c r="PFB168" s="153"/>
      <c r="PFC168" s="153"/>
      <c r="PFD168" s="153"/>
      <c r="PFE168" s="153"/>
      <c r="PFF168" s="153"/>
      <c r="PFG168" s="153"/>
      <c r="PFH168" s="153"/>
      <c r="PFI168" s="153"/>
      <c r="PFJ168" s="153"/>
      <c r="PFK168" s="153"/>
      <c r="PFL168" s="153"/>
      <c r="PFM168" s="153"/>
      <c r="PFN168" s="153"/>
      <c r="PFO168" s="153"/>
      <c r="PFP168" s="153"/>
      <c r="PFQ168" s="153"/>
      <c r="PFR168" s="153"/>
      <c r="PFS168" s="153"/>
      <c r="PFT168" s="153"/>
      <c r="PFU168" s="153"/>
      <c r="PFV168" s="153"/>
      <c r="PFW168" s="153"/>
      <c r="PFX168" s="153"/>
      <c r="PFY168" s="153"/>
      <c r="PFZ168" s="153"/>
      <c r="PGA168" s="153"/>
      <c r="PGB168" s="153"/>
      <c r="PGC168" s="153"/>
      <c r="PGD168" s="153"/>
      <c r="PGE168" s="153"/>
      <c r="PGF168" s="153"/>
      <c r="PGG168" s="153"/>
      <c r="PGH168" s="153"/>
      <c r="PGI168" s="153"/>
      <c r="PGJ168" s="153"/>
      <c r="PGK168" s="153"/>
      <c r="PGL168" s="153"/>
      <c r="PGM168" s="153"/>
      <c r="PGN168" s="153"/>
      <c r="PGO168" s="153"/>
      <c r="PGP168" s="153"/>
      <c r="PGQ168" s="153"/>
      <c r="PGR168" s="153"/>
      <c r="PGS168" s="153"/>
      <c r="PGT168" s="153"/>
      <c r="PGU168" s="153"/>
      <c r="PGV168" s="153"/>
      <c r="PGW168" s="153"/>
      <c r="PGX168" s="153"/>
      <c r="PGY168" s="153"/>
      <c r="PGZ168" s="153"/>
      <c r="PHA168" s="153"/>
      <c r="PHB168" s="153"/>
      <c r="PHC168" s="153"/>
      <c r="PHD168" s="153"/>
      <c r="PHE168" s="153"/>
      <c r="PHF168" s="153"/>
      <c r="PHG168" s="153"/>
      <c r="PHH168" s="153"/>
      <c r="PHI168" s="153"/>
      <c r="PHJ168" s="153"/>
      <c r="PHK168" s="153"/>
      <c r="PHL168" s="153"/>
      <c r="PHM168" s="153"/>
      <c r="PHN168" s="153"/>
      <c r="PHO168" s="153"/>
      <c r="PHP168" s="153"/>
      <c r="PHQ168" s="153"/>
      <c r="PHR168" s="153"/>
      <c r="PHS168" s="153"/>
      <c r="PHT168" s="153"/>
      <c r="PHU168" s="153"/>
      <c r="PHV168" s="153"/>
      <c r="PHW168" s="153"/>
      <c r="PHX168" s="153"/>
      <c r="PHY168" s="153"/>
      <c r="PHZ168" s="153"/>
      <c r="PIA168" s="153"/>
      <c r="PIB168" s="153"/>
      <c r="PIC168" s="153"/>
      <c r="PID168" s="153"/>
      <c r="PIE168" s="153"/>
      <c r="PIF168" s="153"/>
      <c r="PIG168" s="153"/>
      <c r="PIH168" s="153"/>
      <c r="PII168" s="153"/>
      <c r="PIJ168" s="153"/>
      <c r="PIK168" s="153"/>
      <c r="PIL168" s="153"/>
      <c r="PIM168" s="153"/>
      <c r="PIN168" s="153"/>
      <c r="PIO168" s="153"/>
      <c r="PIP168" s="153"/>
      <c r="PIQ168" s="153"/>
      <c r="PIR168" s="153"/>
      <c r="PIS168" s="153"/>
      <c r="PIT168" s="153"/>
      <c r="PIU168" s="153"/>
      <c r="PIV168" s="153"/>
      <c r="PIW168" s="153"/>
      <c r="PIX168" s="153"/>
      <c r="PIY168" s="153"/>
      <c r="PIZ168" s="153"/>
      <c r="PJA168" s="153"/>
      <c r="PJB168" s="153"/>
      <c r="PJC168" s="153"/>
      <c r="PJD168" s="153"/>
      <c r="PJE168" s="153"/>
      <c r="PJF168" s="153"/>
      <c r="PJG168" s="153"/>
      <c r="PJH168" s="153"/>
      <c r="PJI168" s="153"/>
      <c r="PJJ168" s="153"/>
      <c r="PJK168" s="153"/>
      <c r="PJL168" s="153"/>
      <c r="PJM168" s="153"/>
      <c r="PJN168" s="153"/>
      <c r="PJO168" s="153"/>
      <c r="PJP168" s="153"/>
      <c r="PJQ168" s="153"/>
      <c r="PJR168" s="153"/>
      <c r="PJS168" s="153"/>
      <c r="PJT168" s="153"/>
      <c r="PJU168" s="153"/>
      <c r="PJV168" s="153"/>
      <c r="PJW168" s="153"/>
      <c r="PJX168" s="153"/>
      <c r="PJY168" s="153"/>
      <c r="PJZ168" s="153"/>
      <c r="PKA168" s="153"/>
      <c r="PKB168" s="153"/>
      <c r="PKC168" s="153"/>
      <c r="PKD168" s="153"/>
      <c r="PKE168" s="153"/>
      <c r="PKF168" s="153"/>
      <c r="PKG168" s="153"/>
      <c r="PKH168" s="153"/>
      <c r="PKI168" s="153"/>
      <c r="PKJ168" s="153"/>
      <c r="PKK168" s="153"/>
      <c r="PKL168" s="153"/>
      <c r="PKM168" s="153"/>
      <c r="PKN168" s="153"/>
      <c r="PKO168" s="153"/>
      <c r="PKP168" s="153"/>
      <c r="PKQ168" s="153"/>
      <c r="PKR168" s="153"/>
      <c r="PKS168" s="153"/>
      <c r="PKT168" s="153"/>
      <c r="PKU168" s="153"/>
      <c r="PKV168" s="153"/>
      <c r="PKW168" s="153"/>
      <c r="PKX168" s="153"/>
      <c r="PKY168" s="153"/>
      <c r="PKZ168" s="153"/>
      <c r="PLA168" s="153"/>
      <c r="PLB168" s="153"/>
      <c r="PLC168" s="153"/>
      <c r="PLD168" s="153"/>
      <c r="PLE168" s="153"/>
      <c r="PLF168" s="153"/>
      <c r="PLG168" s="153"/>
      <c r="PLH168" s="153"/>
      <c r="PLI168" s="153"/>
      <c r="PLJ168" s="153"/>
      <c r="PLK168" s="153"/>
      <c r="PLL168" s="153"/>
      <c r="PLM168" s="153"/>
      <c r="PLN168" s="153"/>
      <c r="PLO168" s="153"/>
      <c r="PLP168" s="153"/>
      <c r="PLQ168" s="153"/>
      <c r="PLR168" s="153"/>
      <c r="PLS168" s="153"/>
      <c r="PLT168" s="153"/>
      <c r="PLU168" s="153"/>
      <c r="PLV168" s="153"/>
      <c r="PLW168" s="153"/>
      <c r="PLX168" s="153"/>
      <c r="PLY168" s="153"/>
      <c r="PLZ168" s="153"/>
      <c r="PMA168" s="153"/>
      <c r="PMB168" s="153"/>
      <c r="PMC168" s="153"/>
      <c r="PMD168" s="153"/>
      <c r="PME168" s="153"/>
      <c r="PMF168" s="153"/>
      <c r="PMG168" s="153"/>
      <c r="PMH168" s="153"/>
      <c r="PMI168" s="153"/>
      <c r="PMJ168" s="153"/>
      <c r="PMK168" s="153"/>
      <c r="PML168" s="153"/>
      <c r="PMM168" s="153"/>
      <c r="PMN168" s="153"/>
      <c r="PMO168" s="153"/>
      <c r="PMP168" s="153"/>
      <c r="PMQ168" s="153"/>
      <c r="PMR168" s="153"/>
      <c r="PMS168" s="153"/>
      <c r="PMT168" s="153"/>
      <c r="PMU168" s="153"/>
      <c r="PMV168" s="153"/>
      <c r="PMW168" s="153"/>
      <c r="PMX168" s="153"/>
      <c r="PMY168" s="153"/>
      <c r="PMZ168" s="153"/>
      <c r="PNA168" s="153"/>
      <c r="PNB168" s="153"/>
      <c r="PNC168" s="153"/>
      <c r="PND168" s="153"/>
      <c r="PNE168" s="153"/>
      <c r="PNF168" s="153"/>
      <c r="PNG168" s="153"/>
      <c r="PNH168" s="153"/>
      <c r="PNI168" s="153"/>
      <c r="PNJ168" s="153"/>
      <c r="PNK168" s="153"/>
      <c r="PNL168" s="153"/>
      <c r="PNM168" s="153"/>
      <c r="PNN168" s="153"/>
      <c r="PNO168" s="153"/>
      <c r="PNP168" s="153"/>
      <c r="PNQ168" s="153"/>
      <c r="PNR168" s="153"/>
      <c r="PNS168" s="153"/>
      <c r="PNT168" s="153"/>
      <c r="PNU168" s="153"/>
      <c r="PNV168" s="153"/>
      <c r="PNW168" s="153"/>
      <c r="PNX168" s="153"/>
      <c r="PNY168" s="153"/>
      <c r="PNZ168" s="153"/>
      <c r="POA168" s="153"/>
      <c r="POB168" s="153"/>
      <c r="POC168" s="153"/>
      <c r="POD168" s="153"/>
      <c r="POE168" s="153"/>
      <c r="POF168" s="153"/>
      <c r="POG168" s="153"/>
      <c r="POH168" s="153"/>
      <c r="POI168" s="153"/>
      <c r="POJ168" s="153"/>
      <c r="POK168" s="153"/>
      <c r="POL168" s="153"/>
      <c r="POM168" s="153"/>
      <c r="PON168" s="153"/>
      <c r="POO168" s="153"/>
      <c r="POP168" s="153"/>
      <c r="POQ168" s="153"/>
      <c r="POR168" s="153"/>
      <c r="POS168" s="153"/>
      <c r="POT168" s="153"/>
      <c r="POU168" s="153"/>
      <c r="POV168" s="153"/>
      <c r="POW168" s="153"/>
      <c r="POX168" s="153"/>
      <c r="POY168" s="153"/>
      <c r="POZ168" s="153"/>
      <c r="PPA168" s="153"/>
      <c r="PPB168" s="153"/>
      <c r="PPC168" s="153"/>
      <c r="PPD168" s="153"/>
      <c r="PPE168" s="153"/>
      <c r="PPF168" s="153"/>
      <c r="PPG168" s="153"/>
      <c r="PPH168" s="153"/>
      <c r="PPI168" s="153"/>
      <c r="PPJ168" s="153"/>
      <c r="PPK168" s="153"/>
      <c r="PPL168" s="153"/>
      <c r="PPM168" s="153"/>
      <c r="PPN168" s="153"/>
      <c r="PPO168" s="153"/>
      <c r="PPP168" s="153"/>
      <c r="PPQ168" s="153"/>
      <c r="PPR168" s="153"/>
      <c r="PPS168" s="153"/>
      <c r="PPT168" s="153"/>
      <c r="PPU168" s="153"/>
      <c r="PPV168" s="153"/>
      <c r="PPW168" s="153"/>
      <c r="PPX168" s="153"/>
      <c r="PPY168" s="153"/>
      <c r="PPZ168" s="153"/>
      <c r="PQA168" s="153"/>
      <c r="PQB168" s="153"/>
      <c r="PQC168" s="153"/>
      <c r="PQD168" s="153"/>
      <c r="PQE168" s="153"/>
      <c r="PQF168" s="153"/>
      <c r="PQG168" s="153"/>
      <c r="PQH168" s="153"/>
      <c r="PQI168" s="153"/>
      <c r="PQJ168" s="153"/>
      <c r="PQK168" s="153"/>
      <c r="PQL168" s="153"/>
      <c r="PQM168" s="153"/>
      <c r="PQN168" s="153"/>
      <c r="PQO168" s="153"/>
      <c r="PQP168" s="153"/>
      <c r="PQQ168" s="153"/>
      <c r="PQR168" s="153"/>
      <c r="PQS168" s="153"/>
      <c r="PQT168" s="153"/>
      <c r="PQU168" s="153"/>
      <c r="PQV168" s="153"/>
      <c r="PQW168" s="153"/>
      <c r="PQX168" s="153"/>
      <c r="PQY168" s="153"/>
      <c r="PQZ168" s="153"/>
      <c r="PRA168" s="153"/>
      <c r="PRB168" s="153"/>
      <c r="PRC168" s="153"/>
      <c r="PRD168" s="153"/>
      <c r="PRE168" s="153"/>
      <c r="PRF168" s="153"/>
      <c r="PRG168" s="153"/>
      <c r="PRH168" s="153"/>
      <c r="PRI168" s="153"/>
      <c r="PRJ168" s="153"/>
      <c r="PRK168" s="153"/>
      <c r="PRL168" s="153"/>
      <c r="PRM168" s="153"/>
      <c r="PRN168" s="153"/>
      <c r="PRO168" s="153"/>
      <c r="PRP168" s="153"/>
      <c r="PRQ168" s="153"/>
      <c r="PRR168" s="153"/>
      <c r="PRS168" s="153"/>
      <c r="PRT168" s="153"/>
      <c r="PRU168" s="153"/>
      <c r="PRV168" s="153"/>
      <c r="PRW168" s="153"/>
      <c r="PRX168" s="153"/>
      <c r="PRY168" s="153"/>
      <c r="PRZ168" s="153"/>
      <c r="PSA168" s="153"/>
      <c r="PSB168" s="153"/>
      <c r="PSC168" s="153"/>
      <c r="PSD168" s="153"/>
      <c r="PSE168" s="153"/>
      <c r="PSF168" s="153"/>
      <c r="PSG168" s="153"/>
      <c r="PSH168" s="153"/>
      <c r="PSI168" s="153"/>
      <c r="PSJ168" s="153"/>
      <c r="PSK168" s="153"/>
      <c r="PSL168" s="153"/>
      <c r="PSM168" s="153"/>
      <c r="PSN168" s="153"/>
      <c r="PSO168" s="153"/>
      <c r="PSP168" s="153"/>
      <c r="PSQ168" s="153"/>
      <c r="PSR168" s="153"/>
      <c r="PSS168" s="153"/>
      <c r="PST168" s="153"/>
      <c r="PSU168" s="153"/>
      <c r="PSV168" s="153"/>
      <c r="PSW168" s="153"/>
      <c r="PSX168" s="153"/>
      <c r="PSY168" s="153"/>
      <c r="PSZ168" s="153"/>
      <c r="PTA168" s="153"/>
      <c r="PTB168" s="153"/>
      <c r="PTC168" s="153"/>
      <c r="PTD168" s="153"/>
      <c r="PTE168" s="153"/>
      <c r="PTF168" s="153"/>
      <c r="PTG168" s="153"/>
      <c r="PTH168" s="153"/>
      <c r="PTI168" s="153"/>
      <c r="PTJ168" s="153"/>
      <c r="PTK168" s="153"/>
      <c r="PTL168" s="153"/>
      <c r="PTM168" s="153"/>
      <c r="PTN168" s="153"/>
      <c r="PTO168" s="153"/>
      <c r="PTP168" s="153"/>
      <c r="PTQ168" s="153"/>
      <c r="PTR168" s="153"/>
      <c r="PTS168" s="153"/>
      <c r="PTT168" s="153"/>
      <c r="PTU168" s="153"/>
      <c r="PTV168" s="153"/>
      <c r="PTW168" s="153"/>
      <c r="PTX168" s="153"/>
      <c r="PTY168" s="153"/>
      <c r="PTZ168" s="153"/>
      <c r="PUA168" s="153"/>
      <c r="PUB168" s="153"/>
      <c r="PUC168" s="153"/>
      <c r="PUD168" s="153"/>
      <c r="PUE168" s="153"/>
      <c r="PUF168" s="153"/>
      <c r="PUG168" s="153"/>
      <c r="PUH168" s="153"/>
      <c r="PUI168" s="153"/>
      <c r="PUJ168" s="153"/>
      <c r="PUK168" s="153"/>
      <c r="PUL168" s="153"/>
      <c r="PUM168" s="153"/>
      <c r="PUN168" s="153"/>
      <c r="PUO168" s="153"/>
      <c r="PUP168" s="153"/>
      <c r="PUQ168" s="153"/>
      <c r="PUR168" s="153"/>
      <c r="PUS168" s="153"/>
      <c r="PUT168" s="153"/>
      <c r="PUU168" s="153"/>
      <c r="PUV168" s="153"/>
      <c r="PUW168" s="153"/>
      <c r="PUX168" s="153"/>
      <c r="PUY168" s="153"/>
      <c r="PUZ168" s="153"/>
      <c r="PVA168" s="153"/>
      <c r="PVB168" s="153"/>
      <c r="PVC168" s="153"/>
      <c r="PVD168" s="153"/>
      <c r="PVE168" s="153"/>
      <c r="PVF168" s="153"/>
      <c r="PVG168" s="153"/>
      <c r="PVH168" s="153"/>
      <c r="PVI168" s="153"/>
      <c r="PVJ168" s="153"/>
      <c r="PVK168" s="153"/>
      <c r="PVL168" s="153"/>
      <c r="PVM168" s="153"/>
      <c r="PVN168" s="153"/>
      <c r="PVO168" s="153"/>
      <c r="PVP168" s="153"/>
      <c r="PVQ168" s="153"/>
      <c r="PVR168" s="153"/>
      <c r="PVS168" s="153"/>
      <c r="PVT168" s="153"/>
      <c r="PVU168" s="153"/>
      <c r="PVV168" s="153"/>
      <c r="PVW168" s="153"/>
      <c r="PVX168" s="153"/>
      <c r="PVY168" s="153"/>
      <c r="PVZ168" s="153"/>
      <c r="PWA168" s="153"/>
      <c r="PWB168" s="153"/>
      <c r="PWC168" s="153"/>
      <c r="PWD168" s="153"/>
      <c r="PWE168" s="153"/>
      <c r="PWF168" s="153"/>
      <c r="PWG168" s="153"/>
      <c r="PWH168" s="153"/>
      <c r="PWI168" s="153"/>
      <c r="PWJ168" s="153"/>
      <c r="PWK168" s="153"/>
      <c r="PWL168" s="153"/>
      <c r="PWM168" s="153"/>
      <c r="PWN168" s="153"/>
      <c r="PWO168" s="153"/>
      <c r="PWP168" s="153"/>
      <c r="PWQ168" s="153"/>
      <c r="PWR168" s="153"/>
      <c r="PWS168" s="153"/>
      <c r="PWT168" s="153"/>
      <c r="PWU168" s="153"/>
      <c r="PWV168" s="153"/>
      <c r="PWW168" s="153"/>
      <c r="PWX168" s="153"/>
      <c r="PWY168" s="153"/>
      <c r="PWZ168" s="153"/>
      <c r="PXA168" s="153"/>
      <c r="PXB168" s="153"/>
      <c r="PXC168" s="153"/>
      <c r="PXD168" s="153"/>
      <c r="PXE168" s="153"/>
      <c r="PXF168" s="153"/>
      <c r="PXG168" s="153"/>
      <c r="PXH168" s="153"/>
      <c r="PXI168" s="153"/>
      <c r="PXJ168" s="153"/>
      <c r="PXK168" s="153"/>
      <c r="PXL168" s="153"/>
      <c r="PXM168" s="153"/>
      <c r="PXN168" s="153"/>
      <c r="PXO168" s="153"/>
      <c r="PXP168" s="153"/>
      <c r="PXQ168" s="153"/>
      <c r="PXR168" s="153"/>
      <c r="PXS168" s="153"/>
      <c r="PXT168" s="153"/>
      <c r="PXU168" s="153"/>
      <c r="PXV168" s="153"/>
      <c r="PXW168" s="153"/>
      <c r="PXX168" s="153"/>
      <c r="PXY168" s="153"/>
      <c r="PXZ168" s="153"/>
      <c r="PYA168" s="153"/>
      <c r="PYB168" s="153"/>
      <c r="PYC168" s="153"/>
      <c r="PYD168" s="153"/>
      <c r="PYE168" s="153"/>
      <c r="PYF168" s="153"/>
      <c r="PYG168" s="153"/>
      <c r="PYH168" s="153"/>
      <c r="PYI168" s="153"/>
      <c r="PYJ168" s="153"/>
      <c r="PYK168" s="153"/>
      <c r="PYL168" s="153"/>
      <c r="PYM168" s="153"/>
      <c r="PYN168" s="153"/>
      <c r="PYO168" s="153"/>
      <c r="PYP168" s="153"/>
      <c r="PYQ168" s="153"/>
      <c r="PYR168" s="153"/>
      <c r="PYS168" s="153"/>
      <c r="PYT168" s="153"/>
      <c r="PYU168" s="153"/>
      <c r="PYV168" s="153"/>
      <c r="PYW168" s="153"/>
      <c r="PYX168" s="153"/>
      <c r="PYY168" s="153"/>
      <c r="PYZ168" s="153"/>
      <c r="PZA168" s="153"/>
      <c r="PZB168" s="153"/>
      <c r="PZC168" s="153"/>
      <c r="PZD168" s="153"/>
      <c r="PZE168" s="153"/>
      <c r="PZF168" s="153"/>
      <c r="PZG168" s="153"/>
      <c r="PZH168" s="153"/>
      <c r="PZI168" s="153"/>
      <c r="PZJ168" s="153"/>
      <c r="PZK168" s="153"/>
      <c r="PZL168" s="153"/>
      <c r="PZM168" s="153"/>
      <c r="PZN168" s="153"/>
      <c r="PZO168" s="153"/>
      <c r="PZP168" s="153"/>
      <c r="PZQ168" s="153"/>
      <c r="PZR168" s="153"/>
      <c r="PZS168" s="153"/>
      <c r="PZT168" s="153"/>
      <c r="PZU168" s="153"/>
      <c r="PZV168" s="153"/>
      <c r="PZW168" s="153"/>
      <c r="PZX168" s="153"/>
      <c r="PZY168" s="153"/>
      <c r="PZZ168" s="153"/>
      <c r="QAA168" s="153"/>
      <c r="QAB168" s="153"/>
      <c r="QAC168" s="153"/>
      <c r="QAD168" s="153"/>
      <c r="QAE168" s="153"/>
      <c r="QAF168" s="153"/>
      <c r="QAG168" s="153"/>
      <c r="QAH168" s="153"/>
      <c r="QAI168" s="153"/>
      <c r="QAJ168" s="153"/>
      <c r="QAK168" s="153"/>
      <c r="QAL168" s="153"/>
      <c r="QAM168" s="153"/>
      <c r="QAN168" s="153"/>
      <c r="QAO168" s="153"/>
      <c r="QAP168" s="153"/>
      <c r="QAQ168" s="153"/>
      <c r="QAR168" s="153"/>
      <c r="QAS168" s="153"/>
      <c r="QAT168" s="153"/>
      <c r="QAU168" s="153"/>
      <c r="QAV168" s="153"/>
      <c r="QAW168" s="153"/>
      <c r="QAX168" s="153"/>
      <c r="QAY168" s="153"/>
      <c r="QAZ168" s="153"/>
      <c r="QBA168" s="153"/>
      <c r="QBB168" s="153"/>
      <c r="QBC168" s="153"/>
      <c r="QBD168" s="153"/>
      <c r="QBE168" s="153"/>
      <c r="QBF168" s="153"/>
      <c r="QBG168" s="153"/>
      <c r="QBH168" s="153"/>
      <c r="QBI168" s="153"/>
      <c r="QBJ168" s="153"/>
      <c r="QBK168" s="153"/>
      <c r="QBL168" s="153"/>
      <c r="QBM168" s="153"/>
      <c r="QBN168" s="153"/>
      <c r="QBO168" s="153"/>
      <c r="QBP168" s="153"/>
      <c r="QBQ168" s="153"/>
      <c r="QBR168" s="153"/>
      <c r="QBS168" s="153"/>
      <c r="QBT168" s="153"/>
      <c r="QBU168" s="153"/>
      <c r="QBV168" s="153"/>
      <c r="QBW168" s="153"/>
      <c r="QBX168" s="153"/>
      <c r="QBY168" s="153"/>
      <c r="QBZ168" s="153"/>
      <c r="QCA168" s="153"/>
      <c r="QCB168" s="153"/>
      <c r="QCC168" s="153"/>
      <c r="QCD168" s="153"/>
      <c r="QCE168" s="153"/>
      <c r="QCF168" s="153"/>
      <c r="QCG168" s="153"/>
      <c r="QCH168" s="153"/>
      <c r="QCI168" s="153"/>
      <c r="QCJ168" s="153"/>
      <c r="QCK168" s="153"/>
      <c r="QCL168" s="153"/>
      <c r="QCM168" s="153"/>
      <c r="QCN168" s="153"/>
      <c r="QCO168" s="153"/>
      <c r="QCP168" s="153"/>
      <c r="QCQ168" s="153"/>
      <c r="QCR168" s="153"/>
      <c r="QCS168" s="153"/>
      <c r="QCT168" s="153"/>
      <c r="QCU168" s="153"/>
      <c r="QCV168" s="153"/>
      <c r="QCW168" s="153"/>
      <c r="QCX168" s="153"/>
      <c r="QCY168" s="153"/>
      <c r="QCZ168" s="153"/>
      <c r="QDA168" s="153"/>
      <c r="QDB168" s="153"/>
      <c r="QDC168" s="153"/>
      <c r="QDD168" s="153"/>
      <c r="QDE168" s="153"/>
      <c r="QDF168" s="153"/>
      <c r="QDG168" s="153"/>
      <c r="QDH168" s="153"/>
      <c r="QDI168" s="153"/>
      <c r="QDJ168" s="153"/>
      <c r="QDK168" s="153"/>
      <c r="QDL168" s="153"/>
      <c r="QDM168" s="153"/>
      <c r="QDN168" s="153"/>
      <c r="QDO168" s="153"/>
      <c r="QDP168" s="153"/>
      <c r="QDQ168" s="153"/>
      <c r="QDR168" s="153"/>
      <c r="QDS168" s="153"/>
      <c r="QDT168" s="153"/>
      <c r="QDU168" s="153"/>
      <c r="QDV168" s="153"/>
      <c r="QDW168" s="153"/>
      <c r="QDX168" s="153"/>
      <c r="QDY168" s="153"/>
      <c r="QDZ168" s="153"/>
      <c r="QEA168" s="153"/>
      <c r="QEB168" s="153"/>
      <c r="QEC168" s="153"/>
      <c r="QED168" s="153"/>
      <c r="QEE168" s="153"/>
      <c r="QEF168" s="153"/>
      <c r="QEG168" s="153"/>
      <c r="QEH168" s="153"/>
      <c r="QEI168" s="153"/>
      <c r="QEJ168" s="153"/>
      <c r="QEK168" s="153"/>
      <c r="QEL168" s="153"/>
      <c r="QEM168" s="153"/>
      <c r="QEN168" s="153"/>
      <c r="QEO168" s="153"/>
      <c r="QEP168" s="153"/>
      <c r="QEQ168" s="153"/>
      <c r="QER168" s="153"/>
      <c r="QES168" s="153"/>
      <c r="QET168" s="153"/>
      <c r="QEU168" s="153"/>
      <c r="QEV168" s="153"/>
      <c r="QEW168" s="153"/>
      <c r="QEX168" s="153"/>
      <c r="QEY168" s="153"/>
      <c r="QEZ168" s="153"/>
      <c r="QFA168" s="153"/>
      <c r="QFB168" s="153"/>
      <c r="QFC168" s="153"/>
      <c r="QFD168" s="153"/>
      <c r="QFE168" s="153"/>
      <c r="QFF168" s="153"/>
      <c r="QFG168" s="153"/>
      <c r="QFH168" s="153"/>
      <c r="QFI168" s="153"/>
      <c r="QFJ168" s="153"/>
      <c r="QFK168" s="153"/>
      <c r="QFL168" s="153"/>
      <c r="QFM168" s="153"/>
      <c r="QFN168" s="153"/>
      <c r="QFO168" s="153"/>
      <c r="QFP168" s="153"/>
      <c r="QFQ168" s="153"/>
      <c r="QFR168" s="153"/>
      <c r="QFS168" s="153"/>
      <c r="QFT168" s="153"/>
      <c r="QFU168" s="153"/>
      <c r="QFV168" s="153"/>
      <c r="QFW168" s="153"/>
      <c r="QFX168" s="153"/>
      <c r="QFY168" s="153"/>
      <c r="QFZ168" s="153"/>
      <c r="QGA168" s="153"/>
      <c r="QGB168" s="153"/>
      <c r="QGC168" s="153"/>
      <c r="QGD168" s="153"/>
      <c r="QGE168" s="153"/>
      <c r="QGF168" s="153"/>
      <c r="QGG168" s="153"/>
      <c r="QGH168" s="153"/>
      <c r="QGI168" s="153"/>
      <c r="QGJ168" s="153"/>
      <c r="QGK168" s="153"/>
      <c r="QGL168" s="153"/>
      <c r="QGM168" s="153"/>
      <c r="QGN168" s="153"/>
      <c r="QGO168" s="153"/>
      <c r="QGP168" s="153"/>
      <c r="QGQ168" s="153"/>
      <c r="QGR168" s="153"/>
      <c r="QGS168" s="153"/>
      <c r="QGT168" s="153"/>
      <c r="QGU168" s="153"/>
      <c r="QGV168" s="153"/>
      <c r="QGW168" s="153"/>
      <c r="QGX168" s="153"/>
      <c r="QGY168" s="153"/>
      <c r="QGZ168" s="153"/>
      <c r="QHA168" s="153"/>
      <c r="QHB168" s="153"/>
      <c r="QHC168" s="153"/>
      <c r="QHD168" s="153"/>
      <c r="QHE168" s="153"/>
      <c r="QHF168" s="153"/>
      <c r="QHG168" s="153"/>
      <c r="QHH168" s="153"/>
      <c r="QHI168" s="153"/>
      <c r="QHJ168" s="153"/>
      <c r="QHK168" s="153"/>
      <c r="QHL168" s="153"/>
      <c r="QHM168" s="153"/>
      <c r="QHN168" s="153"/>
      <c r="QHO168" s="153"/>
      <c r="QHP168" s="153"/>
      <c r="QHQ168" s="153"/>
      <c r="QHR168" s="153"/>
      <c r="QHS168" s="153"/>
      <c r="QHT168" s="153"/>
      <c r="QHU168" s="153"/>
      <c r="QHV168" s="153"/>
      <c r="QHW168" s="153"/>
      <c r="QHX168" s="153"/>
      <c r="QHY168" s="153"/>
      <c r="QHZ168" s="153"/>
      <c r="QIA168" s="153"/>
      <c r="QIB168" s="153"/>
      <c r="QIC168" s="153"/>
      <c r="QID168" s="153"/>
      <c r="QIE168" s="153"/>
      <c r="QIF168" s="153"/>
      <c r="QIG168" s="153"/>
      <c r="QIH168" s="153"/>
      <c r="QII168" s="153"/>
      <c r="QIJ168" s="153"/>
      <c r="QIK168" s="153"/>
      <c r="QIL168" s="153"/>
      <c r="QIM168" s="153"/>
      <c r="QIN168" s="153"/>
      <c r="QIO168" s="153"/>
      <c r="QIP168" s="153"/>
      <c r="QIQ168" s="153"/>
      <c r="QIR168" s="153"/>
      <c r="QIS168" s="153"/>
      <c r="QIT168" s="153"/>
      <c r="QIU168" s="153"/>
      <c r="QIV168" s="153"/>
      <c r="QIW168" s="153"/>
      <c r="QIX168" s="153"/>
      <c r="QIY168" s="153"/>
      <c r="QIZ168" s="153"/>
      <c r="QJA168" s="153"/>
      <c r="QJB168" s="153"/>
      <c r="QJC168" s="153"/>
      <c r="QJD168" s="153"/>
      <c r="QJE168" s="153"/>
      <c r="QJF168" s="153"/>
      <c r="QJG168" s="153"/>
      <c r="QJH168" s="153"/>
      <c r="QJI168" s="153"/>
      <c r="QJJ168" s="153"/>
      <c r="QJK168" s="153"/>
      <c r="QJL168" s="153"/>
      <c r="QJM168" s="153"/>
      <c r="QJN168" s="153"/>
      <c r="QJO168" s="153"/>
      <c r="QJP168" s="153"/>
      <c r="QJQ168" s="153"/>
      <c r="QJR168" s="153"/>
      <c r="QJS168" s="153"/>
      <c r="QJT168" s="153"/>
      <c r="QJU168" s="153"/>
      <c r="QJV168" s="153"/>
      <c r="QJW168" s="153"/>
      <c r="QJX168" s="153"/>
      <c r="QJY168" s="153"/>
      <c r="QJZ168" s="153"/>
      <c r="QKA168" s="153"/>
      <c r="QKB168" s="153"/>
      <c r="QKC168" s="153"/>
      <c r="QKD168" s="153"/>
      <c r="QKE168" s="153"/>
      <c r="QKF168" s="153"/>
      <c r="QKG168" s="153"/>
      <c r="QKH168" s="153"/>
      <c r="QKI168" s="153"/>
      <c r="QKJ168" s="153"/>
      <c r="QKK168" s="153"/>
      <c r="QKL168" s="153"/>
      <c r="QKM168" s="153"/>
      <c r="QKN168" s="153"/>
      <c r="QKO168" s="153"/>
      <c r="QKP168" s="153"/>
      <c r="QKQ168" s="153"/>
      <c r="QKR168" s="153"/>
      <c r="QKS168" s="153"/>
      <c r="QKT168" s="153"/>
      <c r="QKU168" s="153"/>
      <c r="QKV168" s="153"/>
      <c r="QKW168" s="153"/>
      <c r="QKX168" s="153"/>
      <c r="QKY168" s="153"/>
      <c r="QKZ168" s="153"/>
      <c r="QLA168" s="153"/>
      <c r="QLB168" s="153"/>
      <c r="QLC168" s="153"/>
      <c r="QLD168" s="153"/>
      <c r="QLE168" s="153"/>
      <c r="QLF168" s="153"/>
      <c r="QLG168" s="153"/>
      <c r="QLH168" s="153"/>
      <c r="QLI168" s="153"/>
      <c r="QLJ168" s="153"/>
      <c r="QLK168" s="153"/>
      <c r="QLL168" s="153"/>
      <c r="QLM168" s="153"/>
      <c r="QLN168" s="153"/>
      <c r="QLO168" s="153"/>
      <c r="QLP168" s="153"/>
      <c r="QLQ168" s="153"/>
      <c r="QLR168" s="153"/>
      <c r="QLS168" s="153"/>
      <c r="QLT168" s="153"/>
      <c r="QLU168" s="153"/>
      <c r="QLV168" s="153"/>
      <c r="QLW168" s="153"/>
      <c r="QLX168" s="153"/>
      <c r="QLY168" s="153"/>
      <c r="QLZ168" s="153"/>
      <c r="QMA168" s="153"/>
      <c r="QMB168" s="153"/>
      <c r="QMC168" s="153"/>
      <c r="QMD168" s="153"/>
      <c r="QME168" s="153"/>
      <c r="QMF168" s="153"/>
      <c r="QMG168" s="153"/>
      <c r="QMH168" s="153"/>
      <c r="QMI168" s="153"/>
      <c r="QMJ168" s="153"/>
      <c r="QMK168" s="153"/>
      <c r="QML168" s="153"/>
      <c r="QMM168" s="153"/>
      <c r="QMN168" s="153"/>
      <c r="QMO168" s="153"/>
      <c r="QMP168" s="153"/>
      <c r="QMQ168" s="153"/>
      <c r="QMR168" s="153"/>
      <c r="QMS168" s="153"/>
      <c r="QMT168" s="153"/>
      <c r="QMU168" s="153"/>
      <c r="QMV168" s="153"/>
      <c r="QMW168" s="153"/>
      <c r="QMX168" s="153"/>
      <c r="QMY168" s="153"/>
      <c r="QMZ168" s="153"/>
      <c r="QNA168" s="153"/>
      <c r="QNB168" s="153"/>
      <c r="QNC168" s="153"/>
      <c r="QND168" s="153"/>
      <c r="QNE168" s="153"/>
      <c r="QNF168" s="153"/>
      <c r="QNG168" s="153"/>
      <c r="QNH168" s="153"/>
      <c r="QNI168" s="153"/>
      <c r="QNJ168" s="153"/>
      <c r="QNK168" s="153"/>
      <c r="QNL168" s="153"/>
      <c r="QNM168" s="153"/>
      <c r="QNN168" s="153"/>
      <c r="QNO168" s="153"/>
      <c r="QNP168" s="153"/>
      <c r="QNQ168" s="153"/>
      <c r="QNR168" s="153"/>
      <c r="QNS168" s="153"/>
      <c r="QNT168" s="153"/>
      <c r="QNU168" s="153"/>
      <c r="QNV168" s="153"/>
      <c r="QNW168" s="153"/>
      <c r="QNX168" s="153"/>
      <c r="QNY168" s="153"/>
      <c r="QNZ168" s="153"/>
      <c r="QOA168" s="153"/>
      <c r="QOB168" s="153"/>
      <c r="QOC168" s="153"/>
      <c r="QOD168" s="153"/>
      <c r="QOE168" s="153"/>
      <c r="QOF168" s="153"/>
      <c r="QOG168" s="153"/>
      <c r="QOH168" s="153"/>
      <c r="QOI168" s="153"/>
      <c r="QOJ168" s="153"/>
      <c r="QOK168" s="153"/>
      <c r="QOL168" s="153"/>
      <c r="QOM168" s="153"/>
      <c r="QON168" s="153"/>
      <c r="QOO168" s="153"/>
      <c r="QOP168" s="153"/>
      <c r="QOQ168" s="153"/>
      <c r="QOR168" s="153"/>
      <c r="QOS168" s="153"/>
      <c r="QOT168" s="153"/>
      <c r="QOU168" s="153"/>
      <c r="QOV168" s="153"/>
      <c r="QOW168" s="153"/>
      <c r="QOX168" s="153"/>
      <c r="QOY168" s="153"/>
      <c r="QOZ168" s="153"/>
      <c r="QPA168" s="153"/>
      <c r="QPB168" s="153"/>
      <c r="QPC168" s="153"/>
      <c r="QPD168" s="153"/>
      <c r="QPE168" s="153"/>
      <c r="QPF168" s="153"/>
      <c r="QPG168" s="153"/>
      <c r="QPH168" s="153"/>
      <c r="QPI168" s="153"/>
      <c r="QPJ168" s="153"/>
      <c r="QPK168" s="153"/>
      <c r="QPL168" s="153"/>
      <c r="QPM168" s="153"/>
      <c r="QPN168" s="153"/>
      <c r="QPO168" s="153"/>
      <c r="QPP168" s="153"/>
      <c r="QPQ168" s="153"/>
      <c r="QPR168" s="153"/>
      <c r="QPS168" s="153"/>
      <c r="QPT168" s="153"/>
      <c r="QPU168" s="153"/>
      <c r="QPV168" s="153"/>
      <c r="QPW168" s="153"/>
      <c r="QPX168" s="153"/>
      <c r="QPY168" s="153"/>
      <c r="QPZ168" s="153"/>
      <c r="QQA168" s="153"/>
      <c r="QQB168" s="153"/>
      <c r="QQC168" s="153"/>
      <c r="QQD168" s="153"/>
      <c r="QQE168" s="153"/>
      <c r="QQF168" s="153"/>
      <c r="QQG168" s="153"/>
      <c r="QQH168" s="153"/>
      <c r="QQI168" s="153"/>
      <c r="QQJ168" s="153"/>
      <c r="QQK168" s="153"/>
      <c r="QQL168" s="153"/>
      <c r="QQM168" s="153"/>
      <c r="QQN168" s="153"/>
      <c r="QQO168" s="153"/>
      <c r="QQP168" s="153"/>
      <c r="QQQ168" s="153"/>
      <c r="QQR168" s="153"/>
      <c r="QQS168" s="153"/>
      <c r="QQT168" s="153"/>
      <c r="QQU168" s="153"/>
      <c r="QQV168" s="153"/>
      <c r="QQW168" s="153"/>
      <c r="QQX168" s="153"/>
      <c r="QQY168" s="153"/>
      <c r="QQZ168" s="153"/>
      <c r="QRA168" s="153"/>
      <c r="QRB168" s="153"/>
      <c r="QRC168" s="153"/>
      <c r="QRD168" s="153"/>
      <c r="QRE168" s="153"/>
      <c r="QRF168" s="153"/>
      <c r="QRG168" s="153"/>
      <c r="QRH168" s="153"/>
      <c r="QRI168" s="153"/>
      <c r="QRJ168" s="153"/>
      <c r="QRK168" s="153"/>
      <c r="QRL168" s="153"/>
      <c r="QRM168" s="153"/>
      <c r="QRN168" s="153"/>
      <c r="QRO168" s="153"/>
      <c r="QRP168" s="153"/>
      <c r="QRQ168" s="153"/>
      <c r="QRR168" s="153"/>
      <c r="QRS168" s="153"/>
      <c r="QRT168" s="153"/>
      <c r="QRU168" s="153"/>
      <c r="QRV168" s="153"/>
      <c r="QRW168" s="153"/>
      <c r="QRX168" s="153"/>
      <c r="QRY168" s="153"/>
      <c r="QRZ168" s="153"/>
      <c r="QSA168" s="153"/>
      <c r="QSB168" s="153"/>
      <c r="QSC168" s="153"/>
      <c r="QSD168" s="153"/>
      <c r="QSE168" s="153"/>
      <c r="QSF168" s="153"/>
      <c r="QSG168" s="153"/>
      <c r="QSH168" s="153"/>
      <c r="QSI168" s="153"/>
      <c r="QSJ168" s="153"/>
      <c r="QSK168" s="153"/>
      <c r="QSL168" s="153"/>
      <c r="QSM168" s="153"/>
      <c r="QSN168" s="153"/>
      <c r="QSO168" s="153"/>
      <c r="QSP168" s="153"/>
      <c r="QSQ168" s="153"/>
      <c r="QSR168" s="153"/>
      <c r="QSS168" s="153"/>
      <c r="QST168" s="153"/>
      <c r="QSU168" s="153"/>
      <c r="QSV168" s="153"/>
      <c r="QSW168" s="153"/>
      <c r="QSX168" s="153"/>
      <c r="QSY168" s="153"/>
      <c r="QSZ168" s="153"/>
      <c r="QTA168" s="153"/>
      <c r="QTB168" s="153"/>
      <c r="QTC168" s="153"/>
      <c r="QTD168" s="153"/>
      <c r="QTE168" s="153"/>
      <c r="QTF168" s="153"/>
      <c r="QTG168" s="153"/>
      <c r="QTH168" s="153"/>
      <c r="QTI168" s="153"/>
      <c r="QTJ168" s="153"/>
      <c r="QTK168" s="153"/>
      <c r="QTL168" s="153"/>
      <c r="QTM168" s="153"/>
      <c r="QTN168" s="153"/>
      <c r="QTO168" s="153"/>
      <c r="QTP168" s="153"/>
      <c r="QTQ168" s="153"/>
      <c r="QTR168" s="153"/>
      <c r="QTS168" s="153"/>
      <c r="QTT168" s="153"/>
      <c r="QTU168" s="153"/>
      <c r="QTV168" s="153"/>
      <c r="QTW168" s="153"/>
      <c r="QTX168" s="153"/>
      <c r="QTY168" s="153"/>
      <c r="QTZ168" s="153"/>
      <c r="QUA168" s="153"/>
      <c r="QUB168" s="153"/>
      <c r="QUC168" s="153"/>
      <c r="QUD168" s="153"/>
      <c r="QUE168" s="153"/>
      <c r="QUF168" s="153"/>
      <c r="QUG168" s="153"/>
      <c r="QUH168" s="153"/>
      <c r="QUI168" s="153"/>
      <c r="QUJ168" s="153"/>
      <c r="QUK168" s="153"/>
      <c r="QUL168" s="153"/>
      <c r="QUM168" s="153"/>
      <c r="QUN168" s="153"/>
      <c r="QUO168" s="153"/>
      <c r="QUP168" s="153"/>
      <c r="QUQ168" s="153"/>
      <c r="QUR168" s="153"/>
      <c r="QUS168" s="153"/>
      <c r="QUT168" s="153"/>
      <c r="QUU168" s="153"/>
      <c r="QUV168" s="153"/>
      <c r="QUW168" s="153"/>
      <c r="QUX168" s="153"/>
      <c r="QUY168" s="153"/>
      <c r="QUZ168" s="153"/>
      <c r="QVA168" s="153"/>
      <c r="QVB168" s="153"/>
      <c r="QVC168" s="153"/>
      <c r="QVD168" s="153"/>
      <c r="QVE168" s="153"/>
      <c r="QVF168" s="153"/>
      <c r="QVG168" s="153"/>
      <c r="QVH168" s="153"/>
      <c r="QVI168" s="153"/>
      <c r="QVJ168" s="153"/>
      <c r="QVK168" s="153"/>
      <c r="QVL168" s="153"/>
      <c r="QVM168" s="153"/>
      <c r="QVN168" s="153"/>
      <c r="QVO168" s="153"/>
      <c r="QVP168" s="153"/>
      <c r="QVQ168" s="153"/>
      <c r="QVR168" s="153"/>
      <c r="QVS168" s="153"/>
      <c r="QVT168" s="153"/>
      <c r="QVU168" s="153"/>
      <c r="QVV168" s="153"/>
      <c r="QVW168" s="153"/>
      <c r="QVX168" s="153"/>
      <c r="QVY168" s="153"/>
      <c r="QVZ168" s="153"/>
      <c r="QWA168" s="153"/>
      <c r="QWB168" s="153"/>
      <c r="QWC168" s="153"/>
      <c r="QWD168" s="153"/>
      <c r="QWE168" s="153"/>
      <c r="QWF168" s="153"/>
      <c r="QWG168" s="153"/>
      <c r="QWH168" s="153"/>
      <c r="QWI168" s="153"/>
      <c r="QWJ168" s="153"/>
      <c r="QWK168" s="153"/>
      <c r="QWL168" s="153"/>
      <c r="QWM168" s="153"/>
      <c r="QWN168" s="153"/>
      <c r="QWO168" s="153"/>
      <c r="QWP168" s="153"/>
      <c r="QWQ168" s="153"/>
      <c r="QWR168" s="153"/>
      <c r="QWS168" s="153"/>
      <c r="QWT168" s="153"/>
      <c r="QWU168" s="153"/>
      <c r="QWV168" s="153"/>
      <c r="QWW168" s="153"/>
      <c r="QWX168" s="153"/>
      <c r="QWY168" s="153"/>
      <c r="QWZ168" s="153"/>
      <c r="QXA168" s="153"/>
      <c r="QXB168" s="153"/>
      <c r="QXC168" s="153"/>
      <c r="QXD168" s="153"/>
      <c r="QXE168" s="153"/>
      <c r="QXF168" s="153"/>
      <c r="QXG168" s="153"/>
      <c r="QXH168" s="153"/>
      <c r="QXI168" s="153"/>
      <c r="QXJ168" s="153"/>
      <c r="QXK168" s="153"/>
      <c r="QXL168" s="153"/>
      <c r="QXM168" s="153"/>
      <c r="QXN168" s="153"/>
      <c r="QXO168" s="153"/>
      <c r="QXP168" s="153"/>
      <c r="QXQ168" s="153"/>
      <c r="QXR168" s="153"/>
      <c r="QXS168" s="153"/>
      <c r="QXT168" s="153"/>
      <c r="QXU168" s="153"/>
      <c r="QXV168" s="153"/>
      <c r="QXW168" s="153"/>
      <c r="QXX168" s="153"/>
      <c r="QXY168" s="153"/>
      <c r="QXZ168" s="153"/>
      <c r="QYA168" s="153"/>
      <c r="QYB168" s="153"/>
      <c r="QYC168" s="153"/>
      <c r="QYD168" s="153"/>
      <c r="QYE168" s="153"/>
      <c r="QYF168" s="153"/>
      <c r="QYG168" s="153"/>
      <c r="QYH168" s="153"/>
      <c r="QYI168" s="153"/>
      <c r="QYJ168" s="153"/>
      <c r="QYK168" s="153"/>
      <c r="QYL168" s="153"/>
      <c r="QYM168" s="153"/>
      <c r="QYN168" s="153"/>
      <c r="QYO168" s="153"/>
      <c r="QYP168" s="153"/>
      <c r="QYQ168" s="153"/>
      <c r="QYR168" s="153"/>
      <c r="QYS168" s="153"/>
      <c r="QYT168" s="153"/>
      <c r="QYU168" s="153"/>
      <c r="QYV168" s="153"/>
      <c r="QYW168" s="153"/>
      <c r="QYX168" s="153"/>
      <c r="QYY168" s="153"/>
      <c r="QYZ168" s="153"/>
      <c r="QZA168" s="153"/>
      <c r="QZB168" s="153"/>
      <c r="QZC168" s="153"/>
      <c r="QZD168" s="153"/>
      <c r="QZE168" s="153"/>
      <c r="QZF168" s="153"/>
      <c r="QZG168" s="153"/>
      <c r="QZH168" s="153"/>
      <c r="QZI168" s="153"/>
      <c r="QZJ168" s="153"/>
      <c r="QZK168" s="153"/>
      <c r="QZL168" s="153"/>
      <c r="QZM168" s="153"/>
      <c r="QZN168" s="153"/>
      <c r="QZO168" s="153"/>
      <c r="QZP168" s="153"/>
      <c r="QZQ168" s="153"/>
      <c r="QZR168" s="153"/>
      <c r="QZS168" s="153"/>
      <c r="QZT168" s="153"/>
      <c r="QZU168" s="153"/>
      <c r="QZV168" s="153"/>
      <c r="QZW168" s="153"/>
      <c r="QZX168" s="153"/>
      <c r="QZY168" s="153"/>
      <c r="QZZ168" s="153"/>
      <c r="RAA168" s="153"/>
      <c r="RAB168" s="153"/>
      <c r="RAC168" s="153"/>
      <c r="RAD168" s="153"/>
      <c r="RAE168" s="153"/>
      <c r="RAF168" s="153"/>
      <c r="RAG168" s="153"/>
      <c r="RAH168" s="153"/>
      <c r="RAI168" s="153"/>
      <c r="RAJ168" s="153"/>
      <c r="RAK168" s="153"/>
      <c r="RAL168" s="153"/>
      <c r="RAM168" s="153"/>
      <c r="RAN168" s="153"/>
      <c r="RAO168" s="153"/>
      <c r="RAP168" s="153"/>
      <c r="RAQ168" s="153"/>
      <c r="RAR168" s="153"/>
      <c r="RAS168" s="153"/>
      <c r="RAT168" s="153"/>
      <c r="RAU168" s="153"/>
      <c r="RAV168" s="153"/>
      <c r="RAW168" s="153"/>
      <c r="RAX168" s="153"/>
      <c r="RAY168" s="153"/>
      <c r="RAZ168" s="153"/>
      <c r="RBA168" s="153"/>
      <c r="RBB168" s="153"/>
      <c r="RBC168" s="153"/>
      <c r="RBD168" s="153"/>
      <c r="RBE168" s="153"/>
      <c r="RBF168" s="153"/>
      <c r="RBG168" s="153"/>
      <c r="RBH168" s="153"/>
      <c r="RBI168" s="153"/>
      <c r="RBJ168" s="153"/>
      <c r="RBK168" s="153"/>
      <c r="RBL168" s="153"/>
      <c r="RBM168" s="153"/>
      <c r="RBN168" s="153"/>
      <c r="RBO168" s="153"/>
      <c r="RBP168" s="153"/>
      <c r="RBQ168" s="153"/>
      <c r="RBR168" s="153"/>
      <c r="RBS168" s="153"/>
      <c r="RBT168" s="153"/>
      <c r="RBU168" s="153"/>
      <c r="RBV168" s="153"/>
      <c r="RBW168" s="153"/>
      <c r="RBX168" s="153"/>
      <c r="RBY168" s="153"/>
      <c r="RBZ168" s="153"/>
      <c r="RCA168" s="153"/>
      <c r="RCB168" s="153"/>
      <c r="RCC168" s="153"/>
      <c r="RCD168" s="153"/>
      <c r="RCE168" s="153"/>
      <c r="RCF168" s="153"/>
      <c r="RCG168" s="153"/>
      <c r="RCH168" s="153"/>
      <c r="RCI168" s="153"/>
      <c r="RCJ168" s="153"/>
      <c r="RCK168" s="153"/>
      <c r="RCL168" s="153"/>
      <c r="RCM168" s="153"/>
      <c r="RCN168" s="153"/>
      <c r="RCO168" s="153"/>
      <c r="RCP168" s="153"/>
      <c r="RCQ168" s="153"/>
      <c r="RCR168" s="153"/>
      <c r="RCS168" s="153"/>
      <c r="RCT168" s="153"/>
      <c r="RCU168" s="153"/>
      <c r="RCV168" s="153"/>
      <c r="RCW168" s="153"/>
      <c r="RCX168" s="153"/>
      <c r="RCY168" s="153"/>
      <c r="RCZ168" s="153"/>
      <c r="RDA168" s="153"/>
      <c r="RDB168" s="153"/>
      <c r="RDC168" s="153"/>
      <c r="RDD168" s="153"/>
      <c r="RDE168" s="153"/>
      <c r="RDF168" s="153"/>
      <c r="RDG168" s="153"/>
      <c r="RDH168" s="153"/>
      <c r="RDI168" s="153"/>
      <c r="RDJ168" s="153"/>
      <c r="RDK168" s="153"/>
      <c r="RDL168" s="153"/>
      <c r="RDM168" s="153"/>
      <c r="RDN168" s="153"/>
      <c r="RDO168" s="153"/>
      <c r="RDP168" s="153"/>
      <c r="RDQ168" s="153"/>
      <c r="RDR168" s="153"/>
      <c r="RDS168" s="153"/>
      <c r="RDT168" s="153"/>
      <c r="RDU168" s="153"/>
      <c r="RDV168" s="153"/>
      <c r="RDW168" s="153"/>
      <c r="RDX168" s="153"/>
      <c r="RDY168" s="153"/>
      <c r="RDZ168" s="153"/>
      <c r="REA168" s="153"/>
      <c r="REB168" s="153"/>
      <c r="REC168" s="153"/>
      <c r="RED168" s="153"/>
      <c r="REE168" s="153"/>
      <c r="REF168" s="153"/>
      <c r="REG168" s="153"/>
      <c r="REH168" s="153"/>
      <c r="REI168" s="153"/>
      <c r="REJ168" s="153"/>
      <c r="REK168" s="153"/>
      <c r="REL168" s="153"/>
      <c r="REM168" s="153"/>
      <c r="REN168" s="153"/>
      <c r="REO168" s="153"/>
      <c r="REP168" s="153"/>
      <c r="REQ168" s="153"/>
      <c r="RER168" s="153"/>
      <c r="RES168" s="153"/>
      <c r="RET168" s="153"/>
      <c r="REU168" s="153"/>
      <c r="REV168" s="153"/>
      <c r="REW168" s="153"/>
      <c r="REX168" s="153"/>
      <c r="REY168" s="153"/>
      <c r="REZ168" s="153"/>
      <c r="RFA168" s="153"/>
      <c r="RFB168" s="153"/>
      <c r="RFC168" s="153"/>
      <c r="RFD168" s="153"/>
      <c r="RFE168" s="153"/>
      <c r="RFF168" s="153"/>
      <c r="RFG168" s="153"/>
      <c r="RFH168" s="153"/>
      <c r="RFI168" s="153"/>
      <c r="RFJ168" s="153"/>
      <c r="RFK168" s="153"/>
      <c r="RFL168" s="153"/>
      <c r="RFM168" s="153"/>
      <c r="RFN168" s="153"/>
      <c r="RFO168" s="153"/>
      <c r="RFP168" s="153"/>
      <c r="RFQ168" s="153"/>
      <c r="RFR168" s="153"/>
      <c r="RFS168" s="153"/>
      <c r="RFT168" s="153"/>
      <c r="RFU168" s="153"/>
      <c r="RFV168" s="153"/>
      <c r="RFW168" s="153"/>
      <c r="RFX168" s="153"/>
      <c r="RFY168" s="153"/>
      <c r="RFZ168" s="153"/>
      <c r="RGA168" s="153"/>
      <c r="RGB168" s="153"/>
      <c r="RGC168" s="153"/>
      <c r="RGD168" s="153"/>
      <c r="RGE168" s="153"/>
      <c r="RGF168" s="153"/>
      <c r="RGG168" s="153"/>
      <c r="RGH168" s="153"/>
      <c r="RGI168" s="153"/>
      <c r="RGJ168" s="153"/>
      <c r="RGK168" s="153"/>
      <c r="RGL168" s="153"/>
      <c r="RGM168" s="153"/>
      <c r="RGN168" s="153"/>
      <c r="RGO168" s="153"/>
      <c r="RGP168" s="153"/>
      <c r="RGQ168" s="153"/>
      <c r="RGR168" s="153"/>
      <c r="RGS168" s="153"/>
      <c r="RGT168" s="153"/>
      <c r="RGU168" s="153"/>
      <c r="RGV168" s="153"/>
      <c r="RGW168" s="153"/>
      <c r="RGX168" s="153"/>
      <c r="RGY168" s="153"/>
      <c r="RGZ168" s="153"/>
      <c r="RHA168" s="153"/>
      <c r="RHB168" s="153"/>
      <c r="RHC168" s="153"/>
      <c r="RHD168" s="153"/>
      <c r="RHE168" s="153"/>
      <c r="RHF168" s="153"/>
      <c r="RHG168" s="153"/>
      <c r="RHH168" s="153"/>
      <c r="RHI168" s="153"/>
      <c r="RHJ168" s="153"/>
      <c r="RHK168" s="153"/>
      <c r="RHL168" s="153"/>
      <c r="RHM168" s="153"/>
      <c r="RHN168" s="153"/>
      <c r="RHO168" s="153"/>
      <c r="RHP168" s="153"/>
      <c r="RHQ168" s="153"/>
      <c r="RHR168" s="153"/>
      <c r="RHS168" s="153"/>
      <c r="RHT168" s="153"/>
      <c r="RHU168" s="153"/>
      <c r="RHV168" s="153"/>
      <c r="RHW168" s="153"/>
      <c r="RHX168" s="153"/>
      <c r="RHY168" s="153"/>
      <c r="RHZ168" s="153"/>
      <c r="RIA168" s="153"/>
      <c r="RIB168" s="153"/>
      <c r="RIC168" s="153"/>
      <c r="RID168" s="153"/>
      <c r="RIE168" s="153"/>
      <c r="RIF168" s="153"/>
      <c r="RIG168" s="153"/>
      <c r="RIH168" s="153"/>
      <c r="RII168" s="153"/>
      <c r="RIJ168" s="153"/>
      <c r="RIK168" s="153"/>
      <c r="RIL168" s="153"/>
      <c r="RIM168" s="153"/>
      <c r="RIN168" s="153"/>
      <c r="RIO168" s="153"/>
      <c r="RIP168" s="153"/>
      <c r="RIQ168" s="153"/>
      <c r="RIR168" s="153"/>
      <c r="RIS168" s="153"/>
      <c r="RIT168" s="153"/>
      <c r="RIU168" s="153"/>
      <c r="RIV168" s="153"/>
      <c r="RIW168" s="153"/>
      <c r="RIX168" s="153"/>
      <c r="RIY168" s="153"/>
      <c r="RIZ168" s="153"/>
      <c r="RJA168" s="153"/>
      <c r="RJB168" s="153"/>
      <c r="RJC168" s="153"/>
      <c r="RJD168" s="153"/>
      <c r="RJE168" s="153"/>
      <c r="RJF168" s="153"/>
      <c r="RJG168" s="153"/>
      <c r="RJH168" s="153"/>
      <c r="RJI168" s="153"/>
      <c r="RJJ168" s="153"/>
      <c r="RJK168" s="153"/>
      <c r="RJL168" s="153"/>
      <c r="RJM168" s="153"/>
      <c r="RJN168" s="153"/>
      <c r="RJO168" s="153"/>
      <c r="RJP168" s="153"/>
      <c r="RJQ168" s="153"/>
      <c r="RJR168" s="153"/>
      <c r="RJS168" s="153"/>
      <c r="RJT168" s="153"/>
      <c r="RJU168" s="153"/>
      <c r="RJV168" s="153"/>
      <c r="RJW168" s="153"/>
      <c r="RJX168" s="153"/>
      <c r="RJY168" s="153"/>
      <c r="RJZ168" s="153"/>
      <c r="RKA168" s="153"/>
      <c r="RKB168" s="153"/>
      <c r="RKC168" s="153"/>
      <c r="RKD168" s="153"/>
      <c r="RKE168" s="153"/>
      <c r="RKF168" s="153"/>
      <c r="RKG168" s="153"/>
      <c r="RKH168" s="153"/>
      <c r="RKI168" s="153"/>
      <c r="RKJ168" s="153"/>
      <c r="RKK168" s="153"/>
      <c r="RKL168" s="153"/>
      <c r="RKM168" s="153"/>
      <c r="RKN168" s="153"/>
      <c r="RKO168" s="153"/>
      <c r="RKP168" s="153"/>
      <c r="RKQ168" s="153"/>
      <c r="RKR168" s="153"/>
      <c r="RKS168" s="153"/>
      <c r="RKT168" s="153"/>
      <c r="RKU168" s="153"/>
      <c r="RKV168" s="153"/>
      <c r="RKW168" s="153"/>
      <c r="RKX168" s="153"/>
      <c r="RKY168" s="153"/>
      <c r="RKZ168" s="153"/>
      <c r="RLA168" s="153"/>
      <c r="RLB168" s="153"/>
      <c r="RLC168" s="153"/>
      <c r="RLD168" s="153"/>
      <c r="RLE168" s="153"/>
      <c r="RLF168" s="153"/>
      <c r="RLG168" s="153"/>
      <c r="RLH168" s="153"/>
      <c r="RLI168" s="153"/>
      <c r="RLJ168" s="153"/>
      <c r="RLK168" s="153"/>
      <c r="RLL168" s="153"/>
      <c r="RLM168" s="153"/>
      <c r="RLN168" s="153"/>
      <c r="RLO168" s="153"/>
      <c r="RLP168" s="153"/>
      <c r="RLQ168" s="153"/>
      <c r="RLR168" s="153"/>
      <c r="RLS168" s="153"/>
      <c r="RLT168" s="153"/>
      <c r="RLU168" s="153"/>
      <c r="RLV168" s="153"/>
      <c r="RLW168" s="153"/>
      <c r="RLX168" s="153"/>
      <c r="RLY168" s="153"/>
      <c r="RLZ168" s="153"/>
      <c r="RMA168" s="153"/>
      <c r="RMB168" s="153"/>
      <c r="RMC168" s="153"/>
      <c r="RMD168" s="153"/>
      <c r="RME168" s="153"/>
      <c r="RMF168" s="153"/>
      <c r="RMG168" s="153"/>
      <c r="RMH168" s="153"/>
      <c r="RMI168" s="153"/>
      <c r="RMJ168" s="153"/>
      <c r="RMK168" s="153"/>
      <c r="RML168" s="153"/>
      <c r="RMM168" s="153"/>
      <c r="RMN168" s="153"/>
      <c r="RMO168" s="153"/>
      <c r="RMP168" s="153"/>
      <c r="RMQ168" s="153"/>
      <c r="RMR168" s="153"/>
      <c r="RMS168" s="153"/>
      <c r="RMT168" s="153"/>
      <c r="RMU168" s="153"/>
      <c r="RMV168" s="153"/>
      <c r="RMW168" s="153"/>
      <c r="RMX168" s="153"/>
      <c r="RMY168" s="153"/>
      <c r="RMZ168" s="153"/>
      <c r="RNA168" s="153"/>
      <c r="RNB168" s="153"/>
      <c r="RNC168" s="153"/>
      <c r="RND168" s="153"/>
      <c r="RNE168" s="153"/>
      <c r="RNF168" s="153"/>
      <c r="RNG168" s="153"/>
      <c r="RNH168" s="153"/>
      <c r="RNI168" s="153"/>
      <c r="RNJ168" s="153"/>
      <c r="RNK168" s="153"/>
      <c r="RNL168" s="153"/>
      <c r="RNM168" s="153"/>
      <c r="RNN168" s="153"/>
      <c r="RNO168" s="153"/>
      <c r="RNP168" s="153"/>
      <c r="RNQ168" s="153"/>
      <c r="RNR168" s="153"/>
      <c r="RNS168" s="153"/>
      <c r="RNT168" s="153"/>
      <c r="RNU168" s="153"/>
      <c r="RNV168" s="153"/>
      <c r="RNW168" s="153"/>
      <c r="RNX168" s="153"/>
      <c r="RNY168" s="153"/>
      <c r="RNZ168" s="153"/>
      <c r="ROA168" s="153"/>
      <c r="ROB168" s="153"/>
      <c r="ROC168" s="153"/>
      <c r="ROD168" s="153"/>
      <c r="ROE168" s="153"/>
      <c r="ROF168" s="153"/>
      <c r="ROG168" s="153"/>
      <c r="ROH168" s="153"/>
      <c r="ROI168" s="153"/>
      <c r="ROJ168" s="153"/>
      <c r="ROK168" s="153"/>
      <c r="ROL168" s="153"/>
      <c r="ROM168" s="153"/>
      <c r="RON168" s="153"/>
      <c r="ROO168" s="153"/>
      <c r="ROP168" s="153"/>
      <c r="ROQ168" s="153"/>
      <c r="ROR168" s="153"/>
      <c r="ROS168" s="153"/>
      <c r="ROT168" s="153"/>
      <c r="ROU168" s="153"/>
      <c r="ROV168" s="153"/>
      <c r="ROW168" s="153"/>
      <c r="ROX168" s="153"/>
      <c r="ROY168" s="153"/>
      <c r="ROZ168" s="153"/>
      <c r="RPA168" s="153"/>
      <c r="RPB168" s="153"/>
      <c r="RPC168" s="153"/>
      <c r="RPD168" s="153"/>
      <c r="RPE168" s="153"/>
      <c r="RPF168" s="153"/>
      <c r="RPG168" s="153"/>
      <c r="RPH168" s="153"/>
      <c r="RPI168" s="153"/>
      <c r="RPJ168" s="153"/>
      <c r="RPK168" s="153"/>
      <c r="RPL168" s="153"/>
      <c r="RPM168" s="153"/>
      <c r="RPN168" s="153"/>
      <c r="RPO168" s="153"/>
      <c r="RPP168" s="153"/>
      <c r="RPQ168" s="153"/>
      <c r="RPR168" s="153"/>
      <c r="RPS168" s="153"/>
      <c r="RPT168" s="153"/>
      <c r="RPU168" s="153"/>
      <c r="RPV168" s="153"/>
      <c r="RPW168" s="153"/>
      <c r="RPX168" s="153"/>
      <c r="RPY168" s="153"/>
      <c r="RPZ168" s="153"/>
      <c r="RQA168" s="153"/>
      <c r="RQB168" s="153"/>
      <c r="RQC168" s="153"/>
      <c r="RQD168" s="153"/>
      <c r="RQE168" s="153"/>
      <c r="RQF168" s="153"/>
      <c r="RQG168" s="153"/>
      <c r="RQH168" s="153"/>
      <c r="RQI168" s="153"/>
      <c r="RQJ168" s="153"/>
      <c r="RQK168" s="153"/>
      <c r="RQL168" s="153"/>
      <c r="RQM168" s="153"/>
      <c r="RQN168" s="153"/>
      <c r="RQO168" s="153"/>
      <c r="RQP168" s="153"/>
      <c r="RQQ168" s="153"/>
      <c r="RQR168" s="153"/>
      <c r="RQS168" s="153"/>
      <c r="RQT168" s="153"/>
      <c r="RQU168" s="153"/>
      <c r="RQV168" s="153"/>
      <c r="RQW168" s="153"/>
      <c r="RQX168" s="153"/>
      <c r="RQY168" s="153"/>
      <c r="RQZ168" s="153"/>
      <c r="RRA168" s="153"/>
      <c r="RRB168" s="153"/>
      <c r="RRC168" s="153"/>
      <c r="RRD168" s="153"/>
      <c r="RRE168" s="153"/>
      <c r="RRF168" s="153"/>
      <c r="RRG168" s="153"/>
      <c r="RRH168" s="153"/>
      <c r="RRI168" s="153"/>
      <c r="RRJ168" s="153"/>
      <c r="RRK168" s="153"/>
      <c r="RRL168" s="153"/>
      <c r="RRM168" s="153"/>
      <c r="RRN168" s="153"/>
      <c r="RRO168" s="153"/>
      <c r="RRP168" s="153"/>
      <c r="RRQ168" s="153"/>
      <c r="RRR168" s="153"/>
      <c r="RRS168" s="153"/>
      <c r="RRT168" s="153"/>
      <c r="RRU168" s="153"/>
      <c r="RRV168" s="153"/>
      <c r="RRW168" s="153"/>
      <c r="RRX168" s="153"/>
      <c r="RRY168" s="153"/>
      <c r="RRZ168" s="153"/>
      <c r="RSA168" s="153"/>
      <c r="RSB168" s="153"/>
      <c r="RSC168" s="153"/>
      <c r="RSD168" s="153"/>
      <c r="RSE168" s="153"/>
      <c r="RSF168" s="153"/>
      <c r="RSG168" s="153"/>
      <c r="RSH168" s="153"/>
      <c r="RSI168" s="153"/>
      <c r="RSJ168" s="153"/>
      <c r="RSK168" s="153"/>
      <c r="RSL168" s="153"/>
      <c r="RSM168" s="153"/>
      <c r="RSN168" s="153"/>
      <c r="RSO168" s="153"/>
      <c r="RSP168" s="153"/>
      <c r="RSQ168" s="153"/>
      <c r="RSR168" s="153"/>
      <c r="RSS168" s="153"/>
      <c r="RST168" s="153"/>
      <c r="RSU168" s="153"/>
      <c r="RSV168" s="153"/>
      <c r="RSW168" s="153"/>
      <c r="RSX168" s="153"/>
      <c r="RSY168" s="153"/>
      <c r="RSZ168" s="153"/>
      <c r="RTA168" s="153"/>
      <c r="RTB168" s="153"/>
      <c r="RTC168" s="153"/>
      <c r="RTD168" s="153"/>
      <c r="RTE168" s="153"/>
      <c r="RTF168" s="153"/>
      <c r="RTG168" s="153"/>
      <c r="RTH168" s="153"/>
      <c r="RTI168" s="153"/>
      <c r="RTJ168" s="153"/>
      <c r="RTK168" s="153"/>
      <c r="RTL168" s="153"/>
      <c r="RTM168" s="153"/>
      <c r="RTN168" s="153"/>
      <c r="RTO168" s="153"/>
      <c r="RTP168" s="153"/>
      <c r="RTQ168" s="153"/>
      <c r="RTR168" s="153"/>
      <c r="RTS168" s="153"/>
      <c r="RTT168" s="153"/>
      <c r="RTU168" s="153"/>
      <c r="RTV168" s="153"/>
      <c r="RTW168" s="153"/>
      <c r="RTX168" s="153"/>
      <c r="RTY168" s="153"/>
      <c r="RTZ168" s="153"/>
      <c r="RUA168" s="153"/>
      <c r="RUB168" s="153"/>
      <c r="RUC168" s="153"/>
      <c r="RUD168" s="153"/>
      <c r="RUE168" s="153"/>
      <c r="RUF168" s="153"/>
      <c r="RUG168" s="153"/>
      <c r="RUH168" s="153"/>
      <c r="RUI168" s="153"/>
      <c r="RUJ168" s="153"/>
      <c r="RUK168" s="153"/>
      <c r="RUL168" s="153"/>
      <c r="RUM168" s="153"/>
      <c r="RUN168" s="153"/>
      <c r="RUO168" s="153"/>
      <c r="RUP168" s="153"/>
      <c r="RUQ168" s="153"/>
      <c r="RUR168" s="153"/>
      <c r="RUS168" s="153"/>
      <c r="RUT168" s="153"/>
      <c r="RUU168" s="153"/>
      <c r="RUV168" s="153"/>
      <c r="RUW168" s="153"/>
      <c r="RUX168" s="153"/>
      <c r="RUY168" s="153"/>
      <c r="RUZ168" s="153"/>
      <c r="RVA168" s="153"/>
      <c r="RVB168" s="153"/>
      <c r="RVC168" s="153"/>
      <c r="RVD168" s="153"/>
      <c r="RVE168" s="153"/>
      <c r="RVF168" s="153"/>
      <c r="RVG168" s="153"/>
      <c r="RVH168" s="153"/>
      <c r="RVI168" s="153"/>
      <c r="RVJ168" s="153"/>
      <c r="RVK168" s="153"/>
      <c r="RVL168" s="153"/>
      <c r="RVM168" s="153"/>
      <c r="RVN168" s="153"/>
      <c r="RVO168" s="153"/>
      <c r="RVP168" s="153"/>
      <c r="RVQ168" s="153"/>
      <c r="RVR168" s="153"/>
      <c r="RVS168" s="153"/>
      <c r="RVT168" s="153"/>
      <c r="RVU168" s="153"/>
      <c r="RVV168" s="153"/>
      <c r="RVW168" s="153"/>
      <c r="RVX168" s="153"/>
      <c r="RVY168" s="153"/>
      <c r="RVZ168" s="153"/>
      <c r="RWA168" s="153"/>
      <c r="RWB168" s="153"/>
      <c r="RWC168" s="153"/>
      <c r="RWD168" s="153"/>
      <c r="RWE168" s="153"/>
      <c r="RWF168" s="153"/>
      <c r="RWG168" s="153"/>
      <c r="RWH168" s="153"/>
      <c r="RWI168" s="153"/>
      <c r="RWJ168" s="153"/>
      <c r="RWK168" s="153"/>
      <c r="RWL168" s="153"/>
      <c r="RWM168" s="153"/>
      <c r="RWN168" s="153"/>
      <c r="RWO168" s="153"/>
      <c r="RWP168" s="153"/>
      <c r="RWQ168" s="153"/>
      <c r="RWR168" s="153"/>
      <c r="RWS168" s="153"/>
      <c r="RWT168" s="153"/>
      <c r="RWU168" s="153"/>
      <c r="RWV168" s="153"/>
      <c r="RWW168" s="153"/>
      <c r="RWX168" s="153"/>
      <c r="RWY168" s="153"/>
      <c r="RWZ168" s="153"/>
      <c r="RXA168" s="153"/>
      <c r="RXB168" s="153"/>
      <c r="RXC168" s="153"/>
      <c r="RXD168" s="153"/>
      <c r="RXE168" s="153"/>
      <c r="RXF168" s="153"/>
      <c r="RXG168" s="153"/>
      <c r="RXH168" s="153"/>
      <c r="RXI168" s="153"/>
      <c r="RXJ168" s="153"/>
      <c r="RXK168" s="153"/>
      <c r="RXL168" s="153"/>
      <c r="RXM168" s="153"/>
      <c r="RXN168" s="153"/>
      <c r="RXO168" s="153"/>
      <c r="RXP168" s="153"/>
      <c r="RXQ168" s="153"/>
      <c r="RXR168" s="153"/>
      <c r="RXS168" s="153"/>
      <c r="RXT168" s="153"/>
      <c r="RXU168" s="153"/>
      <c r="RXV168" s="153"/>
      <c r="RXW168" s="153"/>
      <c r="RXX168" s="153"/>
      <c r="RXY168" s="153"/>
      <c r="RXZ168" s="153"/>
      <c r="RYA168" s="153"/>
      <c r="RYB168" s="153"/>
      <c r="RYC168" s="153"/>
      <c r="RYD168" s="153"/>
      <c r="RYE168" s="153"/>
      <c r="RYF168" s="153"/>
      <c r="RYG168" s="153"/>
      <c r="RYH168" s="153"/>
      <c r="RYI168" s="153"/>
      <c r="RYJ168" s="153"/>
      <c r="RYK168" s="153"/>
      <c r="RYL168" s="153"/>
      <c r="RYM168" s="153"/>
      <c r="RYN168" s="153"/>
      <c r="RYO168" s="153"/>
      <c r="RYP168" s="153"/>
      <c r="RYQ168" s="153"/>
      <c r="RYR168" s="153"/>
      <c r="RYS168" s="153"/>
      <c r="RYT168" s="153"/>
      <c r="RYU168" s="153"/>
      <c r="RYV168" s="153"/>
      <c r="RYW168" s="153"/>
      <c r="RYX168" s="153"/>
      <c r="RYY168" s="153"/>
      <c r="RYZ168" s="153"/>
      <c r="RZA168" s="153"/>
      <c r="RZB168" s="153"/>
      <c r="RZC168" s="153"/>
      <c r="RZD168" s="153"/>
      <c r="RZE168" s="153"/>
      <c r="RZF168" s="153"/>
      <c r="RZG168" s="153"/>
      <c r="RZH168" s="153"/>
      <c r="RZI168" s="153"/>
      <c r="RZJ168" s="153"/>
      <c r="RZK168" s="153"/>
      <c r="RZL168" s="153"/>
      <c r="RZM168" s="153"/>
      <c r="RZN168" s="153"/>
      <c r="RZO168" s="153"/>
      <c r="RZP168" s="153"/>
      <c r="RZQ168" s="153"/>
      <c r="RZR168" s="153"/>
      <c r="RZS168" s="153"/>
      <c r="RZT168" s="153"/>
      <c r="RZU168" s="153"/>
      <c r="RZV168" s="153"/>
      <c r="RZW168" s="153"/>
      <c r="RZX168" s="153"/>
      <c r="RZY168" s="153"/>
      <c r="RZZ168" s="153"/>
      <c r="SAA168" s="153"/>
      <c r="SAB168" s="153"/>
      <c r="SAC168" s="153"/>
      <c r="SAD168" s="153"/>
      <c r="SAE168" s="153"/>
      <c r="SAF168" s="153"/>
      <c r="SAG168" s="153"/>
      <c r="SAH168" s="153"/>
      <c r="SAI168" s="153"/>
      <c r="SAJ168" s="153"/>
      <c r="SAK168" s="153"/>
      <c r="SAL168" s="153"/>
      <c r="SAM168" s="153"/>
      <c r="SAN168" s="153"/>
      <c r="SAO168" s="153"/>
      <c r="SAP168" s="153"/>
      <c r="SAQ168" s="153"/>
      <c r="SAR168" s="153"/>
      <c r="SAS168" s="153"/>
      <c r="SAT168" s="153"/>
      <c r="SAU168" s="153"/>
      <c r="SAV168" s="153"/>
      <c r="SAW168" s="153"/>
      <c r="SAX168" s="153"/>
      <c r="SAY168" s="153"/>
      <c r="SAZ168" s="153"/>
      <c r="SBA168" s="153"/>
      <c r="SBB168" s="153"/>
      <c r="SBC168" s="153"/>
      <c r="SBD168" s="153"/>
      <c r="SBE168" s="153"/>
      <c r="SBF168" s="153"/>
      <c r="SBG168" s="153"/>
      <c r="SBH168" s="153"/>
      <c r="SBI168" s="153"/>
      <c r="SBJ168" s="153"/>
      <c r="SBK168" s="153"/>
      <c r="SBL168" s="153"/>
      <c r="SBM168" s="153"/>
      <c r="SBN168" s="153"/>
      <c r="SBO168" s="153"/>
      <c r="SBP168" s="153"/>
      <c r="SBQ168" s="153"/>
      <c r="SBR168" s="153"/>
      <c r="SBS168" s="153"/>
      <c r="SBT168" s="153"/>
      <c r="SBU168" s="153"/>
      <c r="SBV168" s="153"/>
      <c r="SBW168" s="153"/>
      <c r="SBX168" s="153"/>
      <c r="SBY168" s="153"/>
      <c r="SBZ168" s="153"/>
      <c r="SCA168" s="153"/>
      <c r="SCB168" s="153"/>
      <c r="SCC168" s="153"/>
      <c r="SCD168" s="153"/>
      <c r="SCE168" s="153"/>
      <c r="SCF168" s="153"/>
      <c r="SCG168" s="153"/>
      <c r="SCH168" s="153"/>
      <c r="SCI168" s="153"/>
      <c r="SCJ168" s="153"/>
      <c r="SCK168" s="153"/>
      <c r="SCL168" s="153"/>
      <c r="SCM168" s="153"/>
      <c r="SCN168" s="153"/>
      <c r="SCO168" s="153"/>
      <c r="SCP168" s="153"/>
      <c r="SCQ168" s="153"/>
      <c r="SCR168" s="153"/>
      <c r="SCS168" s="153"/>
      <c r="SCT168" s="153"/>
      <c r="SCU168" s="153"/>
      <c r="SCV168" s="153"/>
      <c r="SCW168" s="153"/>
      <c r="SCX168" s="153"/>
      <c r="SCY168" s="153"/>
      <c r="SCZ168" s="153"/>
      <c r="SDA168" s="153"/>
      <c r="SDB168" s="153"/>
      <c r="SDC168" s="153"/>
      <c r="SDD168" s="153"/>
      <c r="SDE168" s="153"/>
      <c r="SDF168" s="153"/>
      <c r="SDG168" s="153"/>
      <c r="SDH168" s="153"/>
      <c r="SDI168" s="153"/>
      <c r="SDJ168" s="153"/>
      <c r="SDK168" s="153"/>
      <c r="SDL168" s="153"/>
      <c r="SDM168" s="153"/>
      <c r="SDN168" s="153"/>
      <c r="SDO168" s="153"/>
      <c r="SDP168" s="153"/>
      <c r="SDQ168" s="153"/>
      <c r="SDR168" s="153"/>
      <c r="SDS168" s="153"/>
      <c r="SDT168" s="153"/>
      <c r="SDU168" s="153"/>
      <c r="SDV168" s="153"/>
      <c r="SDW168" s="153"/>
      <c r="SDX168" s="153"/>
      <c r="SDY168" s="153"/>
      <c r="SDZ168" s="153"/>
      <c r="SEA168" s="153"/>
      <c r="SEB168" s="153"/>
      <c r="SEC168" s="153"/>
      <c r="SED168" s="153"/>
      <c r="SEE168" s="153"/>
      <c r="SEF168" s="153"/>
      <c r="SEG168" s="153"/>
      <c r="SEH168" s="153"/>
      <c r="SEI168" s="153"/>
      <c r="SEJ168" s="153"/>
      <c r="SEK168" s="153"/>
      <c r="SEL168" s="153"/>
      <c r="SEM168" s="153"/>
      <c r="SEN168" s="153"/>
      <c r="SEO168" s="153"/>
      <c r="SEP168" s="153"/>
      <c r="SEQ168" s="153"/>
      <c r="SER168" s="153"/>
      <c r="SES168" s="153"/>
      <c r="SET168" s="153"/>
      <c r="SEU168" s="153"/>
      <c r="SEV168" s="153"/>
      <c r="SEW168" s="153"/>
      <c r="SEX168" s="153"/>
      <c r="SEY168" s="153"/>
      <c r="SEZ168" s="153"/>
      <c r="SFA168" s="153"/>
      <c r="SFB168" s="153"/>
      <c r="SFC168" s="153"/>
      <c r="SFD168" s="153"/>
      <c r="SFE168" s="153"/>
      <c r="SFF168" s="153"/>
      <c r="SFG168" s="153"/>
      <c r="SFH168" s="153"/>
      <c r="SFI168" s="153"/>
      <c r="SFJ168" s="153"/>
      <c r="SFK168" s="153"/>
      <c r="SFL168" s="153"/>
      <c r="SFM168" s="153"/>
      <c r="SFN168" s="153"/>
      <c r="SFO168" s="153"/>
      <c r="SFP168" s="153"/>
      <c r="SFQ168" s="153"/>
      <c r="SFR168" s="153"/>
      <c r="SFS168" s="153"/>
      <c r="SFT168" s="153"/>
      <c r="SFU168" s="153"/>
      <c r="SFV168" s="153"/>
      <c r="SFW168" s="153"/>
      <c r="SFX168" s="153"/>
      <c r="SFY168" s="153"/>
      <c r="SFZ168" s="153"/>
      <c r="SGA168" s="153"/>
      <c r="SGB168" s="153"/>
      <c r="SGC168" s="153"/>
      <c r="SGD168" s="153"/>
      <c r="SGE168" s="153"/>
      <c r="SGF168" s="153"/>
      <c r="SGG168" s="153"/>
      <c r="SGH168" s="153"/>
      <c r="SGI168" s="153"/>
      <c r="SGJ168" s="153"/>
      <c r="SGK168" s="153"/>
      <c r="SGL168" s="153"/>
      <c r="SGM168" s="153"/>
      <c r="SGN168" s="153"/>
      <c r="SGO168" s="153"/>
      <c r="SGP168" s="153"/>
      <c r="SGQ168" s="153"/>
      <c r="SGR168" s="153"/>
      <c r="SGS168" s="153"/>
      <c r="SGT168" s="153"/>
      <c r="SGU168" s="153"/>
      <c r="SGV168" s="153"/>
      <c r="SGW168" s="153"/>
      <c r="SGX168" s="153"/>
      <c r="SGY168" s="153"/>
      <c r="SGZ168" s="153"/>
      <c r="SHA168" s="153"/>
      <c r="SHB168" s="153"/>
      <c r="SHC168" s="153"/>
      <c r="SHD168" s="153"/>
      <c r="SHE168" s="153"/>
      <c r="SHF168" s="153"/>
      <c r="SHG168" s="153"/>
      <c r="SHH168" s="153"/>
      <c r="SHI168" s="153"/>
      <c r="SHJ168" s="153"/>
      <c r="SHK168" s="153"/>
      <c r="SHL168" s="153"/>
      <c r="SHM168" s="153"/>
      <c r="SHN168" s="153"/>
      <c r="SHO168" s="153"/>
      <c r="SHP168" s="153"/>
      <c r="SHQ168" s="153"/>
      <c r="SHR168" s="153"/>
      <c r="SHS168" s="153"/>
      <c r="SHT168" s="153"/>
      <c r="SHU168" s="153"/>
      <c r="SHV168" s="153"/>
      <c r="SHW168" s="153"/>
      <c r="SHX168" s="153"/>
      <c r="SHY168" s="153"/>
      <c r="SHZ168" s="153"/>
      <c r="SIA168" s="153"/>
      <c r="SIB168" s="153"/>
      <c r="SIC168" s="153"/>
      <c r="SID168" s="153"/>
      <c r="SIE168" s="153"/>
      <c r="SIF168" s="153"/>
      <c r="SIG168" s="153"/>
      <c r="SIH168" s="153"/>
      <c r="SII168" s="153"/>
      <c r="SIJ168" s="153"/>
      <c r="SIK168" s="153"/>
      <c r="SIL168" s="153"/>
      <c r="SIM168" s="153"/>
      <c r="SIN168" s="153"/>
      <c r="SIO168" s="153"/>
      <c r="SIP168" s="153"/>
      <c r="SIQ168" s="153"/>
      <c r="SIR168" s="153"/>
      <c r="SIS168" s="153"/>
      <c r="SIT168" s="153"/>
      <c r="SIU168" s="153"/>
      <c r="SIV168" s="153"/>
      <c r="SIW168" s="153"/>
      <c r="SIX168" s="153"/>
      <c r="SIY168" s="153"/>
      <c r="SIZ168" s="153"/>
      <c r="SJA168" s="153"/>
      <c r="SJB168" s="153"/>
      <c r="SJC168" s="153"/>
      <c r="SJD168" s="153"/>
      <c r="SJE168" s="153"/>
      <c r="SJF168" s="153"/>
      <c r="SJG168" s="153"/>
      <c r="SJH168" s="153"/>
      <c r="SJI168" s="153"/>
      <c r="SJJ168" s="153"/>
      <c r="SJK168" s="153"/>
      <c r="SJL168" s="153"/>
      <c r="SJM168" s="153"/>
      <c r="SJN168" s="153"/>
      <c r="SJO168" s="153"/>
      <c r="SJP168" s="153"/>
      <c r="SJQ168" s="153"/>
      <c r="SJR168" s="153"/>
      <c r="SJS168" s="153"/>
      <c r="SJT168" s="153"/>
      <c r="SJU168" s="153"/>
      <c r="SJV168" s="153"/>
      <c r="SJW168" s="153"/>
      <c r="SJX168" s="153"/>
      <c r="SJY168" s="153"/>
      <c r="SJZ168" s="153"/>
      <c r="SKA168" s="153"/>
      <c r="SKB168" s="153"/>
      <c r="SKC168" s="153"/>
      <c r="SKD168" s="153"/>
      <c r="SKE168" s="153"/>
      <c r="SKF168" s="153"/>
      <c r="SKG168" s="153"/>
      <c r="SKH168" s="153"/>
      <c r="SKI168" s="153"/>
      <c r="SKJ168" s="153"/>
      <c r="SKK168" s="153"/>
      <c r="SKL168" s="153"/>
      <c r="SKM168" s="153"/>
      <c r="SKN168" s="153"/>
      <c r="SKO168" s="153"/>
      <c r="SKP168" s="153"/>
      <c r="SKQ168" s="153"/>
      <c r="SKR168" s="153"/>
      <c r="SKS168" s="153"/>
      <c r="SKT168" s="153"/>
      <c r="SKU168" s="153"/>
      <c r="SKV168" s="153"/>
      <c r="SKW168" s="153"/>
      <c r="SKX168" s="153"/>
      <c r="SKY168" s="153"/>
      <c r="SKZ168" s="153"/>
      <c r="SLA168" s="153"/>
      <c r="SLB168" s="153"/>
      <c r="SLC168" s="153"/>
      <c r="SLD168" s="153"/>
      <c r="SLE168" s="153"/>
      <c r="SLF168" s="153"/>
      <c r="SLG168" s="153"/>
      <c r="SLH168" s="153"/>
      <c r="SLI168" s="153"/>
      <c r="SLJ168" s="153"/>
      <c r="SLK168" s="153"/>
      <c r="SLL168" s="153"/>
      <c r="SLM168" s="153"/>
      <c r="SLN168" s="153"/>
      <c r="SLO168" s="153"/>
      <c r="SLP168" s="153"/>
      <c r="SLQ168" s="153"/>
      <c r="SLR168" s="153"/>
      <c r="SLS168" s="153"/>
      <c r="SLT168" s="153"/>
      <c r="SLU168" s="153"/>
      <c r="SLV168" s="153"/>
      <c r="SLW168" s="153"/>
      <c r="SLX168" s="153"/>
      <c r="SLY168" s="153"/>
      <c r="SLZ168" s="153"/>
      <c r="SMA168" s="153"/>
      <c r="SMB168" s="153"/>
      <c r="SMC168" s="153"/>
      <c r="SMD168" s="153"/>
      <c r="SME168" s="153"/>
      <c r="SMF168" s="153"/>
      <c r="SMG168" s="153"/>
      <c r="SMH168" s="153"/>
      <c r="SMI168" s="153"/>
      <c r="SMJ168" s="153"/>
      <c r="SMK168" s="153"/>
      <c r="SML168" s="153"/>
      <c r="SMM168" s="153"/>
      <c r="SMN168" s="153"/>
      <c r="SMO168" s="153"/>
      <c r="SMP168" s="153"/>
      <c r="SMQ168" s="153"/>
      <c r="SMR168" s="153"/>
      <c r="SMS168" s="153"/>
      <c r="SMT168" s="153"/>
      <c r="SMU168" s="153"/>
      <c r="SMV168" s="153"/>
      <c r="SMW168" s="153"/>
      <c r="SMX168" s="153"/>
      <c r="SMY168" s="153"/>
      <c r="SMZ168" s="153"/>
      <c r="SNA168" s="153"/>
      <c r="SNB168" s="153"/>
      <c r="SNC168" s="153"/>
      <c r="SND168" s="153"/>
      <c r="SNE168" s="153"/>
      <c r="SNF168" s="153"/>
      <c r="SNG168" s="153"/>
      <c r="SNH168" s="153"/>
      <c r="SNI168" s="153"/>
      <c r="SNJ168" s="153"/>
      <c r="SNK168" s="153"/>
      <c r="SNL168" s="153"/>
      <c r="SNM168" s="153"/>
      <c r="SNN168" s="153"/>
      <c r="SNO168" s="153"/>
      <c r="SNP168" s="153"/>
      <c r="SNQ168" s="153"/>
      <c r="SNR168" s="153"/>
      <c r="SNS168" s="153"/>
      <c r="SNT168" s="153"/>
      <c r="SNU168" s="153"/>
      <c r="SNV168" s="153"/>
      <c r="SNW168" s="153"/>
      <c r="SNX168" s="153"/>
      <c r="SNY168" s="153"/>
      <c r="SNZ168" s="153"/>
      <c r="SOA168" s="153"/>
      <c r="SOB168" s="153"/>
      <c r="SOC168" s="153"/>
      <c r="SOD168" s="153"/>
      <c r="SOE168" s="153"/>
      <c r="SOF168" s="153"/>
      <c r="SOG168" s="153"/>
      <c r="SOH168" s="153"/>
      <c r="SOI168" s="153"/>
      <c r="SOJ168" s="153"/>
      <c r="SOK168" s="153"/>
      <c r="SOL168" s="153"/>
      <c r="SOM168" s="153"/>
      <c r="SON168" s="153"/>
      <c r="SOO168" s="153"/>
      <c r="SOP168" s="153"/>
      <c r="SOQ168" s="153"/>
      <c r="SOR168" s="153"/>
      <c r="SOS168" s="153"/>
      <c r="SOT168" s="153"/>
      <c r="SOU168" s="153"/>
      <c r="SOV168" s="153"/>
      <c r="SOW168" s="153"/>
      <c r="SOX168" s="153"/>
      <c r="SOY168" s="153"/>
      <c r="SOZ168" s="153"/>
      <c r="SPA168" s="153"/>
      <c r="SPB168" s="153"/>
      <c r="SPC168" s="153"/>
      <c r="SPD168" s="153"/>
      <c r="SPE168" s="153"/>
      <c r="SPF168" s="153"/>
      <c r="SPG168" s="153"/>
      <c r="SPH168" s="153"/>
      <c r="SPI168" s="153"/>
      <c r="SPJ168" s="153"/>
      <c r="SPK168" s="153"/>
      <c r="SPL168" s="153"/>
      <c r="SPM168" s="153"/>
      <c r="SPN168" s="153"/>
      <c r="SPO168" s="153"/>
      <c r="SPP168" s="153"/>
      <c r="SPQ168" s="153"/>
      <c r="SPR168" s="153"/>
      <c r="SPS168" s="153"/>
      <c r="SPT168" s="153"/>
      <c r="SPU168" s="153"/>
      <c r="SPV168" s="153"/>
      <c r="SPW168" s="153"/>
      <c r="SPX168" s="153"/>
      <c r="SPY168" s="153"/>
      <c r="SPZ168" s="153"/>
      <c r="SQA168" s="153"/>
      <c r="SQB168" s="153"/>
      <c r="SQC168" s="153"/>
      <c r="SQD168" s="153"/>
      <c r="SQE168" s="153"/>
      <c r="SQF168" s="153"/>
      <c r="SQG168" s="153"/>
      <c r="SQH168" s="153"/>
      <c r="SQI168" s="153"/>
      <c r="SQJ168" s="153"/>
      <c r="SQK168" s="153"/>
      <c r="SQL168" s="153"/>
      <c r="SQM168" s="153"/>
      <c r="SQN168" s="153"/>
      <c r="SQO168" s="153"/>
      <c r="SQP168" s="153"/>
      <c r="SQQ168" s="153"/>
      <c r="SQR168" s="153"/>
      <c r="SQS168" s="153"/>
      <c r="SQT168" s="153"/>
      <c r="SQU168" s="153"/>
      <c r="SQV168" s="153"/>
      <c r="SQW168" s="153"/>
      <c r="SQX168" s="153"/>
      <c r="SQY168" s="153"/>
      <c r="SQZ168" s="153"/>
      <c r="SRA168" s="153"/>
      <c r="SRB168" s="153"/>
      <c r="SRC168" s="153"/>
      <c r="SRD168" s="153"/>
      <c r="SRE168" s="153"/>
      <c r="SRF168" s="153"/>
      <c r="SRG168" s="153"/>
      <c r="SRH168" s="153"/>
      <c r="SRI168" s="153"/>
      <c r="SRJ168" s="153"/>
      <c r="SRK168" s="153"/>
      <c r="SRL168" s="153"/>
      <c r="SRM168" s="153"/>
      <c r="SRN168" s="153"/>
      <c r="SRO168" s="153"/>
      <c r="SRP168" s="153"/>
      <c r="SRQ168" s="153"/>
      <c r="SRR168" s="153"/>
      <c r="SRS168" s="153"/>
      <c r="SRT168" s="153"/>
      <c r="SRU168" s="153"/>
      <c r="SRV168" s="153"/>
      <c r="SRW168" s="153"/>
      <c r="SRX168" s="153"/>
      <c r="SRY168" s="153"/>
      <c r="SRZ168" s="153"/>
      <c r="SSA168" s="153"/>
      <c r="SSB168" s="153"/>
      <c r="SSC168" s="153"/>
      <c r="SSD168" s="153"/>
      <c r="SSE168" s="153"/>
      <c r="SSF168" s="153"/>
      <c r="SSG168" s="153"/>
      <c r="SSH168" s="153"/>
      <c r="SSI168" s="153"/>
      <c r="SSJ168" s="153"/>
      <c r="SSK168" s="153"/>
      <c r="SSL168" s="153"/>
      <c r="SSM168" s="153"/>
      <c r="SSN168" s="153"/>
      <c r="SSO168" s="153"/>
      <c r="SSP168" s="153"/>
      <c r="SSQ168" s="153"/>
      <c r="SSR168" s="153"/>
      <c r="SSS168" s="153"/>
      <c r="SST168" s="153"/>
      <c r="SSU168" s="153"/>
      <c r="SSV168" s="153"/>
      <c r="SSW168" s="153"/>
      <c r="SSX168" s="153"/>
      <c r="SSY168" s="153"/>
      <c r="SSZ168" s="153"/>
      <c r="STA168" s="153"/>
      <c r="STB168" s="153"/>
      <c r="STC168" s="153"/>
      <c r="STD168" s="153"/>
      <c r="STE168" s="153"/>
      <c r="STF168" s="153"/>
      <c r="STG168" s="153"/>
      <c r="STH168" s="153"/>
      <c r="STI168" s="153"/>
      <c r="STJ168" s="153"/>
      <c r="STK168" s="153"/>
      <c r="STL168" s="153"/>
      <c r="STM168" s="153"/>
      <c r="STN168" s="153"/>
      <c r="STO168" s="153"/>
      <c r="STP168" s="153"/>
      <c r="STQ168" s="153"/>
      <c r="STR168" s="153"/>
      <c r="STS168" s="153"/>
      <c r="STT168" s="153"/>
      <c r="STU168" s="153"/>
      <c r="STV168" s="153"/>
      <c r="STW168" s="153"/>
      <c r="STX168" s="153"/>
      <c r="STY168" s="153"/>
      <c r="STZ168" s="153"/>
      <c r="SUA168" s="153"/>
      <c r="SUB168" s="153"/>
      <c r="SUC168" s="153"/>
      <c r="SUD168" s="153"/>
      <c r="SUE168" s="153"/>
      <c r="SUF168" s="153"/>
      <c r="SUG168" s="153"/>
      <c r="SUH168" s="153"/>
      <c r="SUI168" s="153"/>
      <c r="SUJ168" s="153"/>
      <c r="SUK168" s="153"/>
      <c r="SUL168" s="153"/>
      <c r="SUM168" s="153"/>
      <c r="SUN168" s="153"/>
      <c r="SUO168" s="153"/>
      <c r="SUP168" s="153"/>
      <c r="SUQ168" s="153"/>
      <c r="SUR168" s="153"/>
      <c r="SUS168" s="153"/>
      <c r="SUT168" s="153"/>
      <c r="SUU168" s="153"/>
      <c r="SUV168" s="153"/>
      <c r="SUW168" s="153"/>
      <c r="SUX168" s="153"/>
      <c r="SUY168" s="153"/>
      <c r="SUZ168" s="153"/>
      <c r="SVA168" s="153"/>
      <c r="SVB168" s="153"/>
      <c r="SVC168" s="153"/>
      <c r="SVD168" s="153"/>
      <c r="SVE168" s="153"/>
      <c r="SVF168" s="153"/>
      <c r="SVG168" s="153"/>
      <c r="SVH168" s="153"/>
      <c r="SVI168" s="153"/>
      <c r="SVJ168" s="153"/>
      <c r="SVK168" s="153"/>
      <c r="SVL168" s="153"/>
      <c r="SVM168" s="153"/>
      <c r="SVN168" s="153"/>
      <c r="SVO168" s="153"/>
      <c r="SVP168" s="153"/>
      <c r="SVQ168" s="153"/>
      <c r="SVR168" s="153"/>
      <c r="SVS168" s="153"/>
      <c r="SVT168" s="153"/>
      <c r="SVU168" s="153"/>
      <c r="SVV168" s="153"/>
      <c r="SVW168" s="153"/>
      <c r="SVX168" s="153"/>
      <c r="SVY168" s="153"/>
      <c r="SVZ168" s="153"/>
      <c r="SWA168" s="153"/>
      <c r="SWB168" s="153"/>
      <c r="SWC168" s="153"/>
      <c r="SWD168" s="153"/>
      <c r="SWE168" s="153"/>
      <c r="SWF168" s="153"/>
      <c r="SWG168" s="153"/>
      <c r="SWH168" s="153"/>
      <c r="SWI168" s="153"/>
      <c r="SWJ168" s="153"/>
      <c r="SWK168" s="153"/>
      <c r="SWL168" s="153"/>
      <c r="SWM168" s="153"/>
      <c r="SWN168" s="153"/>
      <c r="SWO168" s="153"/>
      <c r="SWP168" s="153"/>
      <c r="SWQ168" s="153"/>
      <c r="SWR168" s="153"/>
      <c r="SWS168" s="153"/>
      <c r="SWT168" s="153"/>
      <c r="SWU168" s="153"/>
      <c r="SWV168" s="153"/>
      <c r="SWW168" s="153"/>
      <c r="SWX168" s="153"/>
      <c r="SWY168" s="153"/>
      <c r="SWZ168" s="153"/>
      <c r="SXA168" s="153"/>
      <c r="SXB168" s="153"/>
      <c r="SXC168" s="153"/>
      <c r="SXD168" s="153"/>
      <c r="SXE168" s="153"/>
      <c r="SXF168" s="153"/>
      <c r="SXG168" s="153"/>
      <c r="SXH168" s="153"/>
      <c r="SXI168" s="153"/>
      <c r="SXJ168" s="153"/>
      <c r="SXK168" s="153"/>
      <c r="SXL168" s="153"/>
      <c r="SXM168" s="153"/>
      <c r="SXN168" s="153"/>
      <c r="SXO168" s="153"/>
      <c r="SXP168" s="153"/>
      <c r="SXQ168" s="153"/>
      <c r="SXR168" s="153"/>
      <c r="SXS168" s="153"/>
      <c r="SXT168" s="153"/>
      <c r="SXU168" s="153"/>
      <c r="SXV168" s="153"/>
      <c r="SXW168" s="153"/>
      <c r="SXX168" s="153"/>
      <c r="SXY168" s="153"/>
      <c r="SXZ168" s="153"/>
      <c r="SYA168" s="153"/>
      <c r="SYB168" s="153"/>
      <c r="SYC168" s="153"/>
      <c r="SYD168" s="153"/>
      <c r="SYE168" s="153"/>
      <c r="SYF168" s="153"/>
      <c r="SYG168" s="153"/>
      <c r="SYH168" s="153"/>
      <c r="SYI168" s="153"/>
      <c r="SYJ168" s="153"/>
      <c r="SYK168" s="153"/>
      <c r="SYL168" s="153"/>
      <c r="SYM168" s="153"/>
      <c r="SYN168" s="153"/>
      <c r="SYO168" s="153"/>
      <c r="SYP168" s="153"/>
      <c r="SYQ168" s="153"/>
      <c r="SYR168" s="153"/>
      <c r="SYS168" s="153"/>
      <c r="SYT168" s="153"/>
      <c r="SYU168" s="153"/>
      <c r="SYV168" s="153"/>
      <c r="SYW168" s="153"/>
      <c r="SYX168" s="153"/>
      <c r="SYY168" s="153"/>
      <c r="SYZ168" s="153"/>
      <c r="SZA168" s="153"/>
      <c r="SZB168" s="153"/>
      <c r="SZC168" s="153"/>
      <c r="SZD168" s="153"/>
      <c r="SZE168" s="153"/>
      <c r="SZF168" s="153"/>
      <c r="SZG168" s="153"/>
      <c r="SZH168" s="153"/>
      <c r="SZI168" s="153"/>
      <c r="SZJ168" s="153"/>
      <c r="SZK168" s="153"/>
      <c r="SZL168" s="153"/>
      <c r="SZM168" s="153"/>
      <c r="SZN168" s="153"/>
      <c r="SZO168" s="153"/>
      <c r="SZP168" s="153"/>
      <c r="SZQ168" s="153"/>
      <c r="SZR168" s="153"/>
      <c r="SZS168" s="153"/>
      <c r="SZT168" s="153"/>
      <c r="SZU168" s="153"/>
      <c r="SZV168" s="153"/>
      <c r="SZW168" s="153"/>
      <c r="SZX168" s="153"/>
      <c r="SZY168" s="153"/>
      <c r="SZZ168" s="153"/>
      <c r="TAA168" s="153"/>
      <c r="TAB168" s="153"/>
      <c r="TAC168" s="153"/>
      <c r="TAD168" s="153"/>
      <c r="TAE168" s="153"/>
      <c r="TAF168" s="153"/>
      <c r="TAG168" s="153"/>
      <c r="TAH168" s="153"/>
      <c r="TAI168" s="153"/>
      <c r="TAJ168" s="153"/>
      <c r="TAK168" s="153"/>
      <c r="TAL168" s="153"/>
      <c r="TAM168" s="153"/>
      <c r="TAN168" s="153"/>
      <c r="TAO168" s="153"/>
      <c r="TAP168" s="153"/>
      <c r="TAQ168" s="153"/>
      <c r="TAR168" s="153"/>
      <c r="TAS168" s="153"/>
      <c r="TAT168" s="153"/>
      <c r="TAU168" s="153"/>
      <c r="TAV168" s="153"/>
      <c r="TAW168" s="153"/>
      <c r="TAX168" s="153"/>
      <c r="TAY168" s="153"/>
      <c r="TAZ168" s="153"/>
      <c r="TBA168" s="153"/>
      <c r="TBB168" s="153"/>
      <c r="TBC168" s="153"/>
      <c r="TBD168" s="153"/>
      <c r="TBE168" s="153"/>
      <c r="TBF168" s="153"/>
      <c r="TBG168" s="153"/>
      <c r="TBH168" s="153"/>
      <c r="TBI168" s="153"/>
      <c r="TBJ168" s="153"/>
      <c r="TBK168" s="153"/>
      <c r="TBL168" s="153"/>
      <c r="TBM168" s="153"/>
      <c r="TBN168" s="153"/>
      <c r="TBO168" s="153"/>
      <c r="TBP168" s="153"/>
      <c r="TBQ168" s="153"/>
      <c r="TBR168" s="153"/>
      <c r="TBS168" s="153"/>
      <c r="TBT168" s="153"/>
      <c r="TBU168" s="153"/>
      <c r="TBV168" s="153"/>
      <c r="TBW168" s="153"/>
      <c r="TBX168" s="153"/>
      <c r="TBY168" s="153"/>
      <c r="TBZ168" s="153"/>
      <c r="TCA168" s="153"/>
      <c r="TCB168" s="153"/>
      <c r="TCC168" s="153"/>
      <c r="TCD168" s="153"/>
      <c r="TCE168" s="153"/>
      <c r="TCF168" s="153"/>
      <c r="TCG168" s="153"/>
      <c r="TCH168" s="153"/>
      <c r="TCI168" s="153"/>
      <c r="TCJ168" s="153"/>
      <c r="TCK168" s="153"/>
      <c r="TCL168" s="153"/>
      <c r="TCM168" s="153"/>
      <c r="TCN168" s="153"/>
      <c r="TCO168" s="153"/>
      <c r="TCP168" s="153"/>
      <c r="TCQ168" s="153"/>
      <c r="TCR168" s="153"/>
      <c r="TCS168" s="153"/>
      <c r="TCT168" s="153"/>
      <c r="TCU168" s="153"/>
      <c r="TCV168" s="153"/>
      <c r="TCW168" s="153"/>
      <c r="TCX168" s="153"/>
      <c r="TCY168" s="153"/>
      <c r="TCZ168" s="153"/>
      <c r="TDA168" s="153"/>
      <c r="TDB168" s="153"/>
      <c r="TDC168" s="153"/>
      <c r="TDD168" s="153"/>
      <c r="TDE168" s="153"/>
      <c r="TDF168" s="153"/>
      <c r="TDG168" s="153"/>
      <c r="TDH168" s="153"/>
      <c r="TDI168" s="153"/>
      <c r="TDJ168" s="153"/>
      <c r="TDK168" s="153"/>
      <c r="TDL168" s="153"/>
      <c r="TDM168" s="153"/>
      <c r="TDN168" s="153"/>
      <c r="TDO168" s="153"/>
      <c r="TDP168" s="153"/>
      <c r="TDQ168" s="153"/>
      <c r="TDR168" s="153"/>
      <c r="TDS168" s="153"/>
      <c r="TDT168" s="153"/>
      <c r="TDU168" s="153"/>
      <c r="TDV168" s="153"/>
      <c r="TDW168" s="153"/>
      <c r="TDX168" s="153"/>
      <c r="TDY168" s="153"/>
      <c r="TDZ168" s="153"/>
      <c r="TEA168" s="153"/>
      <c r="TEB168" s="153"/>
      <c r="TEC168" s="153"/>
      <c r="TED168" s="153"/>
      <c r="TEE168" s="153"/>
      <c r="TEF168" s="153"/>
      <c r="TEG168" s="153"/>
      <c r="TEH168" s="153"/>
      <c r="TEI168" s="153"/>
      <c r="TEJ168" s="153"/>
      <c r="TEK168" s="153"/>
      <c r="TEL168" s="153"/>
      <c r="TEM168" s="153"/>
      <c r="TEN168" s="153"/>
      <c r="TEO168" s="153"/>
      <c r="TEP168" s="153"/>
      <c r="TEQ168" s="153"/>
      <c r="TER168" s="153"/>
      <c r="TES168" s="153"/>
      <c r="TET168" s="153"/>
      <c r="TEU168" s="153"/>
      <c r="TEV168" s="153"/>
      <c r="TEW168" s="153"/>
      <c r="TEX168" s="153"/>
      <c r="TEY168" s="153"/>
      <c r="TEZ168" s="153"/>
      <c r="TFA168" s="153"/>
      <c r="TFB168" s="153"/>
      <c r="TFC168" s="153"/>
      <c r="TFD168" s="153"/>
      <c r="TFE168" s="153"/>
      <c r="TFF168" s="153"/>
      <c r="TFG168" s="153"/>
      <c r="TFH168" s="153"/>
      <c r="TFI168" s="153"/>
      <c r="TFJ168" s="153"/>
      <c r="TFK168" s="153"/>
      <c r="TFL168" s="153"/>
      <c r="TFM168" s="153"/>
      <c r="TFN168" s="153"/>
      <c r="TFO168" s="153"/>
      <c r="TFP168" s="153"/>
      <c r="TFQ168" s="153"/>
      <c r="TFR168" s="153"/>
      <c r="TFS168" s="153"/>
      <c r="TFT168" s="153"/>
      <c r="TFU168" s="153"/>
      <c r="TFV168" s="153"/>
      <c r="TFW168" s="153"/>
      <c r="TFX168" s="153"/>
      <c r="TFY168" s="153"/>
      <c r="TFZ168" s="153"/>
      <c r="TGA168" s="153"/>
      <c r="TGB168" s="153"/>
      <c r="TGC168" s="153"/>
      <c r="TGD168" s="153"/>
      <c r="TGE168" s="153"/>
      <c r="TGF168" s="153"/>
      <c r="TGG168" s="153"/>
      <c r="TGH168" s="153"/>
      <c r="TGI168" s="153"/>
      <c r="TGJ168" s="153"/>
      <c r="TGK168" s="153"/>
      <c r="TGL168" s="153"/>
      <c r="TGM168" s="153"/>
      <c r="TGN168" s="153"/>
      <c r="TGO168" s="153"/>
      <c r="TGP168" s="153"/>
      <c r="TGQ168" s="153"/>
      <c r="TGR168" s="153"/>
      <c r="TGS168" s="153"/>
      <c r="TGT168" s="153"/>
      <c r="TGU168" s="153"/>
      <c r="TGV168" s="153"/>
      <c r="TGW168" s="153"/>
      <c r="TGX168" s="153"/>
      <c r="TGY168" s="153"/>
      <c r="TGZ168" s="153"/>
      <c r="THA168" s="153"/>
      <c r="THB168" s="153"/>
      <c r="THC168" s="153"/>
      <c r="THD168" s="153"/>
      <c r="THE168" s="153"/>
      <c r="THF168" s="153"/>
      <c r="THG168" s="153"/>
      <c r="THH168" s="153"/>
      <c r="THI168" s="153"/>
      <c r="THJ168" s="153"/>
      <c r="THK168" s="153"/>
      <c r="THL168" s="153"/>
      <c r="THM168" s="153"/>
      <c r="THN168" s="153"/>
      <c r="THO168" s="153"/>
      <c r="THP168" s="153"/>
      <c r="THQ168" s="153"/>
      <c r="THR168" s="153"/>
      <c r="THS168" s="153"/>
      <c r="THT168" s="153"/>
      <c r="THU168" s="153"/>
      <c r="THV168" s="153"/>
      <c r="THW168" s="153"/>
      <c r="THX168" s="153"/>
      <c r="THY168" s="153"/>
      <c r="THZ168" s="153"/>
      <c r="TIA168" s="153"/>
      <c r="TIB168" s="153"/>
      <c r="TIC168" s="153"/>
      <c r="TID168" s="153"/>
      <c r="TIE168" s="153"/>
      <c r="TIF168" s="153"/>
      <c r="TIG168" s="153"/>
      <c r="TIH168" s="153"/>
      <c r="TII168" s="153"/>
      <c r="TIJ168" s="153"/>
      <c r="TIK168" s="153"/>
      <c r="TIL168" s="153"/>
      <c r="TIM168" s="153"/>
      <c r="TIN168" s="153"/>
      <c r="TIO168" s="153"/>
      <c r="TIP168" s="153"/>
      <c r="TIQ168" s="153"/>
      <c r="TIR168" s="153"/>
      <c r="TIS168" s="153"/>
      <c r="TIT168" s="153"/>
      <c r="TIU168" s="153"/>
      <c r="TIV168" s="153"/>
      <c r="TIW168" s="153"/>
      <c r="TIX168" s="153"/>
      <c r="TIY168" s="153"/>
      <c r="TIZ168" s="153"/>
      <c r="TJA168" s="153"/>
      <c r="TJB168" s="153"/>
      <c r="TJC168" s="153"/>
      <c r="TJD168" s="153"/>
      <c r="TJE168" s="153"/>
      <c r="TJF168" s="153"/>
      <c r="TJG168" s="153"/>
      <c r="TJH168" s="153"/>
      <c r="TJI168" s="153"/>
      <c r="TJJ168" s="153"/>
      <c r="TJK168" s="153"/>
      <c r="TJL168" s="153"/>
      <c r="TJM168" s="153"/>
      <c r="TJN168" s="153"/>
      <c r="TJO168" s="153"/>
      <c r="TJP168" s="153"/>
      <c r="TJQ168" s="153"/>
      <c r="TJR168" s="153"/>
      <c r="TJS168" s="153"/>
      <c r="TJT168" s="153"/>
      <c r="TJU168" s="153"/>
      <c r="TJV168" s="153"/>
      <c r="TJW168" s="153"/>
      <c r="TJX168" s="153"/>
      <c r="TJY168" s="153"/>
      <c r="TJZ168" s="153"/>
      <c r="TKA168" s="153"/>
      <c r="TKB168" s="153"/>
      <c r="TKC168" s="153"/>
      <c r="TKD168" s="153"/>
      <c r="TKE168" s="153"/>
      <c r="TKF168" s="153"/>
      <c r="TKG168" s="153"/>
      <c r="TKH168" s="153"/>
      <c r="TKI168" s="153"/>
      <c r="TKJ168" s="153"/>
      <c r="TKK168" s="153"/>
      <c r="TKL168" s="153"/>
      <c r="TKM168" s="153"/>
      <c r="TKN168" s="153"/>
      <c r="TKO168" s="153"/>
      <c r="TKP168" s="153"/>
      <c r="TKQ168" s="153"/>
      <c r="TKR168" s="153"/>
      <c r="TKS168" s="153"/>
      <c r="TKT168" s="153"/>
      <c r="TKU168" s="153"/>
      <c r="TKV168" s="153"/>
      <c r="TKW168" s="153"/>
      <c r="TKX168" s="153"/>
      <c r="TKY168" s="153"/>
      <c r="TKZ168" s="153"/>
      <c r="TLA168" s="153"/>
      <c r="TLB168" s="153"/>
      <c r="TLC168" s="153"/>
      <c r="TLD168" s="153"/>
      <c r="TLE168" s="153"/>
      <c r="TLF168" s="153"/>
      <c r="TLG168" s="153"/>
      <c r="TLH168" s="153"/>
      <c r="TLI168" s="153"/>
      <c r="TLJ168" s="153"/>
      <c r="TLK168" s="153"/>
      <c r="TLL168" s="153"/>
      <c r="TLM168" s="153"/>
      <c r="TLN168" s="153"/>
      <c r="TLO168" s="153"/>
      <c r="TLP168" s="153"/>
      <c r="TLQ168" s="153"/>
      <c r="TLR168" s="153"/>
      <c r="TLS168" s="153"/>
      <c r="TLT168" s="153"/>
      <c r="TLU168" s="153"/>
      <c r="TLV168" s="153"/>
      <c r="TLW168" s="153"/>
      <c r="TLX168" s="153"/>
      <c r="TLY168" s="153"/>
      <c r="TLZ168" s="153"/>
      <c r="TMA168" s="153"/>
      <c r="TMB168" s="153"/>
      <c r="TMC168" s="153"/>
      <c r="TMD168" s="153"/>
      <c r="TME168" s="153"/>
      <c r="TMF168" s="153"/>
      <c r="TMG168" s="153"/>
      <c r="TMH168" s="153"/>
      <c r="TMI168" s="153"/>
      <c r="TMJ168" s="153"/>
      <c r="TMK168" s="153"/>
      <c r="TML168" s="153"/>
      <c r="TMM168" s="153"/>
      <c r="TMN168" s="153"/>
      <c r="TMO168" s="153"/>
      <c r="TMP168" s="153"/>
      <c r="TMQ168" s="153"/>
      <c r="TMR168" s="153"/>
      <c r="TMS168" s="153"/>
      <c r="TMT168" s="153"/>
      <c r="TMU168" s="153"/>
      <c r="TMV168" s="153"/>
      <c r="TMW168" s="153"/>
      <c r="TMX168" s="153"/>
      <c r="TMY168" s="153"/>
      <c r="TMZ168" s="153"/>
      <c r="TNA168" s="153"/>
      <c r="TNB168" s="153"/>
      <c r="TNC168" s="153"/>
      <c r="TND168" s="153"/>
      <c r="TNE168" s="153"/>
      <c r="TNF168" s="153"/>
      <c r="TNG168" s="153"/>
      <c r="TNH168" s="153"/>
      <c r="TNI168" s="153"/>
      <c r="TNJ168" s="153"/>
      <c r="TNK168" s="153"/>
      <c r="TNL168" s="153"/>
      <c r="TNM168" s="153"/>
      <c r="TNN168" s="153"/>
      <c r="TNO168" s="153"/>
      <c r="TNP168" s="153"/>
      <c r="TNQ168" s="153"/>
      <c r="TNR168" s="153"/>
      <c r="TNS168" s="153"/>
      <c r="TNT168" s="153"/>
      <c r="TNU168" s="153"/>
      <c r="TNV168" s="153"/>
      <c r="TNW168" s="153"/>
      <c r="TNX168" s="153"/>
      <c r="TNY168" s="153"/>
      <c r="TNZ168" s="153"/>
      <c r="TOA168" s="153"/>
      <c r="TOB168" s="153"/>
      <c r="TOC168" s="153"/>
      <c r="TOD168" s="153"/>
      <c r="TOE168" s="153"/>
      <c r="TOF168" s="153"/>
      <c r="TOG168" s="153"/>
      <c r="TOH168" s="153"/>
      <c r="TOI168" s="153"/>
      <c r="TOJ168" s="153"/>
      <c r="TOK168" s="153"/>
      <c r="TOL168" s="153"/>
      <c r="TOM168" s="153"/>
      <c r="TON168" s="153"/>
      <c r="TOO168" s="153"/>
      <c r="TOP168" s="153"/>
      <c r="TOQ168" s="153"/>
      <c r="TOR168" s="153"/>
      <c r="TOS168" s="153"/>
      <c r="TOT168" s="153"/>
      <c r="TOU168" s="153"/>
      <c r="TOV168" s="153"/>
      <c r="TOW168" s="153"/>
      <c r="TOX168" s="153"/>
      <c r="TOY168" s="153"/>
      <c r="TOZ168" s="153"/>
      <c r="TPA168" s="153"/>
      <c r="TPB168" s="153"/>
      <c r="TPC168" s="153"/>
      <c r="TPD168" s="153"/>
      <c r="TPE168" s="153"/>
      <c r="TPF168" s="153"/>
      <c r="TPG168" s="153"/>
      <c r="TPH168" s="153"/>
      <c r="TPI168" s="153"/>
      <c r="TPJ168" s="153"/>
      <c r="TPK168" s="153"/>
      <c r="TPL168" s="153"/>
      <c r="TPM168" s="153"/>
      <c r="TPN168" s="153"/>
      <c r="TPO168" s="153"/>
      <c r="TPP168" s="153"/>
      <c r="TPQ168" s="153"/>
      <c r="TPR168" s="153"/>
      <c r="TPS168" s="153"/>
      <c r="TPT168" s="153"/>
      <c r="TPU168" s="153"/>
      <c r="TPV168" s="153"/>
      <c r="TPW168" s="153"/>
      <c r="TPX168" s="153"/>
      <c r="TPY168" s="153"/>
      <c r="TPZ168" s="153"/>
      <c r="TQA168" s="153"/>
      <c r="TQB168" s="153"/>
      <c r="TQC168" s="153"/>
      <c r="TQD168" s="153"/>
      <c r="TQE168" s="153"/>
      <c r="TQF168" s="153"/>
      <c r="TQG168" s="153"/>
      <c r="TQH168" s="153"/>
      <c r="TQI168" s="153"/>
      <c r="TQJ168" s="153"/>
      <c r="TQK168" s="153"/>
      <c r="TQL168" s="153"/>
      <c r="TQM168" s="153"/>
      <c r="TQN168" s="153"/>
      <c r="TQO168" s="153"/>
      <c r="TQP168" s="153"/>
      <c r="TQQ168" s="153"/>
      <c r="TQR168" s="153"/>
      <c r="TQS168" s="153"/>
      <c r="TQT168" s="153"/>
      <c r="TQU168" s="153"/>
      <c r="TQV168" s="153"/>
      <c r="TQW168" s="153"/>
      <c r="TQX168" s="153"/>
      <c r="TQY168" s="153"/>
      <c r="TQZ168" s="153"/>
      <c r="TRA168" s="153"/>
      <c r="TRB168" s="153"/>
      <c r="TRC168" s="153"/>
      <c r="TRD168" s="153"/>
      <c r="TRE168" s="153"/>
      <c r="TRF168" s="153"/>
      <c r="TRG168" s="153"/>
      <c r="TRH168" s="153"/>
      <c r="TRI168" s="153"/>
      <c r="TRJ168" s="153"/>
      <c r="TRK168" s="153"/>
      <c r="TRL168" s="153"/>
      <c r="TRM168" s="153"/>
      <c r="TRN168" s="153"/>
      <c r="TRO168" s="153"/>
      <c r="TRP168" s="153"/>
      <c r="TRQ168" s="153"/>
      <c r="TRR168" s="153"/>
      <c r="TRS168" s="153"/>
      <c r="TRT168" s="153"/>
      <c r="TRU168" s="153"/>
      <c r="TRV168" s="153"/>
      <c r="TRW168" s="153"/>
      <c r="TRX168" s="153"/>
      <c r="TRY168" s="153"/>
      <c r="TRZ168" s="153"/>
      <c r="TSA168" s="153"/>
      <c r="TSB168" s="153"/>
      <c r="TSC168" s="153"/>
      <c r="TSD168" s="153"/>
      <c r="TSE168" s="153"/>
      <c r="TSF168" s="153"/>
      <c r="TSG168" s="153"/>
      <c r="TSH168" s="153"/>
      <c r="TSI168" s="153"/>
      <c r="TSJ168" s="153"/>
      <c r="TSK168" s="153"/>
      <c r="TSL168" s="153"/>
      <c r="TSM168" s="153"/>
      <c r="TSN168" s="153"/>
      <c r="TSO168" s="153"/>
      <c r="TSP168" s="153"/>
      <c r="TSQ168" s="153"/>
      <c r="TSR168" s="153"/>
      <c r="TSS168" s="153"/>
      <c r="TST168" s="153"/>
      <c r="TSU168" s="153"/>
      <c r="TSV168" s="153"/>
      <c r="TSW168" s="153"/>
      <c r="TSX168" s="153"/>
      <c r="TSY168" s="153"/>
      <c r="TSZ168" s="153"/>
      <c r="TTA168" s="153"/>
      <c r="TTB168" s="153"/>
      <c r="TTC168" s="153"/>
      <c r="TTD168" s="153"/>
      <c r="TTE168" s="153"/>
      <c r="TTF168" s="153"/>
      <c r="TTG168" s="153"/>
      <c r="TTH168" s="153"/>
      <c r="TTI168" s="153"/>
      <c r="TTJ168" s="153"/>
      <c r="TTK168" s="153"/>
      <c r="TTL168" s="153"/>
      <c r="TTM168" s="153"/>
      <c r="TTN168" s="153"/>
      <c r="TTO168" s="153"/>
      <c r="TTP168" s="153"/>
      <c r="TTQ168" s="153"/>
      <c r="TTR168" s="153"/>
      <c r="TTS168" s="153"/>
      <c r="TTT168" s="153"/>
      <c r="TTU168" s="153"/>
      <c r="TTV168" s="153"/>
      <c r="TTW168" s="153"/>
      <c r="TTX168" s="153"/>
      <c r="TTY168" s="153"/>
      <c r="TTZ168" s="153"/>
      <c r="TUA168" s="153"/>
      <c r="TUB168" s="153"/>
      <c r="TUC168" s="153"/>
      <c r="TUD168" s="153"/>
      <c r="TUE168" s="153"/>
      <c r="TUF168" s="153"/>
      <c r="TUG168" s="153"/>
      <c r="TUH168" s="153"/>
      <c r="TUI168" s="153"/>
      <c r="TUJ168" s="153"/>
      <c r="TUK168" s="153"/>
      <c r="TUL168" s="153"/>
      <c r="TUM168" s="153"/>
      <c r="TUN168" s="153"/>
      <c r="TUO168" s="153"/>
      <c r="TUP168" s="153"/>
      <c r="TUQ168" s="153"/>
      <c r="TUR168" s="153"/>
      <c r="TUS168" s="153"/>
      <c r="TUT168" s="153"/>
      <c r="TUU168" s="153"/>
      <c r="TUV168" s="153"/>
      <c r="TUW168" s="153"/>
      <c r="TUX168" s="153"/>
      <c r="TUY168" s="153"/>
      <c r="TUZ168" s="153"/>
      <c r="TVA168" s="153"/>
      <c r="TVB168" s="153"/>
      <c r="TVC168" s="153"/>
      <c r="TVD168" s="153"/>
      <c r="TVE168" s="153"/>
      <c r="TVF168" s="153"/>
      <c r="TVG168" s="153"/>
      <c r="TVH168" s="153"/>
      <c r="TVI168" s="153"/>
      <c r="TVJ168" s="153"/>
      <c r="TVK168" s="153"/>
      <c r="TVL168" s="153"/>
      <c r="TVM168" s="153"/>
      <c r="TVN168" s="153"/>
      <c r="TVO168" s="153"/>
      <c r="TVP168" s="153"/>
      <c r="TVQ168" s="153"/>
      <c r="TVR168" s="153"/>
      <c r="TVS168" s="153"/>
      <c r="TVT168" s="153"/>
      <c r="TVU168" s="153"/>
      <c r="TVV168" s="153"/>
      <c r="TVW168" s="153"/>
      <c r="TVX168" s="153"/>
      <c r="TVY168" s="153"/>
      <c r="TVZ168" s="153"/>
      <c r="TWA168" s="153"/>
      <c r="TWB168" s="153"/>
      <c r="TWC168" s="153"/>
      <c r="TWD168" s="153"/>
      <c r="TWE168" s="153"/>
      <c r="TWF168" s="153"/>
      <c r="TWG168" s="153"/>
      <c r="TWH168" s="153"/>
      <c r="TWI168" s="153"/>
      <c r="TWJ168" s="153"/>
      <c r="TWK168" s="153"/>
      <c r="TWL168" s="153"/>
      <c r="TWM168" s="153"/>
      <c r="TWN168" s="153"/>
      <c r="TWO168" s="153"/>
      <c r="TWP168" s="153"/>
      <c r="TWQ168" s="153"/>
      <c r="TWR168" s="153"/>
      <c r="TWS168" s="153"/>
      <c r="TWT168" s="153"/>
      <c r="TWU168" s="153"/>
      <c r="TWV168" s="153"/>
      <c r="TWW168" s="153"/>
      <c r="TWX168" s="153"/>
      <c r="TWY168" s="153"/>
      <c r="TWZ168" s="153"/>
      <c r="TXA168" s="153"/>
      <c r="TXB168" s="153"/>
      <c r="TXC168" s="153"/>
      <c r="TXD168" s="153"/>
      <c r="TXE168" s="153"/>
      <c r="TXF168" s="153"/>
      <c r="TXG168" s="153"/>
      <c r="TXH168" s="153"/>
      <c r="TXI168" s="153"/>
      <c r="TXJ168" s="153"/>
      <c r="TXK168" s="153"/>
      <c r="TXL168" s="153"/>
      <c r="TXM168" s="153"/>
      <c r="TXN168" s="153"/>
      <c r="TXO168" s="153"/>
      <c r="TXP168" s="153"/>
      <c r="TXQ168" s="153"/>
      <c r="TXR168" s="153"/>
      <c r="TXS168" s="153"/>
      <c r="TXT168" s="153"/>
      <c r="TXU168" s="153"/>
      <c r="TXV168" s="153"/>
      <c r="TXW168" s="153"/>
      <c r="TXX168" s="153"/>
      <c r="TXY168" s="153"/>
      <c r="TXZ168" s="153"/>
      <c r="TYA168" s="153"/>
      <c r="TYB168" s="153"/>
      <c r="TYC168" s="153"/>
      <c r="TYD168" s="153"/>
      <c r="TYE168" s="153"/>
      <c r="TYF168" s="153"/>
      <c r="TYG168" s="153"/>
      <c r="TYH168" s="153"/>
      <c r="TYI168" s="153"/>
      <c r="TYJ168" s="153"/>
      <c r="TYK168" s="153"/>
      <c r="TYL168" s="153"/>
      <c r="TYM168" s="153"/>
      <c r="TYN168" s="153"/>
      <c r="TYO168" s="153"/>
      <c r="TYP168" s="153"/>
      <c r="TYQ168" s="153"/>
      <c r="TYR168" s="153"/>
      <c r="TYS168" s="153"/>
      <c r="TYT168" s="153"/>
      <c r="TYU168" s="153"/>
      <c r="TYV168" s="153"/>
      <c r="TYW168" s="153"/>
      <c r="TYX168" s="153"/>
      <c r="TYY168" s="153"/>
      <c r="TYZ168" s="153"/>
      <c r="TZA168" s="153"/>
      <c r="TZB168" s="153"/>
      <c r="TZC168" s="153"/>
      <c r="TZD168" s="153"/>
      <c r="TZE168" s="153"/>
      <c r="TZF168" s="153"/>
      <c r="TZG168" s="153"/>
      <c r="TZH168" s="153"/>
      <c r="TZI168" s="153"/>
      <c r="TZJ168" s="153"/>
      <c r="TZK168" s="153"/>
      <c r="TZL168" s="153"/>
      <c r="TZM168" s="153"/>
      <c r="TZN168" s="153"/>
      <c r="TZO168" s="153"/>
      <c r="TZP168" s="153"/>
      <c r="TZQ168" s="153"/>
      <c r="TZR168" s="153"/>
      <c r="TZS168" s="153"/>
      <c r="TZT168" s="153"/>
      <c r="TZU168" s="153"/>
      <c r="TZV168" s="153"/>
      <c r="TZW168" s="153"/>
      <c r="TZX168" s="153"/>
      <c r="TZY168" s="153"/>
      <c r="TZZ168" s="153"/>
      <c r="UAA168" s="153"/>
      <c r="UAB168" s="153"/>
      <c r="UAC168" s="153"/>
      <c r="UAD168" s="153"/>
      <c r="UAE168" s="153"/>
      <c r="UAF168" s="153"/>
      <c r="UAG168" s="153"/>
      <c r="UAH168" s="153"/>
      <c r="UAI168" s="153"/>
      <c r="UAJ168" s="153"/>
      <c r="UAK168" s="153"/>
      <c r="UAL168" s="153"/>
      <c r="UAM168" s="153"/>
      <c r="UAN168" s="153"/>
      <c r="UAO168" s="153"/>
      <c r="UAP168" s="153"/>
      <c r="UAQ168" s="153"/>
      <c r="UAR168" s="153"/>
      <c r="UAS168" s="153"/>
      <c r="UAT168" s="153"/>
      <c r="UAU168" s="153"/>
      <c r="UAV168" s="153"/>
      <c r="UAW168" s="153"/>
      <c r="UAX168" s="153"/>
      <c r="UAY168" s="153"/>
      <c r="UAZ168" s="153"/>
      <c r="UBA168" s="153"/>
      <c r="UBB168" s="153"/>
      <c r="UBC168" s="153"/>
      <c r="UBD168" s="153"/>
      <c r="UBE168" s="153"/>
      <c r="UBF168" s="153"/>
      <c r="UBG168" s="153"/>
      <c r="UBH168" s="153"/>
      <c r="UBI168" s="153"/>
      <c r="UBJ168" s="153"/>
      <c r="UBK168" s="153"/>
      <c r="UBL168" s="153"/>
      <c r="UBM168" s="153"/>
      <c r="UBN168" s="153"/>
      <c r="UBO168" s="153"/>
      <c r="UBP168" s="153"/>
      <c r="UBQ168" s="153"/>
      <c r="UBR168" s="153"/>
      <c r="UBS168" s="153"/>
      <c r="UBT168" s="153"/>
      <c r="UBU168" s="153"/>
      <c r="UBV168" s="153"/>
      <c r="UBW168" s="153"/>
      <c r="UBX168" s="153"/>
      <c r="UBY168" s="153"/>
      <c r="UBZ168" s="153"/>
      <c r="UCA168" s="153"/>
      <c r="UCB168" s="153"/>
      <c r="UCC168" s="153"/>
      <c r="UCD168" s="153"/>
      <c r="UCE168" s="153"/>
      <c r="UCF168" s="153"/>
      <c r="UCG168" s="153"/>
      <c r="UCH168" s="153"/>
      <c r="UCI168" s="153"/>
      <c r="UCJ168" s="153"/>
      <c r="UCK168" s="153"/>
      <c r="UCL168" s="153"/>
      <c r="UCM168" s="153"/>
      <c r="UCN168" s="153"/>
      <c r="UCO168" s="153"/>
      <c r="UCP168" s="153"/>
      <c r="UCQ168" s="153"/>
      <c r="UCR168" s="153"/>
      <c r="UCS168" s="153"/>
      <c r="UCT168" s="153"/>
      <c r="UCU168" s="153"/>
      <c r="UCV168" s="153"/>
      <c r="UCW168" s="153"/>
      <c r="UCX168" s="153"/>
      <c r="UCY168" s="153"/>
      <c r="UCZ168" s="153"/>
      <c r="UDA168" s="153"/>
      <c r="UDB168" s="153"/>
      <c r="UDC168" s="153"/>
      <c r="UDD168" s="153"/>
      <c r="UDE168" s="153"/>
      <c r="UDF168" s="153"/>
      <c r="UDG168" s="153"/>
      <c r="UDH168" s="153"/>
      <c r="UDI168" s="153"/>
      <c r="UDJ168" s="153"/>
      <c r="UDK168" s="153"/>
      <c r="UDL168" s="153"/>
      <c r="UDM168" s="153"/>
      <c r="UDN168" s="153"/>
      <c r="UDO168" s="153"/>
      <c r="UDP168" s="153"/>
      <c r="UDQ168" s="153"/>
      <c r="UDR168" s="153"/>
      <c r="UDS168" s="153"/>
      <c r="UDT168" s="153"/>
      <c r="UDU168" s="153"/>
      <c r="UDV168" s="153"/>
      <c r="UDW168" s="153"/>
      <c r="UDX168" s="153"/>
      <c r="UDY168" s="153"/>
      <c r="UDZ168" s="153"/>
      <c r="UEA168" s="153"/>
      <c r="UEB168" s="153"/>
      <c r="UEC168" s="153"/>
      <c r="UED168" s="153"/>
      <c r="UEE168" s="153"/>
      <c r="UEF168" s="153"/>
      <c r="UEG168" s="153"/>
      <c r="UEH168" s="153"/>
      <c r="UEI168" s="153"/>
      <c r="UEJ168" s="153"/>
      <c r="UEK168" s="153"/>
      <c r="UEL168" s="153"/>
      <c r="UEM168" s="153"/>
      <c r="UEN168" s="153"/>
      <c r="UEO168" s="153"/>
      <c r="UEP168" s="153"/>
      <c r="UEQ168" s="153"/>
      <c r="UER168" s="153"/>
      <c r="UES168" s="153"/>
      <c r="UET168" s="153"/>
      <c r="UEU168" s="153"/>
      <c r="UEV168" s="153"/>
      <c r="UEW168" s="153"/>
      <c r="UEX168" s="153"/>
      <c r="UEY168" s="153"/>
      <c r="UEZ168" s="153"/>
      <c r="UFA168" s="153"/>
      <c r="UFB168" s="153"/>
      <c r="UFC168" s="153"/>
      <c r="UFD168" s="153"/>
      <c r="UFE168" s="153"/>
      <c r="UFF168" s="153"/>
      <c r="UFG168" s="153"/>
      <c r="UFH168" s="153"/>
      <c r="UFI168" s="153"/>
      <c r="UFJ168" s="153"/>
      <c r="UFK168" s="153"/>
      <c r="UFL168" s="153"/>
      <c r="UFM168" s="153"/>
      <c r="UFN168" s="153"/>
      <c r="UFO168" s="153"/>
      <c r="UFP168" s="153"/>
      <c r="UFQ168" s="153"/>
      <c r="UFR168" s="153"/>
      <c r="UFS168" s="153"/>
      <c r="UFT168" s="153"/>
      <c r="UFU168" s="153"/>
      <c r="UFV168" s="153"/>
      <c r="UFW168" s="153"/>
      <c r="UFX168" s="153"/>
      <c r="UFY168" s="153"/>
      <c r="UFZ168" s="153"/>
      <c r="UGA168" s="153"/>
      <c r="UGB168" s="153"/>
      <c r="UGC168" s="153"/>
      <c r="UGD168" s="153"/>
      <c r="UGE168" s="153"/>
      <c r="UGF168" s="153"/>
      <c r="UGG168" s="153"/>
      <c r="UGH168" s="153"/>
      <c r="UGI168" s="153"/>
      <c r="UGJ168" s="153"/>
      <c r="UGK168" s="153"/>
      <c r="UGL168" s="153"/>
      <c r="UGM168" s="153"/>
      <c r="UGN168" s="153"/>
      <c r="UGO168" s="153"/>
      <c r="UGP168" s="153"/>
      <c r="UGQ168" s="153"/>
      <c r="UGR168" s="153"/>
      <c r="UGS168" s="153"/>
      <c r="UGT168" s="153"/>
      <c r="UGU168" s="153"/>
      <c r="UGV168" s="153"/>
      <c r="UGW168" s="153"/>
      <c r="UGX168" s="153"/>
      <c r="UGY168" s="153"/>
      <c r="UGZ168" s="153"/>
      <c r="UHA168" s="153"/>
      <c r="UHB168" s="153"/>
      <c r="UHC168" s="153"/>
      <c r="UHD168" s="153"/>
      <c r="UHE168" s="153"/>
      <c r="UHF168" s="153"/>
      <c r="UHG168" s="153"/>
      <c r="UHH168" s="153"/>
      <c r="UHI168" s="153"/>
      <c r="UHJ168" s="153"/>
      <c r="UHK168" s="153"/>
      <c r="UHL168" s="153"/>
      <c r="UHM168" s="153"/>
      <c r="UHN168" s="153"/>
      <c r="UHO168" s="153"/>
      <c r="UHP168" s="153"/>
      <c r="UHQ168" s="153"/>
      <c r="UHR168" s="153"/>
      <c r="UHS168" s="153"/>
      <c r="UHT168" s="153"/>
      <c r="UHU168" s="153"/>
      <c r="UHV168" s="153"/>
      <c r="UHW168" s="153"/>
      <c r="UHX168" s="153"/>
      <c r="UHY168" s="153"/>
      <c r="UHZ168" s="153"/>
      <c r="UIA168" s="153"/>
      <c r="UIB168" s="153"/>
      <c r="UIC168" s="153"/>
      <c r="UID168" s="153"/>
      <c r="UIE168" s="153"/>
      <c r="UIF168" s="153"/>
      <c r="UIG168" s="153"/>
      <c r="UIH168" s="153"/>
      <c r="UII168" s="153"/>
      <c r="UIJ168" s="153"/>
      <c r="UIK168" s="153"/>
      <c r="UIL168" s="153"/>
      <c r="UIM168" s="153"/>
      <c r="UIN168" s="153"/>
      <c r="UIO168" s="153"/>
      <c r="UIP168" s="153"/>
      <c r="UIQ168" s="153"/>
      <c r="UIR168" s="153"/>
      <c r="UIS168" s="153"/>
      <c r="UIT168" s="153"/>
      <c r="UIU168" s="153"/>
      <c r="UIV168" s="153"/>
      <c r="UIW168" s="153"/>
      <c r="UIX168" s="153"/>
      <c r="UIY168" s="153"/>
      <c r="UIZ168" s="153"/>
      <c r="UJA168" s="153"/>
      <c r="UJB168" s="153"/>
      <c r="UJC168" s="153"/>
      <c r="UJD168" s="153"/>
      <c r="UJE168" s="153"/>
      <c r="UJF168" s="153"/>
      <c r="UJG168" s="153"/>
      <c r="UJH168" s="153"/>
      <c r="UJI168" s="153"/>
      <c r="UJJ168" s="153"/>
      <c r="UJK168" s="153"/>
      <c r="UJL168" s="153"/>
      <c r="UJM168" s="153"/>
      <c r="UJN168" s="153"/>
      <c r="UJO168" s="153"/>
      <c r="UJP168" s="153"/>
      <c r="UJQ168" s="153"/>
      <c r="UJR168" s="153"/>
      <c r="UJS168" s="153"/>
      <c r="UJT168" s="153"/>
      <c r="UJU168" s="153"/>
      <c r="UJV168" s="153"/>
      <c r="UJW168" s="153"/>
      <c r="UJX168" s="153"/>
      <c r="UJY168" s="153"/>
      <c r="UJZ168" s="153"/>
      <c r="UKA168" s="153"/>
      <c r="UKB168" s="153"/>
      <c r="UKC168" s="153"/>
      <c r="UKD168" s="153"/>
      <c r="UKE168" s="153"/>
      <c r="UKF168" s="153"/>
      <c r="UKG168" s="153"/>
      <c r="UKH168" s="153"/>
      <c r="UKI168" s="153"/>
      <c r="UKJ168" s="153"/>
      <c r="UKK168" s="153"/>
      <c r="UKL168" s="153"/>
      <c r="UKM168" s="153"/>
      <c r="UKN168" s="153"/>
      <c r="UKO168" s="153"/>
      <c r="UKP168" s="153"/>
      <c r="UKQ168" s="153"/>
      <c r="UKR168" s="153"/>
      <c r="UKS168" s="153"/>
      <c r="UKT168" s="153"/>
      <c r="UKU168" s="153"/>
      <c r="UKV168" s="153"/>
      <c r="UKW168" s="153"/>
      <c r="UKX168" s="153"/>
      <c r="UKY168" s="153"/>
      <c r="UKZ168" s="153"/>
      <c r="ULA168" s="153"/>
      <c r="ULB168" s="153"/>
      <c r="ULC168" s="153"/>
      <c r="ULD168" s="153"/>
      <c r="ULE168" s="153"/>
      <c r="ULF168" s="153"/>
      <c r="ULG168" s="153"/>
      <c r="ULH168" s="153"/>
      <c r="ULI168" s="153"/>
      <c r="ULJ168" s="153"/>
      <c r="ULK168" s="153"/>
      <c r="ULL168" s="153"/>
      <c r="ULM168" s="153"/>
      <c r="ULN168" s="153"/>
      <c r="ULO168" s="153"/>
      <c r="ULP168" s="153"/>
      <c r="ULQ168" s="153"/>
      <c r="ULR168" s="153"/>
      <c r="ULS168" s="153"/>
      <c r="ULT168" s="153"/>
      <c r="ULU168" s="153"/>
      <c r="ULV168" s="153"/>
      <c r="ULW168" s="153"/>
      <c r="ULX168" s="153"/>
      <c r="ULY168" s="153"/>
      <c r="ULZ168" s="153"/>
      <c r="UMA168" s="153"/>
      <c r="UMB168" s="153"/>
      <c r="UMC168" s="153"/>
      <c r="UMD168" s="153"/>
      <c r="UME168" s="153"/>
      <c r="UMF168" s="153"/>
      <c r="UMG168" s="153"/>
      <c r="UMH168" s="153"/>
      <c r="UMI168" s="153"/>
      <c r="UMJ168" s="153"/>
      <c r="UMK168" s="153"/>
      <c r="UML168" s="153"/>
      <c r="UMM168" s="153"/>
      <c r="UMN168" s="153"/>
      <c r="UMO168" s="153"/>
      <c r="UMP168" s="153"/>
      <c r="UMQ168" s="153"/>
      <c r="UMR168" s="153"/>
      <c r="UMS168" s="153"/>
      <c r="UMT168" s="153"/>
      <c r="UMU168" s="153"/>
      <c r="UMV168" s="153"/>
      <c r="UMW168" s="153"/>
      <c r="UMX168" s="153"/>
      <c r="UMY168" s="153"/>
      <c r="UMZ168" s="153"/>
      <c r="UNA168" s="153"/>
      <c r="UNB168" s="153"/>
      <c r="UNC168" s="153"/>
      <c r="UND168" s="153"/>
      <c r="UNE168" s="153"/>
      <c r="UNF168" s="153"/>
      <c r="UNG168" s="153"/>
      <c r="UNH168" s="153"/>
      <c r="UNI168" s="153"/>
      <c r="UNJ168" s="153"/>
      <c r="UNK168" s="153"/>
      <c r="UNL168" s="153"/>
      <c r="UNM168" s="153"/>
      <c r="UNN168" s="153"/>
      <c r="UNO168" s="153"/>
      <c r="UNP168" s="153"/>
      <c r="UNQ168" s="153"/>
      <c r="UNR168" s="153"/>
      <c r="UNS168" s="153"/>
      <c r="UNT168" s="153"/>
      <c r="UNU168" s="153"/>
      <c r="UNV168" s="153"/>
      <c r="UNW168" s="153"/>
      <c r="UNX168" s="153"/>
      <c r="UNY168" s="153"/>
      <c r="UNZ168" s="153"/>
      <c r="UOA168" s="153"/>
      <c r="UOB168" s="153"/>
      <c r="UOC168" s="153"/>
      <c r="UOD168" s="153"/>
      <c r="UOE168" s="153"/>
      <c r="UOF168" s="153"/>
      <c r="UOG168" s="153"/>
      <c r="UOH168" s="153"/>
      <c r="UOI168" s="153"/>
      <c r="UOJ168" s="153"/>
      <c r="UOK168" s="153"/>
      <c r="UOL168" s="153"/>
      <c r="UOM168" s="153"/>
      <c r="UON168" s="153"/>
      <c r="UOO168" s="153"/>
      <c r="UOP168" s="153"/>
      <c r="UOQ168" s="153"/>
      <c r="UOR168" s="153"/>
      <c r="UOS168" s="153"/>
      <c r="UOT168" s="153"/>
      <c r="UOU168" s="153"/>
      <c r="UOV168" s="153"/>
      <c r="UOW168" s="153"/>
      <c r="UOX168" s="153"/>
      <c r="UOY168" s="153"/>
      <c r="UOZ168" s="153"/>
      <c r="UPA168" s="153"/>
      <c r="UPB168" s="153"/>
      <c r="UPC168" s="153"/>
      <c r="UPD168" s="153"/>
      <c r="UPE168" s="153"/>
      <c r="UPF168" s="153"/>
      <c r="UPG168" s="153"/>
      <c r="UPH168" s="153"/>
      <c r="UPI168" s="153"/>
      <c r="UPJ168" s="153"/>
      <c r="UPK168" s="153"/>
      <c r="UPL168" s="153"/>
      <c r="UPM168" s="153"/>
      <c r="UPN168" s="153"/>
      <c r="UPO168" s="153"/>
      <c r="UPP168" s="153"/>
      <c r="UPQ168" s="153"/>
      <c r="UPR168" s="153"/>
      <c r="UPS168" s="153"/>
      <c r="UPT168" s="153"/>
      <c r="UPU168" s="153"/>
      <c r="UPV168" s="153"/>
      <c r="UPW168" s="153"/>
      <c r="UPX168" s="153"/>
      <c r="UPY168" s="153"/>
      <c r="UPZ168" s="153"/>
      <c r="UQA168" s="153"/>
      <c r="UQB168" s="153"/>
      <c r="UQC168" s="153"/>
      <c r="UQD168" s="153"/>
      <c r="UQE168" s="153"/>
      <c r="UQF168" s="153"/>
      <c r="UQG168" s="153"/>
      <c r="UQH168" s="153"/>
      <c r="UQI168" s="153"/>
      <c r="UQJ168" s="153"/>
      <c r="UQK168" s="153"/>
      <c r="UQL168" s="153"/>
      <c r="UQM168" s="153"/>
      <c r="UQN168" s="153"/>
      <c r="UQO168" s="153"/>
      <c r="UQP168" s="153"/>
      <c r="UQQ168" s="153"/>
      <c r="UQR168" s="153"/>
      <c r="UQS168" s="153"/>
      <c r="UQT168" s="153"/>
      <c r="UQU168" s="153"/>
      <c r="UQV168" s="153"/>
      <c r="UQW168" s="153"/>
      <c r="UQX168" s="153"/>
      <c r="UQY168" s="153"/>
      <c r="UQZ168" s="153"/>
      <c r="URA168" s="153"/>
      <c r="URB168" s="153"/>
      <c r="URC168" s="153"/>
      <c r="URD168" s="153"/>
      <c r="URE168" s="153"/>
      <c r="URF168" s="153"/>
      <c r="URG168" s="153"/>
      <c r="URH168" s="153"/>
      <c r="URI168" s="153"/>
      <c r="URJ168" s="153"/>
      <c r="URK168" s="153"/>
      <c r="URL168" s="153"/>
      <c r="URM168" s="153"/>
      <c r="URN168" s="153"/>
      <c r="URO168" s="153"/>
      <c r="URP168" s="153"/>
      <c r="URQ168" s="153"/>
      <c r="URR168" s="153"/>
      <c r="URS168" s="153"/>
      <c r="URT168" s="153"/>
      <c r="URU168" s="153"/>
      <c r="URV168" s="153"/>
      <c r="URW168" s="153"/>
      <c r="URX168" s="153"/>
      <c r="URY168" s="153"/>
      <c r="URZ168" s="153"/>
      <c r="USA168" s="153"/>
      <c r="USB168" s="153"/>
      <c r="USC168" s="153"/>
      <c r="USD168" s="153"/>
      <c r="USE168" s="153"/>
      <c r="USF168" s="153"/>
      <c r="USG168" s="153"/>
      <c r="USH168" s="153"/>
      <c r="USI168" s="153"/>
      <c r="USJ168" s="153"/>
      <c r="USK168" s="153"/>
      <c r="USL168" s="153"/>
      <c r="USM168" s="153"/>
      <c r="USN168" s="153"/>
      <c r="USO168" s="153"/>
      <c r="USP168" s="153"/>
      <c r="USQ168" s="153"/>
      <c r="USR168" s="153"/>
      <c r="USS168" s="153"/>
      <c r="UST168" s="153"/>
      <c r="USU168" s="153"/>
      <c r="USV168" s="153"/>
      <c r="USW168" s="153"/>
      <c r="USX168" s="153"/>
      <c r="USY168" s="153"/>
      <c r="USZ168" s="153"/>
      <c r="UTA168" s="153"/>
      <c r="UTB168" s="153"/>
      <c r="UTC168" s="153"/>
      <c r="UTD168" s="153"/>
      <c r="UTE168" s="153"/>
      <c r="UTF168" s="153"/>
      <c r="UTG168" s="153"/>
      <c r="UTH168" s="153"/>
      <c r="UTI168" s="153"/>
      <c r="UTJ168" s="153"/>
      <c r="UTK168" s="153"/>
      <c r="UTL168" s="153"/>
      <c r="UTM168" s="153"/>
      <c r="UTN168" s="153"/>
      <c r="UTO168" s="153"/>
      <c r="UTP168" s="153"/>
      <c r="UTQ168" s="153"/>
      <c r="UTR168" s="153"/>
      <c r="UTS168" s="153"/>
      <c r="UTT168" s="153"/>
      <c r="UTU168" s="153"/>
      <c r="UTV168" s="153"/>
      <c r="UTW168" s="153"/>
      <c r="UTX168" s="153"/>
      <c r="UTY168" s="153"/>
      <c r="UTZ168" s="153"/>
      <c r="UUA168" s="153"/>
      <c r="UUB168" s="153"/>
      <c r="UUC168" s="153"/>
      <c r="UUD168" s="153"/>
      <c r="UUE168" s="153"/>
      <c r="UUF168" s="153"/>
      <c r="UUG168" s="153"/>
      <c r="UUH168" s="153"/>
      <c r="UUI168" s="153"/>
      <c r="UUJ168" s="153"/>
      <c r="UUK168" s="153"/>
      <c r="UUL168" s="153"/>
      <c r="UUM168" s="153"/>
      <c r="UUN168" s="153"/>
      <c r="UUO168" s="153"/>
      <c r="UUP168" s="153"/>
      <c r="UUQ168" s="153"/>
      <c r="UUR168" s="153"/>
      <c r="UUS168" s="153"/>
      <c r="UUT168" s="153"/>
      <c r="UUU168" s="153"/>
      <c r="UUV168" s="153"/>
      <c r="UUW168" s="153"/>
      <c r="UUX168" s="153"/>
      <c r="UUY168" s="153"/>
      <c r="UUZ168" s="153"/>
      <c r="UVA168" s="153"/>
      <c r="UVB168" s="153"/>
      <c r="UVC168" s="153"/>
      <c r="UVD168" s="153"/>
      <c r="UVE168" s="153"/>
      <c r="UVF168" s="153"/>
      <c r="UVG168" s="153"/>
      <c r="UVH168" s="153"/>
      <c r="UVI168" s="153"/>
      <c r="UVJ168" s="153"/>
      <c r="UVK168" s="153"/>
      <c r="UVL168" s="153"/>
      <c r="UVM168" s="153"/>
      <c r="UVN168" s="153"/>
      <c r="UVO168" s="153"/>
      <c r="UVP168" s="153"/>
      <c r="UVQ168" s="153"/>
      <c r="UVR168" s="153"/>
      <c r="UVS168" s="153"/>
      <c r="UVT168" s="153"/>
      <c r="UVU168" s="153"/>
      <c r="UVV168" s="153"/>
      <c r="UVW168" s="153"/>
      <c r="UVX168" s="153"/>
      <c r="UVY168" s="153"/>
      <c r="UVZ168" s="153"/>
      <c r="UWA168" s="153"/>
      <c r="UWB168" s="153"/>
      <c r="UWC168" s="153"/>
      <c r="UWD168" s="153"/>
      <c r="UWE168" s="153"/>
      <c r="UWF168" s="153"/>
      <c r="UWG168" s="153"/>
      <c r="UWH168" s="153"/>
      <c r="UWI168" s="153"/>
      <c r="UWJ168" s="153"/>
      <c r="UWK168" s="153"/>
      <c r="UWL168" s="153"/>
      <c r="UWM168" s="153"/>
      <c r="UWN168" s="153"/>
      <c r="UWO168" s="153"/>
      <c r="UWP168" s="153"/>
      <c r="UWQ168" s="153"/>
      <c r="UWR168" s="153"/>
      <c r="UWS168" s="153"/>
      <c r="UWT168" s="153"/>
      <c r="UWU168" s="153"/>
      <c r="UWV168" s="153"/>
      <c r="UWW168" s="153"/>
      <c r="UWX168" s="153"/>
      <c r="UWY168" s="153"/>
      <c r="UWZ168" s="153"/>
      <c r="UXA168" s="153"/>
      <c r="UXB168" s="153"/>
      <c r="UXC168" s="153"/>
      <c r="UXD168" s="153"/>
      <c r="UXE168" s="153"/>
      <c r="UXF168" s="153"/>
      <c r="UXG168" s="153"/>
      <c r="UXH168" s="153"/>
      <c r="UXI168" s="153"/>
      <c r="UXJ168" s="153"/>
      <c r="UXK168" s="153"/>
      <c r="UXL168" s="153"/>
      <c r="UXM168" s="153"/>
      <c r="UXN168" s="153"/>
      <c r="UXO168" s="153"/>
      <c r="UXP168" s="153"/>
      <c r="UXQ168" s="153"/>
      <c r="UXR168" s="153"/>
      <c r="UXS168" s="153"/>
      <c r="UXT168" s="153"/>
      <c r="UXU168" s="153"/>
      <c r="UXV168" s="153"/>
      <c r="UXW168" s="153"/>
      <c r="UXX168" s="153"/>
      <c r="UXY168" s="153"/>
      <c r="UXZ168" s="153"/>
      <c r="UYA168" s="153"/>
      <c r="UYB168" s="153"/>
      <c r="UYC168" s="153"/>
      <c r="UYD168" s="153"/>
      <c r="UYE168" s="153"/>
      <c r="UYF168" s="153"/>
      <c r="UYG168" s="153"/>
      <c r="UYH168" s="153"/>
      <c r="UYI168" s="153"/>
      <c r="UYJ168" s="153"/>
      <c r="UYK168" s="153"/>
      <c r="UYL168" s="153"/>
      <c r="UYM168" s="153"/>
      <c r="UYN168" s="153"/>
      <c r="UYO168" s="153"/>
      <c r="UYP168" s="153"/>
      <c r="UYQ168" s="153"/>
      <c r="UYR168" s="153"/>
      <c r="UYS168" s="153"/>
      <c r="UYT168" s="153"/>
      <c r="UYU168" s="153"/>
      <c r="UYV168" s="153"/>
      <c r="UYW168" s="153"/>
      <c r="UYX168" s="153"/>
      <c r="UYY168" s="153"/>
      <c r="UYZ168" s="153"/>
      <c r="UZA168" s="153"/>
      <c r="UZB168" s="153"/>
      <c r="UZC168" s="153"/>
      <c r="UZD168" s="153"/>
      <c r="UZE168" s="153"/>
      <c r="UZF168" s="153"/>
      <c r="UZG168" s="153"/>
      <c r="UZH168" s="153"/>
      <c r="UZI168" s="153"/>
      <c r="UZJ168" s="153"/>
      <c r="UZK168" s="153"/>
      <c r="UZL168" s="153"/>
      <c r="UZM168" s="153"/>
      <c r="UZN168" s="153"/>
      <c r="UZO168" s="153"/>
      <c r="UZP168" s="153"/>
      <c r="UZQ168" s="153"/>
      <c r="UZR168" s="153"/>
      <c r="UZS168" s="153"/>
      <c r="UZT168" s="153"/>
      <c r="UZU168" s="153"/>
      <c r="UZV168" s="153"/>
      <c r="UZW168" s="153"/>
      <c r="UZX168" s="153"/>
      <c r="UZY168" s="153"/>
      <c r="UZZ168" s="153"/>
      <c r="VAA168" s="153"/>
      <c r="VAB168" s="153"/>
      <c r="VAC168" s="153"/>
      <c r="VAD168" s="153"/>
      <c r="VAE168" s="153"/>
      <c r="VAF168" s="153"/>
      <c r="VAG168" s="153"/>
      <c r="VAH168" s="153"/>
      <c r="VAI168" s="153"/>
      <c r="VAJ168" s="153"/>
      <c r="VAK168" s="153"/>
      <c r="VAL168" s="153"/>
      <c r="VAM168" s="153"/>
      <c r="VAN168" s="153"/>
      <c r="VAO168" s="153"/>
      <c r="VAP168" s="153"/>
      <c r="VAQ168" s="153"/>
      <c r="VAR168" s="153"/>
      <c r="VAS168" s="153"/>
      <c r="VAT168" s="153"/>
      <c r="VAU168" s="153"/>
      <c r="VAV168" s="153"/>
      <c r="VAW168" s="153"/>
      <c r="VAX168" s="153"/>
      <c r="VAY168" s="153"/>
      <c r="VAZ168" s="153"/>
      <c r="VBA168" s="153"/>
      <c r="VBB168" s="153"/>
      <c r="VBC168" s="153"/>
      <c r="VBD168" s="153"/>
      <c r="VBE168" s="153"/>
      <c r="VBF168" s="153"/>
      <c r="VBG168" s="153"/>
      <c r="VBH168" s="153"/>
      <c r="VBI168" s="153"/>
      <c r="VBJ168" s="153"/>
      <c r="VBK168" s="153"/>
      <c r="VBL168" s="153"/>
      <c r="VBM168" s="153"/>
      <c r="VBN168" s="153"/>
      <c r="VBO168" s="153"/>
      <c r="VBP168" s="153"/>
      <c r="VBQ168" s="153"/>
      <c r="VBR168" s="153"/>
      <c r="VBS168" s="153"/>
      <c r="VBT168" s="153"/>
      <c r="VBU168" s="153"/>
      <c r="VBV168" s="153"/>
      <c r="VBW168" s="153"/>
      <c r="VBX168" s="153"/>
      <c r="VBY168" s="153"/>
      <c r="VBZ168" s="153"/>
      <c r="VCA168" s="153"/>
      <c r="VCB168" s="153"/>
      <c r="VCC168" s="153"/>
      <c r="VCD168" s="153"/>
      <c r="VCE168" s="153"/>
      <c r="VCF168" s="153"/>
      <c r="VCG168" s="153"/>
      <c r="VCH168" s="153"/>
      <c r="VCI168" s="153"/>
      <c r="VCJ168" s="153"/>
      <c r="VCK168" s="153"/>
      <c r="VCL168" s="153"/>
      <c r="VCM168" s="153"/>
      <c r="VCN168" s="153"/>
      <c r="VCO168" s="153"/>
      <c r="VCP168" s="153"/>
      <c r="VCQ168" s="153"/>
      <c r="VCR168" s="153"/>
      <c r="VCS168" s="153"/>
      <c r="VCT168" s="153"/>
      <c r="VCU168" s="153"/>
      <c r="VCV168" s="153"/>
      <c r="VCW168" s="153"/>
      <c r="VCX168" s="153"/>
      <c r="VCY168" s="153"/>
      <c r="VCZ168" s="153"/>
      <c r="VDA168" s="153"/>
      <c r="VDB168" s="153"/>
      <c r="VDC168" s="153"/>
      <c r="VDD168" s="153"/>
      <c r="VDE168" s="153"/>
      <c r="VDF168" s="153"/>
      <c r="VDG168" s="153"/>
      <c r="VDH168" s="153"/>
      <c r="VDI168" s="153"/>
      <c r="VDJ168" s="153"/>
      <c r="VDK168" s="153"/>
      <c r="VDL168" s="153"/>
      <c r="VDM168" s="153"/>
      <c r="VDN168" s="153"/>
      <c r="VDO168" s="153"/>
      <c r="VDP168" s="153"/>
      <c r="VDQ168" s="153"/>
      <c r="VDR168" s="153"/>
      <c r="VDS168" s="153"/>
      <c r="VDT168" s="153"/>
      <c r="VDU168" s="153"/>
      <c r="VDV168" s="153"/>
      <c r="VDW168" s="153"/>
      <c r="VDX168" s="153"/>
      <c r="VDY168" s="153"/>
      <c r="VDZ168" s="153"/>
      <c r="VEA168" s="153"/>
      <c r="VEB168" s="153"/>
      <c r="VEC168" s="153"/>
      <c r="VED168" s="153"/>
      <c r="VEE168" s="153"/>
      <c r="VEF168" s="153"/>
      <c r="VEG168" s="153"/>
      <c r="VEH168" s="153"/>
      <c r="VEI168" s="153"/>
      <c r="VEJ168" s="153"/>
      <c r="VEK168" s="153"/>
      <c r="VEL168" s="153"/>
      <c r="VEM168" s="153"/>
      <c r="VEN168" s="153"/>
      <c r="VEO168" s="153"/>
      <c r="VEP168" s="153"/>
      <c r="VEQ168" s="153"/>
      <c r="VER168" s="153"/>
      <c r="VES168" s="153"/>
      <c r="VET168" s="153"/>
      <c r="VEU168" s="153"/>
      <c r="VEV168" s="153"/>
      <c r="VEW168" s="153"/>
      <c r="VEX168" s="153"/>
      <c r="VEY168" s="153"/>
      <c r="VEZ168" s="153"/>
      <c r="VFA168" s="153"/>
      <c r="VFB168" s="153"/>
      <c r="VFC168" s="153"/>
      <c r="VFD168" s="153"/>
      <c r="VFE168" s="153"/>
      <c r="VFF168" s="153"/>
      <c r="VFG168" s="153"/>
      <c r="VFH168" s="153"/>
      <c r="VFI168" s="153"/>
      <c r="VFJ168" s="153"/>
      <c r="VFK168" s="153"/>
      <c r="VFL168" s="153"/>
      <c r="VFM168" s="153"/>
      <c r="VFN168" s="153"/>
      <c r="VFO168" s="153"/>
      <c r="VFP168" s="153"/>
      <c r="VFQ168" s="153"/>
      <c r="VFR168" s="153"/>
      <c r="VFS168" s="153"/>
      <c r="VFT168" s="153"/>
      <c r="VFU168" s="153"/>
      <c r="VFV168" s="153"/>
      <c r="VFW168" s="153"/>
      <c r="VFX168" s="153"/>
      <c r="VFY168" s="153"/>
      <c r="VFZ168" s="153"/>
      <c r="VGA168" s="153"/>
      <c r="VGB168" s="153"/>
      <c r="VGC168" s="153"/>
      <c r="VGD168" s="153"/>
      <c r="VGE168" s="153"/>
      <c r="VGF168" s="153"/>
      <c r="VGG168" s="153"/>
      <c r="VGH168" s="153"/>
      <c r="VGI168" s="153"/>
      <c r="VGJ168" s="153"/>
      <c r="VGK168" s="153"/>
      <c r="VGL168" s="153"/>
      <c r="VGM168" s="153"/>
      <c r="VGN168" s="153"/>
      <c r="VGO168" s="153"/>
      <c r="VGP168" s="153"/>
      <c r="VGQ168" s="153"/>
      <c r="VGR168" s="153"/>
      <c r="VGS168" s="153"/>
      <c r="VGT168" s="153"/>
      <c r="VGU168" s="153"/>
      <c r="VGV168" s="153"/>
      <c r="VGW168" s="153"/>
      <c r="VGX168" s="153"/>
      <c r="VGY168" s="153"/>
      <c r="VGZ168" s="153"/>
      <c r="VHA168" s="153"/>
      <c r="VHB168" s="153"/>
      <c r="VHC168" s="153"/>
      <c r="VHD168" s="153"/>
      <c r="VHE168" s="153"/>
      <c r="VHF168" s="153"/>
      <c r="VHG168" s="153"/>
      <c r="VHH168" s="153"/>
      <c r="VHI168" s="153"/>
      <c r="VHJ168" s="153"/>
      <c r="VHK168" s="153"/>
      <c r="VHL168" s="153"/>
      <c r="VHM168" s="153"/>
      <c r="VHN168" s="153"/>
      <c r="VHO168" s="153"/>
      <c r="VHP168" s="153"/>
      <c r="VHQ168" s="153"/>
      <c r="VHR168" s="153"/>
      <c r="VHS168" s="153"/>
      <c r="VHT168" s="153"/>
      <c r="VHU168" s="153"/>
      <c r="VHV168" s="153"/>
      <c r="VHW168" s="153"/>
      <c r="VHX168" s="153"/>
      <c r="VHY168" s="153"/>
      <c r="VHZ168" s="153"/>
      <c r="VIA168" s="153"/>
      <c r="VIB168" s="153"/>
      <c r="VIC168" s="153"/>
      <c r="VID168" s="153"/>
      <c r="VIE168" s="153"/>
      <c r="VIF168" s="153"/>
      <c r="VIG168" s="153"/>
      <c r="VIH168" s="153"/>
      <c r="VII168" s="153"/>
      <c r="VIJ168" s="153"/>
      <c r="VIK168" s="153"/>
      <c r="VIL168" s="153"/>
      <c r="VIM168" s="153"/>
      <c r="VIN168" s="153"/>
      <c r="VIO168" s="153"/>
      <c r="VIP168" s="153"/>
      <c r="VIQ168" s="153"/>
      <c r="VIR168" s="153"/>
      <c r="VIS168" s="153"/>
      <c r="VIT168" s="153"/>
      <c r="VIU168" s="153"/>
      <c r="VIV168" s="153"/>
      <c r="VIW168" s="153"/>
      <c r="VIX168" s="153"/>
      <c r="VIY168" s="153"/>
      <c r="VIZ168" s="153"/>
      <c r="VJA168" s="153"/>
      <c r="VJB168" s="153"/>
      <c r="VJC168" s="153"/>
      <c r="VJD168" s="153"/>
      <c r="VJE168" s="153"/>
      <c r="VJF168" s="153"/>
      <c r="VJG168" s="153"/>
      <c r="VJH168" s="153"/>
      <c r="VJI168" s="153"/>
      <c r="VJJ168" s="153"/>
      <c r="VJK168" s="153"/>
      <c r="VJL168" s="153"/>
      <c r="VJM168" s="153"/>
      <c r="VJN168" s="153"/>
      <c r="VJO168" s="153"/>
      <c r="VJP168" s="153"/>
      <c r="VJQ168" s="153"/>
      <c r="VJR168" s="153"/>
      <c r="VJS168" s="153"/>
      <c r="VJT168" s="153"/>
      <c r="VJU168" s="153"/>
      <c r="VJV168" s="153"/>
      <c r="VJW168" s="153"/>
      <c r="VJX168" s="153"/>
      <c r="VJY168" s="153"/>
      <c r="VJZ168" s="153"/>
      <c r="VKA168" s="153"/>
      <c r="VKB168" s="153"/>
      <c r="VKC168" s="153"/>
      <c r="VKD168" s="153"/>
      <c r="VKE168" s="153"/>
      <c r="VKF168" s="153"/>
      <c r="VKG168" s="153"/>
      <c r="VKH168" s="153"/>
      <c r="VKI168" s="153"/>
      <c r="VKJ168" s="153"/>
      <c r="VKK168" s="153"/>
      <c r="VKL168" s="153"/>
      <c r="VKM168" s="153"/>
      <c r="VKN168" s="153"/>
      <c r="VKO168" s="153"/>
      <c r="VKP168" s="153"/>
      <c r="VKQ168" s="153"/>
      <c r="VKR168" s="153"/>
      <c r="VKS168" s="153"/>
      <c r="VKT168" s="153"/>
      <c r="VKU168" s="153"/>
      <c r="VKV168" s="153"/>
      <c r="VKW168" s="153"/>
      <c r="VKX168" s="153"/>
      <c r="VKY168" s="153"/>
      <c r="VKZ168" s="153"/>
      <c r="VLA168" s="153"/>
      <c r="VLB168" s="153"/>
      <c r="VLC168" s="153"/>
      <c r="VLD168" s="153"/>
      <c r="VLE168" s="153"/>
      <c r="VLF168" s="153"/>
      <c r="VLG168" s="153"/>
      <c r="VLH168" s="153"/>
      <c r="VLI168" s="153"/>
      <c r="VLJ168" s="153"/>
      <c r="VLK168" s="153"/>
      <c r="VLL168" s="153"/>
      <c r="VLM168" s="153"/>
      <c r="VLN168" s="153"/>
      <c r="VLO168" s="153"/>
      <c r="VLP168" s="153"/>
      <c r="VLQ168" s="153"/>
      <c r="VLR168" s="153"/>
      <c r="VLS168" s="153"/>
      <c r="VLT168" s="153"/>
      <c r="VLU168" s="153"/>
      <c r="VLV168" s="153"/>
      <c r="VLW168" s="153"/>
      <c r="VLX168" s="153"/>
      <c r="VLY168" s="153"/>
      <c r="VLZ168" s="153"/>
      <c r="VMA168" s="153"/>
      <c r="VMB168" s="153"/>
      <c r="VMC168" s="153"/>
      <c r="VMD168" s="153"/>
      <c r="VME168" s="153"/>
      <c r="VMF168" s="153"/>
      <c r="VMG168" s="153"/>
      <c r="VMH168" s="153"/>
      <c r="VMI168" s="153"/>
      <c r="VMJ168" s="153"/>
      <c r="VMK168" s="153"/>
      <c r="VML168" s="153"/>
      <c r="VMM168" s="153"/>
      <c r="VMN168" s="153"/>
      <c r="VMO168" s="153"/>
      <c r="VMP168" s="153"/>
      <c r="VMQ168" s="153"/>
      <c r="VMR168" s="153"/>
      <c r="VMS168" s="153"/>
      <c r="VMT168" s="153"/>
      <c r="VMU168" s="153"/>
      <c r="VMV168" s="153"/>
      <c r="VMW168" s="153"/>
      <c r="VMX168" s="153"/>
      <c r="VMY168" s="153"/>
      <c r="VMZ168" s="153"/>
      <c r="VNA168" s="153"/>
      <c r="VNB168" s="153"/>
      <c r="VNC168" s="153"/>
      <c r="VND168" s="153"/>
      <c r="VNE168" s="153"/>
      <c r="VNF168" s="153"/>
      <c r="VNG168" s="153"/>
      <c r="VNH168" s="153"/>
      <c r="VNI168" s="153"/>
      <c r="VNJ168" s="153"/>
      <c r="VNK168" s="153"/>
      <c r="VNL168" s="153"/>
      <c r="VNM168" s="153"/>
      <c r="VNN168" s="153"/>
      <c r="VNO168" s="153"/>
      <c r="VNP168" s="153"/>
      <c r="VNQ168" s="153"/>
      <c r="VNR168" s="153"/>
      <c r="VNS168" s="153"/>
      <c r="VNT168" s="153"/>
      <c r="VNU168" s="153"/>
      <c r="VNV168" s="153"/>
      <c r="VNW168" s="153"/>
      <c r="VNX168" s="153"/>
      <c r="VNY168" s="153"/>
      <c r="VNZ168" s="153"/>
      <c r="VOA168" s="153"/>
      <c r="VOB168" s="153"/>
      <c r="VOC168" s="153"/>
      <c r="VOD168" s="153"/>
      <c r="VOE168" s="153"/>
      <c r="VOF168" s="153"/>
      <c r="VOG168" s="153"/>
      <c r="VOH168" s="153"/>
      <c r="VOI168" s="153"/>
      <c r="VOJ168" s="153"/>
      <c r="VOK168" s="153"/>
      <c r="VOL168" s="153"/>
      <c r="VOM168" s="153"/>
      <c r="VON168" s="153"/>
      <c r="VOO168" s="153"/>
      <c r="VOP168" s="153"/>
      <c r="VOQ168" s="153"/>
      <c r="VOR168" s="153"/>
      <c r="VOS168" s="153"/>
      <c r="VOT168" s="153"/>
      <c r="VOU168" s="153"/>
      <c r="VOV168" s="153"/>
      <c r="VOW168" s="153"/>
      <c r="VOX168" s="153"/>
      <c r="VOY168" s="153"/>
      <c r="VOZ168" s="153"/>
      <c r="VPA168" s="153"/>
      <c r="VPB168" s="153"/>
      <c r="VPC168" s="153"/>
      <c r="VPD168" s="153"/>
      <c r="VPE168" s="153"/>
      <c r="VPF168" s="153"/>
      <c r="VPG168" s="153"/>
      <c r="VPH168" s="153"/>
      <c r="VPI168" s="153"/>
      <c r="VPJ168" s="153"/>
      <c r="VPK168" s="153"/>
      <c r="VPL168" s="153"/>
      <c r="VPM168" s="153"/>
      <c r="VPN168" s="153"/>
      <c r="VPO168" s="153"/>
      <c r="VPP168" s="153"/>
      <c r="VPQ168" s="153"/>
      <c r="VPR168" s="153"/>
      <c r="VPS168" s="153"/>
      <c r="VPT168" s="153"/>
      <c r="VPU168" s="153"/>
      <c r="VPV168" s="153"/>
      <c r="VPW168" s="153"/>
      <c r="VPX168" s="153"/>
      <c r="VPY168" s="153"/>
      <c r="VPZ168" s="153"/>
      <c r="VQA168" s="153"/>
      <c r="VQB168" s="153"/>
      <c r="VQC168" s="153"/>
      <c r="VQD168" s="153"/>
      <c r="VQE168" s="153"/>
      <c r="VQF168" s="153"/>
      <c r="VQG168" s="153"/>
      <c r="VQH168" s="153"/>
      <c r="VQI168" s="153"/>
      <c r="VQJ168" s="153"/>
      <c r="VQK168" s="153"/>
      <c r="VQL168" s="153"/>
      <c r="VQM168" s="153"/>
      <c r="VQN168" s="153"/>
      <c r="VQO168" s="153"/>
      <c r="VQP168" s="153"/>
      <c r="VQQ168" s="153"/>
      <c r="VQR168" s="153"/>
      <c r="VQS168" s="153"/>
      <c r="VQT168" s="153"/>
      <c r="VQU168" s="153"/>
      <c r="VQV168" s="153"/>
      <c r="VQW168" s="153"/>
      <c r="VQX168" s="153"/>
      <c r="VQY168" s="153"/>
      <c r="VQZ168" s="153"/>
      <c r="VRA168" s="153"/>
      <c r="VRB168" s="153"/>
      <c r="VRC168" s="153"/>
      <c r="VRD168" s="153"/>
      <c r="VRE168" s="153"/>
      <c r="VRF168" s="153"/>
      <c r="VRG168" s="153"/>
      <c r="VRH168" s="153"/>
      <c r="VRI168" s="153"/>
      <c r="VRJ168" s="153"/>
      <c r="VRK168" s="153"/>
      <c r="VRL168" s="153"/>
      <c r="VRM168" s="153"/>
      <c r="VRN168" s="153"/>
      <c r="VRO168" s="153"/>
      <c r="VRP168" s="153"/>
      <c r="VRQ168" s="153"/>
      <c r="VRR168" s="153"/>
      <c r="VRS168" s="153"/>
      <c r="VRT168" s="153"/>
      <c r="VRU168" s="153"/>
      <c r="VRV168" s="153"/>
      <c r="VRW168" s="153"/>
      <c r="VRX168" s="153"/>
      <c r="VRY168" s="153"/>
      <c r="VRZ168" s="153"/>
      <c r="VSA168" s="153"/>
      <c r="VSB168" s="153"/>
      <c r="VSC168" s="153"/>
      <c r="VSD168" s="153"/>
      <c r="VSE168" s="153"/>
      <c r="VSF168" s="153"/>
      <c r="VSG168" s="153"/>
      <c r="VSH168" s="153"/>
      <c r="VSI168" s="153"/>
      <c r="VSJ168" s="153"/>
      <c r="VSK168" s="153"/>
      <c r="VSL168" s="153"/>
      <c r="VSM168" s="153"/>
      <c r="VSN168" s="153"/>
      <c r="VSO168" s="153"/>
      <c r="VSP168" s="153"/>
      <c r="VSQ168" s="153"/>
      <c r="VSR168" s="153"/>
      <c r="VSS168" s="153"/>
      <c r="VST168" s="153"/>
      <c r="VSU168" s="153"/>
      <c r="VSV168" s="153"/>
      <c r="VSW168" s="153"/>
      <c r="VSX168" s="153"/>
      <c r="VSY168" s="153"/>
      <c r="VSZ168" s="153"/>
      <c r="VTA168" s="153"/>
      <c r="VTB168" s="153"/>
      <c r="VTC168" s="153"/>
      <c r="VTD168" s="153"/>
      <c r="VTE168" s="153"/>
      <c r="VTF168" s="153"/>
      <c r="VTG168" s="153"/>
      <c r="VTH168" s="153"/>
      <c r="VTI168" s="153"/>
      <c r="VTJ168" s="153"/>
      <c r="VTK168" s="153"/>
      <c r="VTL168" s="153"/>
      <c r="VTM168" s="153"/>
      <c r="VTN168" s="153"/>
      <c r="VTO168" s="153"/>
      <c r="VTP168" s="153"/>
      <c r="VTQ168" s="153"/>
      <c r="VTR168" s="153"/>
      <c r="VTS168" s="153"/>
      <c r="VTT168" s="153"/>
      <c r="VTU168" s="153"/>
      <c r="VTV168" s="153"/>
      <c r="VTW168" s="153"/>
      <c r="VTX168" s="153"/>
      <c r="VTY168" s="153"/>
      <c r="VTZ168" s="153"/>
      <c r="VUA168" s="153"/>
      <c r="VUB168" s="153"/>
      <c r="VUC168" s="153"/>
      <c r="VUD168" s="153"/>
      <c r="VUE168" s="153"/>
      <c r="VUF168" s="153"/>
      <c r="VUG168" s="153"/>
      <c r="VUH168" s="153"/>
      <c r="VUI168" s="153"/>
      <c r="VUJ168" s="153"/>
      <c r="VUK168" s="153"/>
      <c r="VUL168" s="153"/>
      <c r="VUM168" s="153"/>
      <c r="VUN168" s="153"/>
      <c r="VUO168" s="153"/>
      <c r="VUP168" s="153"/>
      <c r="VUQ168" s="153"/>
      <c r="VUR168" s="153"/>
      <c r="VUS168" s="153"/>
      <c r="VUT168" s="153"/>
      <c r="VUU168" s="153"/>
      <c r="VUV168" s="153"/>
      <c r="VUW168" s="153"/>
      <c r="VUX168" s="153"/>
      <c r="VUY168" s="153"/>
      <c r="VUZ168" s="153"/>
      <c r="VVA168" s="153"/>
      <c r="VVB168" s="153"/>
      <c r="VVC168" s="153"/>
      <c r="VVD168" s="153"/>
      <c r="VVE168" s="153"/>
      <c r="VVF168" s="153"/>
      <c r="VVG168" s="153"/>
      <c r="VVH168" s="153"/>
      <c r="VVI168" s="153"/>
      <c r="VVJ168" s="153"/>
      <c r="VVK168" s="153"/>
      <c r="VVL168" s="153"/>
      <c r="VVM168" s="153"/>
      <c r="VVN168" s="153"/>
      <c r="VVO168" s="153"/>
      <c r="VVP168" s="153"/>
      <c r="VVQ168" s="153"/>
      <c r="VVR168" s="153"/>
      <c r="VVS168" s="153"/>
      <c r="VVT168" s="153"/>
      <c r="VVU168" s="153"/>
      <c r="VVV168" s="153"/>
      <c r="VVW168" s="153"/>
      <c r="VVX168" s="153"/>
      <c r="VVY168" s="153"/>
      <c r="VVZ168" s="153"/>
      <c r="VWA168" s="153"/>
      <c r="VWB168" s="153"/>
      <c r="VWC168" s="153"/>
      <c r="VWD168" s="153"/>
      <c r="VWE168" s="153"/>
      <c r="VWF168" s="153"/>
      <c r="VWG168" s="153"/>
      <c r="VWH168" s="153"/>
      <c r="VWI168" s="153"/>
      <c r="VWJ168" s="153"/>
      <c r="VWK168" s="153"/>
      <c r="VWL168" s="153"/>
      <c r="VWM168" s="153"/>
      <c r="VWN168" s="153"/>
      <c r="VWO168" s="153"/>
      <c r="VWP168" s="153"/>
      <c r="VWQ168" s="153"/>
      <c r="VWR168" s="153"/>
      <c r="VWS168" s="153"/>
      <c r="VWT168" s="153"/>
      <c r="VWU168" s="153"/>
      <c r="VWV168" s="153"/>
      <c r="VWW168" s="153"/>
      <c r="VWX168" s="153"/>
      <c r="VWY168" s="153"/>
      <c r="VWZ168" s="153"/>
      <c r="VXA168" s="153"/>
      <c r="VXB168" s="153"/>
      <c r="VXC168" s="153"/>
      <c r="VXD168" s="153"/>
      <c r="VXE168" s="153"/>
      <c r="VXF168" s="153"/>
      <c r="VXG168" s="153"/>
      <c r="VXH168" s="153"/>
      <c r="VXI168" s="153"/>
      <c r="VXJ168" s="153"/>
      <c r="VXK168" s="153"/>
      <c r="VXL168" s="153"/>
      <c r="VXM168" s="153"/>
      <c r="VXN168" s="153"/>
      <c r="VXO168" s="153"/>
      <c r="VXP168" s="153"/>
      <c r="VXQ168" s="153"/>
      <c r="VXR168" s="153"/>
      <c r="VXS168" s="153"/>
      <c r="VXT168" s="153"/>
      <c r="VXU168" s="153"/>
      <c r="VXV168" s="153"/>
      <c r="VXW168" s="153"/>
      <c r="VXX168" s="153"/>
      <c r="VXY168" s="153"/>
      <c r="VXZ168" s="153"/>
      <c r="VYA168" s="153"/>
      <c r="VYB168" s="153"/>
      <c r="VYC168" s="153"/>
      <c r="VYD168" s="153"/>
      <c r="VYE168" s="153"/>
      <c r="VYF168" s="153"/>
      <c r="VYG168" s="153"/>
      <c r="VYH168" s="153"/>
      <c r="VYI168" s="153"/>
      <c r="VYJ168" s="153"/>
      <c r="VYK168" s="153"/>
      <c r="VYL168" s="153"/>
      <c r="VYM168" s="153"/>
      <c r="VYN168" s="153"/>
      <c r="VYO168" s="153"/>
      <c r="VYP168" s="153"/>
      <c r="VYQ168" s="153"/>
      <c r="VYR168" s="153"/>
      <c r="VYS168" s="153"/>
      <c r="VYT168" s="153"/>
      <c r="VYU168" s="153"/>
      <c r="VYV168" s="153"/>
      <c r="VYW168" s="153"/>
      <c r="VYX168" s="153"/>
      <c r="VYY168" s="153"/>
      <c r="VYZ168" s="153"/>
      <c r="VZA168" s="153"/>
      <c r="VZB168" s="153"/>
      <c r="VZC168" s="153"/>
      <c r="VZD168" s="153"/>
      <c r="VZE168" s="153"/>
      <c r="VZF168" s="153"/>
      <c r="VZG168" s="153"/>
      <c r="VZH168" s="153"/>
      <c r="VZI168" s="153"/>
      <c r="VZJ168" s="153"/>
      <c r="VZK168" s="153"/>
      <c r="VZL168" s="153"/>
      <c r="VZM168" s="153"/>
      <c r="VZN168" s="153"/>
      <c r="VZO168" s="153"/>
      <c r="VZP168" s="153"/>
      <c r="VZQ168" s="153"/>
      <c r="VZR168" s="153"/>
      <c r="VZS168" s="153"/>
      <c r="VZT168" s="153"/>
      <c r="VZU168" s="153"/>
      <c r="VZV168" s="153"/>
      <c r="VZW168" s="153"/>
      <c r="VZX168" s="153"/>
      <c r="VZY168" s="153"/>
      <c r="VZZ168" s="153"/>
      <c r="WAA168" s="153"/>
      <c r="WAB168" s="153"/>
      <c r="WAC168" s="153"/>
      <c r="WAD168" s="153"/>
      <c r="WAE168" s="153"/>
      <c r="WAF168" s="153"/>
      <c r="WAG168" s="153"/>
      <c r="WAH168" s="153"/>
      <c r="WAI168" s="153"/>
      <c r="WAJ168" s="153"/>
      <c r="WAK168" s="153"/>
      <c r="WAL168" s="153"/>
      <c r="WAM168" s="153"/>
      <c r="WAN168" s="153"/>
      <c r="WAO168" s="153"/>
      <c r="WAP168" s="153"/>
      <c r="WAQ168" s="153"/>
      <c r="WAR168" s="153"/>
      <c r="WAS168" s="153"/>
      <c r="WAT168" s="153"/>
      <c r="WAU168" s="153"/>
      <c r="WAV168" s="153"/>
      <c r="WAW168" s="153"/>
      <c r="WAX168" s="153"/>
      <c r="WAY168" s="153"/>
      <c r="WAZ168" s="153"/>
      <c r="WBA168" s="153"/>
      <c r="WBB168" s="153"/>
      <c r="WBC168" s="153"/>
      <c r="WBD168" s="153"/>
      <c r="WBE168" s="153"/>
      <c r="WBF168" s="153"/>
      <c r="WBG168" s="153"/>
      <c r="WBH168" s="153"/>
      <c r="WBI168" s="153"/>
      <c r="WBJ168" s="153"/>
      <c r="WBK168" s="153"/>
      <c r="WBL168" s="153"/>
      <c r="WBM168" s="153"/>
      <c r="WBN168" s="153"/>
      <c r="WBO168" s="153"/>
      <c r="WBP168" s="153"/>
      <c r="WBQ168" s="153"/>
      <c r="WBR168" s="153"/>
      <c r="WBS168" s="153"/>
      <c r="WBT168" s="153"/>
      <c r="WBU168" s="153"/>
      <c r="WBV168" s="153"/>
      <c r="WBW168" s="153"/>
      <c r="WBX168" s="153"/>
      <c r="WBY168" s="153"/>
      <c r="WBZ168" s="153"/>
      <c r="WCA168" s="153"/>
      <c r="WCB168" s="153"/>
      <c r="WCC168" s="153"/>
      <c r="WCD168" s="153"/>
      <c r="WCE168" s="153"/>
      <c r="WCF168" s="153"/>
      <c r="WCG168" s="153"/>
      <c r="WCH168" s="153"/>
      <c r="WCI168" s="153"/>
      <c r="WCJ168" s="153"/>
      <c r="WCK168" s="153"/>
      <c r="WCL168" s="153"/>
      <c r="WCM168" s="153"/>
      <c r="WCN168" s="153"/>
      <c r="WCO168" s="153"/>
      <c r="WCP168" s="153"/>
      <c r="WCQ168" s="153"/>
      <c r="WCR168" s="153"/>
      <c r="WCS168" s="153"/>
      <c r="WCT168" s="153"/>
      <c r="WCU168" s="153"/>
      <c r="WCV168" s="153"/>
      <c r="WCW168" s="153"/>
      <c r="WCX168" s="153"/>
      <c r="WCY168" s="153"/>
      <c r="WCZ168" s="153"/>
      <c r="WDA168" s="153"/>
      <c r="WDB168" s="153"/>
      <c r="WDC168" s="153"/>
      <c r="WDD168" s="153"/>
      <c r="WDE168" s="153"/>
      <c r="WDF168" s="153"/>
      <c r="WDG168" s="153"/>
      <c r="WDH168" s="153"/>
      <c r="WDI168" s="153"/>
      <c r="WDJ168" s="153"/>
      <c r="WDK168" s="153"/>
      <c r="WDL168" s="153"/>
      <c r="WDM168" s="153"/>
      <c r="WDN168" s="153"/>
      <c r="WDO168" s="153"/>
      <c r="WDP168" s="153"/>
      <c r="WDQ168" s="153"/>
      <c r="WDR168" s="153"/>
      <c r="WDS168" s="153"/>
      <c r="WDT168" s="153"/>
      <c r="WDU168" s="153"/>
      <c r="WDV168" s="153"/>
      <c r="WDW168" s="153"/>
      <c r="WDX168" s="153"/>
      <c r="WDY168" s="153"/>
      <c r="WDZ168" s="153"/>
      <c r="WEA168" s="153"/>
      <c r="WEB168" s="153"/>
      <c r="WEC168" s="153"/>
      <c r="WED168" s="153"/>
      <c r="WEE168" s="153"/>
      <c r="WEF168" s="153"/>
      <c r="WEG168" s="153"/>
      <c r="WEH168" s="153"/>
      <c r="WEI168" s="153"/>
      <c r="WEJ168" s="153"/>
      <c r="WEK168" s="153"/>
      <c r="WEL168" s="153"/>
      <c r="WEM168" s="153"/>
      <c r="WEN168" s="153"/>
      <c r="WEO168" s="153"/>
      <c r="WEP168" s="153"/>
      <c r="WEQ168" s="153"/>
      <c r="WER168" s="153"/>
      <c r="WES168" s="153"/>
      <c r="WET168" s="153"/>
      <c r="WEU168" s="153"/>
      <c r="WEV168" s="153"/>
      <c r="WEW168" s="153"/>
      <c r="WEX168" s="153"/>
      <c r="WEY168" s="153"/>
      <c r="WEZ168" s="153"/>
      <c r="WFA168" s="153"/>
      <c r="WFB168" s="153"/>
      <c r="WFC168" s="153"/>
      <c r="WFD168" s="153"/>
      <c r="WFE168" s="153"/>
      <c r="WFF168" s="153"/>
      <c r="WFG168" s="153"/>
      <c r="WFH168" s="153"/>
      <c r="WFI168" s="153"/>
      <c r="WFJ168" s="153"/>
      <c r="WFK168" s="153"/>
      <c r="WFL168" s="153"/>
      <c r="WFM168" s="153"/>
      <c r="WFN168" s="153"/>
      <c r="WFO168" s="153"/>
      <c r="WFP168" s="153"/>
      <c r="WFQ168" s="153"/>
      <c r="WFR168" s="153"/>
      <c r="WFS168" s="153"/>
      <c r="WFT168" s="153"/>
      <c r="WFU168" s="153"/>
      <c r="WFV168" s="153"/>
      <c r="WFW168" s="153"/>
      <c r="WFX168" s="153"/>
      <c r="WFY168" s="153"/>
      <c r="WFZ168" s="153"/>
      <c r="WGA168" s="153"/>
      <c r="WGB168" s="153"/>
      <c r="WGC168" s="153"/>
      <c r="WGD168" s="153"/>
      <c r="WGE168" s="153"/>
      <c r="WGF168" s="153"/>
      <c r="WGG168" s="153"/>
      <c r="WGH168" s="153"/>
      <c r="WGI168" s="153"/>
      <c r="WGJ168" s="153"/>
      <c r="WGK168" s="153"/>
      <c r="WGL168" s="153"/>
      <c r="WGM168" s="153"/>
      <c r="WGN168" s="153"/>
      <c r="WGO168" s="153"/>
      <c r="WGP168" s="153"/>
      <c r="WGQ168" s="153"/>
      <c r="WGR168" s="153"/>
      <c r="WGS168" s="153"/>
      <c r="WGT168" s="153"/>
      <c r="WGU168" s="153"/>
      <c r="WGV168" s="153"/>
      <c r="WGW168" s="153"/>
      <c r="WGX168" s="153"/>
      <c r="WGY168" s="153"/>
      <c r="WGZ168" s="153"/>
      <c r="WHA168" s="153"/>
      <c r="WHB168" s="153"/>
      <c r="WHC168" s="153"/>
      <c r="WHD168" s="153"/>
      <c r="WHE168" s="153"/>
      <c r="WHF168" s="153"/>
      <c r="WHG168" s="153"/>
      <c r="WHH168" s="153"/>
      <c r="WHI168" s="153"/>
      <c r="WHJ168" s="153"/>
      <c r="WHK168" s="153"/>
      <c r="WHL168" s="153"/>
      <c r="WHM168" s="153"/>
      <c r="WHN168" s="153"/>
      <c r="WHO168" s="153"/>
      <c r="WHP168" s="153"/>
      <c r="WHQ168" s="153"/>
      <c r="WHR168" s="153"/>
      <c r="WHS168" s="153"/>
      <c r="WHT168" s="153"/>
      <c r="WHU168" s="153"/>
      <c r="WHV168" s="153"/>
      <c r="WHW168" s="153"/>
      <c r="WHX168" s="153"/>
      <c r="WHY168" s="153"/>
      <c r="WHZ168" s="153"/>
      <c r="WIA168" s="153"/>
      <c r="WIB168" s="153"/>
      <c r="WIC168" s="153"/>
      <c r="WID168" s="153"/>
      <c r="WIE168" s="153"/>
      <c r="WIF168" s="153"/>
      <c r="WIG168" s="153"/>
      <c r="WIH168" s="153"/>
      <c r="WII168" s="153"/>
      <c r="WIJ168" s="153"/>
      <c r="WIK168" s="153"/>
      <c r="WIL168" s="153"/>
      <c r="WIM168" s="153"/>
      <c r="WIN168" s="153"/>
      <c r="WIO168" s="153"/>
      <c r="WIP168" s="153"/>
      <c r="WIQ168" s="153"/>
      <c r="WIR168" s="153"/>
      <c r="WIS168" s="153"/>
      <c r="WIT168" s="153"/>
      <c r="WIU168" s="153"/>
      <c r="WIV168" s="153"/>
      <c r="WIW168" s="153"/>
      <c r="WIX168" s="153"/>
      <c r="WIY168" s="153"/>
      <c r="WIZ168" s="153"/>
      <c r="WJA168" s="153"/>
      <c r="WJB168" s="153"/>
      <c r="WJC168" s="153"/>
      <c r="WJD168" s="153"/>
      <c r="WJE168" s="153"/>
      <c r="WJF168" s="153"/>
      <c r="WJG168" s="153"/>
      <c r="WJH168" s="153"/>
      <c r="WJI168" s="153"/>
      <c r="WJJ168" s="153"/>
      <c r="WJK168" s="153"/>
      <c r="WJL168" s="153"/>
      <c r="WJM168" s="153"/>
      <c r="WJN168" s="153"/>
      <c r="WJO168" s="153"/>
      <c r="WJP168" s="153"/>
      <c r="WJQ168" s="153"/>
      <c r="WJR168" s="153"/>
      <c r="WJS168" s="153"/>
      <c r="WJT168" s="153"/>
      <c r="WJU168" s="153"/>
      <c r="WJV168" s="153"/>
      <c r="WJW168" s="153"/>
      <c r="WJX168" s="153"/>
      <c r="WJY168" s="153"/>
      <c r="WJZ168" s="153"/>
      <c r="WKA168" s="153"/>
      <c r="WKB168" s="153"/>
      <c r="WKC168" s="153"/>
      <c r="WKD168" s="153"/>
      <c r="WKE168" s="153"/>
      <c r="WKF168" s="153"/>
      <c r="WKG168" s="153"/>
      <c r="WKH168" s="153"/>
      <c r="WKI168" s="153"/>
      <c r="WKJ168" s="153"/>
      <c r="WKK168" s="153"/>
      <c r="WKL168" s="153"/>
      <c r="WKM168" s="153"/>
      <c r="WKN168" s="153"/>
      <c r="WKO168" s="153"/>
      <c r="WKP168" s="153"/>
      <c r="WKQ168" s="153"/>
      <c r="WKR168" s="153"/>
      <c r="WKS168" s="153"/>
      <c r="WKT168" s="153"/>
      <c r="WKU168" s="153"/>
      <c r="WKV168" s="153"/>
      <c r="WKW168" s="153"/>
      <c r="WKX168" s="153"/>
      <c r="WKY168" s="153"/>
      <c r="WKZ168" s="153"/>
      <c r="WLA168" s="153"/>
      <c r="WLB168" s="153"/>
      <c r="WLC168" s="153"/>
      <c r="WLD168" s="153"/>
      <c r="WLE168" s="153"/>
      <c r="WLF168" s="153"/>
      <c r="WLG168" s="153"/>
      <c r="WLH168" s="153"/>
      <c r="WLI168" s="153"/>
      <c r="WLJ168" s="153"/>
      <c r="WLK168" s="153"/>
      <c r="WLL168" s="153"/>
      <c r="WLM168" s="153"/>
      <c r="WLN168" s="153"/>
      <c r="WLO168" s="153"/>
      <c r="WLP168" s="153"/>
      <c r="WLQ168" s="153"/>
      <c r="WLR168" s="153"/>
      <c r="WLS168" s="153"/>
      <c r="WLT168" s="153"/>
      <c r="WLU168" s="153"/>
      <c r="WLV168" s="153"/>
      <c r="WLW168" s="153"/>
      <c r="WLX168" s="153"/>
      <c r="WLY168" s="153"/>
      <c r="WLZ168" s="153"/>
      <c r="WMA168" s="153"/>
      <c r="WMB168" s="153"/>
      <c r="WMC168" s="153"/>
      <c r="WMD168" s="153"/>
      <c r="WME168" s="153"/>
      <c r="WMF168" s="153"/>
      <c r="WMG168" s="153"/>
      <c r="WMH168" s="153"/>
      <c r="WMI168" s="153"/>
      <c r="WMJ168" s="153"/>
      <c r="WMK168" s="153"/>
      <c r="WML168" s="153"/>
      <c r="WMM168" s="153"/>
      <c r="WMN168" s="153"/>
      <c r="WMO168" s="153"/>
      <c r="WMP168" s="153"/>
      <c r="WMQ168" s="153"/>
      <c r="WMR168" s="153"/>
      <c r="WMS168" s="153"/>
      <c r="WMT168" s="153"/>
      <c r="WMU168" s="153"/>
      <c r="WMV168" s="153"/>
      <c r="WMW168" s="153"/>
      <c r="WMX168" s="153"/>
      <c r="WMY168" s="153"/>
      <c r="WMZ168" s="153"/>
      <c r="WNA168" s="153"/>
      <c r="WNB168" s="153"/>
      <c r="WNC168" s="153"/>
      <c r="WND168" s="153"/>
      <c r="WNE168" s="153"/>
      <c r="WNF168" s="153"/>
      <c r="WNG168" s="153"/>
      <c r="WNH168" s="153"/>
      <c r="WNI168" s="153"/>
      <c r="WNJ168" s="153"/>
      <c r="WNK168" s="153"/>
      <c r="WNL168" s="153"/>
      <c r="WNM168" s="153"/>
      <c r="WNN168" s="153"/>
      <c r="WNO168" s="153"/>
      <c r="WNP168" s="153"/>
      <c r="WNQ168" s="153"/>
      <c r="WNR168" s="153"/>
      <c r="WNS168" s="153"/>
      <c r="WNT168" s="153"/>
      <c r="WNU168" s="153"/>
      <c r="WNV168" s="153"/>
      <c r="WNW168" s="153"/>
      <c r="WNX168" s="153"/>
      <c r="WNY168" s="153"/>
      <c r="WNZ168" s="153"/>
      <c r="WOA168" s="153"/>
      <c r="WOB168" s="153"/>
      <c r="WOC168" s="153"/>
      <c r="WOD168" s="153"/>
      <c r="WOE168" s="153"/>
      <c r="WOF168" s="153"/>
      <c r="WOG168" s="153"/>
      <c r="WOH168" s="153"/>
      <c r="WOI168" s="153"/>
      <c r="WOJ168" s="153"/>
      <c r="WOK168" s="153"/>
      <c r="WOL168" s="153"/>
      <c r="WOM168" s="153"/>
      <c r="WON168" s="153"/>
      <c r="WOO168" s="153"/>
      <c r="WOP168" s="153"/>
      <c r="WOQ168" s="153"/>
      <c r="WOR168" s="153"/>
      <c r="WOS168" s="153"/>
      <c r="WOT168" s="153"/>
      <c r="WOU168" s="153"/>
      <c r="WOV168" s="153"/>
      <c r="WOW168" s="153"/>
      <c r="WOX168" s="153"/>
      <c r="WOY168" s="153"/>
      <c r="WOZ168" s="153"/>
      <c r="WPA168" s="153"/>
      <c r="WPB168" s="153"/>
      <c r="WPC168" s="153"/>
      <c r="WPD168" s="153"/>
      <c r="WPE168" s="153"/>
      <c r="WPF168" s="153"/>
      <c r="WPG168" s="153"/>
      <c r="WPH168" s="153"/>
      <c r="WPI168" s="153"/>
      <c r="WPJ168" s="153"/>
      <c r="WPK168" s="153"/>
      <c r="WPL168" s="153"/>
      <c r="WPM168" s="153"/>
      <c r="WPN168" s="153"/>
      <c r="WPO168" s="153"/>
      <c r="WPP168" s="153"/>
      <c r="WPQ168" s="153"/>
      <c r="WPR168" s="153"/>
      <c r="WPS168" s="153"/>
      <c r="WPT168" s="153"/>
      <c r="WPU168" s="153"/>
      <c r="WPV168" s="153"/>
      <c r="WPW168" s="153"/>
      <c r="WPX168" s="153"/>
      <c r="WPY168" s="153"/>
      <c r="WPZ168" s="153"/>
      <c r="WQA168" s="153"/>
      <c r="WQB168" s="153"/>
      <c r="WQC168" s="153"/>
      <c r="WQD168" s="153"/>
      <c r="WQE168" s="153"/>
      <c r="WQF168" s="153"/>
      <c r="WQG168" s="153"/>
      <c r="WQH168" s="153"/>
      <c r="WQI168" s="153"/>
      <c r="WQJ168" s="153"/>
      <c r="WQK168" s="153"/>
      <c r="WQL168" s="153"/>
      <c r="WQM168" s="153"/>
      <c r="WQN168" s="153"/>
      <c r="WQO168" s="153"/>
      <c r="WQP168" s="153"/>
      <c r="WQQ168" s="153"/>
      <c r="WQR168" s="153"/>
      <c r="WQS168" s="153"/>
      <c r="WQT168" s="153"/>
      <c r="WQU168" s="153"/>
      <c r="WQV168" s="153"/>
      <c r="WQW168" s="153"/>
      <c r="WQX168" s="153"/>
      <c r="WQY168" s="153"/>
      <c r="WQZ168" s="153"/>
      <c r="WRA168" s="153"/>
      <c r="WRB168" s="153"/>
      <c r="WRC168" s="153"/>
      <c r="WRD168" s="153"/>
      <c r="WRE168" s="153"/>
      <c r="WRF168" s="153"/>
      <c r="WRG168" s="153"/>
      <c r="WRH168" s="153"/>
      <c r="WRI168" s="153"/>
      <c r="WRJ168" s="153"/>
      <c r="WRK168" s="153"/>
      <c r="WRL168" s="153"/>
      <c r="WRM168" s="153"/>
      <c r="WRN168" s="153"/>
      <c r="WRO168" s="153"/>
      <c r="WRP168" s="153"/>
      <c r="WRQ168" s="153"/>
      <c r="WRR168" s="153"/>
      <c r="WRS168" s="153"/>
      <c r="WRT168" s="153"/>
      <c r="WRU168" s="153"/>
      <c r="WRV168" s="153"/>
      <c r="WRW168" s="153"/>
      <c r="WRX168" s="153"/>
      <c r="WRY168" s="153"/>
      <c r="WRZ168" s="153"/>
      <c r="WSA168" s="153"/>
      <c r="WSB168" s="153"/>
      <c r="WSC168" s="153"/>
      <c r="WSD168" s="153"/>
      <c r="WSE168" s="153"/>
      <c r="WSF168" s="153"/>
      <c r="WSG168" s="153"/>
      <c r="WSH168" s="153"/>
      <c r="WSI168" s="153"/>
      <c r="WSJ168" s="153"/>
      <c r="WSK168" s="153"/>
      <c r="WSL168" s="153"/>
      <c r="WSM168" s="153"/>
      <c r="WSN168" s="153"/>
      <c r="WSO168" s="153"/>
      <c r="WSP168" s="153"/>
      <c r="WSQ168" s="153"/>
      <c r="WSR168" s="153"/>
      <c r="WSS168" s="153"/>
      <c r="WST168" s="153"/>
      <c r="WSU168" s="153"/>
      <c r="WSV168" s="153"/>
      <c r="WSW168" s="153"/>
      <c r="WSX168" s="153"/>
      <c r="WSY168" s="153"/>
      <c r="WSZ168" s="153"/>
      <c r="WTA168" s="153"/>
      <c r="WTB168" s="153"/>
      <c r="WTC168" s="153"/>
      <c r="WTD168" s="153"/>
      <c r="WTE168" s="153"/>
      <c r="WTF168" s="153"/>
      <c r="WTG168" s="153"/>
      <c r="WTH168" s="153"/>
      <c r="WTI168" s="153"/>
      <c r="WTJ168" s="153"/>
      <c r="WTK168" s="153"/>
      <c r="WTL168" s="153"/>
      <c r="WTM168" s="153"/>
      <c r="WTN168" s="153"/>
      <c r="WTO168" s="153"/>
      <c r="WTP168" s="153"/>
      <c r="WTQ168" s="153"/>
      <c r="WTR168" s="153"/>
      <c r="WTS168" s="153"/>
      <c r="WTT168" s="153"/>
      <c r="WTU168" s="153"/>
      <c r="WTV168" s="153"/>
      <c r="WTW168" s="153"/>
      <c r="WTX168" s="153"/>
      <c r="WTY168" s="153"/>
      <c r="WTZ168" s="153"/>
      <c r="WUA168" s="153"/>
      <c r="WUB168" s="153"/>
      <c r="WUC168" s="153"/>
      <c r="WUD168" s="153"/>
      <c r="WUE168" s="153"/>
      <c r="WUF168" s="153"/>
      <c r="WUG168" s="153"/>
      <c r="WUH168" s="153"/>
      <c r="WUI168" s="153"/>
      <c r="WUJ168" s="153"/>
      <c r="WUK168" s="153"/>
      <c r="WUL168" s="153"/>
      <c r="WUM168" s="153"/>
      <c r="WUN168" s="153"/>
      <c r="WUO168" s="153"/>
      <c r="WUP168" s="153"/>
      <c r="WUQ168" s="153"/>
      <c r="WUR168" s="153"/>
      <c r="WUS168" s="153"/>
      <c r="WUT168" s="153"/>
      <c r="WUU168" s="153"/>
      <c r="WUV168" s="153"/>
      <c r="WUW168" s="153"/>
      <c r="WUX168" s="153"/>
      <c r="WUY168" s="153"/>
      <c r="WUZ168" s="153"/>
      <c r="WVA168" s="153"/>
      <c r="WVB168" s="153"/>
      <c r="WVC168" s="153"/>
      <c r="WVD168" s="153"/>
      <c r="WVE168" s="153"/>
      <c r="WVF168" s="153"/>
      <c r="WVG168" s="153"/>
      <c r="WVH168" s="153"/>
      <c r="WVI168" s="153"/>
      <c r="WVJ168" s="153"/>
      <c r="WVK168" s="153"/>
      <c r="WVL168" s="153"/>
      <c r="WVM168" s="153"/>
      <c r="WVN168" s="153"/>
      <c r="WVO168" s="153"/>
      <c r="WVP168" s="153"/>
      <c r="WVQ168" s="153"/>
      <c r="WVR168" s="153"/>
      <c r="WVS168" s="153"/>
      <c r="WVT168" s="153"/>
      <c r="WVU168" s="153"/>
      <c r="WVV168" s="153"/>
      <c r="WVW168" s="153"/>
      <c r="WVX168" s="153"/>
      <c r="WVY168" s="153"/>
      <c r="WVZ168" s="153"/>
      <c r="WWA168" s="153"/>
      <c r="WWB168" s="153"/>
      <c r="WWC168" s="153"/>
      <c r="WWD168" s="153"/>
      <c r="WWE168" s="153"/>
      <c r="WWF168" s="153"/>
      <c r="WWG168" s="153"/>
      <c r="WWH168" s="153"/>
      <c r="WWI168" s="153"/>
      <c r="WWJ168" s="153"/>
      <c r="WWK168" s="153"/>
      <c r="WWL168" s="153"/>
      <c r="WWM168" s="153"/>
      <c r="WWN168" s="153"/>
      <c r="WWO168" s="153"/>
      <c r="WWP168" s="153"/>
      <c r="WWQ168" s="153"/>
      <c r="WWR168" s="153"/>
      <c r="WWS168" s="153"/>
      <c r="WWT168" s="153"/>
      <c r="WWU168" s="153"/>
      <c r="WWV168" s="153"/>
      <c r="WWW168" s="153"/>
      <c r="WWX168" s="153"/>
      <c r="WWY168" s="153"/>
      <c r="WWZ168" s="153"/>
      <c r="WXA168" s="153"/>
      <c r="WXB168" s="153"/>
      <c r="WXC168" s="153"/>
      <c r="WXD168" s="153"/>
      <c r="WXE168" s="153"/>
      <c r="WXF168" s="153"/>
      <c r="WXG168" s="153"/>
      <c r="WXH168" s="153"/>
      <c r="WXI168" s="153"/>
      <c r="WXJ168" s="153"/>
      <c r="WXK168" s="153"/>
      <c r="WXL168" s="153"/>
      <c r="WXM168" s="153"/>
      <c r="WXN168" s="153"/>
      <c r="WXO168" s="153"/>
      <c r="WXP168" s="153"/>
      <c r="WXQ168" s="153"/>
      <c r="WXR168" s="153"/>
      <c r="WXS168" s="153"/>
      <c r="WXT168" s="153"/>
      <c r="WXU168" s="153"/>
      <c r="WXV168" s="153"/>
      <c r="WXW168" s="153"/>
      <c r="WXX168" s="153"/>
      <c r="WXY168" s="153"/>
      <c r="WXZ168" s="153"/>
      <c r="WYA168" s="153"/>
      <c r="WYB168" s="153"/>
      <c r="WYC168" s="153"/>
      <c r="WYD168" s="153"/>
      <c r="WYE168" s="153"/>
      <c r="WYF168" s="153"/>
      <c r="WYG168" s="153"/>
      <c r="WYH168" s="153"/>
      <c r="WYI168" s="153"/>
      <c r="WYJ168" s="153"/>
      <c r="WYK168" s="153"/>
      <c r="WYL168" s="153"/>
      <c r="WYM168" s="153"/>
      <c r="WYN168" s="153"/>
      <c r="WYO168" s="153"/>
      <c r="WYP168" s="153"/>
      <c r="WYQ168" s="153"/>
      <c r="WYR168" s="153"/>
      <c r="WYS168" s="153"/>
      <c r="WYT168" s="153"/>
      <c r="WYU168" s="153"/>
      <c r="WYV168" s="153"/>
      <c r="WYW168" s="153"/>
      <c r="WYX168" s="153"/>
      <c r="WYY168" s="153"/>
      <c r="WYZ168" s="153"/>
      <c r="WZA168" s="153"/>
      <c r="WZB168" s="153"/>
      <c r="WZC168" s="153"/>
      <c r="WZD168" s="153"/>
      <c r="WZE168" s="153"/>
      <c r="WZF168" s="153"/>
      <c r="WZG168" s="153"/>
      <c r="WZH168" s="153"/>
      <c r="WZI168" s="153"/>
      <c r="WZJ168" s="153"/>
      <c r="WZK168" s="153"/>
      <c r="WZL168" s="153"/>
      <c r="WZM168" s="153"/>
      <c r="WZN168" s="153"/>
      <c r="WZO168" s="153"/>
      <c r="WZP168" s="153"/>
      <c r="WZQ168" s="153"/>
      <c r="WZR168" s="153"/>
      <c r="WZS168" s="153"/>
      <c r="WZT168" s="153"/>
      <c r="WZU168" s="153"/>
      <c r="WZV168" s="153"/>
      <c r="WZW168" s="153"/>
      <c r="WZX168" s="153"/>
      <c r="XAR168" s="153"/>
      <c r="XAS168" s="153"/>
      <c r="XAT168" s="153"/>
      <c r="XAU168" s="153"/>
      <c r="XAV168" s="153"/>
      <c r="XAW168" s="153"/>
      <c r="XAX168" s="153"/>
      <c r="XAY168" s="153"/>
      <c r="XAZ168" s="153"/>
      <c r="XBA168" s="153"/>
      <c r="XBB168" s="153"/>
      <c r="XBC168" s="153"/>
      <c r="XBD168" s="153"/>
      <c r="XBE168" s="153"/>
      <c r="XBF168" s="153"/>
      <c r="XBG168" s="153"/>
      <c r="XBH168" s="153"/>
      <c r="XBI168" s="153"/>
      <c r="XBJ168" s="153"/>
      <c r="XBK168" s="153"/>
      <c r="XBL168" s="153"/>
      <c r="XBM168" s="153"/>
      <c r="XBN168" s="153"/>
      <c r="XBO168" s="153"/>
      <c r="XBP168" s="153"/>
      <c r="XBQ168" s="153"/>
      <c r="XBR168" s="153"/>
      <c r="XBS168" s="153"/>
      <c r="XBT168" s="153"/>
      <c r="XBU168" s="153"/>
      <c r="XBV168" s="153"/>
      <c r="XBW168" s="153"/>
      <c r="XBX168" s="153"/>
      <c r="XBY168" s="153"/>
      <c r="XBZ168" s="153"/>
      <c r="XCA168" s="153"/>
      <c r="XCB168" s="153"/>
      <c r="XCC168" s="153"/>
      <c r="XCD168" s="153"/>
      <c r="XCE168" s="153"/>
      <c r="XCF168" s="153"/>
      <c r="XCG168" s="153"/>
      <c r="XCH168" s="153"/>
      <c r="XCI168" s="153"/>
      <c r="XCJ168" s="153"/>
      <c r="XCK168" s="153"/>
      <c r="XCL168" s="153"/>
    </row>
    <row r="169" spans="1:47">
      <c r="A169" s="28" t="s">
        <v>365</v>
      </c>
      <c r="B169" s="87" t="s">
        <v>366</v>
      </c>
      <c r="C169" s="27">
        <v>0</v>
      </c>
      <c r="D169" s="27">
        <v>0</v>
      </c>
      <c r="E169" s="27"/>
      <c r="F169" s="112">
        <v>174509.91</v>
      </c>
      <c r="G169" s="112"/>
      <c r="H169" s="112"/>
      <c r="I169" s="124">
        <v>0</v>
      </c>
      <c r="J169" s="124">
        <v>0</v>
      </c>
      <c r="K169" s="124">
        <v>0</v>
      </c>
      <c r="L169" s="124">
        <v>0</v>
      </c>
      <c r="M169" s="124">
        <v>0</v>
      </c>
      <c r="N169" s="44">
        <f t="shared" ref="N169:N186" si="74">SUM(I169:M169)</f>
        <v>0</v>
      </c>
      <c r="O169" s="44">
        <v>0</v>
      </c>
      <c r="P169" s="125">
        <f t="shared" si="60"/>
        <v>0</v>
      </c>
      <c r="Q169" s="44"/>
      <c r="R169" s="44">
        <f t="shared" ref="R169:R178" si="75">P169+Q169</f>
        <v>0</v>
      </c>
      <c r="S169" s="54">
        <v>0</v>
      </c>
      <c r="T169" s="54">
        <v>0</v>
      </c>
      <c r="U169" s="54">
        <v>0</v>
      </c>
      <c r="V169" s="60">
        <v>0</v>
      </c>
      <c r="W169" s="60">
        <v>0</v>
      </c>
      <c r="X169" s="60">
        <v>0</v>
      </c>
      <c r="Y169" s="60">
        <v>0</v>
      </c>
      <c r="Z169" s="60">
        <v>0</v>
      </c>
      <c r="AA169" s="60">
        <f t="shared" si="69"/>
        <v>0</v>
      </c>
      <c r="AB169" s="60">
        <v>0</v>
      </c>
      <c r="AC169" s="43">
        <v>5000</v>
      </c>
      <c r="AD169" s="60">
        <v>0</v>
      </c>
      <c r="AE169" s="60"/>
      <c r="AF169" s="60"/>
      <c r="AG169" s="60"/>
      <c r="AH169" s="60">
        <f t="shared" si="70"/>
        <v>169509.91</v>
      </c>
      <c r="AI169" s="60"/>
      <c r="AJ169" s="60"/>
      <c r="AK169" s="7"/>
      <c r="AL169" s="64">
        <v>0</v>
      </c>
      <c r="AM169" s="64">
        <v>0</v>
      </c>
      <c r="AN169" s="64">
        <v>0</v>
      </c>
      <c r="AO169" s="64">
        <v>0</v>
      </c>
      <c r="AP169" s="64">
        <v>0</v>
      </c>
      <c r="AQ169" s="64">
        <f t="shared" ref="AQ169:AQ179" si="76">AL169+AM169+AN169+AO169+AP169</f>
        <v>0</v>
      </c>
      <c r="AR169" s="59">
        <f t="shared" si="61"/>
        <v>0</v>
      </c>
      <c r="AS169" s="59">
        <f t="shared" si="62"/>
        <v>0</v>
      </c>
      <c r="AT169" s="141">
        <f t="shared" si="63"/>
        <v>0</v>
      </c>
      <c r="AU169" s="141">
        <f t="shared" si="64"/>
        <v>0</v>
      </c>
    </row>
    <row r="170" spans="1:47">
      <c r="A170" s="28" t="s">
        <v>367</v>
      </c>
      <c r="B170" s="27" t="s">
        <v>368</v>
      </c>
      <c r="C170" s="27">
        <v>0</v>
      </c>
      <c r="D170" s="27">
        <v>0</v>
      </c>
      <c r="E170" s="27"/>
      <c r="F170" s="112">
        <v>0</v>
      </c>
      <c r="G170" s="112">
        <v>0</v>
      </c>
      <c r="H170" s="112">
        <v>0</v>
      </c>
      <c r="I170" s="124">
        <v>0</v>
      </c>
      <c r="J170" s="124">
        <v>0</v>
      </c>
      <c r="K170" s="124">
        <v>0</v>
      </c>
      <c r="L170" s="124">
        <v>0</v>
      </c>
      <c r="M170" s="124">
        <v>0</v>
      </c>
      <c r="N170" s="44">
        <f t="shared" si="74"/>
        <v>0</v>
      </c>
      <c r="O170" s="44">
        <v>0</v>
      </c>
      <c r="P170" s="125">
        <f t="shared" si="60"/>
        <v>0</v>
      </c>
      <c r="Q170" s="44"/>
      <c r="R170" s="44">
        <f t="shared" si="75"/>
        <v>0</v>
      </c>
      <c r="S170" s="54">
        <v>0</v>
      </c>
      <c r="T170" s="54">
        <v>0</v>
      </c>
      <c r="U170" s="54">
        <v>0</v>
      </c>
      <c r="V170" s="60">
        <v>0</v>
      </c>
      <c r="W170" s="60">
        <v>0</v>
      </c>
      <c r="X170" s="60">
        <v>0</v>
      </c>
      <c r="Y170" s="60">
        <v>0</v>
      </c>
      <c r="Z170" s="60">
        <v>0</v>
      </c>
      <c r="AA170" s="60">
        <f t="shared" ref="AA169:AA186" si="77">V170+W170+X170+Y170+Z170</f>
        <v>0</v>
      </c>
      <c r="AB170" s="60">
        <v>0</v>
      </c>
      <c r="AC170" s="43">
        <v>0</v>
      </c>
      <c r="AD170" s="60">
        <v>0</v>
      </c>
      <c r="AE170" s="60"/>
      <c r="AF170" s="60"/>
      <c r="AG170" s="60"/>
      <c r="AH170" s="60">
        <f t="shared" ref="AH169:AH186" si="78">F170+AB170-AC170-AE170-AD170-AF170-AG170</f>
        <v>0</v>
      </c>
      <c r="AI170" s="60"/>
      <c r="AJ170" s="60"/>
      <c r="AK170" s="7"/>
      <c r="AL170" s="64">
        <v>0</v>
      </c>
      <c r="AM170" s="64">
        <v>0</v>
      </c>
      <c r="AN170" s="64">
        <v>0</v>
      </c>
      <c r="AO170" s="64">
        <v>0</v>
      </c>
      <c r="AP170" s="64">
        <v>0</v>
      </c>
      <c r="AQ170" s="64">
        <f t="shared" si="76"/>
        <v>0</v>
      </c>
      <c r="AR170" s="59">
        <f t="shared" si="61"/>
        <v>0</v>
      </c>
      <c r="AS170" s="59">
        <f t="shared" si="62"/>
        <v>0</v>
      </c>
      <c r="AT170" s="141">
        <f t="shared" si="63"/>
        <v>0</v>
      </c>
      <c r="AU170" s="141">
        <f t="shared" si="64"/>
        <v>0</v>
      </c>
    </row>
    <row r="171" spans="1:47">
      <c r="A171" s="28" t="s">
        <v>369</v>
      </c>
      <c r="B171" s="27" t="s">
        <v>370</v>
      </c>
      <c r="C171" s="27" t="s">
        <v>99</v>
      </c>
      <c r="D171" s="27" t="s">
        <v>99</v>
      </c>
      <c r="E171" s="27"/>
      <c r="F171" s="112">
        <v>22604.6</v>
      </c>
      <c r="G171" s="112">
        <v>0</v>
      </c>
      <c r="H171" s="112">
        <v>209612.5</v>
      </c>
      <c r="I171" s="124">
        <v>8</v>
      </c>
      <c r="J171" s="124">
        <v>0</v>
      </c>
      <c r="K171" s="124">
        <v>8</v>
      </c>
      <c r="L171" s="124">
        <v>0</v>
      </c>
      <c r="M171" s="124">
        <v>0</v>
      </c>
      <c r="N171" s="44">
        <f t="shared" si="74"/>
        <v>16</v>
      </c>
      <c r="O171" s="44">
        <v>198800</v>
      </c>
      <c r="P171" s="125">
        <f t="shared" si="60"/>
        <v>198800</v>
      </c>
      <c r="Q171" s="44"/>
      <c r="R171" s="44">
        <f t="shared" si="75"/>
        <v>198800</v>
      </c>
      <c r="S171" s="54">
        <v>0</v>
      </c>
      <c r="T171" s="54">
        <v>20</v>
      </c>
      <c r="U171" s="54">
        <v>20</v>
      </c>
      <c r="V171" s="60">
        <v>8</v>
      </c>
      <c r="W171" s="60">
        <v>0</v>
      </c>
      <c r="X171" s="60">
        <v>8</v>
      </c>
      <c r="Y171" s="60">
        <v>0</v>
      </c>
      <c r="Z171" s="60">
        <v>0</v>
      </c>
      <c r="AA171" s="60">
        <f t="shared" si="77"/>
        <v>16</v>
      </c>
      <c r="AB171" s="60">
        <v>207600</v>
      </c>
      <c r="AC171" s="43">
        <v>191500</v>
      </c>
      <c r="AD171" s="60">
        <v>0</v>
      </c>
      <c r="AE171" s="60"/>
      <c r="AF171" s="60"/>
      <c r="AG171" s="60"/>
      <c r="AH171" s="60">
        <f t="shared" si="78"/>
        <v>38704.6</v>
      </c>
      <c r="AI171" s="60">
        <f>AH171-AQ171-H171</f>
        <v>-203246.361538461</v>
      </c>
      <c r="AJ171" s="60"/>
      <c r="AK171" s="7"/>
      <c r="AL171" s="64">
        <v>15200</v>
      </c>
      <c r="AM171" s="64">
        <v>9400</v>
      </c>
      <c r="AN171" s="64">
        <v>6000</v>
      </c>
      <c r="AO171" s="64">
        <v>1738.46153846154</v>
      </c>
      <c r="AP171" s="64">
        <v>0</v>
      </c>
      <c r="AQ171" s="64">
        <f t="shared" si="76"/>
        <v>32338.4615384615</v>
      </c>
      <c r="AR171" s="59">
        <f t="shared" si="61"/>
        <v>0</v>
      </c>
      <c r="AS171" s="59">
        <f t="shared" si="62"/>
        <v>0</v>
      </c>
      <c r="AT171" s="141">
        <f t="shared" si="63"/>
        <v>0</v>
      </c>
      <c r="AU171" s="141">
        <f t="shared" si="64"/>
        <v>0</v>
      </c>
    </row>
    <row r="172" spans="1:47">
      <c r="A172" s="28" t="s">
        <v>371</v>
      </c>
      <c r="B172" s="27" t="s">
        <v>372</v>
      </c>
      <c r="C172" s="27">
        <v>0</v>
      </c>
      <c r="D172" s="27" t="s">
        <v>99</v>
      </c>
      <c r="E172" s="27"/>
      <c r="F172" s="112">
        <v>64577.63</v>
      </c>
      <c r="G172" s="112">
        <v>0</v>
      </c>
      <c r="H172" s="112">
        <v>351250</v>
      </c>
      <c r="I172" s="124">
        <v>0</v>
      </c>
      <c r="J172" s="124">
        <v>0</v>
      </c>
      <c r="K172" s="124">
        <v>0</v>
      </c>
      <c r="L172" s="124">
        <v>0</v>
      </c>
      <c r="M172" s="124">
        <v>0</v>
      </c>
      <c r="N172" s="44">
        <f t="shared" si="74"/>
        <v>0</v>
      </c>
      <c r="O172" s="44">
        <v>0</v>
      </c>
      <c r="P172" s="125">
        <f t="shared" si="60"/>
        <v>0</v>
      </c>
      <c r="Q172" s="44"/>
      <c r="R172" s="44">
        <f t="shared" si="75"/>
        <v>0</v>
      </c>
      <c r="S172" s="54">
        <v>0</v>
      </c>
      <c r="T172" s="54">
        <v>0</v>
      </c>
      <c r="U172" s="54">
        <v>0</v>
      </c>
      <c r="V172" s="60">
        <v>0</v>
      </c>
      <c r="W172" s="60">
        <v>0</v>
      </c>
      <c r="X172" s="60">
        <v>0</v>
      </c>
      <c r="Y172" s="60">
        <v>0</v>
      </c>
      <c r="Z172" s="60">
        <v>0</v>
      </c>
      <c r="AA172" s="60">
        <f t="shared" si="77"/>
        <v>0</v>
      </c>
      <c r="AB172" s="60">
        <v>0</v>
      </c>
      <c r="AC172" s="43">
        <v>0</v>
      </c>
      <c r="AD172" s="60">
        <v>0</v>
      </c>
      <c r="AE172" s="60"/>
      <c r="AF172" s="60"/>
      <c r="AG172" s="60"/>
      <c r="AH172" s="60">
        <f t="shared" si="78"/>
        <v>64577.63</v>
      </c>
      <c r="AI172" s="60"/>
      <c r="AJ172" s="60"/>
      <c r="AK172" s="7"/>
      <c r="AL172" s="64">
        <v>0</v>
      </c>
      <c r="AM172" s="64">
        <v>0</v>
      </c>
      <c r="AN172" s="64">
        <v>15000</v>
      </c>
      <c r="AO172" s="64">
        <v>0</v>
      </c>
      <c r="AP172" s="64">
        <v>0</v>
      </c>
      <c r="AQ172" s="64">
        <f t="shared" si="76"/>
        <v>15000</v>
      </c>
      <c r="AR172" s="59">
        <f t="shared" si="61"/>
        <v>0</v>
      </c>
      <c r="AS172" s="59">
        <f t="shared" si="62"/>
        <v>0</v>
      </c>
      <c r="AT172" s="141">
        <f t="shared" si="63"/>
        <v>0</v>
      </c>
      <c r="AU172" s="141">
        <f t="shared" si="64"/>
        <v>0</v>
      </c>
    </row>
    <row r="173" spans="1:47">
      <c r="A173" s="28" t="s">
        <v>373</v>
      </c>
      <c r="B173" s="87" t="s">
        <v>374</v>
      </c>
      <c r="C173" s="27" t="s">
        <v>3</v>
      </c>
      <c r="D173" s="27" t="s">
        <v>49</v>
      </c>
      <c r="E173" s="27"/>
      <c r="F173" s="112">
        <v>-306500</v>
      </c>
      <c r="G173" s="112"/>
      <c r="H173" s="112"/>
      <c r="I173" s="124">
        <v>100</v>
      </c>
      <c r="J173" s="124">
        <v>0</v>
      </c>
      <c r="K173" s="124">
        <v>0</v>
      </c>
      <c r="L173" s="124">
        <v>0</v>
      </c>
      <c r="M173" s="124">
        <v>0</v>
      </c>
      <c r="N173" s="44">
        <f t="shared" si="74"/>
        <v>100</v>
      </c>
      <c r="O173" s="44">
        <v>490000</v>
      </c>
      <c r="P173" s="125">
        <f t="shared" si="60"/>
        <v>490000</v>
      </c>
      <c r="Q173" s="44"/>
      <c r="R173" s="44">
        <f t="shared" si="75"/>
        <v>490000</v>
      </c>
      <c r="S173" s="54">
        <v>0</v>
      </c>
      <c r="T173" s="54">
        <v>100</v>
      </c>
      <c r="U173" s="54">
        <v>0</v>
      </c>
      <c r="V173" s="60">
        <v>10</v>
      </c>
      <c r="W173" s="60">
        <v>0</v>
      </c>
      <c r="X173" s="60">
        <v>0</v>
      </c>
      <c r="Y173" s="60">
        <v>0</v>
      </c>
      <c r="Z173" s="60">
        <v>0</v>
      </c>
      <c r="AA173" s="60">
        <f t="shared" si="77"/>
        <v>10</v>
      </c>
      <c r="AB173" s="60">
        <v>55000</v>
      </c>
      <c r="AC173" s="43">
        <v>0</v>
      </c>
      <c r="AD173" s="60">
        <v>0</v>
      </c>
      <c r="AE173" s="60"/>
      <c r="AF173" s="60"/>
      <c r="AG173" s="60"/>
      <c r="AH173" s="60">
        <f t="shared" si="78"/>
        <v>-251500</v>
      </c>
      <c r="AI173" s="60"/>
      <c r="AJ173" s="60">
        <f>AH173-G173</f>
        <v>-251500</v>
      </c>
      <c r="AK173" s="7"/>
      <c r="AL173" s="64">
        <v>6000</v>
      </c>
      <c r="AM173" s="64">
        <v>70000</v>
      </c>
      <c r="AN173" s="64">
        <v>54500</v>
      </c>
      <c r="AO173" s="64">
        <v>0</v>
      </c>
      <c r="AP173" s="64">
        <v>0</v>
      </c>
      <c r="AQ173" s="64">
        <f t="shared" si="76"/>
        <v>130500</v>
      </c>
      <c r="AR173" s="59">
        <f t="shared" si="61"/>
        <v>90</v>
      </c>
      <c r="AS173" s="59">
        <f t="shared" si="62"/>
        <v>0</v>
      </c>
      <c r="AT173" s="141">
        <f t="shared" si="63"/>
        <v>6.92307692307692</v>
      </c>
      <c r="AU173" s="141">
        <f t="shared" si="64"/>
        <v>0</v>
      </c>
    </row>
    <row r="174" spans="1:47">
      <c r="A174" s="28" t="s">
        <v>375</v>
      </c>
      <c r="B174" s="27" t="s">
        <v>376</v>
      </c>
      <c r="C174" s="27">
        <v>0</v>
      </c>
      <c r="D174" s="27">
        <v>0</v>
      </c>
      <c r="E174" s="27"/>
      <c r="F174" s="112">
        <v>-98096.33</v>
      </c>
      <c r="G174" s="112">
        <v>0</v>
      </c>
      <c r="H174" s="112">
        <v>151200</v>
      </c>
      <c r="I174" s="124">
        <v>0</v>
      </c>
      <c r="J174" s="124">
        <v>0</v>
      </c>
      <c r="K174" s="124">
        <v>0</v>
      </c>
      <c r="L174" s="124">
        <v>0</v>
      </c>
      <c r="M174" s="124">
        <v>0</v>
      </c>
      <c r="N174" s="44">
        <f t="shared" si="74"/>
        <v>0</v>
      </c>
      <c r="O174" s="44">
        <v>0</v>
      </c>
      <c r="P174" s="125">
        <f t="shared" si="60"/>
        <v>0</v>
      </c>
      <c r="Q174" s="44"/>
      <c r="R174" s="44">
        <f t="shared" si="75"/>
        <v>0</v>
      </c>
      <c r="S174" s="54">
        <v>0</v>
      </c>
      <c r="T174" s="54">
        <v>0</v>
      </c>
      <c r="U174" s="54">
        <v>0</v>
      </c>
      <c r="V174" s="60">
        <v>0</v>
      </c>
      <c r="W174" s="60">
        <v>0</v>
      </c>
      <c r="X174" s="60">
        <v>0</v>
      </c>
      <c r="Y174" s="60">
        <v>0</v>
      </c>
      <c r="Z174" s="60">
        <v>0</v>
      </c>
      <c r="AA174" s="60">
        <f t="shared" si="77"/>
        <v>0</v>
      </c>
      <c r="AB174" s="60">
        <v>0</v>
      </c>
      <c r="AC174" s="43">
        <v>0</v>
      </c>
      <c r="AD174" s="60">
        <v>0</v>
      </c>
      <c r="AE174" s="60"/>
      <c r="AF174" s="60"/>
      <c r="AG174" s="60"/>
      <c r="AH174" s="60">
        <f t="shared" si="78"/>
        <v>-98096.33</v>
      </c>
      <c r="AI174" s="60"/>
      <c r="AJ174" s="60"/>
      <c r="AK174" s="7"/>
      <c r="AL174" s="64">
        <v>0</v>
      </c>
      <c r="AM174" s="64">
        <v>0</v>
      </c>
      <c r="AN174" s="64">
        <v>0</v>
      </c>
      <c r="AO174" s="64">
        <v>0</v>
      </c>
      <c r="AP174" s="64">
        <v>0</v>
      </c>
      <c r="AQ174" s="64">
        <f t="shared" si="76"/>
        <v>0</v>
      </c>
      <c r="AR174" s="59">
        <f t="shared" si="61"/>
        <v>0</v>
      </c>
      <c r="AS174" s="59">
        <f t="shared" si="62"/>
        <v>0</v>
      </c>
      <c r="AT174" s="141">
        <f t="shared" si="63"/>
        <v>0</v>
      </c>
      <c r="AU174" s="141">
        <f t="shared" si="64"/>
        <v>0</v>
      </c>
    </row>
    <row r="175" spans="1:47">
      <c r="A175" s="28" t="s">
        <v>377</v>
      </c>
      <c r="B175" s="27" t="s">
        <v>378</v>
      </c>
      <c r="C175" s="27" t="s">
        <v>52</v>
      </c>
      <c r="D175" s="27" t="s">
        <v>2</v>
      </c>
      <c r="E175" s="27" t="s">
        <v>142</v>
      </c>
      <c r="F175" s="112">
        <v>487047</v>
      </c>
      <c r="G175" s="112">
        <v>500000</v>
      </c>
      <c r="H175" s="112">
        <v>111150</v>
      </c>
      <c r="I175" s="124">
        <v>10</v>
      </c>
      <c r="J175" s="124">
        <v>0</v>
      </c>
      <c r="K175" s="124">
        <v>30</v>
      </c>
      <c r="L175" s="124">
        <v>0</v>
      </c>
      <c r="M175" s="124">
        <v>0</v>
      </c>
      <c r="N175" s="44">
        <f t="shared" si="74"/>
        <v>40</v>
      </c>
      <c r="O175" s="44">
        <v>481000</v>
      </c>
      <c r="P175" s="125">
        <f t="shared" si="60"/>
        <v>481000</v>
      </c>
      <c r="Q175" s="44"/>
      <c r="R175" s="44">
        <f t="shared" si="75"/>
        <v>481000</v>
      </c>
      <c r="S175" s="54">
        <v>0</v>
      </c>
      <c r="T175" s="54">
        <v>40</v>
      </c>
      <c r="U175" s="54">
        <v>0</v>
      </c>
      <c r="V175" s="60">
        <v>0</v>
      </c>
      <c r="W175" s="60">
        <v>0</v>
      </c>
      <c r="X175" s="60">
        <v>0</v>
      </c>
      <c r="Y175" s="60">
        <v>0</v>
      </c>
      <c r="Z175" s="60">
        <v>0</v>
      </c>
      <c r="AA175" s="60">
        <f t="shared" si="77"/>
        <v>0</v>
      </c>
      <c r="AB175" s="60">
        <v>0</v>
      </c>
      <c r="AC175" s="43">
        <v>0</v>
      </c>
      <c r="AD175" s="60">
        <v>0</v>
      </c>
      <c r="AE175" s="60"/>
      <c r="AF175" s="60"/>
      <c r="AG175" s="60"/>
      <c r="AH175" s="60">
        <f t="shared" si="78"/>
        <v>487047</v>
      </c>
      <c r="AI175" s="60"/>
      <c r="AJ175" s="60"/>
      <c r="AK175" s="7"/>
      <c r="AL175" s="64">
        <v>22150</v>
      </c>
      <c r="AM175" s="64">
        <v>0</v>
      </c>
      <c r="AN175" s="64">
        <v>5900</v>
      </c>
      <c r="AO175" s="64">
        <v>0</v>
      </c>
      <c r="AP175" s="64">
        <v>0</v>
      </c>
      <c r="AQ175" s="64">
        <f t="shared" si="76"/>
        <v>28050</v>
      </c>
      <c r="AR175" s="59">
        <f t="shared" si="61"/>
        <v>10</v>
      </c>
      <c r="AS175" s="59">
        <f t="shared" si="62"/>
        <v>30</v>
      </c>
      <c r="AT175" s="141">
        <f t="shared" si="63"/>
        <v>0.769230769230769</v>
      </c>
      <c r="AU175" s="141">
        <f t="shared" si="64"/>
        <v>2.30769230769231</v>
      </c>
    </row>
    <row r="176" spans="1:47">
      <c r="A176" s="28" t="s">
        <v>379</v>
      </c>
      <c r="B176" s="27" t="s">
        <v>380</v>
      </c>
      <c r="C176" s="27">
        <v>0</v>
      </c>
      <c r="D176" s="27">
        <v>0</v>
      </c>
      <c r="E176" s="27"/>
      <c r="F176" s="112">
        <v>-41424.65</v>
      </c>
      <c r="G176" s="112"/>
      <c r="H176" s="112"/>
      <c r="I176" s="124">
        <v>0</v>
      </c>
      <c r="J176" s="124">
        <v>0</v>
      </c>
      <c r="K176" s="124">
        <v>0</v>
      </c>
      <c r="L176" s="124">
        <v>0</v>
      </c>
      <c r="M176" s="124">
        <v>0</v>
      </c>
      <c r="N176" s="44">
        <f t="shared" si="74"/>
        <v>0</v>
      </c>
      <c r="O176" s="44">
        <v>0</v>
      </c>
      <c r="P176" s="125">
        <f t="shared" si="60"/>
        <v>0</v>
      </c>
      <c r="Q176" s="44"/>
      <c r="R176" s="44">
        <f t="shared" si="75"/>
        <v>0</v>
      </c>
      <c r="S176" s="54">
        <v>0</v>
      </c>
      <c r="T176" s="54">
        <v>0</v>
      </c>
      <c r="U176" s="54">
        <v>0</v>
      </c>
      <c r="V176" s="60">
        <v>0</v>
      </c>
      <c r="W176" s="60">
        <v>0</v>
      </c>
      <c r="X176" s="60">
        <v>0</v>
      </c>
      <c r="Y176" s="60">
        <v>0</v>
      </c>
      <c r="Z176" s="60">
        <v>0</v>
      </c>
      <c r="AA176" s="60">
        <f t="shared" si="77"/>
        <v>0</v>
      </c>
      <c r="AB176" s="60">
        <v>0</v>
      </c>
      <c r="AC176" s="43">
        <v>0</v>
      </c>
      <c r="AD176" s="60">
        <v>0</v>
      </c>
      <c r="AE176" s="60"/>
      <c r="AF176" s="60"/>
      <c r="AG176" s="60"/>
      <c r="AH176" s="60">
        <f t="shared" si="78"/>
        <v>-41424.65</v>
      </c>
      <c r="AI176" s="60"/>
      <c r="AJ176" s="60"/>
      <c r="AK176" s="7"/>
      <c r="AL176" s="64">
        <v>0</v>
      </c>
      <c r="AM176" s="64">
        <v>0</v>
      </c>
      <c r="AN176" s="64">
        <v>0</v>
      </c>
      <c r="AO176" s="64">
        <v>0</v>
      </c>
      <c r="AP176" s="64">
        <v>0</v>
      </c>
      <c r="AQ176" s="64">
        <f t="shared" si="76"/>
        <v>0</v>
      </c>
      <c r="AR176" s="59">
        <f t="shared" si="61"/>
        <v>0</v>
      </c>
      <c r="AS176" s="59">
        <f t="shared" si="62"/>
        <v>0</v>
      </c>
      <c r="AT176" s="141">
        <f t="shared" si="63"/>
        <v>0</v>
      </c>
      <c r="AU176" s="141">
        <f t="shared" si="64"/>
        <v>0</v>
      </c>
    </row>
    <row r="177" spans="1:47">
      <c r="A177" s="28" t="s">
        <v>381</v>
      </c>
      <c r="B177" s="27" t="s">
        <v>382</v>
      </c>
      <c r="C177" s="27" t="s">
        <v>52</v>
      </c>
      <c r="D177" s="27" t="s">
        <v>2</v>
      </c>
      <c r="E177" s="27" t="s">
        <v>383</v>
      </c>
      <c r="F177" s="112">
        <v>-55821.75</v>
      </c>
      <c r="G177" s="112">
        <v>1000000</v>
      </c>
      <c r="H177" s="112">
        <v>2500000</v>
      </c>
      <c r="I177" s="124">
        <v>0</v>
      </c>
      <c r="J177" s="124">
        <v>0</v>
      </c>
      <c r="K177" s="124">
        <v>0</v>
      </c>
      <c r="L177" s="124">
        <v>0</v>
      </c>
      <c r="M177" s="124">
        <v>0</v>
      </c>
      <c r="N177" s="44">
        <f t="shared" si="74"/>
        <v>0</v>
      </c>
      <c r="O177" s="44">
        <v>0</v>
      </c>
      <c r="P177" s="125">
        <f t="shared" si="60"/>
        <v>0</v>
      </c>
      <c r="Q177" s="44"/>
      <c r="R177" s="44">
        <f t="shared" si="75"/>
        <v>0</v>
      </c>
      <c r="S177" s="54">
        <v>0</v>
      </c>
      <c r="T177" s="54">
        <v>80</v>
      </c>
      <c r="U177" s="54">
        <v>170</v>
      </c>
      <c r="V177" s="60">
        <v>0</v>
      </c>
      <c r="W177" s="60">
        <v>0</v>
      </c>
      <c r="X177" s="60">
        <v>0</v>
      </c>
      <c r="Y177" s="60">
        <v>0</v>
      </c>
      <c r="Z177" s="60">
        <v>0</v>
      </c>
      <c r="AA177" s="60">
        <f t="shared" si="77"/>
        <v>0</v>
      </c>
      <c r="AB177" s="60">
        <v>0</v>
      </c>
      <c r="AC177" s="43">
        <v>0</v>
      </c>
      <c r="AD177" s="60">
        <v>0</v>
      </c>
      <c r="AE177" s="60"/>
      <c r="AF177" s="60"/>
      <c r="AG177" s="60"/>
      <c r="AH177" s="60">
        <f t="shared" si="78"/>
        <v>-55821.75</v>
      </c>
      <c r="AI177" s="60"/>
      <c r="AJ177" s="60">
        <f t="shared" ref="AJ177:AJ182" si="79">AH177-G177</f>
        <v>-1055821.75</v>
      </c>
      <c r="AK177" s="7"/>
      <c r="AL177" s="64">
        <v>112214.24</v>
      </c>
      <c r="AM177" s="64">
        <v>50300</v>
      </c>
      <c r="AN177" s="64">
        <v>32200</v>
      </c>
      <c r="AO177" s="64">
        <v>0</v>
      </c>
      <c r="AP177" s="64">
        <v>21228.0701754386</v>
      </c>
      <c r="AQ177" s="64">
        <f t="shared" si="76"/>
        <v>215942.310175439</v>
      </c>
      <c r="AR177" s="59">
        <f t="shared" si="61"/>
        <v>0</v>
      </c>
      <c r="AS177" s="59">
        <f t="shared" si="62"/>
        <v>0</v>
      </c>
      <c r="AT177" s="141">
        <f t="shared" si="63"/>
        <v>0</v>
      </c>
      <c r="AU177" s="141">
        <f t="shared" si="64"/>
        <v>0</v>
      </c>
    </row>
    <row r="178" spans="1:47">
      <c r="A178" t="s">
        <v>384</v>
      </c>
      <c r="B178" s="27" t="s">
        <v>385</v>
      </c>
      <c r="C178" s="27" t="s">
        <v>52</v>
      </c>
      <c r="D178" s="27" t="s">
        <v>2</v>
      </c>
      <c r="E178" s="27"/>
      <c r="F178" s="112">
        <v>-1499897.85</v>
      </c>
      <c r="G178" s="112">
        <v>1000000</v>
      </c>
      <c r="H178" s="112">
        <v>2000000</v>
      </c>
      <c r="I178" s="124">
        <v>0</v>
      </c>
      <c r="J178" s="124">
        <v>0</v>
      </c>
      <c r="K178" s="124">
        <v>0</v>
      </c>
      <c r="L178" s="124">
        <v>0</v>
      </c>
      <c r="M178" s="124">
        <v>0</v>
      </c>
      <c r="N178" s="44">
        <f t="shared" si="74"/>
        <v>0</v>
      </c>
      <c r="O178" s="44">
        <v>0</v>
      </c>
      <c r="P178" s="125">
        <f t="shared" si="60"/>
        <v>0</v>
      </c>
      <c r="Q178" s="44"/>
      <c r="R178" s="44">
        <f t="shared" si="75"/>
        <v>0</v>
      </c>
      <c r="S178" s="54">
        <v>0</v>
      </c>
      <c r="T178" s="54">
        <v>110</v>
      </c>
      <c r="U178" s="54">
        <v>0</v>
      </c>
      <c r="V178" s="60">
        <v>0</v>
      </c>
      <c r="W178" s="60">
        <v>0</v>
      </c>
      <c r="X178" s="60">
        <v>0</v>
      </c>
      <c r="Y178" s="60">
        <v>0</v>
      </c>
      <c r="Z178" s="60">
        <v>0</v>
      </c>
      <c r="AA178" s="60">
        <f t="shared" si="77"/>
        <v>0</v>
      </c>
      <c r="AB178" s="60">
        <v>0</v>
      </c>
      <c r="AC178" s="43">
        <v>0</v>
      </c>
      <c r="AD178" s="60">
        <v>0</v>
      </c>
      <c r="AE178" s="60"/>
      <c r="AF178" s="60"/>
      <c r="AG178" s="60"/>
      <c r="AH178" s="60">
        <f t="shared" si="78"/>
        <v>-1499897.85</v>
      </c>
      <c r="AI178" s="60"/>
      <c r="AJ178" s="60">
        <f t="shared" si="79"/>
        <v>-2499897.85</v>
      </c>
      <c r="AK178" s="7"/>
      <c r="AL178" s="64">
        <v>98350</v>
      </c>
      <c r="AM178" s="64">
        <v>0</v>
      </c>
      <c r="AN178" s="64">
        <v>0</v>
      </c>
      <c r="AO178" s="64">
        <v>0</v>
      </c>
      <c r="AP178" s="64">
        <v>0</v>
      </c>
      <c r="AQ178" s="64">
        <f t="shared" si="76"/>
        <v>98350</v>
      </c>
      <c r="AR178" s="59">
        <f t="shared" si="61"/>
        <v>0</v>
      </c>
      <c r="AS178" s="59">
        <f t="shared" si="62"/>
        <v>0</v>
      </c>
      <c r="AT178" s="141">
        <f t="shared" si="63"/>
        <v>0</v>
      </c>
      <c r="AU178" s="141">
        <f t="shared" si="64"/>
        <v>0</v>
      </c>
    </row>
    <row r="179" spans="1:47">
      <c r="A179" s="118" t="s">
        <v>386</v>
      </c>
      <c r="B179" s="87" t="s">
        <v>387</v>
      </c>
      <c r="C179" s="27" t="s">
        <v>49</v>
      </c>
      <c r="D179" s="27" t="s">
        <v>49</v>
      </c>
      <c r="E179" s="27"/>
      <c r="F179" s="112">
        <v>2265359</v>
      </c>
      <c r="G179" s="112"/>
      <c r="H179" s="112"/>
      <c r="I179" s="124">
        <v>180</v>
      </c>
      <c r="J179" s="124">
        <v>0</v>
      </c>
      <c r="K179" s="124">
        <v>152</v>
      </c>
      <c r="L179" s="124">
        <v>0</v>
      </c>
      <c r="M179" s="124">
        <v>0</v>
      </c>
      <c r="N179" s="44">
        <f t="shared" si="74"/>
        <v>332</v>
      </c>
      <c r="O179" s="44">
        <v>1474800</v>
      </c>
      <c r="P179" s="125">
        <f t="shared" si="60"/>
        <v>1474800</v>
      </c>
      <c r="Q179" s="44"/>
      <c r="R179" s="44"/>
      <c r="S179" s="54">
        <v>0</v>
      </c>
      <c r="T179" s="54">
        <v>350</v>
      </c>
      <c r="U179" s="54">
        <v>150</v>
      </c>
      <c r="V179" s="60">
        <v>77</v>
      </c>
      <c r="W179" s="60">
        <v>15</v>
      </c>
      <c r="X179" s="60">
        <v>72</v>
      </c>
      <c r="Y179" s="60">
        <v>0</v>
      </c>
      <c r="Z179" s="60">
        <v>0</v>
      </c>
      <c r="AA179" s="60">
        <f t="shared" si="77"/>
        <v>164</v>
      </c>
      <c r="AB179" s="60">
        <v>833000</v>
      </c>
      <c r="AC179" s="43">
        <v>40000</v>
      </c>
      <c r="AD179" s="60">
        <v>0</v>
      </c>
      <c r="AE179" s="60"/>
      <c r="AF179" s="60"/>
      <c r="AG179" s="60"/>
      <c r="AH179" s="60">
        <f t="shared" si="78"/>
        <v>3058359</v>
      </c>
      <c r="AI179" s="60">
        <f>AH179-AQ179-H179</f>
        <v>2548359</v>
      </c>
      <c r="AJ179" s="60">
        <f t="shared" si="79"/>
        <v>3058359</v>
      </c>
      <c r="AK179" s="7"/>
      <c r="AL179" s="64">
        <v>0</v>
      </c>
      <c r="AM179" s="64">
        <v>284500</v>
      </c>
      <c r="AN179" s="64">
        <v>225500</v>
      </c>
      <c r="AO179" s="64">
        <v>0</v>
      </c>
      <c r="AP179" s="64">
        <v>0</v>
      </c>
      <c r="AQ179" s="64">
        <f t="shared" si="76"/>
        <v>510000</v>
      </c>
      <c r="AR179" s="59">
        <f t="shared" si="61"/>
        <v>88</v>
      </c>
      <c r="AS179" s="59">
        <f t="shared" si="62"/>
        <v>80</v>
      </c>
      <c r="AT179" s="141">
        <f t="shared" si="63"/>
        <v>6.76923076923077</v>
      </c>
      <c r="AU179" s="141">
        <f t="shared" si="64"/>
        <v>6.15384615384615</v>
      </c>
    </row>
    <row r="180" spans="1:47">
      <c r="A180" s="28" t="s">
        <v>388</v>
      </c>
      <c r="B180" s="87" t="s">
        <v>389</v>
      </c>
      <c r="C180" s="27"/>
      <c r="D180" s="27"/>
      <c r="E180" s="27"/>
      <c r="F180" s="112">
        <v>-221800</v>
      </c>
      <c r="G180" s="112"/>
      <c r="H180" s="112"/>
      <c r="I180" s="124">
        <v>150</v>
      </c>
      <c r="J180" s="124">
        <v>0</v>
      </c>
      <c r="K180" s="124">
        <v>40</v>
      </c>
      <c r="L180" s="124">
        <v>0</v>
      </c>
      <c r="M180" s="124">
        <v>0</v>
      </c>
      <c r="N180" s="44">
        <f t="shared" si="74"/>
        <v>190</v>
      </c>
      <c r="O180" s="44">
        <v>891000</v>
      </c>
      <c r="P180" s="125">
        <f t="shared" si="60"/>
        <v>891000</v>
      </c>
      <c r="Q180" s="94"/>
      <c r="R180" s="94"/>
      <c r="S180" s="54">
        <v>0</v>
      </c>
      <c r="T180" s="54">
        <v>0</v>
      </c>
      <c r="U180" s="54">
        <v>0</v>
      </c>
      <c r="V180" s="60">
        <v>50</v>
      </c>
      <c r="W180" s="60">
        <v>0</v>
      </c>
      <c r="X180" s="60">
        <v>20</v>
      </c>
      <c r="Y180" s="60">
        <v>0</v>
      </c>
      <c r="Z180" s="60">
        <v>0</v>
      </c>
      <c r="AA180" s="60">
        <f t="shared" si="77"/>
        <v>70</v>
      </c>
      <c r="AB180" s="60">
        <v>365000</v>
      </c>
      <c r="AC180" s="43">
        <v>275000</v>
      </c>
      <c r="AD180" s="60">
        <v>0</v>
      </c>
      <c r="AE180" s="43"/>
      <c r="AF180" s="43"/>
      <c r="AG180" s="43"/>
      <c r="AH180" s="60">
        <f t="shared" si="78"/>
        <v>-131800</v>
      </c>
      <c r="AI180" s="60">
        <f>AH180-AQ180-H180</f>
        <v>-131800</v>
      </c>
      <c r="AJ180" s="60">
        <f t="shared" si="79"/>
        <v>-131800</v>
      </c>
      <c r="AK180" s="7"/>
      <c r="AL180" s="64"/>
      <c r="AM180" s="64"/>
      <c r="AN180" s="64"/>
      <c r="AO180" s="64"/>
      <c r="AP180" s="64"/>
      <c r="AQ180" s="64"/>
      <c r="AR180" s="59">
        <f t="shared" si="61"/>
        <v>100</v>
      </c>
      <c r="AS180" s="59">
        <f t="shared" si="62"/>
        <v>20</v>
      </c>
      <c r="AT180" s="141">
        <f t="shared" si="63"/>
        <v>7.69230769230769</v>
      </c>
      <c r="AU180" s="141">
        <f t="shared" si="64"/>
        <v>1.53846153846154</v>
      </c>
    </row>
    <row r="181" spans="1:47">
      <c r="A181" s="28" t="s">
        <v>390</v>
      </c>
      <c r="B181" s="175" t="s">
        <v>391</v>
      </c>
      <c r="C181" s="27" t="s">
        <v>1</v>
      </c>
      <c r="D181" s="27"/>
      <c r="E181" s="27"/>
      <c r="F181" s="112">
        <v>450</v>
      </c>
      <c r="G181" s="112"/>
      <c r="H181" s="112"/>
      <c r="I181" s="124">
        <v>0</v>
      </c>
      <c r="J181" s="124">
        <v>0</v>
      </c>
      <c r="K181" s="124">
        <v>0</v>
      </c>
      <c r="L181" s="124">
        <v>0</v>
      </c>
      <c r="M181" s="124">
        <v>0</v>
      </c>
      <c r="N181" s="44">
        <f t="shared" si="74"/>
        <v>0</v>
      </c>
      <c r="O181" s="44">
        <v>0</v>
      </c>
      <c r="P181" s="125">
        <f t="shared" si="60"/>
        <v>0</v>
      </c>
      <c r="Q181" s="44"/>
      <c r="R181" s="44"/>
      <c r="S181" s="54">
        <v>0</v>
      </c>
      <c r="T181" s="54">
        <v>0</v>
      </c>
      <c r="U181" s="54">
        <v>0</v>
      </c>
      <c r="V181" s="60">
        <v>0</v>
      </c>
      <c r="W181" s="60">
        <v>0</v>
      </c>
      <c r="X181" s="60">
        <v>0</v>
      </c>
      <c r="Y181" s="60">
        <v>0</v>
      </c>
      <c r="Z181" s="60">
        <v>0</v>
      </c>
      <c r="AA181" s="60">
        <f t="shared" si="77"/>
        <v>0</v>
      </c>
      <c r="AB181" s="60">
        <v>0</v>
      </c>
      <c r="AC181" s="43">
        <v>0</v>
      </c>
      <c r="AD181" s="60">
        <v>0</v>
      </c>
      <c r="AE181" s="60"/>
      <c r="AF181" s="60"/>
      <c r="AG181" s="60"/>
      <c r="AH181" s="60">
        <f t="shared" si="78"/>
        <v>450</v>
      </c>
      <c r="AI181" s="60"/>
      <c r="AJ181" s="60">
        <f t="shared" si="79"/>
        <v>450</v>
      </c>
      <c r="AK181" s="7"/>
      <c r="AL181" s="64">
        <v>2000</v>
      </c>
      <c r="AM181" s="64">
        <v>0</v>
      </c>
      <c r="AN181" s="64">
        <v>0</v>
      </c>
      <c r="AO181" s="64">
        <v>0</v>
      </c>
      <c r="AP181" s="64">
        <v>0</v>
      </c>
      <c r="AQ181" s="64">
        <f t="shared" ref="AQ181:AQ186" si="80">AL181+AM181+AN181+AO181+AP181</f>
        <v>2000</v>
      </c>
      <c r="AR181" s="59">
        <f t="shared" si="61"/>
        <v>0</v>
      </c>
      <c r="AS181" s="59">
        <f t="shared" si="62"/>
        <v>0</v>
      </c>
      <c r="AT181" s="141">
        <f t="shared" si="63"/>
        <v>0</v>
      </c>
      <c r="AU181" s="141">
        <f t="shared" si="64"/>
        <v>0</v>
      </c>
    </row>
    <row r="182" spans="1:47">
      <c r="A182" s="28" t="s">
        <v>392</v>
      </c>
      <c r="B182" s="87" t="s">
        <v>393</v>
      </c>
      <c r="C182" s="27" t="s">
        <v>3</v>
      </c>
      <c r="D182" s="27" t="s">
        <v>49</v>
      </c>
      <c r="E182" s="27"/>
      <c r="F182" s="112">
        <v>115000</v>
      </c>
      <c r="G182" s="112"/>
      <c r="H182" s="112"/>
      <c r="I182" s="124">
        <v>50</v>
      </c>
      <c r="J182" s="124">
        <v>0</v>
      </c>
      <c r="K182" s="124">
        <v>0</v>
      </c>
      <c r="L182" s="124">
        <v>0</v>
      </c>
      <c r="M182" s="124">
        <v>0</v>
      </c>
      <c r="N182" s="44">
        <f t="shared" si="74"/>
        <v>50</v>
      </c>
      <c r="O182" s="44">
        <v>245000</v>
      </c>
      <c r="P182" s="125">
        <f t="shared" si="60"/>
        <v>245000</v>
      </c>
      <c r="Q182" s="44"/>
      <c r="R182" s="44">
        <f>P182+Q182</f>
        <v>245000</v>
      </c>
      <c r="S182" s="54">
        <v>0</v>
      </c>
      <c r="T182" s="54">
        <v>100</v>
      </c>
      <c r="U182" s="54">
        <v>0</v>
      </c>
      <c r="V182" s="60">
        <v>100</v>
      </c>
      <c r="W182" s="60">
        <v>0</v>
      </c>
      <c r="X182" s="60">
        <v>0</v>
      </c>
      <c r="Y182" s="60">
        <v>0</v>
      </c>
      <c r="Z182" s="60">
        <v>0</v>
      </c>
      <c r="AA182" s="60">
        <f t="shared" si="77"/>
        <v>100</v>
      </c>
      <c r="AB182" s="60">
        <v>550000</v>
      </c>
      <c r="AC182" s="43">
        <v>520000</v>
      </c>
      <c r="AD182" s="60">
        <v>0</v>
      </c>
      <c r="AE182" s="60"/>
      <c r="AF182" s="60"/>
      <c r="AG182" s="60"/>
      <c r="AH182" s="60">
        <f t="shared" si="78"/>
        <v>145000</v>
      </c>
      <c r="AI182" s="60"/>
      <c r="AJ182" s="60">
        <f t="shared" si="79"/>
        <v>145000</v>
      </c>
      <c r="AK182" s="7"/>
      <c r="AL182" s="64">
        <v>24000</v>
      </c>
      <c r="AM182" s="64">
        <v>25000</v>
      </c>
      <c r="AN182" s="64">
        <v>75000</v>
      </c>
      <c r="AO182" s="64">
        <v>0</v>
      </c>
      <c r="AP182" s="64">
        <v>0</v>
      </c>
      <c r="AQ182" s="64">
        <f t="shared" si="80"/>
        <v>124000</v>
      </c>
      <c r="AR182" s="59">
        <f t="shared" si="61"/>
        <v>-50</v>
      </c>
      <c r="AS182" s="59">
        <f t="shared" si="62"/>
        <v>0</v>
      </c>
      <c r="AT182" s="141">
        <f t="shared" si="63"/>
        <v>-3.84615384615385</v>
      </c>
      <c r="AU182" s="141">
        <f t="shared" si="64"/>
        <v>0</v>
      </c>
    </row>
    <row r="183" spans="1:47">
      <c r="A183" s="28" t="s">
        <v>394</v>
      </c>
      <c r="B183" s="27" t="s">
        <v>395</v>
      </c>
      <c r="C183" s="27" t="s">
        <v>99</v>
      </c>
      <c r="D183" s="27" t="s">
        <v>99</v>
      </c>
      <c r="E183" s="27"/>
      <c r="F183" s="112">
        <v>19226</v>
      </c>
      <c r="G183" s="112">
        <v>0</v>
      </c>
      <c r="H183" s="112">
        <v>85625</v>
      </c>
      <c r="I183" s="124">
        <v>0</v>
      </c>
      <c r="J183" s="124">
        <v>0</v>
      </c>
      <c r="K183" s="124">
        <v>0</v>
      </c>
      <c r="L183" s="124">
        <v>0</v>
      </c>
      <c r="M183" s="124">
        <v>0</v>
      </c>
      <c r="N183" s="44">
        <f t="shared" si="74"/>
        <v>0</v>
      </c>
      <c r="O183" s="44">
        <v>0</v>
      </c>
      <c r="P183" s="125">
        <f t="shared" si="60"/>
        <v>0</v>
      </c>
      <c r="Q183" s="44"/>
      <c r="R183" s="44">
        <f>P183+Q183</f>
        <v>0</v>
      </c>
      <c r="S183" s="54">
        <v>0</v>
      </c>
      <c r="T183" s="54">
        <v>40</v>
      </c>
      <c r="U183" s="54">
        <v>0</v>
      </c>
      <c r="V183" s="60">
        <v>0</v>
      </c>
      <c r="W183" s="60">
        <v>0</v>
      </c>
      <c r="X183" s="60">
        <v>0</v>
      </c>
      <c r="Y183" s="60">
        <v>0</v>
      </c>
      <c r="Z183" s="60">
        <v>0</v>
      </c>
      <c r="AA183" s="60">
        <f t="shared" si="77"/>
        <v>0</v>
      </c>
      <c r="AB183" s="60">
        <v>0</v>
      </c>
      <c r="AC183" s="43">
        <v>22400</v>
      </c>
      <c r="AD183" s="60">
        <v>0</v>
      </c>
      <c r="AE183" s="60"/>
      <c r="AF183" s="60"/>
      <c r="AG183" s="60"/>
      <c r="AH183" s="60">
        <f t="shared" si="78"/>
        <v>-3174</v>
      </c>
      <c r="AI183" s="60"/>
      <c r="AJ183" s="60"/>
      <c r="AK183" s="7"/>
      <c r="AL183" s="64">
        <v>12600</v>
      </c>
      <c r="AM183" s="64">
        <v>0</v>
      </c>
      <c r="AN183" s="64">
        <v>0</v>
      </c>
      <c r="AO183" s="64">
        <v>0</v>
      </c>
      <c r="AP183" s="64">
        <v>0</v>
      </c>
      <c r="AQ183" s="64">
        <f t="shared" si="80"/>
        <v>12600</v>
      </c>
      <c r="AR183" s="59">
        <f t="shared" si="61"/>
        <v>0</v>
      </c>
      <c r="AS183" s="59">
        <f t="shared" si="62"/>
        <v>0</v>
      </c>
      <c r="AT183" s="141">
        <f t="shared" si="63"/>
        <v>0</v>
      </c>
      <c r="AU183" s="141">
        <f t="shared" si="64"/>
        <v>0</v>
      </c>
    </row>
    <row r="184" spans="1:47">
      <c r="A184" s="28" t="s">
        <v>396</v>
      </c>
      <c r="B184" s="27" t="s">
        <v>397</v>
      </c>
      <c r="C184" s="27">
        <v>0</v>
      </c>
      <c r="D184" s="27" t="s">
        <v>99</v>
      </c>
      <c r="E184" s="27"/>
      <c r="F184" s="112">
        <v>-180538.24</v>
      </c>
      <c r="G184" s="112"/>
      <c r="H184" s="112"/>
      <c r="I184" s="124">
        <v>0</v>
      </c>
      <c r="J184" s="124">
        <v>0</v>
      </c>
      <c r="K184" s="124">
        <v>0</v>
      </c>
      <c r="L184" s="124">
        <v>0</v>
      </c>
      <c r="M184" s="124">
        <v>0</v>
      </c>
      <c r="N184" s="44">
        <f t="shared" si="74"/>
        <v>0</v>
      </c>
      <c r="O184" s="44">
        <v>0</v>
      </c>
      <c r="P184" s="125">
        <f t="shared" si="60"/>
        <v>0</v>
      </c>
      <c r="Q184" s="44"/>
      <c r="R184" s="44">
        <f>P184+Q184</f>
        <v>0</v>
      </c>
      <c r="S184" s="54">
        <v>0</v>
      </c>
      <c r="T184" s="54">
        <v>0</v>
      </c>
      <c r="U184" s="54">
        <v>0</v>
      </c>
      <c r="V184" s="60">
        <v>0</v>
      </c>
      <c r="W184" s="60">
        <v>0</v>
      </c>
      <c r="X184" s="60">
        <v>0</v>
      </c>
      <c r="Y184" s="60">
        <v>0</v>
      </c>
      <c r="Z184" s="60">
        <v>0</v>
      </c>
      <c r="AA184" s="60">
        <f t="shared" si="77"/>
        <v>0</v>
      </c>
      <c r="AB184" s="60">
        <v>0</v>
      </c>
      <c r="AC184" s="43">
        <v>0</v>
      </c>
      <c r="AD184" s="60">
        <v>0</v>
      </c>
      <c r="AE184" s="60"/>
      <c r="AF184" s="60"/>
      <c r="AG184" s="60"/>
      <c r="AH184" s="60">
        <f t="shared" si="78"/>
        <v>-180538.24</v>
      </c>
      <c r="AI184" s="60"/>
      <c r="AJ184" s="60"/>
      <c r="AK184" s="7"/>
      <c r="AL184" s="64">
        <v>0</v>
      </c>
      <c r="AM184" s="64">
        <v>0</v>
      </c>
      <c r="AN184" s="64">
        <v>0</v>
      </c>
      <c r="AO184" s="64">
        <v>0</v>
      </c>
      <c r="AP184" s="64">
        <v>0</v>
      </c>
      <c r="AQ184" s="64">
        <f t="shared" si="80"/>
        <v>0</v>
      </c>
      <c r="AR184" s="59">
        <f t="shared" si="61"/>
        <v>0</v>
      </c>
      <c r="AS184" s="59">
        <f t="shared" si="62"/>
        <v>0</v>
      </c>
      <c r="AT184" s="141">
        <f t="shared" si="63"/>
        <v>0</v>
      </c>
      <c r="AU184" s="141">
        <f t="shared" si="64"/>
        <v>0</v>
      </c>
    </row>
    <row r="185" spans="1:47">
      <c r="A185" s="28" t="s">
        <v>398</v>
      </c>
      <c r="B185" s="27" t="s">
        <v>399</v>
      </c>
      <c r="C185" s="27">
        <v>0</v>
      </c>
      <c r="D185" s="27">
        <v>0</v>
      </c>
      <c r="E185" s="27"/>
      <c r="F185" s="112">
        <v>-61107.11</v>
      </c>
      <c r="G185" s="112">
        <v>0</v>
      </c>
      <c r="H185" s="112">
        <v>75425</v>
      </c>
      <c r="I185" s="124">
        <v>0</v>
      </c>
      <c r="J185" s="124">
        <v>0</v>
      </c>
      <c r="K185" s="124">
        <v>0</v>
      </c>
      <c r="L185" s="124">
        <v>0</v>
      </c>
      <c r="M185" s="124">
        <v>0</v>
      </c>
      <c r="N185" s="44">
        <f t="shared" si="74"/>
        <v>0</v>
      </c>
      <c r="O185" s="44">
        <v>0</v>
      </c>
      <c r="P185" s="125">
        <f t="shared" si="60"/>
        <v>0</v>
      </c>
      <c r="Q185" s="44"/>
      <c r="R185" s="44">
        <f>P185+Q185</f>
        <v>0</v>
      </c>
      <c r="S185" s="54">
        <v>0</v>
      </c>
      <c r="T185" s="54">
        <v>0</v>
      </c>
      <c r="U185" s="54">
        <v>0</v>
      </c>
      <c r="V185" s="60">
        <v>0</v>
      </c>
      <c r="W185" s="60">
        <v>0</v>
      </c>
      <c r="X185" s="60">
        <v>0</v>
      </c>
      <c r="Y185" s="60">
        <v>0</v>
      </c>
      <c r="Z185" s="60">
        <v>0</v>
      </c>
      <c r="AA185" s="60">
        <f t="shared" si="77"/>
        <v>0</v>
      </c>
      <c r="AB185" s="60">
        <v>0</v>
      </c>
      <c r="AC185" s="43">
        <v>0</v>
      </c>
      <c r="AD185" s="60">
        <v>0</v>
      </c>
      <c r="AE185" s="60"/>
      <c r="AF185" s="60"/>
      <c r="AG185" s="60"/>
      <c r="AH185" s="60">
        <f t="shared" si="78"/>
        <v>-61107.11</v>
      </c>
      <c r="AI185" s="60"/>
      <c r="AJ185" s="60">
        <f>AH185-G185</f>
        <v>-61107.11</v>
      </c>
      <c r="AK185" s="7"/>
      <c r="AL185" s="64">
        <v>0</v>
      </c>
      <c r="AM185" s="64">
        <v>0</v>
      </c>
      <c r="AN185" s="64">
        <v>0</v>
      </c>
      <c r="AO185" s="64">
        <v>0</v>
      </c>
      <c r="AP185" s="64">
        <v>0</v>
      </c>
      <c r="AQ185" s="64">
        <f t="shared" si="80"/>
        <v>0</v>
      </c>
      <c r="AR185" s="59">
        <f t="shared" si="61"/>
        <v>0</v>
      </c>
      <c r="AS185" s="59">
        <f t="shared" si="62"/>
        <v>0</v>
      </c>
      <c r="AT185" s="141">
        <f t="shared" si="63"/>
        <v>0</v>
      </c>
      <c r="AU185" s="141">
        <f t="shared" si="64"/>
        <v>0</v>
      </c>
    </row>
    <row r="186" spans="1:47">
      <c r="A186" s="28" t="s">
        <v>400</v>
      </c>
      <c r="B186" s="27" t="s">
        <v>401</v>
      </c>
      <c r="C186" s="27">
        <v>0</v>
      </c>
      <c r="D186" s="27" t="s">
        <v>99</v>
      </c>
      <c r="E186" s="27"/>
      <c r="F186" s="112">
        <v>0</v>
      </c>
      <c r="G186" s="112"/>
      <c r="H186" s="112"/>
      <c r="I186" s="124">
        <v>0</v>
      </c>
      <c r="J186" s="124">
        <v>0</v>
      </c>
      <c r="K186" s="124">
        <v>0</v>
      </c>
      <c r="L186" s="124">
        <v>0</v>
      </c>
      <c r="M186" s="124">
        <v>0</v>
      </c>
      <c r="N186" s="44">
        <f t="shared" si="74"/>
        <v>0</v>
      </c>
      <c r="O186" s="44">
        <v>0</v>
      </c>
      <c r="P186" s="125">
        <f t="shared" si="60"/>
        <v>0</v>
      </c>
      <c r="Q186" s="44"/>
      <c r="R186" s="44">
        <f>P186+Q186</f>
        <v>0</v>
      </c>
      <c r="S186" s="54">
        <v>0</v>
      </c>
      <c r="T186" s="54">
        <v>0</v>
      </c>
      <c r="U186" s="54">
        <v>0</v>
      </c>
      <c r="V186" s="60">
        <v>0</v>
      </c>
      <c r="W186" s="60">
        <v>0</v>
      </c>
      <c r="X186" s="60">
        <v>0</v>
      </c>
      <c r="Y186" s="60">
        <v>0</v>
      </c>
      <c r="Z186" s="60">
        <v>0</v>
      </c>
      <c r="AA186" s="60">
        <f t="shared" si="77"/>
        <v>0</v>
      </c>
      <c r="AB186" s="60">
        <v>0</v>
      </c>
      <c r="AC186" s="43">
        <v>0</v>
      </c>
      <c r="AD186" s="60">
        <v>0</v>
      </c>
      <c r="AE186" s="60"/>
      <c r="AF186" s="60"/>
      <c r="AG186" s="60"/>
      <c r="AH186" s="60">
        <f t="shared" si="78"/>
        <v>0</v>
      </c>
      <c r="AI186" s="60"/>
      <c r="AJ186" s="60">
        <f>AH186-G186</f>
        <v>0</v>
      </c>
      <c r="AK186" s="7"/>
      <c r="AL186" s="64">
        <v>0</v>
      </c>
      <c r="AM186" s="64">
        <v>0</v>
      </c>
      <c r="AN186" s="64">
        <v>0</v>
      </c>
      <c r="AO186" s="64">
        <v>0</v>
      </c>
      <c r="AP186" s="64">
        <v>0</v>
      </c>
      <c r="AQ186" s="64">
        <f t="shared" si="80"/>
        <v>0</v>
      </c>
      <c r="AR186" s="59">
        <f t="shared" si="61"/>
        <v>0</v>
      </c>
      <c r="AS186" s="59">
        <f t="shared" si="62"/>
        <v>0</v>
      </c>
      <c r="AT186" s="141">
        <f t="shared" si="63"/>
        <v>0</v>
      </c>
      <c r="AU186" s="141">
        <f t="shared" si="64"/>
        <v>0</v>
      </c>
    </row>
    <row r="187" spans="1:47">
      <c r="A187" s="115" t="s">
        <v>402</v>
      </c>
      <c r="B187" s="119">
        <f>SUM(B144:B186)</f>
        <v>0</v>
      </c>
      <c r="C187" s="27">
        <v>0</v>
      </c>
      <c r="D187" s="27">
        <v>0</v>
      </c>
      <c r="E187" s="27"/>
      <c r="F187" s="119">
        <f t="shared" ref="F187:AD187" si="81">SUM(F144:F186)</f>
        <v>5498793.98</v>
      </c>
      <c r="G187" s="119">
        <f t="shared" si="81"/>
        <v>6500000</v>
      </c>
      <c r="H187" s="119">
        <f t="shared" si="81"/>
        <v>20067945.8333333</v>
      </c>
      <c r="I187" s="119">
        <f t="shared" si="81"/>
        <v>1708</v>
      </c>
      <c r="J187" s="119">
        <f t="shared" si="81"/>
        <v>0</v>
      </c>
      <c r="K187" s="119">
        <f t="shared" si="81"/>
        <v>1198</v>
      </c>
      <c r="L187" s="119">
        <f t="shared" si="81"/>
        <v>1</v>
      </c>
      <c r="M187" s="119">
        <f t="shared" si="81"/>
        <v>5</v>
      </c>
      <c r="N187" s="119">
        <f t="shared" si="81"/>
        <v>2712</v>
      </c>
      <c r="O187" s="119">
        <f t="shared" si="81"/>
        <v>16280800</v>
      </c>
      <c r="P187" s="119">
        <f t="shared" si="81"/>
        <v>16280800</v>
      </c>
      <c r="Q187" s="119">
        <f t="shared" si="81"/>
        <v>0</v>
      </c>
      <c r="R187" s="119">
        <f t="shared" si="81"/>
        <v>12445000</v>
      </c>
      <c r="S187" s="119">
        <f t="shared" si="81"/>
        <v>216808</v>
      </c>
      <c r="T187" s="119">
        <f t="shared" si="81"/>
        <v>2170</v>
      </c>
      <c r="U187" s="119">
        <f t="shared" si="81"/>
        <v>1300</v>
      </c>
      <c r="V187" s="119">
        <f>SUM(V144:V186)</f>
        <v>876</v>
      </c>
      <c r="W187" s="119">
        <f>SUM(W144:W186)</f>
        <v>15</v>
      </c>
      <c r="X187" s="119">
        <f>SUM(X144:X186)</f>
        <v>762</v>
      </c>
      <c r="Y187" s="119">
        <f>SUM(Y144:Y186)</f>
        <v>1</v>
      </c>
      <c r="Z187" s="119">
        <f>SUM(Z144:Z186)</f>
        <v>6</v>
      </c>
      <c r="AA187" s="119">
        <f>SUM(AA144:AA186)</f>
        <v>1660</v>
      </c>
      <c r="AB187" s="119">
        <f>SUM(AB144:AB186)</f>
        <v>9776812</v>
      </c>
      <c r="AC187" s="119">
        <f>SUM(AC144:AC186)</f>
        <v>4393901</v>
      </c>
      <c r="AD187" s="119">
        <f>SUM(AD144:AD186)</f>
        <v>1394376</v>
      </c>
      <c r="AE187" s="119"/>
      <c r="AF187" s="119">
        <f>SUM(AF144:AF186)</f>
        <v>0</v>
      </c>
      <c r="AG187" s="119"/>
      <c r="AH187" s="119">
        <f>SUM(AH144:AH186)</f>
        <v>9487328.98</v>
      </c>
      <c r="AI187" s="60">
        <f>AH187-AQ187-H187</f>
        <v>-15061909.0702612</v>
      </c>
      <c r="AJ187" s="119">
        <f>SUM(AJ144:AJ186)</f>
        <v>3553735.09</v>
      </c>
      <c r="AK187" s="135"/>
      <c r="AL187" s="119">
        <f t="shared" ref="AL187:BH187" si="82">SUM(AL144:AL186)</f>
        <v>1095156.72</v>
      </c>
      <c r="AM187" s="119">
        <f t="shared" si="82"/>
        <v>1622704.24</v>
      </c>
      <c r="AN187" s="119">
        <f t="shared" si="82"/>
        <v>1601224.16</v>
      </c>
      <c r="AO187" s="119">
        <f t="shared" si="82"/>
        <v>39174.1684528063</v>
      </c>
      <c r="AP187" s="119">
        <f t="shared" si="82"/>
        <v>123032.928475034</v>
      </c>
      <c r="AQ187" s="143">
        <f t="shared" si="82"/>
        <v>4481292.21692784</v>
      </c>
      <c r="AR187" s="119">
        <f t="shared" si="82"/>
        <v>817</v>
      </c>
      <c r="AS187" s="119">
        <f t="shared" si="82"/>
        <v>436</v>
      </c>
      <c r="AT187" s="141">
        <f t="shared" si="63"/>
        <v>62.8461538461538</v>
      </c>
      <c r="AU187" s="141">
        <f t="shared" si="64"/>
        <v>33.5384615384615</v>
      </c>
    </row>
    <row r="188" spans="1:47">
      <c r="A188" s="28" t="s">
        <v>403</v>
      </c>
      <c r="B188" s="27" t="s">
        <v>404</v>
      </c>
      <c r="C188" s="27">
        <v>0</v>
      </c>
      <c r="D188" s="27">
        <v>0</v>
      </c>
      <c r="E188" s="27"/>
      <c r="F188" s="112">
        <v>800</v>
      </c>
      <c r="G188" s="112">
        <v>0</v>
      </c>
      <c r="H188" s="112">
        <v>0</v>
      </c>
      <c r="I188" s="124">
        <v>0</v>
      </c>
      <c r="J188" s="124">
        <v>0</v>
      </c>
      <c r="K188" s="124">
        <v>0</v>
      </c>
      <c r="L188" s="124">
        <v>0</v>
      </c>
      <c r="M188" s="124">
        <v>0</v>
      </c>
      <c r="N188" s="44">
        <f t="shared" ref="N188:N197" si="83">SUM(I188:M188)</f>
        <v>0</v>
      </c>
      <c r="O188" s="44">
        <v>0</v>
      </c>
      <c r="P188" s="125">
        <f t="shared" si="60"/>
        <v>0</v>
      </c>
      <c r="Q188" s="44"/>
      <c r="R188" s="44">
        <f t="shared" ref="R188:R197" si="84">P188+Q188</f>
        <v>0</v>
      </c>
      <c r="S188" s="54">
        <v>0</v>
      </c>
      <c r="T188" s="54">
        <v>0</v>
      </c>
      <c r="U188" s="54">
        <v>0</v>
      </c>
      <c r="V188" s="60">
        <v>0</v>
      </c>
      <c r="W188" s="60">
        <v>0</v>
      </c>
      <c r="X188" s="60">
        <v>0</v>
      </c>
      <c r="Y188" s="60">
        <v>0</v>
      </c>
      <c r="Z188" s="60">
        <v>0</v>
      </c>
      <c r="AA188" s="60">
        <f t="shared" ref="AA188:AA197" si="85">V188+W188+X188+Y188+Z188</f>
        <v>0</v>
      </c>
      <c r="AB188" s="60">
        <v>0</v>
      </c>
      <c r="AC188" s="43">
        <v>0</v>
      </c>
      <c r="AD188" s="60">
        <v>0</v>
      </c>
      <c r="AE188" s="60"/>
      <c r="AF188" s="60"/>
      <c r="AG188" s="60"/>
      <c r="AH188" s="60">
        <f t="shared" ref="AH188:AH197" si="86">F188+AB188-AC188-AE188-AD188-AF188-AG188</f>
        <v>800</v>
      </c>
      <c r="AI188" s="60"/>
      <c r="AJ188" s="60">
        <f>AH188-G188</f>
        <v>800</v>
      </c>
      <c r="AK188" s="7"/>
      <c r="AL188" s="64">
        <v>0</v>
      </c>
      <c r="AM188" s="64">
        <v>0</v>
      </c>
      <c r="AN188" s="64">
        <v>0</v>
      </c>
      <c r="AO188" s="64">
        <v>0</v>
      </c>
      <c r="AP188" s="64">
        <v>0</v>
      </c>
      <c r="AQ188" s="64">
        <f t="shared" ref="AQ188:AQ197" si="87">AL188+AM188+AN188+AO188+AP188</f>
        <v>0</v>
      </c>
      <c r="AR188" s="59">
        <f t="shared" si="61"/>
        <v>0</v>
      </c>
      <c r="AS188" s="59">
        <f t="shared" si="62"/>
        <v>0</v>
      </c>
      <c r="AT188" s="141">
        <f t="shared" si="63"/>
        <v>0</v>
      </c>
      <c r="AU188" s="141">
        <f t="shared" si="64"/>
        <v>0</v>
      </c>
    </row>
    <row r="189" spans="1:47">
      <c r="A189" s="28" t="s">
        <v>405</v>
      </c>
      <c r="B189" s="27" t="s">
        <v>406</v>
      </c>
      <c r="C189" s="27">
        <v>0</v>
      </c>
      <c r="D189" s="27">
        <v>0</v>
      </c>
      <c r="E189" s="27"/>
      <c r="F189" s="112">
        <v>75075</v>
      </c>
      <c r="G189" s="112"/>
      <c r="H189" s="112"/>
      <c r="I189" s="124">
        <v>0</v>
      </c>
      <c r="J189" s="124">
        <v>0</v>
      </c>
      <c r="K189" s="124">
        <v>0</v>
      </c>
      <c r="L189" s="124">
        <v>0</v>
      </c>
      <c r="M189" s="124">
        <v>0</v>
      </c>
      <c r="N189" s="44">
        <f t="shared" si="83"/>
        <v>0</v>
      </c>
      <c r="O189" s="44">
        <v>0</v>
      </c>
      <c r="P189" s="125">
        <f t="shared" si="60"/>
        <v>0</v>
      </c>
      <c r="Q189" s="44"/>
      <c r="R189" s="44">
        <f t="shared" si="84"/>
        <v>0</v>
      </c>
      <c r="S189" s="54">
        <v>0</v>
      </c>
      <c r="T189" s="54">
        <v>0</v>
      </c>
      <c r="U189" s="54">
        <v>0</v>
      </c>
      <c r="V189" s="60">
        <v>0</v>
      </c>
      <c r="W189" s="60">
        <v>0</v>
      </c>
      <c r="X189" s="60">
        <v>0</v>
      </c>
      <c r="Y189" s="60">
        <v>0</v>
      </c>
      <c r="Z189" s="60">
        <v>0</v>
      </c>
      <c r="AA189" s="60">
        <f t="shared" si="85"/>
        <v>0</v>
      </c>
      <c r="AB189" s="60">
        <v>0</v>
      </c>
      <c r="AC189" s="43">
        <v>0</v>
      </c>
      <c r="AD189" s="60">
        <v>0</v>
      </c>
      <c r="AE189" s="60"/>
      <c r="AF189" s="60"/>
      <c r="AG189" s="60"/>
      <c r="AH189" s="60">
        <f t="shared" si="86"/>
        <v>75075</v>
      </c>
      <c r="AI189" s="60"/>
      <c r="AJ189" s="60">
        <f>AH189-G189</f>
        <v>75075</v>
      </c>
      <c r="AK189" s="7"/>
      <c r="AL189" s="64">
        <v>0</v>
      </c>
      <c r="AM189" s="64">
        <v>0</v>
      </c>
      <c r="AN189" s="64">
        <v>0</v>
      </c>
      <c r="AO189" s="64">
        <v>0</v>
      </c>
      <c r="AP189" s="64">
        <v>0</v>
      </c>
      <c r="AQ189" s="64">
        <f t="shared" si="87"/>
        <v>0</v>
      </c>
      <c r="AR189" s="59">
        <f t="shared" si="61"/>
        <v>0</v>
      </c>
      <c r="AS189" s="59">
        <f t="shared" si="62"/>
        <v>0</v>
      </c>
      <c r="AT189" s="141">
        <f t="shared" si="63"/>
        <v>0</v>
      </c>
      <c r="AU189" s="141">
        <f t="shared" si="64"/>
        <v>0</v>
      </c>
    </row>
    <row r="190" spans="1:47">
      <c r="A190" s="28" t="s">
        <v>407</v>
      </c>
      <c r="B190" s="27" t="s">
        <v>408</v>
      </c>
      <c r="C190" s="27">
        <v>0</v>
      </c>
      <c r="D190" s="27" t="s">
        <v>2</v>
      </c>
      <c r="E190" s="27"/>
      <c r="F190" s="112">
        <v>2177787</v>
      </c>
      <c r="G190" s="112">
        <v>0</v>
      </c>
      <c r="H190" s="112">
        <v>0</v>
      </c>
      <c r="I190" s="124">
        <v>0</v>
      </c>
      <c r="J190" s="124">
        <v>0</v>
      </c>
      <c r="K190" s="124">
        <v>0</v>
      </c>
      <c r="L190" s="124">
        <v>0</v>
      </c>
      <c r="M190" s="124">
        <v>0</v>
      </c>
      <c r="N190" s="44">
        <f t="shared" si="83"/>
        <v>0</v>
      </c>
      <c r="O190" s="44">
        <v>0</v>
      </c>
      <c r="P190" s="125">
        <f t="shared" si="60"/>
        <v>0</v>
      </c>
      <c r="Q190" s="44"/>
      <c r="R190" s="44">
        <f t="shared" si="84"/>
        <v>0</v>
      </c>
      <c r="S190" s="54">
        <v>0</v>
      </c>
      <c r="T190" s="54">
        <v>0</v>
      </c>
      <c r="U190" s="54">
        <v>0</v>
      </c>
      <c r="V190" s="60">
        <v>0</v>
      </c>
      <c r="W190" s="60">
        <v>0</v>
      </c>
      <c r="X190" s="60">
        <v>0</v>
      </c>
      <c r="Y190" s="60">
        <v>0</v>
      </c>
      <c r="Z190" s="60">
        <v>0</v>
      </c>
      <c r="AA190" s="60">
        <f t="shared" si="85"/>
        <v>0</v>
      </c>
      <c r="AB190" s="60">
        <v>0</v>
      </c>
      <c r="AC190" s="43">
        <v>0</v>
      </c>
      <c r="AD190" s="60">
        <v>0</v>
      </c>
      <c r="AE190" s="60"/>
      <c r="AF190" s="60"/>
      <c r="AG190" s="60"/>
      <c r="AH190" s="60">
        <f t="shared" si="86"/>
        <v>2177787</v>
      </c>
      <c r="AI190" s="60"/>
      <c r="AJ190" s="60"/>
      <c r="AK190" s="7"/>
      <c r="AL190" s="64">
        <v>0</v>
      </c>
      <c r="AM190" s="64">
        <v>0</v>
      </c>
      <c r="AN190" s="64">
        <v>0</v>
      </c>
      <c r="AO190" s="64">
        <v>0</v>
      </c>
      <c r="AP190" s="64">
        <v>0</v>
      </c>
      <c r="AQ190" s="64">
        <f t="shared" si="87"/>
        <v>0</v>
      </c>
      <c r="AR190" s="59">
        <f t="shared" si="61"/>
        <v>0</v>
      </c>
      <c r="AS190" s="59">
        <f t="shared" si="62"/>
        <v>0</v>
      </c>
      <c r="AT190" s="141">
        <f t="shared" si="63"/>
        <v>0</v>
      </c>
      <c r="AU190" s="141">
        <f t="shared" si="64"/>
        <v>0</v>
      </c>
    </row>
    <row r="191" spans="1:47">
      <c r="A191" s="28" t="s">
        <v>409</v>
      </c>
      <c r="B191" s="27" t="s">
        <v>410</v>
      </c>
      <c r="C191" s="27">
        <v>0</v>
      </c>
      <c r="D191" s="27">
        <v>0</v>
      </c>
      <c r="E191" s="27"/>
      <c r="F191" s="112">
        <v>22972</v>
      </c>
      <c r="G191" s="112"/>
      <c r="H191" s="112"/>
      <c r="I191" s="124">
        <v>0</v>
      </c>
      <c r="J191" s="124">
        <v>0</v>
      </c>
      <c r="K191" s="124">
        <v>0</v>
      </c>
      <c r="L191" s="124">
        <v>0</v>
      </c>
      <c r="M191" s="124">
        <v>0</v>
      </c>
      <c r="N191" s="44">
        <f t="shared" si="83"/>
        <v>0</v>
      </c>
      <c r="O191" s="44">
        <v>0</v>
      </c>
      <c r="P191" s="125">
        <f t="shared" si="60"/>
        <v>0</v>
      </c>
      <c r="Q191" s="44"/>
      <c r="R191" s="44">
        <f t="shared" si="84"/>
        <v>0</v>
      </c>
      <c r="S191" s="54">
        <v>0</v>
      </c>
      <c r="T191" s="54">
        <v>0</v>
      </c>
      <c r="U191" s="54">
        <v>0</v>
      </c>
      <c r="V191" s="60">
        <v>0</v>
      </c>
      <c r="W191" s="60">
        <v>0</v>
      </c>
      <c r="X191" s="60">
        <v>0</v>
      </c>
      <c r="Y191" s="60">
        <v>0</v>
      </c>
      <c r="Z191" s="60">
        <v>0</v>
      </c>
      <c r="AA191" s="60">
        <f t="shared" si="85"/>
        <v>0</v>
      </c>
      <c r="AB191" s="60">
        <v>0</v>
      </c>
      <c r="AC191" s="43">
        <v>0</v>
      </c>
      <c r="AD191" s="60">
        <v>0</v>
      </c>
      <c r="AE191" s="60"/>
      <c r="AF191" s="60"/>
      <c r="AG191" s="60"/>
      <c r="AH191" s="60">
        <f t="shared" si="86"/>
        <v>22972</v>
      </c>
      <c r="AI191" s="60"/>
      <c r="AJ191" s="60">
        <f>AH191-G191</f>
        <v>22972</v>
      </c>
      <c r="AK191" s="7"/>
      <c r="AL191" s="64">
        <v>0</v>
      </c>
      <c r="AM191" s="64">
        <v>0</v>
      </c>
      <c r="AN191" s="64">
        <v>0</v>
      </c>
      <c r="AO191" s="64">
        <v>5052.63157894737</v>
      </c>
      <c r="AP191" s="64">
        <v>0</v>
      </c>
      <c r="AQ191" s="64">
        <f t="shared" si="87"/>
        <v>5052.63157894737</v>
      </c>
      <c r="AR191" s="59">
        <f t="shared" si="61"/>
        <v>0</v>
      </c>
      <c r="AS191" s="59">
        <f t="shared" si="62"/>
        <v>0</v>
      </c>
      <c r="AT191" s="141">
        <f t="shared" si="63"/>
        <v>0</v>
      </c>
      <c r="AU191" s="141">
        <f t="shared" si="64"/>
        <v>0</v>
      </c>
    </row>
    <row r="192" spans="1:47">
      <c r="A192" s="28" t="s">
        <v>411</v>
      </c>
      <c r="B192" s="27" t="s">
        <v>412</v>
      </c>
      <c r="C192" s="27" t="s">
        <v>99</v>
      </c>
      <c r="D192" s="27" t="s">
        <v>99</v>
      </c>
      <c r="E192" s="27"/>
      <c r="F192" s="112">
        <v>-188449.78</v>
      </c>
      <c r="G192" s="112">
        <v>0</v>
      </c>
      <c r="H192" s="112">
        <v>68500</v>
      </c>
      <c r="I192" s="124">
        <v>0</v>
      </c>
      <c r="J192" s="124">
        <v>0</v>
      </c>
      <c r="K192" s="124">
        <v>0</v>
      </c>
      <c r="L192" s="124">
        <v>0</v>
      </c>
      <c r="M192" s="124">
        <v>0</v>
      </c>
      <c r="N192" s="44">
        <f t="shared" si="83"/>
        <v>0</v>
      </c>
      <c r="O192" s="44">
        <v>0</v>
      </c>
      <c r="P192" s="125">
        <f t="shared" si="60"/>
        <v>0</v>
      </c>
      <c r="Q192" s="44"/>
      <c r="R192" s="44">
        <f t="shared" si="84"/>
        <v>0</v>
      </c>
      <c r="S192" s="54">
        <v>0</v>
      </c>
      <c r="T192" s="54">
        <v>20</v>
      </c>
      <c r="U192" s="54">
        <v>0</v>
      </c>
      <c r="V192" s="60">
        <v>0</v>
      </c>
      <c r="W192" s="60">
        <v>0</v>
      </c>
      <c r="X192" s="60">
        <v>0</v>
      </c>
      <c r="Y192" s="60">
        <v>0</v>
      </c>
      <c r="Z192" s="60">
        <v>0</v>
      </c>
      <c r="AA192" s="60">
        <f t="shared" si="85"/>
        <v>0</v>
      </c>
      <c r="AB192" s="60">
        <v>0</v>
      </c>
      <c r="AC192" s="43">
        <v>0</v>
      </c>
      <c r="AD192" s="60">
        <v>0</v>
      </c>
      <c r="AE192" s="60"/>
      <c r="AF192" s="60"/>
      <c r="AG192" s="60"/>
      <c r="AH192" s="60">
        <f t="shared" si="86"/>
        <v>-188449.78</v>
      </c>
      <c r="AI192" s="60"/>
      <c r="AJ192" s="60"/>
      <c r="AK192" s="7"/>
      <c r="AL192" s="64">
        <v>0</v>
      </c>
      <c r="AM192" s="64">
        <v>19175.82</v>
      </c>
      <c r="AN192" s="64">
        <v>6000</v>
      </c>
      <c r="AO192" s="64">
        <v>0</v>
      </c>
      <c r="AP192" s="64">
        <v>5307.01754385965</v>
      </c>
      <c r="AQ192" s="64">
        <f t="shared" si="87"/>
        <v>30482.8375438596</v>
      </c>
      <c r="AR192" s="59">
        <f t="shared" si="61"/>
        <v>0</v>
      </c>
      <c r="AS192" s="59">
        <f t="shared" si="62"/>
        <v>0</v>
      </c>
      <c r="AT192" s="141">
        <f t="shared" si="63"/>
        <v>0</v>
      </c>
      <c r="AU192" s="141">
        <f t="shared" si="64"/>
        <v>0</v>
      </c>
    </row>
    <row r="193" spans="1:47">
      <c r="A193" s="28" t="s">
        <v>413</v>
      </c>
      <c r="B193" s="27" t="s">
        <v>414</v>
      </c>
      <c r="C193" s="27" t="s">
        <v>52</v>
      </c>
      <c r="D193" s="27" t="s">
        <v>52</v>
      </c>
      <c r="E193" s="27"/>
      <c r="F193" s="112">
        <v>1454375.37</v>
      </c>
      <c r="G193" s="112">
        <f>F193</f>
        <v>1454375.37</v>
      </c>
      <c r="H193" s="112">
        <v>0</v>
      </c>
      <c r="I193" s="124">
        <v>0</v>
      </c>
      <c r="J193" s="124">
        <v>0</v>
      </c>
      <c r="K193" s="124">
        <v>0</v>
      </c>
      <c r="L193" s="124">
        <v>0</v>
      </c>
      <c r="M193" s="124">
        <v>0</v>
      </c>
      <c r="N193" s="44">
        <f t="shared" si="83"/>
        <v>0</v>
      </c>
      <c r="O193" s="44">
        <v>0</v>
      </c>
      <c r="P193" s="125">
        <f t="shared" si="60"/>
        <v>0</v>
      </c>
      <c r="Q193" s="44"/>
      <c r="R193" s="44">
        <f t="shared" si="84"/>
        <v>0</v>
      </c>
      <c r="S193" s="54">
        <v>0</v>
      </c>
      <c r="T193" s="54">
        <v>20</v>
      </c>
      <c r="U193" s="54">
        <v>0</v>
      </c>
      <c r="V193" s="60">
        <v>0</v>
      </c>
      <c r="W193" s="60">
        <v>0</v>
      </c>
      <c r="X193" s="60">
        <v>0</v>
      </c>
      <c r="Y193" s="60">
        <v>0</v>
      </c>
      <c r="Z193" s="60">
        <v>0</v>
      </c>
      <c r="AA193" s="60">
        <f t="shared" si="85"/>
        <v>0</v>
      </c>
      <c r="AB193" s="60">
        <v>0</v>
      </c>
      <c r="AC193" s="43">
        <v>0</v>
      </c>
      <c r="AD193" s="60">
        <v>0</v>
      </c>
      <c r="AE193" s="60"/>
      <c r="AF193" s="60"/>
      <c r="AG193" s="60"/>
      <c r="AH193" s="60">
        <f t="shared" si="86"/>
        <v>1454375.37</v>
      </c>
      <c r="AI193" s="60"/>
      <c r="AJ193" s="60"/>
      <c r="AK193" s="7"/>
      <c r="AL193" s="64">
        <v>5600</v>
      </c>
      <c r="AM193" s="64">
        <v>3500</v>
      </c>
      <c r="AN193" s="64">
        <v>3500</v>
      </c>
      <c r="AO193" s="64">
        <v>0</v>
      </c>
      <c r="AP193" s="64">
        <v>0</v>
      </c>
      <c r="AQ193" s="64">
        <f t="shared" si="87"/>
        <v>12600</v>
      </c>
      <c r="AR193" s="59">
        <f t="shared" si="61"/>
        <v>0</v>
      </c>
      <c r="AS193" s="59">
        <f t="shared" si="62"/>
        <v>0</v>
      </c>
      <c r="AT193" s="141">
        <f t="shared" si="63"/>
        <v>0</v>
      </c>
      <c r="AU193" s="141">
        <f t="shared" si="64"/>
        <v>0</v>
      </c>
    </row>
    <row r="194" spans="1:47">
      <c r="A194" s="28" t="s">
        <v>415</v>
      </c>
      <c r="B194" s="27" t="s">
        <v>416</v>
      </c>
      <c r="C194" s="27" t="s">
        <v>99</v>
      </c>
      <c r="D194" s="27" t="s">
        <v>99</v>
      </c>
      <c r="E194" s="27"/>
      <c r="F194" s="112">
        <v>467730.46</v>
      </c>
      <c r="G194" s="112">
        <v>737130.46</v>
      </c>
      <c r="H194" s="112">
        <v>735180.46</v>
      </c>
      <c r="I194" s="124">
        <v>0</v>
      </c>
      <c r="J194" s="124">
        <v>0</v>
      </c>
      <c r="K194" s="124">
        <v>0</v>
      </c>
      <c r="L194" s="124">
        <v>0</v>
      </c>
      <c r="M194" s="124">
        <v>0</v>
      </c>
      <c r="N194" s="44">
        <f t="shared" si="83"/>
        <v>0</v>
      </c>
      <c r="O194" s="44">
        <v>0</v>
      </c>
      <c r="P194" s="125">
        <f t="shared" si="60"/>
        <v>0</v>
      </c>
      <c r="Q194" s="44"/>
      <c r="R194" s="44">
        <f t="shared" si="84"/>
        <v>0</v>
      </c>
      <c r="S194" s="54">
        <v>0</v>
      </c>
      <c r="T194" s="54">
        <v>0</v>
      </c>
      <c r="U194" s="54">
        <v>0</v>
      </c>
      <c r="V194" s="60">
        <v>0</v>
      </c>
      <c r="W194" s="60">
        <v>0</v>
      </c>
      <c r="X194" s="60">
        <v>0</v>
      </c>
      <c r="Y194" s="60">
        <v>0</v>
      </c>
      <c r="Z194" s="60">
        <v>0</v>
      </c>
      <c r="AA194" s="60">
        <f t="shared" si="85"/>
        <v>0</v>
      </c>
      <c r="AB194" s="60">
        <v>0</v>
      </c>
      <c r="AC194" s="43">
        <v>0</v>
      </c>
      <c r="AD194" s="60">
        <v>0</v>
      </c>
      <c r="AE194" s="60"/>
      <c r="AF194" s="60"/>
      <c r="AG194" s="60"/>
      <c r="AH194" s="60">
        <f t="shared" si="86"/>
        <v>467730.46</v>
      </c>
      <c r="AI194" s="60"/>
      <c r="AJ194" s="60"/>
      <c r="AK194" s="7"/>
      <c r="AL194" s="64">
        <v>6000</v>
      </c>
      <c r="AM194" s="64">
        <v>0</v>
      </c>
      <c r="AN194" s="64">
        <v>0</v>
      </c>
      <c r="AO194" s="64">
        <v>0</v>
      </c>
      <c r="AP194" s="64">
        <v>0</v>
      </c>
      <c r="AQ194" s="64">
        <f t="shared" si="87"/>
        <v>6000</v>
      </c>
      <c r="AR194" s="59">
        <f t="shared" si="61"/>
        <v>0</v>
      </c>
      <c r="AS194" s="59">
        <f t="shared" si="62"/>
        <v>0</v>
      </c>
      <c r="AT194" s="141">
        <f t="shared" si="63"/>
        <v>0</v>
      </c>
      <c r="AU194" s="141">
        <f t="shared" si="64"/>
        <v>0</v>
      </c>
    </row>
    <row r="195" spans="1:47">
      <c r="A195" s="28" t="s">
        <v>417</v>
      </c>
      <c r="B195" s="27" t="s">
        <v>418</v>
      </c>
      <c r="C195" s="27">
        <v>0</v>
      </c>
      <c r="D195" s="27">
        <v>0</v>
      </c>
      <c r="E195" s="27"/>
      <c r="F195" s="112">
        <v>-0.38</v>
      </c>
      <c r="G195" s="112">
        <v>0</v>
      </c>
      <c r="H195" s="112">
        <v>0</v>
      </c>
      <c r="I195" s="124">
        <v>0</v>
      </c>
      <c r="J195" s="124">
        <v>0</v>
      </c>
      <c r="K195" s="124">
        <v>0</v>
      </c>
      <c r="L195" s="124">
        <v>0</v>
      </c>
      <c r="M195" s="124">
        <v>0</v>
      </c>
      <c r="N195" s="44">
        <f t="shared" si="83"/>
        <v>0</v>
      </c>
      <c r="O195" s="44">
        <v>0</v>
      </c>
      <c r="P195" s="125">
        <f t="shared" si="60"/>
        <v>0</v>
      </c>
      <c r="Q195" s="44"/>
      <c r="R195" s="44">
        <f t="shared" si="84"/>
        <v>0</v>
      </c>
      <c r="S195" s="54">
        <v>0</v>
      </c>
      <c r="T195" s="54">
        <v>0</v>
      </c>
      <c r="U195" s="54">
        <v>0</v>
      </c>
      <c r="V195" s="60">
        <v>0</v>
      </c>
      <c r="W195" s="60">
        <v>0</v>
      </c>
      <c r="X195" s="60">
        <v>0</v>
      </c>
      <c r="Y195" s="60">
        <v>0</v>
      </c>
      <c r="Z195" s="60">
        <v>0</v>
      </c>
      <c r="AA195" s="60">
        <f t="shared" si="85"/>
        <v>0</v>
      </c>
      <c r="AB195" s="60">
        <v>0</v>
      </c>
      <c r="AC195" s="43">
        <v>0</v>
      </c>
      <c r="AD195" s="60">
        <v>0</v>
      </c>
      <c r="AE195" s="60"/>
      <c r="AF195" s="60"/>
      <c r="AG195" s="60"/>
      <c r="AH195" s="60">
        <f t="shared" si="86"/>
        <v>-0.38</v>
      </c>
      <c r="AI195" s="60"/>
      <c r="AJ195" s="60">
        <f>AH195-G195</f>
        <v>-0.38</v>
      </c>
      <c r="AK195" s="7"/>
      <c r="AL195" s="64">
        <v>0</v>
      </c>
      <c r="AM195" s="64">
        <v>0</v>
      </c>
      <c r="AN195" s="64">
        <v>0</v>
      </c>
      <c r="AO195" s="64">
        <v>0</v>
      </c>
      <c r="AP195" s="64">
        <v>0</v>
      </c>
      <c r="AQ195" s="64">
        <f t="shared" si="87"/>
        <v>0</v>
      </c>
      <c r="AR195" s="59">
        <f t="shared" si="61"/>
        <v>0</v>
      </c>
      <c r="AS195" s="59">
        <f t="shared" si="62"/>
        <v>0</v>
      </c>
      <c r="AT195" s="141">
        <f t="shared" si="63"/>
        <v>0</v>
      </c>
      <c r="AU195" s="141">
        <f t="shared" si="64"/>
        <v>0</v>
      </c>
    </row>
    <row r="196" spans="1:47">
      <c r="A196" s="28" t="s">
        <v>419</v>
      </c>
      <c r="B196" s="27" t="s">
        <v>420</v>
      </c>
      <c r="C196" s="27">
        <v>0</v>
      </c>
      <c r="D196" s="27">
        <v>0</v>
      </c>
      <c r="E196" s="27"/>
      <c r="F196" s="112">
        <v>50209</v>
      </c>
      <c r="G196" s="112">
        <v>0</v>
      </c>
      <c r="H196" s="112">
        <v>0</v>
      </c>
      <c r="I196" s="124">
        <v>0</v>
      </c>
      <c r="J196" s="124">
        <v>0</v>
      </c>
      <c r="K196" s="124">
        <v>0</v>
      </c>
      <c r="L196" s="124">
        <v>0</v>
      </c>
      <c r="M196" s="124">
        <v>0</v>
      </c>
      <c r="N196" s="44">
        <f t="shared" si="83"/>
        <v>0</v>
      </c>
      <c r="O196" s="44">
        <v>0</v>
      </c>
      <c r="P196" s="125">
        <f t="shared" si="60"/>
        <v>0</v>
      </c>
      <c r="Q196" s="44"/>
      <c r="R196" s="44">
        <f t="shared" si="84"/>
        <v>0</v>
      </c>
      <c r="S196" s="54">
        <v>0</v>
      </c>
      <c r="T196" s="54">
        <v>0</v>
      </c>
      <c r="U196" s="54">
        <v>0</v>
      </c>
      <c r="V196" s="60">
        <v>0</v>
      </c>
      <c r="W196" s="60">
        <v>0</v>
      </c>
      <c r="X196" s="60">
        <v>0</v>
      </c>
      <c r="Y196" s="60">
        <v>0</v>
      </c>
      <c r="Z196" s="60">
        <v>0</v>
      </c>
      <c r="AA196" s="60">
        <f t="shared" si="85"/>
        <v>0</v>
      </c>
      <c r="AB196" s="60">
        <v>0</v>
      </c>
      <c r="AC196" s="43">
        <v>0</v>
      </c>
      <c r="AD196" s="60">
        <v>0</v>
      </c>
      <c r="AE196" s="60"/>
      <c r="AF196" s="60"/>
      <c r="AG196" s="60"/>
      <c r="AH196" s="60">
        <f t="shared" si="86"/>
        <v>50209</v>
      </c>
      <c r="AI196" s="60"/>
      <c r="AJ196" s="60">
        <f>AH196-G196</f>
        <v>50209</v>
      </c>
      <c r="AK196" s="7"/>
      <c r="AL196" s="64">
        <v>0</v>
      </c>
      <c r="AM196" s="64">
        <v>0</v>
      </c>
      <c r="AN196" s="64">
        <v>0</v>
      </c>
      <c r="AO196" s="64">
        <v>0</v>
      </c>
      <c r="AP196" s="64">
        <v>0</v>
      </c>
      <c r="AQ196" s="64">
        <f t="shared" si="87"/>
        <v>0</v>
      </c>
      <c r="AR196" s="59">
        <f t="shared" si="61"/>
        <v>0</v>
      </c>
      <c r="AS196" s="59">
        <f t="shared" si="62"/>
        <v>0</v>
      </c>
      <c r="AT196" s="141">
        <f t="shared" si="63"/>
        <v>0</v>
      </c>
      <c r="AU196" s="141">
        <f t="shared" si="64"/>
        <v>0</v>
      </c>
    </row>
    <row r="197" spans="1:47">
      <c r="A197" s="28" t="s">
        <v>421</v>
      </c>
      <c r="B197" s="27" t="s">
        <v>422</v>
      </c>
      <c r="C197" s="27" t="s">
        <v>49</v>
      </c>
      <c r="D197" s="27" t="s">
        <v>49</v>
      </c>
      <c r="E197" s="27"/>
      <c r="F197" s="112">
        <v>25150</v>
      </c>
      <c r="G197" s="112"/>
      <c r="H197" s="112"/>
      <c r="I197" s="124">
        <v>25</v>
      </c>
      <c r="J197" s="124">
        <v>0</v>
      </c>
      <c r="K197" s="124">
        <v>0</v>
      </c>
      <c r="L197" s="124">
        <v>0</v>
      </c>
      <c r="M197" s="124">
        <v>0</v>
      </c>
      <c r="N197" s="44">
        <f t="shared" si="83"/>
        <v>25</v>
      </c>
      <c r="O197" s="44">
        <v>122500</v>
      </c>
      <c r="P197" s="125">
        <f t="shared" si="60"/>
        <v>122500</v>
      </c>
      <c r="Q197" s="44"/>
      <c r="R197" s="44">
        <f t="shared" si="84"/>
        <v>122500</v>
      </c>
      <c r="S197" s="54">
        <v>0</v>
      </c>
      <c r="T197" s="54">
        <v>50</v>
      </c>
      <c r="U197" s="54">
        <v>0</v>
      </c>
      <c r="V197" s="60">
        <v>25</v>
      </c>
      <c r="W197" s="60">
        <v>0</v>
      </c>
      <c r="X197" s="60">
        <v>0</v>
      </c>
      <c r="Y197" s="60">
        <v>0</v>
      </c>
      <c r="Z197" s="60">
        <v>0</v>
      </c>
      <c r="AA197" s="60">
        <f t="shared" si="85"/>
        <v>25</v>
      </c>
      <c r="AB197" s="60">
        <v>137500</v>
      </c>
      <c r="AC197" s="43">
        <v>130000</v>
      </c>
      <c r="AD197" s="60">
        <v>0</v>
      </c>
      <c r="AE197" s="60"/>
      <c r="AF197" s="60"/>
      <c r="AG197" s="60"/>
      <c r="AH197" s="60">
        <f t="shared" si="86"/>
        <v>32650</v>
      </c>
      <c r="AI197" s="60"/>
      <c r="AJ197" s="60">
        <f>AH197-G197</f>
        <v>32650</v>
      </c>
      <c r="AK197" s="7"/>
      <c r="AL197" s="64">
        <v>5000</v>
      </c>
      <c r="AM197" s="64">
        <v>25000</v>
      </c>
      <c r="AN197" s="64">
        <v>25000</v>
      </c>
      <c r="AO197" s="64">
        <v>0</v>
      </c>
      <c r="AP197" s="64">
        <v>0</v>
      </c>
      <c r="AQ197" s="64">
        <f t="shared" si="87"/>
        <v>55000</v>
      </c>
      <c r="AR197" s="59">
        <f t="shared" si="61"/>
        <v>0</v>
      </c>
      <c r="AS197" s="59">
        <f t="shared" si="62"/>
        <v>0</v>
      </c>
      <c r="AT197" s="141">
        <f t="shared" si="63"/>
        <v>0</v>
      </c>
      <c r="AU197" s="141">
        <f t="shared" si="64"/>
        <v>0</v>
      </c>
    </row>
    <row r="198" spans="1:47">
      <c r="A198" s="115" t="s">
        <v>423</v>
      </c>
      <c r="B198" s="119">
        <f>SUM(B188:B197)</f>
        <v>0</v>
      </c>
      <c r="C198" s="27">
        <v>0</v>
      </c>
      <c r="D198" s="27">
        <v>0</v>
      </c>
      <c r="E198" s="27"/>
      <c r="F198" s="119">
        <f>SUM(F90:F197)</f>
        <v>32151586.07</v>
      </c>
      <c r="G198" s="119">
        <f>SUM(G90:G197)</f>
        <v>22300210.05</v>
      </c>
      <c r="H198" s="119">
        <f>SUM(H90:H197)</f>
        <v>65667722.1266667</v>
      </c>
      <c r="I198" s="119">
        <f t="shared" ref="I198:AD198" si="88">SUM(I188:I197)</f>
        <v>25</v>
      </c>
      <c r="J198" s="119">
        <f t="shared" si="88"/>
        <v>0</v>
      </c>
      <c r="K198" s="119">
        <f t="shared" si="88"/>
        <v>0</v>
      </c>
      <c r="L198" s="119">
        <f t="shared" si="88"/>
        <v>0</v>
      </c>
      <c r="M198" s="119">
        <f t="shared" si="88"/>
        <v>0</v>
      </c>
      <c r="N198" s="119">
        <f t="shared" si="88"/>
        <v>25</v>
      </c>
      <c r="O198" s="119">
        <f t="shared" si="88"/>
        <v>122500</v>
      </c>
      <c r="P198" s="119">
        <f t="shared" si="88"/>
        <v>122500</v>
      </c>
      <c r="Q198" s="119">
        <f t="shared" si="88"/>
        <v>0</v>
      </c>
      <c r="R198" s="119">
        <f t="shared" si="88"/>
        <v>122500</v>
      </c>
      <c r="S198" s="119">
        <f t="shared" si="88"/>
        <v>0</v>
      </c>
      <c r="T198" s="119">
        <f t="shared" si="88"/>
        <v>90</v>
      </c>
      <c r="U198" s="119">
        <f t="shared" si="88"/>
        <v>0</v>
      </c>
      <c r="V198" s="119">
        <f>SUM(V188:V197)</f>
        <v>25</v>
      </c>
      <c r="W198" s="119">
        <f>SUM(W188:W197)</f>
        <v>0</v>
      </c>
      <c r="X198" s="119">
        <f>SUM(X188:X197)</f>
        <v>0</v>
      </c>
      <c r="Y198" s="119">
        <f>SUM(Y188:Y197)</f>
        <v>0</v>
      </c>
      <c r="Z198" s="119">
        <f>SUM(Z188:Z197)</f>
        <v>0</v>
      </c>
      <c r="AA198" s="119">
        <f>SUM(AA188:AA197)</f>
        <v>25</v>
      </c>
      <c r="AB198" s="119">
        <f>SUM(AB188:AB197)</f>
        <v>137500</v>
      </c>
      <c r="AC198" s="119">
        <f>SUM(AC188:AC197)</f>
        <v>130000</v>
      </c>
      <c r="AD198" s="119">
        <f>SUM(AD188:AD197)</f>
        <v>0</v>
      </c>
      <c r="AE198" s="119"/>
      <c r="AF198" s="119">
        <f>SUM(AF188:AF197)</f>
        <v>0</v>
      </c>
      <c r="AG198" s="119"/>
      <c r="AH198" s="119">
        <f>SUM(AH188:AH197)</f>
        <v>4093148.67</v>
      </c>
      <c r="AI198" s="119"/>
      <c r="AJ198" s="119">
        <f>SUM(AJ188:AJ197)</f>
        <v>181705.62</v>
      </c>
      <c r="AK198" s="135"/>
      <c r="AL198" s="119">
        <f t="shared" ref="AL198:BH198" si="89">SUM(AL188:AL197)</f>
        <v>16600</v>
      </c>
      <c r="AM198" s="119">
        <f t="shared" si="89"/>
        <v>47675.82</v>
      </c>
      <c r="AN198" s="119">
        <f t="shared" si="89"/>
        <v>34500</v>
      </c>
      <c r="AO198" s="119">
        <f t="shared" si="89"/>
        <v>5052.63157894737</v>
      </c>
      <c r="AP198" s="119">
        <f t="shared" si="89"/>
        <v>5307.01754385965</v>
      </c>
      <c r="AQ198" s="143">
        <f t="shared" si="89"/>
        <v>109135.469122807</v>
      </c>
      <c r="AR198" s="119">
        <f t="shared" si="89"/>
        <v>0</v>
      </c>
      <c r="AS198" s="119">
        <f t="shared" si="89"/>
        <v>0</v>
      </c>
      <c r="AT198" s="141">
        <f t="shared" si="63"/>
        <v>0</v>
      </c>
      <c r="AU198" s="141">
        <f t="shared" si="64"/>
        <v>0</v>
      </c>
    </row>
    <row r="199" spans="1:47">
      <c r="A199" s="113" t="s">
        <v>424</v>
      </c>
      <c r="B199" s="27" t="s">
        <v>425</v>
      </c>
      <c r="C199" s="27" t="s">
        <v>2</v>
      </c>
      <c r="D199" s="27" t="s">
        <v>2</v>
      </c>
      <c r="E199" s="27"/>
      <c r="F199" s="112">
        <v>329191</v>
      </c>
      <c r="G199" s="112">
        <v>0</v>
      </c>
      <c r="H199" s="112">
        <v>281000</v>
      </c>
      <c r="I199" s="124">
        <v>20</v>
      </c>
      <c r="J199" s="124">
        <v>0</v>
      </c>
      <c r="K199" s="124">
        <v>2</v>
      </c>
      <c r="L199" s="124">
        <v>0</v>
      </c>
      <c r="M199" s="124">
        <v>0</v>
      </c>
      <c r="N199" s="44">
        <f t="shared" ref="N199:N227" si="90">SUM(I199:M199)</f>
        <v>22</v>
      </c>
      <c r="O199" s="44">
        <v>264000</v>
      </c>
      <c r="P199" s="125">
        <f t="shared" si="60"/>
        <v>264000</v>
      </c>
      <c r="Q199" s="44"/>
      <c r="R199" s="44">
        <f>P199+Q199</f>
        <v>264000</v>
      </c>
      <c r="S199" s="54">
        <v>297833.55</v>
      </c>
      <c r="T199" s="54">
        <v>0</v>
      </c>
      <c r="U199" s="54">
        <v>0</v>
      </c>
      <c r="V199" s="60">
        <v>10</v>
      </c>
      <c r="W199" s="60">
        <v>0</v>
      </c>
      <c r="X199" s="60">
        <v>2</v>
      </c>
      <c r="Y199" s="60">
        <v>0</v>
      </c>
      <c r="Z199" s="60">
        <v>0</v>
      </c>
      <c r="AA199" s="60">
        <f t="shared" ref="AA199:AA227" si="91">V199+W199+X199+Y199+Z199</f>
        <v>12</v>
      </c>
      <c r="AB199" s="60">
        <v>165900</v>
      </c>
      <c r="AC199" s="43">
        <v>110000</v>
      </c>
      <c r="AD199" s="60">
        <v>0</v>
      </c>
      <c r="AE199" s="60"/>
      <c r="AF199" s="60"/>
      <c r="AG199" s="60"/>
      <c r="AH199" s="60">
        <f>F199+AB199-AC199-AE199-AD199-AF199-AG199</f>
        <v>385091</v>
      </c>
      <c r="AI199" s="60">
        <f>AH199-AQ199-H199</f>
        <v>72733.55</v>
      </c>
      <c r="AJ199" s="60">
        <f t="shared" ref="AJ199:AJ204" si="92">AH199-G199</f>
        <v>385091</v>
      </c>
      <c r="AK199" s="7"/>
      <c r="AL199" s="64">
        <v>18829.24</v>
      </c>
      <c r="AM199" s="64">
        <v>12528.21</v>
      </c>
      <c r="AN199" s="64">
        <v>0</v>
      </c>
      <c r="AO199" s="64">
        <v>0</v>
      </c>
      <c r="AP199" s="64">
        <v>0</v>
      </c>
      <c r="AQ199" s="64">
        <f t="shared" ref="AQ199:AQ227" si="93">AL199+AM199+AN199+AO199+AP199</f>
        <v>31357.45</v>
      </c>
      <c r="AR199" s="59">
        <f t="shared" si="61"/>
        <v>10</v>
      </c>
      <c r="AS199" s="59">
        <f t="shared" si="62"/>
        <v>0</v>
      </c>
      <c r="AT199" s="141">
        <f t="shared" si="63"/>
        <v>0.769230769230769</v>
      </c>
      <c r="AU199" s="141">
        <f t="shared" si="64"/>
        <v>0</v>
      </c>
    </row>
    <row r="200" spans="1:47">
      <c r="A200" s="28" t="s">
        <v>426</v>
      </c>
      <c r="B200" s="27" t="s">
        <v>427</v>
      </c>
      <c r="C200" s="27">
        <v>0</v>
      </c>
      <c r="D200" s="27"/>
      <c r="E200" s="27"/>
      <c r="F200" s="112">
        <v>0</v>
      </c>
      <c r="G200" s="112"/>
      <c r="H200" s="112"/>
      <c r="I200" s="124">
        <v>0</v>
      </c>
      <c r="J200" s="124">
        <v>0</v>
      </c>
      <c r="K200" s="124">
        <v>0</v>
      </c>
      <c r="L200" s="124">
        <v>0</v>
      </c>
      <c r="M200" s="124">
        <v>0</v>
      </c>
      <c r="N200" s="44">
        <f t="shared" si="90"/>
        <v>0</v>
      </c>
      <c r="O200" s="44">
        <v>0</v>
      </c>
      <c r="P200" s="125">
        <f t="shared" si="60"/>
        <v>0</v>
      </c>
      <c r="Q200" s="44"/>
      <c r="R200" s="44"/>
      <c r="S200" s="54">
        <v>0</v>
      </c>
      <c r="T200" s="54">
        <v>0</v>
      </c>
      <c r="U200" s="54">
        <v>0</v>
      </c>
      <c r="V200" s="60">
        <v>0</v>
      </c>
      <c r="W200" s="60">
        <v>0</v>
      </c>
      <c r="X200" s="60">
        <v>0</v>
      </c>
      <c r="Y200" s="60">
        <v>0</v>
      </c>
      <c r="Z200" s="60">
        <v>0</v>
      </c>
      <c r="AA200" s="60">
        <f t="shared" si="91"/>
        <v>0</v>
      </c>
      <c r="AB200" s="60">
        <v>0</v>
      </c>
      <c r="AC200" s="43">
        <v>0</v>
      </c>
      <c r="AD200" s="60">
        <v>0</v>
      </c>
      <c r="AE200" s="60"/>
      <c r="AF200" s="60"/>
      <c r="AG200" s="60"/>
      <c r="AH200" s="60"/>
      <c r="AI200" s="60"/>
      <c r="AJ200" s="60">
        <f t="shared" si="92"/>
        <v>0</v>
      </c>
      <c r="AK200" s="7"/>
      <c r="AL200" s="64">
        <v>0</v>
      </c>
      <c r="AM200" s="64">
        <v>0</v>
      </c>
      <c r="AN200" s="64">
        <v>0</v>
      </c>
      <c r="AO200" s="64">
        <v>0</v>
      </c>
      <c r="AP200" s="64">
        <v>0</v>
      </c>
      <c r="AQ200" s="64">
        <f t="shared" si="93"/>
        <v>0</v>
      </c>
      <c r="AR200" s="59">
        <f t="shared" si="61"/>
        <v>0</v>
      </c>
      <c r="AS200" s="59">
        <f t="shared" si="62"/>
        <v>0</v>
      </c>
      <c r="AT200" s="141">
        <f t="shared" si="63"/>
        <v>0</v>
      </c>
      <c r="AU200" s="141">
        <f t="shared" si="64"/>
        <v>0</v>
      </c>
    </row>
    <row r="201" spans="1:47">
      <c r="A201" s="28" t="s">
        <v>428</v>
      </c>
      <c r="B201" s="27" t="s">
        <v>429</v>
      </c>
      <c r="C201" s="27" t="s">
        <v>2</v>
      </c>
      <c r="D201" s="27" t="s">
        <v>2</v>
      </c>
      <c r="E201" s="27"/>
      <c r="F201" s="112">
        <v>139267</v>
      </c>
      <c r="G201" s="112">
        <v>0</v>
      </c>
      <c r="H201" s="112">
        <v>0</v>
      </c>
      <c r="I201" s="124">
        <v>10</v>
      </c>
      <c r="J201" s="124">
        <v>0</v>
      </c>
      <c r="K201" s="124">
        <v>0</v>
      </c>
      <c r="L201" s="124">
        <v>0</v>
      </c>
      <c r="M201" s="124">
        <v>0</v>
      </c>
      <c r="N201" s="44">
        <f t="shared" si="90"/>
        <v>10</v>
      </c>
      <c r="O201" s="44">
        <v>132000</v>
      </c>
      <c r="P201" s="125">
        <f t="shared" ref="P201:P266" si="94">O201</f>
        <v>132000</v>
      </c>
      <c r="Q201" s="44"/>
      <c r="R201" s="44">
        <f t="shared" ref="R201:R227" si="95">P201+Q201</f>
        <v>132000</v>
      </c>
      <c r="S201" s="54">
        <v>130392</v>
      </c>
      <c r="T201" s="54">
        <v>0</v>
      </c>
      <c r="U201" s="54">
        <v>0</v>
      </c>
      <c r="V201" s="60">
        <v>0</v>
      </c>
      <c r="W201" s="60">
        <v>0</v>
      </c>
      <c r="X201" s="60">
        <v>0</v>
      </c>
      <c r="Y201" s="60">
        <v>0</v>
      </c>
      <c r="Z201" s="60">
        <v>0</v>
      </c>
      <c r="AA201" s="60">
        <f t="shared" si="91"/>
        <v>0</v>
      </c>
      <c r="AB201" s="60">
        <v>0</v>
      </c>
      <c r="AC201" s="43">
        <v>0</v>
      </c>
      <c r="AD201" s="60">
        <v>0</v>
      </c>
      <c r="AE201" s="60"/>
      <c r="AF201" s="60"/>
      <c r="AG201" s="60"/>
      <c r="AH201" s="60">
        <f t="shared" ref="AH201:AH227" si="96">F201+AB201-AC201-AE201-AD201-AF201-AG201</f>
        <v>139267</v>
      </c>
      <c r="AI201" s="60"/>
      <c r="AJ201" s="60">
        <f t="shared" si="92"/>
        <v>139267</v>
      </c>
      <c r="AK201" s="7"/>
      <c r="AL201" s="64">
        <v>3625</v>
      </c>
      <c r="AM201" s="64">
        <v>0</v>
      </c>
      <c r="AN201" s="64">
        <v>5250</v>
      </c>
      <c r="AO201" s="64">
        <v>0</v>
      </c>
      <c r="AP201" s="64">
        <v>0</v>
      </c>
      <c r="AQ201" s="64">
        <f t="shared" si="93"/>
        <v>8875</v>
      </c>
      <c r="AR201" s="59">
        <f t="shared" ref="AR201:AR266" si="97">I201+J201-V201-W201</f>
        <v>10</v>
      </c>
      <c r="AS201" s="59">
        <f t="shared" ref="AS201:AS266" si="98">K201-X201</f>
        <v>0</v>
      </c>
      <c r="AT201" s="141">
        <f t="shared" ref="AT201:AT264" si="99">AR201/13</f>
        <v>0.769230769230769</v>
      </c>
      <c r="AU201" s="141">
        <f t="shared" ref="AU201:AU264" si="100">AS201/13</f>
        <v>0</v>
      </c>
    </row>
    <row r="202" spans="1:47">
      <c r="A202" s="28" t="s">
        <v>430</v>
      </c>
      <c r="B202" s="27" t="s">
        <v>431</v>
      </c>
      <c r="C202" s="27">
        <v>0</v>
      </c>
      <c r="D202" s="27" t="s">
        <v>99</v>
      </c>
      <c r="E202" s="27"/>
      <c r="F202" s="112">
        <v>-4442</v>
      </c>
      <c r="G202" s="112">
        <v>0</v>
      </c>
      <c r="H202" s="112">
        <v>0</v>
      </c>
      <c r="I202" s="124">
        <v>0</v>
      </c>
      <c r="J202" s="124">
        <v>0</v>
      </c>
      <c r="K202" s="124">
        <v>0</v>
      </c>
      <c r="L202" s="124">
        <v>0</v>
      </c>
      <c r="M202" s="124">
        <v>0</v>
      </c>
      <c r="N202" s="44">
        <f t="shared" si="90"/>
        <v>0</v>
      </c>
      <c r="O202" s="44">
        <v>0</v>
      </c>
      <c r="P202" s="125">
        <f t="shared" si="94"/>
        <v>0</v>
      </c>
      <c r="Q202" s="44"/>
      <c r="R202" s="44">
        <f t="shared" si="95"/>
        <v>0</v>
      </c>
      <c r="S202" s="54">
        <v>0</v>
      </c>
      <c r="T202" s="54">
        <v>0</v>
      </c>
      <c r="U202" s="54">
        <v>0</v>
      </c>
      <c r="V202" s="60">
        <v>0</v>
      </c>
      <c r="W202" s="60">
        <v>0</v>
      </c>
      <c r="X202" s="60">
        <v>0</v>
      </c>
      <c r="Y202" s="60">
        <v>0</v>
      </c>
      <c r="Z202" s="60">
        <v>0</v>
      </c>
      <c r="AA202" s="60">
        <f t="shared" si="91"/>
        <v>0</v>
      </c>
      <c r="AB202" s="60">
        <v>0</v>
      </c>
      <c r="AC202" s="43">
        <v>0</v>
      </c>
      <c r="AD202" s="60">
        <v>0</v>
      </c>
      <c r="AE202" s="60"/>
      <c r="AF202" s="60"/>
      <c r="AG202" s="60"/>
      <c r="AH202" s="60">
        <f t="shared" si="96"/>
        <v>-4442</v>
      </c>
      <c r="AI202" s="60"/>
      <c r="AJ202" s="60">
        <f t="shared" si="92"/>
        <v>-4442</v>
      </c>
      <c r="AK202" s="7"/>
      <c r="AL202" s="64">
        <v>0</v>
      </c>
      <c r="AM202" s="64">
        <v>0</v>
      </c>
      <c r="AN202" s="64">
        <v>0</v>
      </c>
      <c r="AO202" s="64">
        <v>0</v>
      </c>
      <c r="AP202" s="64">
        <v>0</v>
      </c>
      <c r="AQ202" s="64">
        <f t="shared" si="93"/>
        <v>0</v>
      </c>
      <c r="AR202" s="59">
        <f t="shared" si="97"/>
        <v>0</v>
      </c>
      <c r="AS202" s="59">
        <f t="shared" si="98"/>
        <v>0</v>
      </c>
      <c r="AT202" s="141">
        <f t="shared" si="99"/>
        <v>0</v>
      </c>
      <c r="AU202" s="141">
        <f t="shared" si="100"/>
        <v>0</v>
      </c>
    </row>
    <row r="203" spans="1:47">
      <c r="A203" s="28" t="s">
        <v>432</v>
      </c>
      <c r="B203" s="27" t="s">
        <v>433</v>
      </c>
      <c r="C203" s="27" t="s">
        <v>2</v>
      </c>
      <c r="D203" s="27" t="s">
        <v>2</v>
      </c>
      <c r="E203" s="27"/>
      <c r="F203" s="112">
        <v>220388.01</v>
      </c>
      <c r="G203" s="112">
        <v>0</v>
      </c>
      <c r="H203" s="112">
        <v>702500</v>
      </c>
      <c r="I203" s="124">
        <v>60</v>
      </c>
      <c r="J203" s="124">
        <v>0</v>
      </c>
      <c r="K203" s="124">
        <v>0</v>
      </c>
      <c r="L203" s="124">
        <v>0</v>
      </c>
      <c r="M203" s="124">
        <v>0</v>
      </c>
      <c r="N203" s="44">
        <f t="shared" si="90"/>
        <v>60</v>
      </c>
      <c r="O203" s="44">
        <v>792000</v>
      </c>
      <c r="P203" s="125">
        <f t="shared" si="94"/>
        <v>792000</v>
      </c>
      <c r="Q203" s="44"/>
      <c r="R203" s="44">
        <f t="shared" si="95"/>
        <v>792000</v>
      </c>
      <c r="S203" s="54">
        <v>0</v>
      </c>
      <c r="T203" s="54">
        <v>50</v>
      </c>
      <c r="U203" s="54">
        <v>0</v>
      </c>
      <c r="V203" s="60">
        <v>50</v>
      </c>
      <c r="W203" s="60">
        <v>0</v>
      </c>
      <c r="X203" s="60">
        <v>0</v>
      </c>
      <c r="Y203" s="60">
        <v>0</v>
      </c>
      <c r="Z203" s="60">
        <v>0</v>
      </c>
      <c r="AA203" s="60">
        <f t="shared" si="91"/>
        <v>50</v>
      </c>
      <c r="AB203" s="60">
        <v>712500</v>
      </c>
      <c r="AC203" s="43">
        <v>0</v>
      </c>
      <c r="AD203" s="60">
        <v>0</v>
      </c>
      <c r="AE203" s="60"/>
      <c r="AF203" s="60"/>
      <c r="AG203" s="60"/>
      <c r="AH203" s="60">
        <f t="shared" si="96"/>
        <v>932888.01</v>
      </c>
      <c r="AI203" s="60">
        <f>AH203-AQ203-H203</f>
        <v>177138.01</v>
      </c>
      <c r="AJ203" s="60">
        <f t="shared" si="92"/>
        <v>932888.01</v>
      </c>
      <c r="AK203" s="7"/>
      <c r="AL203" s="64">
        <v>16500</v>
      </c>
      <c r="AM203" s="64">
        <v>21000</v>
      </c>
      <c r="AN203" s="64">
        <v>15750</v>
      </c>
      <c r="AO203" s="64">
        <v>0</v>
      </c>
      <c r="AP203" s="64">
        <v>0</v>
      </c>
      <c r="AQ203" s="64">
        <f t="shared" si="93"/>
        <v>53250</v>
      </c>
      <c r="AR203" s="59">
        <f t="shared" si="97"/>
        <v>10</v>
      </c>
      <c r="AS203" s="59">
        <f t="shared" si="98"/>
        <v>0</v>
      </c>
      <c r="AT203" s="141">
        <f t="shared" si="99"/>
        <v>0.769230769230769</v>
      </c>
      <c r="AU203" s="141">
        <f t="shared" si="100"/>
        <v>0</v>
      </c>
    </row>
    <row r="204" spans="1:47">
      <c r="A204" s="28" t="s">
        <v>434</v>
      </c>
      <c r="B204" s="27" t="s">
        <v>435</v>
      </c>
      <c r="C204" s="27" t="s">
        <v>99</v>
      </c>
      <c r="D204" s="27" t="s">
        <v>99</v>
      </c>
      <c r="E204" s="27"/>
      <c r="F204" s="112">
        <v>791804</v>
      </c>
      <c r="G204" s="112">
        <v>0</v>
      </c>
      <c r="H204" s="112">
        <v>0</v>
      </c>
      <c r="I204" s="124">
        <v>100</v>
      </c>
      <c r="J204" s="124">
        <v>0</v>
      </c>
      <c r="K204" s="124">
        <v>0</v>
      </c>
      <c r="L204" s="124">
        <v>0</v>
      </c>
      <c r="M204" s="124">
        <v>0</v>
      </c>
      <c r="N204" s="44">
        <f t="shared" si="90"/>
        <v>100</v>
      </c>
      <c r="O204" s="44">
        <v>1310000</v>
      </c>
      <c r="P204" s="125">
        <f t="shared" si="94"/>
        <v>1310000</v>
      </c>
      <c r="Q204" s="44"/>
      <c r="R204" s="44">
        <f t="shared" si="95"/>
        <v>1310000</v>
      </c>
      <c r="S204" s="54">
        <v>544980.315789474</v>
      </c>
      <c r="T204" s="54">
        <v>100</v>
      </c>
      <c r="U204" s="54">
        <v>0</v>
      </c>
      <c r="V204" s="60">
        <v>40</v>
      </c>
      <c r="W204" s="60">
        <v>0</v>
      </c>
      <c r="X204" s="60">
        <v>0</v>
      </c>
      <c r="Y204" s="60">
        <v>0</v>
      </c>
      <c r="Z204" s="60">
        <v>0</v>
      </c>
      <c r="AA204" s="60">
        <f t="shared" si="91"/>
        <v>40</v>
      </c>
      <c r="AB204" s="60">
        <v>570000</v>
      </c>
      <c r="AC204" s="43">
        <v>0</v>
      </c>
      <c r="AD204" s="60">
        <v>0</v>
      </c>
      <c r="AE204" s="60"/>
      <c r="AF204" s="60"/>
      <c r="AG204" s="60"/>
      <c r="AH204" s="60">
        <f t="shared" si="96"/>
        <v>1361804</v>
      </c>
      <c r="AI204" s="60">
        <f>AH204-AQ204-H204</f>
        <v>1114980.31578947</v>
      </c>
      <c r="AJ204" s="60">
        <f t="shared" si="92"/>
        <v>1361804</v>
      </c>
      <c r="AK204" s="7"/>
      <c r="AL204" s="64">
        <v>90000</v>
      </c>
      <c r="AM204" s="64">
        <v>63750</v>
      </c>
      <c r="AN204" s="64">
        <v>70000</v>
      </c>
      <c r="AO204" s="64">
        <v>3775.43859649123</v>
      </c>
      <c r="AP204" s="64">
        <v>19298.2456140351</v>
      </c>
      <c r="AQ204" s="64">
        <f t="shared" si="93"/>
        <v>246823.684210526</v>
      </c>
      <c r="AR204" s="59">
        <f t="shared" si="97"/>
        <v>60</v>
      </c>
      <c r="AS204" s="59">
        <f t="shared" si="98"/>
        <v>0</v>
      </c>
      <c r="AT204" s="141">
        <f t="shared" si="99"/>
        <v>4.61538461538461</v>
      </c>
      <c r="AU204" s="141">
        <f t="shared" si="100"/>
        <v>0</v>
      </c>
    </row>
    <row r="205" spans="1:47">
      <c r="A205" s="28" t="s">
        <v>436</v>
      </c>
      <c r="B205" s="27" t="s">
        <v>437</v>
      </c>
      <c r="C205" s="27" t="s">
        <v>2</v>
      </c>
      <c r="D205" s="27" t="s">
        <v>2</v>
      </c>
      <c r="E205" s="27"/>
      <c r="F205" s="112">
        <v>99455.76</v>
      </c>
      <c r="G205" s="112">
        <v>0</v>
      </c>
      <c r="H205" s="112">
        <v>281000</v>
      </c>
      <c r="I205" s="124">
        <v>36</v>
      </c>
      <c r="J205" s="124">
        <v>0</v>
      </c>
      <c r="K205" s="124">
        <v>0</v>
      </c>
      <c r="L205" s="124">
        <v>0</v>
      </c>
      <c r="M205" s="124">
        <v>0</v>
      </c>
      <c r="N205" s="44">
        <f t="shared" si="90"/>
        <v>36</v>
      </c>
      <c r="O205" s="44">
        <v>478800</v>
      </c>
      <c r="P205" s="125">
        <f t="shared" si="94"/>
        <v>478800</v>
      </c>
      <c r="Q205" s="44"/>
      <c r="R205" s="44">
        <f t="shared" si="95"/>
        <v>478800</v>
      </c>
      <c r="S205" s="54">
        <v>0</v>
      </c>
      <c r="T205" s="54">
        <v>20</v>
      </c>
      <c r="U205" s="54">
        <v>0</v>
      </c>
      <c r="V205" s="60">
        <v>36</v>
      </c>
      <c r="W205" s="60">
        <v>0</v>
      </c>
      <c r="X205" s="60">
        <v>0</v>
      </c>
      <c r="Y205" s="60">
        <v>0</v>
      </c>
      <c r="Z205" s="60">
        <v>0</v>
      </c>
      <c r="AA205" s="60">
        <f t="shared" si="91"/>
        <v>36</v>
      </c>
      <c r="AB205" s="60">
        <v>513000</v>
      </c>
      <c r="AC205" s="43">
        <v>0</v>
      </c>
      <c r="AD205" s="60">
        <v>0</v>
      </c>
      <c r="AE205" s="60"/>
      <c r="AF205" s="60"/>
      <c r="AG205" s="60"/>
      <c r="AH205" s="60">
        <f t="shared" si="96"/>
        <v>612455.76</v>
      </c>
      <c r="AI205" s="60">
        <f>AH205-AQ205-H205</f>
        <v>302930.76</v>
      </c>
      <c r="AJ205" s="60">
        <f t="shared" ref="AJ205:AJ270" si="101">AH205-G205</f>
        <v>612455.76</v>
      </c>
      <c r="AK205" s="7"/>
      <c r="AL205" s="64">
        <v>10150</v>
      </c>
      <c r="AM205" s="64">
        <v>7875</v>
      </c>
      <c r="AN205" s="64">
        <v>10500</v>
      </c>
      <c r="AO205" s="64">
        <v>0</v>
      </c>
      <c r="AP205" s="64">
        <v>0</v>
      </c>
      <c r="AQ205" s="64">
        <f t="shared" si="93"/>
        <v>28525</v>
      </c>
      <c r="AR205" s="59">
        <f t="shared" si="97"/>
        <v>0</v>
      </c>
      <c r="AS205" s="59">
        <f t="shared" si="98"/>
        <v>0</v>
      </c>
      <c r="AT205" s="141">
        <f t="shared" si="99"/>
        <v>0</v>
      </c>
      <c r="AU205" s="141">
        <f t="shared" si="100"/>
        <v>0</v>
      </c>
    </row>
    <row r="206" spans="1:47">
      <c r="A206" s="28" t="s">
        <v>438</v>
      </c>
      <c r="B206" s="27" t="s">
        <v>439</v>
      </c>
      <c r="C206" s="27" t="s">
        <v>99</v>
      </c>
      <c r="D206" s="27" t="s">
        <v>99</v>
      </c>
      <c r="E206" s="27"/>
      <c r="F206" s="112">
        <v>69664</v>
      </c>
      <c r="G206" s="112">
        <v>0</v>
      </c>
      <c r="H206" s="112">
        <v>0</v>
      </c>
      <c r="I206" s="124">
        <v>0</v>
      </c>
      <c r="J206" s="124">
        <v>0</v>
      </c>
      <c r="K206" s="124">
        <v>0</v>
      </c>
      <c r="L206" s="124">
        <v>0</v>
      </c>
      <c r="M206" s="124">
        <v>0</v>
      </c>
      <c r="N206" s="44">
        <f t="shared" si="90"/>
        <v>0</v>
      </c>
      <c r="O206" s="44">
        <v>0</v>
      </c>
      <c r="P206" s="125">
        <f t="shared" si="94"/>
        <v>0</v>
      </c>
      <c r="Q206" s="44"/>
      <c r="R206" s="44">
        <f t="shared" si="95"/>
        <v>0</v>
      </c>
      <c r="S206" s="54">
        <v>0</v>
      </c>
      <c r="T206" s="54">
        <v>0</v>
      </c>
      <c r="U206" s="54">
        <v>0</v>
      </c>
      <c r="V206" s="60">
        <v>0</v>
      </c>
      <c r="W206" s="60">
        <v>0</v>
      </c>
      <c r="X206" s="60">
        <v>0</v>
      </c>
      <c r="Y206" s="60">
        <v>0</v>
      </c>
      <c r="Z206" s="60">
        <v>0</v>
      </c>
      <c r="AA206" s="60">
        <f t="shared" si="91"/>
        <v>0</v>
      </c>
      <c r="AB206" s="60">
        <v>0</v>
      </c>
      <c r="AC206" s="43">
        <v>0</v>
      </c>
      <c r="AD206" s="60">
        <v>0</v>
      </c>
      <c r="AE206" s="60"/>
      <c r="AF206" s="60"/>
      <c r="AG206" s="60"/>
      <c r="AH206" s="60">
        <f t="shared" si="96"/>
        <v>69664</v>
      </c>
      <c r="AI206" s="60"/>
      <c r="AJ206" s="60"/>
      <c r="AK206" s="7"/>
      <c r="AL206" s="64">
        <v>0</v>
      </c>
      <c r="AM206" s="64">
        <v>0</v>
      </c>
      <c r="AN206" s="64">
        <v>0</v>
      </c>
      <c r="AO206" s="64">
        <v>0</v>
      </c>
      <c r="AP206" s="64">
        <v>0</v>
      </c>
      <c r="AQ206" s="64">
        <f t="shared" si="93"/>
        <v>0</v>
      </c>
      <c r="AR206" s="59">
        <f t="shared" si="97"/>
        <v>0</v>
      </c>
      <c r="AS206" s="59">
        <f t="shared" si="98"/>
        <v>0</v>
      </c>
      <c r="AT206" s="141">
        <f t="shared" si="99"/>
        <v>0</v>
      </c>
      <c r="AU206" s="141">
        <f t="shared" si="100"/>
        <v>0</v>
      </c>
    </row>
    <row r="207" spans="1:47">
      <c r="A207" s="28" t="s">
        <v>440</v>
      </c>
      <c r="B207" s="27" t="s">
        <v>441</v>
      </c>
      <c r="C207" s="27" t="s">
        <v>2</v>
      </c>
      <c r="D207" s="27" t="s">
        <v>2</v>
      </c>
      <c r="E207" s="27"/>
      <c r="F207" s="112">
        <v>341565</v>
      </c>
      <c r="G207" s="112">
        <v>0</v>
      </c>
      <c r="H207" s="112">
        <v>362500</v>
      </c>
      <c r="I207" s="124">
        <v>30</v>
      </c>
      <c r="J207" s="124">
        <v>0</v>
      </c>
      <c r="K207" s="124">
        <v>0</v>
      </c>
      <c r="L207" s="124">
        <v>0</v>
      </c>
      <c r="M207" s="124">
        <v>0</v>
      </c>
      <c r="N207" s="44">
        <f t="shared" si="90"/>
        <v>30</v>
      </c>
      <c r="O207" s="44">
        <v>399000</v>
      </c>
      <c r="P207" s="125">
        <f t="shared" si="94"/>
        <v>399000</v>
      </c>
      <c r="Q207" s="44"/>
      <c r="R207" s="44">
        <f t="shared" si="95"/>
        <v>399000</v>
      </c>
      <c r="S207" s="54">
        <v>284449.328070175</v>
      </c>
      <c r="T207" s="54">
        <v>20</v>
      </c>
      <c r="U207" s="54">
        <v>0</v>
      </c>
      <c r="V207" s="60">
        <v>30</v>
      </c>
      <c r="W207" s="60">
        <v>0</v>
      </c>
      <c r="X207" s="60">
        <v>0</v>
      </c>
      <c r="Y207" s="60">
        <v>0</v>
      </c>
      <c r="Z207" s="60">
        <v>0</v>
      </c>
      <c r="AA207" s="60">
        <f t="shared" si="91"/>
        <v>30</v>
      </c>
      <c r="AB207" s="60">
        <v>427500</v>
      </c>
      <c r="AC207" s="43">
        <v>140000</v>
      </c>
      <c r="AD207" s="60">
        <v>0</v>
      </c>
      <c r="AE207" s="60"/>
      <c r="AF207" s="60"/>
      <c r="AG207" s="60"/>
      <c r="AH207" s="60">
        <f t="shared" si="96"/>
        <v>629065</v>
      </c>
      <c r="AI207" s="60">
        <f t="shared" ref="AI207:AI212" si="102">AH207-AQ207-H207</f>
        <v>209449.328070175</v>
      </c>
      <c r="AJ207" s="60">
        <f t="shared" si="101"/>
        <v>629065</v>
      </c>
      <c r="AK207" s="7"/>
      <c r="AL207" s="64">
        <v>16856.9</v>
      </c>
      <c r="AM207" s="64">
        <v>10500</v>
      </c>
      <c r="AN207" s="64">
        <v>26250</v>
      </c>
      <c r="AO207" s="64">
        <v>3508.77192982456</v>
      </c>
      <c r="AP207" s="64">
        <v>0</v>
      </c>
      <c r="AQ207" s="64">
        <f t="shared" si="93"/>
        <v>57115.6719298246</v>
      </c>
      <c r="AR207" s="59">
        <f t="shared" si="97"/>
        <v>0</v>
      </c>
      <c r="AS207" s="59">
        <f t="shared" si="98"/>
        <v>0</v>
      </c>
      <c r="AT207" s="141">
        <f t="shared" si="99"/>
        <v>0</v>
      </c>
      <c r="AU207" s="141">
        <f t="shared" si="100"/>
        <v>0</v>
      </c>
    </row>
    <row r="208" spans="1:47">
      <c r="A208" s="28" t="s">
        <v>442</v>
      </c>
      <c r="B208" s="27" t="s">
        <v>443</v>
      </c>
      <c r="C208" s="27" t="s">
        <v>99</v>
      </c>
      <c r="D208" s="27" t="s">
        <v>99</v>
      </c>
      <c r="E208" s="27"/>
      <c r="F208" s="112">
        <v>61885</v>
      </c>
      <c r="G208" s="112">
        <v>0</v>
      </c>
      <c r="H208" s="112">
        <v>0</v>
      </c>
      <c r="I208" s="124">
        <v>5</v>
      </c>
      <c r="J208" s="124">
        <v>0</v>
      </c>
      <c r="K208" s="124">
        <v>0</v>
      </c>
      <c r="L208" s="124">
        <v>0</v>
      </c>
      <c r="M208" s="124">
        <v>0</v>
      </c>
      <c r="N208" s="44">
        <f t="shared" si="90"/>
        <v>5</v>
      </c>
      <c r="O208" s="44">
        <v>65500</v>
      </c>
      <c r="P208" s="125">
        <f t="shared" si="94"/>
        <v>65500</v>
      </c>
      <c r="Q208" s="44"/>
      <c r="R208" s="44">
        <f t="shared" si="95"/>
        <v>65500</v>
      </c>
      <c r="S208" s="54">
        <v>0</v>
      </c>
      <c r="T208" s="54">
        <v>0</v>
      </c>
      <c r="U208" s="54">
        <v>0</v>
      </c>
      <c r="V208" s="60">
        <v>5</v>
      </c>
      <c r="W208" s="60">
        <v>0</v>
      </c>
      <c r="X208" s="60">
        <v>0</v>
      </c>
      <c r="Y208" s="60">
        <v>0</v>
      </c>
      <c r="Z208" s="60">
        <v>0</v>
      </c>
      <c r="AA208" s="60">
        <f t="shared" si="91"/>
        <v>5</v>
      </c>
      <c r="AB208" s="60">
        <v>71250</v>
      </c>
      <c r="AC208" s="43">
        <v>66500</v>
      </c>
      <c r="AD208" s="60">
        <v>0</v>
      </c>
      <c r="AE208" s="60"/>
      <c r="AF208" s="60"/>
      <c r="AG208" s="60"/>
      <c r="AH208" s="60">
        <f t="shared" si="96"/>
        <v>66635</v>
      </c>
      <c r="AI208" s="60">
        <f t="shared" si="102"/>
        <v>30708.0769230769</v>
      </c>
      <c r="AJ208" s="60">
        <f t="shared" si="101"/>
        <v>66635</v>
      </c>
      <c r="AK208" s="7"/>
      <c r="AL208" s="64">
        <v>16400</v>
      </c>
      <c r="AM208" s="64">
        <v>6000</v>
      </c>
      <c r="AN208" s="64">
        <v>10800</v>
      </c>
      <c r="AO208" s="64">
        <v>2726.92307692308</v>
      </c>
      <c r="AP208" s="64">
        <v>0</v>
      </c>
      <c r="AQ208" s="64">
        <f t="shared" si="93"/>
        <v>35926.9230769231</v>
      </c>
      <c r="AR208" s="59">
        <f t="shared" si="97"/>
        <v>0</v>
      </c>
      <c r="AS208" s="59">
        <f t="shared" si="98"/>
        <v>0</v>
      </c>
      <c r="AT208" s="141">
        <f t="shared" si="99"/>
        <v>0</v>
      </c>
      <c r="AU208" s="141">
        <f t="shared" si="100"/>
        <v>0</v>
      </c>
    </row>
    <row r="209" spans="1:47">
      <c r="A209" s="28" t="s">
        <v>444</v>
      </c>
      <c r="B209" s="27" t="s">
        <v>445</v>
      </c>
      <c r="C209" s="27" t="s">
        <v>99</v>
      </c>
      <c r="D209" s="27" t="s">
        <v>99</v>
      </c>
      <c r="E209" s="27"/>
      <c r="F209" s="112">
        <v>968788</v>
      </c>
      <c r="G209" s="112">
        <v>0</v>
      </c>
      <c r="H209" s="112">
        <v>351250</v>
      </c>
      <c r="I209" s="124">
        <v>350</v>
      </c>
      <c r="J209" s="124">
        <v>0</v>
      </c>
      <c r="K209" s="124">
        <v>0</v>
      </c>
      <c r="L209" s="124">
        <v>0</v>
      </c>
      <c r="M209" s="124">
        <v>0</v>
      </c>
      <c r="N209" s="44">
        <f t="shared" si="90"/>
        <v>350</v>
      </c>
      <c r="O209" s="44">
        <v>4585000</v>
      </c>
      <c r="P209" s="125">
        <f t="shared" si="94"/>
        <v>4585000</v>
      </c>
      <c r="Q209" s="44"/>
      <c r="R209" s="44">
        <f t="shared" si="95"/>
        <v>4585000</v>
      </c>
      <c r="S209" s="54">
        <v>0</v>
      </c>
      <c r="T209" s="54">
        <v>500</v>
      </c>
      <c r="U209" s="54">
        <v>0</v>
      </c>
      <c r="V209" s="60">
        <v>154</v>
      </c>
      <c r="W209" s="60">
        <v>0</v>
      </c>
      <c r="X209" s="60">
        <v>0</v>
      </c>
      <c r="Y209" s="60">
        <v>0</v>
      </c>
      <c r="Z209" s="60">
        <v>0</v>
      </c>
      <c r="AA209" s="60">
        <f t="shared" si="91"/>
        <v>154</v>
      </c>
      <c r="AB209" s="60">
        <v>2194500</v>
      </c>
      <c r="AC209" s="43">
        <v>0</v>
      </c>
      <c r="AD209" s="60">
        <v>3500</v>
      </c>
      <c r="AE209" s="60"/>
      <c r="AF209" s="60"/>
      <c r="AG209" s="60"/>
      <c r="AH209" s="60">
        <f t="shared" si="96"/>
        <v>3159788</v>
      </c>
      <c r="AI209" s="60">
        <f t="shared" si="102"/>
        <v>1915191.85</v>
      </c>
      <c r="AJ209" s="60">
        <f t="shared" si="101"/>
        <v>3159788</v>
      </c>
      <c r="AK209" s="139"/>
      <c r="AL209" s="64">
        <v>400381.59</v>
      </c>
      <c r="AM209" s="64">
        <v>282964.56</v>
      </c>
      <c r="AN209" s="64">
        <v>210000</v>
      </c>
      <c r="AO209" s="64">
        <v>0</v>
      </c>
      <c r="AP209" s="64">
        <v>0</v>
      </c>
      <c r="AQ209" s="64">
        <f t="shared" si="93"/>
        <v>893346.15</v>
      </c>
      <c r="AR209" s="59">
        <f t="shared" si="97"/>
        <v>196</v>
      </c>
      <c r="AS209" s="59">
        <f t="shared" si="98"/>
        <v>0</v>
      </c>
      <c r="AT209" s="141">
        <f t="shared" si="99"/>
        <v>15.0769230769231</v>
      </c>
      <c r="AU209" s="141">
        <f t="shared" si="100"/>
        <v>0</v>
      </c>
    </row>
    <row r="210" spans="1:47">
      <c r="A210" s="28" t="s">
        <v>446</v>
      </c>
      <c r="B210" s="27" t="s">
        <v>447</v>
      </c>
      <c r="C210" s="27" t="s">
        <v>99</v>
      </c>
      <c r="D210" s="27" t="s">
        <v>99</v>
      </c>
      <c r="E210" s="27"/>
      <c r="F210" s="112">
        <v>732632.39</v>
      </c>
      <c r="G210" s="112">
        <v>0</v>
      </c>
      <c r="H210" s="112">
        <v>1500000</v>
      </c>
      <c r="I210" s="124">
        <v>80</v>
      </c>
      <c r="J210" s="124">
        <v>0</v>
      </c>
      <c r="K210" s="124">
        <v>40</v>
      </c>
      <c r="L210" s="124">
        <v>0</v>
      </c>
      <c r="M210" s="124">
        <v>0</v>
      </c>
      <c r="N210" s="44">
        <f t="shared" si="90"/>
        <v>120</v>
      </c>
      <c r="O210" s="44">
        <v>1472000</v>
      </c>
      <c r="P210" s="125">
        <f t="shared" si="94"/>
        <v>1472000</v>
      </c>
      <c r="Q210" s="44"/>
      <c r="R210" s="44">
        <f t="shared" si="95"/>
        <v>1472000</v>
      </c>
      <c r="S210" s="54">
        <v>255604.28017094</v>
      </c>
      <c r="T210" s="54">
        <v>100</v>
      </c>
      <c r="U210" s="54">
        <v>80</v>
      </c>
      <c r="V210" s="60">
        <v>50</v>
      </c>
      <c r="W210" s="60">
        <v>0</v>
      </c>
      <c r="X210" s="60">
        <v>0</v>
      </c>
      <c r="Y210" s="60">
        <v>0</v>
      </c>
      <c r="Z210" s="60">
        <v>0</v>
      </c>
      <c r="AA210" s="60">
        <f t="shared" si="91"/>
        <v>50</v>
      </c>
      <c r="AB210" s="60">
        <v>712500</v>
      </c>
      <c r="AC210" s="43">
        <v>655000</v>
      </c>
      <c r="AD210" s="60">
        <v>0</v>
      </c>
      <c r="AE210" s="60"/>
      <c r="AF210" s="60"/>
      <c r="AG210" s="60"/>
      <c r="AH210" s="60">
        <f t="shared" si="96"/>
        <v>790132.39</v>
      </c>
      <c r="AI210" s="60">
        <f t="shared" si="102"/>
        <v>-1186895.71982906</v>
      </c>
      <c r="AJ210" s="60">
        <f t="shared" si="101"/>
        <v>790132.39</v>
      </c>
      <c r="AK210" s="7"/>
      <c r="AL210" s="64">
        <v>250650</v>
      </c>
      <c r="AM210" s="64">
        <v>105549.05</v>
      </c>
      <c r="AN210" s="64">
        <v>77000</v>
      </c>
      <c r="AO210" s="64">
        <v>0</v>
      </c>
      <c r="AP210" s="64">
        <v>43829.0598290598</v>
      </c>
      <c r="AQ210" s="64">
        <f t="shared" si="93"/>
        <v>477028.10982906</v>
      </c>
      <c r="AR210" s="59">
        <f t="shared" si="97"/>
        <v>30</v>
      </c>
      <c r="AS210" s="59">
        <f t="shared" si="98"/>
        <v>40</v>
      </c>
      <c r="AT210" s="141">
        <f t="shared" si="99"/>
        <v>2.30769230769231</v>
      </c>
      <c r="AU210" s="141">
        <f t="shared" si="100"/>
        <v>3.07692307692308</v>
      </c>
    </row>
    <row r="211" spans="1:47">
      <c r="A211" s="113" t="s">
        <v>448</v>
      </c>
      <c r="B211" s="27" t="s">
        <v>449</v>
      </c>
      <c r="C211" s="27" t="s">
        <v>99</v>
      </c>
      <c r="D211" s="27" t="s">
        <v>99</v>
      </c>
      <c r="E211" s="27"/>
      <c r="F211" s="112">
        <v>1070549.06</v>
      </c>
      <c r="G211" s="112">
        <v>0</v>
      </c>
      <c r="H211" s="112">
        <v>1000000</v>
      </c>
      <c r="I211" s="124">
        <v>350</v>
      </c>
      <c r="J211" s="124">
        <v>0</v>
      </c>
      <c r="K211" s="124">
        <v>0</v>
      </c>
      <c r="L211" s="124">
        <v>10</v>
      </c>
      <c r="M211" s="124">
        <v>0</v>
      </c>
      <c r="N211" s="44">
        <f t="shared" si="90"/>
        <v>360</v>
      </c>
      <c r="O211" s="44">
        <v>4715000</v>
      </c>
      <c r="P211" s="125">
        <f t="shared" si="94"/>
        <v>4715000</v>
      </c>
      <c r="Q211" s="44"/>
      <c r="R211" s="44">
        <f t="shared" si="95"/>
        <v>4715000</v>
      </c>
      <c r="S211" s="54">
        <v>0</v>
      </c>
      <c r="T211" s="54">
        <v>300</v>
      </c>
      <c r="U211" s="54">
        <v>0</v>
      </c>
      <c r="V211" s="60">
        <v>230</v>
      </c>
      <c r="W211" s="60">
        <v>0</v>
      </c>
      <c r="X211" s="60">
        <v>0</v>
      </c>
      <c r="Y211" s="60">
        <v>10</v>
      </c>
      <c r="Z211" s="60">
        <v>0</v>
      </c>
      <c r="AA211" s="60">
        <f t="shared" si="91"/>
        <v>240</v>
      </c>
      <c r="AB211" s="60">
        <v>3551160</v>
      </c>
      <c r="AC211" s="43">
        <v>400000</v>
      </c>
      <c r="AD211" s="60">
        <v>0</v>
      </c>
      <c r="AE211" s="60"/>
      <c r="AF211" s="60"/>
      <c r="AG211" s="60"/>
      <c r="AH211" s="60">
        <f t="shared" si="96"/>
        <v>4221709.06</v>
      </c>
      <c r="AI211" s="60">
        <f t="shared" si="102"/>
        <v>1969730.49684211</v>
      </c>
      <c r="AJ211" s="60">
        <f t="shared" si="101"/>
        <v>4221709.06</v>
      </c>
      <c r="AK211" s="7"/>
      <c r="AL211" s="64">
        <v>581269.3</v>
      </c>
      <c r="AM211" s="64">
        <v>389442.6</v>
      </c>
      <c r="AN211" s="64">
        <v>239161.4</v>
      </c>
      <c r="AO211" s="64">
        <v>11228.0701754386</v>
      </c>
      <c r="AP211" s="64">
        <v>30877.1929824561</v>
      </c>
      <c r="AQ211" s="64">
        <f t="shared" si="93"/>
        <v>1251978.56315789</v>
      </c>
      <c r="AR211" s="59">
        <f t="shared" si="97"/>
        <v>120</v>
      </c>
      <c r="AS211" s="59">
        <f t="shared" si="98"/>
        <v>0</v>
      </c>
      <c r="AT211" s="141">
        <f t="shared" si="99"/>
        <v>9.23076923076923</v>
      </c>
      <c r="AU211" s="141">
        <f t="shared" si="100"/>
        <v>0</v>
      </c>
    </row>
    <row r="212" spans="1:47">
      <c r="A212" s="28" t="s">
        <v>450</v>
      </c>
      <c r="B212" s="27" t="s">
        <v>451</v>
      </c>
      <c r="C212" s="27" t="s">
        <v>3</v>
      </c>
      <c r="D212" s="27" t="s">
        <v>49</v>
      </c>
      <c r="E212" s="27"/>
      <c r="F212" s="112">
        <v>1944200</v>
      </c>
      <c r="G212" s="112"/>
      <c r="H212" s="112"/>
      <c r="I212" s="124">
        <v>0</v>
      </c>
      <c r="J212" s="124">
        <v>0</v>
      </c>
      <c r="K212" s="124">
        <v>700</v>
      </c>
      <c r="L212" s="124">
        <v>0</v>
      </c>
      <c r="M212" s="124">
        <v>0</v>
      </c>
      <c r="N212" s="44">
        <f t="shared" si="90"/>
        <v>700</v>
      </c>
      <c r="O212" s="44">
        <v>2660000</v>
      </c>
      <c r="P212" s="125">
        <f t="shared" si="94"/>
        <v>2660000</v>
      </c>
      <c r="Q212" s="44"/>
      <c r="R212" s="44">
        <f t="shared" si="95"/>
        <v>2660000</v>
      </c>
      <c r="S212" s="54">
        <v>685400</v>
      </c>
      <c r="T212" s="54">
        <v>0</v>
      </c>
      <c r="U212" s="54">
        <v>700</v>
      </c>
      <c r="V212" s="60">
        <v>0</v>
      </c>
      <c r="W212" s="60">
        <v>0</v>
      </c>
      <c r="X212" s="60">
        <v>148</v>
      </c>
      <c r="Y212" s="60">
        <v>0</v>
      </c>
      <c r="Z212" s="60">
        <v>0</v>
      </c>
      <c r="AA212" s="60">
        <f t="shared" si="91"/>
        <v>148</v>
      </c>
      <c r="AB212" s="60">
        <v>666000</v>
      </c>
      <c r="AC212" s="43">
        <v>400000</v>
      </c>
      <c r="AD212" s="60">
        <v>0</v>
      </c>
      <c r="AE212" s="60"/>
      <c r="AF212" s="60"/>
      <c r="AG212" s="60"/>
      <c r="AH212" s="60">
        <f t="shared" si="96"/>
        <v>2210200</v>
      </c>
      <c r="AI212" s="60">
        <f t="shared" si="102"/>
        <v>951400</v>
      </c>
      <c r="AJ212" s="60">
        <f t="shared" si="101"/>
        <v>2210200</v>
      </c>
      <c r="AK212" s="7"/>
      <c r="AL212" s="64">
        <v>192000</v>
      </c>
      <c r="AM212" s="64">
        <v>625800</v>
      </c>
      <c r="AN212" s="64">
        <v>441000</v>
      </c>
      <c r="AO212" s="64">
        <v>0</v>
      </c>
      <c r="AP212" s="64">
        <v>0</v>
      </c>
      <c r="AQ212" s="64">
        <f t="shared" si="93"/>
        <v>1258800</v>
      </c>
      <c r="AR212" s="59">
        <f t="shared" si="97"/>
        <v>0</v>
      </c>
      <c r="AS212" s="59">
        <f t="shared" si="98"/>
        <v>552</v>
      </c>
      <c r="AT212" s="141">
        <f t="shared" si="99"/>
        <v>0</v>
      </c>
      <c r="AU212" s="141">
        <f t="shared" si="100"/>
        <v>42.4615384615385</v>
      </c>
    </row>
    <row r="213" spans="1:47">
      <c r="A213" s="28" t="s">
        <v>452</v>
      </c>
      <c r="B213" s="27" t="s">
        <v>453</v>
      </c>
      <c r="C213" s="27">
        <v>0</v>
      </c>
      <c r="D213" s="27" t="s">
        <v>99</v>
      </c>
      <c r="E213" s="27"/>
      <c r="F213" s="112">
        <v>364313.58</v>
      </c>
      <c r="G213" s="112">
        <v>0</v>
      </c>
      <c r="H213" s="112">
        <v>0</v>
      </c>
      <c r="I213" s="124">
        <v>0</v>
      </c>
      <c r="J213" s="124">
        <v>0</v>
      </c>
      <c r="K213" s="124">
        <v>0</v>
      </c>
      <c r="L213" s="124">
        <v>0</v>
      </c>
      <c r="M213" s="124">
        <v>0</v>
      </c>
      <c r="N213" s="44">
        <f t="shared" si="90"/>
        <v>0</v>
      </c>
      <c r="O213" s="44">
        <v>0</v>
      </c>
      <c r="P213" s="125">
        <f t="shared" si="94"/>
        <v>0</v>
      </c>
      <c r="Q213" s="44"/>
      <c r="R213" s="44">
        <f t="shared" si="95"/>
        <v>0</v>
      </c>
      <c r="S213" s="54">
        <v>0</v>
      </c>
      <c r="T213" s="54">
        <v>0</v>
      </c>
      <c r="U213" s="54">
        <v>0</v>
      </c>
      <c r="V213" s="60">
        <v>0</v>
      </c>
      <c r="W213" s="60">
        <v>0</v>
      </c>
      <c r="X213" s="60">
        <v>0</v>
      </c>
      <c r="Y213" s="60">
        <v>0</v>
      </c>
      <c r="Z213" s="60">
        <v>0</v>
      </c>
      <c r="AA213" s="60">
        <f t="shared" si="91"/>
        <v>0</v>
      </c>
      <c r="AB213" s="60">
        <v>0</v>
      </c>
      <c r="AC213" s="43">
        <v>0</v>
      </c>
      <c r="AD213" s="60">
        <v>0</v>
      </c>
      <c r="AE213" s="60"/>
      <c r="AF213" s="60"/>
      <c r="AG213" s="60"/>
      <c r="AH213" s="60">
        <f t="shared" si="96"/>
        <v>364313.58</v>
      </c>
      <c r="AI213" s="60"/>
      <c r="AJ213" s="60">
        <f t="shared" si="101"/>
        <v>364313.58</v>
      </c>
      <c r="AK213" s="7"/>
      <c r="AL213" s="64">
        <v>0</v>
      </c>
      <c r="AM213" s="64">
        <v>0</v>
      </c>
      <c r="AN213" s="64">
        <v>0</v>
      </c>
      <c r="AO213" s="64">
        <v>0</v>
      </c>
      <c r="AP213" s="64">
        <v>0</v>
      </c>
      <c r="AQ213" s="64">
        <f t="shared" si="93"/>
        <v>0</v>
      </c>
      <c r="AR213" s="59">
        <f t="shared" si="97"/>
        <v>0</v>
      </c>
      <c r="AS213" s="59">
        <f t="shared" si="98"/>
        <v>0</v>
      </c>
      <c r="AT213" s="141">
        <f t="shared" si="99"/>
        <v>0</v>
      </c>
      <c r="AU213" s="141">
        <f t="shared" si="100"/>
        <v>0</v>
      </c>
    </row>
    <row r="214" spans="1:47">
      <c r="A214" s="28" t="s">
        <v>454</v>
      </c>
      <c r="B214" s="27" t="s">
        <v>455</v>
      </c>
      <c r="C214" s="27" t="s">
        <v>2</v>
      </c>
      <c r="D214" s="27" t="s">
        <v>2</v>
      </c>
      <c r="E214" s="27"/>
      <c r="F214" s="112">
        <v>597237.72</v>
      </c>
      <c r="G214" s="112">
        <v>350000</v>
      </c>
      <c r="H214" s="112">
        <v>555500</v>
      </c>
      <c r="I214" s="124">
        <v>30</v>
      </c>
      <c r="J214" s="124">
        <v>0</v>
      </c>
      <c r="K214" s="124">
        <v>0</v>
      </c>
      <c r="L214" s="124">
        <v>0</v>
      </c>
      <c r="M214" s="124">
        <v>0</v>
      </c>
      <c r="N214" s="44">
        <f t="shared" si="90"/>
        <v>30</v>
      </c>
      <c r="O214" s="44">
        <v>393000</v>
      </c>
      <c r="P214" s="125">
        <f t="shared" si="94"/>
        <v>393000</v>
      </c>
      <c r="Q214" s="44"/>
      <c r="R214" s="44">
        <f t="shared" si="95"/>
        <v>393000</v>
      </c>
      <c r="S214" s="54">
        <v>229112.72</v>
      </c>
      <c r="T214" s="54">
        <v>0</v>
      </c>
      <c r="U214" s="54">
        <v>0</v>
      </c>
      <c r="V214" s="60">
        <v>0</v>
      </c>
      <c r="W214" s="60">
        <v>0</v>
      </c>
      <c r="X214" s="60">
        <v>0</v>
      </c>
      <c r="Y214" s="60">
        <v>0</v>
      </c>
      <c r="Z214" s="60">
        <v>0</v>
      </c>
      <c r="AA214" s="60">
        <f t="shared" si="91"/>
        <v>0</v>
      </c>
      <c r="AB214" s="60">
        <v>0</v>
      </c>
      <c r="AC214" s="43">
        <v>0</v>
      </c>
      <c r="AD214" s="60">
        <v>0</v>
      </c>
      <c r="AE214" s="60"/>
      <c r="AF214" s="60"/>
      <c r="AG214" s="60"/>
      <c r="AH214" s="60">
        <f t="shared" si="96"/>
        <v>597237.72</v>
      </c>
      <c r="AI214" s="60"/>
      <c r="AJ214" s="60">
        <f t="shared" si="101"/>
        <v>247237.72</v>
      </c>
      <c r="AK214" s="7"/>
      <c r="AL214" s="64">
        <v>18125</v>
      </c>
      <c r="AM214" s="64">
        <v>0</v>
      </c>
      <c r="AN214" s="64">
        <v>0</v>
      </c>
      <c r="AO214" s="64">
        <v>0</v>
      </c>
      <c r="AP214" s="64">
        <v>0</v>
      </c>
      <c r="AQ214" s="64">
        <f t="shared" si="93"/>
        <v>18125</v>
      </c>
      <c r="AR214" s="59">
        <f t="shared" si="97"/>
        <v>30</v>
      </c>
      <c r="AS214" s="59">
        <f t="shared" si="98"/>
        <v>0</v>
      </c>
      <c r="AT214" s="141">
        <f t="shared" si="99"/>
        <v>2.30769230769231</v>
      </c>
      <c r="AU214" s="141">
        <f t="shared" si="100"/>
        <v>0</v>
      </c>
    </row>
    <row r="215" spans="1:47">
      <c r="A215" s="28" t="s">
        <v>456</v>
      </c>
      <c r="B215" s="27" t="s">
        <v>457</v>
      </c>
      <c r="C215" s="27" t="s">
        <v>2</v>
      </c>
      <c r="D215" s="27" t="s">
        <v>2</v>
      </c>
      <c r="E215" s="27"/>
      <c r="F215" s="112">
        <v>682051</v>
      </c>
      <c r="G215" s="112">
        <v>0</v>
      </c>
      <c r="H215" s="112">
        <v>0</v>
      </c>
      <c r="I215" s="124">
        <v>30</v>
      </c>
      <c r="J215" s="124">
        <v>0</v>
      </c>
      <c r="K215" s="124">
        <v>0</v>
      </c>
      <c r="L215" s="124">
        <v>0</v>
      </c>
      <c r="M215" s="124">
        <v>0</v>
      </c>
      <c r="N215" s="44">
        <f t="shared" si="90"/>
        <v>30</v>
      </c>
      <c r="O215" s="44">
        <v>390000</v>
      </c>
      <c r="P215" s="125">
        <f t="shared" si="94"/>
        <v>390000</v>
      </c>
      <c r="Q215" s="44"/>
      <c r="R215" s="44">
        <f t="shared" si="95"/>
        <v>390000</v>
      </c>
      <c r="S215" s="54">
        <v>599196.614035088</v>
      </c>
      <c r="T215" s="54">
        <v>30</v>
      </c>
      <c r="U215" s="54">
        <v>0</v>
      </c>
      <c r="V215" s="60">
        <v>0</v>
      </c>
      <c r="W215" s="60">
        <v>0</v>
      </c>
      <c r="X215" s="60">
        <v>0</v>
      </c>
      <c r="Y215" s="60">
        <v>0</v>
      </c>
      <c r="Z215" s="60">
        <v>0</v>
      </c>
      <c r="AA215" s="60">
        <f t="shared" si="91"/>
        <v>0</v>
      </c>
      <c r="AB215" s="60">
        <v>0</v>
      </c>
      <c r="AC215" s="43">
        <v>0</v>
      </c>
      <c r="AD215" s="60">
        <v>0</v>
      </c>
      <c r="AE215" s="60"/>
      <c r="AF215" s="60"/>
      <c r="AG215" s="60"/>
      <c r="AH215" s="60">
        <f t="shared" si="96"/>
        <v>682051</v>
      </c>
      <c r="AI215" s="60"/>
      <c r="AJ215" s="60">
        <f t="shared" si="101"/>
        <v>682051</v>
      </c>
      <c r="AK215" s="7"/>
      <c r="AL215" s="64">
        <v>12375</v>
      </c>
      <c r="AM215" s="64">
        <v>15925</v>
      </c>
      <c r="AN215" s="64">
        <v>40800</v>
      </c>
      <c r="AO215" s="64">
        <v>2175.43859649123</v>
      </c>
      <c r="AP215" s="64">
        <v>11578.9473684211</v>
      </c>
      <c r="AQ215" s="64">
        <f t="shared" si="93"/>
        <v>82854.3859649123</v>
      </c>
      <c r="AR215" s="59">
        <f t="shared" si="97"/>
        <v>30</v>
      </c>
      <c r="AS215" s="59">
        <f t="shared" si="98"/>
        <v>0</v>
      </c>
      <c r="AT215" s="141">
        <f t="shared" si="99"/>
        <v>2.30769230769231</v>
      </c>
      <c r="AU215" s="141">
        <f t="shared" si="100"/>
        <v>0</v>
      </c>
    </row>
    <row r="216" spans="1:47">
      <c r="A216" s="28" t="s">
        <v>458</v>
      </c>
      <c r="B216" s="27" t="s">
        <v>459</v>
      </c>
      <c r="C216" s="27" t="s">
        <v>99</v>
      </c>
      <c r="D216" s="27" t="s">
        <v>99</v>
      </c>
      <c r="E216" s="27"/>
      <c r="F216" s="112">
        <v>19291</v>
      </c>
      <c r="G216" s="112">
        <v>0</v>
      </c>
      <c r="H216" s="112">
        <v>0</v>
      </c>
      <c r="I216" s="124">
        <v>20</v>
      </c>
      <c r="J216" s="124">
        <v>0</v>
      </c>
      <c r="K216" s="124">
        <v>0</v>
      </c>
      <c r="L216" s="124">
        <v>0</v>
      </c>
      <c r="M216" s="124">
        <v>0</v>
      </c>
      <c r="N216" s="44">
        <f t="shared" si="90"/>
        <v>20</v>
      </c>
      <c r="O216" s="44">
        <v>264000</v>
      </c>
      <c r="P216" s="125">
        <f t="shared" si="94"/>
        <v>264000</v>
      </c>
      <c r="Q216" s="44"/>
      <c r="R216" s="44">
        <f t="shared" si="95"/>
        <v>264000</v>
      </c>
      <c r="S216" s="54">
        <v>0</v>
      </c>
      <c r="T216" s="54">
        <v>0</v>
      </c>
      <c r="U216" s="54">
        <v>0</v>
      </c>
      <c r="V216" s="60">
        <v>20</v>
      </c>
      <c r="W216" s="60">
        <v>0</v>
      </c>
      <c r="X216" s="60">
        <v>0</v>
      </c>
      <c r="Y216" s="60">
        <v>0</v>
      </c>
      <c r="Z216" s="60">
        <v>0</v>
      </c>
      <c r="AA216" s="60">
        <f t="shared" si="91"/>
        <v>20</v>
      </c>
      <c r="AB216" s="60">
        <v>285000</v>
      </c>
      <c r="AC216" s="43">
        <v>0</v>
      </c>
      <c r="AD216" s="60">
        <v>0</v>
      </c>
      <c r="AE216" s="60"/>
      <c r="AF216" s="60"/>
      <c r="AG216" s="60"/>
      <c r="AH216" s="60">
        <f t="shared" si="96"/>
        <v>304291</v>
      </c>
      <c r="AI216" s="60">
        <f>AH216-AQ216-H216</f>
        <v>282291</v>
      </c>
      <c r="AJ216" s="60">
        <f t="shared" si="101"/>
        <v>304291</v>
      </c>
      <c r="AK216" s="7"/>
      <c r="AL216" s="64">
        <v>4000</v>
      </c>
      <c r="AM216" s="64">
        <v>6000</v>
      </c>
      <c r="AN216" s="64">
        <v>12000</v>
      </c>
      <c r="AO216" s="64">
        <v>0</v>
      </c>
      <c r="AP216" s="64">
        <v>0</v>
      </c>
      <c r="AQ216" s="64">
        <f t="shared" si="93"/>
        <v>22000</v>
      </c>
      <c r="AR216" s="59">
        <f t="shared" si="97"/>
        <v>0</v>
      </c>
      <c r="AS216" s="59">
        <f t="shared" si="98"/>
        <v>0</v>
      </c>
      <c r="AT216" s="141">
        <f t="shared" si="99"/>
        <v>0</v>
      </c>
      <c r="AU216" s="141">
        <f t="shared" si="100"/>
        <v>0</v>
      </c>
    </row>
    <row r="217" spans="1:47">
      <c r="A217" s="28" t="s">
        <v>460</v>
      </c>
      <c r="B217" s="27" t="s">
        <v>461</v>
      </c>
      <c r="C217" s="27">
        <v>0</v>
      </c>
      <c r="D217" s="27">
        <v>0</v>
      </c>
      <c r="E217" s="27"/>
      <c r="F217" s="112">
        <v>107503.48</v>
      </c>
      <c r="G217" s="112">
        <v>0</v>
      </c>
      <c r="H217" s="112">
        <v>0</v>
      </c>
      <c r="I217" s="124">
        <v>0</v>
      </c>
      <c r="J217" s="124">
        <v>0</v>
      </c>
      <c r="K217" s="124">
        <v>0</v>
      </c>
      <c r="L217" s="124">
        <v>0</v>
      </c>
      <c r="M217" s="124">
        <v>0</v>
      </c>
      <c r="N217" s="44">
        <f t="shared" si="90"/>
        <v>0</v>
      </c>
      <c r="O217" s="44">
        <v>0</v>
      </c>
      <c r="P217" s="125">
        <f t="shared" si="94"/>
        <v>0</v>
      </c>
      <c r="Q217" s="44"/>
      <c r="R217" s="44">
        <f t="shared" si="95"/>
        <v>0</v>
      </c>
      <c r="S217" s="54">
        <v>0</v>
      </c>
      <c r="T217" s="54">
        <v>0</v>
      </c>
      <c r="U217" s="54">
        <v>0</v>
      </c>
      <c r="V217" s="60">
        <v>0</v>
      </c>
      <c r="W217" s="60">
        <v>0</v>
      </c>
      <c r="X217" s="60">
        <v>0</v>
      </c>
      <c r="Y217" s="60">
        <v>0</v>
      </c>
      <c r="Z217" s="60">
        <v>0</v>
      </c>
      <c r="AA217" s="60">
        <f t="shared" si="91"/>
        <v>0</v>
      </c>
      <c r="AB217" s="60">
        <v>0</v>
      </c>
      <c r="AC217" s="43">
        <v>0</v>
      </c>
      <c r="AD217" s="60">
        <v>0</v>
      </c>
      <c r="AE217" s="60"/>
      <c r="AF217" s="60"/>
      <c r="AG217" s="60"/>
      <c r="AH217" s="60">
        <f t="shared" si="96"/>
        <v>107503.48</v>
      </c>
      <c r="AI217" s="60"/>
      <c r="AJ217" s="60"/>
      <c r="AK217" s="7"/>
      <c r="AL217" s="64">
        <v>0</v>
      </c>
      <c r="AM217" s="64">
        <v>0</v>
      </c>
      <c r="AN217" s="64">
        <v>0</v>
      </c>
      <c r="AO217" s="64">
        <v>0</v>
      </c>
      <c r="AP217" s="64">
        <v>0</v>
      </c>
      <c r="AQ217" s="64">
        <f t="shared" si="93"/>
        <v>0</v>
      </c>
      <c r="AR217" s="59">
        <f t="shared" si="97"/>
        <v>0</v>
      </c>
      <c r="AS217" s="59">
        <f t="shared" si="98"/>
        <v>0</v>
      </c>
      <c r="AT217" s="141">
        <f t="shared" si="99"/>
        <v>0</v>
      </c>
      <c r="AU217" s="141">
        <f t="shared" si="100"/>
        <v>0</v>
      </c>
    </row>
    <row r="218" spans="1:47">
      <c r="A218" s="28" t="s">
        <v>462</v>
      </c>
      <c r="B218" s="27" t="s">
        <v>463</v>
      </c>
      <c r="C218" s="27" t="s">
        <v>2</v>
      </c>
      <c r="D218" s="27" t="s">
        <v>2</v>
      </c>
      <c r="E218" s="27"/>
      <c r="F218" s="112">
        <v>299790</v>
      </c>
      <c r="G218" s="112">
        <v>0</v>
      </c>
      <c r="H218" s="112">
        <v>281000</v>
      </c>
      <c r="I218" s="124">
        <v>0</v>
      </c>
      <c r="J218" s="124">
        <v>0</v>
      </c>
      <c r="K218" s="124">
        <v>0</v>
      </c>
      <c r="L218" s="124">
        <v>0</v>
      </c>
      <c r="M218" s="124">
        <v>0</v>
      </c>
      <c r="N218" s="44">
        <f t="shared" si="90"/>
        <v>0</v>
      </c>
      <c r="O218" s="44">
        <v>0</v>
      </c>
      <c r="P218" s="125">
        <f t="shared" si="94"/>
        <v>0</v>
      </c>
      <c r="Q218" s="44"/>
      <c r="R218" s="44">
        <f t="shared" si="95"/>
        <v>0</v>
      </c>
      <c r="S218" s="54">
        <v>273266.72</v>
      </c>
      <c r="T218" s="54">
        <v>0</v>
      </c>
      <c r="U218" s="54">
        <v>0</v>
      </c>
      <c r="V218" s="60">
        <v>0</v>
      </c>
      <c r="W218" s="60">
        <v>0</v>
      </c>
      <c r="X218" s="60">
        <v>0</v>
      </c>
      <c r="Y218" s="60">
        <v>0</v>
      </c>
      <c r="Z218" s="60">
        <v>0</v>
      </c>
      <c r="AA218" s="60">
        <f t="shared" si="91"/>
        <v>0</v>
      </c>
      <c r="AB218" s="60">
        <v>0</v>
      </c>
      <c r="AC218" s="43">
        <v>0</v>
      </c>
      <c r="AD218" s="60">
        <v>0</v>
      </c>
      <c r="AE218" s="60"/>
      <c r="AF218" s="60"/>
      <c r="AG218" s="60"/>
      <c r="AH218" s="60">
        <f t="shared" si="96"/>
        <v>299790</v>
      </c>
      <c r="AI218" s="60"/>
      <c r="AJ218" s="60">
        <f t="shared" si="101"/>
        <v>299790</v>
      </c>
      <c r="AK218" s="7"/>
      <c r="AL218" s="64">
        <v>10248.28</v>
      </c>
      <c r="AM218" s="64">
        <v>12600</v>
      </c>
      <c r="AN218" s="64">
        <v>3675</v>
      </c>
      <c r="AO218" s="64">
        <v>0</v>
      </c>
      <c r="AP218" s="64">
        <v>0</v>
      </c>
      <c r="AQ218" s="64">
        <f t="shared" si="93"/>
        <v>26523.28</v>
      </c>
      <c r="AR218" s="59">
        <f t="shared" si="97"/>
        <v>0</v>
      </c>
      <c r="AS218" s="59">
        <f t="shared" si="98"/>
        <v>0</v>
      </c>
      <c r="AT218" s="141">
        <f t="shared" si="99"/>
        <v>0</v>
      </c>
      <c r="AU218" s="141">
        <f t="shared" si="100"/>
        <v>0</v>
      </c>
    </row>
    <row r="219" spans="1:47">
      <c r="A219" s="28" t="s">
        <v>464</v>
      </c>
      <c r="B219" s="27" t="s">
        <v>465</v>
      </c>
      <c r="C219" s="27">
        <v>0</v>
      </c>
      <c r="D219" s="27" t="s">
        <v>2</v>
      </c>
      <c r="E219" s="27"/>
      <c r="F219" s="112">
        <v>52589</v>
      </c>
      <c r="G219" s="112">
        <v>0</v>
      </c>
      <c r="H219" s="112">
        <v>0</v>
      </c>
      <c r="I219" s="124">
        <v>0</v>
      </c>
      <c r="J219" s="124">
        <v>0</v>
      </c>
      <c r="K219" s="124">
        <v>0</v>
      </c>
      <c r="L219" s="124">
        <v>0</v>
      </c>
      <c r="M219" s="124">
        <v>0</v>
      </c>
      <c r="N219" s="44">
        <f t="shared" si="90"/>
        <v>0</v>
      </c>
      <c r="O219" s="44">
        <v>0</v>
      </c>
      <c r="P219" s="125">
        <f t="shared" si="94"/>
        <v>0</v>
      </c>
      <c r="Q219" s="44"/>
      <c r="R219" s="44">
        <f t="shared" si="95"/>
        <v>0</v>
      </c>
      <c r="S219" s="54">
        <v>0</v>
      </c>
      <c r="T219" s="54">
        <v>0</v>
      </c>
      <c r="U219" s="54">
        <v>0</v>
      </c>
      <c r="V219" s="60">
        <v>0</v>
      </c>
      <c r="W219" s="60">
        <v>0</v>
      </c>
      <c r="X219" s="60">
        <v>0</v>
      </c>
      <c r="Y219" s="60">
        <v>0</v>
      </c>
      <c r="Z219" s="60">
        <v>0</v>
      </c>
      <c r="AA219" s="60">
        <f t="shared" si="91"/>
        <v>0</v>
      </c>
      <c r="AB219" s="60">
        <v>0</v>
      </c>
      <c r="AC219" s="43">
        <v>0</v>
      </c>
      <c r="AD219" s="60">
        <v>0</v>
      </c>
      <c r="AE219" s="60"/>
      <c r="AF219" s="60"/>
      <c r="AG219" s="60"/>
      <c r="AH219" s="60">
        <f t="shared" si="96"/>
        <v>52589</v>
      </c>
      <c r="AI219" s="60"/>
      <c r="AJ219" s="60"/>
      <c r="AK219" s="7"/>
      <c r="AL219" s="64">
        <v>0</v>
      </c>
      <c r="AM219" s="64">
        <v>0</v>
      </c>
      <c r="AN219" s="64">
        <v>0</v>
      </c>
      <c r="AO219" s="64">
        <v>0</v>
      </c>
      <c r="AP219" s="64">
        <v>0</v>
      </c>
      <c r="AQ219" s="64">
        <f t="shared" si="93"/>
        <v>0</v>
      </c>
      <c r="AR219" s="59">
        <f t="shared" si="97"/>
        <v>0</v>
      </c>
      <c r="AS219" s="59">
        <f t="shared" si="98"/>
        <v>0</v>
      </c>
      <c r="AT219" s="141">
        <f t="shared" si="99"/>
        <v>0</v>
      </c>
      <c r="AU219" s="141">
        <f t="shared" si="100"/>
        <v>0</v>
      </c>
    </row>
    <row r="220" spans="1:47">
      <c r="A220" s="113" t="s">
        <v>466</v>
      </c>
      <c r="B220" s="27" t="s">
        <v>467</v>
      </c>
      <c r="C220" s="27" t="s">
        <v>99</v>
      </c>
      <c r="D220" s="27" t="s">
        <v>99</v>
      </c>
      <c r="E220" s="27"/>
      <c r="F220" s="112">
        <v>659611</v>
      </c>
      <c r="G220" s="112">
        <v>0</v>
      </c>
      <c r="H220" s="112">
        <v>0</v>
      </c>
      <c r="I220" s="124">
        <v>100</v>
      </c>
      <c r="J220" s="124">
        <v>0</v>
      </c>
      <c r="K220" s="124">
        <v>0</v>
      </c>
      <c r="L220" s="124">
        <v>0</v>
      </c>
      <c r="M220" s="124">
        <v>0</v>
      </c>
      <c r="N220" s="44">
        <f t="shared" si="90"/>
        <v>100</v>
      </c>
      <c r="O220" s="44">
        <v>1300000</v>
      </c>
      <c r="P220" s="125">
        <f t="shared" si="94"/>
        <v>1300000</v>
      </c>
      <c r="Q220" s="44"/>
      <c r="R220" s="44">
        <f t="shared" si="95"/>
        <v>1300000</v>
      </c>
      <c r="S220" s="54">
        <v>535627.666666667</v>
      </c>
      <c r="T220" s="54">
        <v>100</v>
      </c>
      <c r="U220" s="54">
        <v>0</v>
      </c>
      <c r="V220" s="60">
        <v>60</v>
      </c>
      <c r="W220" s="60">
        <v>0</v>
      </c>
      <c r="X220" s="60">
        <v>0</v>
      </c>
      <c r="Y220" s="60">
        <v>0</v>
      </c>
      <c r="Z220" s="60">
        <v>0</v>
      </c>
      <c r="AA220" s="60">
        <f t="shared" si="91"/>
        <v>60</v>
      </c>
      <c r="AB220" s="60">
        <v>855000</v>
      </c>
      <c r="AC220" s="43">
        <v>300000</v>
      </c>
      <c r="AD220" s="60">
        <v>0</v>
      </c>
      <c r="AE220" s="60"/>
      <c r="AF220" s="60"/>
      <c r="AG220" s="60"/>
      <c r="AH220" s="60">
        <f t="shared" si="96"/>
        <v>1214611</v>
      </c>
      <c r="AI220" s="60"/>
      <c r="AJ220" s="60">
        <f t="shared" si="101"/>
        <v>1214611</v>
      </c>
      <c r="AK220" s="7"/>
      <c r="AL220" s="64">
        <v>40000</v>
      </c>
      <c r="AM220" s="64">
        <v>41250</v>
      </c>
      <c r="AN220" s="64">
        <v>29400</v>
      </c>
      <c r="AO220" s="64">
        <v>5614.0350877193</v>
      </c>
      <c r="AP220" s="64">
        <v>7719.29824561403</v>
      </c>
      <c r="AQ220" s="64">
        <f t="shared" si="93"/>
        <v>123983.333333333</v>
      </c>
      <c r="AR220" s="59">
        <f t="shared" si="97"/>
        <v>40</v>
      </c>
      <c r="AS220" s="59">
        <f t="shared" si="98"/>
        <v>0</v>
      </c>
      <c r="AT220" s="141">
        <f t="shared" si="99"/>
        <v>3.07692307692308</v>
      </c>
      <c r="AU220" s="141">
        <f t="shared" si="100"/>
        <v>0</v>
      </c>
    </row>
    <row r="221" spans="1:47">
      <c r="A221" s="28" t="s">
        <v>468</v>
      </c>
      <c r="B221" s="27" t="s">
        <v>469</v>
      </c>
      <c r="C221" s="27">
        <v>0</v>
      </c>
      <c r="D221" s="27">
        <v>0</v>
      </c>
      <c r="E221" s="27"/>
      <c r="F221" s="112">
        <v>39351</v>
      </c>
      <c r="G221" s="112">
        <v>0</v>
      </c>
      <c r="H221" s="112">
        <v>0</v>
      </c>
      <c r="I221" s="124">
        <v>0</v>
      </c>
      <c r="J221" s="124">
        <v>0</v>
      </c>
      <c r="K221" s="124">
        <v>0</v>
      </c>
      <c r="L221" s="124">
        <v>0</v>
      </c>
      <c r="M221" s="124">
        <v>0</v>
      </c>
      <c r="N221" s="44">
        <f t="shared" si="90"/>
        <v>0</v>
      </c>
      <c r="O221" s="44">
        <v>0</v>
      </c>
      <c r="P221" s="125">
        <f t="shared" si="94"/>
        <v>0</v>
      </c>
      <c r="Q221" s="44"/>
      <c r="R221" s="44">
        <f t="shared" si="95"/>
        <v>0</v>
      </c>
      <c r="S221" s="54">
        <v>0</v>
      </c>
      <c r="T221" s="54">
        <v>0</v>
      </c>
      <c r="U221" s="54">
        <v>0</v>
      </c>
      <c r="V221" s="60">
        <v>0</v>
      </c>
      <c r="W221" s="60">
        <v>0</v>
      </c>
      <c r="X221" s="60">
        <v>0</v>
      </c>
      <c r="Y221" s="60">
        <v>0</v>
      </c>
      <c r="Z221" s="60">
        <v>0</v>
      </c>
      <c r="AA221" s="60">
        <f t="shared" si="91"/>
        <v>0</v>
      </c>
      <c r="AB221" s="60">
        <v>0</v>
      </c>
      <c r="AC221" s="43">
        <v>0</v>
      </c>
      <c r="AD221" s="60">
        <v>0</v>
      </c>
      <c r="AE221" s="60"/>
      <c r="AF221" s="60"/>
      <c r="AG221" s="60"/>
      <c r="AH221" s="60">
        <f t="shared" si="96"/>
        <v>39351</v>
      </c>
      <c r="AI221" s="60"/>
      <c r="AJ221" s="60"/>
      <c r="AK221" s="7"/>
      <c r="AL221" s="64">
        <v>0</v>
      </c>
      <c r="AM221" s="64">
        <v>0</v>
      </c>
      <c r="AN221" s="64">
        <v>0</v>
      </c>
      <c r="AO221" s="64">
        <v>0</v>
      </c>
      <c r="AP221" s="64">
        <v>0</v>
      </c>
      <c r="AQ221" s="64">
        <f t="shared" si="93"/>
        <v>0</v>
      </c>
      <c r="AR221" s="59">
        <f t="shared" si="97"/>
        <v>0</v>
      </c>
      <c r="AS221" s="59">
        <f t="shared" si="98"/>
        <v>0</v>
      </c>
      <c r="AT221" s="141">
        <f t="shared" si="99"/>
        <v>0</v>
      </c>
      <c r="AU221" s="141">
        <f t="shared" si="100"/>
        <v>0</v>
      </c>
    </row>
    <row r="222" spans="1:47">
      <c r="A222" s="28" t="s">
        <v>470</v>
      </c>
      <c r="B222" s="27" t="s">
        <v>471</v>
      </c>
      <c r="C222" s="27" t="s">
        <v>99</v>
      </c>
      <c r="D222" s="27" t="s">
        <v>99</v>
      </c>
      <c r="E222" s="27"/>
      <c r="F222" s="112">
        <v>429999</v>
      </c>
      <c r="G222" s="112">
        <v>0</v>
      </c>
      <c r="H222" s="112">
        <v>281000</v>
      </c>
      <c r="I222" s="124">
        <v>100</v>
      </c>
      <c r="J222" s="124">
        <v>0</v>
      </c>
      <c r="K222" s="124">
        <v>8</v>
      </c>
      <c r="L222" s="124">
        <v>0</v>
      </c>
      <c r="M222" s="124">
        <v>0</v>
      </c>
      <c r="N222" s="44">
        <f t="shared" si="90"/>
        <v>108</v>
      </c>
      <c r="O222" s="44">
        <v>1396400</v>
      </c>
      <c r="P222" s="125">
        <f t="shared" si="94"/>
        <v>1396400</v>
      </c>
      <c r="Q222" s="44"/>
      <c r="R222" s="44">
        <f t="shared" si="95"/>
        <v>1396400</v>
      </c>
      <c r="S222" s="54">
        <v>0</v>
      </c>
      <c r="T222" s="54">
        <v>120</v>
      </c>
      <c r="U222" s="54">
        <v>20</v>
      </c>
      <c r="V222" s="60">
        <v>40</v>
      </c>
      <c r="W222" s="60">
        <v>0</v>
      </c>
      <c r="X222" s="60">
        <v>12</v>
      </c>
      <c r="Y222" s="60">
        <v>0</v>
      </c>
      <c r="Z222" s="60">
        <v>0</v>
      </c>
      <c r="AA222" s="60">
        <f t="shared" si="91"/>
        <v>52</v>
      </c>
      <c r="AB222" s="60">
        <v>710400</v>
      </c>
      <c r="AC222" s="43">
        <v>250000</v>
      </c>
      <c r="AD222" s="60">
        <v>0</v>
      </c>
      <c r="AE222" s="60"/>
      <c r="AF222" s="60"/>
      <c r="AG222" s="60"/>
      <c r="AH222" s="60">
        <f t="shared" si="96"/>
        <v>890399</v>
      </c>
      <c r="AI222" s="60">
        <f>AH222-AQ222-H222</f>
        <v>231846.368421053</v>
      </c>
      <c r="AJ222" s="60">
        <f t="shared" si="101"/>
        <v>890399</v>
      </c>
      <c r="AK222" s="7"/>
      <c r="AL222" s="64">
        <v>135600</v>
      </c>
      <c r="AM222" s="64">
        <v>86200</v>
      </c>
      <c r="AN222" s="64">
        <v>94500</v>
      </c>
      <c r="AO222" s="64">
        <v>0</v>
      </c>
      <c r="AP222" s="64">
        <v>61252.6315789474</v>
      </c>
      <c r="AQ222" s="64">
        <f t="shared" si="93"/>
        <v>377552.631578947</v>
      </c>
      <c r="AR222" s="59">
        <f t="shared" si="97"/>
        <v>60</v>
      </c>
      <c r="AS222" s="59">
        <f t="shared" si="98"/>
        <v>-4</v>
      </c>
      <c r="AT222" s="141">
        <f t="shared" si="99"/>
        <v>4.61538461538461</v>
      </c>
      <c r="AU222" s="141">
        <f t="shared" si="100"/>
        <v>-0.307692307692308</v>
      </c>
    </row>
    <row r="223" spans="1:47">
      <c r="A223" s="28" t="s">
        <v>472</v>
      </c>
      <c r="B223" s="27" t="s">
        <v>473</v>
      </c>
      <c r="C223" s="27" t="s">
        <v>2</v>
      </c>
      <c r="D223" s="27" t="s">
        <v>2</v>
      </c>
      <c r="E223" s="27"/>
      <c r="F223" s="112">
        <v>236211.62</v>
      </c>
      <c r="G223" s="112">
        <v>0</v>
      </c>
      <c r="H223" s="112">
        <v>685000</v>
      </c>
      <c r="I223" s="124">
        <v>20</v>
      </c>
      <c r="J223" s="124">
        <v>0</v>
      </c>
      <c r="K223" s="124">
        <v>0</v>
      </c>
      <c r="L223" s="124">
        <v>0</v>
      </c>
      <c r="M223" s="124">
        <v>0</v>
      </c>
      <c r="N223" s="44">
        <f t="shared" si="90"/>
        <v>20</v>
      </c>
      <c r="O223" s="44">
        <v>266000</v>
      </c>
      <c r="P223" s="125">
        <f t="shared" si="94"/>
        <v>266000</v>
      </c>
      <c r="Q223" s="44"/>
      <c r="R223" s="44">
        <f t="shared" si="95"/>
        <v>266000</v>
      </c>
      <c r="S223" s="54">
        <v>230611.62</v>
      </c>
      <c r="T223" s="54">
        <v>0</v>
      </c>
      <c r="U223" s="54">
        <v>0</v>
      </c>
      <c r="V223" s="60">
        <v>0</v>
      </c>
      <c r="W223" s="60">
        <v>0</v>
      </c>
      <c r="X223" s="60">
        <v>0</v>
      </c>
      <c r="Y223" s="60">
        <v>0</v>
      </c>
      <c r="Z223" s="60">
        <v>0</v>
      </c>
      <c r="AA223" s="60">
        <f t="shared" si="91"/>
        <v>0</v>
      </c>
      <c r="AB223" s="60">
        <v>0</v>
      </c>
      <c r="AC223" s="43">
        <v>150000</v>
      </c>
      <c r="AD223" s="60">
        <v>0</v>
      </c>
      <c r="AE223" s="60"/>
      <c r="AF223" s="60"/>
      <c r="AG223" s="60"/>
      <c r="AH223" s="60">
        <f t="shared" si="96"/>
        <v>86211.62</v>
      </c>
      <c r="AI223" s="60"/>
      <c r="AJ223" s="60">
        <f t="shared" si="101"/>
        <v>86211.62</v>
      </c>
      <c r="AK223" s="7"/>
      <c r="AL223" s="64">
        <v>5600</v>
      </c>
      <c r="AM223" s="64">
        <v>0</v>
      </c>
      <c r="AN223" s="64">
        <v>0</v>
      </c>
      <c r="AO223" s="64">
        <v>0</v>
      </c>
      <c r="AP223" s="64">
        <v>0</v>
      </c>
      <c r="AQ223" s="64">
        <f t="shared" si="93"/>
        <v>5600</v>
      </c>
      <c r="AR223" s="59">
        <f t="shared" si="97"/>
        <v>20</v>
      </c>
      <c r="AS223" s="59">
        <f t="shared" si="98"/>
        <v>0</v>
      </c>
      <c r="AT223" s="141">
        <f t="shared" si="99"/>
        <v>1.53846153846154</v>
      </c>
      <c r="AU223" s="141">
        <f t="shared" si="100"/>
        <v>0</v>
      </c>
    </row>
    <row r="224" spans="1:47">
      <c r="A224" s="28" t="s">
        <v>474</v>
      </c>
      <c r="B224" s="27" t="s">
        <v>475</v>
      </c>
      <c r="C224" s="27" t="s">
        <v>1</v>
      </c>
      <c r="D224" s="27">
        <v>0</v>
      </c>
      <c r="E224" s="27"/>
      <c r="F224" s="112">
        <v>234071.3</v>
      </c>
      <c r="G224" s="112">
        <v>0</v>
      </c>
      <c r="H224" s="112">
        <v>0</v>
      </c>
      <c r="I224" s="124">
        <v>30</v>
      </c>
      <c r="J224" s="124">
        <v>0</v>
      </c>
      <c r="K224" s="124">
        <v>0</v>
      </c>
      <c r="L224" s="124">
        <v>0</v>
      </c>
      <c r="M224" s="124">
        <v>0</v>
      </c>
      <c r="N224" s="44">
        <f t="shared" si="90"/>
        <v>30</v>
      </c>
      <c r="O224" s="44">
        <v>393000</v>
      </c>
      <c r="P224" s="125">
        <f t="shared" si="94"/>
        <v>393000</v>
      </c>
      <c r="Q224" s="44"/>
      <c r="R224" s="44">
        <f t="shared" si="95"/>
        <v>393000</v>
      </c>
      <c r="S224" s="54">
        <v>190696.3</v>
      </c>
      <c r="T224" s="54">
        <v>40</v>
      </c>
      <c r="U224" s="54">
        <v>0</v>
      </c>
      <c r="V224" s="60">
        <v>30</v>
      </c>
      <c r="W224" s="60">
        <v>0</v>
      </c>
      <c r="X224" s="60">
        <v>0</v>
      </c>
      <c r="Y224" s="60">
        <v>0</v>
      </c>
      <c r="Z224" s="60">
        <v>0</v>
      </c>
      <c r="AA224" s="60">
        <f t="shared" si="91"/>
        <v>30</v>
      </c>
      <c r="AB224" s="60">
        <v>427500</v>
      </c>
      <c r="AC224" s="43">
        <v>163000</v>
      </c>
      <c r="AD224" s="60">
        <v>0</v>
      </c>
      <c r="AE224" s="60"/>
      <c r="AF224" s="60"/>
      <c r="AG224" s="60"/>
      <c r="AH224" s="60">
        <f t="shared" si="96"/>
        <v>498571.3</v>
      </c>
      <c r="AI224" s="60"/>
      <c r="AJ224" s="60">
        <f t="shared" si="101"/>
        <v>498571.3</v>
      </c>
      <c r="AK224" s="7"/>
      <c r="AL224" s="64">
        <v>14500</v>
      </c>
      <c r="AM224" s="64">
        <v>13125</v>
      </c>
      <c r="AN224" s="64">
        <v>15750</v>
      </c>
      <c r="AO224" s="64">
        <v>0</v>
      </c>
      <c r="AP224" s="64">
        <v>0</v>
      </c>
      <c r="AQ224" s="64">
        <f t="shared" si="93"/>
        <v>43375</v>
      </c>
      <c r="AR224" s="59">
        <f t="shared" si="97"/>
        <v>0</v>
      </c>
      <c r="AS224" s="59">
        <f t="shared" si="98"/>
        <v>0</v>
      </c>
      <c r="AT224" s="141">
        <f t="shared" si="99"/>
        <v>0</v>
      </c>
      <c r="AU224" s="141">
        <f t="shared" si="100"/>
        <v>0</v>
      </c>
    </row>
    <row r="225" spans="1:47">
      <c r="A225" s="28" t="s">
        <v>476</v>
      </c>
      <c r="B225" s="27" t="s">
        <v>477</v>
      </c>
      <c r="C225" s="27">
        <v>0</v>
      </c>
      <c r="D225" s="27">
        <v>0</v>
      </c>
      <c r="E225" s="27"/>
      <c r="F225" s="112">
        <v>28225</v>
      </c>
      <c r="G225" s="112">
        <v>0</v>
      </c>
      <c r="H225" s="112">
        <v>0</v>
      </c>
      <c r="I225" s="124">
        <v>0</v>
      </c>
      <c r="J225" s="124">
        <v>0</v>
      </c>
      <c r="K225" s="124">
        <v>0</v>
      </c>
      <c r="L225" s="124">
        <v>0</v>
      </c>
      <c r="M225" s="124">
        <v>0</v>
      </c>
      <c r="N225" s="44">
        <f t="shared" si="90"/>
        <v>0</v>
      </c>
      <c r="O225" s="44">
        <v>0</v>
      </c>
      <c r="P225" s="125">
        <f t="shared" si="94"/>
        <v>0</v>
      </c>
      <c r="Q225" s="44"/>
      <c r="R225" s="44">
        <f t="shared" si="95"/>
        <v>0</v>
      </c>
      <c r="S225" s="54">
        <v>0</v>
      </c>
      <c r="T225" s="54">
        <v>0</v>
      </c>
      <c r="U225" s="54">
        <v>0</v>
      </c>
      <c r="V225" s="60">
        <v>0</v>
      </c>
      <c r="W225" s="60">
        <v>0</v>
      </c>
      <c r="X225" s="60">
        <v>0</v>
      </c>
      <c r="Y225" s="60">
        <v>0</v>
      </c>
      <c r="Z225" s="60">
        <v>0</v>
      </c>
      <c r="AA225" s="60">
        <f t="shared" si="91"/>
        <v>0</v>
      </c>
      <c r="AB225" s="60">
        <v>0</v>
      </c>
      <c r="AC225" s="43">
        <v>0</v>
      </c>
      <c r="AD225" s="60">
        <v>0</v>
      </c>
      <c r="AE225" s="60"/>
      <c r="AF225" s="60"/>
      <c r="AG225" s="60"/>
      <c r="AH225" s="60">
        <f t="shared" si="96"/>
        <v>28225</v>
      </c>
      <c r="AI225" s="60"/>
      <c r="AJ225" s="60"/>
      <c r="AK225" s="7"/>
      <c r="AL225" s="64">
        <v>0</v>
      </c>
      <c r="AM225" s="64">
        <v>0</v>
      </c>
      <c r="AN225" s="64">
        <v>0</v>
      </c>
      <c r="AO225" s="64">
        <v>350.877192982456</v>
      </c>
      <c r="AP225" s="64">
        <v>0</v>
      </c>
      <c r="AQ225" s="64">
        <f t="shared" si="93"/>
        <v>350.877192982456</v>
      </c>
      <c r="AR225" s="59">
        <f t="shared" si="97"/>
        <v>0</v>
      </c>
      <c r="AS225" s="59">
        <f t="shared" si="98"/>
        <v>0</v>
      </c>
      <c r="AT225" s="141">
        <f t="shared" si="99"/>
        <v>0</v>
      </c>
      <c r="AU225" s="141">
        <f t="shared" si="100"/>
        <v>0</v>
      </c>
    </row>
    <row r="226" spans="1:47">
      <c r="A226" s="28" t="s">
        <v>478</v>
      </c>
      <c r="B226" s="27" t="s">
        <v>479</v>
      </c>
      <c r="C226" s="27" t="s">
        <v>2</v>
      </c>
      <c r="D226" s="27" t="s">
        <v>2</v>
      </c>
      <c r="E226" s="27"/>
      <c r="F226" s="112">
        <v>542138.2</v>
      </c>
      <c r="G226" s="112">
        <v>300000</v>
      </c>
      <c r="H226" s="112">
        <v>437000</v>
      </c>
      <c r="I226" s="124">
        <v>0</v>
      </c>
      <c r="J226" s="124">
        <v>0</v>
      </c>
      <c r="K226" s="124">
        <v>0</v>
      </c>
      <c r="L226" s="124">
        <v>0</v>
      </c>
      <c r="M226" s="124">
        <v>0</v>
      </c>
      <c r="N226" s="44">
        <f t="shared" si="90"/>
        <v>0</v>
      </c>
      <c r="O226" s="44">
        <v>0</v>
      </c>
      <c r="P226" s="125">
        <f t="shared" si="94"/>
        <v>0</v>
      </c>
      <c r="Q226" s="44"/>
      <c r="R226" s="44">
        <f t="shared" si="95"/>
        <v>0</v>
      </c>
      <c r="S226" s="54">
        <v>0</v>
      </c>
      <c r="T226" s="54">
        <v>0</v>
      </c>
      <c r="U226" s="54">
        <v>0</v>
      </c>
      <c r="V226" s="60">
        <v>0</v>
      </c>
      <c r="W226" s="60">
        <v>0</v>
      </c>
      <c r="X226" s="60">
        <v>0</v>
      </c>
      <c r="Y226" s="60">
        <v>0</v>
      </c>
      <c r="Z226" s="60">
        <v>0</v>
      </c>
      <c r="AA226" s="60">
        <f t="shared" si="91"/>
        <v>0</v>
      </c>
      <c r="AB226" s="60">
        <v>0</v>
      </c>
      <c r="AC226" s="43">
        <v>0</v>
      </c>
      <c r="AD226" s="60">
        <v>0</v>
      </c>
      <c r="AE226" s="60"/>
      <c r="AF226" s="60"/>
      <c r="AG226" s="60"/>
      <c r="AH226" s="60">
        <f t="shared" si="96"/>
        <v>542138.2</v>
      </c>
      <c r="AI226" s="60"/>
      <c r="AJ226" s="60">
        <f t="shared" si="101"/>
        <v>242138.2</v>
      </c>
      <c r="AK226" s="7"/>
      <c r="AL226" s="64">
        <v>7250</v>
      </c>
      <c r="AM226" s="64">
        <v>26250</v>
      </c>
      <c r="AN226" s="64">
        <v>0</v>
      </c>
      <c r="AO226" s="64">
        <v>0</v>
      </c>
      <c r="AP226" s="64">
        <v>0</v>
      </c>
      <c r="AQ226" s="64">
        <f t="shared" si="93"/>
        <v>33500</v>
      </c>
      <c r="AR226" s="59">
        <f t="shared" si="97"/>
        <v>0</v>
      </c>
      <c r="AS226" s="59">
        <f t="shared" si="98"/>
        <v>0</v>
      </c>
      <c r="AT226" s="141">
        <f t="shared" si="99"/>
        <v>0</v>
      </c>
      <c r="AU226" s="141">
        <f t="shared" si="100"/>
        <v>0</v>
      </c>
    </row>
    <row r="227" spans="1:47">
      <c r="A227" s="28" t="s">
        <v>480</v>
      </c>
      <c r="B227" s="27" t="s">
        <v>481</v>
      </c>
      <c r="C227" s="27">
        <v>0</v>
      </c>
      <c r="D227" s="27">
        <v>0</v>
      </c>
      <c r="E227" s="27"/>
      <c r="F227" s="112">
        <v>56638</v>
      </c>
      <c r="G227" s="112">
        <v>0</v>
      </c>
      <c r="H227" s="112">
        <v>0</v>
      </c>
      <c r="I227" s="124">
        <v>0</v>
      </c>
      <c r="J227" s="124">
        <v>0</v>
      </c>
      <c r="K227" s="124">
        <v>0</v>
      </c>
      <c r="L227" s="124">
        <v>0</v>
      </c>
      <c r="M227" s="124">
        <v>0</v>
      </c>
      <c r="N227" s="44">
        <f t="shared" si="90"/>
        <v>0</v>
      </c>
      <c r="O227" s="44">
        <v>0</v>
      </c>
      <c r="P227" s="125">
        <f t="shared" si="94"/>
        <v>0</v>
      </c>
      <c r="Q227" s="44"/>
      <c r="R227" s="44">
        <f t="shared" si="95"/>
        <v>0</v>
      </c>
      <c r="S227" s="54">
        <v>0</v>
      </c>
      <c r="T227" s="54">
        <v>0</v>
      </c>
      <c r="U227" s="54">
        <v>0</v>
      </c>
      <c r="V227" s="60">
        <v>0</v>
      </c>
      <c r="W227" s="60">
        <v>0</v>
      </c>
      <c r="X227" s="60">
        <v>0</v>
      </c>
      <c r="Y227" s="60">
        <v>0</v>
      </c>
      <c r="Z227" s="60">
        <v>0</v>
      </c>
      <c r="AA227" s="60">
        <f t="shared" si="91"/>
        <v>0</v>
      </c>
      <c r="AB227" s="60">
        <v>0</v>
      </c>
      <c r="AC227" s="43">
        <v>0</v>
      </c>
      <c r="AD227" s="60">
        <v>0</v>
      </c>
      <c r="AE227" s="60"/>
      <c r="AF227" s="60"/>
      <c r="AG227" s="60"/>
      <c r="AH227" s="60">
        <f t="shared" si="96"/>
        <v>56638</v>
      </c>
      <c r="AI227" s="60"/>
      <c r="AJ227" s="60"/>
      <c r="AK227" s="7"/>
      <c r="AL227" s="64">
        <v>0</v>
      </c>
      <c r="AM227" s="64">
        <v>0</v>
      </c>
      <c r="AN227" s="64">
        <v>0</v>
      </c>
      <c r="AO227" s="64">
        <v>0</v>
      </c>
      <c r="AP227" s="64">
        <v>0</v>
      </c>
      <c r="AQ227" s="64">
        <f t="shared" si="93"/>
        <v>0</v>
      </c>
      <c r="AR227" s="59">
        <f t="shared" si="97"/>
        <v>0</v>
      </c>
      <c r="AS227" s="59">
        <f t="shared" si="98"/>
        <v>0</v>
      </c>
      <c r="AT227" s="141">
        <f t="shared" si="99"/>
        <v>0</v>
      </c>
      <c r="AU227" s="141">
        <f t="shared" si="100"/>
        <v>0</v>
      </c>
    </row>
    <row r="228" spans="1:47">
      <c r="A228" s="115" t="s">
        <v>482</v>
      </c>
      <c r="B228" s="119">
        <f>SUM(B199:B227)</f>
        <v>0</v>
      </c>
      <c r="C228" s="27">
        <v>0</v>
      </c>
      <c r="D228" s="27">
        <v>0</v>
      </c>
      <c r="E228" s="27"/>
      <c r="F228" s="119">
        <f t="shared" ref="F228:AD228" si="103">SUM(F199:F227)</f>
        <v>11113968.12</v>
      </c>
      <c r="G228" s="119">
        <f t="shared" si="103"/>
        <v>650000</v>
      </c>
      <c r="H228" s="119">
        <f t="shared" si="103"/>
        <v>6717750</v>
      </c>
      <c r="I228" s="119">
        <f t="shared" si="103"/>
        <v>1371</v>
      </c>
      <c r="J228" s="119">
        <f t="shared" si="103"/>
        <v>0</v>
      </c>
      <c r="K228" s="119">
        <f t="shared" si="103"/>
        <v>750</v>
      </c>
      <c r="L228" s="119">
        <f t="shared" si="103"/>
        <v>10</v>
      </c>
      <c r="M228" s="119">
        <f t="shared" si="103"/>
        <v>0</v>
      </c>
      <c r="N228" s="119">
        <f t="shared" si="103"/>
        <v>2131</v>
      </c>
      <c r="O228" s="119">
        <f t="shared" si="103"/>
        <v>21275700</v>
      </c>
      <c r="P228" s="119">
        <f t="shared" si="103"/>
        <v>21275700</v>
      </c>
      <c r="Q228" s="119">
        <f t="shared" si="103"/>
        <v>0</v>
      </c>
      <c r="R228" s="119">
        <f t="shared" si="103"/>
        <v>21275700</v>
      </c>
      <c r="S228" s="119">
        <f t="shared" si="103"/>
        <v>4257171.11473234</v>
      </c>
      <c r="T228" s="119">
        <f t="shared" si="103"/>
        <v>1380</v>
      </c>
      <c r="U228" s="119">
        <f t="shared" si="103"/>
        <v>800</v>
      </c>
      <c r="V228" s="119">
        <f>SUM(V199:V227)</f>
        <v>755</v>
      </c>
      <c r="W228" s="119">
        <f>SUM(W199:W227)</f>
        <v>0</v>
      </c>
      <c r="X228" s="119">
        <f>SUM(X199:X227)</f>
        <v>162</v>
      </c>
      <c r="Y228" s="119">
        <f>SUM(Y199:Y227)</f>
        <v>10</v>
      </c>
      <c r="Z228" s="119">
        <f>SUM(Z199:Z227)</f>
        <v>0</v>
      </c>
      <c r="AA228" s="119">
        <f>SUM(AA199:AA227)</f>
        <v>927</v>
      </c>
      <c r="AB228" s="119">
        <f>SUM(AB199:AB227)</f>
        <v>11862210</v>
      </c>
      <c r="AC228" s="119">
        <f>SUM(AC199:AC227)</f>
        <v>2634500</v>
      </c>
      <c r="AD228" s="119">
        <f>SUM(AD199:AD227)</f>
        <v>3500</v>
      </c>
      <c r="AE228" s="119"/>
      <c r="AF228" s="119">
        <f>SUM(AF199:AF227)</f>
        <v>0</v>
      </c>
      <c r="AG228" s="119"/>
      <c r="AH228" s="119">
        <f>SUM(AH199:AH227)</f>
        <v>20338178.12</v>
      </c>
      <c r="AI228" s="60">
        <f>AH228-AQ228-H228</f>
        <v>8543537.0597256</v>
      </c>
      <c r="AJ228" s="119">
        <f>SUM(AJ199:AJ227)</f>
        <v>19334207.64</v>
      </c>
      <c r="AK228" s="135"/>
      <c r="AL228" s="119">
        <f t="shared" ref="AL228:BH228" si="104">SUM(AL199:AL227)</f>
        <v>1844360.31</v>
      </c>
      <c r="AM228" s="119">
        <f t="shared" si="104"/>
        <v>1726759.42</v>
      </c>
      <c r="AN228" s="119">
        <f t="shared" si="104"/>
        <v>1301836.4</v>
      </c>
      <c r="AO228" s="119">
        <f t="shared" si="104"/>
        <v>29379.5546558704</v>
      </c>
      <c r="AP228" s="119">
        <f t="shared" si="104"/>
        <v>174555.375618534</v>
      </c>
      <c r="AQ228" s="143">
        <f t="shared" si="104"/>
        <v>5076891.0602744</v>
      </c>
      <c r="AR228" s="119">
        <f t="shared" si="104"/>
        <v>616</v>
      </c>
      <c r="AS228" s="119">
        <f t="shared" si="104"/>
        <v>588</v>
      </c>
      <c r="AT228" s="141">
        <f t="shared" si="99"/>
        <v>47.3846153846154</v>
      </c>
      <c r="AU228" s="141">
        <f t="shared" si="100"/>
        <v>45.2307692307692</v>
      </c>
    </row>
    <row r="229" spans="1:47">
      <c r="A229" s="28" t="s">
        <v>483</v>
      </c>
      <c r="B229" s="27" t="s">
        <v>484</v>
      </c>
      <c r="C229" s="27" t="s">
        <v>99</v>
      </c>
      <c r="D229" s="27" t="s">
        <v>99</v>
      </c>
      <c r="E229" s="27"/>
      <c r="F229" s="112">
        <v>39532.07</v>
      </c>
      <c r="G229" s="112">
        <v>0</v>
      </c>
      <c r="H229" s="112">
        <v>0</v>
      </c>
      <c r="I229" s="124">
        <v>0</v>
      </c>
      <c r="J229" s="124">
        <v>0</v>
      </c>
      <c r="K229" s="124">
        <v>0</v>
      </c>
      <c r="L229" s="124">
        <v>0</v>
      </c>
      <c r="M229" s="124">
        <v>0</v>
      </c>
      <c r="N229" s="44">
        <f t="shared" ref="N229:N243" si="105">SUM(I229:M229)</f>
        <v>0</v>
      </c>
      <c r="O229" s="44">
        <v>0</v>
      </c>
      <c r="P229" s="125">
        <f t="shared" si="94"/>
        <v>0</v>
      </c>
      <c r="Q229" s="44"/>
      <c r="R229" s="44">
        <f t="shared" ref="R229:R243" si="106">P229+Q229</f>
        <v>0</v>
      </c>
      <c r="S229" s="54">
        <v>0</v>
      </c>
      <c r="T229" s="54">
        <v>0</v>
      </c>
      <c r="U229" s="54">
        <v>0</v>
      </c>
      <c r="V229" s="60">
        <v>0</v>
      </c>
      <c r="W229" s="60">
        <v>0</v>
      </c>
      <c r="X229" s="60">
        <v>0</v>
      </c>
      <c r="Y229" s="60">
        <v>0</v>
      </c>
      <c r="Z229" s="60">
        <v>0</v>
      </c>
      <c r="AA229" s="60">
        <f t="shared" ref="AA229:AA243" si="107">V229+W229+X229+Y229+Z229</f>
        <v>0</v>
      </c>
      <c r="AB229" s="60">
        <v>0</v>
      </c>
      <c r="AC229" s="43">
        <v>0</v>
      </c>
      <c r="AD229" s="60">
        <v>0</v>
      </c>
      <c r="AE229" s="60"/>
      <c r="AF229" s="60"/>
      <c r="AG229" s="60"/>
      <c r="AH229" s="60">
        <f t="shared" ref="AH229:AH243" si="108">F229+AB229-AC229-AE229-AD229-AF229-AG229</f>
        <v>39532.07</v>
      </c>
      <c r="AI229" s="60"/>
      <c r="AJ229" s="60"/>
      <c r="AK229" s="7"/>
      <c r="AL229" s="64">
        <v>6400</v>
      </c>
      <c r="AM229" s="64">
        <v>0</v>
      </c>
      <c r="AN229" s="64">
        <v>12000</v>
      </c>
      <c r="AO229" s="64">
        <v>0</v>
      </c>
      <c r="AP229" s="64">
        <v>2991.45299145299</v>
      </c>
      <c r="AQ229" s="64">
        <f t="shared" ref="AQ229:AQ243" si="109">AL229+AM229+AN229+AO229+AP229</f>
        <v>21391.452991453</v>
      </c>
      <c r="AR229" s="59">
        <f t="shared" si="97"/>
        <v>0</v>
      </c>
      <c r="AS229" s="59">
        <f t="shared" si="98"/>
        <v>0</v>
      </c>
      <c r="AT229" s="141">
        <f t="shared" si="99"/>
        <v>0</v>
      </c>
      <c r="AU229" s="141">
        <f t="shared" si="100"/>
        <v>0</v>
      </c>
    </row>
    <row r="230" spans="1:47">
      <c r="A230" s="28" t="s">
        <v>485</v>
      </c>
      <c r="B230" s="27" t="s">
        <v>486</v>
      </c>
      <c r="C230" s="27" t="s">
        <v>99</v>
      </c>
      <c r="D230" s="27" t="s">
        <v>2</v>
      </c>
      <c r="E230" s="27" t="s">
        <v>129</v>
      </c>
      <c r="F230" s="112">
        <v>1647561.82</v>
      </c>
      <c r="G230" s="112">
        <v>0</v>
      </c>
      <c r="H230" s="112">
        <v>3000000</v>
      </c>
      <c r="I230" s="124">
        <v>200</v>
      </c>
      <c r="J230" s="124">
        <v>0</v>
      </c>
      <c r="K230" s="124">
        <v>60</v>
      </c>
      <c r="L230" s="124">
        <v>0</v>
      </c>
      <c r="M230" s="124">
        <v>0</v>
      </c>
      <c r="N230" s="44">
        <f t="shared" si="105"/>
        <v>260</v>
      </c>
      <c r="O230" s="44">
        <v>3242000</v>
      </c>
      <c r="P230" s="125">
        <f t="shared" si="94"/>
        <v>3242000</v>
      </c>
      <c r="Q230" s="44"/>
      <c r="R230" s="44">
        <f t="shared" si="106"/>
        <v>3242000</v>
      </c>
      <c r="S230" s="54">
        <v>0</v>
      </c>
      <c r="T230" s="54">
        <v>340</v>
      </c>
      <c r="U230" s="54">
        <v>160</v>
      </c>
      <c r="V230" s="60">
        <v>160</v>
      </c>
      <c r="W230" s="60">
        <v>0</v>
      </c>
      <c r="X230" s="60">
        <v>80</v>
      </c>
      <c r="Y230" s="60">
        <v>0</v>
      </c>
      <c r="Z230" s="60">
        <v>0</v>
      </c>
      <c r="AA230" s="60">
        <f t="shared" si="107"/>
        <v>240</v>
      </c>
      <c r="AB230" s="60">
        <v>3216000</v>
      </c>
      <c r="AC230" s="43">
        <v>0</v>
      </c>
      <c r="AD230" s="60">
        <v>0</v>
      </c>
      <c r="AE230" s="60"/>
      <c r="AF230" s="60"/>
      <c r="AG230" s="60"/>
      <c r="AH230" s="60">
        <f t="shared" si="108"/>
        <v>4863561.82</v>
      </c>
      <c r="AI230" s="60"/>
      <c r="AJ230" s="60">
        <f t="shared" si="101"/>
        <v>4863561.82</v>
      </c>
      <c r="AK230" s="7"/>
      <c r="AL230" s="64">
        <v>671900</v>
      </c>
      <c r="AM230" s="64">
        <v>517800</v>
      </c>
      <c r="AN230" s="64">
        <v>369800</v>
      </c>
      <c r="AO230" s="64">
        <v>28070.1754385965</v>
      </c>
      <c r="AP230" s="64">
        <v>108070.175438597</v>
      </c>
      <c r="AQ230" s="64">
        <f t="shared" si="109"/>
        <v>1695640.35087719</v>
      </c>
      <c r="AR230" s="59">
        <f t="shared" si="97"/>
        <v>40</v>
      </c>
      <c r="AS230" s="59">
        <f t="shared" si="98"/>
        <v>-20</v>
      </c>
      <c r="AT230" s="141">
        <f t="shared" si="99"/>
        <v>3.07692307692308</v>
      </c>
      <c r="AU230" s="141">
        <f t="shared" si="100"/>
        <v>-1.53846153846154</v>
      </c>
    </row>
    <row r="231" spans="1:47">
      <c r="A231" s="28" t="s">
        <v>487</v>
      </c>
      <c r="B231" s="27" t="s">
        <v>488</v>
      </c>
      <c r="C231" s="27" t="s">
        <v>52</v>
      </c>
      <c r="D231" s="27" t="s">
        <v>52</v>
      </c>
      <c r="E231" s="27"/>
      <c r="F231" s="112">
        <v>5209888.83</v>
      </c>
      <c r="G231" s="112">
        <v>3500000</v>
      </c>
      <c r="H231" s="112">
        <v>4384000</v>
      </c>
      <c r="I231" s="124">
        <v>80</v>
      </c>
      <c r="J231" s="124">
        <v>0</v>
      </c>
      <c r="K231" s="124">
        <v>80</v>
      </c>
      <c r="L231" s="124">
        <v>0</v>
      </c>
      <c r="M231" s="124">
        <v>0</v>
      </c>
      <c r="N231" s="44">
        <f t="shared" si="105"/>
        <v>160</v>
      </c>
      <c r="O231" s="44">
        <v>1924000</v>
      </c>
      <c r="P231" s="125">
        <f t="shared" si="94"/>
        <v>1924000</v>
      </c>
      <c r="Q231" s="44"/>
      <c r="R231" s="44">
        <f t="shared" si="106"/>
        <v>1924000</v>
      </c>
      <c r="S231" s="54">
        <v>1345782.77842105</v>
      </c>
      <c r="T231" s="54">
        <v>85</v>
      </c>
      <c r="U231" s="54">
        <v>40</v>
      </c>
      <c r="V231" s="60">
        <v>70</v>
      </c>
      <c r="W231" s="60">
        <v>0</v>
      </c>
      <c r="X231" s="60">
        <v>100</v>
      </c>
      <c r="Y231" s="60">
        <v>0</v>
      </c>
      <c r="Z231" s="60">
        <v>0</v>
      </c>
      <c r="AA231" s="60">
        <f t="shared" si="107"/>
        <v>170</v>
      </c>
      <c r="AB231" s="60">
        <v>2167500</v>
      </c>
      <c r="AC231" s="43">
        <v>0</v>
      </c>
      <c r="AD231" s="60">
        <v>0</v>
      </c>
      <c r="AE231" s="60"/>
      <c r="AF231" s="60"/>
      <c r="AG231" s="60"/>
      <c r="AH231" s="60">
        <f t="shared" si="108"/>
        <v>7377388.83</v>
      </c>
      <c r="AI231" s="60">
        <f>AH231-AQ231-H231</f>
        <v>2629282.77842105</v>
      </c>
      <c r="AJ231" s="60">
        <f t="shared" si="101"/>
        <v>3877388.83</v>
      </c>
      <c r="AK231" s="7"/>
      <c r="AL231" s="64">
        <v>55000</v>
      </c>
      <c r="AM231" s="64">
        <v>82738.02</v>
      </c>
      <c r="AN231" s="64">
        <v>205315.4</v>
      </c>
      <c r="AO231" s="64">
        <v>9473.68421052631</v>
      </c>
      <c r="AP231" s="64">
        <v>11578.9473684211</v>
      </c>
      <c r="AQ231" s="64">
        <f t="shared" si="109"/>
        <v>364106.051578947</v>
      </c>
      <c r="AR231" s="59">
        <f t="shared" si="97"/>
        <v>10</v>
      </c>
      <c r="AS231" s="59">
        <f t="shared" si="98"/>
        <v>-20</v>
      </c>
      <c r="AT231" s="141">
        <f t="shared" si="99"/>
        <v>0.769230769230769</v>
      </c>
      <c r="AU231" s="141">
        <f t="shared" si="100"/>
        <v>-1.53846153846154</v>
      </c>
    </row>
    <row r="232" spans="1:47">
      <c r="A232" s="154" t="s">
        <v>489</v>
      </c>
      <c r="B232" s="27" t="s">
        <v>490</v>
      </c>
      <c r="C232" s="27">
        <v>0</v>
      </c>
      <c r="D232" s="27" t="s">
        <v>99</v>
      </c>
      <c r="E232" s="27"/>
      <c r="F232" s="112">
        <v>29285.5</v>
      </c>
      <c r="G232" s="112">
        <v>0</v>
      </c>
      <c r="H232" s="112">
        <v>0</v>
      </c>
      <c r="I232" s="124">
        <v>0</v>
      </c>
      <c r="J232" s="124">
        <v>0</v>
      </c>
      <c r="K232" s="124">
        <v>0</v>
      </c>
      <c r="L232" s="124">
        <v>0</v>
      </c>
      <c r="M232" s="124">
        <v>0</v>
      </c>
      <c r="N232" s="44">
        <f t="shared" si="105"/>
        <v>0</v>
      </c>
      <c r="O232" s="44">
        <v>0</v>
      </c>
      <c r="P232" s="125">
        <f t="shared" si="94"/>
        <v>0</v>
      </c>
      <c r="Q232" s="44"/>
      <c r="R232" s="44">
        <f t="shared" si="106"/>
        <v>0</v>
      </c>
      <c r="S232" s="54">
        <v>0</v>
      </c>
      <c r="T232" s="54">
        <v>0</v>
      </c>
      <c r="U232" s="54">
        <v>0</v>
      </c>
      <c r="V232" s="60">
        <v>0</v>
      </c>
      <c r="W232" s="60">
        <v>0</v>
      </c>
      <c r="X232" s="60">
        <v>0</v>
      </c>
      <c r="Y232" s="60">
        <v>0</v>
      </c>
      <c r="Z232" s="60">
        <v>0</v>
      </c>
      <c r="AA232" s="60">
        <f t="shared" si="107"/>
        <v>0</v>
      </c>
      <c r="AB232" s="60">
        <v>0</v>
      </c>
      <c r="AC232" s="43">
        <v>0</v>
      </c>
      <c r="AD232" s="60">
        <v>0</v>
      </c>
      <c r="AE232" s="60"/>
      <c r="AF232" s="60"/>
      <c r="AG232" s="60"/>
      <c r="AH232" s="60">
        <f t="shared" si="108"/>
        <v>29285.5</v>
      </c>
      <c r="AI232" s="60"/>
      <c r="AJ232" s="60">
        <f t="shared" si="101"/>
        <v>29285.5</v>
      </c>
      <c r="AK232" s="7"/>
      <c r="AL232" s="64">
        <v>0</v>
      </c>
      <c r="AM232" s="64">
        <v>0</v>
      </c>
      <c r="AN232" s="64">
        <v>0</v>
      </c>
      <c r="AO232" s="64">
        <v>0</v>
      </c>
      <c r="AP232" s="64">
        <v>0</v>
      </c>
      <c r="AQ232" s="64">
        <f t="shared" si="109"/>
        <v>0</v>
      </c>
      <c r="AR232" s="59">
        <f t="shared" si="97"/>
        <v>0</v>
      </c>
      <c r="AS232" s="59">
        <f t="shared" si="98"/>
        <v>0</v>
      </c>
      <c r="AT232" s="141">
        <f t="shared" si="99"/>
        <v>0</v>
      </c>
      <c r="AU232" s="141">
        <f t="shared" si="100"/>
        <v>0</v>
      </c>
    </row>
    <row r="233" spans="1:47">
      <c r="A233" s="28" t="s">
        <v>491</v>
      </c>
      <c r="B233" s="174" t="s">
        <v>492</v>
      </c>
      <c r="C233" s="27">
        <v>0</v>
      </c>
      <c r="D233" s="27">
        <v>0</v>
      </c>
      <c r="E233" s="27"/>
      <c r="F233" s="112">
        <v>757939.01</v>
      </c>
      <c r="G233" s="112"/>
      <c r="H233" s="112"/>
      <c r="I233" s="124">
        <v>0</v>
      </c>
      <c r="J233" s="124">
        <v>0</v>
      </c>
      <c r="K233" s="124">
        <v>0</v>
      </c>
      <c r="L233" s="124">
        <v>0</v>
      </c>
      <c r="M233" s="124">
        <v>0</v>
      </c>
      <c r="N233" s="44">
        <f t="shared" si="105"/>
        <v>0</v>
      </c>
      <c r="O233" s="44">
        <v>0</v>
      </c>
      <c r="P233" s="125">
        <f t="shared" si="94"/>
        <v>0</v>
      </c>
      <c r="Q233" s="44"/>
      <c r="R233" s="44">
        <f t="shared" si="106"/>
        <v>0</v>
      </c>
      <c r="S233" s="54">
        <v>0</v>
      </c>
      <c r="T233" s="54">
        <v>0</v>
      </c>
      <c r="U233" s="54">
        <v>0</v>
      </c>
      <c r="V233" s="60">
        <v>0</v>
      </c>
      <c r="W233" s="60">
        <v>0</v>
      </c>
      <c r="X233" s="60">
        <v>0</v>
      </c>
      <c r="Y233" s="60">
        <v>0</v>
      </c>
      <c r="Z233" s="60">
        <v>0</v>
      </c>
      <c r="AA233" s="60">
        <f t="shared" si="107"/>
        <v>0</v>
      </c>
      <c r="AB233" s="60">
        <v>0</v>
      </c>
      <c r="AC233" s="43">
        <v>0</v>
      </c>
      <c r="AD233" s="60">
        <v>0</v>
      </c>
      <c r="AE233" s="60"/>
      <c r="AF233" s="60"/>
      <c r="AG233" s="60"/>
      <c r="AH233" s="60">
        <f t="shared" si="108"/>
        <v>757939.01</v>
      </c>
      <c r="AI233" s="60"/>
      <c r="AJ233" s="60"/>
      <c r="AK233" s="7"/>
      <c r="AL233" s="64">
        <v>0</v>
      </c>
      <c r="AM233" s="64">
        <v>0</v>
      </c>
      <c r="AN233" s="64">
        <v>9000</v>
      </c>
      <c r="AO233" s="64">
        <v>1964.91228070175</v>
      </c>
      <c r="AP233" s="64">
        <v>5403.50877192982</v>
      </c>
      <c r="AQ233" s="64">
        <f t="shared" si="109"/>
        <v>16368.4210526316</v>
      </c>
      <c r="AR233" s="59">
        <f t="shared" si="97"/>
        <v>0</v>
      </c>
      <c r="AS233" s="59">
        <f t="shared" si="98"/>
        <v>0</v>
      </c>
      <c r="AT233" s="141">
        <f t="shared" si="99"/>
        <v>0</v>
      </c>
      <c r="AU233" s="141">
        <f t="shared" si="100"/>
        <v>0</v>
      </c>
    </row>
    <row r="234" spans="1:47">
      <c r="A234" s="28" t="s">
        <v>493</v>
      </c>
      <c r="B234" s="27" t="s">
        <v>494</v>
      </c>
      <c r="C234" s="27">
        <v>0</v>
      </c>
      <c r="D234" s="27" t="s">
        <v>2</v>
      </c>
      <c r="E234" s="27"/>
      <c r="F234" s="112">
        <v>76682</v>
      </c>
      <c r="G234" s="112">
        <v>0</v>
      </c>
      <c r="H234" s="112">
        <v>0</v>
      </c>
      <c r="I234" s="124">
        <v>0</v>
      </c>
      <c r="J234" s="124">
        <v>0</v>
      </c>
      <c r="K234" s="124">
        <v>0</v>
      </c>
      <c r="L234" s="124">
        <v>0</v>
      </c>
      <c r="M234" s="124">
        <v>0</v>
      </c>
      <c r="N234" s="44">
        <f t="shared" si="105"/>
        <v>0</v>
      </c>
      <c r="O234" s="44">
        <v>0</v>
      </c>
      <c r="P234" s="125">
        <f t="shared" si="94"/>
        <v>0</v>
      </c>
      <c r="Q234" s="44"/>
      <c r="R234" s="44">
        <f t="shared" si="106"/>
        <v>0</v>
      </c>
      <c r="S234" s="54">
        <v>0</v>
      </c>
      <c r="T234" s="54">
        <v>0</v>
      </c>
      <c r="U234" s="54">
        <v>0</v>
      </c>
      <c r="V234" s="60">
        <v>0</v>
      </c>
      <c r="W234" s="60">
        <v>0</v>
      </c>
      <c r="X234" s="60">
        <v>0</v>
      </c>
      <c r="Y234" s="60">
        <v>0</v>
      </c>
      <c r="Z234" s="60">
        <v>0</v>
      </c>
      <c r="AA234" s="60">
        <f t="shared" si="107"/>
        <v>0</v>
      </c>
      <c r="AB234" s="60">
        <v>0</v>
      </c>
      <c r="AC234" s="43">
        <v>0</v>
      </c>
      <c r="AD234" s="60">
        <v>0</v>
      </c>
      <c r="AE234" s="60"/>
      <c r="AF234" s="60"/>
      <c r="AG234" s="60"/>
      <c r="AH234" s="60">
        <f t="shared" si="108"/>
        <v>76682</v>
      </c>
      <c r="AI234" s="60"/>
      <c r="AJ234" s="60">
        <f t="shared" si="101"/>
        <v>76682</v>
      </c>
      <c r="AK234" s="7"/>
      <c r="AL234" s="64">
        <v>0</v>
      </c>
      <c r="AM234" s="64">
        <v>0</v>
      </c>
      <c r="AN234" s="64">
        <v>0</v>
      </c>
      <c r="AO234" s="64">
        <v>0</v>
      </c>
      <c r="AP234" s="64">
        <v>0</v>
      </c>
      <c r="AQ234" s="64">
        <f t="shared" si="109"/>
        <v>0</v>
      </c>
      <c r="AR234" s="59">
        <f t="shared" si="97"/>
        <v>0</v>
      </c>
      <c r="AS234" s="59">
        <f t="shared" si="98"/>
        <v>0</v>
      </c>
      <c r="AT234" s="141">
        <f t="shared" si="99"/>
        <v>0</v>
      </c>
      <c r="AU234" s="141">
        <f t="shared" si="100"/>
        <v>0</v>
      </c>
    </row>
    <row r="235" spans="1:47">
      <c r="A235" s="28" t="s">
        <v>495</v>
      </c>
      <c r="B235" s="27" t="s">
        <v>496</v>
      </c>
      <c r="C235" s="27">
        <v>0</v>
      </c>
      <c r="D235" s="27">
        <v>0</v>
      </c>
      <c r="E235" s="27"/>
      <c r="F235" s="112">
        <v>-11778</v>
      </c>
      <c r="G235" s="112">
        <v>0</v>
      </c>
      <c r="H235" s="112">
        <v>0</v>
      </c>
      <c r="I235" s="124">
        <v>0</v>
      </c>
      <c r="J235" s="124">
        <v>0</v>
      </c>
      <c r="K235" s="124">
        <v>0</v>
      </c>
      <c r="L235" s="124">
        <v>0</v>
      </c>
      <c r="M235" s="124">
        <v>0</v>
      </c>
      <c r="N235" s="44">
        <f t="shared" si="105"/>
        <v>0</v>
      </c>
      <c r="O235" s="44">
        <v>0</v>
      </c>
      <c r="P235" s="125">
        <f t="shared" si="94"/>
        <v>0</v>
      </c>
      <c r="Q235" s="44"/>
      <c r="R235" s="44">
        <f t="shared" si="106"/>
        <v>0</v>
      </c>
      <c r="S235" s="54">
        <v>0</v>
      </c>
      <c r="T235" s="54">
        <v>0</v>
      </c>
      <c r="U235" s="54">
        <v>0</v>
      </c>
      <c r="V235" s="60">
        <v>0</v>
      </c>
      <c r="W235" s="60">
        <v>0</v>
      </c>
      <c r="X235" s="60">
        <v>0</v>
      </c>
      <c r="Y235" s="60">
        <v>0</v>
      </c>
      <c r="Z235" s="60">
        <v>0</v>
      </c>
      <c r="AA235" s="60">
        <f t="shared" si="107"/>
        <v>0</v>
      </c>
      <c r="AB235" s="60">
        <v>0</v>
      </c>
      <c r="AC235" s="43">
        <v>0</v>
      </c>
      <c r="AD235" s="60">
        <v>0</v>
      </c>
      <c r="AE235" s="60"/>
      <c r="AF235" s="60"/>
      <c r="AG235" s="60"/>
      <c r="AH235" s="60">
        <f t="shared" si="108"/>
        <v>-11778</v>
      </c>
      <c r="AI235" s="60"/>
      <c r="AJ235" s="60"/>
      <c r="AK235" s="7"/>
      <c r="AL235" s="64">
        <v>0</v>
      </c>
      <c r="AM235" s="64">
        <v>0</v>
      </c>
      <c r="AN235" s="64">
        <v>0</v>
      </c>
      <c r="AO235" s="64">
        <v>0</v>
      </c>
      <c r="AP235" s="64">
        <v>0</v>
      </c>
      <c r="AQ235" s="64">
        <f t="shared" si="109"/>
        <v>0</v>
      </c>
      <c r="AR235" s="59">
        <f t="shared" si="97"/>
        <v>0</v>
      </c>
      <c r="AS235" s="59">
        <f t="shared" si="98"/>
        <v>0</v>
      </c>
      <c r="AT235" s="141">
        <f t="shared" si="99"/>
        <v>0</v>
      </c>
      <c r="AU235" s="141">
        <f t="shared" si="100"/>
        <v>0</v>
      </c>
    </row>
    <row r="236" spans="1:47">
      <c r="A236" s="28" t="s">
        <v>497</v>
      </c>
      <c r="B236" s="27" t="s">
        <v>498</v>
      </c>
      <c r="C236" s="27" t="s">
        <v>99</v>
      </c>
      <c r="D236" s="27" t="s">
        <v>99</v>
      </c>
      <c r="E236" s="27"/>
      <c r="F236" s="112">
        <v>1415028</v>
      </c>
      <c r="G236" s="112">
        <v>0</v>
      </c>
      <c r="H236" s="112">
        <v>2286950</v>
      </c>
      <c r="I236" s="124">
        <v>200</v>
      </c>
      <c r="J236" s="124">
        <v>0</v>
      </c>
      <c r="K236" s="124">
        <v>100</v>
      </c>
      <c r="L236" s="124">
        <v>0</v>
      </c>
      <c r="M236" s="124">
        <v>0</v>
      </c>
      <c r="N236" s="44">
        <f t="shared" si="105"/>
        <v>300</v>
      </c>
      <c r="O236" s="44">
        <v>3650000</v>
      </c>
      <c r="P236" s="125">
        <f t="shared" si="94"/>
        <v>3650000</v>
      </c>
      <c r="Q236" s="44"/>
      <c r="R236" s="44">
        <f t="shared" si="106"/>
        <v>3650000</v>
      </c>
      <c r="S236" s="54">
        <v>0</v>
      </c>
      <c r="T236" s="54">
        <v>230</v>
      </c>
      <c r="U236" s="54">
        <v>120</v>
      </c>
      <c r="V236" s="60">
        <v>80</v>
      </c>
      <c r="W236" s="60">
        <v>0</v>
      </c>
      <c r="X236" s="60">
        <v>44</v>
      </c>
      <c r="Y236" s="60">
        <v>0</v>
      </c>
      <c r="Z236" s="60">
        <v>0</v>
      </c>
      <c r="AA236" s="60">
        <f t="shared" si="107"/>
        <v>124</v>
      </c>
      <c r="AB236" s="60">
        <v>1654800</v>
      </c>
      <c r="AC236" s="43">
        <v>800000</v>
      </c>
      <c r="AD236" s="60">
        <v>0</v>
      </c>
      <c r="AE236" s="60"/>
      <c r="AF236" s="60"/>
      <c r="AG236" s="60"/>
      <c r="AH236" s="60">
        <f t="shared" si="108"/>
        <v>2269828</v>
      </c>
      <c r="AI236" s="60">
        <f>AH236-AQ236-H236</f>
        <v>-978047.312280702</v>
      </c>
      <c r="AJ236" s="60">
        <f t="shared" si="101"/>
        <v>2269828</v>
      </c>
      <c r="AK236" s="7"/>
      <c r="AL236" s="64">
        <v>417360.4</v>
      </c>
      <c r="AM236" s="64">
        <v>233000</v>
      </c>
      <c r="AN236" s="64">
        <v>264600</v>
      </c>
      <c r="AO236" s="64">
        <v>11228.0701754386</v>
      </c>
      <c r="AP236" s="64">
        <v>34736.8421052632</v>
      </c>
      <c r="AQ236" s="64">
        <f t="shared" si="109"/>
        <v>960925.312280702</v>
      </c>
      <c r="AR236" s="59">
        <f t="shared" si="97"/>
        <v>120</v>
      </c>
      <c r="AS236" s="59">
        <f t="shared" si="98"/>
        <v>56</v>
      </c>
      <c r="AT236" s="141">
        <f t="shared" si="99"/>
        <v>9.23076923076923</v>
      </c>
      <c r="AU236" s="141">
        <f t="shared" si="100"/>
        <v>4.30769230769231</v>
      </c>
    </row>
    <row r="237" spans="1:47">
      <c r="A237" s="28" t="s">
        <v>499</v>
      </c>
      <c r="B237" s="27" t="s">
        <v>500</v>
      </c>
      <c r="C237" s="27">
        <v>0</v>
      </c>
      <c r="D237" s="27" t="s">
        <v>49</v>
      </c>
      <c r="E237" s="27"/>
      <c r="F237" s="112">
        <v>-10000</v>
      </c>
      <c r="G237" s="112">
        <v>0</v>
      </c>
      <c r="H237" s="112">
        <v>0</v>
      </c>
      <c r="I237" s="124">
        <v>0</v>
      </c>
      <c r="J237" s="124">
        <v>0</v>
      </c>
      <c r="K237" s="124">
        <v>0</v>
      </c>
      <c r="L237" s="124">
        <v>0</v>
      </c>
      <c r="M237" s="124">
        <v>0</v>
      </c>
      <c r="N237" s="44">
        <f t="shared" si="105"/>
        <v>0</v>
      </c>
      <c r="O237" s="44">
        <v>0</v>
      </c>
      <c r="P237" s="125">
        <f t="shared" si="94"/>
        <v>0</v>
      </c>
      <c r="Q237" s="44"/>
      <c r="R237" s="44">
        <f t="shared" si="106"/>
        <v>0</v>
      </c>
      <c r="S237" s="54">
        <v>0</v>
      </c>
      <c r="T237" s="54">
        <v>0</v>
      </c>
      <c r="U237" s="54">
        <v>0</v>
      </c>
      <c r="V237" s="60">
        <v>0</v>
      </c>
      <c r="W237" s="60">
        <v>0</v>
      </c>
      <c r="X237" s="60">
        <v>0</v>
      </c>
      <c r="Y237" s="60">
        <v>0</v>
      </c>
      <c r="Z237" s="60">
        <v>0</v>
      </c>
      <c r="AA237" s="60">
        <f t="shared" si="107"/>
        <v>0</v>
      </c>
      <c r="AB237" s="60">
        <v>0</v>
      </c>
      <c r="AC237" s="43">
        <v>0</v>
      </c>
      <c r="AD237" s="60">
        <v>0</v>
      </c>
      <c r="AE237" s="60"/>
      <c r="AF237" s="60"/>
      <c r="AG237" s="60"/>
      <c r="AH237" s="60">
        <f t="shared" si="108"/>
        <v>-10000</v>
      </c>
      <c r="AI237" s="60"/>
      <c r="AJ237" s="60"/>
      <c r="AK237" s="7"/>
      <c r="AL237" s="64">
        <v>0</v>
      </c>
      <c r="AM237" s="64">
        <v>0</v>
      </c>
      <c r="AN237" s="64">
        <v>0</v>
      </c>
      <c r="AO237" s="64">
        <v>0</v>
      </c>
      <c r="AP237" s="64">
        <v>0</v>
      </c>
      <c r="AQ237" s="64">
        <f t="shared" si="109"/>
        <v>0</v>
      </c>
      <c r="AR237" s="59">
        <f t="shared" si="97"/>
        <v>0</v>
      </c>
      <c r="AS237" s="59">
        <f t="shared" si="98"/>
        <v>0</v>
      </c>
      <c r="AT237" s="141">
        <f t="shared" si="99"/>
        <v>0</v>
      </c>
      <c r="AU237" s="141">
        <f t="shared" si="100"/>
        <v>0</v>
      </c>
    </row>
    <row r="238" spans="1:47">
      <c r="A238" s="28" t="s">
        <v>501</v>
      </c>
      <c r="B238" s="27" t="s">
        <v>502</v>
      </c>
      <c r="C238" s="27" t="s">
        <v>99</v>
      </c>
      <c r="D238" s="27" t="s">
        <v>99</v>
      </c>
      <c r="E238" s="27"/>
      <c r="F238" s="112">
        <v>1927175</v>
      </c>
      <c r="G238" s="112"/>
      <c r="H238" s="112"/>
      <c r="I238" s="124">
        <v>100</v>
      </c>
      <c r="J238" s="124">
        <v>0</v>
      </c>
      <c r="K238" s="124">
        <v>80</v>
      </c>
      <c r="L238" s="124">
        <v>0</v>
      </c>
      <c r="M238" s="124">
        <v>0</v>
      </c>
      <c r="N238" s="44">
        <f t="shared" si="105"/>
        <v>180</v>
      </c>
      <c r="O238" s="44">
        <v>2152000</v>
      </c>
      <c r="P238" s="125">
        <f t="shared" si="94"/>
        <v>2152000</v>
      </c>
      <c r="Q238" s="44"/>
      <c r="R238" s="44">
        <f t="shared" si="106"/>
        <v>2152000</v>
      </c>
      <c r="S238" s="54">
        <v>469645.6</v>
      </c>
      <c r="T238" s="54">
        <v>115</v>
      </c>
      <c r="U238" s="54">
        <v>60</v>
      </c>
      <c r="V238" s="60">
        <v>0</v>
      </c>
      <c r="W238" s="60">
        <v>0</v>
      </c>
      <c r="X238" s="60">
        <v>44</v>
      </c>
      <c r="Y238" s="60">
        <v>0</v>
      </c>
      <c r="Z238" s="60">
        <v>0</v>
      </c>
      <c r="AA238" s="60">
        <f t="shared" si="107"/>
        <v>44</v>
      </c>
      <c r="AB238" s="60">
        <v>479600</v>
      </c>
      <c r="AC238" s="43">
        <v>716500</v>
      </c>
      <c r="AD238" s="60">
        <v>342581.8</v>
      </c>
      <c r="AE238" s="60"/>
      <c r="AF238" s="60"/>
      <c r="AG238" s="60"/>
      <c r="AH238" s="60">
        <f t="shared" si="108"/>
        <v>1347693.2</v>
      </c>
      <c r="AI238" s="60">
        <f>AH238-AQ238-H238</f>
        <v>1341463.8</v>
      </c>
      <c r="AJ238" s="60">
        <f t="shared" si="101"/>
        <v>1347693.2</v>
      </c>
      <c r="AK238" s="68" t="e">
        <f>#REF!-#REF!</f>
        <v>#REF!</v>
      </c>
      <c r="AL238" s="64">
        <v>0</v>
      </c>
      <c r="AM238" s="64">
        <v>0</v>
      </c>
      <c r="AN238" s="64">
        <v>6229.4</v>
      </c>
      <c r="AO238" s="64">
        <v>0</v>
      </c>
      <c r="AP238" s="64">
        <v>0</v>
      </c>
      <c r="AQ238" s="64">
        <f t="shared" si="109"/>
        <v>6229.4</v>
      </c>
      <c r="AR238" s="59">
        <f t="shared" si="97"/>
        <v>100</v>
      </c>
      <c r="AS238" s="59">
        <f t="shared" si="98"/>
        <v>36</v>
      </c>
      <c r="AT238" s="141">
        <f t="shared" si="99"/>
        <v>7.69230769230769</v>
      </c>
      <c r="AU238" s="141">
        <f t="shared" si="100"/>
        <v>2.76923076923077</v>
      </c>
    </row>
    <row r="239" spans="1:47">
      <c r="A239" s="113" t="s">
        <v>503</v>
      </c>
      <c r="B239" s="27" t="s">
        <v>504</v>
      </c>
      <c r="C239" s="27" t="s">
        <v>52</v>
      </c>
      <c r="D239" s="27" t="s">
        <v>52</v>
      </c>
      <c r="E239" s="27"/>
      <c r="F239" s="112">
        <v>1017814.71</v>
      </c>
      <c r="G239" s="112">
        <v>1000000</v>
      </c>
      <c r="H239" s="112">
        <v>1274000</v>
      </c>
      <c r="I239" s="124">
        <v>10</v>
      </c>
      <c r="J239" s="124">
        <v>0</v>
      </c>
      <c r="K239" s="124">
        <v>20</v>
      </c>
      <c r="L239" s="124">
        <v>0</v>
      </c>
      <c r="M239" s="124">
        <v>0</v>
      </c>
      <c r="N239" s="44">
        <f t="shared" si="105"/>
        <v>30</v>
      </c>
      <c r="O239" s="44">
        <v>349500</v>
      </c>
      <c r="P239" s="125">
        <f t="shared" si="94"/>
        <v>349500</v>
      </c>
      <c r="Q239" s="44"/>
      <c r="R239" s="44">
        <f t="shared" si="106"/>
        <v>349500</v>
      </c>
      <c r="S239" s="54">
        <v>0</v>
      </c>
      <c r="T239" s="54">
        <v>80</v>
      </c>
      <c r="U239" s="54">
        <v>40</v>
      </c>
      <c r="V239" s="60">
        <v>10</v>
      </c>
      <c r="W239" s="60">
        <v>0</v>
      </c>
      <c r="X239" s="60">
        <v>20</v>
      </c>
      <c r="Y239" s="60">
        <v>0</v>
      </c>
      <c r="Z239" s="60">
        <v>0</v>
      </c>
      <c r="AA239" s="60">
        <f t="shared" si="107"/>
        <v>30</v>
      </c>
      <c r="AB239" s="60">
        <v>376500</v>
      </c>
      <c r="AC239" s="43">
        <v>0</v>
      </c>
      <c r="AD239" s="60">
        <v>0</v>
      </c>
      <c r="AE239" s="60"/>
      <c r="AF239" s="60"/>
      <c r="AG239" s="60"/>
      <c r="AH239" s="60">
        <f t="shared" si="108"/>
        <v>1394314.71</v>
      </c>
      <c r="AI239" s="60">
        <f>AH239-AQ239-H239</f>
        <v>25514.71</v>
      </c>
      <c r="AJ239" s="60">
        <f t="shared" si="101"/>
        <v>394314.71</v>
      </c>
      <c r="AK239" s="7"/>
      <c r="AL239" s="64">
        <v>48500</v>
      </c>
      <c r="AM239" s="64">
        <v>14500</v>
      </c>
      <c r="AN239" s="64">
        <v>31800</v>
      </c>
      <c r="AO239" s="64">
        <v>0</v>
      </c>
      <c r="AP239" s="64">
        <v>0</v>
      </c>
      <c r="AQ239" s="64">
        <f t="shared" si="109"/>
        <v>94800</v>
      </c>
      <c r="AR239" s="59">
        <f t="shared" si="97"/>
        <v>0</v>
      </c>
      <c r="AS239" s="59">
        <f t="shared" si="98"/>
        <v>0</v>
      </c>
      <c r="AT239" s="141">
        <f t="shared" si="99"/>
        <v>0</v>
      </c>
      <c r="AU239" s="141">
        <f t="shared" si="100"/>
        <v>0</v>
      </c>
    </row>
    <row r="240" spans="1:47">
      <c r="A240" s="113" t="s">
        <v>505</v>
      </c>
      <c r="B240" s="27" t="s">
        <v>506</v>
      </c>
      <c r="C240" s="27" t="s">
        <v>2</v>
      </c>
      <c r="D240" s="27" t="s">
        <v>2</v>
      </c>
      <c r="E240" s="27"/>
      <c r="F240" s="112">
        <v>9603166.15</v>
      </c>
      <c r="G240" s="112">
        <v>0</v>
      </c>
      <c r="H240" s="112">
        <v>3627308.15</v>
      </c>
      <c r="I240" s="124">
        <v>300</v>
      </c>
      <c r="J240" s="124">
        <v>0</v>
      </c>
      <c r="K240" s="124">
        <v>8</v>
      </c>
      <c r="L240" s="124">
        <v>0</v>
      </c>
      <c r="M240" s="124">
        <v>0</v>
      </c>
      <c r="N240" s="44">
        <f t="shared" si="105"/>
        <v>308</v>
      </c>
      <c r="O240" s="44">
        <v>4046400</v>
      </c>
      <c r="P240" s="125">
        <f t="shared" si="94"/>
        <v>4046400</v>
      </c>
      <c r="Q240" s="44"/>
      <c r="R240" s="44">
        <f t="shared" si="106"/>
        <v>4046400</v>
      </c>
      <c r="S240" s="54">
        <v>0</v>
      </c>
      <c r="T240" s="54">
        <v>300</v>
      </c>
      <c r="U240" s="54">
        <v>0</v>
      </c>
      <c r="V240" s="60">
        <v>0</v>
      </c>
      <c r="W240" s="60">
        <v>0</v>
      </c>
      <c r="X240" s="60">
        <v>8</v>
      </c>
      <c r="Y240" s="60">
        <v>0</v>
      </c>
      <c r="Z240" s="60">
        <v>0</v>
      </c>
      <c r="AA240" s="60">
        <f t="shared" si="107"/>
        <v>8</v>
      </c>
      <c r="AB240" s="60">
        <v>93600</v>
      </c>
      <c r="AC240" s="43">
        <v>380000</v>
      </c>
      <c r="AD240" s="60">
        <v>2112693</v>
      </c>
      <c r="AE240" s="60"/>
      <c r="AF240" s="60"/>
      <c r="AG240" s="60"/>
      <c r="AH240" s="60">
        <f t="shared" si="108"/>
        <v>7204073.15</v>
      </c>
      <c r="AI240" s="60">
        <f>AH240-AQ240-H240</f>
        <v>2841235.10105263</v>
      </c>
      <c r="AJ240" s="60">
        <v>2300000</v>
      </c>
      <c r="AK240" s="7"/>
      <c r="AL240" s="64">
        <v>293054.97</v>
      </c>
      <c r="AM240" s="64">
        <v>118109.21</v>
      </c>
      <c r="AN240" s="64">
        <v>280734.14</v>
      </c>
      <c r="AO240" s="64">
        <v>10245.6140350877</v>
      </c>
      <c r="AP240" s="64">
        <v>33385.9649122807</v>
      </c>
      <c r="AQ240" s="64">
        <f t="shared" si="109"/>
        <v>735529.898947368</v>
      </c>
      <c r="AR240" s="59">
        <f t="shared" si="97"/>
        <v>300</v>
      </c>
      <c r="AS240" s="59">
        <f t="shared" si="98"/>
        <v>0</v>
      </c>
      <c r="AT240" s="141">
        <f t="shared" si="99"/>
        <v>23.0769230769231</v>
      </c>
      <c r="AU240" s="141">
        <f t="shared" si="100"/>
        <v>0</v>
      </c>
    </row>
    <row r="241" spans="1:47">
      <c r="A241" s="113" t="s">
        <v>507</v>
      </c>
      <c r="B241" s="27" t="s">
        <v>508</v>
      </c>
      <c r="C241" s="27" t="s">
        <v>52</v>
      </c>
      <c r="D241" s="27" t="s">
        <v>52</v>
      </c>
      <c r="E241" s="27"/>
      <c r="F241" s="112">
        <v>1589932</v>
      </c>
      <c r="G241" s="114">
        <f>1060138*1</f>
        <v>1060138</v>
      </c>
      <c r="H241" s="112">
        <v>1745138</v>
      </c>
      <c r="I241" s="124">
        <v>80</v>
      </c>
      <c r="J241" s="124">
        <v>0</v>
      </c>
      <c r="K241" s="124">
        <v>0</v>
      </c>
      <c r="L241" s="124">
        <v>0</v>
      </c>
      <c r="M241" s="124">
        <v>0</v>
      </c>
      <c r="N241" s="44">
        <f t="shared" si="105"/>
        <v>80</v>
      </c>
      <c r="O241" s="44">
        <v>1064000</v>
      </c>
      <c r="P241" s="125">
        <f t="shared" si="94"/>
        <v>1064000</v>
      </c>
      <c r="Q241" s="44"/>
      <c r="R241" s="44">
        <f t="shared" si="106"/>
        <v>1064000</v>
      </c>
      <c r="S241" s="54">
        <v>391087.859649123</v>
      </c>
      <c r="T241" s="54">
        <v>75</v>
      </c>
      <c r="U241" s="54">
        <v>0</v>
      </c>
      <c r="V241" s="60">
        <v>80</v>
      </c>
      <c r="W241" s="60">
        <v>0</v>
      </c>
      <c r="X241" s="60">
        <v>0</v>
      </c>
      <c r="Y241" s="60">
        <v>0</v>
      </c>
      <c r="Z241" s="60">
        <v>0</v>
      </c>
      <c r="AA241" s="60">
        <f t="shared" si="107"/>
        <v>80</v>
      </c>
      <c r="AB241" s="60">
        <v>1140000</v>
      </c>
      <c r="AC241" s="43">
        <v>250000</v>
      </c>
      <c r="AD241" s="60">
        <v>0</v>
      </c>
      <c r="AE241" s="60"/>
      <c r="AF241" s="60"/>
      <c r="AG241" s="60"/>
      <c r="AH241" s="60">
        <f t="shared" si="108"/>
        <v>2479932</v>
      </c>
      <c r="AI241" s="60">
        <f>AH241-AQ241-H241</f>
        <v>596087.859649123</v>
      </c>
      <c r="AJ241" s="60">
        <f t="shared" si="101"/>
        <v>1419794</v>
      </c>
      <c r="AK241" s="7"/>
      <c r="AL241" s="64">
        <v>49500</v>
      </c>
      <c r="AM241" s="64">
        <v>38250</v>
      </c>
      <c r="AN241" s="64">
        <v>22500</v>
      </c>
      <c r="AO241" s="64">
        <v>3368.42105263158</v>
      </c>
      <c r="AP241" s="64">
        <v>25087.7192982456</v>
      </c>
      <c r="AQ241" s="64">
        <f t="shared" si="109"/>
        <v>138706.140350877</v>
      </c>
      <c r="AR241" s="59">
        <f t="shared" si="97"/>
        <v>0</v>
      </c>
      <c r="AS241" s="59">
        <f t="shared" si="98"/>
        <v>0</v>
      </c>
      <c r="AT241" s="141">
        <f t="shared" si="99"/>
        <v>0</v>
      </c>
      <c r="AU241" s="141">
        <f t="shared" si="100"/>
        <v>0</v>
      </c>
    </row>
    <row r="242" spans="1:47">
      <c r="A242" s="28" t="s">
        <v>509</v>
      </c>
      <c r="B242" s="27" t="s">
        <v>510</v>
      </c>
      <c r="C242" s="27">
        <v>0</v>
      </c>
      <c r="D242" s="27" t="s">
        <v>52</v>
      </c>
      <c r="E242" s="27"/>
      <c r="F242" s="112">
        <v>127442.41</v>
      </c>
      <c r="G242" s="112"/>
      <c r="H242" s="112"/>
      <c r="I242" s="124">
        <v>0</v>
      </c>
      <c r="J242" s="124">
        <v>0</v>
      </c>
      <c r="K242" s="124">
        <v>0</v>
      </c>
      <c r="L242" s="124">
        <v>0</v>
      </c>
      <c r="M242" s="124">
        <v>0</v>
      </c>
      <c r="N242" s="44">
        <f t="shared" si="105"/>
        <v>0</v>
      </c>
      <c r="O242" s="44">
        <v>0</v>
      </c>
      <c r="P242" s="125">
        <f t="shared" si="94"/>
        <v>0</v>
      </c>
      <c r="Q242" s="44"/>
      <c r="R242" s="44">
        <f t="shared" si="106"/>
        <v>0</v>
      </c>
      <c r="S242" s="54">
        <v>0</v>
      </c>
      <c r="T242" s="54">
        <v>0</v>
      </c>
      <c r="U242" s="54">
        <v>0</v>
      </c>
      <c r="V242" s="60">
        <v>0</v>
      </c>
      <c r="W242" s="60">
        <v>0</v>
      </c>
      <c r="X242" s="60">
        <v>0</v>
      </c>
      <c r="Y242" s="60">
        <v>0</v>
      </c>
      <c r="Z242" s="60">
        <v>0</v>
      </c>
      <c r="AA242" s="60">
        <f t="shared" si="107"/>
        <v>0</v>
      </c>
      <c r="AB242" s="60">
        <v>0</v>
      </c>
      <c r="AC242" s="43">
        <v>0</v>
      </c>
      <c r="AD242" s="60">
        <v>0</v>
      </c>
      <c r="AE242" s="60"/>
      <c r="AF242" s="60"/>
      <c r="AG242" s="60"/>
      <c r="AH242" s="60">
        <f t="shared" si="108"/>
        <v>127442.41</v>
      </c>
      <c r="AI242" s="60"/>
      <c r="AJ242" s="60"/>
      <c r="AK242" s="7"/>
      <c r="AL242" s="64">
        <v>0</v>
      </c>
      <c r="AM242" s="64">
        <v>0</v>
      </c>
      <c r="AN242" s="64">
        <v>0</v>
      </c>
      <c r="AO242" s="64">
        <v>0</v>
      </c>
      <c r="AP242" s="64">
        <v>0</v>
      </c>
      <c r="AQ242" s="64">
        <f t="shared" si="109"/>
        <v>0</v>
      </c>
      <c r="AR242" s="59">
        <f t="shared" si="97"/>
        <v>0</v>
      </c>
      <c r="AS242" s="59">
        <f t="shared" si="98"/>
        <v>0</v>
      </c>
      <c r="AT242" s="141">
        <f t="shared" si="99"/>
        <v>0</v>
      </c>
      <c r="AU242" s="141">
        <f t="shared" si="100"/>
        <v>0</v>
      </c>
    </row>
    <row r="243" spans="1:47">
      <c r="A243" s="28" t="s">
        <v>511</v>
      </c>
      <c r="B243" s="27" t="s">
        <v>512</v>
      </c>
      <c r="C243" s="27" t="s">
        <v>99</v>
      </c>
      <c r="D243" s="27" t="s">
        <v>99</v>
      </c>
      <c r="E243" s="27"/>
      <c r="F243" s="112">
        <v>1321347</v>
      </c>
      <c r="G243" s="112">
        <v>0</v>
      </c>
      <c r="H243" s="112">
        <v>411000</v>
      </c>
      <c r="I243" s="124">
        <v>60</v>
      </c>
      <c r="J243" s="124">
        <v>0</v>
      </c>
      <c r="K243" s="124">
        <v>0</v>
      </c>
      <c r="L243" s="124">
        <v>0</v>
      </c>
      <c r="M243" s="124">
        <v>0</v>
      </c>
      <c r="N243" s="44">
        <f t="shared" si="105"/>
        <v>60</v>
      </c>
      <c r="O243" s="44">
        <v>786000</v>
      </c>
      <c r="P243" s="125">
        <f t="shared" si="94"/>
        <v>786000</v>
      </c>
      <c r="Q243" s="44"/>
      <c r="R243" s="44">
        <f t="shared" si="106"/>
        <v>786000</v>
      </c>
      <c r="S243" s="54">
        <v>1176361.03508772</v>
      </c>
      <c r="T243" s="54">
        <v>75</v>
      </c>
      <c r="U243" s="54">
        <v>0</v>
      </c>
      <c r="V243" s="60">
        <v>30</v>
      </c>
      <c r="W243" s="60">
        <v>0</v>
      </c>
      <c r="X243" s="60">
        <v>0</v>
      </c>
      <c r="Y243" s="60">
        <v>0</v>
      </c>
      <c r="Z243" s="60">
        <v>0</v>
      </c>
      <c r="AA243" s="60">
        <f t="shared" si="107"/>
        <v>30</v>
      </c>
      <c r="AB243" s="60">
        <v>427500</v>
      </c>
      <c r="AC243" s="43">
        <v>400000</v>
      </c>
      <c r="AD243" s="60">
        <v>454755.4</v>
      </c>
      <c r="AE243" s="60"/>
      <c r="AF243" s="60"/>
      <c r="AG243" s="60"/>
      <c r="AH243" s="60">
        <f t="shared" si="108"/>
        <v>894091.6</v>
      </c>
      <c r="AI243" s="60"/>
      <c r="AJ243" s="60">
        <f t="shared" si="101"/>
        <v>894091.6</v>
      </c>
      <c r="AK243" s="68" t="e">
        <f>#REF!-#REF!</f>
        <v>#REF!</v>
      </c>
      <c r="AL243" s="64">
        <v>90600</v>
      </c>
      <c r="AM243" s="64">
        <v>30000</v>
      </c>
      <c r="AN243" s="64">
        <v>18000</v>
      </c>
      <c r="AO243" s="64">
        <v>2526.31578947368</v>
      </c>
      <c r="AP243" s="64">
        <v>3859.64912280702</v>
      </c>
      <c r="AQ243" s="64">
        <f t="shared" si="109"/>
        <v>144985.964912281</v>
      </c>
      <c r="AR243" s="59">
        <f t="shared" si="97"/>
        <v>30</v>
      </c>
      <c r="AS243" s="59">
        <f t="shared" si="98"/>
        <v>0</v>
      </c>
      <c r="AT243" s="141">
        <f t="shared" si="99"/>
        <v>2.30769230769231</v>
      </c>
      <c r="AU243" s="141">
        <f t="shared" si="100"/>
        <v>0</v>
      </c>
    </row>
    <row r="244" spans="1:47">
      <c r="A244" s="115" t="s">
        <v>513</v>
      </c>
      <c r="B244" s="119">
        <f>SUM(B229:B243)</f>
        <v>0</v>
      </c>
      <c r="C244" s="27">
        <v>0</v>
      </c>
      <c r="D244" s="27">
        <v>0</v>
      </c>
      <c r="E244" s="27"/>
      <c r="F244" s="119">
        <f t="shared" ref="F244:AD244" si="110">SUM(F229:F243)</f>
        <v>24741016.5</v>
      </c>
      <c r="G244" s="119">
        <f t="shared" si="110"/>
        <v>5560138</v>
      </c>
      <c r="H244" s="119">
        <f t="shared" si="110"/>
        <v>16728396.15</v>
      </c>
      <c r="I244" s="119">
        <f t="shared" si="110"/>
        <v>1030</v>
      </c>
      <c r="J244" s="119">
        <f t="shared" si="110"/>
        <v>0</v>
      </c>
      <c r="K244" s="119">
        <f t="shared" si="110"/>
        <v>348</v>
      </c>
      <c r="L244" s="119">
        <f t="shared" si="110"/>
        <v>0</v>
      </c>
      <c r="M244" s="119">
        <f t="shared" si="110"/>
        <v>0</v>
      </c>
      <c r="N244" s="119">
        <f t="shared" si="110"/>
        <v>1378</v>
      </c>
      <c r="O244" s="119">
        <f t="shared" si="110"/>
        <v>17213900</v>
      </c>
      <c r="P244" s="119">
        <f t="shared" si="110"/>
        <v>17213900</v>
      </c>
      <c r="Q244" s="119">
        <f t="shared" si="110"/>
        <v>0</v>
      </c>
      <c r="R244" s="119">
        <f t="shared" si="110"/>
        <v>17213900</v>
      </c>
      <c r="S244" s="119">
        <f t="shared" si="110"/>
        <v>3382877.27315789</v>
      </c>
      <c r="T244" s="119">
        <f t="shared" si="110"/>
        <v>1300</v>
      </c>
      <c r="U244" s="119">
        <f t="shared" si="110"/>
        <v>420</v>
      </c>
      <c r="V244" s="119">
        <f>SUM(V229:V243)</f>
        <v>430</v>
      </c>
      <c r="W244" s="119">
        <f>SUM(W229:W243)</f>
        <v>0</v>
      </c>
      <c r="X244" s="119">
        <f>SUM(X229:X243)</f>
        <v>296</v>
      </c>
      <c r="Y244" s="119">
        <f>SUM(Y229:Y243)</f>
        <v>0</v>
      </c>
      <c r="Z244" s="119">
        <f>SUM(Z229:Z243)</f>
        <v>0</v>
      </c>
      <c r="AA244" s="119">
        <f>SUM(AA229:AA243)</f>
        <v>726</v>
      </c>
      <c r="AB244" s="119">
        <f>SUM(AB229:AB243)</f>
        <v>9555500</v>
      </c>
      <c r="AC244" s="119">
        <f>SUM(AC229:AC243)</f>
        <v>2546500</v>
      </c>
      <c r="AD244" s="119">
        <f>SUM(AD229:AD243)</f>
        <v>2910030.2</v>
      </c>
      <c r="AE244" s="119"/>
      <c r="AF244" s="119">
        <f>SUM(AF229:AF243)</f>
        <v>0</v>
      </c>
      <c r="AG244" s="119"/>
      <c r="AH244" s="119">
        <f>SUM(AH229:AH243)</f>
        <v>28839986.3</v>
      </c>
      <c r="AI244" s="60">
        <f>AH244-AQ244-H244</f>
        <v>7932907.15700855</v>
      </c>
      <c r="AJ244" s="119">
        <f>SUM(AJ229:AJ243)</f>
        <v>17472639.66</v>
      </c>
      <c r="AK244" s="135"/>
      <c r="AL244" s="119">
        <f t="shared" ref="AL244:BH244" si="111">SUM(AL229:AL243)</f>
        <v>1632315.37</v>
      </c>
      <c r="AM244" s="119">
        <f t="shared" si="111"/>
        <v>1034397.23</v>
      </c>
      <c r="AN244" s="119">
        <f t="shared" si="111"/>
        <v>1219978.94</v>
      </c>
      <c r="AO244" s="119">
        <f t="shared" si="111"/>
        <v>66877.1929824561</v>
      </c>
      <c r="AP244" s="119">
        <f t="shared" si="111"/>
        <v>225114.260008997</v>
      </c>
      <c r="AQ244" s="143">
        <f t="shared" si="111"/>
        <v>4178682.99299145</v>
      </c>
      <c r="AR244" s="119">
        <f t="shared" si="111"/>
        <v>600</v>
      </c>
      <c r="AS244" s="119">
        <f t="shared" si="111"/>
        <v>52</v>
      </c>
      <c r="AT244" s="141">
        <f t="shared" si="99"/>
        <v>46.1538461538462</v>
      </c>
      <c r="AU244" s="141">
        <f t="shared" si="100"/>
        <v>4</v>
      </c>
    </row>
    <row r="245" s="3" customFormat="1" spans="1:47">
      <c r="A245" s="83" t="s">
        <v>255</v>
      </c>
      <c r="B245" s="89"/>
      <c r="C245" s="27">
        <v>0</v>
      </c>
      <c r="D245" s="145"/>
      <c r="E245" s="145"/>
      <c r="F245" s="112">
        <v>0</v>
      </c>
      <c r="G245" s="89"/>
      <c r="H245" s="89"/>
      <c r="I245" s="124">
        <v>550</v>
      </c>
      <c r="J245" s="124">
        <v>0</v>
      </c>
      <c r="K245" s="124">
        <v>2052</v>
      </c>
      <c r="L245" s="124">
        <v>0</v>
      </c>
      <c r="M245" s="124">
        <v>0</v>
      </c>
      <c r="N245" s="89">
        <f>SUM(I245:M245)</f>
        <v>2602</v>
      </c>
      <c r="O245" s="44">
        <v>15336600</v>
      </c>
      <c r="P245" s="125">
        <f t="shared" si="94"/>
        <v>15336600</v>
      </c>
      <c r="Q245" s="89"/>
      <c r="R245" s="89"/>
      <c r="S245" s="54">
        <v>6238750</v>
      </c>
      <c r="T245" s="54">
        <v>640</v>
      </c>
      <c r="U245" s="54">
        <v>2395</v>
      </c>
      <c r="V245" s="60">
        <v>0</v>
      </c>
      <c r="W245" s="60">
        <v>0</v>
      </c>
      <c r="X245" s="60">
        <v>0</v>
      </c>
      <c r="Y245" s="60">
        <v>0</v>
      </c>
      <c r="Z245" s="60">
        <v>0</v>
      </c>
      <c r="AA245" s="60">
        <f t="shared" ref="AA245:AA278" si="112">V245+W245+X245+Y245+Z245</f>
        <v>0</v>
      </c>
      <c r="AB245" s="60">
        <v>112622349</v>
      </c>
      <c r="AC245" s="43">
        <v>0</v>
      </c>
      <c r="AD245" s="60">
        <v>0</v>
      </c>
      <c r="AE245" s="60"/>
      <c r="AF245" s="60"/>
      <c r="AG245" s="60"/>
      <c r="AH245" s="89"/>
      <c r="AI245" s="89"/>
      <c r="AJ245" s="89">
        <f t="shared" si="101"/>
        <v>0</v>
      </c>
      <c r="AK245" s="148"/>
      <c r="AL245" s="64">
        <v>0</v>
      </c>
      <c r="AM245" s="64">
        <v>0</v>
      </c>
      <c r="AN245" s="64">
        <v>0</v>
      </c>
      <c r="AO245" s="64">
        <v>4912.28070175439</v>
      </c>
      <c r="AP245" s="64">
        <v>0</v>
      </c>
      <c r="AQ245" s="64">
        <f t="shared" ref="AQ245:AQ277" si="113">AL245+AM245+AN245+AO245+AP245</f>
        <v>4912.28070175439</v>
      </c>
      <c r="AR245" s="59">
        <f t="shared" si="97"/>
        <v>550</v>
      </c>
      <c r="AS245" s="59">
        <f t="shared" si="98"/>
        <v>2052</v>
      </c>
      <c r="AT245" s="141">
        <f t="shared" si="99"/>
        <v>42.3076923076923</v>
      </c>
      <c r="AU245" s="141">
        <f t="shared" si="100"/>
        <v>157.846153846154</v>
      </c>
    </row>
    <row r="246" s="3" customFormat="1" spans="1:47">
      <c r="A246" s="83" t="s">
        <v>256</v>
      </c>
      <c r="B246" s="89"/>
      <c r="C246" s="27">
        <v>0</v>
      </c>
      <c r="D246" s="145"/>
      <c r="E246" s="145"/>
      <c r="F246" s="112">
        <v>0</v>
      </c>
      <c r="G246" s="89"/>
      <c r="H246" s="89"/>
      <c r="I246" s="124">
        <v>550</v>
      </c>
      <c r="J246" s="124">
        <v>0</v>
      </c>
      <c r="K246" s="124">
        <v>2052</v>
      </c>
      <c r="L246" s="124">
        <v>0</v>
      </c>
      <c r="M246" s="124">
        <v>0</v>
      </c>
      <c r="N246" s="89">
        <f>SUM(I246:M246)</f>
        <v>2602</v>
      </c>
      <c r="O246" s="44">
        <v>15336600</v>
      </c>
      <c r="P246" s="125">
        <f t="shared" si="94"/>
        <v>15336600</v>
      </c>
      <c r="Q246" s="89"/>
      <c r="R246" s="89"/>
      <c r="S246" s="54">
        <v>6238750</v>
      </c>
      <c r="T246" s="54">
        <v>640</v>
      </c>
      <c r="U246" s="54">
        <v>2395</v>
      </c>
      <c r="V246" s="60">
        <v>0</v>
      </c>
      <c r="W246" s="60">
        <v>0</v>
      </c>
      <c r="X246" s="60">
        <v>0</v>
      </c>
      <c r="Y246" s="60">
        <v>0</v>
      </c>
      <c r="Z246" s="60">
        <v>0</v>
      </c>
      <c r="AA246" s="60">
        <f t="shared" si="112"/>
        <v>0</v>
      </c>
      <c r="AB246" s="60">
        <v>112622349</v>
      </c>
      <c r="AC246" s="43">
        <v>0</v>
      </c>
      <c r="AD246" s="60">
        <v>0</v>
      </c>
      <c r="AE246" s="60"/>
      <c r="AF246" s="60"/>
      <c r="AG246" s="60"/>
      <c r="AH246" s="89"/>
      <c r="AI246" s="89"/>
      <c r="AJ246" s="89">
        <f t="shared" si="101"/>
        <v>0</v>
      </c>
      <c r="AK246" s="148"/>
      <c r="AL246" s="64">
        <v>0</v>
      </c>
      <c r="AM246" s="64">
        <v>0</v>
      </c>
      <c r="AN246" s="64">
        <v>0</v>
      </c>
      <c r="AO246" s="64">
        <v>4912.28070175439</v>
      </c>
      <c r="AP246" s="64">
        <v>0</v>
      </c>
      <c r="AQ246" s="64">
        <f t="shared" si="113"/>
        <v>4912.28070175439</v>
      </c>
      <c r="AR246" s="59">
        <f t="shared" si="97"/>
        <v>550</v>
      </c>
      <c r="AS246" s="59">
        <f t="shared" si="98"/>
        <v>2052</v>
      </c>
      <c r="AT246" s="141">
        <f t="shared" si="99"/>
        <v>42.3076923076923</v>
      </c>
      <c r="AU246" s="141">
        <f t="shared" si="100"/>
        <v>157.846153846154</v>
      </c>
    </row>
    <row r="247" spans="1:47">
      <c r="A247" s="155" t="s">
        <v>514</v>
      </c>
      <c r="B247" s="27" t="s">
        <v>515</v>
      </c>
      <c r="C247" s="27">
        <v>0</v>
      </c>
      <c r="D247" s="27">
        <v>0</v>
      </c>
      <c r="E247" s="27"/>
      <c r="F247" s="112">
        <v>30829.56</v>
      </c>
      <c r="G247" s="112">
        <v>0</v>
      </c>
      <c r="H247" s="112">
        <v>137000</v>
      </c>
      <c r="I247" s="124">
        <v>0</v>
      </c>
      <c r="J247" s="124">
        <v>0</v>
      </c>
      <c r="K247" s="124">
        <v>0</v>
      </c>
      <c r="L247" s="124">
        <v>0</v>
      </c>
      <c r="M247" s="124">
        <v>0</v>
      </c>
      <c r="N247" s="44">
        <f t="shared" ref="N247:N277" si="114">SUM(I247:M247)</f>
        <v>0</v>
      </c>
      <c r="O247" s="44">
        <v>0</v>
      </c>
      <c r="P247" s="125">
        <f t="shared" si="94"/>
        <v>0</v>
      </c>
      <c r="Q247" s="44"/>
      <c r="R247" s="44">
        <f t="shared" ref="R247:R269" si="115">P247+Q247</f>
        <v>0</v>
      </c>
      <c r="S247" s="54">
        <v>0</v>
      </c>
      <c r="T247" s="54">
        <v>0</v>
      </c>
      <c r="U247" s="54">
        <v>0</v>
      </c>
      <c r="V247" s="60">
        <v>0</v>
      </c>
      <c r="W247" s="60">
        <v>0</v>
      </c>
      <c r="X247" s="60">
        <v>0</v>
      </c>
      <c r="Y247" s="60">
        <v>0</v>
      </c>
      <c r="Z247" s="60">
        <v>0</v>
      </c>
      <c r="AA247" s="60">
        <f t="shared" si="112"/>
        <v>0</v>
      </c>
      <c r="AB247" s="60">
        <v>0</v>
      </c>
      <c r="AC247" s="43">
        <v>0</v>
      </c>
      <c r="AD247" s="60">
        <v>0</v>
      </c>
      <c r="AE247" s="60"/>
      <c r="AF247" s="60"/>
      <c r="AG247" s="60"/>
      <c r="AH247" s="60">
        <f t="shared" ref="AH247:AH278" si="116">F247+AB247-AC247-AE247-AD247-AF247-AG247</f>
        <v>30829.56</v>
      </c>
      <c r="AI247" s="60"/>
      <c r="AJ247" s="60"/>
      <c r="AK247" s="7"/>
      <c r="AL247" s="64">
        <v>0</v>
      </c>
      <c r="AM247" s="64">
        <v>0</v>
      </c>
      <c r="AN247" s="64">
        <v>0</v>
      </c>
      <c r="AO247" s="64">
        <v>0</v>
      </c>
      <c r="AP247" s="64">
        <v>0</v>
      </c>
      <c r="AQ247" s="64">
        <f t="shared" si="113"/>
        <v>0</v>
      </c>
      <c r="AR247" s="59">
        <f t="shared" si="97"/>
        <v>0</v>
      </c>
      <c r="AS247" s="59">
        <f t="shared" si="98"/>
        <v>0</v>
      </c>
      <c r="AT247" s="141">
        <f t="shared" si="99"/>
        <v>0</v>
      </c>
      <c r="AU247" s="141">
        <f t="shared" si="100"/>
        <v>0</v>
      </c>
    </row>
    <row r="248" spans="1:47">
      <c r="A248" s="156" t="s">
        <v>516</v>
      </c>
      <c r="B248" s="27" t="s">
        <v>517</v>
      </c>
      <c r="C248" s="27" t="s">
        <v>2</v>
      </c>
      <c r="D248" s="27">
        <v>0</v>
      </c>
      <c r="E248" s="27"/>
      <c r="F248" s="112">
        <v>3682886</v>
      </c>
      <c r="G248" s="112">
        <v>3200298</v>
      </c>
      <c r="H248" s="112">
        <v>3200298</v>
      </c>
      <c r="I248" s="124">
        <v>0</v>
      </c>
      <c r="J248" s="124">
        <v>0</v>
      </c>
      <c r="K248" s="124">
        <v>0</v>
      </c>
      <c r="L248" s="124">
        <v>0</v>
      </c>
      <c r="M248" s="124">
        <v>0</v>
      </c>
      <c r="N248" s="44">
        <f t="shared" si="114"/>
        <v>0</v>
      </c>
      <c r="O248" s="44">
        <v>0</v>
      </c>
      <c r="P248" s="125">
        <f t="shared" si="94"/>
        <v>0</v>
      </c>
      <c r="Q248" s="44"/>
      <c r="R248" s="44">
        <f t="shared" si="115"/>
        <v>0</v>
      </c>
      <c r="S248" s="54">
        <v>0</v>
      </c>
      <c r="T248" s="54">
        <v>0</v>
      </c>
      <c r="U248" s="54">
        <v>0</v>
      </c>
      <c r="V248" s="60">
        <v>0</v>
      </c>
      <c r="W248" s="60">
        <v>0</v>
      </c>
      <c r="X248" s="60">
        <v>0</v>
      </c>
      <c r="Y248" s="60">
        <v>0</v>
      </c>
      <c r="Z248" s="60">
        <v>0</v>
      </c>
      <c r="AA248" s="60">
        <f t="shared" si="112"/>
        <v>0</v>
      </c>
      <c r="AB248" s="60">
        <v>0</v>
      </c>
      <c r="AC248" s="43">
        <v>0</v>
      </c>
      <c r="AD248" s="60">
        <v>0</v>
      </c>
      <c r="AE248" s="60"/>
      <c r="AF248" s="60"/>
      <c r="AG248" s="60"/>
      <c r="AH248" s="60">
        <f t="shared" si="116"/>
        <v>3682886</v>
      </c>
      <c r="AI248" s="60"/>
      <c r="AJ248" s="60"/>
      <c r="AK248" s="7"/>
      <c r="AL248" s="64">
        <v>2750</v>
      </c>
      <c r="AM248" s="64">
        <v>13500</v>
      </c>
      <c r="AN248" s="64">
        <v>0</v>
      </c>
      <c r="AO248" s="64">
        <v>0</v>
      </c>
      <c r="AP248" s="64">
        <v>1929.82456140351</v>
      </c>
      <c r="AQ248" s="64">
        <f t="shared" si="113"/>
        <v>18179.8245614035</v>
      </c>
      <c r="AR248" s="59">
        <f t="shared" si="97"/>
        <v>0</v>
      </c>
      <c r="AS248" s="59">
        <f t="shared" si="98"/>
        <v>0</v>
      </c>
      <c r="AT248" s="141">
        <f t="shared" si="99"/>
        <v>0</v>
      </c>
      <c r="AU248" s="141">
        <f t="shared" si="100"/>
        <v>0</v>
      </c>
    </row>
    <row r="249" spans="1:47">
      <c r="A249" s="28" t="s">
        <v>518</v>
      </c>
      <c r="B249" s="175" t="s">
        <v>519</v>
      </c>
      <c r="C249" s="27">
        <v>0</v>
      </c>
      <c r="D249" s="27">
        <v>0</v>
      </c>
      <c r="E249" s="27"/>
      <c r="F249" s="112">
        <v>-79261.73</v>
      </c>
      <c r="G249" s="112"/>
      <c r="H249" s="112"/>
      <c r="I249" s="124">
        <v>0</v>
      </c>
      <c r="J249" s="124">
        <v>0</v>
      </c>
      <c r="K249" s="124">
        <v>0</v>
      </c>
      <c r="L249" s="124">
        <v>0</v>
      </c>
      <c r="M249" s="124">
        <v>0</v>
      </c>
      <c r="N249" s="44">
        <f t="shared" si="114"/>
        <v>0</v>
      </c>
      <c r="O249" s="44">
        <v>0</v>
      </c>
      <c r="P249" s="125">
        <f t="shared" si="94"/>
        <v>0</v>
      </c>
      <c r="Q249" s="44"/>
      <c r="R249" s="44">
        <f t="shared" si="115"/>
        <v>0</v>
      </c>
      <c r="S249" s="54">
        <v>0</v>
      </c>
      <c r="T249" s="54">
        <v>0</v>
      </c>
      <c r="U249" s="54">
        <v>0</v>
      </c>
      <c r="V249" s="60">
        <v>0</v>
      </c>
      <c r="W249" s="60">
        <v>0</v>
      </c>
      <c r="X249" s="60">
        <v>0</v>
      </c>
      <c r="Y249" s="60">
        <v>0</v>
      </c>
      <c r="Z249" s="60">
        <v>0</v>
      </c>
      <c r="AA249" s="60">
        <f t="shared" si="112"/>
        <v>0</v>
      </c>
      <c r="AB249" s="60">
        <v>0</v>
      </c>
      <c r="AC249" s="43">
        <v>0</v>
      </c>
      <c r="AD249" s="60">
        <v>0</v>
      </c>
      <c r="AE249" s="60"/>
      <c r="AF249" s="60"/>
      <c r="AG249" s="60"/>
      <c r="AH249" s="60">
        <f t="shared" si="116"/>
        <v>-79261.73</v>
      </c>
      <c r="AI249" s="60"/>
      <c r="AJ249" s="60"/>
      <c r="AK249" s="7"/>
      <c r="AL249" s="64">
        <v>0</v>
      </c>
      <c r="AM249" s="64">
        <v>0</v>
      </c>
      <c r="AN249" s="64">
        <v>0</v>
      </c>
      <c r="AO249" s="64">
        <v>0</v>
      </c>
      <c r="AP249" s="64">
        <v>0</v>
      </c>
      <c r="AQ249" s="64">
        <f t="shared" si="113"/>
        <v>0</v>
      </c>
      <c r="AR249" s="59">
        <f t="shared" si="97"/>
        <v>0</v>
      </c>
      <c r="AS249" s="59">
        <f t="shared" si="98"/>
        <v>0</v>
      </c>
      <c r="AT249" s="141">
        <f t="shared" si="99"/>
        <v>0</v>
      </c>
      <c r="AU249" s="141">
        <f t="shared" si="100"/>
        <v>0</v>
      </c>
    </row>
    <row r="250" spans="1:47">
      <c r="A250" s="157" t="s">
        <v>520</v>
      </c>
      <c r="B250" s="27" t="s">
        <v>521</v>
      </c>
      <c r="C250" s="27" t="s">
        <v>151</v>
      </c>
      <c r="D250" s="27" t="s">
        <v>151</v>
      </c>
      <c r="E250" s="27"/>
      <c r="F250" s="112">
        <v>150647</v>
      </c>
      <c r="G250" s="112">
        <v>0</v>
      </c>
      <c r="H250" s="112">
        <v>0</v>
      </c>
      <c r="I250" s="124">
        <v>100</v>
      </c>
      <c r="J250" s="124">
        <v>0</v>
      </c>
      <c r="K250" s="124">
        <v>0</v>
      </c>
      <c r="L250" s="124">
        <v>0</v>
      </c>
      <c r="M250" s="124">
        <v>0</v>
      </c>
      <c r="N250" s="44">
        <f t="shared" si="114"/>
        <v>100</v>
      </c>
      <c r="O250" s="44">
        <v>490000</v>
      </c>
      <c r="P250" s="125">
        <f t="shared" si="94"/>
        <v>490000</v>
      </c>
      <c r="Q250" s="44"/>
      <c r="R250" s="44">
        <f t="shared" si="115"/>
        <v>490000</v>
      </c>
      <c r="S250" s="54">
        <v>978000</v>
      </c>
      <c r="T250" s="54">
        <v>200</v>
      </c>
      <c r="U250" s="54">
        <v>0</v>
      </c>
      <c r="V250" s="60">
        <v>30</v>
      </c>
      <c r="W250" s="60">
        <v>30</v>
      </c>
      <c r="X250" s="60">
        <v>0</v>
      </c>
      <c r="Y250" s="60">
        <v>0</v>
      </c>
      <c r="Z250" s="60">
        <v>0</v>
      </c>
      <c r="AA250" s="60">
        <f t="shared" si="112"/>
        <v>60</v>
      </c>
      <c r="AB250" s="60">
        <v>336000</v>
      </c>
      <c r="AC250" s="43">
        <v>0</v>
      </c>
      <c r="AD250" s="60">
        <v>0</v>
      </c>
      <c r="AE250" s="60"/>
      <c r="AF250" s="60"/>
      <c r="AG250" s="60"/>
      <c r="AH250" s="60">
        <f t="shared" si="116"/>
        <v>486647</v>
      </c>
      <c r="AI250" s="60"/>
      <c r="AJ250" s="60">
        <f t="shared" si="101"/>
        <v>486647</v>
      </c>
      <c r="AK250" s="7"/>
      <c r="AL250" s="64">
        <v>49200</v>
      </c>
      <c r="AM250" s="64">
        <v>58500</v>
      </c>
      <c r="AN250" s="64">
        <v>69000</v>
      </c>
      <c r="AO250" s="64">
        <v>0</v>
      </c>
      <c r="AP250" s="64">
        <v>0</v>
      </c>
      <c r="AQ250" s="64">
        <f t="shared" si="113"/>
        <v>176700</v>
      </c>
      <c r="AR250" s="59">
        <f t="shared" si="97"/>
        <v>40</v>
      </c>
      <c r="AS250" s="59">
        <f t="shared" si="98"/>
        <v>0</v>
      </c>
      <c r="AT250" s="141">
        <f t="shared" si="99"/>
        <v>3.07692307692308</v>
      </c>
      <c r="AU250" s="141">
        <f t="shared" si="100"/>
        <v>0</v>
      </c>
    </row>
    <row r="251" spans="1:47">
      <c r="A251" s="155" t="s">
        <v>522</v>
      </c>
      <c r="B251" s="27" t="s">
        <v>523</v>
      </c>
      <c r="C251" s="27" t="s">
        <v>99</v>
      </c>
      <c r="D251" s="27" t="s">
        <v>99</v>
      </c>
      <c r="E251" s="27"/>
      <c r="F251" s="112">
        <v>6218.2</v>
      </c>
      <c r="G251" s="112">
        <v>0</v>
      </c>
      <c r="H251" s="112">
        <v>0</v>
      </c>
      <c r="I251" s="124">
        <v>10</v>
      </c>
      <c r="J251" s="124">
        <v>0</v>
      </c>
      <c r="K251" s="124">
        <v>0</v>
      </c>
      <c r="L251" s="124">
        <v>0</v>
      </c>
      <c r="M251" s="124">
        <v>0</v>
      </c>
      <c r="N251" s="44">
        <f t="shared" si="114"/>
        <v>10</v>
      </c>
      <c r="O251" s="44">
        <v>134000</v>
      </c>
      <c r="P251" s="125">
        <f t="shared" si="94"/>
        <v>134000</v>
      </c>
      <c r="Q251" s="44"/>
      <c r="R251" s="44">
        <f t="shared" si="115"/>
        <v>134000</v>
      </c>
      <c r="S251" s="54">
        <v>0</v>
      </c>
      <c r="T251" s="54">
        <v>40</v>
      </c>
      <c r="U251" s="54">
        <v>0</v>
      </c>
      <c r="V251" s="60">
        <v>11</v>
      </c>
      <c r="W251" s="60">
        <v>0</v>
      </c>
      <c r="X251" s="60">
        <v>0</v>
      </c>
      <c r="Y251" s="60">
        <v>0</v>
      </c>
      <c r="Z251" s="60">
        <v>0</v>
      </c>
      <c r="AA251" s="60">
        <f t="shared" si="112"/>
        <v>11</v>
      </c>
      <c r="AB251" s="60">
        <v>156750</v>
      </c>
      <c r="AC251" s="43">
        <v>148000</v>
      </c>
      <c r="AD251" s="60">
        <v>0</v>
      </c>
      <c r="AE251" s="60"/>
      <c r="AF251" s="60"/>
      <c r="AG251" s="60"/>
      <c r="AH251" s="60">
        <f t="shared" si="116"/>
        <v>14968.2</v>
      </c>
      <c r="AI251" s="60"/>
      <c r="AJ251" s="60">
        <f t="shared" si="101"/>
        <v>14968.2</v>
      </c>
      <c r="AK251" s="7"/>
      <c r="AL251" s="64">
        <v>18700</v>
      </c>
      <c r="AM251" s="64">
        <v>0</v>
      </c>
      <c r="AN251" s="64">
        <v>0</v>
      </c>
      <c r="AO251" s="64">
        <v>0</v>
      </c>
      <c r="AP251" s="64">
        <v>0</v>
      </c>
      <c r="AQ251" s="64">
        <f t="shared" si="113"/>
        <v>18700</v>
      </c>
      <c r="AR251" s="59">
        <f t="shared" si="97"/>
        <v>-1</v>
      </c>
      <c r="AS251" s="59">
        <f t="shared" si="98"/>
        <v>0</v>
      </c>
      <c r="AT251" s="141">
        <f t="shared" si="99"/>
        <v>-0.0769230769230769</v>
      </c>
      <c r="AU251" s="141">
        <f t="shared" si="100"/>
        <v>0</v>
      </c>
    </row>
    <row r="252" spans="1:47">
      <c r="A252" s="154" t="s">
        <v>524</v>
      </c>
      <c r="B252" s="175" t="s">
        <v>525</v>
      </c>
      <c r="C252" s="27" t="s">
        <v>2</v>
      </c>
      <c r="D252" s="27">
        <v>0</v>
      </c>
      <c r="E252" s="27"/>
      <c r="F252" s="112">
        <v>93290.14</v>
      </c>
      <c r="G252" s="112"/>
      <c r="H252" s="112"/>
      <c r="I252" s="124">
        <v>0</v>
      </c>
      <c r="J252" s="124">
        <v>0</v>
      </c>
      <c r="K252" s="124">
        <v>0</v>
      </c>
      <c r="L252" s="124">
        <v>0</v>
      </c>
      <c r="M252" s="124">
        <v>0</v>
      </c>
      <c r="N252" s="44">
        <f t="shared" si="114"/>
        <v>0</v>
      </c>
      <c r="O252" s="44">
        <v>0</v>
      </c>
      <c r="P252" s="125">
        <f t="shared" si="94"/>
        <v>0</v>
      </c>
      <c r="Q252" s="159"/>
      <c r="R252" s="159">
        <f t="shared" si="115"/>
        <v>0</v>
      </c>
      <c r="S252" s="54">
        <v>0</v>
      </c>
      <c r="T252" s="54">
        <v>0</v>
      </c>
      <c r="U252" s="54">
        <v>0</v>
      </c>
      <c r="V252" s="60">
        <v>0</v>
      </c>
      <c r="W252" s="60">
        <v>0</v>
      </c>
      <c r="X252" s="60">
        <v>0</v>
      </c>
      <c r="Y252" s="60">
        <v>0</v>
      </c>
      <c r="Z252" s="60">
        <v>0</v>
      </c>
      <c r="AA252" s="60">
        <f t="shared" si="112"/>
        <v>0</v>
      </c>
      <c r="AB252" s="60">
        <v>0</v>
      </c>
      <c r="AC252" s="43">
        <v>0</v>
      </c>
      <c r="AD252" s="60">
        <v>0</v>
      </c>
      <c r="AE252" s="60"/>
      <c r="AF252" s="60"/>
      <c r="AG252" s="60"/>
      <c r="AH252" s="60">
        <f t="shared" si="116"/>
        <v>93290.14</v>
      </c>
      <c r="AI252" s="60"/>
      <c r="AJ252" s="60">
        <f t="shared" si="101"/>
        <v>93290.14</v>
      </c>
      <c r="AK252" s="7"/>
      <c r="AL252" s="64">
        <v>7054.37</v>
      </c>
      <c r="AM252" s="64">
        <v>0</v>
      </c>
      <c r="AN252" s="64">
        <v>0</v>
      </c>
      <c r="AO252" s="64">
        <v>0</v>
      </c>
      <c r="AP252" s="64">
        <v>0</v>
      </c>
      <c r="AQ252" s="64">
        <f t="shared" si="113"/>
        <v>7054.37</v>
      </c>
      <c r="AR252" s="59">
        <f t="shared" si="97"/>
        <v>0</v>
      </c>
      <c r="AS252" s="59">
        <f t="shared" si="98"/>
        <v>0</v>
      </c>
      <c r="AT252" s="141">
        <f t="shared" si="99"/>
        <v>0</v>
      </c>
      <c r="AU252" s="141">
        <f t="shared" si="100"/>
        <v>0</v>
      </c>
    </row>
    <row r="253" spans="1:47">
      <c r="A253" s="154" t="s">
        <v>526</v>
      </c>
      <c r="B253" s="27" t="s">
        <v>527</v>
      </c>
      <c r="C253" s="27">
        <v>0</v>
      </c>
      <c r="D253" s="27">
        <v>0</v>
      </c>
      <c r="E253" s="27"/>
      <c r="F253" s="112">
        <v>-5000</v>
      </c>
      <c r="G253" s="112"/>
      <c r="H253" s="112"/>
      <c r="I253" s="124">
        <v>0</v>
      </c>
      <c r="J253" s="124">
        <v>0</v>
      </c>
      <c r="K253" s="124">
        <v>0</v>
      </c>
      <c r="L253" s="124">
        <v>0</v>
      </c>
      <c r="M253" s="124">
        <v>0</v>
      </c>
      <c r="N253" s="44">
        <f t="shared" si="114"/>
        <v>0</v>
      </c>
      <c r="O253" s="44">
        <v>0</v>
      </c>
      <c r="P253" s="125">
        <f t="shared" si="94"/>
        <v>0</v>
      </c>
      <c r="Q253" s="44"/>
      <c r="R253" s="44">
        <f t="shared" si="115"/>
        <v>0</v>
      </c>
      <c r="S253" s="54">
        <v>0</v>
      </c>
      <c r="T253" s="54">
        <v>0</v>
      </c>
      <c r="U253" s="54">
        <v>0</v>
      </c>
      <c r="V253" s="60">
        <v>0</v>
      </c>
      <c r="W253" s="60">
        <v>0</v>
      </c>
      <c r="X253" s="60">
        <v>0</v>
      </c>
      <c r="Y253" s="60">
        <v>0</v>
      </c>
      <c r="Z253" s="60">
        <v>0</v>
      </c>
      <c r="AA253" s="60">
        <f t="shared" si="112"/>
        <v>0</v>
      </c>
      <c r="AB253" s="60">
        <v>0</v>
      </c>
      <c r="AC253" s="43">
        <v>0</v>
      </c>
      <c r="AD253" s="60">
        <v>0</v>
      </c>
      <c r="AE253" s="60"/>
      <c r="AF253" s="60"/>
      <c r="AG253" s="60"/>
      <c r="AH253" s="60">
        <f t="shared" si="116"/>
        <v>-5000</v>
      </c>
      <c r="AI253" s="60"/>
      <c r="AJ253" s="60"/>
      <c r="AK253" s="7"/>
      <c r="AL253" s="64">
        <v>0</v>
      </c>
      <c r="AM253" s="64">
        <v>0</v>
      </c>
      <c r="AN253" s="64">
        <v>0</v>
      </c>
      <c r="AO253" s="64">
        <v>0</v>
      </c>
      <c r="AP253" s="64">
        <v>0</v>
      </c>
      <c r="AQ253" s="64">
        <f t="shared" si="113"/>
        <v>0</v>
      </c>
      <c r="AR253" s="59">
        <f t="shared" si="97"/>
        <v>0</v>
      </c>
      <c r="AS253" s="59">
        <f t="shared" si="98"/>
        <v>0</v>
      </c>
      <c r="AT253" s="141">
        <f t="shared" si="99"/>
        <v>0</v>
      </c>
      <c r="AU253" s="141">
        <f t="shared" si="100"/>
        <v>0</v>
      </c>
    </row>
    <row r="254" spans="1:47">
      <c r="A254" s="155" t="s">
        <v>528</v>
      </c>
      <c r="B254" s="87" t="s">
        <v>529</v>
      </c>
      <c r="C254" s="27">
        <v>0</v>
      </c>
      <c r="D254" s="27">
        <v>0</v>
      </c>
      <c r="E254" s="27"/>
      <c r="F254" s="112">
        <v>-789</v>
      </c>
      <c r="G254" s="112"/>
      <c r="H254" s="112"/>
      <c r="I254" s="124">
        <v>0</v>
      </c>
      <c r="J254" s="124">
        <v>0</v>
      </c>
      <c r="K254" s="124">
        <v>0</v>
      </c>
      <c r="L254" s="124">
        <v>0</v>
      </c>
      <c r="M254" s="124">
        <v>0</v>
      </c>
      <c r="N254" s="44">
        <f t="shared" si="114"/>
        <v>0</v>
      </c>
      <c r="O254" s="44">
        <v>0</v>
      </c>
      <c r="P254" s="125">
        <f t="shared" si="94"/>
        <v>0</v>
      </c>
      <c r="Q254" s="44"/>
      <c r="R254" s="44">
        <f t="shared" si="115"/>
        <v>0</v>
      </c>
      <c r="S254" s="54">
        <v>0</v>
      </c>
      <c r="T254" s="54">
        <v>0</v>
      </c>
      <c r="U254" s="54">
        <v>0</v>
      </c>
      <c r="V254" s="60">
        <v>0</v>
      </c>
      <c r="W254" s="60">
        <v>0</v>
      </c>
      <c r="X254" s="60">
        <v>0</v>
      </c>
      <c r="Y254" s="60">
        <v>0</v>
      </c>
      <c r="Z254" s="60">
        <v>0</v>
      </c>
      <c r="AA254" s="60">
        <f t="shared" si="112"/>
        <v>0</v>
      </c>
      <c r="AB254" s="60">
        <v>0</v>
      </c>
      <c r="AC254" s="43">
        <v>0</v>
      </c>
      <c r="AD254" s="60">
        <v>0</v>
      </c>
      <c r="AE254" s="60"/>
      <c r="AF254" s="60"/>
      <c r="AG254" s="60"/>
      <c r="AH254" s="60">
        <f t="shared" si="116"/>
        <v>-789</v>
      </c>
      <c r="AI254" s="60"/>
      <c r="AJ254" s="60"/>
      <c r="AK254" s="7"/>
      <c r="AL254" s="64">
        <v>0</v>
      </c>
      <c r="AM254" s="64">
        <v>0</v>
      </c>
      <c r="AN254" s="64">
        <v>0</v>
      </c>
      <c r="AO254" s="64">
        <v>0</v>
      </c>
      <c r="AP254" s="64">
        <v>0</v>
      </c>
      <c r="AQ254" s="64">
        <f t="shared" si="113"/>
        <v>0</v>
      </c>
      <c r="AR254" s="59">
        <f t="shared" si="97"/>
        <v>0</v>
      </c>
      <c r="AS254" s="59">
        <f t="shared" si="98"/>
        <v>0</v>
      </c>
      <c r="AT254" s="141">
        <f t="shared" si="99"/>
        <v>0</v>
      </c>
      <c r="AU254" s="141">
        <f t="shared" si="100"/>
        <v>0</v>
      </c>
    </row>
    <row r="255" spans="1:47">
      <c r="A255" s="155" t="s">
        <v>530</v>
      </c>
      <c r="B255" s="27" t="s">
        <v>531</v>
      </c>
      <c r="C255" s="27" t="s">
        <v>1</v>
      </c>
      <c r="D255" s="27" t="s">
        <v>99</v>
      </c>
      <c r="E255" s="27"/>
      <c r="F255" s="112">
        <v>-3266.92</v>
      </c>
      <c r="G255" s="112">
        <v>0</v>
      </c>
      <c r="H255" s="112">
        <v>25033.6363636364</v>
      </c>
      <c r="I255" s="124">
        <v>0</v>
      </c>
      <c r="J255" s="124">
        <v>0</v>
      </c>
      <c r="K255" s="124">
        <v>0</v>
      </c>
      <c r="L255" s="124">
        <v>0</v>
      </c>
      <c r="M255" s="124">
        <v>0</v>
      </c>
      <c r="N255" s="44">
        <f t="shared" si="114"/>
        <v>0</v>
      </c>
      <c r="O255" s="44">
        <v>0</v>
      </c>
      <c r="P255" s="125">
        <f t="shared" si="94"/>
        <v>0</v>
      </c>
      <c r="Q255" s="44"/>
      <c r="R255" s="44">
        <f t="shared" si="115"/>
        <v>0</v>
      </c>
      <c r="S255" s="54">
        <v>0</v>
      </c>
      <c r="T255" s="54">
        <v>0</v>
      </c>
      <c r="U255" s="54">
        <v>0</v>
      </c>
      <c r="V255" s="60">
        <v>0</v>
      </c>
      <c r="W255" s="60">
        <v>0</v>
      </c>
      <c r="X255" s="60">
        <v>0</v>
      </c>
      <c r="Y255" s="60">
        <v>0</v>
      </c>
      <c r="Z255" s="60">
        <v>0</v>
      </c>
      <c r="AA255" s="60">
        <f t="shared" si="112"/>
        <v>0</v>
      </c>
      <c r="AB255" s="60">
        <v>0</v>
      </c>
      <c r="AC255" s="43">
        <v>0</v>
      </c>
      <c r="AD255" s="60">
        <v>0</v>
      </c>
      <c r="AE255" s="60"/>
      <c r="AF255" s="60"/>
      <c r="AG255" s="60"/>
      <c r="AH255" s="60">
        <f t="shared" si="116"/>
        <v>-3266.92</v>
      </c>
      <c r="AI255" s="60"/>
      <c r="AJ255" s="60"/>
      <c r="AK255" s="7"/>
      <c r="AL255" s="64">
        <v>2204.24</v>
      </c>
      <c r="AM255" s="64">
        <v>0</v>
      </c>
      <c r="AN255" s="64">
        <v>1900</v>
      </c>
      <c r="AO255" s="64">
        <v>0</v>
      </c>
      <c r="AP255" s="64">
        <v>1026.66666666667</v>
      </c>
      <c r="AQ255" s="64">
        <f t="shared" si="113"/>
        <v>5130.90666666667</v>
      </c>
      <c r="AR255" s="59">
        <f t="shared" si="97"/>
        <v>0</v>
      </c>
      <c r="AS255" s="59">
        <f t="shared" si="98"/>
        <v>0</v>
      </c>
      <c r="AT255" s="141">
        <f t="shared" si="99"/>
        <v>0</v>
      </c>
      <c r="AU255" s="141">
        <f t="shared" si="100"/>
        <v>0</v>
      </c>
    </row>
    <row r="256" spans="1:47">
      <c r="A256" s="158" t="s">
        <v>532</v>
      </c>
      <c r="B256" s="27" t="s">
        <v>533</v>
      </c>
      <c r="C256" s="27" t="s">
        <v>52</v>
      </c>
      <c r="D256" s="27" t="s">
        <v>52</v>
      </c>
      <c r="E256" s="27"/>
      <c r="F256" s="112">
        <v>3055272.19</v>
      </c>
      <c r="G256" s="112">
        <v>2000000</v>
      </c>
      <c r="H256" s="112">
        <v>3859400</v>
      </c>
      <c r="I256" s="124">
        <v>50</v>
      </c>
      <c r="J256" s="124">
        <v>0</v>
      </c>
      <c r="K256" s="124">
        <v>0</v>
      </c>
      <c r="L256" s="124">
        <v>0</v>
      </c>
      <c r="M256" s="124">
        <v>0</v>
      </c>
      <c r="N256" s="44">
        <f t="shared" si="114"/>
        <v>50</v>
      </c>
      <c r="O256" s="44">
        <v>665000</v>
      </c>
      <c r="P256" s="125">
        <f t="shared" si="94"/>
        <v>665000</v>
      </c>
      <c r="Q256" s="44"/>
      <c r="R256" s="44">
        <f t="shared" si="115"/>
        <v>665000</v>
      </c>
      <c r="S256" s="54">
        <v>795000</v>
      </c>
      <c r="T256" s="54">
        <v>200</v>
      </c>
      <c r="U256" s="54">
        <v>0</v>
      </c>
      <c r="V256" s="60">
        <v>0</v>
      </c>
      <c r="W256" s="60">
        <v>0</v>
      </c>
      <c r="X256" s="60">
        <v>0</v>
      </c>
      <c r="Y256" s="60">
        <v>0</v>
      </c>
      <c r="Z256" s="60">
        <v>0</v>
      </c>
      <c r="AA256" s="60">
        <f t="shared" si="112"/>
        <v>0</v>
      </c>
      <c r="AB256" s="60">
        <v>0</v>
      </c>
      <c r="AC256" s="43">
        <v>146000</v>
      </c>
      <c r="AD256" s="60">
        <v>0</v>
      </c>
      <c r="AE256" s="60"/>
      <c r="AF256" s="60"/>
      <c r="AG256" s="60"/>
      <c r="AH256" s="60">
        <f t="shared" si="116"/>
        <v>2909272.19</v>
      </c>
      <c r="AI256" s="60"/>
      <c r="AJ256" s="60">
        <f t="shared" si="101"/>
        <v>909272.19</v>
      </c>
      <c r="AK256" s="7"/>
      <c r="AL256" s="64">
        <v>226233.49</v>
      </c>
      <c r="AM256" s="64">
        <v>120550</v>
      </c>
      <c r="AN256" s="64">
        <v>5750</v>
      </c>
      <c r="AO256" s="64">
        <v>0</v>
      </c>
      <c r="AP256" s="64">
        <v>17368.4210526316</v>
      </c>
      <c r="AQ256" s="64">
        <f t="shared" si="113"/>
        <v>369901.911052632</v>
      </c>
      <c r="AR256" s="59">
        <f t="shared" si="97"/>
        <v>50</v>
      </c>
      <c r="AS256" s="59">
        <f t="shared" si="98"/>
        <v>0</v>
      </c>
      <c r="AT256" s="141">
        <f t="shared" si="99"/>
        <v>3.84615384615385</v>
      </c>
      <c r="AU256" s="141">
        <f t="shared" si="100"/>
        <v>0</v>
      </c>
    </row>
    <row r="257" spans="1:47">
      <c r="A257" s="154" t="s">
        <v>534</v>
      </c>
      <c r="B257" s="87" t="s">
        <v>535</v>
      </c>
      <c r="C257" s="27">
        <v>0</v>
      </c>
      <c r="D257" s="27" t="s">
        <v>52</v>
      </c>
      <c r="E257" s="27"/>
      <c r="F257" s="112">
        <v>108000</v>
      </c>
      <c r="G257" s="112"/>
      <c r="H257" s="112"/>
      <c r="I257" s="124">
        <v>0</v>
      </c>
      <c r="J257" s="124">
        <v>0</v>
      </c>
      <c r="K257" s="124">
        <v>0</v>
      </c>
      <c r="L257" s="124">
        <v>0</v>
      </c>
      <c r="M257" s="124">
        <v>0</v>
      </c>
      <c r="N257" s="44">
        <f t="shared" si="114"/>
        <v>0</v>
      </c>
      <c r="O257" s="44">
        <v>0</v>
      </c>
      <c r="P257" s="125">
        <f t="shared" si="94"/>
        <v>0</v>
      </c>
      <c r="Q257" s="44"/>
      <c r="R257" s="44">
        <f t="shared" si="115"/>
        <v>0</v>
      </c>
      <c r="S257" s="54">
        <v>0</v>
      </c>
      <c r="T257" s="54">
        <v>0</v>
      </c>
      <c r="U257" s="54">
        <v>0</v>
      </c>
      <c r="V257" s="60">
        <v>0</v>
      </c>
      <c r="W257" s="60">
        <v>0</v>
      </c>
      <c r="X257" s="60">
        <v>0</v>
      </c>
      <c r="Y257" s="60">
        <v>0</v>
      </c>
      <c r="Z257" s="60">
        <v>0</v>
      </c>
      <c r="AA257" s="60">
        <f t="shared" si="112"/>
        <v>0</v>
      </c>
      <c r="AB257" s="60">
        <v>0</v>
      </c>
      <c r="AC257" s="43">
        <v>0</v>
      </c>
      <c r="AD257" s="60">
        <v>0</v>
      </c>
      <c r="AE257" s="60"/>
      <c r="AF257" s="60"/>
      <c r="AG257" s="60"/>
      <c r="AH257" s="60">
        <f t="shared" si="116"/>
        <v>108000</v>
      </c>
      <c r="AI257" s="60"/>
      <c r="AJ257" s="60">
        <f t="shared" si="101"/>
        <v>108000</v>
      </c>
      <c r="AK257" s="7"/>
      <c r="AL257" s="64">
        <v>0</v>
      </c>
      <c r="AM257" s="64">
        <v>0</v>
      </c>
      <c r="AN257" s="64">
        <v>0</v>
      </c>
      <c r="AO257" s="64">
        <v>0</v>
      </c>
      <c r="AP257" s="64">
        <v>3859.64912280702</v>
      </c>
      <c r="AQ257" s="64">
        <f t="shared" si="113"/>
        <v>3859.64912280702</v>
      </c>
      <c r="AR257" s="59">
        <f t="shared" si="97"/>
        <v>0</v>
      </c>
      <c r="AS257" s="59">
        <f t="shared" si="98"/>
        <v>0</v>
      </c>
      <c r="AT257" s="141">
        <f t="shared" si="99"/>
        <v>0</v>
      </c>
      <c r="AU257" s="141">
        <f t="shared" si="100"/>
        <v>0</v>
      </c>
    </row>
    <row r="258" spans="1:47">
      <c r="A258" s="155" t="s">
        <v>536</v>
      </c>
      <c r="B258" s="27" t="s">
        <v>537</v>
      </c>
      <c r="C258" s="27" t="s">
        <v>52</v>
      </c>
      <c r="D258" s="27" t="s">
        <v>52</v>
      </c>
      <c r="E258" s="27"/>
      <c r="F258" s="112">
        <v>346307.68</v>
      </c>
      <c r="G258" s="112">
        <v>351250</v>
      </c>
      <c r="H258" s="112">
        <v>377715</v>
      </c>
      <c r="I258" s="124">
        <v>0</v>
      </c>
      <c r="J258" s="124">
        <v>0</v>
      </c>
      <c r="K258" s="124">
        <v>0</v>
      </c>
      <c r="L258" s="124">
        <v>0</v>
      </c>
      <c r="M258" s="124">
        <v>0</v>
      </c>
      <c r="N258" s="44">
        <f t="shared" si="114"/>
        <v>0</v>
      </c>
      <c r="O258" s="44">
        <v>0</v>
      </c>
      <c r="P258" s="125">
        <f t="shared" si="94"/>
        <v>0</v>
      </c>
      <c r="Q258" s="44"/>
      <c r="R258" s="44">
        <f t="shared" si="115"/>
        <v>0</v>
      </c>
      <c r="S258" s="54">
        <v>0</v>
      </c>
      <c r="T258" s="54">
        <v>40</v>
      </c>
      <c r="U258" s="54">
        <v>0</v>
      </c>
      <c r="V258" s="60">
        <v>0</v>
      </c>
      <c r="W258" s="60">
        <v>0</v>
      </c>
      <c r="X258" s="60">
        <v>0</v>
      </c>
      <c r="Y258" s="60">
        <v>0</v>
      </c>
      <c r="Z258" s="60">
        <v>0</v>
      </c>
      <c r="AA258" s="60">
        <f t="shared" si="112"/>
        <v>0</v>
      </c>
      <c r="AB258" s="60">
        <v>0</v>
      </c>
      <c r="AC258" s="43">
        <v>0</v>
      </c>
      <c r="AD258" s="60">
        <v>0</v>
      </c>
      <c r="AE258" s="60"/>
      <c r="AF258" s="60"/>
      <c r="AG258" s="60"/>
      <c r="AH258" s="60">
        <f t="shared" si="116"/>
        <v>346307.68</v>
      </c>
      <c r="AI258" s="60"/>
      <c r="AJ258" s="60">
        <f t="shared" si="101"/>
        <v>-4942.32000000001</v>
      </c>
      <c r="AK258" s="7"/>
      <c r="AL258" s="64">
        <v>25500</v>
      </c>
      <c r="AM258" s="64">
        <v>12750</v>
      </c>
      <c r="AN258" s="64">
        <v>8500</v>
      </c>
      <c r="AO258" s="64">
        <v>0</v>
      </c>
      <c r="AP258" s="64">
        <v>3859.64912280702</v>
      </c>
      <c r="AQ258" s="64">
        <f t="shared" si="113"/>
        <v>50609.649122807</v>
      </c>
      <c r="AR258" s="59">
        <f t="shared" si="97"/>
        <v>0</v>
      </c>
      <c r="AS258" s="59">
        <f t="shared" si="98"/>
        <v>0</v>
      </c>
      <c r="AT258" s="141">
        <f t="shared" si="99"/>
        <v>0</v>
      </c>
      <c r="AU258" s="141">
        <f t="shared" si="100"/>
        <v>0</v>
      </c>
    </row>
    <row r="259" spans="1:47">
      <c r="A259" s="154" t="s">
        <v>538</v>
      </c>
      <c r="B259" s="174" t="s">
        <v>539</v>
      </c>
      <c r="C259" s="27" t="s">
        <v>99</v>
      </c>
      <c r="D259" s="27" t="s">
        <v>99</v>
      </c>
      <c r="E259" s="27"/>
      <c r="F259" s="112">
        <v>25000</v>
      </c>
      <c r="G259" s="112"/>
      <c r="H259" s="112"/>
      <c r="I259" s="124">
        <v>0</v>
      </c>
      <c r="J259" s="124">
        <v>0</v>
      </c>
      <c r="K259" s="124">
        <v>0</v>
      </c>
      <c r="L259" s="124">
        <v>0</v>
      </c>
      <c r="M259" s="124">
        <v>0</v>
      </c>
      <c r="N259" s="44">
        <f t="shared" si="114"/>
        <v>0</v>
      </c>
      <c r="O259" s="44">
        <v>0</v>
      </c>
      <c r="P259" s="125">
        <f t="shared" si="94"/>
        <v>0</v>
      </c>
      <c r="Q259" s="44"/>
      <c r="R259" s="44">
        <f t="shared" si="115"/>
        <v>0</v>
      </c>
      <c r="S259" s="54">
        <v>0</v>
      </c>
      <c r="T259" s="54">
        <v>0</v>
      </c>
      <c r="U259" s="54">
        <v>0</v>
      </c>
      <c r="V259" s="60">
        <v>0</v>
      </c>
      <c r="W259" s="60">
        <v>0</v>
      </c>
      <c r="X259" s="60">
        <v>0</v>
      </c>
      <c r="Y259" s="60">
        <v>0</v>
      </c>
      <c r="Z259" s="60">
        <v>0</v>
      </c>
      <c r="AA259" s="60">
        <f t="shared" si="112"/>
        <v>0</v>
      </c>
      <c r="AB259" s="60">
        <v>0</v>
      </c>
      <c r="AC259" s="43">
        <v>0</v>
      </c>
      <c r="AD259" s="60">
        <v>0</v>
      </c>
      <c r="AE259" s="60"/>
      <c r="AF259" s="60"/>
      <c r="AG259" s="60"/>
      <c r="AH259" s="60">
        <f t="shared" si="116"/>
        <v>25000</v>
      </c>
      <c r="AI259" s="60"/>
      <c r="AJ259" s="60"/>
      <c r="AK259" s="7"/>
      <c r="AL259" s="64">
        <v>0</v>
      </c>
      <c r="AM259" s="64">
        <v>0</v>
      </c>
      <c r="AN259" s="64">
        <v>0</v>
      </c>
      <c r="AO259" s="64">
        <v>0</v>
      </c>
      <c r="AP259" s="64">
        <v>0</v>
      </c>
      <c r="AQ259" s="64">
        <f t="shared" si="113"/>
        <v>0</v>
      </c>
      <c r="AR259" s="59">
        <f t="shared" si="97"/>
        <v>0</v>
      </c>
      <c r="AS259" s="59">
        <f t="shared" si="98"/>
        <v>0</v>
      </c>
      <c r="AT259" s="141">
        <f t="shared" si="99"/>
        <v>0</v>
      </c>
      <c r="AU259" s="141">
        <f t="shared" si="100"/>
        <v>0</v>
      </c>
    </row>
    <row r="260" spans="1:47">
      <c r="A260" s="158" t="s">
        <v>540</v>
      </c>
      <c r="B260" s="27" t="s">
        <v>541</v>
      </c>
      <c r="C260" s="27">
        <v>0</v>
      </c>
      <c r="D260" s="27" t="s">
        <v>2</v>
      </c>
      <c r="E260" s="27"/>
      <c r="F260" s="112">
        <v>87759</v>
      </c>
      <c r="G260" s="160">
        <v>0</v>
      </c>
      <c r="H260" s="112">
        <v>351250</v>
      </c>
      <c r="I260" s="124">
        <v>0</v>
      </c>
      <c r="J260" s="124">
        <v>0</v>
      </c>
      <c r="K260" s="124">
        <v>0</v>
      </c>
      <c r="L260" s="124">
        <v>0</v>
      </c>
      <c r="M260" s="124">
        <v>0</v>
      </c>
      <c r="N260" s="44">
        <f t="shared" si="114"/>
        <v>0</v>
      </c>
      <c r="O260" s="44">
        <v>0</v>
      </c>
      <c r="P260" s="125">
        <f t="shared" si="94"/>
        <v>0</v>
      </c>
      <c r="Q260" s="44"/>
      <c r="R260" s="44">
        <f t="shared" si="115"/>
        <v>0</v>
      </c>
      <c r="S260" s="54">
        <v>0</v>
      </c>
      <c r="T260" s="54">
        <v>0</v>
      </c>
      <c r="U260" s="54">
        <v>0</v>
      </c>
      <c r="V260" s="60">
        <v>0</v>
      </c>
      <c r="W260" s="60">
        <v>0</v>
      </c>
      <c r="X260" s="60">
        <v>0</v>
      </c>
      <c r="Y260" s="60">
        <v>0</v>
      </c>
      <c r="Z260" s="60">
        <v>0</v>
      </c>
      <c r="AA260" s="60">
        <f t="shared" si="112"/>
        <v>0</v>
      </c>
      <c r="AB260" s="60">
        <v>0</v>
      </c>
      <c r="AC260" s="43">
        <v>0</v>
      </c>
      <c r="AD260" s="60">
        <v>0</v>
      </c>
      <c r="AE260" s="60"/>
      <c r="AF260" s="60"/>
      <c r="AG260" s="60"/>
      <c r="AH260" s="60">
        <f t="shared" si="116"/>
        <v>87759</v>
      </c>
      <c r="AI260" s="60"/>
      <c r="AJ260" s="60"/>
      <c r="AK260" s="7"/>
      <c r="AL260" s="64">
        <v>0</v>
      </c>
      <c r="AM260" s="64">
        <v>2550</v>
      </c>
      <c r="AN260" s="64">
        <v>0</v>
      </c>
      <c r="AO260" s="64">
        <v>0</v>
      </c>
      <c r="AP260" s="64">
        <v>0</v>
      </c>
      <c r="AQ260" s="64">
        <f t="shared" si="113"/>
        <v>2550</v>
      </c>
      <c r="AR260" s="59">
        <f t="shared" si="97"/>
        <v>0</v>
      </c>
      <c r="AS260" s="59">
        <f t="shared" si="98"/>
        <v>0</v>
      </c>
      <c r="AT260" s="141">
        <f t="shared" si="99"/>
        <v>0</v>
      </c>
      <c r="AU260" s="141">
        <f t="shared" si="100"/>
        <v>0</v>
      </c>
    </row>
    <row r="261" spans="1:47">
      <c r="A261" s="154" t="s">
        <v>542</v>
      </c>
      <c r="B261" s="174" t="s">
        <v>543</v>
      </c>
      <c r="C261" s="27" t="s">
        <v>99</v>
      </c>
      <c r="D261" s="27" t="s">
        <v>99</v>
      </c>
      <c r="E261" s="27"/>
      <c r="F261" s="112">
        <v>109720.91</v>
      </c>
      <c r="G261" s="112"/>
      <c r="H261" s="112"/>
      <c r="I261" s="124">
        <v>0</v>
      </c>
      <c r="J261" s="124">
        <v>0</v>
      </c>
      <c r="K261" s="124">
        <v>0</v>
      </c>
      <c r="L261" s="124">
        <v>0</v>
      </c>
      <c r="M261" s="124">
        <v>0</v>
      </c>
      <c r="N261" s="44">
        <f t="shared" si="114"/>
        <v>0</v>
      </c>
      <c r="O261" s="44">
        <v>0</v>
      </c>
      <c r="P261" s="125">
        <f t="shared" si="94"/>
        <v>0</v>
      </c>
      <c r="Q261" s="44"/>
      <c r="R261" s="44">
        <f t="shared" si="115"/>
        <v>0</v>
      </c>
      <c r="S261" s="54">
        <v>0</v>
      </c>
      <c r="T261" s="54">
        <v>0</v>
      </c>
      <c r="U261" s="54">
        <v>0</v>
      </c>
      <c r="V261" s="60">
        <v>0</v>
      </c>
      <c r="W261" s="60">
        <v>0</v>
      </c>
      <c r="X261" s="60">
        <v>0</v>
      </c>
      <c r="Y261" s="60">
        <v>0</v>
      </c>
      <c r="Z261" s="60">
        <v>0</v>
      </c>
      <c r="AA261" s="60">
        <f t="shared" si="112"/>
        <v>0</v>
      </c>
      <c r="AB261" s="60">
        <v>0</v>
      </c>
      <c r="AC261" s="43">
        <v>0</v>
      </c>
      <c r="AD261" s="60">
        <v>0</v>
      </c>
      <c r="AE261" s="60"/>
      <c r="AF261" s="60"/>
      <c r="AG261" s="60"/>
      <c r="AH261" s="60">
        <f t="shared" si="116"/>
        <v>109720.91</v>
      </c>
      <c r="AI261" s="60"/>
      <c r="AJ261" s="60"/>
      <c r="AK261" s="7"/>
      <c r="AL261" s="64">
        <v>17720.8</v>
      </c>
      <c r="AM261" s="64">
        <v>22151</v>
      </c>
      <c r="AN261" s="64">
        <v>0</v>
      </c>
      <c r="AO261" s="64">
        <v>0</v>
      </c>
      <c r="AP261" s="64">
        <v>0</v>
      </c>
      <c r="AQ261" s="64">
        <f t="shared" si="113"/>
        <v>39871.8</v>
      </c>
      <c r="AR261" s="59">
        <f t="shared" si="97"/>
        <v>0</v>
      </c>
      <c r="AS261" s="59">
        <f t="shared" si="98"/>
        <v>0</v>
      </c>
      <c r="AT261" s="141">
        <f t="shared" si="99"/>
        <v>0</v>
      </c>
      <c r="AU261" s="141">
        <f t="shared" si="100"/>
        <v>0</v>
      </c>
    </row>
    <row r="262" spans="1:47">
      <c r="A262" s="161" t="s">
        <v>544</v>
      </c>
      <c r="B262" s="174" t="s">
        <v>545</v>
      </c>
      <c r="C262" s="27" t="s">
        <v>49</v>
      </c>
      <c r="D262" s="27" t="s">
        <v>49</v>
      </c>
      <c r="E262" s="27"/>
      <c r="F262" s="112">
        <v>192280</v>
      </c>
      <c r="G262" s="112">
        <v>0</v>
      </c>
      <c r="H262" s="112">
        <v>0</v>
      </c>
      <c r="I262" s="124">
        <v>30</v>
      </c>
      <c r="J262" s="124">
        <v>0</v>
      </c>
      <c r="K262" s="124">
        <v>0</v>
      </c>
      <c r="L262" s="124">
        <v>0</v>
      </c>
      <c r="M262" s="124">
        <v>0</v>
      </c>
      <c r="N262" s="44">
        <f t="shared" si="114"/>
        <v>30</v>
      </c>
      <c r="O262" s="44">
        <v>147000</v>
      </c>
      <c r="P262" s="125">
        <f t="shared" si="94"/>
        <v>147000</v>
      </c>
      <c r="Q262" s="44"/>
      <c r="R262" s="44">
        <f t="shared" si="115"/>
        <v>147000</v>
      </c>
      <c r="S262" s="54">
        <v>0</v>
      </c>
      <c r="T262" s="54">
        <v>0</v>
      </c>
      <c r="U262" s="54">
        <v>0</v>
      </c>
      <c r="V262" s="60">
        <v>0</v>
      </c>
      <c r="W262" s="60">
        <v>0</v>
      </c>
      <c r="X262" s="60">
        <v>0</v>
      </c>
      <c r="Y262" s="60">
        <v>0</v>
      </c>
      <c r="Z262" s="60">
        <v>0</v>
      </c>
      <c r="AA262" s="60">
        <f t="shared" si="112"/>
        <v>0</v>
      </c>
      <c r="AB262" s="60">
        <v>0</v>
      </c>
      <c r="AC262" s="43">
        <v>0</v>
      </c>
      <c r="AD262" s="60">
        <v>0</v>
      </c>
      <c r="AE262" s="60"/>
      <c r="AF262" s="60"/>
      <c r="AG262" s="60"/>
      <c r="AH262" s="60">
        <f t="shared" si="116"/>
        <v>192280</v>
      </c>
      <c r="AI262" s="60"/>
      <c r="AJ262" s="60">
        <f t="shared" si="101"/>
        <v>192280</v>
      </c>
      <c r="AK262" s="7"/>
      <c r="AL262" s="64">
        <v>6000</v>
      </c>
      <c r="AM262" s="64">
        <v>184000</v>
      </c>
      <c r="AN262" s="64">
        <v>0</v>
      </c>
      <c r="AO262" s="64">
        <v>0</v>
      </c>
      <c r="AP262" s="64">
        <v>0</v>
      </c>
      <c r="AQ262" s="64">
        <f t="shared" si="113"/>
        <v>190000</v>
      </c>
      <c r="AR262" s="59">
        <f t="shared" si="97"/>
        <v>30</v>
      </c>
      <c r="AS262" s="59">
        <f t="shared" si="98"/>
        <v>0</v>
      </c>
      <c r="AT262" s="141">
        <f t="shared" si="99"/>
        <v>2.30769230769231</v>
      </c>
      <c r="AU262" s="141">
        <f t="shared" si="100"/>
        <v>0</v>
      </c>
    </row>
    <row r="263" spans="1:47">
      <c r="A263" s="154" t="s">
        <v>546</v>
      </c>
      <c r="B263" s="175" t="s">
        <v>547</v>
      </c>
      <c r="C263" s="27">
        <v>0</v>
      </c>
      <c r="D263" s="27" t="s">
        <v>99</v>
      </c>
      <c r="E263" s="27"/>
      <c r="F263" s="112">
        <v>-3621</v>
      </c>
      <c r="G263" s="112"/>
      <c r="H263" s="112"/>
      <c r="I263" s="124">
        <v>0</v>
      </c>
      <c r="J263" s="124">
        <v>0</v>
      </c>
      <c r="K263" s="124">
        <v>0</v>
      </c>
      <c r="L263" s="124">
        <v>0</v>
      </c>
      <c r="M263" s="124">
        <v>0</v>
      </c>
      <c r="N263" s="44">
        <f t="shared" si="114"/>
        <v>0</v>
      </c>
      <c r="O263" s="44">
        <v>0</v>
      </c>
      <c r="P263" s="125">
        <f t="shared" si="94"/>
        <v>0</v>
      </c>
      <c r="Q263" s="44"/>
      <c r="R263" s="44">
        <f t="shared" si="115"/>
        <v>0</v>
      </c>
      <c r="S263" s="54">
        <v>0</v>
      </c>
      <c r="T263" s="54">
        <v>0</v>
      </c>
      <c r="U263" s="54">
        <v>0</v>
      </c>
      <c r="V263" s="60">
        <v>0</v>
      </c>
      <c r="W263" s="60">
        <v>5</v>
      </c>
      <c r="X263" s="60">
        <v>0</v>
      </c>
      <c r="Y263" s="60">
        <v>0</v>
      </c>
      <c r="Z263" s="60">
        <v>0</v>
      </c>
      <c r="AA263" s="60">
        <f t="shared" si="112"/>
        <v>5</v>
      </c>
      <c r="AB263" s="60">
        <v>68000</v>
      </c>
      <c r="AC263" s="43">
        <v>68136</v>
      </c>
      <c r="AD263" s="60">
        <v>0</v>
      </c>
      <c r="AE263" s="60"/>
      <c r="AF263" s="60"/>
      <c r="AG263" s="60"/>
      <c r="AH263" s="60">
        <f t="shared" si="116"/>
        <v>-3757</v>
      </c>
      <c r="AI263" s="60">
        <f>AH263-AQ263-H263</f>
        <v>-3757</v>
      </c>
      <c r="AJ263" s="60"/>
      <c r="AK263" s="7"/>
      <c r="AL263" s="64">
        <v>0</v>
      </c>
      <c r="AM263" s="64">
        <v>0</v>
      </c>
      <c r="AN263" s="64">
        <v>0</v>
      </c>
      <c r="AO263" s="64">
        <v>0</v>
      </c>
      <c r="AP263" s="64">
        <v>0</v>
      </c>
      <c r="AQ263" s="64">
        <f t="shared" si="113"/>
        <v>0</v>
      </c>
      <c r="AR263" s="59">
        <f t="shared" si="97"/>
        <v>-5</v>
      </c>
      <c r="AS263" s="59">
        <f t="shared" si="98"/>
        <v>0</v>
      </c>
      <c r="AT263" s="141">
        <f t="shared" si="99"/>
        <v>-0.384615384615385</v>
      </c>
      <c r="AU263" s="141">
        <f t="shared" si="100"/>
        <v>0</v>
      </c>
    </row>
    <row r="264" spans="1:47">
      <c r="A264" s="154" t="s">
        <v>548</v>
      </c>
      <c r="B264" s="87" t="s">
        <v>549</v>
      </c>
      <c r="C264" s="27" t="s">
        <v>52</v>
      </c>
      <c r="D264" s="27" t="s">
        <v>52</v>
      </c>
      <c r="E264" s="27"/>
      <c r="F264" s="112">
        <v>-69001</v>
      </c>
      <c r="G264" s="112"/>
      <c r="H264" s="112"/>
      <c r="I264" s="124">
        <v>0</v>
      </c>
      <c r="J264" s="124">
        <v>0</v>
      </c>
      <c r="K264" s="124">
        <v>0</v>
      </c>
      <c r="L264" s="124">
        <v>0</v>
      </c>
      <c r="M264" s="124">
        <v>0</v>
      </c>
      <c r="N264" s="44">
        <f t="shared" si="114"/>
        <v>0</v>
      </c>
      <c r="O264" s="44">
        <v>0</v>
      </c>
      <c r="P264" s="125">
        <f t="shared" si="94"/>
        <v>0</v>
      </c>
      <c r="Q264" s="44"/>
      <c r="R264" s="44">
        <f t="shared" si="115"/>
        <v>0</v>
      </c>
      <c r="S264" s="54">
        <v>0</v>
      </c>
      <c r="T264" s="54">
        <v>80</v>
      </c>
      <c r="U264" s="54">
        <v>0</v>
      </c>
      <c r="V264" s="60">
        <v>0</v>
      </c>
      <c r="W264" s="60">
        <v>0</v>
      </c>
      <c r="X264" s="60">
        <v>0</v>
      </c>
      <c r="Y264" s="60">
        <v>0</v>
      </c>
      <c r="Z264" s="60">
        <v>0</v>
      </c>
      <c r="AA264" s="60">
        <f t="shared" si="112"/>
        <v>0</v>
      </c>
      <c r="AB264" s="60">
        <v>0</v>
      </c>
      <c r="AC264" s="43">
        <v>0</v>
      </c>
      <c r="AD264" s="60">
        <v>0</v>
      </c>
      <c r="AE264" s="60"/>
      <c r="AF264" s="60"/>
      <c r="AG264" s="60"/>
      <c r="AH264" s="60">
        <f t="shared" si="116"/>
        <v>-69001</v>
      </c>
      <c r="AI264" s="60"/>
      <c r="AJ264" s="60">
        <f t="shared" si="101"/>
        <v>-69001</v>
      </c>
      <c r="AK264" s="7"/>
      <c r="AL264" s="64">
        <v>0</v>
      </c>
      <c r="AM264" s="64">
        <v>0</v>
      </c>
      <c r="AN264" s="64">
        <v>0</v>
      </c>
      <c r="AO264" s="64">
        <v>0</v>
      </c>
      <c r="AP264" s="64">
        <v>0</v>
      </c>
      <c r="AQ264" s="64">
        <f t="shared" si="113"/>
        <v>0</v>
      </c>
      <c r="AR264" s="59">
        <f t="shared" si="97"/>
        <v>0</v>
      </c>
      <c r="AS264" s="59">
        <f t="shared" si="98"/>
        <v>0</v>
      </c>
      <c r="AT264" s="141">
        <f t="shared" si="99"/>
        <v>0</v>
      </c>
      <c r="AU264" s="141">
        <f t="shared" si="100"/>
        <v>0</v>
      </c>
    </row>
    <row r="265" spans="1:47">
      <c r="A265" s="162" t="s">
        <v>550</v>
      </c>
      <c r="B265" s="87" t="s">
        <v>551</v>
      </c>
      <c r="C265" s="27"/>
      <c r="D265" s="27"/>
      <c r="E265" s="27"/>
      <c r="F265" s="112">
        <v>-45619</v>
      </c>
      <c r="G265" s="112"/>
      <c r="H265" s="112"/>
      <c r="I265" s="124">
        <v>100</v>
      </c>
      <c r="J265" s="124">
        <v>0</v>
      </c>
      <c r="K265" s="124">
        <v>0</v>
      </c>
      <c r="L265" s="124">
        <v>0</v>
      </c>
      <c r="M265" s="124">
        <v>0</v>
      </c>
      <c r="N265" s="44"/>
      <c r="O265" s="44">
        <v>490000</v>
      </c>
      <c r="P265" s="125">
        <f t="shared" si="94"/>
        <v>490000</v>
      </c>
      <c r="Q265" s="44"/>
      <c r="R265" s="44"/>
      <c r="S265" s="54">
        <v>0</v>
      </c>
      <c r="T265" s="54">
        <v>0</v>
      </c>
      <c r="U265" s="54">
        <v>0</v>
      </c>
      <c r="V265" s="60">
        <v>61</v>
      </c>
      <c r="W265" s="60">
        <v>40</v>
      </c>
      <c r="X265" s="60">
        <v>0</v>
      </c>
      <c r="Y265" s="60">
        <v>0</v>
      </c>
      <c r="Z265" s="60">
        <v>0</v>
      </c>
      <c r="AA265" s="60">
        <f t="shared" si="112"/>
        <v>101</v>
      </c>
      <c r="AB265" s="60">
        <v>563500</v>
      </c>
      <c r="AC265" s="43">
        <v>305676</v>
      </c>
      <c r="AD265" s="60">
        <v>0</v>
      </c>
      <c r="AE265" s="60"/>
      <c r="AF265" s="60"/>
      <c r="AG265" s="60"/>
      <c r="AH265" s="60">
        <f t="shared" si="116"/>
        <v>212205</v>
      </c>
      <c r="AI265" s="60">
        <f>AH265-AQ265-H265</f>
        <v>212205</v>
      </c>
      <c r="AJ265" s="60"/>
      <c r="AK265" s="7"/>
      <c r="AL265" s="64"/>
      <c r="AM265" s="64"/>
      <c r="AN265" s="64"/>
      <c r="AO265" s="64"/>
      <c r="AP265" s="64"/>
      <c r="AQ265" s="64"/>
      <c r="AR265" s="59">
        <f t="shared" si="97"/>
        <v>-1</v>
      </c>
      <c r="AS265" s="59">
        <f t="shared" si="98"/>
        <v>0</v>
      </c>
      <c r="AT265" s="141">
        <f>AR265/13</f>
        <v>-0.0769230769230769</v>
      </c>
      <c r="AU265" s="141">
        <f>AS265/13</f>
        <v>0</v>
      </c>
    </row>
    <row r="266" spans="1:47">
      <c r="A266" s="154" t="s">
        <v>552</v>
      </c>
      <c r="B266" s="27" t="s">
        <v>553</v>
      </c>
      <c r="C266" s="27">
        <v>0</v>
      </c>
      <c r="D266" s="27" t="s">
        <v>99</v>
      </c>
      <c r="E266" s="27"/>
      <c r="F266" s="112">
        <v>-1600</v>
      </c>
      <c r="G266" s="112">
        <v>0</v>
      </c>
      <c r="H266" s="112">
        <v>281000</v>
      </c>
      <c r="I266" s="124">
        <v>0</v>
      </c>
      <c r="J266" s="124">
        <v>0</v>
      </c>
      <c r="K266" s="124">
        <v>0</v>
      </c>
      <c r="L266" s="124">
        <v>0</v>
      </c>
      <c r="M266" s="124">
        <v>0</v>
      </c>
      <c r="N266" s="44">
        <f t="shared" ref="N266:N278" si="117">SUM(I266:M266)</f>
        <v>0</v>
      </c>
      <c r="O266" s="44">
        <v>0</v>
      </c>
      <c r="P266" s="125">
        <f t="shared" si="94"/>
        <v>0</v>
      </c>
      <c r="Q266" s="44"/>
      <c r="R266" s="44">
        <f>P266+Q266</f>
        <v>0</v>
      </c>
      <c r="S266" s="54">
        <v>0</v>
      </c>
      <c r="T266" s="54">
        <v>0</v>
      </c>
      <c r="U266" s="54">
        <v>0</v>
      </c>
      <c r="V266" s="60">
        <v>0</v>
      </c>
      <c r="W266" s="60">
        <v>0</v>
      </c>
      <c r="X266" s="60">
        <v>0</v>
      </c>
      <c r="Y266" s="60">
        <v>0</v>
      </c>
      <c r="Z266" s="60">
        <v>0</v>
      </c>
      <c r="AA266" s="60">
        <f t="shared" si="112"/>
        <v>0</v>
      </c>
      <c r="AB266" s="60">
        <v>0</v>
      </c>
      <c r="AC266" s="43">
        <v>0</v>
      </c>
      <c r="AD266" s="60">
        <v>0</v>
      </c>
      <c r="AE266" s="60"/>
      <c r="AF266" s="60"/>
      <c r="AG266" s="60"/>
      <c r="AH266" s="60">
        <f t="shared" si="116"/>
        <v>-1600</v>
      </c>
      <c r="AI266" s="60"/>
      <c r="AJ266" s="60"/>
      <c r="AK266" s="7"/>
      <c r="AL266" s="64">
        <v>0</v>
      </c>
      <c r="AM266" s="64">
        <v>0</v>
      </c>
      <c r="AN266" s="64">
        <v>0</v>
      </c>
      <c r="AO266" s="64">
        <v>0</v>
      </c>
      <c r="AP266" s="64">
        <v>0</v>
      </c>
      <c r="AQ266" s="64">
        <f t="shared" ref="AQ266:AQ278" si="118">AL266+AM266+AN266+AO266+AP266</f>
        <v>0</v>
      </c>
      <c r="AR266" s="59">
        <f t="shared" si="97"/>
        <v>0</v>
      </c>
      <c r="AS266" s="59">
        <f t="shared" si="98"/>
        <v>0</v>
      </c>
      <c r="AT266" s="141">
        <f>AR266/13</f>
        <v>0</v>
      </c>
      <c r="AU266" s="141">
        <f>AS266/13</f>
        <v>0</v>
      </c>
    </row>
    <row r="267" spans="1:47">
      <c r="A267" s="154" t="s">
        <v>554</v>
      </c>
      <c r="B267" s="27" t="s">
        <v>555</v>
      </c>
      <c r="C267" s="27" t="s">
        <v>3</v>
      </c>
      <c r="D267" s="27" t="s">
        <v>151</v>
      </c>
      <c r="E267" s="27"/>
      <c r="F267" s="112">
        <v>66083</v>
      </c>
      <c r="G267" s="112"/>
      <c r="H267" s="112"/>
      <c r="I267" s="124">
        <v>100</v>
      </c>
      <c r="J267" s="124">
        <v>0</v>
      </c>
      <c r="K267" s="124">
        <v>0</v>
      </c>
      <c r="L267" s="124">
        <v>0</v>
      </c>
      <c r="M267" s="124">
        <v>0</v>
      </c>
      <c r="N267" s="44">
        <f t="shared" si="117"/>
        <v>100</v>
      </c>
      <c r="O267" s="44">
        <v>490000</v>
      </c>
      <c r="P267" s="125">
        <f t="shared" ref="P267:P278" si="119">O267</f>
        <v>490000</v>
      </c>
      <c r="Q267" s="44"/>
      <c r="R267" s="44">
        <f>P267+Q267</f>
        <v>490000</v>
      </c>
      <c r="S267" s="54">
        <v>0</v>
      </c>
      <c r="T267" s="54">
        <v>80</v>
      </c>
      <c r="U267" s="54">
        <v>0</v>
      </c>
      <c r="V267" s="60">
        <v>78</v>
      </c>
      <c r="W267" s="60">
        <v>0</v>
      </c>
      <c r="X267" s="60">
        <v>0</v>
      </c>
      <c r="Y267" s="60">
        <v>0</v>
      </c>
      <c r="Z267" s="60">
        <v>0</v>
      </c>
      <c r="AA267" s="60">
        <f t="shared" si="112"/>
        <v>78</v>
      </c>
      <c r="AB267" s="60">
        <v>429000</v>
      </c>
      <c r="AC267" s="43">
        <v>370351</v>
      </c>
      <c r="AD267" s="60">
        <v>0</v>
      </c>
      <c r="AE267" s="60"/>
      <c r="AF267" s="60"/>
      <c r="AG267" s="60"/>
      <c r="AH267" s="60">
        <f t="shared" si="116"/>
        <v>124732</v>
      </c>
      <c r="AI267" s="60">
        <f>AH267-AQ267-H267</f>
        <v>19732</v>
      </c>
      <c r="AJ267" s="60">
        <f>AH267-G267</f>
        <v>124732</v>
      </c>
      <c r="AK267" s="7"/>
      <c r="AL267" s="64">
        <v>33000</v>
      </c>
      <c r="AM267" s="64">
        <v>21000</v>
      </c>
      <c r="AN267" s="64">
        <v>51000</v>
      </c>
      <c r="AO267" s="64">
        <v>0</v>
      </c>
      <c r="AP267" s="64">
        <v>0</v>
      </c>
      <c r="AQ267" s="64">
        <f t="shared" si="118"/>
        <v>105000</v>
      </c>
      <c r="AR267" s="59">
        <f t="shared" ref="AR267:AR278" si="120">I267+J267-V267-W267</f>
        <v>22</v>
      </c>
      <c r="AS267" s="59">
        <f t="shared" ref="AS267:AS278" si="121">K267-X267</f>
        <v>0</v>
      </c>
      <c r="AT267" s="141">
        <f>AR267/13</f>
        <v>1.69230769230769</v>
      </c>
      <c r="AU267" s="141">
        <f>AS267/13</f>
        <v>0</v>
      </c>
    </row>
    <row r="268" spans="1:47">
      <c r="A268" s="154" t="s">
        <v>556</v>
      </c>
      <c r="B268" s="27" t="s">
        <v>557</v>
      </c>
      <c r="C268" s="27">
        <v>0</v>
      </c>
      <c r="D268" s="27">
        <v>0</v>
      </c>
      <c r="E268" s="27"/>
      <c r="F268" s="112">
        <v>40200</v>
      </c>
      <c r="G268" s="112">
        <v>0</v>
      </c>
      <c r="H268" s="112">
        <v>281000</v>
      </c>
      <c r="I268" s="124">
        <v>0</v>
      </c>
      <c r="J268" s="124">
        <v>0</v>
      </c>
      <c r="K268" s="124">
        <v>0</v>
      </c>
      <c r="L268" s="124">
        <v>0</v>
      </c>
      <c r="M268" s="124">
        <v>0</v>
      </c>
      <c r="N268" s="44">
        <f t="shared" si="117"/>
        <v>0</v>
      </c>
      <c r="O268" s="44">
        <v>0</v>
      </c>
      <c r="P268" s="125">
        <f t="shared" si="119"/>
        <v>0</v>
      </c>
      <c r="Q268" s="44"/>
      <c r="R268" s="44">
        <f>P268+Q268</f>
        <v>0</v>
      </c>
      <c r="S268" s="54">
        <v>0</v>
      </c>
      <c r="T268" s="54">
        <v>0</v>
      </c>
      <c r="U268" s="54">
        <v>0</v>
      </c>
      <c r="V268" s="60">
        <v>0</v>
      </c>
      <c r="W268" s="60">
        <v>0</v>
      </c>
      <c r="X268" s="60">
        <v>0</v>
      </c>
      <c r="Y268" s="60">
        <v>0</v>
      </c>
      <c r="Z268" s="60">
        <v>0</v>
      </c>
      <c r="AA268" s="60">
        <f t="shared" si="112"/>
        <v>0</v>
      </c>
      <c r="AB268" s="60">
        <v>0</v>
      </c>
      <c r="AC268" s="43">
        <v>0</v>
      </c>
      <c r="AD268" s="60">
        <v>0</v>
      </c>
      <c r="AE268" s="60"/>
      <c r="AF268" s="60"/>
      <c r="AG268" s="60"/>
      <c r="AH268" s="60">
        <f t="shared" si="116"/>
        <v>40200</v>
      </c>
      <c r="AI268" s="60"/>
      <c r="AJ268" s="60">
        <f>AH268-G268</f>
        <v>40200</v>
      </c>
      <c r="AK268" s="7"/>
      <c r="AL268" s="64">
        <v>0</v>
      </c>
      <c r="AM268" s="64">
        <v>0</v>
      </c>
      <c r="AN268" s="64">
        <v>0</v>
      </c>
      <c r="AO268" s="64">
        <v>0</v>
      </c>
      <c r="AP268" s="64">
        <v>0</v>
      </c>
      <c r="AQ268" s="64">
        <f t="shared" si="118"/>
        <v>0</v>
      </c>
      <c r="AR268" s="59">
        <f t="shared" si="120"/>
        <v>0</v>
      </c>
      <c r="AS268" s="59">
        <f t="shared" si="121"/>
        <v>0</v>
      </c>
      <c r="AT268" s="141">
        <f>AR268/13</f>
        <v>0</v>
      </c>
      <c r="AU268" s="141">
        <f>AS268/13</f>
        <v>0</v>
      </c>
    </row>
    <row r="269" spans="1:47">
      <c r="A269" s="154" t="s">
        <v>558</v>
      </c>
      <c r="B269" s="27" t="s">
        <v>559</v>
      </c>
      <c r="C269" s="27" t="s">
        <v>99</v>
      </c>
      <c r="D269" s="27" t="s">
        <v>99</v>
      </c>
      <c r="E269" s="27"/>
      <c r="F269" s="112">
        <v>18300</v>
      </c>
      <c r="G269" s="112">
        <v>0</v>
      </c>
      <c r="H269" s="112">
        <v>0</v>
      </c>
      <c r="I269" s="124">
        <v>0</v>
      </c>
      <c r="J269" s="124">
        <v>0</v>
      </c>
      <c r="K269" s="124">
        <v>0</v>
      </c>
      <c r="L269" s="124">
        <v>0</v>
      </c>
      <c r="M269" s="124">
        <v>0</v>
      </c>
      <c r="N269" s="44">
        <f t="shared" si="117"/>
        <v>0</v>
      </c>
      <c r="O269" s="44">
        <v>0</v>
      </c>
      <c r="P269" s="125">
        <f t="shared" si="119"/>
        <v>0</v>
      </c>
      <c r="Q269" s="44"/>
      <c r="R269" s="44">
        <f>P269+Q269</f>
        <v>0</v>
      </c>
      <c r="S269" s="54">
        <v>0</v>
      </c>
      <c r="T269" s="54">
        <v>0</v>
      </c>
      <c r="U269" s="54">
        <v>0</v>
      </c>
      <c r="V269" s="60">
        <v>0</v>
      </c>
      <c r="W269" s="60">
        <v>0</v>
      </c>
      <c r="X269" s="60">
        <v>0</v>
      </c>
      <c r="Y269" s="60">
        <v>0</v>
      </c>
      <c r="Z269" s="60">
        <v>0</v>
      </c>
      <c r="AA269" s="60">
        <f t="shared" si="112"/>
        <v>0</v>
      </c>
      <c r="AB269" s="60">
        <v>0</v>
      </c>
      <c r="AC269" s="43">
        <v>0</v>
      </c>
      <c r="AD269" s="60">
        <v>0</v>
      </c>
      <c r="AE269" s="60"/>
      <c r="AF269" s="60"/>
      <c r="AG269" s="60"/>
      <c r="AH269" s="60">
        <f t="shared" si="116"/>
        <v>18300</v>
      </c>
      <c r="AI269" s="60"/>
      <c r="AJ269" s="60">
        <f>AH269-G269</f>
        <v>18300</v>
      </c>
      <c r="AK269" s="7"/>
      <c r="AL269" s="64">
        <v>0</v>
      </c>
      <c r="AM269" s="64">
        <v>0</v>
      </c>
      <c r="AN269" s="64">
        <v>0</v>
      </c>
      <c r="AO269" s="64">
        <v>0</v>
      </c>
      <c r="AP269" s="64">
        <v>0</v>
      </c>
      <c r="AQ269" s="64">
        <f t="shared" si="118"/>
        <v>0</v>
      </c>
      <c r="AR269" s="59">
        <f t="shared" si="120"/>
        <v>0</v>
      </c>
      <c r="AS269" s="59">
        <f t="shared" si="121"/>
        <v>0</v>
      </c>
      <c r="AT269" s="141">
        <f>AR269/13</f>
        <v>0</v>
      </c>
      <c r="AU269" s="141">
        <f>AS269/13</f>
        <v>0</v>
      </c>
    </row>
    <row r="270" spans="1:47">
      <c r="A270" s="154" t="s">
        <v>560</v>
      </c>
      <c r="B270" s="27" t="s">
        <v>561</v>
      </c>
      <c r="C270" s="27" t="s">
        <v>52</v>
      </c>
      <c r="D270" s="27" t="s">
        <v>2</v>
      </c>
      <c r="E270" s="27"/>
      <c r="F270" s="112">
        <v>3394014.71</v>
      </c>
      <c r="G270" s="112">
        <v>2348842.71</v>
      </c>
      <c r="H270" s="112">
        <v>2885425.71</v>
      </c>
      <c r="I270" s="124">
        <v>100</v>
      </c>
      <c r="J270" s="124">
        <v>0</v>
      </c>
      <c r="K270" s="124">
        <v>0</v>
      </c>
      <c r="L270" s="124">
        <v>0</v>
      </c>
      <c r="M270" s="124">
        <v>0</v>
      </c>
      <c r="N270" s="44">
        <f t="shared" si="117"/>
        <v>100</v>
      </c>
      <c r="O270" s="44">
        <v>1315000</v>
      </c>
      <c r="P270" s="125">
        <f t="shared" si="119"/>
        <v>1315000</v>
      </c>
      <c r="Q270" s="44"/>
      <c r="R270" s="44">
        <f>P270+Q270</f>
        <v>1315000</v>
      </c>
      <c r="S270" s="54">
        <v>665000</v>
      </c>
      <c r="T270" s="54">
        <v>180</v>
      </c>
      <c r="U270" s="54">
        <v>0</v>
      </c>
      <c r="V270" s="60">
        <v>68</v>
      </c>
      <c r="W270" s="60">
        <v>0</v>
      </c>
      <c r="X270" s="60">
        <v>0</v>
      </c>
      <c r="Y270" s="60">
        <v>0</v>
      </c>
      <c r="Z270" s="60">
        <v>0</v>
      </c>
      <c r="AA270" s="60">
        <f t="shared" si="112"/>
        <v>68</v>
      </c>
      <c r="AB270" s="60">
        <v>969000</v>
      </c>
      <c r="AC270" s="43">
        <v>679000</v>
      </c>
      <c r="AD270" s="60">
        <v>0</v>
      </c>
      <c r="AE270" s="60"/>
      <c r="AF270" s="60"/>
      <c r="AG270" s="60"/>
      <c r="AH270" s="60">
        <f t="shared" si="116"/>
        <v>3684014.71</v>
      </c>
      <c r="AI270" s="60">
        <f>AH270-AQ270-H270</f>
        <v>335704.789473684</v>
      </c>
      <c r="AJ270" s="60">
        <f>AH270-G270</f>
        <v>1335172</v>
      </c>
      <c r="AK270" s="7"/>
      <c r="AL270" s="64">
        <v>130000</v>
      </c>
      <c r="AM270" s="64">
        <v>68200</v>
      </c>
      <c r="AN270" s="64">
        <v>220000</v>
      </c>
      <c r="AO270" s="64">
        <v>9368.42105263158</v>
      </c>
      <c r="AP270" s="64">
        <v>35315.7894736842</v>
      </c>
      <c r="AQ270" s="64">
        <f t="shared" si="118"/>
        <v>462884.210526316</v>
      </c>
      <c r="AR270" s="59">
        <f t="shared" si="120"/>
        <v>32</v>
      </c>
      <c r="AS270" s="59">
        <f t="shared" si="121"/>
        <v>0</v>
      </c>
      <c r="AT270" s="141">
        <f>AR270/13</f>
        <v>2.46153846153846</v>
      </c>
      <c r="AU270" s="141">
        <f>AS270/13</f>
        <v>0</v>
      </c>
    </row>
    <row r="271" spans="1:47">
      <c r="A271" s="154" t="s">
        <v>562</v>
      </c>
      <c r="B271" s="174" t="s">
        <v>563</v>
      </c>
      <c r="C271" s="27"/>
      <c r="D271" s="27"/>
      <c r="E271" s="27"/>
      <c r="F271" s="112">
        <v>9173</v>
      </c>
      <c r="G271" s="112"/>
      <c r="H271" s="112"/>
      <c r="I271" s="124">
        <v>0</v>
      </c>
      <c r="J271" s="124">
        <v>0</v>
      </c>
      <c r="K271" s="124">
        <v>0</v>
      </c>
      <c r="L271" s="124">
        <v>0</v>
      </c>
      <c r="M271" s="124">
        <v>0</v>
      </c>
      <c r="N271" s="44">
        <f t="shared" si="117"/>
        <v>0</v>
      </c>
      <c r="O271" s="44">
        <v>0</v>
      </c>
      <c r="P271" s="125">
        <f t="shared" si="119"/>
        <v>0</v>
      </c>
      <c r="Q271" s="44"/>
      <c r="R271" s="44"/>
      <c r="S271" s="54">
        <v>0</v>
      </c>
      <c r="T271" s="54">
        <v>0</v>
      </c>
      <c r="U271" s="54">
        <v>0</v>
      </c>
      <c r="V271" s="60">
        <v>0</v>
      </c>
      <c r="W271" s="60">
        <v>0</v>
      </c>
      <c r="X271" s="60">
        <v>0</v>
      </c>
      <c r="Y271" s="60">
        <v>0</v>
      </c>
      <c r="Z271" s="60">
        <v>0</v>
      </c>
      <c r="AA271" s="60">
        <f t="shared" si="112"/>
        <v>0</v>
      </c>
      <c r="AB271" s="60">
        <v>0</v>
      </c>
      <c r="AC271" s="43">
        <v>0</v>
      </c>
      <c r="AD271" s="60">
        <v>0</v>
      </c>
      <c r="AE271" s="60"/>
      <c r="AF271" s="60"/>
      <c r="AG271" s="60"/>
      <c r="AH271" s="60">
        <f t="shared" si="116"/>
        <v>9173</v>
      </c>
      <c r="AI271" s="60"/>
      <c r="AJ271" s="60">
        <f>AH271-G271</f>
        <v>9173</v>
      </c>
      <c r="AK271" s="7"/>
      <c r="AL271" s="64">
        <v>0</v>
      </c>
      <c r="AM271" s="64">
        <v>0</v>
      </c>
      <c r="AN271" s="64">
        <v>0</v>
      </c>
      <c r="AO271" s="64">
        <v>0</v>
      </c>
      <c r="AP271" s="64">
        <v>0</v>
      </c>
      <c r="AQ271" s="64">
        <f t="shared" si="118"/>
        <v>0</v>
      </c>
      <c r="AR271" s="59">
        <f t="shared" si="120"/>
        <v>0</v>
      </c>
      <c r="AS271" s="59">
        <f t="shared" si="121"/>
        <v>0</v>
      </c>
      <c r="AT271" s="141">
        <f>AR271/13</f>
        <v>0</v>
      </c>
      <c r="AU271" s="141">
        <f>AS271/13</f>
        <v>0</v>
      </c>
    </row>
    <row r="272" spans="1:47">
      <c r="A272" s="28" t="s">
        <v>564</v>
      </c>
      <c r="B272" s="27" t="str">
        <f>IFERROR(VLOOKUP(A272,'[3]Dealer Wise Net Sales Register2'!D:E,2,FALSE),0)</f>
        <v>01561</v>
      </c>
      <c r="C272" s="27" t="s">
        <v>99</v>
      </c>
      <c r="D272" s="27" t="s">
        <v>99</v>
      </c>
      <c r="E272" s="27"/>
      <c r="F272" s="112">
        <v>-500</v>
      </c>
      <c r="G272" s="112"/>
      <c r="H272" s="112"/>
      <c r="I272" s="124">
        <v>0</v>
      </c>
      <c r="J272" s="124">
        <v>0</v>
      </c>
      <c r="K272" s="124">
        <v>0</v>
      </c>
      <c r="L272" s="124">
        <v>0</v>
      </c>
      <c r="M272" s="124">
        <v>0</v>
      </c>
      <c r="N272" s="44">
        <f t="shared" si="117"/>
        <v>0</v>
      </c>
      <c r="O272" s="44">
        <v>0</v>
      </c>
      <c r="P272" s="125">
        <f t="shared" si="119"/>
        <v>0</v>
      </c>
      <c r="Q272" s="44"/>
      <c r="R272" s="44"/>
      <c r="S272" s="54">
        <v>0</v>
      </c>
      <c r="T272" s="54">
        <v>0</v>
      </c>
      <c r="U272" s="54">
        <v>0</v>
      </c>
      <c r="V272" s="60">
        <v>0</v>
      </c>
      <c r="W272" s="60">
        <v>0</v>
      </c>
      <c r="X272" s="60">
        <v>0</v>
      </c>
      <c r="Y272" s="60">
        <v>0</v>
      </c>
      <c r="Z272" s="60">
        <v>0</v>
      </c>
      <c r="AA272" s="60">
        <f t="shared" si="112"/>
        <v>0</v>
      </c>
      <c r="AB272" s="60">
        <v>0</v>
      </c>
      <c r="AC272" s="43">
        <v>0</v>
      </c>
      <c r="AD272" s="60">
        <v>0</v>
      </c>
      <c r="AE272" s="60"/>
      <c r="AF272" s="60"/>
      <c r="AG272" s="60"/>
      <c r="AH272" s="60">
        <f t="shared" si="116"/>
        <v>-500</v>
      </c>
      <c r="AI272" s="60"/>
      <c r="AJ272" s="60"/>
      <c r="AK272" s="7"/>
      <c r="AL272" s="64">
        <v>0</v>
      </c>
      <c r="AM272" s="64">
        <v>0</v>
      </c>
      <c r="AN272" s="64">
        <v>0</v>
      </c>
      <c r="AO272" s="64">
        <v>0</v>
      </c>
      <c r="AP272" s="64">
        <v>0</v>
      </c>
      <c r="AQ272" s="64">
        <f t="shared" si="118"/>
        <v>0</v>
      </c>
      <c r="AR272" s="59">
        <f t="shared" si="120"/>
        <v>0</v>
      </c>
      <c r="AS272" s="59">
        <f t="shared" si="121"/>
        <v>0</v>
      </c>
      <c r="AT272" s="141">
        <f>AR272/13</f>
        <v>0</v>
      </c>
      <c r="AU272" s="141">
        <f>AS272/13</f>
        <v>0</v>
      </c>
    </row>
    <row r="273" spans="1:47">
      <c r="A273" s="155" t="s">
        <v>565</v>
      </c>
      <c r="B273" s="27" t="s">
        <v>566</v>
      </c>
      <c r="C273" s="27">
        <v>0</v>
      </c>
      <c r="D273" s="27">
        <v>0</v>
      </c>
      <c r="E273" s="27"/>
      <c r="F273" s="112">
        <v>-243702.88</v>
      </c>
      <c r="G273" s="112">
        <v>300000</v>
      </c>
      <c r="H273" s="112">
        <v>504815</v>
      </c>
      <c r="I273" s="124">
        <v>0</v>
      </c>
      <c r="J273" s="124">
        <v>0</v>
      </c>
      <c r="K273" s="124">
        <v>0</v>
      </c>
      <c r="L273" s="124">
        <v>0</v>
      </c>
      <c r="M273" s="124">
        <v>0</v>
      </c>
      <c r="N273" s="44">
        <f t="shared" si="117"/>
        <v>0</v>
      </c>
      <c r="O273" s="44">
        <v>0</v>
      </c>
      <c r="P273" s="125">
        <f t="shared" si="119"/>
        <v>0</v>
      </c>
      <c r="Q273" s="44"/>
      <c r="R273" s="44">
        <f t="shared" ref="R273:R278" si="122">P273+Q273</f>
        <v>0</v>
      </c>
      <c r="S273" s="54">
        <v>0</v>
      </c>
      <c r="T273" s="54">
        <v>0</v>
      </c>
      <c r="U273" s="54">
        <v>0</v>
      </c>
      <c r="V273" s="60">
        <v>0</v>
      </c>
      <c r="W273" s="60">
        <v>0</v>
      </c>
      <c r="X273" s="60">
        <v>0</v>
      </c>
      <c r="Y273" s="60">
        <v>0</v>
      </c>
      <c r="Z273" s="60">
        <v>0</v>
      </c>
      <c r="AA273" s="60">
        <f t="shared" si="112"/>
        <v>0</v>
      </c>
      <c r="AB273" s="60">
        <v>0</v>
      </c>
      <c r="AC273" s="43">
        <v>0</v>
      </c>
      <c r="AD273" s="60">
        <v>0</v>
      </c>
      <c r="AE273" s="60"/>
      <c r="AF273" s="60"/>
      <c r="AG273" s="60"/>
      <c r="AH273" s="60">
        <f t="shared" si="116"/>
        <v>-243702.88</v>
      </c>
      <c r="AI273" s="60"/>
      <c r="AJ273" s="60"/>
      <c r="AK273" s="7"/>
      <c r="AL273" s="64">
        <v>0</v>
      </c>
      <c r="AM273" s="64">
        <v>0</v>
      </c>
      <c r="AN273" s="64">
        <v>0</v>
      </c>
      <c r="AO273" s="64">
        <v>0</v>
      </c>
      <c r="AP273" s="64">
        <v>0</v>
      </c>
      <c r="AQ273" s="64">
        <f t="shared" si="118"/>
        <v>0</v>
      </c>
      <c r="AR273" s="59">
        <f t="shared" si="120"/>
        <v>0</v>
      </c>
      <c r="AS273" s="59">
        <f t="shared" si="121"/>
        <v>0</v>
      </c>
      <c r="AT273" s="141">
        <f>AR273/13</f>
        <v>0</v>
      </c>
      <c r="AU273" s="141">
        <f>AS273/13</f>
        <v>0</v>
      </c>
    </row>
    <row r="274" spans="1:47">
      <c r="A274" s="154" t="s">
        <v>567</v>
      </c>
      <c r="B274" s="175" t="s">
        <v>568</v>
      </c>
      <c r="C274" s="27" t="s">
        <v>151</v>
      </c>
      <c r="D274" s="27" t="s">
        <v>151</v>
      </c>
      <c r="E274" s="27"/>
      <c r="F274" s="112">
        <v>163700</v>
      </c>
      <c r="G274" s="112"/>
      <c r="H274" s="112"/>
      <c r="I274" s="124">
        <v>50</v>
      </c>
      <c r="J274" s="124">
        <v>0</v>
      </c>
      <c r="K274" s="124">
        <v>0</v>
      </c>
      <c r="L274" s="124">
        <v>0</v>
      </c>
      <c r="M274" s="124">
        <v>0</v>
      </c>
      <c r="N274" s="44">
        <f t="shared" si="117"/>
        <v>50</v>
      </c>
      <c r="O274" s="44">
        <v>245000</v>
      </c>
      <c r="P274" s="125">
        <f t="shared" si="119"/>
        <v>245000</v>
      </c>
      <c r="Q274" s="44"/>
      <c r="R274" s="44">
        <f t="shared" si="122"/>
        <v>245000</v>
      </c>
      <c r="S274" s="54">
        <v>0</v>
      </c>
      <c r="T274" s="54">
        <v>80</v>
      </c>
      <c r="U274" s="54">
        <v>0</v>
      </c>
      <c r="V274" s="60">
        <v>35</v>
      </c>
      <c r="W274" s="60">
        <v>0</v>
      </c>
      <c r="X274" s="60">
        <v>0</v>
      </c>
      <c r="Y274" s="60">
        <v>0</v>
      </c>
      <c r="Z274" s="60">
        <v>0</v>
      </c>
      <c r="AA274" s="60">
        <f t="shared" si="112"/>
        <v>35</v>
      </c>
      <c r="AB274" s="60">
        <v>192500</v>
      </c>
      <c r="AC274" s="43">
        <v>0</v>
      </c>
      <c r="AD274" s="60">
        <v>0</v>
      </c>
      <c r="AE274" s="60"/>
      <c r="AF274" s="60"/>
      <c r="AG274" s="60"/>
      <c r="AH274" s="60">
        <f t="shared" si="116"/>
        <v>356200</v>
      </c>
      <c r="AI274" s="60">
        <f>AH274-AQ274-H274</f>
        <v>303700</v>
      </c>
      <c r="AJ274" s="60">
        <f t="shared" ref="AJ274:AJ278" si="123">AH274-G274</f>
        <v>356200</v>
      </c>
      <c r="AK274" s="7"/>
      <c r="AL274" s="64">
        <v>24000</v>
      </c>
      <c r="AM274" s="64">
        <v>13200</v>
      </c>
      <c r="AN274" s="64">
        <v>15300</v>
      </c>
      <c r="AO274" s="64">
        <v>0</v>
      </c>
      <c r="AP274" s="64">
        <v>0</v>
      </c>
      <c r="AQ274" s="64">
        <f t="shared" si="118"/>
        <v>52500</v>
      </c>
      <c r="AR274" s="59">
        <f t="shared" si="120"/>
        <v>15</v>
      </c>
      <c r="AS274" s="59">
        <f t="shared" si="121"/>
        <v>0</v>
      </c>
      <c r="AT274" s="141">
        <f>AR274/13</f>
        <v>1.15384615384615</v>
      </c>
      <c r="AU274" s="141">
        <f>AS274/13</f>
        <v>0</v>
      </c>
    </row>
    <row r="275" spans="1:47">
      <c r="A275" s="155" t="s">
        <v>569</v>
      </c>
      <c r="B275" s="27" t="s">
        <v>570</v>
      </c>
      <c r="C275" s="27" t="s">
        <v>99</v>
      </c>
      <c r="D275" s="27" t="s">
        <v>99</v>
      </c>
      <c r="E275" s="27"/>
      <c r="F275" s="112">
        <v>-6064</v>
      </c>
      <c r="G275" s="112">
        <v>0</v>
      </c>
      <c r="H275" s="112">
        <v>0</v>
      </c>
      <c r="I275" s="124">
        <v>50</v>
      </c>
      <c r="J275" s="124">
        <v>0</v>
      </c>
      <c r="K275" s="124">
        <v>0</v>
      </c>
      <c r="L275" s="124">
        <v>0</v>
      </c>
      <c r="M275" s="124">
        <v>0</v>
      </c>
      <c r="N275" s="44">
        <f t="shared" si="117"/>
        <v>50</v>
      </c>
      <c r="O275" s="44">
        <v>650000</v>
      </c>
      <c r="P275" s="125">
        <f t="shared" si="119"/>
        <v>650000</v>
      </c>
      <c r="Q275" s="44"/>
      <c r="R275" s="44">
        <f t="shared" si="122"/>
        <v>650000</v>
      </c>
      <c r="S275" s="54">
        <v>0</v>
      </c>
      <c r="T275" s="54">
        <v>60</v>
      </c>
      <c r="U275" s="54">
        <v>0</v>
      </c>
      <c r="V275" s="60">
        <v>10</v>
      </c>
      <c r="W275" s="60">
        <v>15</v>
      </c>
      <c r="X275" s="60">
        <v>0</v>
      </c>
      <c r="Y275" s="60">
        <v>0</v>
      </c>
      <c r="Z275" s="60">
        <v>0</v>
      </c>
      <c r="AA275" s="60">
        <f t="shared" si="112"/>
        <v>25</v>
      </c>
      <c r="AB275" s="60">
        <v>335000</v>
      </c>
      <c r="AC275" s="43">
        <v>340000</v>
      </c>
      <c r="AD275" s="60">
        <v>0</v>
      </c>
      <c r="AE275" s="60"/>
      <c r="AF275" s="60"/>
      <c r="AG275" s="60"/>
      <c r="AH275" s="60">
        <f t="shared" si="116"/>
        <v>-11064</v>
      </c>
      <c r="AI275" s="60">
        <f>AH275-AQ275-H275</f>
        <v>-11064</v>
      </c>
      <c r="AJ275" s="60">
        <f t="shared" si="123"/>
        <v>-11064</v>
      </c>
      <c r="AK275" s="7"/>
      <c r="AL275" s="64">
        <v>0</v>
      </c>
      <c r="AM275" s="64">
        <v>0</v>
      </c>
      <c r="AN275" s="64">
        <v>0</v>
      </c>
      <c r="AO275" s="64">
        <v>0</v>
      </c>
      <c r="AP275" s="64">
        <v>0</v>
      </c>
      <c r="AQ275" s="64">
        <f t="shared" si="118"/>
        <v>0</v>
      </c>
      <c r="AR275" s="59">
        <f t="shared" si="120"/>
        <v>25</v>
      </c>
      <c r="AS275" s="59">
        <f t="shared" si="121"/>
        <v>0</v>
      </c>
      <c r="AT275" s="141">
        <f>AR275/13</f>
        <v>1.92307692307692</v>
      </c>
      <c r="AU275" s="141">
        <f>AS275/13</f>
        <v>0</v>
      </c>
    </row>
    <row r="276" spans="1:47">
      <c r="A276" s="154" t="s">
        <v>571</v>
      </c>
      <c r="B276" s="27" t="s">
        <v>572</v>
      </c>
      <c r="C276" s="27">
        <v>0</v>
      </c>
      <c r="D276" s="27">
        <v>0</v>
      </c>
      <c r="E276" s="27"/>
      <c r="F276" s="112">
        <v>-27103.6</v>
      </c>
      <c r="G276" s="112"/>
      <c r="H276" s="112"/>
      <c r="I276" s="124">
        <v>0</v>
      </c>
      <c r="J276" s="124">
        <v>0</v>
      </c>
      <c r="K276" s="124">
        <v>0</v>
      </c>
      <c r="L276" s="124">
        <v>0</v>
      </c>
      <c r="M276" s="124">
        <v>0</v>
      </c>
      <c r="N276" s="44">
        <f t="shared" si="117"/>
        <v>0</v>
      </c>
      <c r="O276" s="44">
        <v>0</v>
      </c>
      <c r="P276" s="125">
        <f t="shared" si="119"/>
        <v>0</v>
      </c>
      <c r="Q276" s="44"/>
      <c r="R276" s="44">
        <f t="shared" si="122"/>
        <v>0</v>
      </c>
      <c r="S276" s="54">
        <v>0</v>
      </c>
      <c r="T276" s="54">
        <v>0</v>
      </c>
      <c r="U276" s="54">
        <v>0</v>
      </c>
      <c r="V276" s="60">
        <v>0</v>
      </c>
      <c r="W276" s="60">
        <v>0</v>
      </c>
      <c r="X276" s="60">
        <v>0</v>
      </c>
      <c r="Y276" s="60">
        <v>0</v>
      </c>
      <c r="Z276" s="60">
        <v>0</v>
      </c>
      <c r="AA276" s="60">
        <f t="shared" si="112"/>
        <v>0</v>
      </c>
      <c r="AB276" s="60">
        <v>0</v>
      </c>
      <c r="AC276" s="43">
        <v>0</v>
      </c>
      <c r="AD276" s="60">
        <v>0</v>
      </c>
      <c r="AE276" s="60"/>
      <c r="AF276" s="60"/>
      <c r="AG276" s="60"/>
      <c r="AH276" s="60">
        <f t="shared" si="116"/>
        <v>-27103.6</v>
      </c>
      <c r="AI276" s="60"/>
      <c r="AJ276" s="60"/>
      <c r="AK276" s="7"/>
      <c r="AL276" s="64">
        <v>0</v>
      </c>
      <c r="AM276" s="64">
        <v>0</v>
      </c>
      <c r="AN276" s="64">
        <v>0</v>
      </c>
      <c r="AO276" s="64">
        <v>0</v>
      </c>
      <c r="AP276" s="64">
        <v>0</v>
      </c>
      <c r="AQ276" s="64">
        <f t="shared" si="118"/>
        <v>0</v>
      </c>
      <c r="AR276" s="59">
        <f t="shared" si="120"/>
        <v>0</v>
      </c>
      <c r="AS276" s="59">
        <f t="shared" si="121"/>
        <v>0</v>
      </c>
      <c r="AT276" s="141">
        <f>AR276/13</f>
        <v>0</v>
      </c>
      <c r="AU276" s="141">
        <f>AS276/13</f>
        <v>0</v>
      </c>
    </row>
    <row r="277" spans="1:47">
      <c r="A277" s="28" t="s">
        <v>573</v>
      </c>
      <c r="B277" s="175" t="s">
        <v>574</v>
      </c>
      <c r="C277" s="27">
        <v>0</v>
      </c>
      <c r="D277" s="27" t="s">
        <v>99</v>
      </c>
      <c r="E277" s="27"/>
      <c r="F277" s="112">
        <v>-1573.8</v>
      </c>
      <c r="G277" s="112"/>
      <c r="H277" s="112"/>
      <c r="I277" s="124">
        <v>0</v>
      </c>
      <c r="J277" s="124">
        <v>0</v>
      </c>
      <c r="K277" s="124">
        <v>0</v>
      </c>
      <c r="L277" s="124">
        <v>0</v>
      </c>
      <c r="M277" s="124">
        <v>0</v>
      </c>
      <c r="N277" s="44">
        <f t="shared" si="117"/>
        <v>0</v>
      </c>
      <c r="O277" s="44">
        <v>0</v>
      </c>
      <c r="P277" s="125">
        <f t="shared" si="119"/>
        <v>0</v>
      </c>
      <c r="Q277" s="44"/>
      <c r="R277" s="44">
        <f t="shared" si="122"/>
        <v>0</v>
      </c>
      <c r="S277" s="54">
        <v>0</v>
      </c>
      <c r="T277" s="54">
        <v>0</v>
      </c>
      <c r="U277" s="54">
        <v>0</v>
      </c>
      <c r="V277" s="60">
        <v>0</v>
      </c>
      <c r="W277" s="60">
        <v>0</v>
      </c>
      <c r="X277" s="60">
        <v>0</v>
      </c>
      <c r="Y277" s="60">
        <v>0</v>
      </c>
      <c r="Z277" s="60">
        <v>0</v>
      </c>
      <c r="AA277" s="60">
        <f t="shared" si="112"/>
        <v>0</v>
      </c>
      <c r="AB277" s="60">
        <v>0</v>
      </c>
      <c r="AC277" s="43">
        <v>0</v>
      </c>
      <c r="AD277" s="60">
        <v>0</v>
      </c>
      <c r="AE277" s="60"/>
      <c r="AF277" s="60"/>
      <c r="AG277" s="60"/>
      <c r="AH277" s="60">
        <f t="shared" si="116"/>
        <v>-1573.8</v>
      </c>
      <c r="AI277" s="60"/>
      <c r="AJ277" s="60"/>
      <c r="AK277" s="7"/>
      <c r="AL277" s="64">
        <v>0</v>
      </c>
      <c r="AM277" s="64">
        <v>0</v>
      </c>
      <c r="AN277" s="64">
        <v>0</v>
      </c>
      <c r="AO277" s="64">
        <v>0</v>
      </c>
      <c r="AP277" s="64">
        <v>0</v>
      </c>
      <c r="AQ277" s="64">
        <f t="shared" si="118"/>
        <v>0</v>
      </c>
      <c r="AR277" s="59">
        <f t="shared" si="120"/>
        <v>0</v>
      </c>
      <c r="AS277" s="59">
        <f t="shared" si="121"/>
        <v>0</v>
      </c>
      <c r="AT277" s="141">
        <f>AR277/13</f>
        <v>0</v>
      </c>
      <c r="AU277" s="141">
        <f>AS277/13</f>
        <v>0</v>
      </c>
    </row>
    <row r="278" spans="1:47">
      <c r="A278" s="154" t="s">
        <v>575</v>
      </c>
      <c r="B278" s="27" t="s">
        <v>576</v>
      </c>
      <c r="C278" s="27">
        <v>0</v>
      </c>
      <c r="D278" s="27">
        <v>0</v>
      </c>
      <c r="E278" s="27"/>
      <c r="F278" s="112">
        <v>0</v>
      </c>
      <c r="G278" s="112"/>
      <c r="H278" s="112"/>
      <c r="I278" s="124">
        <v>0</v>
      </c>
      <c r="J278" s="124">
        <v>0</v>
      </c>
      <c r="K278" s="124">
        <v>0</v>
      </c>
      <c r="L278" s="124">
        <v>0</v>
      </c>
      <c r="M278" s="124">
        <v>0</v>
      </c>
      <c r="N278" s="44">
        <f t="shared" si="117"/>
        <v>0</v>
      </c>
      <c r="O278" s="44">
        <v>0</v>
      </c>
      <c r="P278" s="125">
        <f t="shared" si="119"/>
        <v>0</v>
      </c>
      <c r="Q278" s="44"/>
      <c r="R278" s="44">
        <f t="shared" si="122"/>
        <v>0</v>
      </c>
      <c r="S278" s="54">
        <v>0</v>
      </c>
      <c r="T278" s="54">
        <v>20</v>
      </c>
      <c r="U278" s="54">
        <v>0</v>
      </c>
      <c r="V278" s="60">
        <v>0</v>
      </c>
      <c r="W278" s="60">
        <v>0</v>
      </c>
      <c r="X278" s="60">
        <v>0</v>
      </c>
      <c r="Y278" s="60">
        <v>0</v>
      </c>
      <c r="Z278" s="60">
        <v>0</v>
      </c>
      <c r="AA278" s="60">
        <f t="shared" si="112"/>
        <v>0</v>
      </c>
      <c r="AB278" s="60">
        <v>0</v>
      </c>
      <c r="AC278" s="43">
        <v>0</v>
      </c>
      <c r="AD278" s="60">
        <v>0</v>
      </c>
      <c r="AE278" s="60"/>
      <c r="AF278" s="60"/>
      <c r="AG278" s="60"/>
      <c r="AH278" s="60">
        <f t="shared" si="116"/>
        <v>0</v>
      </c>
      <c r="AI278" s="60"/>
      <c r="AJ278" s="60">
        <f t="shared" si="123"/>
        <v>0</v>
      </c>
      <c r="AK278" s="7"/>
      <c r="AL278" s="64">
        <v>0</v>
      </c>
      <c r="AM278" s="64">
        <v>0</v>
      </c>
      <c r="AN278" s="64">
        <v>0</v>
      </c>
      <c r="AO278" s="64">
        <v>0</v>
      </c>
      <c r="AP278" s="64">
        <v>0</v>
      </c>
      <c r="AQ278" s="64">
        <f t="shared" si="118"/>
        <v>0</v>
      </c>
      <c r="AR278" s="59">
        <f t="shared" si="120"/>
        <v>0</v>
      </c>
      <c r="AS278" s="59">
        <f t="shared" si="121"/>
        <v>0</v>
      </c>
      <c r="AT278" s="141">
        <f>AR278/13</f>
        <v>0</v>
      </c>
      <c r="AU278" s="141">
        <f>AS278/13</f>
        <v>0</v>
      </c>
    </row>
    <row r="279" spans="1:47">
      <c r="A279" s="163" t="s">
        <v>577</v>
      </c>
      <c r="B279" s="119">
        <f>SUM(B247:B278)</f>
        <v>0</v>
      </c>
      <c r="C279" s="119"/>
      <c r="D279" s="119"/>
      <c r="E279" s="27"/>
      <c r="F279" s="119">
        <f t="shared" ref="F279:AF279" si="124">SUM(F247:F278)</f>
        <v>11092578.46</v>
      </c>
      <c r="G279" s="119">
        <f t="shared" si="124"/>
        <v>8200390.71</v>
      </c>
      <c r="H279" s="119">
        <f t="shared" si="124"/>
        <v>11902937.3463636</v>
      </c>
      <c r="I279" s="119">
        <f t="shared" si="124"/>
        <v>590</v>
      </c>
      <c r="J279" s="119">
        <f t="shared" si="124"/>
        <v>0</v>
      </c>
      <c r="K279" s="119">
        <f t="shared" si="124"/>
        <v>0</v>
      </c>
      <c r="L279" s="119">
        <f t="shared" si="124"/>
        <v>0</v>
      </c>
      <c r="M279" s="119">
        <f t="shared" si="124"/>
        <v>0</v>
      </c>
      <c r="N279" s="119">
        <f t="shared" si="124"/>
        <v>490</v>
      </c>
      <c r="O279" s="119">
        <f t="shared" si="124"/>
        <v>4626000</v>
      </c>
      <c r="P279" s="119">
        <f t="shared" si="124"/>
        <v>4626000</v>
      </c>
      <c r="Q279" s="119">
        <f t="shared" si="124"/>
        <v>0</v>
      </c>
      <c r="R279" s="119">
        <f t="shared" si="124"/>
        <v>4136000</v>
      </c>
      <c r="S279" s="119">
        <f t="shared" si="124"/>
        <v>2438000</v>
      </c>
      <c r="T279" s="119">
        <f t="shared" si="124"/>
        <v>980</v>
      </c>
      <c r="U279" s="119">
        <f t="shared" si="124"/>
        <v>0</v>
      </c>
      <c r="V279" s="119">
        <f>SUM(V247:V278)</f>
        <v>293</v>
      </c>
      <c r="W279" s="119">
        <f>SUM(W247:W278)</f>
        <v>90</v>
      </c>
      <c r="X279" s="119">
        <f>SUM(X247:X278)</f>
        <v>0</v>
      </c>
      <c r="Y279" s="119">
        <f>SUM(Y247:Y278)</f>
        <v>0</v>
      </c>
      <c r="Z279" s="119">
        <f>SUM(Z247:Z278)</f>
        <v>0</v>
      </c>
      <c r="AA279" s="119">
        <f>SUM(AA247:AA278)</f>
        <v>383</v>
      </c>
      <c r="AB279" s="119">
        <f>SUM(AB247:AB278)</f>
        <v>3049750</v>
      </c>
      <c r="AC279" s="119">
        <f>SUM(AC247:AC278)</f>
        <v>2057163</v>
      </c>
      <c r="AD279" s="119">
        <f>SUM(AD247:AD278)</f>
        <v>0</v>
      </c>
      <c r="AE279" s="119">
        <f>SUM(AE247:AE278)</f>
        <v>0</v>
      </c>
      <c r="AF279" s="119">
        <f>SUM(AF247:AF278)</f>
        <v>0</v>
      </c>
      <c r="AG279" s="119"/>
      <c r="AH279" s="119">
        <f>SUM(AH247:AH278)</f>
        <v>12085165.46</v>
      </c>
      <c r="AI279" s="119"/>
      <c r="AJ279" s="119">
        <f>SUM(AJ247:AJ278)</f>
        <v>3603227.21</v>
      </c>
      <c r="AK279" s="135"/>
      <c r="AL279" s="119">
        <f t="shared" ref="AL279:BH279" si="125">SUM(AL247:AL278)</f>
        <v>542362.9</v>
      </c>
      <c r="AM279" s="119">
        <f t="shared" si="125"/>
        <v>516401</v>
      </c>
      <c r="AN279" s="119">
        <f t="shared" si="125"/>
        <v>371450</v>
      </c>
      <c r="AO279" s="119">
        <f t="shared" si="125"/>
        <v>9368.42105263158</v>
      </c>
      <c r="AP279" s="119">
        <f t="shared" si="125"/>
        <v>63360</v>
      </c>
      <c r="AQ279" s="143">
        <f t="shared" si="125"/>
        <v>1502942.32105263</v>
      </c>
      <c r="AR279" s="119">
        <f t="shared" si="125"/>
        <v>207</v>
      </c>
      <c r="AS279" s="119">
        <f t="shared" si="125"/>
        <v>0</v>
      </c>
      <c r="AT279" s="141">
        <f>AR279/13</f>
        <v>15.9230769230769</v>
      </c>
      <c r="AU279" s="141">
        <f>AS279/13</f>
        <v>0</v>
      </c>
    </row>
    <row r="280" spans="1:43">
      <c r="A280" s="83" t="s">
        <v>255</v>
      </c>
      <c r="B280" s="164"/>
      <c r="C280" s="164"/>
      <c r="D280" s="164"/>
      <c r="E280" s="27"/>
      <c r="F280" s="165">
        <v>0</v>
      </c>
      <c r="G280" s="165"/>
      <c r="H280" s="165"/>
      <c r="I280" s="89">
        <f>I279</f>
        <v>590</v>
      </c>
      <c r="J280" s="89">
        <f>J279</f>
        <v>0</v>
      </c>
      <c r="K280" s="89">
        <f>K279</f>
        <v>0</v>
      </c>
      <c r="L280" s="89">
        <f>L279</f>
        <v>0</v>
      </c>
      <c r="M280" s="89">
        <f>M279</f>
        <v>0</v>
      </c>
      <c r="N280" s="89">
        <f>SUM(I280:M280)</f>
        <v>590</v>
      </c>
      <c r="O280" s="165"/>
      <c r="P280" s="165"/>
      <c r="Q280" s="165"/>
      <c r="R280" s="165"/>
      <c r="S280" s="165"/>
      <c r="T280" s="165"/>
      <c r="U280" s="165"/>
      <c r="V280" s="60"/>
      <c r="W280" s="60"/>
      <c r="X280" s="60"/>
      <c r="Y280" s="60"/>
      <c r="Z280" s="60"/>
      <c r="AA280" s="60"/>
      <c r="AB280" s="60"/>
      <c r="AC280" s="60"/>
      <c r="AD280" s="60"/>
      <c r="AE280" s="60"/>
      <c r="AF280" s="60"/>
      <c r="AG280" s="60"/>
      <c r="AH280" s="165"/>
      <c r="AI280" s="165"/>
      <c r="AJ280" s="165"/>
      <c r="AK280" s="148"/>
      <c r="AL280" s="148"/>
      <c r="AM280" s="148"/>
      <c r="AN280" s="148"/>
      <c r="AO280" s="148"/>
      <c r="AP280" s="148">
        <v>0</v>
      </c>
      <c r="AQ280" s="64">
        <f>AL280+AM280+AN280+AO280+AP280</f>
        <v>0</v>
      </c>
    </row>
    <row r="281" spans="1:43">
      <c r="A281" s="83" t="s">
        <v>578</v>
      </c>
      <c r="B281" s="164"/>
      <c r="C281" s="164"/>
      <c r="D281" s="164"/>
      <c r="E281" s="27"/>
      <c r="F281" s="165">
        <v>0</v>
      </c>
      <c r="G281" s="165"/>
      <c r="H281" s="165"/>
      <c r="I281" s="89">
        <v>1040</v>
      </c>
      <c r="J281" s="89"/>
      <c r="K281" s="89">
        <v>40</v>
      </c>
      <c r="L281" s="89">
        <v>0</v>
      </c>
      <c r="M281" s="89">
        <v>0</v>
      </c>
      <c r="N281" s="89">
        <f>SUM(I281:M281)</f>
        <v>1080</v>
      </c>
      <c r="O281" s="165"/>
      <c r="P281" s="165"/>
      <c r="Q281" s="165"/>
      <c r="R281" s="165"/>
      <c r="S281" s="165"/>
      <c r="T281" s="165"/>
      <c r="U281" s="165"/>
      <c r="V281" s="60"/>
      <c r="W281" s="60"/>
      <c r="X281" s="60"/>
      <c r="Y281" s="60"/>
      <c r="Z281" s="60"/>
      <c r="AA281" s="60"/>
      <c r="AB281" s="60"/>
      <c r="AC281" s="60"/>
      <c r="AD281" s="60"/>
      <c r="AE281" s="60"/>
      <c r="AF281" s="60"/>
      <c r="AG281" s="60"/>
      <c r="AH281" s="165"/>
      <c r="AI281" s="165"/>
      <c r="AJ281" s="165"/>
      <c r="AK281" s="148"/>
      <c r="AL281" s="148"/>
      <c r="AM281" s="148"/>
      <c r="AN281" s="148"/>
      <c r="AO281" s="148"/>
      <c r="AP281" s="148">
        <v>0</v>
      </c>
      <c r="AQ281" s="64">
        <f>AL281+AM281+AN281+AO281+AP281</f>
        <v>0</v>
      </c>
    </row>
    <row r="282" spans="1:47">
      <c r="A282" s="166" t="s">
        <v>579</v>
      </c>
      <c r="B282" s="167">
        <f>B279+B244+B228+B198+B187+B143+B112+B96+B89+B54+B34</f>
        <v>0</v>
      </c>
      <c r="C282" s="167"/>
      <c r="D282" s="167"/>
      <c r="E282" s="27"/>
      <c r="F282" s="167">
        <f>F34+F54+F89+F198+F112+F143+F187+F228+F244+F279</f>
        <v>179073564.58</v>
      </c>
      <c r="G282" s="167">
        <f>G34+G54+G89+G198+G112+G143+G187+G228+G244+G279</f>
        <v>80839014.08</v>
      </c>
      <c r="H282" s="167">
        <f>H34+H54+H89+H198+H112+H143+H187+H228+H244+H279</f>
        <v>201153621.12303</v>
      </c>
      <c r="I282" s="167">
        <f t="shared" ref="I282:AH282" si="126">I279+I244+I228+I198+I187+I143+I112+I96+I89+I54+I34</f>
        <v>10018</v>
      </c>
      <c r="J282" s="167">
        <f t="shared" si="126"/>
        <v>0</v>
      </c>
      <c r="K282" s="167">
        <f t="shared" si="126"/>
        <v>9190</v>
      </c>
      <c r="L282" s="167">
        <f t="shared" si="126"/>
        <v>21</v>
      </c>
      <c r="M282" s="167">
        <f t="shared" si="126"/>
        <v>97</v>
      </c>
      <c r="N282" s="167">
        <f t="shared" si="126"/>
        <v>18826</v>
      </c>
      <c r="O282" s="167">
        <f t="shared" si="126"/>
        <v>151580500</v>
      </c>
      <c r="P282" s="167">
        <f t="shared" si="126"/>
        <v>151580500</v>
      </c>
      <c r="Q282" s="167">
        <f t="shared" si="126"/>
        <v>0</v>
      </c>
      <c r="R282" s="167">
        <f t="shared" si="126"/>
        <v>142523700</v>
      </c>
      <c r="S282" s="167">
        <f t="shared" si="126"/>
        <v>34244010.0962303</v>
      </c>
      <c r="T282" s="167">
        <f t="shared" si="126"/>
        <v>11675</v>
      </c>
      <c r="U282" s="167">
        <f t="shared" si="126"/>
        <v>10570</v>
      </c>
      <c r="V282" s="167">
        <f>V279+V244+V228+V198+V187+V143+V112+V96+V89+V54+V34</f>
        <v>5330</v>
      </c>
      <c r="W282" s="167">
        <f>W279+W244+W228+W198+W187+W143+W112+W96+W89+W54+W34</f>
        <v>120</v>
      </c>
      <c r="X282" s="167">
        <f>X279+X244+X228+X198+X187+X143+X112+X96+X89+X54+X34</f>
        <v>5170</v>
      </c>
      <c r="Y282" s="167">
        <f>Y279+Y244+Y228+Y198+Y187+Y143+Y112+Y96+Y89+Y54+Y34</f>
        <v>69</v>
      </c>
      <c r="Z282" s="167">
        <f>Z279+Z244+Z228+Z198+Z187+Z143+Z112+Z96+Z89+Z54+Z34</f>
        <v>31</v>
      </c>
      <c r="AA282" s="167">
        <f>AA279+AA244+AA228+AA198+AA187+AA143+AA112+AA96+AA89+AA54+AA34</f>
        <v>10720</v>
      </c>
      <c r="AB282" s="167">
        <f>AB279+AB244+AB228+AB198+AB187+AB143+AB112+AB96+AB89+AB54+AB34</f>
        <v>93606510</v>
      </c>
      <c r="AC282" s="167">
        <f>AC279+AC244+AC228+AC198+AC187+AC143+AC112+AC96+AC89+AC54+AC34</f>
        <v>31260058</v>
      </c>
      <c r="AD282" s="167">
        <f>AD279+AD244+AD228+AD198+AD187+AD143+AD112+AD96+AD89+AD54+AD34</f>
        <v>7131898.2</v>
      </c>
      <c r="AE282" s="167">
        <f>AE279+AE244+AE228+AE198+AE187+AE143+AE112+AE96+AE89+AE54+AE34</f>
        <v>0</v>
      </c>
      <c r="AF282" s="167">
        <f>AF279+AF244+AF228+AF198+AF187+AF143+AF112+AF96+AF89+AF54+AF34</f>
        <v>0</v>
      </c>
      <c r="AG282" s="167">
        <f>AG279+AG244+AG228+AG198+AG187+AG143+AG112+AG96+AG89+AG54+AG34</f>
        <v>0</v>
      </c>
      <c r="AH282" s="167">
        <f>AH279+AH244+AH228+AH198+AH187+AH143+AH112+AH96+AH89+AH54+AH34</f>
        <v>206322141.9</v>
      </c>
      <c r="AI282" s="167"/>
      <c r="AJ282" s="167">
        <f>AJ279+AJ244+AJ228+AJ198+AJ187+AJ143+AJ112+AJ96+AJ89+AJ54+AJ34</f>
        <v>139350552.07</v>
      </c>
      <c r="AK282" s="148"/>
      <c r="AL282" s="167">
        <f t="shared" ref="AL282:BF282" si="127">AL279+AL244+AL228+AL198+AL187+AL143+AL112+AL96+AL89+AL54+AL34</f>
        <v>10817550.56</v>
      </c>
      <c r="AM282" s="167">
        <f t="shared" si="127"/>
        <v>13503748.72</v>
      </c>
      <c r="AN282" s="167">
        <f t="shared" si="127"/>
        <v>11821926.19</v>
      </c>
      <c r="AO282" s="167">
        <f t="shared" si="127"/>
        <v>346424.020004763</v>
      </c>
      <c r="AP282" s="167">
        <f t="shared" si="127"/>
        <v>1224859.99550157</v>
      </c>
      <c r="AQ282" s="167">
        <f t="shared" si="127"/>
        <v>37714509.4855063</v>
      </c>
      <c r="AR282" s="167">
        <f t="shared" si="127"/>
        <v>4568</v>
      </c>
      <c r="AS282" s="167">
        <f t="shared" si="127"/>
        <v>4020</v>
      </c>
      <c r="AT282" s="167">
        <f t="shared" si="127"/>
        <v>351.384615384615</v>
      </c>
      <c r="AU282" s="167">
        <f t="shared" si="127"/>
        <v>309.230769230769</v>
      </c>
    </row>
    <row r="283" spans="19:21">
      <c r="S283" s="6"/>
      <c r="T283" s="6"/>
      <c r="U283" s="6"/>
    </row>
    <row r="284" spans="8:36">
      <c r="H284" s="168" t="s">
        <v>580</v>
      </c>
      <c r="I284" s="104">
        <v>5050</v>
      </c>
      <c r="J284" s="104">
        <v>330</v>
      </c>
      <c r="K284" s="104">
        <v>258</v>
      </c>
      <c r="L284" s="104">
        <v>100</v>
      </c>
      <c r="M284" s="104">
        <v>300</v>
      </c>
      <c r="N284" s="104">
        <v>6038</v>
      </c>
      <c r="V284" s="104">
        <v>1729</v>
      </c>
      <c r="W284" s="104">
        <v>55</v>
      </c>
      <c r="X284" s="104">
        <v>330</v>
      </c>
      <c r="Y284" s="104">
        <v>7</v>
      </c>
      <c r="Z284" s="104">
        <v>92</v>
      </c>
      <c r="AA284" s="104">
        <v>2213</v>
      </c>
      <c r="AB284" s="104">
        <v>19015839</v>
      </c>
      <c r="AC284" s="104">
        <v>9412900</v>
      </c>
      <c r="AD284" s="171">
        <v>325750</v>
      </c>
      <c r="AE284" s="172"/>
      <c r="AF284" s="172">
        <v>3240950</v>
      </c>
      <c r="AG284" s="172"/>
      <c r="AH284" s="172"/>
      <c r="AI284" s="172"/>
      <c r="AJ284" s="172"/>
    </row>
    <row r="285" spans="9:36">
      <c r="I285" s="64">
        <f t="shared" ref="I285:N285" si="128">I282+I284</f>
        <v>15068</v>
      </c>
      <c r="J285" s="64">
        <f t="shared" si="128"/>
        <v>330</v>
      </c>
      <c r="K285" s="64">
        <f t="shared" si="128"/>
        <v>9448</v>
      </c>
      <c r="L285" s="64">
        <f t="shared" si="128"/>
        <v>121</v>
      </c>
      <c r="M285" s="64">
        <f t="shared" si="128"/>
        <v>397</v>
      </c>
      <c r="N285" s="64">
        <f t="shared" si="128"/>
        <v>24864</v>
      </c>
      <c r="S285" s="6"/>
      <c r="T285" s="6"/>
      <c r="U285" s="6"/>
      <c r="V285" s="9">
        <f>V282+V284</f>
        <v>7059</v>
      </c>
      <c r="W285" s="9">
        <f t="shared" ref="W285:AF285" si="129">W282+W284</f>
        <v>175</v>
      </c>
      <c r="X285" s="9">
        <f t="shared" si="129"/>
        <v>5500</v>
      </c>
      <c r="Y285" s="9">
        <f t="shared" si="129"/>
        <v>76</v>
      </c>
      <c r="Z285" s="9">
        <f t="shared" si="129"/>
        <v>123</v>
      </c>
      <c r="AA285" s="9">
        <f>AA282+AA284</f>
        <v>12933</v>
      </c>
      <c r="AB285" s="9">
        <f>AB282+AB284</f>
        <v>112622349</v>
      </c>
      <c r="AC285" s="9">
        <f t="shared" si="129"/>
        <v>40672958</v>
      </c>
      <c r="AD285" s="9">
        <f t="shared" si="129"/>
        <v>7457648.2</v>
      </c>
      <c r="AE285" s="64">
        <f t="shared" si="129"/>
        <v>0</v>
      </c>
      <c r="AF285" s="64">
        <f t="shared" si="129"/>
        <v>3240950</v>
      </c>
      <c r="AG285" s="173">
        <f>SUM(AG8:AG284)</f>
        <v>0</v>
      </c>
      <c r="AH285" s="64"/>
      <c r="AI285" s="64"/>
      <c r="AJ285" s="64"/>
    </row>
    <row r="286" spans="8:33">
      <c r="H286" s="5" t="s">
        <v>581</v>
      </c>
      <c r="I286" s="169">
        <v>15715</v>
      </c>
      <c r="J286" s="169">
        <v>503</v>
      </c>
      <c r="K286" s="169">
        <v>9705</v>
      </c>
      <c r="L286" s="169">
        <v>399</v>
      </c>
      <c r="M286" s="169">
        <v>554</v>
      </c>
      <c r="N286" s="4">
        <v>26876</v>
      </c>
      <c r="S286" s="6"/>
      <c r="T286" s="6"/>
      <c r="U286" s="6"/>
      <c r="V286" s="9">
        <v>7234</v>
      </c>
      <c r="X286" s="4">
        <v>5500</v>
      </c>
      <c r="Y286" s="4">
        <v>76</v>
      </c>
      <c r="Z286" s="4">
        <v>123</v>
      </c>
      <c r="AA286" s="4">
        <v>12933</v>
      </c>
      <c r="AB286" s="9">
        <v>112622349</v>
      </c>
      <c r="AC286" s="9">
        <v>40720958</v>
      </c>
      <c r="AD286" s="4">
        <v>58754268</v>
      </c>
      <c r="AE286" s="4">
        <v>44</v>
      </c>
      <c r="AF286" s="4">
        <v>17135659</v>
      </c>
      <c r="AG286" s="4">
        <v>16318633</v>
      </c>
    </row>
    <row r="287" ht="38" customHeight="1" spans="8:33">
      <c r="H287" s="5" t="s">
        <v>582</v>
      </c>
      <c r="I287" s="6">
        <f t="shared" ref="I287:N287" si="130">I286-I285</f>
        <v>647</v>
      </c>
      <c r="J287" s="6">
        <f t="shared" si="130"/>
        <v>173</v>
      </c>
      <c r="K287" s="6">
        <f t="shared" si="130"/>
        <v>257</v>
      </c>
      <c r="L287" s="6">
        <f t="shared" si="130"/>
        <v>278</v>
      </c>
      <c r="M287" s="6">
        <f t="shared" si="130"/>
        <v>157</v>
      </c>
      <c r="N287" s="6">
        <f t="shared" si="130"/>
        <v>2012</v>
      </c>
      <c r="S287" s="6"/>
      <c r="T287" s="6"/>
      <c r="U287" s="6"/>
      <c r="AB287" s="64">
        <f>AB286-AB285</f>
        <v>0</v>
      </c>
      <c r="AE287" s="64"/>
      <c r="AF287" s="64"/>
      <c r="AG287" s="64"/>
    </row>
    <row r="288" spans="14:36">
      <c r="N288" s="6">
        <f>'N-2'!N289</f>
        <v>5392</v>
      </c>
      <c r="S288" s="6"/>
      <c r="T288" s="6"/>
      <c r="U288" s="6"/>
      <c r="V288" s="170"/>
      <c r="W288" s="170"/>
      <c r="X288" s="170"/>
      <c r="Y288" s="170"/>
      <c r="Z288" s="170"/>
      <c r="AA288" s="170"/>
      <c r="AB288" s="170"/>
      <c r="AC288" s="170"/>
      <c r="AD288" s="170"/>
      <c r="AE288" s="65"/>
      <c r="AF288" s="65"/>
      <c r="AG288" s="65"/>
      <c r="AH288" s="65"/>
      <c r="AI288" s="65"/>
      <c r="AJ288" s="65"/>
    </row>
    <row r="289" spans="14:30">
      <c r="N289" s="6">
        <f>N288+N282</f>
        <v>24218</v>
      </c>
      <c r="S289" s="6"/>
      <c r="T289" s="6"/>
      <c r="U289" s="6"/>
      <c r="AB289" s="64"/>
      <c r="AD289" s="64"/>
    </row>
    <row r="290" spans="19:30">
      <c r="S290" s="6"/>
      <c r="T290" s="6"/>
      <c r="U290" s="6"/>
      <c r="AB290" s="64"/>
      <c r="AD290" s="64"/>
    </row>
    <row r="291" spans="19:35">
      <c r="S291" s="6"/>
      <c r="T291" s="6"/>
      <c r="U291" s="6"/>
      <c r="V291" s="64"/>
      <c r="W291" s="64"/>
      <c r="X291" s="64"/>
      <c r="AD291" s="173"/>
      <c r="AH291" s="3"/>
      <c r="AI291" s="3"/>
    </row>
    <row r="292" spans="19:35">
      <c r="S292" s="6"/>
      <c r="T292" s="6"/>
      <c r="U292" s="6"/>
      <c r="AB292" s="64"/>
      <c r="AD292" s="173"/>
      <c r="AH292" s="3"/>
      <c r="AI292" s="3"/>
    </row>
    <row r="293" spans="19:35">
      <c r="S293" s="6"/>
      <c r="T293" s="6"/>
      <c r="U293" s="6"/>
      <c r="AB293" s="3"/>
      <c r="AD293" s="3"/>
      <c r="AH293" s="3"/>
      <c r="AI293" s="3"/>
    </row>
    <row r="294" spans="19:35">
      <c r="S294" s="6"/>
      <c r="T294" s="6"/>
      <c r="U294" s="6"/>
      <c r="V294" s="64"/>
      <c r="W294" s="64"/>
      <c r="X294" s="64"/>
      <c r="AB294" s="173"/>
      <c r="AD294" s="173"/>
      <c r="AH294" s="3"/>
      <c r="AI294" s="3"/>
    </row>
    <row r="295" spans="19:21">
      <c r="S295" s="6"/>
      <c r="T295" s="6"/>
      <c r="U295" s="6"/>
    </row>
    <row r="300" spans="29:29">
      <c r="AC300" s="64"/>
    </row>
    <row r="301" spans="29:30">
      <c r="AC301" s="64"/>
      <c r="AD301" s="64"/>
    </row>
    <row r="306" spans="14:14">
      <c r="N306" s="6">
        <f>N282+N284</f>
        <v>24864</v>
      </c>
    </row>
    <row r="307" spans="14:14">
      <c r="N307" s="6">
        <f>AA282+AA284</f>
        <v>12933</v>
      </c>
    </row>
    <row r="308" spans="14:14">
      <c r="N308" s="6">
        <f>N306-N307</f>
        <v>11931</v>
      </c>
    </row>
  </sheetData>
  <autoFilter ref="A7:XFD282">
    <extLst/>
  </autoFilter>
  <sortState ref="A242:BV272">
    <sortCondition ref="A242:A272"/>
  </sortState>
  <mergeCells count="5">
    <mergeCell ref="I6:R6"/>
    <mergeCell ref="T6:U6"/>
    <mergeCell ref="V6:AD6"/>
    <mergeCell ref="AR6:AS6"/>
    <mergeCell ref="AT6:AU6"/>
  </mergeCells>
  <conditionalFormatting sqref="D7">
    <cfRule type="duplicateValues" dxfId="0" priority="39"/>
    <cfRule type="duplicateValues" dxfId="0" priority="40"/>
  </conditionalFormatting>
  <conditionalFormatting sqref="A92">
    <cfRule type="duplicateValues" dxfId="0" priority="48"/>
    <cfRule type="duplicateValues" dxfId="0" priority="49"/>
  </conditionalFormatting>
  <conditionalFormatting sqref="A92:B92">
    <cfRule type="duplicateValues" dxfId="0" priority="51"/>
  </conditionalFormatting>
  <conditionalFormatting sqref="B92">
    <cfRule type="duplicateValues" dxfId="0" priority="50"/>
  </conditionalFormatting>
  <conditionalFormatting sqref="A139">
    <cfRule type="duplicateValues" dxfId="0" priority="41"/>
    <cfRule type="duplicateValues" dxfId="0" priority="42"/>
  </conditionalFormatting>
  <conditionalFormatting sqref="A260">
    <cfRule type="duplicateValues" dxfId="0" priority="56"/>
  </conditionalFormatting>
  <conditionalFormatting sqref="A$1:A$1048576">
    <cfRule type="duplicateValues" dxfId="0" priority="3"/>
  </conditionalFormatting>
  <conditionalFormatting sqref="A28:A32">
    <cfRule type="duplicateValues" dxfId="0" priority="45"/>
    <cfRule type="duplicateValues" dxfId="0" priority="46"/>
  </conditionalFormatting>
  <conditionalFormatting sqref="A101:A102">
    <cfRule type="duplicateValues" dxfId="0" priority="58"/>
  </conditionalFormatting>
  <conditionalFormatting sqref="A136:A138">
    <cfRule type="duplicateValues" dxfId="0" priority="36"/>
    <cfRule type="duplicateValues" dxfId="0" priority="37"/>
    <cfRule type="duplicateValues" dxfId="0" priority="38"/>
  </conditionalFormatting>
  <conditionalFormatting sqref="A140:A142">
    <cfRule type="duplicateValues" dxfId="0" priority="33"/>
    <cfRule type="duplicateValues" dxfId="0" priority="34"/>
    <cfRule type="duplicateValues" dxfId="0" priority="35"/>
  </conditionalFormatting>
  <conditionalFormatting sqref="A261:A271">
    <cfRule type="duplicateValues" dxfId="0" priority="55"/>
  </conditionalFormatting>
  <conditionalFormatting sqref="A268:A269">
    <cfRule type="duplicateValues" dxfId="0" priority="31"/>
    <cfRule type="duplicateValues" dxfId="0" priority="32"/>
  </conditionalFormatting>
  <conditionalFormatting sqref="B28:B32">
    <cfRule type="duplicateValues" dxfId="0" priority="47"/>
  </conditionalFormatting>
  <conditionalFormatting sqref="B138:B141">
    <cfRule type="duplicateValues" dxfId="0" priority="43"/>
  </conditionalFormatting>
  <conditionalFormatting sqref="A2:A27 A33:A91 A143:A1048576 A93:A135">
    <cfRule type="duplicateValues" dxfId="0" priority="52"/>
    <cfRule type="duplicateValues" dxfId="0" priority="53"/>
  </conditionalFormatting>
  <conditionalFormatting sqref="A2:A89 B35:D45 C2:D6 C7:C34 B2:B33 D8:D34 B46:B53 C46:D119 A115:B135 B97:B111 A103:A114 A90:B91 B55:B88 A93:A100 A143 B142 A144:B186 C122:D264 B188:B197 B136:B137 B93:B95 B199:B227 A187:A259 B247:B264 B229:B243 B265:D278 A271:A282 B280:D281 A283:D1048576">
    <cfRule type="duplicateValues" dxfId="0" priority="59"/>
  </conditionalFormatting>
  <conditionalFormatting sqref="A2:A96 B35:B53 D8:D45 B2:B33 C7:C45 C2:D6 B55:B88 B115:B142 A112:A259 C46:D119 B144:B186 A97:B111 C122:D264 B188:B197 B90:B95 B229:B243 B199:B227 B247:B264 B265:D278 A271:A1048576 B283:D1048576 B280:D281">
    <cfRule type="duplicateValues" dxfId="0" priority="57"/>
  </conditionalFormatting>
  <conditionalFormatting sqref="B2:B27 C7:C45 D8:D45 B35:B53 B33 C2:D6 C46:D119 B97:B111 B115:B137 B55:B88 B90:B91 B93:B95 C122:D264 B188:B197 B142 B144:B186 B199:B227 B229:B243 B247:B264 B265:D278 B280:D281 B283:D1048576">
    <cfRule type="duplicateValues" dxfId="0" priority="54"/>
  </conditionalFormatting>
  <conditionalFormatting sqref="C120:D121">
    <cfRule type="duplicateValues" dxfId="0" priority="4"/>
    <cfRule type="duplicateValues" dxfId="0" priority="5"/>
  </conditionalFormatting>
  <conditionalFormatting sqref="B138 B140:B141 A139:B139">
    <cfRule type="duplicateValues" dxfId="0" priority="44"/>
  </conditionalFormatting>
  <pageMargins left="0.75" right="0.75" top="1" bottom="1" header="0.5" footer="0.5"/>
  <pageSetup paperSize="1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298"/>
  <sheetViews>
    <sheetView showGridLines="0" zoomScale="90" zoomScaleNormal="90" workbookViewId="0">
      <pane xSplit="2" ySplit="7" topLeftCell="K48" activePane="bottomRight" state="frozen"/>
      <selection/>
      <selection pane="topRight"/>
      <selection pane="bottomLeft"/>
      <selection pane="bottomRight" activeCell="A7" sqref="$A7:$XFD7"/>
    </sheetView>
  </sheetViews>
  <sheetFormatPr defaultColWidth="8.83333333333333" defaultRowHeight="14.4"/>
  <cols>
    <col min="1" max="1" width="41.6018518518519" style="4" customWidth="1"/>
    <col min="2" max="2" width="7.83333333333333" style="5" customWidth="1"/>
    <col min="3" max="3" width="14.1666666666667" style="5" customWidth="1"/>
    <col min="4" max="4" width="12.8333333333333" style="5" customWidth="1"/>
    <col min="5" max="5" width="10.1666666666667" style="4" customWidth="1"/>
    <col min="6" max="6" width="15.1851851851852" style="4" customWidth="1"/>
    <col min="7" max="8" width="13.8333333333333" style="4" customWidth="1"/>
    <col min="9" max="9" width="7" style="6" customWidth="1"/>
    <col min="10" max="10" width="8" style="6" customWidth="1"/>
    <col min="11" max="11" width="10.3333333333333" style="6" customWidth="1"/>
    <col min="12" max="13" width="6.83333333333333" style="6" customWidth="1"/>
    <col min="14" max="14" width="10.8333333333333" style="6" customWidth="1"/>
    <col min="15" max="15" width="12.8333333333333" style="6" customWidth="1"/>
    <col min="16" max="19" width="11.6666666666667" style="6" hidden="1" customWidth="1"/>
    <col min="20" max="20" width="7.16666666666667" style="4" customWidth="1"/>
    <col min="21" max="21" width="9.33333333333333" style="4" customWidth="1"/>
    <col min="22" max="22" width="8.5" style="4" customWidth="1"/>
    <col min="23" max="23" width="8.83333333333333" style="7" customWidth="1"/>
    <col min="24" max="24" width="8.83333333333333" style="4" customWidth="1"/>
    <col min="25" max="25" width="11.8333333333333" style="4" customWidth="1"/>
    <col min="26" max="26" width="15.8333333333333" style="8" customWidth="1"/>
    <col min="27" max="27" width="14.6666666666667" style="8" customWidth="1"/>
    <col min="28" max="28" width="11.5" style="4" customWidth="1"/>
    <col min="29" max="31" width="11.5" style="4" hidden="1" customWidth="1"/>
    <col min="32" max="33" width="13.8333333333333" style="4" hidden="1" customWidth="1"/>
    <col min="34" max="34" width="11.5" style="4" hidden="1" customWidth="1"/>
    <col min="35" max="39" width="13" style="7" hidden="1" customWidth="1"/>
    <col min="40" max="40" width="16.8333333333333" style="7" hidden="1" customWidth="1"/>
    <col min="41" max="41" width="13" style="7" hidden="1" customWidth="1"/>
    <col min="42" max="16384" width="8.83333333333333" style="4"/>
  </cols>
  <sheetData>
    <row r="1" ht="15" customHeight="1" spans="7:12">
      <c r="G1" s="5" t="s">
        <v>0</v>
      </c>
      <c r="H1" s="9">
        <f>14250-350</f>
        <v>13900</v>
      </c>
      <c r="I1" s="9">
        <f>15050-350</f>
        <v>14700</v>
      </c>
      <c r="J1" s="9">
        <f>11700-300</f>
        <v>11400</v>
      </c>
      <c r="K1" s="6">
        <v>20000</v>
      </c>
      <c r="L1" s="6">
        <v>6000</v>
      </c>
    </row>
    <row r="2" ht="15" customHeight="1" spans="7:12">
      <c r="G2" s="5" t="s">
        <v>1</v>
      </c>
      <c r="H2" s="9">
        <f>H1-250</f>
        <v>13650</v>
      </c>
      <c r="I2" s="9">
        <f>I1-250</f>
        <v>14450</v>
      </c>
      <c r="J2" s="9">
        <f>J1-200</f>
        <v>11200</v>
      </c>
      <c r="K2" s="6">
        <v>20000</v>
      </c>
      <c r="L2" s="6">
        <v>6000</v>
      </c>
    </row>
    <row r="3" ht="15" customHeight="1" spans="7:12">
      <c r="G3" s="5" t="s">
        <v>2</v>
      </c>
      <c r="H3" s="9">
        <f>H1-175</f>
        <v>13725</v>
      </c>
      <c r="I3" s="9">
        <f>I1-175</f>
        <v>14525</v>
      </c>
      <c r="J3" s="9">
        <f>J1-100</f>
        <v>11300</v>
      </c>
      <c r="K3" s="6">
        <v>20000</v>
      </c>
      <c r="L3" s="6">
        <v>6000</v>
      </c>
    </row>
    <row r="4" ht="15" customHeight="1" spans="7:31">
      <c r="G4" s="5" t="s">
        <v>3</v>
      </c>
      <c r="H4" s="5">
        <v>5000</v>
      </c>
      <c r="I4" s="6">
        <v>5200</v>
      </c>
      <c r="J4" s="6">
        <v>4000</v>
      </c>
      <c r="K4" s="6">
        <v>20000</v>
      </c>
      <c r="L4" s="6">
        <v>6000</v>
      </c>
      <c r="AC4" s="56"/>
      <c r="AD4" s="56"/>
      <c r="AE4" s="56"/>
    </row>
    <row r="5" ht="15" customHeight="1" spans="7:31">
      <c r="G5" s="5" t="s">
        <v>4</v>
      </c>
      <c r="H5" s="10">
        <f>24.2*320</f>
        <v>7744</v>
      </c>
      <c r="J5" s="10">
        <f>19.2*320</f>
        <v>6144</v>
      </c>
      <c r="K5" s="6">
        <v>20000</v>
      </c>
      <c r="L5" s="6">
        <v>6000</v>
      </c>
      <c r="Z5" s="57"/>
      <c r="AA5" s="57"/>
      <c r="AC5" s="56"/>
      <c r="AD5" s="56"/>
      <c r="AE5" s="56"/>
    </row>
    <row r="6" ht="36" customHeight="1" spans="1:45">
      <c r="A6" s="11"/>
      <c r="E6" s="11"/>
      <c r="F6" s="11"/>
      <c r="G6" s="11"/>
      <c r="H6" s="11"/>
      <c r="I6" s="35" t="s">
        <v>5</v>
      </c>
      <c r="J6" s="36"/>
      <c r="K6" s="37"/>
      <c r="L6" s="37"/>
      <c r="M6" s="37"/>
      <c r="N6" s="37"/>
      <c r="O6" s="37"/>
      <c r="P6" s="38"/>
      <c r="Q6" s="46"/>
      <c r="R6" s="47" t="s">
        <v>6</v>
      </c>
      <c r="S6" s="38"/>
      <c r="T6" s="48" t="s">
        <v>7</v>
      </c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62"/>
      <c r="AP6" s="27" t="s">
        <v>8</v>
      </c>
      <c r="AQ6" s="27"/>
      <c r="AR6" s="27" t="s">
        <v>9</v>
      </c>
      <c r="AS6" s="27"/>
    </row>
    <row r="7" s="1" customFormat="1" ht="43.95" spans="1:45">
      <c r="A7" s="12" t="s">
        <v>583</v>
      </c>
      <c r="B7" s="13" t="s">
        <v>584</v>
      </c>
      <c r="C7" s="14"/>
      <c r="D7" s="14" t="s">
        <v>12</v>
      </c>
      <c r="E7" s="15" t="s">
        <v>13</v>
      </c>
      <c r="F7" s="16" t="s">
        <v>14</v>
      </c>
      <c r="G7" s="14" t="s">
        <v>15</v>
      </c>
      <c r="H7" s="14" t="s">
        <v>16</v>
      </c>
      <c r="I7" s="39" t="s">
        <v>17</v>
      </c>
      <c r="J7" s="40" t="s">
        <v>18</v>
      </c>
      <c r="K7" s="16" t="s">
        <v>19</v>
      </c>
      <c r="L7" s="41" t="s">
        <v>20</v>
      </c>
      <c r="M7" s="41" t="s">
        <v>21</v>
      </c>
      <c r="N7" s="41" t="s">
        <v>22</v>
      </c>
      <c r="O7" s="41" t="s">
        <v>585</v>
      </c>
      <c r="P7" s="42" t="s">
        <v>24</v>
      </c>
      <c r="Q7" s="50" t="s">
        <v>586</v>
      </c>
      <c r="R7" s="51" t="s">
        <v>28</v>
      </c>
      <c r="S7" s="52" t="s">
        <v>29</v>
      </c>
      <c r="T7" s="53" t="s">
        <v>17</v>
      </c>
      <c r="U7" s="53" t="s">
        <v>18</v>
      </c>
      <c r="V7" s="41" t="s">
        <v>19</v>
      </c>
      <c r="W7" s="41" t="s">
        <v>20</v>
      </c>
      <c r="X7" s="41" t="s">
        <v>21</v>
      </c>
      <c r="Y7" s="41" t="s">
        <v>22</v>
      </c>
      <c r="Z7" s="58" t="s">
        <v>30</v>
      </c>
      <c r="AA7" s="58" t="s">
        <v>31</v>
      </c>
      <c r="AB7" s="16" t="s">
        <v>32</v>
      </c>
      <c r="AC7" s="16" t="s">
        <v>33</v>
      </c>
      <c r="AD7" s="16" t="s">
        <v>34</v>
      </c>
      <c r="AE7" s="16" t="s">
        <v>35</v>
      </c>
      <c r="AF7" s="16" t="s">
        <v>587</v>
      </c>
      <c r="AG7" s="16"/>
      <c r="AH7" s="63"/>
      <c r="AI7" s="63" t="s">
        <v>38</v>
      </c>
      <c r="AJ7" s="63" t="s">
        <v>39</v>
      </c>
      <c r="AK7" s="63" t="s">
        <v>40</v>
      </c>
      <c r="AL7" s="63" t="s">
        <v>41</v>
      </c>
      <c r="AM7" s="63" t="s">
        <v>42</v>
      </c>
      <c r="AN7" s="63" t="s">
        <v>588</v>
      </c>
      <c r="AO7" s="70" t="s">
        <v>43</v>
      </c>
      <c r="AP7" s="27" t="s">
        <v>28</v>
      </c>
      <c r="AQ7" s="27" t="s">
        <v>29</v>
      </c>
      <c r="AR7" s="27" t="s">
        <v>28</v>
      </c>
      <c r="AS7" s="27" t="s">
        <v>29</v>
      </c>
    </row>
    <row r="8" spans="1:45">
      <c r="A8" s="17" t="s">
        <v>589</v>
      </c>
      <c r="B8" s="18" t="s">
        <v>590</v>
      </c>
      <c r="C8" s="18">
        <f>IFERROR(VLOOKUP(A8,'[4]Ayesha Apu Work'!$B:$C,2,FALSE),0)</f>
        <v>0</v>
      </c>
      <c r="D8" s="18">
        <v>0</v>
      </c>
      <c r="E8" s="19"/>
      <c r="F8" s="20">
        <v>44537.11</v>
      </c>
      <c r="G8" s="19">
        <v>44537.11</v>
      </c>
      <c r="H8" s="19">
        <v>0</v>
      </c>
      <c r="I8" s="43">
        <v>0</v>
      </c>
      <c r="J8" s="43">
        <v>0</v>
      </c>
      <c r="K8" s="43">
        <v>0</v>
      </c>
      <c r="L8" s="43">
        <v>0</v>
      </c>
      <c r="M8" s="43">
        <v>0</v>
      </c>
      <c r="N8" s="44">
        <f>SUM(I8:M8)</f>
        <v>0</v>
      </c>
      <c r="O8" s="44">
        <v>0</v>
      </c>
      <c r="P8" s="45">
        <f>O8</f>
        <v>0</v>
      </c>
      <c r="Q8" s="54">
        <v>0</v>
      </c>
      <c r="R8" s="55">
        <v>0</v>
      </c>
      <c r="S8" s="55">
        <v>0</v>
      </c>
      <c r="T8" s="43">
        <v>0</v>
      </c>
      <c r="U8" s="43">
        <v>0</v>
      </c>
      <c r="V8" s="43">
        <v>0</v>
      </c>
      <c r="W8" s="43">
        <v>0</v>
      </c>
      <c r="X8" s="43">
        <v>0</v>
      </c>
      <c r="Y8" s="59">
        <f>T8+U8+V8+W8+X8</f>
        <v>0</v>
      </c>
      <c r="Z8" s="43">
        <v>0</v>
      </c>
      <c r="AA8" s="43">
        <v>0</v>
      </c>
      <c r="AB8" s="60">
        <v>0</v>
      </c>
      <c r="AC8" s="60"/>
      <c r="AD8" s="60"/>
      <c r="AE8" s="60"/>
      <c r="AF8" s="60">
        <f t="shared" ref="AF8:AF21" si="0">F8+Z8-AA8-AB8-AC8-AD8-AE8</f>
        <v>44537.11</v>
      </c>
      <c r="AG8" s="60"/>
      <c r="AH8" s="64"/>
      <c r="AI8" s="7">
        <v>0</v>
      </c>
      <c r="AJ8" s="7">
        <v>0</v>
      </c>
      <c r="AK8" s="7">
        <v>0</v>
      </c>
      <c r="AL8" s="7">
        <v>0</v>
      </c>
      <c r="AM8" s="7">
        <v>0</v>
      </c>
      <c r="AO8" s="7">
        <f>AI8+AJ8+AK8+AL8+AM8</f>
        <v>0</v>
      </c>
      <c r="AP8" s="59">
        <f>I8+J8-T8-U8</f>
        <v>0</v>
      </c>
      <c r="AQ8" s="59">
        <f>K8-V8</f>
        <v>0</v>
      </c>
      <c r="AR8" s="59">
        <f>AP8/13</f>
        <v>0</v>
      </c>
      <c r="AS8" s="59">
        <f>AQ8/13</f>
        <v>0</v>
      </c>
    </row>
    <row r="9" spans="1:45">
      <c r="A9" s="21" t="s">
        <v>591</v>
      </c>
      <c r="B9" s="18" t="s">
        <v>592</v>
      </c>
      <c r="C9" s="18">
        <f>IFERROR(VLOOKUP(A9,'[4]Ayesha Apu Work'!$B:$C,2,FALSE),0)</f>
        <v>0</v>
      </c>
      <c r="D9" s="18">
        <v>0</v>
      </c>
      <c r="E9" s="19"/>
      <c r="F9" s="20">
        <v>-480</v>
      </c>
      <c r="G9" s="19">
        <v>0</v>
      </c>
      <c r="H9" s="19">
        <v>281000</v>
      </c>
      <c r="I9" s="43">
        <v>0</v>
      </c>
      <c r="J9" s="43">
        <v>0</v>
      </c>
      <c r="K9" s="43">
        <v>0</v>
      </c>
      <c r="L9" s="43">
        <v>0</v>
      </c>
      <c r="M9" s="43">
        <v>0</v>
      </c>
      <c r="N9" s="44">
        <f t="shared" ref="N9:N47" si="1">SUM(I9:M9)</f>
        <v>0</v>
      </c>
      <c r="O9" s="44">
        <v>0</v>
      </c>
      <c r="P9" s="45">
        <f t="shared" ref="P9:P47" si="2">O9</f>
        <v>0</v>
      </c>
      <c r="Q9" s="54">
        <v>0</v>
      </c>
      <c r="R9" s="55">
        <v>0</v>
      </c>
      <c r="S9" s="55">
        <v>0</v>
      </c>
      <c r="T9" s="43">
        <v>0</v>
      </c>
      <c r="U9" s="43">
        <v>0</v>
      </c>
      <c r="V9" s="43">
        <v>0</v>
      </c>
      <c r="W9" s="43">
        <v>0</v>
      </c>
      <c r="X9" s="43">
        <v>0</v>
      </c>
      <c r="Y9" s="59">
        <f t="shared" ref="Y9:Y47" si="3">T9+U9+V9+W9+X9</f>
        <v>0</v>
      </c>
      <c r="Z9" s="43">
        <v>0</v>
      </c>
      <c r="AA9" s="43">
        <v>0</v>
      </c>
      <c r="AB9" s="60">
        <v>0</v>
      </c>
      <c r="AC9" s="60"/>
      <c r="AD9" s="60"/>
      <c r="AE9" s="60"/>
      <c r="AF9" s="60">
        <f t="shared" si="0"/>
        <v>-480</v>
      </c>
      <c r="AG9" s="60"/>
      <c r="AH9" s="64"/>
      <c r="AI9" s="7">
        <v>0</v>
      </c>
      <c r="AJ9" s="7">
        <v>0</v>
      </c>
      <c r="AK9" s="7">
        <v>0</v>
      </c>
      <c r="AL9" s="7">
        <v>0</v>
      </c>
      <c r="AM9" s="7">
        <v>0</v>
      </c>
      <c r="AO9" s="7">
        <f t="shared" ref="AO9:AO47" si="4">AI9+AJ9+AK9+AL9+AM9</f>
        <v>0</v>
      </c>
      <c r="AP9" s="59">
        <f t="shared" ref="AP9:AP72" si="5">I9+J9-T9-U9</f>
        <v>0</v>
      </c>
      <c r="AQ9" s="59">
        <f t="shared" ref="AQ9:AQ72" si="6">K9-V9</f>
        <v>0</v>
      </c>
      <c r="AR9" s="59">
        <f t="shared" ref="AR9:AR72" si="7">AP9/13</f>
        <v>0</v>
      </c>
      <c r="AS9" s="59">
        <f t="shared" ref="AS9:AS72" si="8">AQ9/13</f>
        <v>0</v>
      </c>
    </row>
    <row r="10" spans="1:45">
      <c r="A10" s="21" t="s">
        <v>593</v>
      </c>
      <c r="B10" s="18" t="s">
        <v>594</v>
      </c>
      <c r="C10" s="18">
        <v>0</v>
      </c>
      <c r="D10" s="18">
        <v>0</v>
      </c>
      <c r="E10" s="19"/>
      <c r="F10" s="20">
        <v>-2757</v>
      </c>
      <c r="G10" s="19"/>
      <c r="H10" s="19"/>
      <c r="I10" s="43">
        <v>0</v>
      </c>
      <c r="J10" s="43">
        <v>0</v>
      </c>
      <c r="K10" s="43">
        <v>0</v>
      </c>
      <c r="L10" s="43">
        <v>0</v>
      </c>
      <c r="M10" s="43">
        <v>0</v>
      </c>
      <c r="N10" s="44">
        <f t="shared" si="1"/>
        <v>0</v>
      </c>
      <c r="O10" s="44">
        <v>0</v>
      </c>
      <c r="P10" s="45">
        <f t="shared" si="2"/>
        <v>0</v>
      </c>
      <c r="Q10" s="54">
        <v>0</v>
      </c>
      <c r="R10" s="55">
        <v>0</v>
      </c>
      <c r="S10" s="55">
        <v>0</v>
      </c>
      <c r="T10" s="43">
        <v>0</v>
      </c>
      <c r="U10" s="43">
        <v>0</v>
      </c>
      <c r="V10" s="43">
        <v>0</v>
      </c>
      <c r="W10" s="43">
        <v>0</v>
      </c>
      <c r="X10" s="43">
        <v>0</v>
      </c>
      <c r="Y10" s="59">
        <f t="shared" si="3"/>
        <v>0</v>
      </c>
      <c r="Z10" s="43">
        <v>0</v>
      </c>
      <c r="AA10" s="43">
        <v>0</v>
      </c>
      <c r="AB10" s="60">
        <v>0</v>
      </c>
      <c r="AC10" s="60"/>
      <c r="AD10" s="60"/>
      <c r="AE10" s="60"/>
      <c r="AF10" s="60">
        <f t="shared" si="0"/>
        <v>-2757</v>
      </c>
      <c r="AG10" s="60"/>
      <c r="AH10" s="64"/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O10" s="7">
        <f t="shared" si="4"/>
        <v>0</v>
      </c>
      <c r="AP10" s="59">
        <f t="shared" si="5"/>
        <v>0</v>
      </c>
      <c r="AQ10" s="59">
        <f t="shared" si="6"/>
        <v>0</v>
      </c>
      <c r="AR10" s="59">
        <f t="shared" si="7"/>
        <v>0</v>
      </c>
      <c r="AS10" s="59">
        <f t="shared" si="8"/>
        <v>0</v>
      </c>
    </row>
    <row r="11" spans="1:45">
      <c r="A11" s="21" t="s">
        <v>595</v>
      </c>
      <c r="B11" s="18" t="s">
        <v>596</v>
      </c>
      <c r="C11" s="18" t="s">
        <v>99</v>
      </c>
      <c r="D11" s="18" t="str">
        <f>C11</f>
        <v>CASH</v>
      </c>
      <c r="E11" s="19"/>
      <c r="F11" s="20">
        <v>49565</v>
      </c>
      <c r="G11" s="19"/>
      <c r="H11" s="19"/>
      <c r="I11" s="43">
        <v>0</v>
      </c>
      <c r="J11" s="43">
        <v>0</v>
      </c>
      <c r="K11" s="43">
        <v>0</v>
      </c>
      <c r="L11" s="43">
        <v>0</v>
      </c>
      <c r="M11" s="43">
        <v>0</v>
      </c>
      <c r="N11" s="44">
        <f t="shared" si="1"/>
        <v>0</v>
      </c>
      <c r="O11" s="44">
        <f>I11*$H$2+J11*$I$2+K11*$J$2+L11*$K$2+M11*$L$2</f>
        <v>0</v>
      </c>
      <c r="P11" s="45">
        <f t="shared" si="2"/>
        <v>0</v>
      </c>
      <c r="Q11" s="54">
        <v>0</v>
      </c>
      <c r="R11" s="55">
        <v>0</v>
      </c>
      <c r="S11" s="55">
        <v>0</v>
      </c>
      <c r="T11" s="43">
        <v>0</v>
      </c>
      <c r="U11" s="43">
        <v>0</v>
      </c>
      <c r="V11" s="43">
        <v>0</v>
      </c>
      <c r="W11" s="43">
        <v>0</v>
      </c>
      <c r="X11" s="43">
        <v>0</v>
      </c>
      <c r="Y11" s="59">
        <f t="shared" si="3"/>
        <v>0</v>
      </c>
      <c r="Z11" s="43">
        <v>0</v>
      </c>
      <c r="AA11" s="43">
        <v>0</v>
      </c>
      <c r="AB11" s="60">
        <v>0</v>
      </c>
      <c r="AC11" s="60"/>
      <c r="AD11" s="60"/>
      <c r="AE11" s="60"/>
      <c r="AF11" s="60">
        <f t="shared" si="0"/>
        <v>49565</v>
      </c>
      <c r="AG11" s="60"/>
      <c r="AH11" s="64"/>
      <c r="AI11" s="7">
        <v>13600</v>
      </c>
      <c r="AJ11" s="7">
        <v>8000</v>
      </c>
      <c r="AK11" s="7">
        <v>37950</v>
      </c>
      <c r="AL11" s="7">
        <v>0</v>
      </c>
      <c r="AM11" s="7">
        <v>0</v>
      </c>
      <c r="AO11" s="7">
        <f t="shared" si="4"/>
        <v>59550</v>
      </c>
      <c r="AP11" s="59">
        <f t="shared" si="5"/>
        <v>0</v>
      </c>
      <c r="AQ11" s="59">
        <f t="shared" si="6"/>
        <v>0</v>
      </c>
      <c r="AR11" s="59">
        <f t="shared" si="7"/>
        <v>0</v>
      </c>
      <c r="AS11" s="59">
        <f t="shared" si="8"/>
        <v>0</v>
      </c>
    </row>
    <row r="12" spans="1:45">
      <c r="A12" s="21" t="s">
        <v>597</v>
      </c>
      <c r="B12" s="18" t="s">
        <v>598</v>
      </c>
      <c r="C12" s="18">
        <v>0</v>
      </c>
      <c r="D12" s="18">
        <v>0</v>
      </c>
      <c r="E12" s="19"/>
      <c r="F12" s="20">
        <v>4050</v>
      </c>
      <c r="G12" s="19">
        <v>0</v>
      </c>
      <c r="H12" s="19">
        <v>0</v>
      </c>
      <c r="I12" s="43">
        <v>0</v>
      </c>
      <c r="J12" s="43">
        <v>0</v>
      </c>
      <c r="K12" s="43">
        <v>0</v>
      </c>
      <c r="L12" s="43">
        <v>0</v>
      </c>
      <c r="M12" s="43">
        <v>0</v>
      </c>
      <c r="N12" s="44">
        <f t="shared" si="1"/>
        <v>0</v>
      </c>
      <c r="O12" s="44">
        <v>0</v>
      </c>
      <c r="P12" s="45">
        <f t="shared" si="2"/>
        <v>0</v>
      </c>
      <c r="Q12" s="54">
        <v>0</v>
      </c>
      <c r="R12" s="55">
        <v>0</v>
      </c>
      <c r="S12" s="55">
        <v>0</v>
      </c>
      <c r="T12" s="43">
        <v>0</v>
      </c>
      <c r="U12" s="43">
        <v>0</v>
      </c>
      <c r="V12" s="43">
        <v>0</v>
      </c>
      <c r="W12" s="43">
        <v>0</v>
      </c>
      <c r="X12" s="43">
        <v>0</v>
      </c>
      <c r="Y12" s="59">
        <f t="shared" si="3"/>
        <v>0</v>
      </c>
      <c r="Z12" s="43">
        <v>0</v>
      </c>
      <c r="AA12" s="43">
        <v>0</v>
      </c>
      <c r="AB12" s="60">
        <v>0</v>
      </c>
      <c r="AC12" s="60"/>
      <c r="AD12" s="60"/>
      <c r="AE12" s="60"/>
      <c r="AF12" s="60">
        <f t="shared" si="0"/>
        <v>4050</v>
      </c>
      <c r="AG12" s="60"/>
      <c r="AH12" s="64"/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O12" s="7">
        <f t="shared" si="4"/>
        <v>0</v>
      </c>
      <c r="AP12" s="59">
        <f t="shared" si="5"/>
        <v>0</v>
      </c>
      <c r="AQ12" s="59">
        <f t="shared" si="6"/>
        <v>0</v>
      </c>
      <c r="AR12" s="59">
        <f t="shared" si="7"/>
        <v>0</v>
      </c>
      <c r="AS12" s="59">
        <f t="shared" si="8"/>
        <v>0</v>
      </c>
    </row>
    <row r="13" spans="1:45">
      <c r="A13" s="21" t="s">
        <v>599</v>
      </c>
      <c r="B13" s="18" t="s">
        <v>600</v>
      </c>
      <c r="C13" s="18">
        <v>0</v>
      </c>
      <c r="D13" s="18">
        <v>0</v>
      </c>
      <c r="E13" s="19"/>
      <c r="F13" s="20">
        <v>64859</v>
      </c>
      <c r="G13" s="19">
        <v>0</v>
      </c>
      <c r="H13" s="19">
        <v>0</v>
      </c>
      <c r="I13" s="43">
        <v>0</v>
      </c>
      <c r="J13" s="43">
        <v>0</v>
      </c>
      <c r="K13" s="43">
        <v>0</v>
      </c>
      <c r="L13" s="43">
        <v>0</v>
      </c>
      <c r="M13" s="43">
        <v>0</v>
      </c>
      <c r="N13" s="44">
        <f t="shared" si="1"/>
        <v>0</v>
      </c>
      <c r="O13" s="44">
        <v>0</v>
      </c>
      <c r="P13" s="45">
        <f t="shared" si="2"/>
        <v>0</v>
      </c>
      <c r="Q13" s="54">
        <v>0</v>
      </c>
      <c r="R13" s="55">
        <v>0</v>
      </c>
      <c r="S13" s="55">
        <v>0</v>
      </c>
      <c r="T13" s="43">
        <v>0</v>
      </c>
      <c r="U13" s="43">
        <v>0</v>
      </c>
      <c r="V13" s="43">
        <v>0</v>
      </c>
      <c r="W13" s="43">
        <v>0</v>
      </c>
      <c r="X13" s="43">
        <v>0</v>
      </c>
      <c r="Y13" s="59">
        <f t="shared" si="3"/>
        <v>0</v>
      </c>
      <c r="Z13" s="43">
        <v>0</v>
      </c>
      <c r="AA13" s="43">
        <v>0</v>
      </c>
      <c r="AB13" s="60">
        <v>0</v>
      </c>
      <c r="AC13" s="60"/>
      <c r="AD13" s="60"/>
      <c r="AE13" s="60"/>
      <c r="AF13" s="60">
        <f t="shared" si="0"/>
        <v>64859</v>
      </c>
      <c r="AG13" s="60"/>
      <c r="AH13" s="64"/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O13" s="7">
        <f t="shared" si="4"/>
        <v>0</v>
      </c>
      <c r="AP13" s="59">
        <f t="shared" si="5"/>
        <v>0</v>
      </c>
      <c r="AQ13" s="59">
        <f t="shared" si="6"/>
        <v>0</v>
      </c>
      <c r="AR13" s="59">
        <f t="shared" si="7"/>
        <v>0</v>
      </c>
      <c r="AS13" s="59">
        <f t="shared" si="8"/>
        <v>0</v>
      </c>
    </row>
    <row r="14" spans="1:45">
      <c r="A14" s="21" t="s">
        <v>601</v>
      </c>
      <c r="B14" s="18" t="s">
        <v>602</v>
      </c>
      <c r="C14" s="18">
        <v>0</v>
      </c>
      <c r="D14" s="18">
        <v>0</v>
      </c>
      <c r="E14" s="19"/>
      <c r="F14" s="20">
        <v>290002</v>
      </c>
      <c r="G14" s="19">
        <v>0</v>
      </c>
      <c r="H14" s="19">
        <v>0</v>
      </c>
      <c r="I14" s="43">
        <v>0</v>
      </c>
      <c r="J14" s="43">
        <v>0</v>
      </c>
      <c r="K14" s="43">
        <v>0</v>
      </c>
      <c r="L14" s="43">
        <v>0</v>
      </c>
      <c r="M14" s="43">
        <v>0</v>
      </c>
      <c r="N14" s="44">
        <f t="shared" si="1"/>
        <v>0</v>
      </c>
      <c r="O14" s="44">
        <v>0</v>
      </c>
      <c r="P14" s="45">
        <f t="shared" si="2"/>
        <v>0</v>
      </c>
      <c r="Q14" s="54">
        <v>0</v>
      </c>
      <c r="R14" s="55">
        <v>0</v>
      </c>
      <c r="S14" s="55">
        <v>0</v>
      </c>
      <c r="T14" s="43">
        <v>0</v>
      </c>
      <c r="U14" s="43">
        <v>0</v>
      </c>
      <c r="V14" s="43">
        <v>0</v>
      </c>
      <c r="W14" s="43">
        <v>0</v>
      </c>
      <c r="X14" s="43">
        <v>0</v>
      </c>
      <c r="Y14" s="59">
        <f t="shared" si="3"/>
        <v>0</v>
      </c>
      <c r="Z14" s="43">
        <v>0</v>
      </c>
      <c r="AA14" s="43">
        <v>0</v>
      </c>
      <c r="AB14" s="60">
        <v>0</v>
      </c>
      <c r="AC14" s="60"/>
      <c r="AD14" s="60"/>
      <c r="AE14" s="60"/>
      <c r="AF14" s="60">
        <f t="shared" si="0"/>
        <v>290002</v>
      </c>
      <c r="AG14" s="60"/>
      <c r="AH14" s="64"/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O14" s="7">
        <f t="shared" si="4"/>
        <v>0</v>
      </c>
      <c r="AP14" s="59">
        <f t="shared" si="5"/>
        <v>0</v>
      </c>
      <c r="AQ14" s="59">
        <f t="shared" si="6"/>
        <v>0</v>
      </c>
      <c r="AR14" s="59">
        <f t="shared" si="7"/>
        <v>0</v>
      </c>
      <c r="AS14" s="59">
        <f t="shared" si="8"/>
        <v>0</v>
      </c>
    </row>
    <row r="15" spans="1:45">
      <c r="A15" s="21" t="s">
        <v>603</v>
      </c>
      <c r="B15" s="18" t="s">
        <v>604</v>
      </c>
      <c r="C15" s="18">
        <f>IFERROR(VLOOKUP(A15,'[4]Ayesha Apu Work'!$B:$C,2,FALSE),0)</f>
        <v>0</v>
      </c>
      <c r="D15" s="18">
        <v>0</v>
      </c>
      <c r="E15" s="19"/>
      <c r="F15" s="20">
        <v>323242.43</v>
      </c>
      <c r="G15" s="19">
        <v>0</v>
      </c>
      <c r="H15" s="19">
        <v>0</v>
      </c>
      <c r="I15" s="43">
        <v>0</v>
      </c>
      <c r="J15" s="43">
        <v>0</v>
      </c>
      <c r="K15" s="43">
        <v>0</v>
      </c>
      <c r="L15" s="43">
        <v>0</v>
      </c>
      <c r="M15" s="43">
        <v>0</v>
      </c>
      <c r="N15" s="44">
        <f t="shared" si="1"/>
        <v>0</v>
      </c>
      <c r="O15" s="44">
        <v>0</v>
      </c>
      <c r="P15" s="45">
        <f t="shared" si="2"/>
        <v>0</v>
      </c>
      <c r="Q15" s="54">
        <v>0</v>
      </c>
      <c r="R15" s="55">
        <v>0</v>
      </c>
      <c r="S15" s="55">
        <v>0</v>
      </c>
      <c r="T15" s="43">
        <v>0</v>
      </c>
      <c r="U15" s="43">
        <v>0</v>
      </c>
      <c r="V15" s="43">
        <v>0</v>
      </c>
      <c r="W15" s="43">
        <v>0</v>
      </c>
      <c r="X15" s="43">
        <v>0</v>
      </c>
      <c r="Y15" s="59">
        <f t="shared" si="3"/>
        <v>0</v>
      </c>
      <c r="Z15" s="43">
        <v>0</v>
      </c>
      <c r="AA15" s="43">
        <v>0</v>
      </c>
      <c r="AB15" s="60">
        <v>0</v>
      </c>
      <c r="AC15" s="60"/>
      <c r="AD15" s="60"/>
      <c r="AE15" s="60"/>
      <c r="AF15" s="60">
        <f t="shared" si="0"/>
        <v>323242.43</v>
      </c>
      <c r="AG15" s="60"/>
      <c r="AH15" s="64"/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O15" s="7">
        <f t="shared" si="4"/>
        <v>0</v>
      </c>
      <c r="AP15" s="59">
        <f t="shared" si="5"/>
        <v>0</v>
      </c>
      <c r="AQ15" s="59">
        <f t="shared" si="6"/>
        <v>0</v>
      </c>
      <c r="AR15" s="59">
        <f t="shared" si="7"/>
        <v>0</v>
      </c>
      <c r="AS15" s="59">
        <f t="shared" si="8"/>
        <v>0</v>
      </c>
    </row>
    <row r="16" spans="1:45">
      <c r="A16" s="21" t="s">
        <v>605</v>
      </c>
      <c r="B16" s="18" t="s">
        <v>606</v>
      </c>
      <c r="C16" s="18">
        <v>0</v>
      </c>
      <c r="D16" s="18" t="s">
        <v>52</v>
      </c>
      <c r="E16" s="19"/>
      <c r="F16" s="20">
        <v>64</v>
      </c>
      <c r="G16" s="19"/>
      <c r="H16" s="19"/>
      <c r="I16" s="43">
        <v>0</v>
      </c>
      <c r="J16" s="43">
        <v>0</v>
      </c>
      <c r="K16" s="43">
        <v>0</v>
      </c>
      <c r="L16" s="43">
        <v>0</v>
      </c>
      <c r="M16" s="43">
        <v>0</v>
      </c>
      <c r="N16" s="44">
        <f t="shared" si="1"/>
        <v>0</v>
      </c>
      <c r="O16" s="44">
        <f>I16*$H$1+J16*$I$1+K16*$J$1+L16*$K$1+M16*$L$1</f>
        <v>0</v>
      </c>
      <c r="P16" s="45">
        <f t="shared" si="2"/>
        <v>0</v>
      </c>
      <c r="Q16" s="54">
        <v>0</v>
      </c>
      <c r="R16" s="55">
        <v>0</v>
      </c>
      <c r="S16" s="55">
        <v>0</v>
      </c>
      <c r="T16" s="43">
        <v>0</v>
      </c>
      <c r="U16" s="43">
        <v>0</v>
      </c>
      <c r="V16" s="43">
        <v>0</v>
      </c>
      <c r="W16" s="43">
        <v>0</v>
      </c>
      <c r="X16" s="43">
        <v>0</v>
      </c>
      <c r="Y16" s="59">
        <f t="shared" si="3"/>
        <v>0</v>
      </c>
      <c r="Z16" s="43">
        <v>0</v>
      </c>
      <c r="AA16" s="43">
        <v>0</v>
      </c>
      <c r="AB16" s="60">
        <v>0</v>
      </c>
      <c r="AC16" s="60"/>
      <c r="AD16" s="60"/>
      <c r="AE16" s="60"/>
      <c r="AF16" s="60">
        <f t="shared" si="0"/>
        <v>64</v>
      </c>
      <c r="AG16" s="60"/>
      <c r="AH16" s="64"/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O16" s="7">
        <f t="shared" si="4"/>
        <v>0</v>
      </c>
      <c r="AP16" s="59">
        <f t="shared" si="5"/>
        <v>0</v>
      </c>
      <c r="AQ16" s="59">
        <f t="shared" si="6"/>
        <v>0</v>
      </c>
      <c r="AR16" s="59">
        <f t="shared" si="7"/>
        <v>0</v>
      </c>
      <c r="AS16" s="59">
        <f t="shared" si="8"/>
        <v>0</v>
      </c>
    </row>
    <row r="17" spans="1:45">
      <c r="A17" s="21" t="s">
        <v>607</v>
      </c>
      <c r="B17" s="18" t="s">
        <v>608</v>
      </c>
      <c r="C17" s="18">
        <v>0</v>
      </c>
      <c r="D17" s="18">
        <v>0</v>
      </c>
      <c r="E17" s="19"/>
      <c r="F17" s="20">
        <v>402993.58</v>
      </c>
      <c r="G17" s="19">
        <v>0</v>
      </c>
      <c r="H17" s="19">
        <v>0</v>
      </c>
      <c r="I17" s="43">
        <v>0</v>
      </c>
      <c r="J17" s="43">
        <v>0</v>
      </c>
      <c r="K17" s="43">
        <v>0</v>
      </c>
      <c r="L17" s="43">
        <v>0</v>
      </c>
      <c r="M17" s="43">
        <v>0</v>
      </c>
      <c r="N17" s="44">
        <f t="shared" si="1"/>
        <v>0</v>
      </c>
      <c r="O17" s="44">
        <v>0</v>
      </c>
      <c r="P17" s="45">
        <f t="shared" si="2"/>
        <v>0</v>
      </c>
      <c r="Q17" s="54">
        <v>0</v>
      </c>
      <c r="R17" s="55">
        <v>0</v>
      </c>
      <c r="S17" s="55">
        <v>0</v>
      </c>
      <c r="T17" s="43">
        <v>0</v>
      </c>
      <c r="U17" s="43">
        <v>0</v>
      </c>
      <c r="V17" s="43">
        <v>0</v>
      </c>
      <c r="W17" s="43">
        <v>0</v>
      </c>
      <c r="X17" s="43">
        <v>0</v>
      </c>
      <c r="Y17" s="59">
        <f t="shared" si="3"/>
        <v>0</v>
      </c>
      <c r="Z17" s="43">
        <v>0</v>
      </c>
      <c r="AA17" s="43">
        <v>0</v>
      </c>
      <c r="AB17" s="60">
        <v>0</v>
      </c>
      <c r="AC17" s="60"/>
      <c r="AD17" s="60"/>
      <c r="AE17" s="60"/>
      <c r="AF17" s="60">
        <f t="shared" si="0"/>
        <v>402993.58</v>
      </c>
      <c r="AG17" s="60"/>
      <c r="AH17" s="64"/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O17" s="7">
        <f t="shared" si="4"/>
        <v>0</v>
      </c>
      <c r="AP17" s="59">
        <f t="shared" si="5"/>
        <v>0</v>
      </c>
      <c r="AQ17" s="59">
        <f t="shared" si="6"/>
        <v>0</v>
      </c>
      <c r="AR17" s="59">
        <f t="shared" si="7"/>
        <v>0</v>
      </c>
      <c r="AS17" s="59">
        <f t="shared" si="8"/>
        <v>0</v>
      </c>
    </row>
    <row r="18" s="2" customFormat="1" spans="1:45">
      <c r="A18" s="21" t="s">
        <v>609</v>
      </c>
      <c r="B18" s="18" t="s">
        <v>610</v>
      </c>
      <c r="C18" s="18">
        <v>0</v>
      </c>
      <c r="D18" s="18">
        <v>0</v>
      </c>
      <c r="E18" s="19"/>
      <c r="F18" s="20">
        <v>-1006.17</v>
      </c>
      <c r="G18" s="19">
        <v>0</v>
      </c>
      <c r="H18" s="19">
        <v>0</v>
      </c>
      <c r="I18" s="43">
        <v>0</v>
      </c>
      <c r="J18" s="43">
        <v>0</v>
      </c>
      <c r="K18" s="43">
        <v>0</v>
      </c>
      <c r="L18" s="43">
        <v>0</v>
      </c>
      <c r="M18" s="43">
        <v>0</v>
      </c>
      <c r="N18" s="44">
        <f t="shared" si="1"/>
        <v>0</v>
      </c>
      <c r="O18" s="44">
        <v>0</v>
      </c>
      <c r="P18" s="45">
        <f t="shared" si="2"/>
        <v>0</v>
      </c>
      <c r="Q18" s="54">
        <v>0</v>
      </c>
      <c r="R18" s="55">
        <v>0</v>
      </c>
      <c r="S18" s="55">
        <v>0</v>
      </c>
      <c r="T18" s="43">
        <v>0</v>
      </c>
      <c r="U18" s="43">
        <v>0</v>
      </c>
      <c r="V18" s="43">
        <v>0</v>
      </c>
      <c r="W18" s="43">
        <v>0</v>
      </c>
      <c r="X18" s="43">
        <v>0</v>
      </c>
      <c r="Y18" s="59">
        <f t="shared" si="3"/>
        <v>0</v>
      </c>
      <c r="Z18" s="43">
        <v>0</v>
      </c>
      <c r="AA18" s="43">
        <v>0</v>
      </c>
      <c r="AB18" s="60">
        <v>0</v>
      </c>
      <c r="AC18" s="60"/>
      <c r="AD18" s="60"/>
      <c r="AE18" s="60"/>
      <c r="AF18" s="60">
        <f t="shared" si="0"/>
        <v>-1006.17</v>
      </c>
      <c r="AG18" s="60"/>
      <c r="AH18" s="64"/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/>
      <c r="AO18" s="7">
        <f t="shared" si="4"/>
        <v>0</v>
      </c>
      <c r="AP18" s="59">
        <f t="shared" si="5"/>
        <v>0</v>
      </c>
      <c r="AQ18" s="59">
        <f t="shared" si="6"/>
        <v>0</v>
      </c>
      <c r="AR18" s="59">
        <f t="shared" si="7"/>
        <v>0</v>
      </c>
      <c r="AS18" s="59">
        <f t="shared" si="8"/>
        <v>0</v>
      </c>
    </row>
    <row r="19" spans="1:45">
      <c r="A19" s="21" t="s">
        <v>611</v>
      </c>
      <c r="B19" s="18" t="s">
        <v>612</v>
      </c>
      <c r="C19" s="18">
        <f>IFERROR(VLOOKUP(A19,'[4]Ayesha Apu Work'!$B:$C,2,FALSE),0)</f>
        <v>0</v>
      </c>
      <c r="D19" s="18">
        <v>0</v>
      </c>
      <c r="E19" s="19"/>
      <c r="F19" s="20">
        <v>293692</v>
      </c>
      <c r="G19" s="19">
        <v>0</v>
      </c>
      <c r="H19" s="19">
        <v>0</v>
      </c>
      <c r="I19" s="43">
        <v>0</v>
      </c>
      <c r="J19" s="43">
        <v>0</v>
      </c>
      <c r="K19" s="43">
        <v>0</v>
      </c>
      <c r="L19" s="43">
        <v>0</v>
      </c>
      <c r="M19" s="43">
        <v>0</v>
      </c>
      <c r="N19" s="44">
        <f t="shared" si="1"/>
        <v>0</v>
      </c>
      <c r="O19" s="44">
        <v>0</v>
      </c>
      <c r="P19" s="45">
        <f t="shared" si="2"/>
        <v>0</v>
      </c>
      <c r="Q19" s="54">
        <v>0</v>
      </c>
      <c r="R19" s="55">
        <v>0</v>
      </c>
      <c r="S19" s="55">
        <v>0</v>
      </c>
      <c r="T19" s="43">
        <v>0</v>
      </c>
      <c r="U19" s="43">
        <v>0</v>
      </c>
      <c r="V19" s="43">
        <v>0</v>
      </c>
      <c r="W19" s="43">
        <v>0</v>
      </c>
      <c r="X19" s="43">
        <v>0</v>
      </c>
      <c r="Y19" s="59">
        <f t="shared" si="3"/>
        <v>0</v>
      </c>
      <c r="Z19" s="43">
        <v>0</v>
      </c>
      <c r="AA19" s="43">
        <v>0</v>
      </c>
      <c r="AB19" s="60">
        <v>0</v>
      </c>
      <c r="AC19" s="60"/>
      <c r="AD19" s="60"/>
      <c r="AE19" s="60"/>
      <c r="AF19" s="60">
        <f t="shared" si="0"/>
        <v>293692</v>
      </c>
      <c r="AG19" s="60"/>
      <c r="AH19" s="64"/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O19" s="7">
        <f t="shared" si="4"/>
        <v>0</v>
      </c>
      <c r="AP19" s="59">
        <f t="shared" si="5"/>
        <v>0</v>
      </c>
      <c r="AQ19" s="59">
        <f t="shared" si="6"/>
        <v>0</v>
      </c>
      <c r="AR19" s="59">
        <f t="shared" si="7"/>
        <v>0</v>
      </c>
      <c r="AS19" s="59">
        <f t="shared" si="8"/>
        <v>0</v>
      </c>
    </row>
    <row r="20" spans="1:45">
      <c r="A20" s="21" t="s">
        <v>613</v>
      </c>
      <c r="B20" s="18" t="s">
        <v>614</v>
      </c>
      <c r="C20" s="18" t="s">
        <v>99</v>
      </c>
      <c r="D20" s="18" t="s">
        <v>99</v>
      </c>
      <c r="E20" s="19"/>
      <c r="F20" s="20">
        <v>-7906</v>
      </c>
      <c r="G20" s="19">
        <v>0</v>
      </c>
      <c r="H20" s="19">
        <v>0</v>
      </c>
      <c r="I20" s="43">
        <v>0</v>
      </c>
      <c r="J20" s="43">
        <v>0</v>
      </c>
      <c r="K20" s="43">
        <v>0</v>
      </c>
      <c r="L20" s="43">
        <v>0</v>
      </c>
      <c r="M20" s="43">
        <v>0</v>
      </c>
      <c r="N20" s="44">
        <f t="shared" si="1"/>
        <v>0</v>
      </c>
      <c r="O20" s="44">
        <f>I20*$H$2+J20*$I$2+K20*$J$2+L20*$K$2+M20*$L$2</f>
        <v>0</v>
      </c>
      <c r="P20" s="45">
        <f t="shared" si="2"/>
        <v>0</v>
      </c>
      <c r="Q20" s="54">
        <v>0</v>
      </c>
      <c r="R20" s="55">
        <v>0</v>
      </c>
      <c r="S20" s="55">
        <v>0</v>
      </c>
      <c r="T20" s="43">
        <v>0</v>
      </c>
      <c r="U20" s="43">
        <v>0</v>
      </c>
      <c r="V20" s="43">
        <v>0</v>
      </c>
      <c r="W20" s="43">
        <v>0</v>
      </c>
      <c r="X20" s="43">
        <v>0</v>
      </c>
      <c r="Y20" s="59">
        <f t="shared" si="3"/>
        <v>0</v>
      </c>
      <c r="Z20" s="43">
        <v>0</v>
      </c>
      <c r="AA20" s="43">
        <v>0</v>
      </c>
      <c r="AB20" s="60">
        <v>0</v>
      </c>
      <c r="AC20" s="60"/>
      <c r="AD20" s="60"/>
      <c r="AE20" s="60"/>
      <c r="AF20" s="60">
        <f t="shared" si="0"/>
        <v>-7906</v>
      </c>
      <c r="AG20" s="60"/>
      <c r="AH20" s="64"/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O20" s="7">
        <f t="shared" si="4"/>
        <v>0</v>
      </c>
      <c r="AP20" s="59">
        <f t="shared" si="5"/>
        <v>0</v>
      </c>
      <c r="AQ20" s="59">
        <f t="shared" si="6"/>
        <v>0</v>
      </c>
      <c r="AR20" s="59">
        <f t="shared" si="7"/>
        <v>0</v>
      </c>
      <c r="AS20" s="59">
        <f t="shared" si="8"/>
        <v>0</v>
      </c>
    </row>
    <row r="21" spans="1:45">
      <c r="A21" t="s">
        <v>615</v>
      </c>
      <c r="B21" s="18" t="s">
        <v>616</v>
      </c>
      <c r="C21" s="18" t="s">
        <v>49</v>
      </c>
      <c r="D21" s="18" t="s">
        <v>49</v>
      </c>
      <c r="E21" s="19"/>
      <c r="F21" s="20">
        <v>38100</v>
      </c>
      <c r="G21" s="19"/>
      <c r="H21" s="19"/>
      <c r="I21" s="43">
        <v>30</v>
      </c>
      <c r="J21" s="43">
        <v>0</v>
      </c>
      <c r="K21" s="43">
        <v>0</v>
      </c>
      <c r="L21" s="43">
        <v>0</v>
      </c>
      <c r="M21" s="43">
        <v>0</v>
      </c>
      <c r="N21" s="44">
        <f t="shared" si="1"/>
        <v>30</v>
      </c>
      <c r="O21" s="44">
        <f>I21*$H$4+J21*$I$4+K21*$J$4+L21*$K$4+M21*$L$4</f>
        <v>150000</v>
      </c>
      <c r="P21" s="45">
        <f t="shared" si="2"/>
        <v>150000</v>
      </c>
      <c r="Q21" s="54">
        <v>0</v>
      </c>
      <c r="R21" s="55">
        <v>100</v>
      </c>
      <c r="S21" s="55">
        <v>0</v>
      </c>
      <c r="T21" s="43">
        <v>0</v>
      </c>
      <c r="U21" s="43">
        <v>0</v>
      </c>
      <c r="V21" s="43">
        <v>0</v>
      </c>
      <c r="W21" s="43">
        <v>0</v>
      </c>
      <c r="X21" s="43">
        <v>0</v>
      </c>
      <c r="Y21" s="59">
        <f t="shared" si="3"/>
        <v>0</v>
      </c>
      <c r="Z21" s="43">
        <v>0</v>
      </c>
      <c r="AA21" s="43">
        <v>0</v>
      </c>
      <c r="AB21" s="60">
        <v>0</v>
      </c>
      <c r="AC21" s="60"/>
      <c r="AD21" s="60"/>
      <c r="AE21" s="60"/>
      <c r="AF21" s="60">
        <f t="shared" si="0"/>
        <v>38100</v>
      </c>
      <c r="AG21" s="60"/>
      <c r="AH21" s="64"/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O21" s="7">
        <f t="shared" si="4"/>
        <v>0</v>
      </c>
      <c r="AP21" s="59">
        <f t="shared" si="5"/>
        <v>30</v>
      </c>
      <c r="AQ21" s="59">
        <f t="shared" si="6"/>
        <v>0</v>
      </c>
      <c r="AR21" s="59">
        <f t="shared" si="7"/>
        <v>2.30769230769231</v>
      </c>
      <c r="AS21" s="59">
        <f t="shared" si="8"/>
        <v>0</v>
      </c>
    </row>
    <row r="22" spans="1:45">
      <c r="A22" s="21" t="s">
        <v>617</v>
      </c>
      <c r="B22" s="18" t="s">
        <v>618</v>
      </c>
      <c r="C22" s="18">
        <f>IFERROR(VLOOKUP(A22,'[4]Ayesha Apu Work'!$B:$C,2,FALSE),0)</f>
        <v>0</v>
      </c>
      <c r="D22" s="18">
        <v>0</v>
      </c>
      <c r="E22" s="19"/>
      <c r="F22" s="20">
        <v>182592.16</v>
      </c>
      <c r="G22" s="19">
        <v>0</v>
      </c>
      <c r="H22" s="19">
        <v>0</v>
      </c>
      <c r="I22" s="43">
        <v>0</v>
      </c>
      <c r="J22" s="43">
        <v>0</v>
      </c>
      <c r="K22" s="43">
        <v>0</v>
      </c>
      <c r="L22" s="43">
        <v>0</v>
      </c>
      <c r="M22" s="43">
        <v>0</v>
      </c>
      <c r="N22" s="44">
        <f t="shared" si="1"/>
        <v>0</v>
      </c>
      <c r="O22" s="44">
        <v>0</v>
      </c>
      <c r="P22" s="45">
        <f t="shared" si="2"/>
        <v>0</v>
      </c>
      <c r="Q22" s="54">
        <v>0</v>
      </c>
      <c r="R22" s="55">
        <v>0</v>
      </c>
      <c r="S22" s="55">
        <v>0</v>
      </c>
      <c r="T22" s="43">
        <v>0</v>
      </c>
      <c r="U22" s="43">
        <v>0</v>
      </c>
      <c r="V22" s="43">
        <v>0</v>
      </c>
      <c r="W22" s="43">
        <v>0</v>
      </c>
      <c r="X22" s="43">
        <v>0</v>
      </c>
      <c r="Y22" s="59">
        <f t="shared" si="3"/>
        <v>0</v>
      </c>
      <c r="Z22" s="43">
        <v>0</v>
      </c>
      <c r="AA22" s="43">
        <v>0</v>
      </c>
      <c r="AB22" s="60">
        <v>0</v>
      </c>
      <c r="AC22" s="60"/>
      <c r="AD22" s="60"/>
      <c r="AE22" s="60"/>
      <c r="AF22" s="60">
        <f t="shared" ref="AF22:AF47" si="9">F22+Z22-AA22-AB22-AC22-AD22-AE22</f>
        <v>182592.16</v>
      </c>
      <c r="AG22" s="60"/>
      <c r="AH22" s="64"/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O22" s="7">
        <f t="shared" si="4"/>
        <v>0</v>
      </c>
      <c r="AP22" s="59">
        <f t="shared" si="5"/>
        <v>0</v>
      </c>
      <c r="AQ22" s="59">
        <f t="shared" si="6"/>
        <v>0</v>
      </c>
      <c r="AR22" s="59">
        <f t="shared" si="7"/>
        <v>0</v>
      </c>
      <c r="AS22" s="59">
        <f t="shared" si="8"/>
        <v>0</v>
      </c>
    </row>
    <row r="23" spans="1:45">
      <c r="A23" s="21" t="s">
        <v>619</v>
      </c>
      <c r="B23" s="18" t="s">
        <v>620</v>
      </c>
      <c r="C23" s="18" t="str">
        <f>IFERROR(VLOOKUP(A23,'[4]Ayesha Apu Work'!$B:$C,2,FALSE),0)</f>
        <v>CASH</v>
      </c>
      <c r="D23" s="18" t="s">
        <v>2</v>
      </c>
      <c r="E23" s="19"/>
      <c r="F23" s="20">
        <v>698077.79</v>
      </c>
      <c r="G23" s="19">
        <v>0</v>
      </c>
      <c r="H23" s="19">
        <v>710000</v>
      </c>
      <c r="I23" s="43">
        <v>0</v>
      </c>
      <c r="J23" s="43">
        <v>0</v>
      </c>
      <c r="K23" s="43">
        <v>0</v>
      </c>
      <c r="L23" s="43">
        <v>0</v>
      </c>
      <c r="M23" s="43">
        <v>0</v>
      </c>
      <c r="N23" s="44">
        <f t="shared" si="1"/>
        <v>0</v>
      </c>
      <c r="O23" s="44">
        <f>I23*$H$3+J23*$I$3+K23*$J$3+L23*$K$3+M23*$L$3</f>
        <v>0</v>
      </c>
      <c r="P23" s="45">
        <f t="shared" si="2"/>
        <v>0</v>
      </c>
      <c r="Q23" s="54">
        <v>0</v>
      </c>
      <c r="R23" s="55">
        <v>0</v>
      </c>
      <c r="S23" s="55">
        <v>0</v>
      </c>
      <c r="T23" s="43">
        <v>0</v>
      </c>
      <c r="U23" s="43">
        <v>0</v>
      </c>
      <c r="V23" s="43">
        <v>0</v>
      </c>
      <c r="W23" s="43">
        <v>0</v>
      </c>
      <c r="X23" s="43">
        <v>0</v>
      </c>
      <c r="Y23" s="59">
        <f t="shared" si="3"/>
        <v>0</v>
      </c>
      <c r="Z23" s="43">
        <v>0</v>
      </c>
      <c r="AA23" s="43">
        <v>0</v>
      </c>
      <c r="AB23" s="60">
        <v>0</v>
      </c>
      <c r="AC23" s="60"/>
      <c r="AD23" s="60"/>
      <c r="AE23" s="60"/>
      <c r="AF23" s="60">
        <f t="shared" si="9"/>
        <v>698077.79</v>
      </c>
      <c r="AG23" s="60"/>
      <c r="AH23" s="64"/>
      <c r="AI23" s="7">
        <v>8000</v>
      </c>
      <c r="AJ23" s="7">
        <v>800</v>
      </c>
      <c r="AK23" s="7">
        <v>0</v>
      </c>
      <c r="AL23" s="7">
        <v>0</v>
      </c>
      <c r="AM23" s="7">
        <v>0</v>
      </c>
      <c r="AO23" s="7">
        <f t="shared" si="4"/>
        <v>8800</v>
      </c>
      <c r="AP23" s="59">
        <f t="shared" si="5"/>
        <v>0</v>
      </c>
      <c r="AQ23" s="59">
        <f t="shared" si="6"/>
        <v>0</v>
      </c>
      <c r="AR23" s="59">
        <f t="shared" si="7"/>
        <v>0</v>
      </c>
      <c r="AS23" s="59">
        <f t="shared" si="8"/>
        <v>0</v>
      </c>
    </row>
    <row r="24" spans="1:45">
      <c r="A24" s="21" t="s">
        <v>621</v>
      </c>
      <c r="B24" s="176" t="s">
        <v>622</v>
      </c>
      <c r="C24" s="18" t="s">
        <v>151</v>
      </c>
      <c r="D24" s="18" t="s">
        <v>151</v>
      </c>
      <c r="E24" s="19"/>
      <c r="F24" s="20">
        <v>25000</v>
      </c>
      <c r="G24" s="19"/>
      <c r="H24" s="19"/>
      <c r="I24" s="43">
        <v>30</v>
      </c>
      <c r="J24" s="43">
        <v>0</v>
      </c>
      <c r="K24" s="43">
        <v>0</v>
      </c>
      <c r="L24" s="43">
        <v>0</v>
      </c>
      <c r="M24" s="43">
        <v>0</v>
      </c>
      <c r="N24" s="44">
        <f t="shared" si="1"/>
        <v>30</v>
      </c>
      <c r="O24" s="44">
        <f>I24*$H$4+J24*$I$4+K24*$J$4+L24*$K$4+M24*$L$4</f>
        <v>150000</v>
      </c>
      <c r="P24" s="45">
        <f t="shared" si="2"/>
        <v>150000</v>
      </c>
      <c r="Q24" s="54">
        <v>0</v>
      </c>
      <c r="R24" s="55">
        <v>0</v>
      </c>
      <c r="S24" s="55">
        <v>0</v>
      </c>
      <c r="T24" s="43">
        <v>0</v>
      </c>
      <c r="U24" s="43">
        <v>0</v>
      </c>
      <c r="V24" s="43">
        <v>0</v>
      </c>
      <c r="W24" s="43">
        <v>0</v>
      </c>
      <c r="X24" s="43">
        <v>0</v>
      </c>
      <c r="Y24" s="59">
        <f t="shared" si="3"/>
        <v>0</v>
      </c>
      <c r="Z24" s="43">
        <v>0</v>
      </c>
      <c r="AA24" s="43">
        <v>0</v>
      </c>
      <c r="AB24" s="60">
        <v>0</v>
      </c>
      <c r="AC24" s="60"/>
      <c r="AD24" s="60"/>
      <c r="AE24" s="60"/>
      <c r="AF24" s="60">
        <f t="shared" si="9"/>
        <v>25000</v>
      </c>
      <c r="AG24" s="60"/>
      <c r="AH24" s="64"/>
      <c r="AI24" s="7">
        <v>0</v>
      </c>
      <c r="AJ24" s="7">
        <v>15000</v>
      </c>
      <c r="AK24" s="7">
        <v>24000</v>
      </c>
      <c r="AL24" s="7">
        <v>0</v>
      </c>
      <c r="AM24" s="7">
        <v>0</v>
      </c>
      <c r="AO24" s="7">
        <f t="shared" si="4"/>
        <v>39000</v>
      </c>
      <c r="AP24" s="59">
        <f t="shared" si="5"/>
        <v>30</v>
      </c>
      <c r="AQ24" s="59">
        <f t="shared" si="6"/>
        <v>0</v>
      </c>
      <c r="AR24" s="59">
        <f t="shared" si="7"/>
        <v>2.30769230769231</v>
      </c>
      <c r="AS24" s="59">
        <f t="shared" si="8"/>
        <v>0</v>
      </c>
    </row>
    <row r="25" spans="1:45">
      <c r="A25" s="21" t="s">
        <v>623</v>
      </c>
      <c r="B25" s="18" t="s">
        <v>624</v>
      </c>
      <c r="C25" s="18">
        <f>IFERROR(VLOOKUP(A25,'[4]Ayesha Apu Work'!$B:$C,2,FALSE),0)</f>
        <v>0</v>
      </c>
      <c r="D25" s="18">
        <v>0</v>
      </c>
      <c r="E25" s="19"/>
      <c r="F25" s="20">
        <v>406356.95</v>
      </c>
      <c r="G25" s="19">
        <v>0</v>
      </c>
      <c r="H25" s="19">
        <v>0</v>
      </c>
      <c r="I25" s="43">
        <v>0</v>
      </c>
      <c r="J25" s="43">
        <v>0</v>
      </c>
      <c r="K25" s="43">
        <v>0</v>
      </c>
      <c r="L25" s="43">
        <v>0</v>
      </c>
      <c r="M25" s="43">
        <v>0</v>
      </c>
      <c r="N25" s="44">
        <f t="shared" si="1"/>
        <v>0</v>
      </c>
      <c r="O25" s="44">
        <v>0</v>
      </c>
      <c r="P25" s="45">
        <f t="shared" si="2"/>
        <v>0</v>
      </c>
      <c r="Q25" s="54">
        <v>0</v>
      </c>
      <c r="R25" s="55">
        <v>0</v>
      </c>
      <c r="S25" s="55">
        <v>0</v>
      </c>
      <c r="T25" s="43">
        <v>0</v>
      </c>
      <c r="U25" s="43">
        <v>0</v>
      </c>
      <c r="V25" s="43">
        <v>0</v>
      </c>
      <c r="W25" s="43">
        <v>0</v>
      </c>
      <c r="X25" s="43">
        <v>0</v>
      </c>
      <c r="Y25" s="59">
        <f t="shared" si="3"/>
        <v>0</v>
      </c>
      <c r="Z25" s="43">
        <v>0</v>
      </c>
      <c r="AA25" s="43">
        <v>0</v>
      </c>
      <c r="AB25" s="60">
        <v>0</v>
      </c>
      <c r="AC25" s="60"/>
      <c r="AD25" s="60"/>
      <c r="AE25" s="60"/>
      <c r="AF25" s="60">
        <f t="shared" si="9"/>
        <v>406356.95</v>
      </c>
      <c r="AG25" s="60"/>
      <c r="AH25" s="64"/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O25" s="7">
        <f t="shared" si="4"/>
        <v>0</v>
      </c>
      <c r="AP25" s="59">
        <f t="shared" si="5"/>
        <v>0</v>
      </c>
      <c r="AQ25" s="59">
        <f t="shared" si="6"/>
        <v>0</v>
      </c>
      <c r="AR25" s="59">
        <f t="shared" si="7"/>
        <v>0</v>
      </c>
      <c r="AS25" s="59">
        <f t="shared" si="8"/>
        <v>0</v>
      </c>
    </row>
    <row r="26" spans="1:45">
      <c r="A26" s="21" t="s">
        <v>625</v>
      </c>
      <c r="B26" s="18" t="s">
        <v>626</v>
      </c>
      <c r="C26" s="18">
        <v>0</v>
      </c>
      <c r="D26" s="18">
        <v>0</v>
      </c>
      <c r="E26" s="19"/>
      <c r="F26" s="20">
        <v>60924.47</v>
      </c>
      <c r="G26" s="19">
        <v>0</v>
      </c>
      <c r="H26" s="19">
        <v>0</v>
      </c>
      <c r="I26" s="43">
        <v>0</v>
      </c>
      <c r="J26" s="43">
        <v>0</v>
      </c>
      <c r="K26" s="43">
        <v>0</v>
      </c>
      <c r="L26" s="43">
        <v>0</v>
      </c>
      <c r="M26" s="43">
        <v>0</v>
      </c>
      <c r="N26" s="44">
        <f t="shared" si="1"/>
        <v>0</v>
      </c>
      <c r="O26" s="44">
        <v>0</v>
      </c>
      <c r="P26" s="45">
        <f t="shared" si="2"/>
        <v>0</v>
      </c>
      <c r="Q26" s="54">
        <v>0</v>
      </c>
      <c r="R26" s="55">
        <v>0</v>
      </c>
      <c r="S26" s="55">
        <v>0</v>
      </c>
      <c r="T26" s="43">
        <v>0</v>
      </c>
      <c r="U26" s="43">
        <v>0</v>
      </c>
      <c r="V26" s="43">
        <v>0</v>
      </c>
      <c r="W26" s="43">
        <v>0</v>
      </c>
      <c r="X26" s="43">
        <v>0</v>
      </c>
      <c r="Y26" s="59">
        <f t="shared" si="3"/>
        <v>0</v>
      </c>
      <c r="Z26" s="43">
        <v>0</v>
      </c>
      <c r="AA26" s="43">
        <v>0</v>
      </c>
      <c r="AB26" s="60">
        <v>0</v>
      </c>
      <c r="AC26" s="60"/>
      <c r="AD26" s="60"/>
      <c r="AE26" s="60"/>
      <c r="AF26" s="60">
        <f t="shared" si="9"/>
        <v>60924.47</v>
      </c>
      <c r="AG26" s="60"/>
      <c r="AH26" s="64"/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O26" s="7">
        <f t="shared" si="4"/>
        <v>0</v>
      </c>
      <c r="AP26" s="59">
        <f t="shared" si="5"/>
        <v>0</v>
      </c>
      <c r="AQ26" s="59">
        <f t="shared" si="6"/>
        <v>0</v>
      </c>
      <c r="AR26" s="59">
        <f t="shared" si="7"/>
        <v>0</v>
      </c>
      <c r="AS26" s="59">
        <f t="shared" si="8"/>
        <v>0</v>
      </c>
    </row>
    <row r="27" spans="1:45">
      <c r="A27" s="21" t="s">
        <v>627</v>
      </c>
      <c r="B27" s="18" t="s">
        <v>628</v>
      </c>
      <c r="C27" s="18" t="s">
        <v>2</v>
      </c>
      <c r="D27" s="18" t="s">
        <v>2</v>
      </c>
      <c r="E27" s="19"/>
      <c r="F27" s="20">
        <v>56991</v>
      </c>
      <c r="G27" s="19">
        <v>400000</v>
      </c>
      <c r="H27" s="19">
        <v>1200000</v>
      </c>
      <c r="I27" s="43">
        <v>0</v>
      </c>
      <c r="J27" s="43">
        <v>0</v>
      </c>
      <c r="K27" s="43">
        <v>0</v>
      </c>
      <c r="L27" s="43">
        <v>0</v>
      </c>
      <c r="M27" s="43">
        <v>0</v>
      </c>
      <c r="N27" s="44">
        <f t="shared" si="1"/>
        <v>0</v>
      </c>
      <c r="O27" s="44">
        <f>I27*$H$3+J27*$I$3+K27*$J$3+L27*$K$3+M27*$L$3</f>
        <v>0</v>
      </c>
      <c r="P27" s="45">
        <f t="shared" si="2"/>
        <v>0</v>
      </c>
      <c r="Q27" s="54">
        <v>0</v>
      </c>
      <c r="R27" s="55">
        <v>0</v>
      </c>
      <c r="S27" s="55">
        <v>0</v>
      </c>
      <c r="T27" s="43">
        <v>0</v>
      </c>
      <c r="U27" s="43">
        <v>0</v>
      </c>
      <c r="V27" s="43">
        <v>0</v>
      </c>
      <c r="W27" s="43">
        <v>0</v>
      </c>
      <c r="X27" s="43">
        <v>0</v>
      </c>
      <c r="Y27" s="59">
        <f t="shared" si="3"/>
        <v>0</v>
      </c>
      <c r="Z27" s="43">
        <v>0</v>
      </c>
      <c r="AA27" s="43">
        <v>0</v>
      </c>
      <c r="AB27" s="60">
        <v>0</v>
      </c>
      <c r="AC27" s="60"/>
      <c r="AD27" s="60"/>
      <c r="AE27" s="60"/>
      <c r="AF27" s="60">
        <f t="shared" si="9"/>
        <v>56991</v>
      </c>
      <c r="AG27" s="60"/>
      <c r="AH27" s="64"/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O27" s="7">
        <f t="shared" si="4"/>
        <v>0</v>
      </c>
      <c r="AP27" s="59">
        <f t="shared" si="5"/>
        <v>0</v>
      </c>
      <c r="AQ27" s="59">
        <f t="shared" si="6"/>
        <v>0</v>
      </c>
      <c r="AR27" s="59">
        <f t="shared" si="7"/>
        <v>0</v>
      </c>
      <c r="AS27" s="59">
        <f t="shared" si="8"/>
        <v>0</v>
      </c>
    </row>
    <row r="28" spans="1:45">
      <c r="A28" s="21" t="s">
        <v>629</v>
      </c>
      <c r="B28" s="18" t="s">
        <v>630</v>
      </c>
      <c r="C28" s="18">
        <v>0</v>
      </c>
      <c r="D28" s="18" t="s">
        <v>151</v>
      </c>
      <c r="E28" s="19"/>
      <c r="F28" s="20">
        <v>-6000</v>
      </c>
      <c r="G28" s="19"/>
      <c r="H28" s="19"/>
      <c r="I28" s="43">
        <v>0</v>
      </c>
      <c r="J28" s="43">
        <v>0</v>
      </c>
      <c r="K28" s="43">
        <v>0</v>
      </c>
      <c r="L28" s="43">
        <v>0</v>
      </c>
      <c r="M28" s="43">
        <v>0</v>
      </c>
      <c r="N28" s="44">
        <f t="shared" si="1"/>
        <v>0</v>
      </c>
      <c r="O28" s="44">
        <f>I28*$H$4+J28*$I$4+K28*$J$4+L28*$K$4+M28*$L$4</f>
        <v>0</v>
      </c>
      <c r="P28" s="45">
        <f t="shared" si="2"/>
        <v>0</v>
      </c>
      <c r="Q28" s="54">
        <v>0</v>
      </c>
      <c r="R28" s="55">
        <v>0</v>
      </c>
      <c r="S28" s="55">
        <v>0</v>
      </c>
      <c r="T28" s="43">
        <v>0</v>
      </c>
      <c r="U28" s="43">
        <v>0</v>
      </c>
      <c r="V28" s="43">
        <v>0</v>
      </c>
      <c r="W28" s="43">
        <v>0</v>
      </c>
      <c r="X28" s="43">
        <v>0</v>
      </c>
      <c r="Y28" s="59">
        <f t="shared" si="3"/>
        <v>0</v>
      </c>
      <c r="Z28" s="43">
        <v>0</v>
      </c>
      <c r="AA28" s="43">
        <v>0</v>
      </c>
      <c r="AB28" s="60">
        <v>0</v>
      </c>
      <c r="AC28" s="60"/>
      <c r="AD28" s="60"/>
      <c r="AE28" s="60"/>
      <c r="AF28" s="60">
        <f t="shared" si="9"/>
        <v>-6000</v>
      </c>
      <c r="AG28" s="60"/>
      <c r="AH28" s="64"/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O28" s="7">
        <f t="shared" si="4"/>
        <v>0</v>
      </c>
      <c r="AP28" s="59">
        <f t="shared" si="5"/>
        <v>0</v>
      </c>
      <c r="AQ28" s="59">
        <f t="shared" si="6"/>
        <v>0</v>
      </c>
      <c r="AR28" s="59">
        <f t="shared" si="7"/>
        <v>0</v>
      </c>
      <c r="AS28" s="59">
        <f t="shared" si="8"/>
        <v>0</v>
      </c>
    </row>
    <row r="29" spans="1:45">
      <c r="A29" s="21" t="s">
        <v>631</v>
      </c>
      <c r="B29" s="18" t="s">
        <v>632</v>
      </c>
      <c r="C29" s="18">
        <v>0</v>
      </c>
      <c r="D29" s="18">
        <v>0</v>
      </c>
      <c r="E29" s="19"/>
      <c r="F29" s="20">
        <v>226608</v>
      </c>
      <c r="G29" s="19"/>
      <c r="H29" s="19"/>
      <c r="I29" s="43">
        <v>0</v>
      </c>
      <c r="J29" s="43">
        <v>0</v>
      </c>
      <c r="K29" s="43">
        <v>0</v>
      </c>
      <c r="L29" s="43">
        <v>0</v>
      </c>
      <c r="M29" s="43">
        <v>0</v>
      </c>
      <c r="N29" s="44">
        <f t="shared" si="1"/>
        <v>0</v>
      </c>
      <c r="O29" s="44">
        <v>0</v>
      </c>
      <c r="P29" s="45">
        <f t="shared" si="2"/>
        <v>0</v>
      </c>
      <c r="Q29" s="54">
        <v>0</v>
      </c>
      <c r="R29" s="55">
        <v>0</v>
      </c>
      <c r="S29" s="55">
        <v>0</v>
      </c>
      <c r="T29" s="43">
        <v>0</v>
      </c>
      <c r="U29" s="43">
        <v>0</v>
      </c>
      <c r="V29" s="43">
        <v>0</v>
      </c>
      <c r="W29" s="43">
        <v>0</v>
      </c>
      <c r="X29" s="43">
        <v>0</v>
      </c>
      <c r="Y29" s="59">
        <f t="shared" si="3"/>
        <v>0</v>
      </c>
      <c r="Z29" s="43">
        <v>0</v>
      </c>
      <c r="AA29" s="43">
        <v>0</v>
      </c>
      <c r="AB29" s="60">
        <v>0</v>
      </c>
      <c r="AC29" s="60"/>
      <c r="AD29" s="60"/>
      <c r="AE29" s="60"/>
      <c r="AF29" s="60">
        <f t="shared" si="9"/>
        <v>226608</v>
      </c>
      <c r="AG29" s="60"/>
      <c r="AH29" s="64"/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O29" s="7">
        <f t="shared" si="4"/>
        <v>0</v>
      </c>
      <c r="AP29" s="59">
        <f t="shared" si="5"/>
        <v>0</v>
      </c>
      <c r="AQ29" s="59">
        <f t="shared" si="6"/>
        <v>0</v>
      </c>
      <c r="AR29" s="59">
        <f t="shared" si="7"/>
        <v>0</v>
      </c>
      <c r="AS29" s="59">
        <f t="shared" si="8"/>
        <v>0</v>
      </c>
    </row>
    <row r="30" spans="1:45">
      <c r="A30" s="22" t="s">
        <v>633</v>
      </c>
      <c r="B30" s="18" t="s">
        <v>634</v>
      </c>
      <c r="C30" s="18">
        <v>0</v>
      </c>
      <c r="D30" s="18">
        <v>0</v>
      </c>
      <c r="E30" s="19"/>
      <c r="F30" s="20">
        <v>-105.51</v>
      </c>
      <c r="G30" s="19">
        <v>0</v>
      </c>
      <c r="H30" s="19">
        <v>0</v>
      </c>
      <c r="I30" s="43">
        <v>0</v>
      </c>
      <c r="J30" s="43">
        <v>0</v>
      </c>
      <c r="K30" s="43">
        <v>0</v>
      </c>
      <c r="L30" s="43">
        <v>0</v>
      </c>
      <c r="M30" s="43">
        <v>0</v>
      </c>
      <c r="N30" s="44">
        <f t="shared" si="1"/>
        <v>0</v>
      </c>
      <c r="O30" s="44">
        <v>0</v>
      </c>
      <c r="P30" s="45">
        <f t="shared" si="2"/>
        <v>0</v>
      </c>
      <c r="Q30" s="54">
        <v>0</v>
      </c>
      <c r="R30" s="55">
        <v>0</v>
      </c>
      <c r="S30" s="55">
        <v>0</v>
      </c>
      <c r="T30" s="43">
        <v>0</v>
      </c>
      <c r="U30" s="43">
        <v>0</v>
      </c>
      <c r="V30" s="43">
        <v>0</v>
      </c>
      <c r="W30" s="43">
        <v>0</v>
      </c>
      <c r="X30" s="43">
        <v>0</v>
      </c>
      <c r="Y30" s="59">
        <f t="shared" si="3"/>
        <v>0</v>
      </c>
      <c r="Z30" s="43">
        <v>0</v>
      </c>
      <c r="AA30" s="43">
        <v>0</v>
      </c>
      <c r="AB30" s="60">
        <v>0</v>
      </c>
      <c r="AC30" s="60"/>
      <c r="AD30" s="60"/>
      <c r="AE30" s="60"/>
      <c r="AF30" s="60">
        <f t="shared" si="9"/>
        <v>-105.51</v>
      </c>
      <c r="AG30" s="60"/>
      <c r="AH30" s="64"/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O30" s="7">
        <f t="shared" si="4"/>
        <v>0</v>
      </c>
      <c r="AP30" s="59">
        <f t="shared" si="5"/>
        <v>0</v>
      </c>
      <c r="AQ30" s="59">
        <f t="shared" si="6"/>
        <v>0</v>
      </c>
      <c r="AR30" s="59">
        <f t="shared" si="7"/>
        <v>0</v>
      </c>
      <c r="AS30" s="59">
        <f t="shared" si="8"/>
        <v>0</v>
      </c>
    </row>
    <row r="31" spans="1:45">
      <c r="A31" s="21" t="s">
        <v>635</v>
      </c>
      <c r="B31" s="18" t="s">
        <v>636</v>
      </c>
      <c r="C31" s="18">
        <v>0</v>
      </c>
      <c r="D31" s="18">
        <v>0</v>
      </c>
      <c r="E31" s="19"/>
      <c r="F31" s="20">
        <v>0</v>
      </c>
      <c r="G31" s="19">
        <v>0</v>
      </c>
      <c r="H31" s="19">
        <v>0</v>
      </c>
      <c r="I31" s="43">
        <v>0</v>
      </c>
      <c r="J31" s="43">
        <v>0</v>
      </c>
      <c r="K31" s="43">
        <v>0</v>
      </c>
      <c r="L31" s="43">
        <v>0</v>
      </c>
      <c r="M31" s="43">
        <v>0</v>
      </c>
      <c r="N31" s="44">
        <f t="shared" si="1"/>
        <v>0</v>
      </c>
      <c r="O31" s="44">
        <v>0</v>
      </c>
      <c r="P31" s="45">
        <f t="shared" si="2"/>
        <v>0</v>
      </c>
      <c r="Q31" s="54">
        <v>0</v>
      </c>
      <c r="R31" s="55">
        <v>0</v>
      </c>
      <c r="S31" s="55">
        <v>0</v>
      </c>
      <c r="T31" s="43">
        <v>0</v>
      </c>
      <c r="U31" s="43">
        <v>0</v>
      </c>
      <c r="V31" s="43">
        <v>0</v>
      </c>
      <c r="W31" s="43">
        <v>0</v>
      </c>
      <c r="X31" s="43">
        <v>0</v>
      </c>
      <c r="Y31" s="59">
        <f t="shared" si="3"/>
        <v>0</v>
      </c>
      <c r="Z31" s="43">
        <v>0</v>
      </c>
      <c r="AA31" s="43">
        <v>0</v>
      </c>
      <c r="AB31" s="60">
        <v>0</v>
      </c>
      <c r="AC31" s="60"/>
      <c r="AD31" s="60"/>
      <c r="AE31" s="60"/>
      <c r="AF31" s="60">
        <f t="shared" si="9"/>
        <v>0</v>
      </c>
      <c r="AG31" s="60"/>
      <c r="AH31" s="64"/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O31" s="7">
        <f t="shared" si="4"/>
        <v>0</v>
      </c>
      <c r="AP31" s="59">
        <f t="shared" si="5"/>
        <v>0</v>
      </c>
      <c r="AQ31" s="59">
        <f t="shared" si="6"/>
        <v>0</v>
      </c>
      <c r="AR31" s="59">
        <f t="shared" si="7"/>
        <v>0</v>
      </c>
      <c r="AS31" s="59">
        <f t="shared" si="8"/>
        <v>0</v>
      </c>
    </row>
    <row r="32" spans="1:45">
      <c r="A32" s="23" t="s">
        <v>637</v>
      </c>
      <c r="B32" s="24" t="s">
        <v>638</v>
      </c>
      <c r="C32" s="18">
        <f>IFERROR(VLOOKUP(A32,'[4]Ayesha Apu Work'!$B:$C,2,FALSE),0)</f>
        <v>0</v>
      </c>
      <c r="D32" s="18">
        <v>0</v>
      </c>
      <c r="E32" s="25"/>
      <c r="F32" s="20">
        <v>257368</v>
      </c>
      <c r="G32" s="25">
        <v>0</v>
      </c>
      <c r="H32" s="25">
        <v>268500</v>
      </c>
      <c r="I32" s="43">
        <v>0</v>
      </c>
      <c r="J32" s="43">
        <v>0</v>
      </c>
      <c r="K32" s="43">
        <v>0</v>
      </c>
      <c r="L32" s="43">
        <v>0</v>
      </c>
      <c r="M32" s="43">
        <v>0</v>
      </c>
      <c r="N32" s="44">
        <f t="shared" si="1"/>
        <v>0</v>
      </c>
      <c r="O32" s="44">
        <v>0</v>
      </c>
      <c r="P32" s="45">
        <f t="shared" si="2"/>
        <v>0</v>
      </c>
      <c r="Q32" s="54">
        <v>0</v>
      </c>
      <c r="R32" s="55">
        <v>0</v>
      </c>
      <c r="S32" s="55">
        <v>0</v>
      </c>
      <c r="T32" s="43">
        <v>0</v>
      </c>
      <c r="U32" s="43">
        <v>0</v>
      </c>
      <c r="V32" s="43">
        <v>0</v>
      </c>
      <c r="W32" s="43">
        <v>0</v>
      </c>
      <c r="X32" s="43">
        <v>0</v>
      </c>
      <c r="Y32" s="59">
        <f t="shared" si="3"/>
        <v>0</v>
      </c>
      <c r="Z32" s="43">
        <v>0</v>
      </c>
      <c r="AA32" s="43">
        <v>0</v>
      </c>
      <c r="AB32" s="60">
        <v>0</v>
      </c>
      <c r="AC32" s="61"/>
      <c r="AD32" s="60"/>
      <c r="AE32" s="61"/>
      <c r="AF32" s="60">
        <f t="shared" si="9"/>
        <v>257368</v>
      </c>
      <c r="AG32" s="60"/>
      <c r="AH32" s="65"/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O32" s="7">
        <f t="shared" si="4"/>
        <v>0</v>
      </c>
      <c r="AP32" s="59">
        <f t="shared" si="5"/>
        <v>0</v>
      </c>
      <c r="AQ32" s="59">
        <f t="shared" si="6"/>
        <v>0</v>
      </c>
      <c r="AR32" s="59">
        <f t="shared" si="7"/>
        <v>0</v>
      </c>
      <c r="AS32" s="59">
        <f t="shared" si="8"/>
        <v>0</v>
      </c>
    </row>
    <row r="33" spans="1:45">
      <c r="A33" s="26" t="s">
        <v>639</v>
      </c>
      <c r="B33" s="18" t="s">
        <v>640</v>
      </c>
      <c r="C33" s="18" t="str">
        <f>IFERROR(VLOOKUP(A33,'[4]Ayesha Apu Work'!$B:$C,2,FALSE),0)</f>
        <v>REGULAR</v>
      </c>
      <c r="D33" s="18" t="s">
        <v>52</v>
      </c>
      <c r="E33" s="19"/>
      <c r="F33" s="20">
        <v>643600</v>
      </c>
      <c r="G33" s="19">
        <v>400000</v>
      </c>
      <c r="H33" s="19">
        <v>537000</v>
      </c>
      <c r="I33" s="43">
        <v>20</v>
      </c>
      <c r="J33" s="43">
        <v>0</v>
      </c>
      <c r="K33" s="43">
        <v>0</v>
      </c>
      <c r="L33" s="43">
        <v>0</v>
      </c>
      <c r="M33" s="43">
        <v>0</v>
      </c>
      <c r="N33" s="44">
        <f t="shared" si="1"/>
        <v>20</v>
      </c>
      <c r="O33" s="44">
        <f>I33*$H$1+J33*$I$1+K33*$J$1+L33*$K$1+M33*$L$1</f>
        <v>278000</v>
      </c>
      <c r="P33" s="45">
        <f t="shared" si="2"/>
        <v>278000</v>
      </c>
      <c r="Q33" s="54">
        <v>0</v>
      </c>
      <c r="R33" s="55">
        <v>0</v>
      </c>
      <c r="S33" s="55">
        <v>0</v>
      </c>
      <c r="T33" s="43">
        <v>0</v>
      </c>
      <c r="U33" s="43">
        <v>0</v>
      </c>
      <c r="V33" s="43">
        <v>0</v>
      </c>
      <c r="W33" s="43">
        <v>0</v>
      </c>
      <c r="X33" s="43">
        <v>0</v>
      </c>
      <c r="Y33" s="59">
        <f t="shared" si="3"/>
        <v>0</v>
      </c>
      <c r="Z33" s="43">
        <v>0</v>
      </c>
      <c r="AA33" s="43">
        <v>0</v>
      </c>
      <c r="AB33" s="60">
        <v>0</v>
      </c>
      <c r="AC33" s="60"/>
      <c r="AD33" s="60"/>
      <c r="AE33" s="60"/>
      <c r="AF33" s="60">
        <f t="shared" si="9"/>
        <v>643600</v>
      </c>
      <c r="AG33" s="60"/>
      <c r="AH33" s="64"/>
      <c r="AI33" s="7">
        <v>350</v>
      </c>
      <c r="AJ33" s="7">
        <v>3500</v>
      </c>
      <c r="AK33" s="7">
        <v>0</v>
      </c>
      <c r="AL33" s="7">
        <v>0</v>
      </c>
      <c r="AM33" s="7">
        <v>0</v>
      </c>
      <c r="AO33" s="7">
        <f t="shared" si="4"/>
        <v>3850</v>
      </c>
      <c r="AP33" s="59">
        <f t="shared" si="5"/>
        <v>20</v>
      </c>
      <c r="AQ33" s="59">
        <f t="shared" si="6"/>
        <v>0</v>
      </c>
      <c r="AR33" s="59">
        <f t="shared" si="7"/>
        <v>1.53846153846154</v>
      </c>
      <c r="AS33" s="59">
        <f t="shared" si="8"/>
        <v>0</v>
      </c>
    </row>
    <row r="34" spans="1:45">
      <c r="A34" s="21" t="s">
        <v>641</v>
      </c>
      <c r="B34" s="18" t="s">
        <v>642</v>
      </c>
      <c r="C34" s="18">
        <f>IFERROR(VLOOKUP(A34,'[4]Ayesha Apu Work'!$B:$C,2,FALSE),0)</f>
        <v>0</v>
      </c>
      <c r="D34" s="18">
        <v>0</v>
      </c>
      <c r="E34" s="19"/>
      <c r="F34" s="20">
        <v>-250</v>
      </c>
      <c r="G34" s="19">
        <v>0</v>
      </c>
      <c r="H34" s="19">
        <v>0</v>
      </c>
      <c r="I34" s="43">
        <v>0</v>
      </c>
      <c r="J34" s="43">
        <v>0</v>
      </c>
      <c r="K34" s="43">
        <v>0</v>
      </c>
      <c r="L34" s="43">
        <v>0</v>
      </c>
      <c r="M34" s="43">
        <v>0</v>
      </c>
      <c r="N34" s="44">
        <f t="shared" si="1"/>
        <v>0</v>
      </c>
      <c r="O34" s="44">
        <v>0</v>
      </c>
      <c r="P34" s="45">
        <f t="shared" si="2"/>
        <v>0</v>
      </c>
      <c r="Q34" s="54">
        <v>0</v>
      </c>
      <c r="R34" s="55">
        <v>0</v>
      </c>
      <c r="S34" s="55">
        <v>0</v>
      </c>
      <c r="T34" s="43">
        <v>0</v>
      </c>
      <c r="U34" s="43">
        <v>0</v>
      </c>
      <c r="V34" s="43">
        <v>0</v>
      </c>
      <c r="W34" s="43">
        <v>0</v>
      </c>
      <c r="X34" s="43">
        <v>0</v>
      </c>
      <c r="Y34" s="59">
        <f t="shared" si="3"/>
        <v>0</v>
      </c>
      <c r="Z34" s="43">
        <v>0</v>
      </c>
      <c r="AA34" s="43">
        <v>0</v>
      </c>
      <c r="AB34" s="60">
        <v>0</v>
      </c>
      <c r="AC34" s="60"/>
      <c r="AD34" s="60"/>
      <c r="AE34" s="60"/>
      <c r="AF34" s="60">
        <f t="shared" si="9"/>
        <v>-250</v>
      </c>
      <c r="AG34" s="60"/>
      <c r="AH34" s="64"/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O34" s="7">
        <f t="shared" si="4"/>
        <v>0</v>
      </c>
      <c r="AP34" s="59">
        <f t="shared" si="5"/>
        <v>0</v>
      </c>
      <c r="AQ34" s="59">
        <f t="shared" si="6"/>
        <v>0</v>
      </c>
      <c r="AR34" s="59">
        <f t="shared" si="7"/>
        <v>0</v>
      </c>
      <c r="AS34" s="59">
        <f t="shared" si="8"/>
        <v>0</v>
      </c>
    </row>
    <row r="35" spans="1:45">
      <c r="A35" s="21" t="s">
        <v>643</v>
      </c>
      <c r="B35" s="27" t="str">
        <f>IFERROR(VLOOKUP(A35,[5]Sales!D:E,2,FALSE),0)</f>
        <v>01458</v>
      </c>
      <c r="C35" s="18">
        <v>0</v>
      </c>
      <c r="D35" s="18">
        <v>0</v>
      </c>
      <c r="E35" s="28"/>
      <c r="F35" s="20">
        <v>-100</v>
      </c>
      <c r="G35" s="19">
        <v>0</v>
      </c>
      <c r="H35" s="19">
        <v>0</v>
      </c>
      <c r="I35" s="43">
        <v>0</v>
      </c>
      <c r="J35" s="43">
        <v>0</v>
      </c>
      <c r="K35" s="43">
        <v>0</v>
      </c>
      <c r="L35" s="43">
        <v>2</v>
      </c>
      <c r="M35" s="43">
        <v>0</v>
      </c>
      <c r="N35" s="44">
        <f t="shared" si="1"/>
        <v>2</v>
      </c>
      <c r="O35" s="44">
        <v>0</v>
      </c>
      <c r="P35" s="45">
        <f t="shared" si="2"/>
        <v>0</v>
      </c>
      <c r="Q35" s="54">
        <v>0</v>
      </c>
      <c r="R35" s="55">
        <v>0</v>
      </c>
      <c r="S35" s="55">
        <v>0</v>
      </c>
      <c r="T35" s="43">
        <v>0</v>
      </c>
      <c r="U35" s="43">
        <v>0</v>
      </c>
      <c r="V35" s="43">
        <v>0</v>
      </c>
      <c r="W35" s="43">
        <v>2</v>
      </c>
      <c r="X35" s="43">
        <v>0</v>
      </c>
      <c r="Y35" s="59">
        <f t="shared" si="3"/>
        <v>2</v>
      </c>
      <c r="Z35" s="43">
        <v>43500</v>
      </c>
      <c r="AA35" s="43">
        <v>42550</v>
      </c>
      <c r="AB35" s="60">
        <v>0</v>
      </c>
      <c r="AC35" s="60"/>
      <c r="AD35" s="60"/>
      <c r="AE35" s="60"/>
      <c r="AF35" s="60">
        <f t="shared" si="9"/>
        <v>850</v>
      </c>
      <c r="AG35" s="60">
        <f>AF35-AO35-H35</f>
        <v>-1325</v>
      </c>
      <c r="AH35" s="64"/>
      <c r="AI35" s="7">
        <v>0</v>
      </c>
      <c r="AJ35" s="7">
        <v>0</v>
      </c>
      <c r="AK35" s="7">
        <v>2175</v>
      </c>
      <c r="AL35" s="7">
        <v>0</v>
      </c>
      <c r="AM35" s="7">
        <v>0</v>
      </c>
      <c r="AO35" s="7">
        <f t="shared" si="4"/>
        <v>2175</v>
      </c>
      <c r="AP35" s="59">
        <f t="shared" si="5"/>
        <v>0</v>
      </c>
      <c r="AQ35" s="59">
        <f t="shared" si="6"/>
        <v>0</v>
      </c>
      <c r="AR35" s="59">
        <f t="shared" si="7"/>
        <v>0</v>
      </c>
      <c r="AS35" s="59">
        <f t="shared" si="8"/>
        <v>0</v>
      </c>
    </row>
    <row r="36" spans="1:45">
      <c r="A36" s="21" t="s">
        <v>644</v>
      </c>
      <c r="B36" s="18" t="s">
        <v>645</v>
      </c>
      <c r="C36" s="18" t="s">
        <v>99</v>
      </c>
      <c r="D36" s="18" t="s">
        <v>2</v>
      </c>
      <c r="E36" s="19"/>
      <c r="F36" s="20">
        <v>32939</v>
      </c>
      <c r="G36" s="19">
        <v>0</v>
      </c>
      <c r="H36" s="19">
        <v>500000</v>
      </c>
      <c r="I36" s="43">
        <v>0</v>
      </c>
      <c r="J36" s="43">
        <v>0</v>
      </c>
      <c r="K36" s="43">
        <v>0</v>
      </c>
      <c r="L36" s="43">
        <v>0</v>
      </c>
      <c r="M36" s="43">
        <v>0</v>
      </c>
      <c r="N36" s="44">
        <f t="shared" si="1"/>
        <v>0</v>
      </c>
      <c r="O36" s="44">
        <f>I36*$H$3+J36*$I$3+K36*$J$3+L36*$K$3+M36*$L$3</f>
        <v>0</v>
      </c>
      <c r="P36" s="45">
        <f t="shared" si="2"/>
        <v>0</v>
      </c>
      <c r="Q36" s="54">
        <v>213750</v>
      </c>
      <c r="R36" s="55">
        <v>0</v>
      </c>
      <c r="S36" s="55">
        <v>0</v>
      </c>
      <c r="T36" s="43">
        <v>0</v>
      </c>
      <c r="U36" s="43">
        <v>0</v>
      </c>
      <c r="V36" s="43">
        <v>0</v>
      </c>
      <c r="W36" s="43">
        <v>0</v>
      </c>
      <c r="X36" s="43">
        <v>0</v>
      </c>
      <c r="Y36" s="59">
        <f t="shared" si="3"/>
        <v>0</v>
      </c>
      <c r="Z36" s="43">
        <v>0</v>
      </c>
      <c r="AA36" s="43">
        <v>0</v>
      </c>
      <c r="AB36" s="60">
        <v>0</v>
      </c>
      <c r="AC36" s="60"/>
      <c r="AD36" s="60"/>
      <c r="AE36" s="60"/>
      <c r="AF36" s="60">
        <f t="shared" si="9"/>
        <v>32939</v>
      </c>
      <c r="AG36" s="60"/>
      <c r="AH36" s="64"/>
      <c r="AI36" s="7">
        <v>3200</v>
      </c>
      <c r="AJ36" s="7">
        <v>0</v>
      </c>
      <c r="AK36" s="7">
        <v>57500</v>
      </c>
      <c r="AL36" s="7">
        <v>0</v>
      </c>
      <c r="AM36" s="7">
        <v>0</v>
      </c>
      <c r="AO36" s="7">
        <f t="shared" si="4"/>
        <v>60700</v>
      </c>
      <c r="AP36" s="59">
        <f t="shared" si="5"/>
        <v>0</v>
      </c>
      <c r="AQ36" s="59">
        <f t="shared" si="6"/>
        <v>0</v>
      </c>
      <c r="AR36" s="59">
        <f t="shared" si="7"/>
        <v>0</v>
      </c>
      <c r="AS36" s="59">
        <f t="shared" si="8"/>
        <v>0</v>
      </c>
    </row>
    <row r="37" spans="1:45">
      <c r="A37" s="21" t="s">
        <v>646</v>
      </c>
      <c r="B37" s="18" t="s">
        <v>647</v>
      </c>
      <c r="C37" s="18" t="s">
        <v>151</v>
      </c>
      <c r="D37" s="18" t="s">
        <v>151</v>
      </c>
      <c r="E37" s="19"/>
      <c r="F37" s="20">
        <v>81500</v>
      </c>
      <c r="G37" s="19"/>
      <c r="H37" s="19"/>
      <c r="I37" s="43">
        <v>50</v>
      </c>
      <c r="J37" s="43">
        <v>0</v>
      </c>
      <c r="K37" s="43">
        <v>0</v>
      </c>
      <c r="L37" s="43">
        <v>0</v>
      </c>
      <c r="M37" s="43">
        <v>0</v>
      </c>
      <c r="N37" s="44">
        <f t="shared" si="1"/>
        <v>50</v>
      </c>
      <c r="O37" s="44">
        <f>I37*$H$4+J37*$I$4+K37*$J$4+L37*$K$4+M37*$L$4</f>
        <v>250000</v>
      </c>
      <c r="P37" s="45">
        <f t="shared" si="2"/>
        <v>250000</v>
      </c>
      <c r="Q37" s="54">
        <v>0</v>
      </c>
      <c r="R37" s="55">
        <v>0</v>
      </c>
      <c r="S37" s="55">
        <v>0</v>
      </c>
      <c r="T37" s="43">
        <v>20</v>
      </c>
      <c r="U37" s="43">
        <v>0</v>
      </c>
      <c r="V37" s="43">
        <v>0</v>
      </c>
      <c r="W37" s="43">
        <v>0</v>
      </c>
      <c r="X37" s="43">
        <v>0</v>
      </c>
      <c r="Y37" s="59">
        <f t="shared" si="3"/>
        <v>20</v>
      </c>
      <c r="Z37" s="43">
        <v>110000</v>
      </c>
      <c r="AA37" s="43">
        <v>0</v>
      </c>
      <c r="AB37" s="60">
        <v>0</v>
      </c>
      <c r="AC37" s="60"/>
      <c r="AD37" s="60"/>
      <c r="AE37" s="60"/>
      <c r="AF37" s="60">
        <f t="shared" si="9"/>
        <v>191500</v>
      </c>
      <c r="AG37" s="60">
        <f>AF37-AO37-H37</f>
        <v>146500</v>
      </c>
      <c r="AH37" s="64"/>
      <c r="AI37" s="7">
        <v>19500</v>
      </c>
      <c r="AJ37" s="7">
        <v>25500</v>
      </c>
      <c r="AK37" s="7">
        <v>0</v>
      </c>
      <c r="AL37" s="7">
        <v>0</v>
      </c>
      <c r="AM37" s="7">
        <v>0</v>
      </c>
      <c r="AO37" s="7">
        <f t="shared" si="4"/>
        <v>45000</v>
      </c>
      <c r="AP37" s="59">
        <f t="shared" si="5"/>
        <v>30</v>
      </c>
      <c r="AQ37" s="59">
        <f t="shared" si="6"/>
        <v>0</v>
      </c>
      <c r="AR37" s="59">
        <f t="shared" si="7"/>
        <v>2.30769230769231</v>
      </c>
      <c r="AS37" s="59">
        <f t="shared" si="8"/>
        <v>0</v>
      </c>
    </row>
    <row r="38" spans="1:45">
      <c r="A38" s="21" t="s">
        <v>648</v>
      </c>
      <c r="B38" s="18" t="s">
        <v>649</v>
      </c>
      <c r="C38" s="18">
        <v>0</v>
      </c>
      <c r="D38" s="18" t="s">
        <v>52</v>
      </c>
      <c r="E38" s="19"/>
      <c r="F38" s="20">
        <v>190319.64</v>
      </c>
      <c r="G38" s="19"/>
      <c r="H38" s="19"/>
      <c r="I38" s="43">
        <v>0</v>
      </c>
      <c r="J38" s="43">
        <v>0</v>
      </c>
      <c r="K38" s="43">
        <v>0</v>
      </c>
      <c r="L38" s="43">
        <v>0</v>
      </c>
      <c r="M38" s="43">
        <v>0</v>
      </c>
      <c r="N38" s="44">
        <f t="shared" si="1"/>
        <v>0</v>
      </c>
      <c r="O38" s="44">
        <f>I38*$H$1+J38*$I$1+K38*$J$1+L38*$K$1+M38*$L$1</f>
        <v>0</v>
      </c>
      <c r="P38" s="45">
        <f t="shared" si="2"/>
        <v>0</v>
      </c>
      <c r="Q38" s="54">
        <v>0</v>
      </c>
      <c r="R38" s="55">
        <v>0</v>
      </c>
      <c r="S38" s="55">
        <v>0</v>
      </c>
      <c r="T38" s="43">
        <v>0</v>
      </c>
      <c r="U38" s="43">
        <v>0</v>
      </c>
      <c r="V38" s="43">
        <v>0</v>
      </c>
      <c r="W38" s="43">
        <v>0</v>
      </c>
      <c r="X38" s="43">
        <v>0</v>
      </c>
      <c r="Y38" s="59">
        <f t="shared" si="3"/>
        <v>0</v>
      </c>
      <c r="Z38" s="43">
        <v>0</v>
      </c>
      <c r="AA38" s="43">
        <v>0</v>
      </c>
      <c r="AB38" s="60">
        <v>0</v>
      </c>
      <c r="AC38" s="60"/>
      <c r="AD38" s="60"/>
      <c r="AE38" s="60"/>
      <c r="AF38" s="60">
        <f t="shared" si="9"/>
        <v>190319.64</v>
      </c>
      <c r="AG38" s="60"/>
      <c r="AH38" s="64"/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O38" s="7">
        <f t="shared" si="4"/>
        <v>0</v>
      </c>
      <c r="AP38" s="59">
        <f t="shared" si="5"/>
        <v>0</v>
      </c>
      <c r="AQ38" s="59">
        <f t="shared" si="6"/>
        <v>0</v>
      </c>
      <c r="AR38" s="59">
        <f t="shared" si="7"/>
        <v>0</v>
      </c>
      <c r="AS38" s="59">
        <f t="shared" si="8"/>
        <v>0</v>
      </c>
    </row>
    <row r="39" spans="1:45">
      <c r="A39" s="21" t="s">
        <v>650</v>
      </c>
      <c r="B39" s="18" t="s">
        <v>651</v>
      </c>
      <c r="C39" s="18" t="s">
        <v>99</v>
      </c>
      <c r="D39" s="18" t="s">
        <v>2</v>
      </c>
      <c r="E39" s="19"/>
      <c r="F39" s="20">
        <v>238340</v>
      </c>
      <c r="G39" s="19">
        <v>0</v>
      </c>
      <c r="H39" s="19">
        <v>210750</v>
      </c>
      <c r="I39" s="43">
        <v>25</v>
      </c>
      <c r="J39" s="43">
        <v>0</v>
      </c>
      <c r="K39" s="43">
        <v>0</v>
      </c>
      <c r="L39" s="43">
        <v>0</v>
      </c>
      <c r="M39" s="43">
        <v>0</v>
      </c>
      <c r="N39" s="44">
        <f t="shared" si="1"/>
        <v>25</v>
      </c>
      <c r="O39" s="44">
        <f>I39*$H$3+J39*$I$3+K39*$J$3+L39*$K$3+M39*$L$3</f>
        <v>343125</v>
      </c>
      <c r="P39" s="45">
        <f t="shared" si="2"/>
        <v>343125</v>
      </c>
      <c r="Q39" s="54">
        <v>261241.754385965</v>
      </c>
      <c r="R39" s="55">
        <v>0</v>
      </c>
      <c r="S39" s="55">
        <v>0</v>
      </c>
      <c r="T39" s="43">
        <v>15</v>
      </c>
      <c r="U39" s="43">
        <v>0</v>
      </c>
      <c r="V39" s="43">
        <v>0</v>
      </c>
      <c r="W39" s="43">
        <v>0</v>
      </c>
      <c r="X39" s="43">
        <v>0</v>
      </c>
      <c r="Y39" s="59">
        <f t="shared" si="3"/>
        <v>15</v>
      </c>
      <c r="Z39" s="43">
        <v>213750</v>
      </c>
      <c r="AA39" s="43">
        <v>0</v>
      </c>
      <c r="AB39" s="60">
        <v>0</v>
      </c>
      <c r="AC39" s="60"/>
      <c r="AD39" s="60"/>
      <c r="AE39" s="60"/>
      <c r="AF39" s="60">
        <f t="shared" si="9"/>
        <v>452090</v>
      </c>
      <c r="AG39" s="60">
        <f>AF39-AO39-H39</f>
        <v>156741.754385965</v>
      </c>
      <c r="AH39" s="64"/>
      <c r="AI39" s="7">
        <v>19000</v>
      </c>
      <c r="AJ39" s="7">
        <v>9500</v>
      </c>
      <c r="AK39" s="7">
        <v>46800</v>
      </c>
      <c r="AL39" s="7">
        <v>3508.77192982456</v>
      </c>
      <c r="AM39" s="7">
        <v>5789.47368421053</v>
      </c>
      <c r="AO39" s="7">
        <f t="shared" si="4"/>
        <v>84598.2456140351</v>
      </c>
      <c r="AP39" s="59">
        <f t="shared" si="5"/>
        <v>10</v>
      </c>
      <c r="AQ39" s="59">
        <f t="shared" si="6"/>
        <v>0</v>
      </c>
      <c r="AR39" s="59">
        <f t="shared" si="7"/>
        <v>0.769230769230769</v>
      </c>
      <c r="AS39" s="59">
        <f t="shared" si="8"/>
        <v>0</v>
      </c>
    </row>
    <row r="40" spans="1:45">
      <c r="A40" s="21" t="s">
        <v>652</v>
      </c>
      <c r="B40" s="18" t="s">
        <v>653</v>
      </c>
      <c r="C40" s="18">
        <v>0</v>
      </c>
      <c r="D40" s="18">
        <v>0</v>
      </c>
      <c r="E40" s="19"/>
      <c r="F40" s="20">
        <v>15</v>
      </c>
      <c r="G40" s="19">
        <v>0</v>
      </c>
      <c r="H40" s="19">
        <v>0</v>
      </c>
      <c r="I40" s="43">
        <v>0</v>
      </c>
      <c r="J40" s="43">
        <v>0</v>
      </c>
      <c r="K40" s="43">
        <v>0</v>
      </c>
      <c r="L40" s="43">
        <v>0</v>
      </c>
      <c r="M40" s="43">
        <v>0</v>
      </c>
      <c r="N40" s="44">
        <f t="shared" si="1"/>
        <v>0</v>
      </c>
      <c r="O40" s="44">
        <v>0</v>
      </c>
      <c r="P40" s="45">
        <f t="shared" si="2"/>
        <v>0</v>
      </c>
      <c r="Q40" s="54">
        <v>0</v>
      </c>
      <c r="R40" s="55">
        <v>0</v>
      </c>
      <c r="S40" s="55">
        <v>0</v>
      </c>
      <c r="T40" s="43">
        <v>0</v>
      </c>
      <c r="U40" s="43">
        <v>0</v>
      </c>
      <c r="V40" s="43">
        <v>0</v>
      </c>
      <c r="W40" s="43">
        <v>0</v>
      </c>
      <c r="X40" s="43">
        <v>0</v>
      </c>
      <c r="Y40" s="59">
        <f t="shared" si="3"/>
        <v>0</v>
      </c>
      <c r="Z40" s="43">
        <v>0</v>
      </c>
      <c r="AA40" s="43">
        <v>0</v>
      </c>
      <c r="AB40" s="60">
        <v>0</v>
      </c>
      <c r="AC40" s="60"/>
      <c r="AD40" s="60"/>
      <c r="AE40" s="60"/>
      <c r="AF40" s="60">
        <f t="shared" si="9"/>
        <v>15</v>
      </c>
      <c r="AG40" s="60"/>
      <c r="AH40" s="64"/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O40" s="7">
        <f t="shared" si="4"/>
        <v>0</v>
      </c>
      <c r="AP40" s="59">
        <f t="shared" si="5"/>
        <v>0</v>
      </c>
      <c r="AQ40" s="59">
        <f t="shared" si="6"/>
        <v>0</v>
      </c>
      <c r="AR40" s="59">
        <f t="shared" si="7"/>
        <v>0</v>
      </c>
      <c r="AS40" s="59">
        <f t="shared" si="8"/>
        <v>0</v>
      </c>
    </row>
    <row r="41" spans="1:45">
      <c r="A41" s="21" t="s">
        <v>654</v>
      </c>
      <c r="B41" s="18" t="s">
        <v>655</v>
      </c>
      <c r="C41" s="18">
        <f>IFERROR(VLOOKUP(A41,'[4]Ayesha Apu Work'!$B:$C,2,FALSE),0)</f>
        <v>0</v>
      </c>
      <c r="D41" s="18">
        <v>0</v>
      </c>
      <c r="E41" s="19"/>
      <c r="F41" s="20">
        <v>-1.88</v>
      </c>
      <c r="G41" s="19">
        <v>0</v>
      </c>
      <c r="H41" s="19">
        <v>0</v>
      </c>
      <c r="I41" s="43">
        <v>0</v>
      </c>
      <c r="J41" s="43">
        <v>0</v>
      </c>
      <c r="K41" s="43">
        <v>0</v>
      </c>
      <c r="L41" s="43">
        <v>0</v>
      </c>
      <c r="M41" s="43">
        <v>0</v>
      </c>
      <c r="N41" s="44">
        <f t="shared" si="1"/>
        <v>0</v>
      </c>
      <c r="O41" s="44">
        <v>0</v>
      </c>
      <c r="P41" s="45">
        <f t="shared" si="2"/>
        <v>0</v>
      </c>
      <c r="Q41" s="54">
        <v>0</v>
      </c>
      <c r="R41" s="55">
        <v>0</v>
      </c>
      <c r="S41" s="55">
        <v>0</v>
      </c>
      <c r="T41" s="43">
        <v>0</v>
      </c>
      <c r="U41" s="43">
        <v>0</v>
      </c>
      <c r="V41" s="43">
        <v>0</v>
      </c>
      <c r="W41" s="43">
        <v>0</v>
      </c>
      <c r="X41" s="43">
        <v>0</v>
      </c>
      <c r="Y41" s="59">
        <f t="shared" si="3"/>
        <v>0</v>
      </c>
      <c r="Z41" s="43">
        <v>0</v>
      </c>
      <c r="AA41" s="43">
        <v>0</v>
      </c>
      <c r="AB41" s="60">
        <v>0</v>
      </c>
      <c r="AC41" s="60"/>
      <c r="AD41" s="60"/>
      <c r="AE41" s="60"/>
      <c r="AF41" s="60">
        <f t="shared" si="9"/>
        <v>-1.88</v>
      </c>
      <c r="AG41" s="60"/>
      <c r="AH41" s="64"/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O41" s="7">
        <f t="shared" si="4"/>
        <v>0</v>
      </c>
      <c r="AP41" s="59">
        <f t="shared" si="5"/>
        <v>0</v>
      </c>
      <c r="AQ41" s="59">
        <f t="shared" si="6"/>
        <v>0</v>
      </c>
      <c r="AR41" s="59">
        <f t="shared" si="7"/>
        <v>0</v>
      </c>
      <c r="AS41" s="59">
        <f t="shared" si="8"/>
        <v>0</v>
      </c>
    </row>
    <row r="42" spans="1:45">
      <c r="A42" s="21" t="s">
        <v>656</v>
      </c>
      <c r="B42" s="18" t="s">
        <v>657</v>
      </c>
      <c r="C42" s="18">
        <f>IFERROR(VLOOKUP(A42,'[4]Ayesha Apu Work'!$B:$C,2,FALSE),0)</f>
        <v>0</v>
      </c>
      <c r="D42" s="18">
        <v>0</v>
      </c>
      <c r="E42" s="19"/>
      <c r="F42" s="20">
        <v>-2235</v>
      </c>
      <c r="G42" s="19">
        <v>0</v>
      </c>
      <c r="H42" s="19">
        <v>0</v>
      </c>
      <c r="I42" s="43">
        <v>0</v>
      </c>
      <c r="J42" s="43">
        <v>0</v>
      </c>
      <c r="K42" s="43">
        <v>0</v>
      </c>
      <c r="L42" s="43">
        <v>0</v>
      </c>
      <c r="M42" s="43">
        <v>0</v>
      </c>
      <c r="N42" s="44">
        <f t="shared" si="1"/>
        <v>0</v>
      </c>
      <c r="O42" s="44">
        <v>0</v>
      </c>
      <c r="P42" s="45">
        <f t="shared" si="2"/>
        <v>0</v>
      </c>
      <c r="Q42" s="54">
        <v>0</v>
      </c>
      <c r="R42" s="55">
        <v>0</v>
      </c>
      <c r="S42" s="55">
        <v>0</v>
      </c>
      <c r="T42" s="43">
        <v>0</v>
      </c>
      <c r="U42" s="43">
        <v>0</v>
      </c>
      <c r="V42" s="43">
        <v>0</v>
      </c>
      <c r="W42" s="43">
        <v>0</v>
      </c>
      <c r="X42" s="43">
        <v>0</v>
      </c>
      <c r="Y42" s="59">
        <f t="shared" si="3"/>
        <v>0</v>
      </c>
      <c r="Z42" s="43">
        <v>0</v>
      </c>
      <c r="AA42" s="43">
        <v>0</v>
      </c>
      <c r="AB42" s="60">
        <v>0</v>
      </c>
      <c r="AC42" s="60"/>
      <c r="AD42" s="60"/>
      <c r="AE42" s="60"/>
      <c r="AF42" s="60">
        <f t="shared" si="9"/>
        <v>-2235</v>
      </c>
      <c r="AG42" s="60"/>
      <c r="AH42" s="64"/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O42" s="7">
        <f t="shared" si="4"/>
        <v>0</v>
      </c>
      <c r="AP42" s="59">
        <f t="shared" si="5"/>
        <v>0</v>
      </c>
      <c r="AQ42" s="59">
        <f t="shared" si="6"/>
        <v>0</v>
      </c>
      <c r="AR42" s="59">
        <f t="shared" si="7"/>
        <v>0</v>
      </c>
      <c r="AS42" s="59">
        <f t="shared" si="8"/>
        <v>0</v>
      </c>
    </row>
    <row r="43" spans="1:45">
      <c r="A43" s="21" t="s">
        <v>658</v>
      </c>
      <c r="B43" s="18" t="s">
        <v>659</v>
      </c>
      <c r="C43" s="18">
        <f>IFERROR(VLOOKUP(A43,'[4]Ayesha Apu Work'!$B:$C,2,FALSE),0)</f>
        <v>0</v>
      </c>
      <c r="D43" s="18">
        <v>0</v>
      </c>
      <c r="E43" s="19"/>
      <c r="F43" s="20">
        <v>1069036.25</v>
      </c>
      <c r="G43" s="19">
        <v>1077436.25</v>
      </c>
      <c r="H43" s="19">
        <v>0</v>
      </c>
      <c r="I43" s="43">
        <v>0</v>
      </c>
      <c r="J43" s="43">
        <v>0</v>
      </c>
      <c r="K43" s="43">
        <v>0</v>
      </c>
      <c r="L43" s="43">
        <v>0</v>
      </c>
      <c r="M43" s="43">
        <v>0</v>
      </c>
      <c r="N43" s="44">
        <f t="shared" si="1"/>
        <v>0</v>
      </c>
      <c r="O43" s="44">
        <v>0</v>
      </c>
      <c r="P43" s="45">
        <f t="shared" si="2"/>
        <v>0</v>
      </c>
      <c r="Q43" s="54">
        <v>0</v>
      </c>
      <c r="R43" s="55">
        <v>0</v>
      </c>
      <c r="S43" s="55">
        <v>0</v>
      </c>
      <c r="T43" s="43">
        <v>0</v>
      </c>
      <c r="U43" s="43">
        <v>0</v>
      </c>
      <c r="V43" s="43">
        <v>0</v>
      </c>
      <c r="W43" s="43">
        <v>0</v>
      </c>
      <c r="X43" s="43">
        <v>0</v>
      </c>
      <c r="Y43" s="59">
        <f t="shared" si="3"/>
        <v>0</v>
      </c>
      <c r="Z43" s="43">
        <v>0</v>
      </c>
      <c r="AA43" s="43">
        <v>0</v>
      </c>
      <c r="AB43" s="60">
        <v>0</v>
      </c>
      <c r="AC43" s="60"/>
      <c r="AD43" s="60"/>
      <c r="AE43" s="60"/>
      <c r="AF43" s="60">
        <f t="shared" si="9"/>
        <v>1069036.25</v>
      </c>
      <c r="AG43" s="60"/>
      <c r="AH43" s="64"/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O43" s="7">
        <f t="shared" si="4"/>
        <v>0</v>
      </c>
      <c r="AP43" s="59">
        <f t="shared" si="5"/>
        <v>0</v>
      </c>
      <c r="AQ43" s="59">
        <f t="shared" si="6"/>
        <v>0</v>
      </c>
      <c r="AR43" s="59">
        <f t="shared" si="7"/>
        <v>0</v>
      </c>
      <c r="AS43" s="59">
        <f t="shared" si="8"/>
        <v>0</v>
      </c>
    </row>
    <row r="44" spans="1:45">
      <c r="A44" s="21" t="s">
        <v>660</v>
      </c>
      <c r="B44" s="18" t="s">
        <v>661</v>
      </c>
      <c r="C44" s="18" t="s">
        <v>99</v>
      </c>
      <c r="D44" s="18" t="s">
        <v>99</v>
      </c>
      <c r="E44" s="19"/>
      <c r="F44" s="20">
        <v>500</v>
      </c>
      <c r="G44" s="19">
        <v>0</v>
      </c>
      <c r="H44" s="19">
        <v>0</v>
      </c>
      <c r="I44" s="43">
        <v>0</v>
      </c>
      <c r="J44" s="43">
        <v>0</v>
      </c>
      <c r="K44" s="43">
        <v>0</v>
      </c>
      <c r="L44" s="43">
        <v>0</v>
      </c>
      <c r="M44" s="43">
        <v>0</v>
      </c>
      <c r="N44" s="44">
        <f t="shared" si="1"/>
        <v>0</v>
      </c>
      <c r="O44" s="44">
        <f>I44*$H$2+J44*$I$2+K44*$J$2+L44*$K$2+M44*$L$2</f>
        <v>0</v>
      </c>
      <c r="P44" s="45">
        <f t="shared" si="2"/>
        <v>0</v>
      </c>
      <c r="Q44" s="54">
        <v>0</v>
      </c>
      <c r="R44" s="55">
        <v>0</v>
      </c>
      <c r="S44" s="55">
        <v>0</v>
      </c>
      <c r="T44" s="43">
        <v>0</v>
      </c>
      <c r="U44" s="43">
        <v>0</v>
      </c>
      <c r="V44" s="43">
        <v>0</v>
      </c>
      <c r="W44" s="43">
        <v>0</v>
      </c>
      <c r="X44" s="43">
        <v>0</v>
      </c>
      <c r="Y44" s="59">
        <f t="shared" si="3"/>
        <v>0</v>
      </c>
      <c r="Z44" s="43">
        <v>0</v>
      </c>
      <c r="AA44" s="43">
        <v>0</v>
      </c>
      <c r="AB44" s="60">
        <v>0</v>
      </c>
      <c r="AC44" s="60"/>
      <c r="AD44" s="60"/>
      <c r="AE44" s="60"/>
      <c r="AF44" s="60">
        <f t="shared" si="9"/>
        <v>500</v>
      </c>
      <c r="AG44" s="60"/>
      <c r="AH44" s="64"/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O44" s="7">
        <f t="shared" si="4"/>
        <v>0</v>
      </c>
      <c r="AP44" s="59">
        <f t="shared" si="5"/>
        <v>0</v>
      </c>
      <c r="AQ44" s="59">
        <f t="shared" si="6"/>
        <v>0</v>
      </c>
      <c r="AR44" s="59">
        <f t="shared" si="7"/>
        <v>0</v>
      </c>
      <c r="AS44" s="59">
        <f t="shared" si="8"/>
        <v>0</v>
      </c>
    </row>
    <row r="45" spans="1:45">
      <c r="A45" s="21" t="s">
        <v>662</v>
      </c>
      <c r="B45" s="27" t="str">
        <f>IFERROR(VLOOKUP(A45,[5]Sales!D:E,2,FALSE),0)</f>
        <v>01457</v>
      </c>
      <c r="C45" s="18">
        <v>0</v>
      </c>
      <c r="D45" s="18" t="s">
        <v>151</v>
      </c>
      <c r="E45" s="28"/>
      <c r="F45" s="20">
        <v>26300</v>
      </c>
      <c r="G45" s="19">
        <v>0</v>
      </c>
      <c r="H45" s="19">
        <v>0</v>
      </c>
      <c r="I45" s="43">
        <v>30</v>
      </c>
      <c r="J45" s="43">
        <v>0</v>
      </c>
      <c r="K45" s="43">
        <v>0</v>
      </c>
      <c r="L45" s="43">
        <v>0</v>
      </c>
      <c r="M45" s="43">
        <v>0</v>
      </c>
      <c r="N45" s="44">
        <f t="shared" si="1"/>
        <v>30</v>
      </c>
      <c r="O45" s="44">
        <f>I45*$H$4+J45*$I$4+K45*$J$4+L45*$K$4+M45*$L$4</f>
        <v>150000</v>
      </c>
      <c r="P45" s="45">
        <f t="shared" si="2"/>
        <v>150000</v>
      </c>
      <c r="Q45" s="54">
        <v>0</v>
      </c>
      <c r="R45" s="55">
        <v>0</v>
      </c>
      <c r="S45" s="55">
        <v>0</v>
      </c>
      <c r="T45" s="43">
        <v>0</v>
      </c>
      <c r="U45" s="43">
        <v>0</v>
      </c>
      <c r="V45" s="43">
        <v>0</v>
      </c>
      <c r="W45" s="43">
        <v>0</v>
      </c>
      <c r="X45" s="43">
        <v>0</v>
      </c>
      <c r="Y45" s="59">
        <f t="shared" si="3"/>
        <v>0</v>
      </c>
      <c r="Z45" s="43">
        <v>0</v>
      </c>
      <c r="AA45" s="43">
        <v>0</v>
      </c>
      <c r="AB45" s="60">
        <v>0</v>
      </c>
      <c r="AC45" s="60"/>
      <c r="AD45" s="60"/>
      <c r="AE45" s="60"/>
      <c r="AF45" s="60">
        <f t="shared" si="9"/>
        <v>26300</v>
      </c>
      <c r="AG45" s="60"/>
      <c r="AH45" s="64"/>
      <c r="AI45" s="7">
        <v>0</v>
      </c>
      <c r="AJ45" s="7">
        <v>9000</v>
      </c>
      <c r="AK45" s="7">
        <v>0</v>
      </c>
      <c r="AL45" s="7">
        <v>0</v>
      </c>
      <c r="AM45" s="7">
        <v>0</v>
      </c>
      <c r="AO45" s="7">
        <f t="shared" si="4"/>
        <v>9000</v>
      </c>
      <c r="AP45" s="59">
        <f t="shared" si="5"/>
        <v>30</v>
      </c>
      <c r="AQ45" s="59">
        <f t="shared" si="6"/>
        <v>0</v>
      </c>
      <c r="AR45" s="59">
        <f t="shared" si="7"/>
        <v>2.30769230769231</v>
      </c>
      <c r="AS45" s="59">
        <f t="shared" si="8"/>
        <v>0</v>
      </c>
    </row>
    <row r="46" spans="1:45">
      <c r="A46" s="21" t="s">
        <v>663</v>
      </c>
      <c r="B46" s="18" t="s">
        <v>664</v>
      </c>
      <c r="C46" s="18">
        <f>IFERROR(VLOOKUP(A46,'[4]Ayesha Apu Work'!$B:$C,2,FALSE),0)</f>
        <v>0</v>
      </c>
      <c r="D46" s="18">
        <v>0</v>
      </c>
      <c r="E46" s="19"/>
      <c r="F46" s="20">
        <v>73032.99</v>
      </c>
      <c r="G46" s="19">
        <v>0</v>
      </c>
      <c r="H46" s="19">
        <v>0</v>
      </c>
      <c r="I46" s="43">
        <v>0</v>
      </c>
      <c r="J46" s="43">
        <v>0</v>
      </c>
      <c r="K46" s="43">
        <v>0</v>
      </c>
      <c r="L46" s="43">
        <v>0</v>
      </c>
      <c r="M46" s="43">
        <v>0</v>
      </c>
      <c r="N46" s="44">
        <f t="shared" si="1"/>
        <v>0</v>
      </c>
      <c r="O46" s="44">
        <v>0</v>
      </c>
      <c r="P46" s="45">
        <f t="shared" si="2"/>
        <v>0</v>
      </c>
      <c r="Q46" s="54">
        <v>0</v>
      </c>
      <c r="R46" s="55">
        <v>0</v>
      </c>
      <c r="S46" s="55">
        <v>0</v>
      </c>
      <c r="T46" s="43">
        <v>0</v>
      </c>
      <c r="U46" s="43">
        <v>0</v>
      </c>
      <c r="V46" s="43">
        <v>0</v>
      </c>
      <c r="W46" s="43">
        <v>0</v>
      </c>
      <c r="X46" s="43">
        <v>0</v>
      </c>
      <c r="Y46" s="59">
        <f t="shared" si="3"/>
        <v>0</v>
      </c>
      <c r="Z46" s="43">
        <v>0</v>
      </c>
      <c r="AA46" s="43">
        <v>0</v>
      </c>
      <c r="AB46" s="60">
        <v>0</v>
      </c>
      <c r="AC46" s="60"/>
      <c r="AD46" s="60"/>
      <c r="AE46" s="60"/>
      <c r="AF46" s="60">
        <f t="shared" si="9"/>
        <v>73032.99</v>
      </c>
      <c r="AG46" s="60"/>
      <c r="AH46" s="64"/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O46" s="7">
        <f t="shared" si="4"/>
        <v>0</v>
      </c>
      <c r="AP46" s="59">
        <f t="shared" si="5"/>
        <v>0</v>
      </c>
      <c r="AQ46" s="59">
        <f t="shared" si="6"/>
        <v>0</v>
      </c>
      <c r="AR46" s="59">
        <f t="shared" si="7"/>
        <v>0</v>
      </c>
      <c r="AS46" s="59">
        <f t="shared" si="8"/>
        <v>0</v>
      </c>
    </row>
    <row r="47" ht="15.15" spans="1:45">
      <c r="A47" s="21" t="s">
        <v>665</v>
      </c>
      <c r="B47" s="176" t="s">
        <v>666</v>
      </c>
      <c r="C47" s="18">
        <v>0</v>
      </c>
      <c r="D47" s="18">
        <v>0</v>
      </c>
      <c r="E47" s="19"/>
      <c r="F47" s="20">
        <v>0.38</v>
      </c>
      <c r="G47" s="19"/>
      <c r="H47" s="19"/>
      <c r="I47" s="43">
        <v>0</v>
      </c>
      <c r="J47" s="43">
        <v>0</v>
      </c>
      <c r="K47" s="43">
        <v>0</v>
      </c>
      <c r="L47" s="43">
        <v>0</v>
      </c>
      <c r="M47" s="43">
        <v>0</v>
      </c>
      <c r="N47" s="44">
        <f t="shared" si="1"/>
        <v>0</v>
      </c>
      <c r="O47" s="44">
        <v>0</v>
      </c>
      <c r="P47" s="45">
        <f t="shared" si="2"/>
        <v>0</v>
      </c>
      <c r="Q47" s="54">
        <v>0</v>
      </c>
      <c r="R47" s="55">
        <v>0</v>
      </c>
      <c r="S47" s="55">
        <v>0</v>
      </c>
      <c r="T47" s="43">
        <v>0</v>
      </c>
      <c r="U47" s="43">
        <v>0</v>
      </c>
      <c r="V47" s="43">
        <v>0</v>
      </c>
      <c r="W47" s="43">
        <v>0</v>
      </c>
      <c r="X47" s="43">
        <v>0</v>
      </c>
      <c r="Y47" s="59">
        <f t="shared" si="3"/>
        <v>0</v>
      </c>
      <c r="Z47" s="43">
        <v>0</v>
      </c>
      <c r="AA47" s="43">
        <v>0</v>
      </c>
      <c r="AB47" s="60">
        <v>0</v>
      </c>
      <c r="AC47" s="60"/>
      <c r="AD47" s="60"/>
      <c r="AE47" s="60"/>
      <c r="AF47" s="60">
        <f t="shared" si="9"/>
        <v>0.38</v>
      </c>
      <c r="AG47" s="60"/>
      <c r="AH47" s="64"/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O47" s="7">
        <f t="shared" si="4"/>
        <v>0</v>
      </c>
      <c r="AP47" s="59">
        <f t="shared" si="5"/>
        <v>0</v>
      </c>
      <c r="AQ47" s="59">
        <f t="shared" si="6"/>
        <v>0</v>
      </c>
      <c r="AR47" s="59">
        <f t="shared" si="7"/>
        <v>0</v>
      </c>
      <c r="AS47" s="59">
        <f t="shared" si="8"/>
        <v>0</v>
      </c>
    </row>
    <row r="48" ht="15.15" spans="1:45">
      <c r="A48" s="29" t="s">
        <v>667</v>
      </c>
      <c r="B48" s="30">
        <v>0</v>
      </c>
      <c r="C48" s="18">
        <v>0</v>
      </c>
      <c r="D48" s="18">
        <v>0</v>
      </c>
      <c r="E48" s="31"/>
      <c r="F48" s="32">
        <f t="shared" ref="F48:AB48" si="10">SUM(F8:F47)</f>
        <v>5759765.19</v>
      </c>
      <c r="G48" s="32">
        <f t="shared" si="10"/>
        <v>1921973.36</v>
      </c>
      <c r="H48" s="32">
        <f t="shared" si="10"/>
        <v>3707250</v>
      </c>
      <c r="I48" s="32">
        <f t="shared" si="10"/>
        <v>185</v>
      </c>
      <c r="J48" s="32">
        <f t="shared" si="10"/>
        <v>0</v>
      </c>
      <c r="K48" s="32">
        <f t="shared" si="10"/>
        <v>0</v>
      </c>
      <c r="L48" s="32">
        <f t="shared" si="10"/>
        <v>2</v>
      </c>
      <c r="M48" s="32">
        <f t="shared" si="10"/>
        <v>0</v>
      </c>
      <c r="N48" s="32">
        <f t="shared" si="10"/>
        <v>187</v>
      </c>
      <c r="O48" s="32">
        <f t="shared" si="10"/>
        <v>1321125</v>
      </c>
      <c r="P48" s="32">
        <f t="shared" si="10"/>
        <v>1321125</v>
      </c>
      <c r="Q48" s="32">
        <f t="shared" si="10"/>
        <v>474991.754385965</v>
      </c>
      <c r="R48" s="32">
        <f t="shared" si="10"/>
        <v>100</v>
      </c>
      <c r="S48" s="32">
        <f t="shared" si="10"/>
        <v>0</v>
      </c>
      <c r="T48" s="32">
        <f>SUM(T8:T47)</f>
        <v>35</v>
      </c>
      <c r="U48" s="32">
        <f>SUM(U8:U47)</f>
        <v>0</v>
      </c>
      <c r="V48" s="32">
        <f>SUM(V8:V47)</f>
        <v>0</v>
      </c>
      <c r="W48" s="32">
        <f>SUM(W8:W47)</f>
        <v>2</v>
      </c>
      <c r="X48" s="32">
        <f>SUM(X8:X47)</f>
        <v>0</v>
      </c>
      <c r="Y48" s="32">
        <f>SUM(Y8:Y47)</f>
        <v>37</v>
      </c>
      <c r="Z48" s="32">
        <f>SUM(Z8:Z47)</f>
        <v>367250</v>
      </c>
      <c r="AA48" s="32">
        <f>SUM(AA8:AA47)</f>
        <v>42550</v>
      </c>
      <c r="AB48" s="32">
        <f>SUM(AB8:AB47)</f>
        <v>0</v>
      </c>
      <c r="AC48" s="32"/>
      <c r="AD48" s="32"/>
      <c r="AE48" s="32"/>
      <c r="AF48" s="32">
        <f>SUM(AF8:AF47)</f>
        <v>6084465.19</v>
      </c>
      <c r="AG48" s="60">
        <f>AF48-AO48-H48</f>
        <v>2064541.94438597</v>
      </c>
      <c r="AH48" s="66"/>
      <c r="AI48" s="32">
        <f>SUM(AI8:AI47)</f>
        <v>63650</v>
      </c>
      <c r="AJ48" s="32">
        <f>SUM(AJ8:AJ47)</f>
        <v>71300</v>
      </c>
      <c r="AK48" s="32">
        <f t="shared" ref="AK48:AQ48" si="11">SUM(AK8:AK47)</f>
        <v>168425</v>
      </c>
      <c r="AL48" s="32">
        <f t="shared" si="11"/>
        <v>3508.77192982456</v>
      </c>
      <c r="AM48" s="32">
        <f t="shared" si="11"/>
        <v>5789.47368421053</v>
      </c>
      <c r="AN48" s="67">
        <f>Y48/N48</f>
        <v>0.197860962566845</v>
      </c>
      <c r="AO48" s="71">
        <f t="shared" si="11"/>
        <v>312673.245614035</v>
      </c>
      <c r="AP48" s="32">
        <f t="shared" si="11"/>
        <v>150</v>
      </c>
      <c r="AQ48" s="32">
        <f t="shared" si="11"/>
        <v>0</v>
      </c>
      <c r="AR48" s="59">
        <f t="shared" si="7"/>
        <v>11.5384615384615</v>
      </c>
      <c r="AS48" s="59">
        <f t="shared" si="8"/>
        <v>0</v>
      </c>
    </row>
    <row r="49" spans="1:45">
      <c r="A49" s="17" t="s">
        <v>668</v>
      </c>
      <c r="B49" s="18" t="s">
        <v>669</v>
      </c>
      <c r="C49" s="18" t="s">
        <v>99</v>
      </c>
      <c r="D49" s="18" t="s">
        <v>99</v>
      </c>
      <c r="E49" s="19"/>
      <c r="F49" s="20">
        <v>537465</v>
      </c>
      <c r="G49" s="19">
        <v>0</v>
      </c>
      <c r="H49" s="19">
        <v>0</v>
      </c>
      <c r="I49" s="43">
        <v>20</v>
      </c>
      <c r="J49" s="43">
        <v>0</v>
      </c>
      <c r="K49" s="43">
        <v>0</v>
      </c>
      <c r="L49" s="43">
        <v>0</v>
      </c>
      <c r="M49" s="43">
        <v>0</v>
      </c>
      <c r="N49" s="44">
        <f t="shared" ref="N49:N74" si="12">SUM(I49:M49)</f>
        <v>20</v>
      </c>
      <c r="O49" s="44">
        <f>I49*$H$2+J49*$I$2+K49*$J$2+L49*$K$2+M49*$L$2</f>
        <v>273000</v>
      </c>
      <c r="P49" s="45">
        <f t="shared" ref="P49:P75" si="13">O49</f>
        <v>273000</v>
      </c>
      <c r="Q49" s="54">
        <v>0</v>
      </c>
      <c r="R49" s="55">
        <v>50</v>
      </c>
      <c r="S49" s="55">
        <v>0</v>
      </c>
      <c r="T49" s="43">
        <v>0</v>
      </c>
      <c r="U49" s="43">
        <v>0</v>
      </c>
      <c r="V49" s="43">
        <v>0</v>
      </c>
      <c r="W49" s="43">
        <v>0</v>
      </c>
      <c r="X49" s="43">
        <v>0</v>
      </c>
      <c r="Y49" s="59">
        <f t="shared" ref="Y49:Y75" si="14">T49+U49+V49+W49+X49</f>
        <v>0</v>
      </c>
      <c r="Z49" s="43">
        <v>0</v>
      </c>
      <c r="AA49" s="43">
        <v>70000</v>
      </c>
      <c r="AB49" s="60">
        <v>0</v>
      </c>
      <c r="AC49" s="43"/>
      <c r="AD49" s="43"/>
      <c r="AE49" s="43"/>
      <c r="AF49" s="60">
        <f t="shared" ref="AF49:AF75" si="15">F49+Z49-AA49-AB49-AC49-AD49-AE49</f>
        <v>467465</v>
      </c>
      <c r="AG49" s="60"/>
      <c r="AH49" s="68"/>
      <c r="AI49" s="7">
        <v>18050</v>
      </c>
      <c r="AJ49" s="7">
        <v>42750</v>
      </c>
      <c r="AK49" s="7">
        <v>47377.08</v>
      </c>
      <c r="AL49" s="7">
        <v>1192.98245614035</v>
      </c>
      <c r="AM49" s="7">
        <v>0</v>
      </c>
      <c r="AO49" s="7">
        <f t="shared" ref="AO49:AO71" si="16">AI49+AJ49+AK49+AL49+AM49</f>
        <v>109370.06245614</v>
      </c>
      <c r="AP49" s="59">
        <f t="shared" si="5"/>
        <v>20</v>
      </c>
      <c r="AQ49" s="59">
        <f t="shared" si="6"/>
        <v>0</v>
      </c>
      <c r="AR49" s="59">
        <f t="shared" si="7"/>
        <v>1.53846153846154</v>
      </c>
      <c r="AS49" s="59">
        <f t="shared" si="8"/>
        <v>0</v>
      </c>
    </row>
    <row r="50" spans="1:45">
      <c r="A50" s="21" t="s">
        <v>670</v>
      </c>
      <c r="B50" s="176" t="s">
        <v>671</v>
      </c>
      <c r="C50" s="18">
        <v>0</v>
      </c>
      <c r="D50" s="18" t="s">
        <v>99</v>
      </c>
      <c r="E50" s="19"/>
      <c r="F50" s="20">
        <v>-20256</v>
      </c>
      <c r="G50" s="19"/>
      <c r="H50" s="19"/>
      <c r="I50" s="43">
        <v>0</v>
      </c>
      <c r="J50" s="43">
        <v>0</v>
      </c>
      <c r="K50" s="43">
        <v>0</v>
      </c>
      <c r="L50" s="43">
        <v>0</v>
      </c>
      <c r="M50" s="43">
        <v>0</v>
      </c>
      <c r="N50" s="44">
        <f t="shared" si="12"/>
        <v>0</v>
      </c>
      <c r="O50" s="44">
        <f>I50*$H$2+J50*$I$2+K50*$J$2+L50*$K$2+M50*$L$2</f>
        <v>0</v>
      </c>
      <c r="P50" s="45">
        <f t="shared" si="13"/>
        <v>0</v>
      </c>
      <c r="Q50" s="54">
        <v>0</v>
      </c>
      <c r="R50" s="55">
        <v>0</v>
      </c>
      <c r="S50" s="55">
        <v>0</v>
      </c>
      <c r="T50" s="43">
        <v>0</v>
      </c>
      <c r="U50" s="43">
        <v>0</v>
      </c>
      <c r="V50" s="43">
        <v>0</v>
      </c>
      <c r="W50" s="43">
        <v>0</v>
      </c>
      <c r="X50" s="43">
        <v>0</v>
      </c>
      <c r="Y50" s="59">
        <f t="shared" si="14"/>
        <v>0</v>
      </c>
      <c r="Z50" s="43">
        <v>0</v>
      </c>
      <c r="AA50" s="43">
        <v>0</v>
      </c>
      <c r="AB50" s="60">
        <v>0</v>
      </c>
      <c r="AC50" s="43"/>
      <c r="AD50" s="43"/>
      <c r="AE50" s="43"/>
      <c r="AF50" s="60">
        <f t="shared" si="15"/>
        <v>-20256</v>
      </c>
      <c r="AG50" s="60"/>
      <c r="AH50" s="7"/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O50" s="7">
        <f t="shared" si="16"/>
        <v>0</v>
      </c>
      <c r="AP50" s="59">
        <f t="shared" si="5"/>
        <v>0</v>
      </c>
      <c r="AQ50" s="59">
        <f t="shared" si="6"/>
        <v>0</v>
      </c>
      <c r="AR50" s="59">
        <f t="shared" si="7"/>
        <v>0</v>
      </c>
      <c r="AS50" s="59">
        <f t="shared" si="8"/>
        <v>0</v>
      </c>
    </row>
    <row r="51" spans="1:45">
      <c r="A51" s="21" t="s">
        <v>672</v>
      </c>
      <c r="B51" s="18" t="s">
        <v>673</v>
      </c>
      <c r="C51" s="18" t="s">
        <v>52</v>
      </c>
      <c r="D51" s="18" t="s">
        <v>52</v>
      </c>
      <c r="E51" s="19"/>
      <c r="F51" s="20">
        <v>523052.42</v>
      </c>
      <c r="G51" s="19">
        <v>400000</v>
      </c>
      <c r="H51" s="19">
        <v>600000</v>
      </c>
      <c r="I51" s="43">
        <v>0</v>
      </c>
      <c r="J51" s="43">
        <v>0</v>
      </c>
      <c r="K51" s="43">
        <v>0</v>
      </c>
      <c r="L51" s="43">
        <v>0</v>
      </c>
      <c r="M51" s="43">
        <v>0</v>
      </c>
      <c r="N51" s="44">
        <f t="shared" si="12"/>
        <v>0</v>
      </c>
      <c r="O51" s="44">
        <f>I51*$H$1+J51*$I$1+K51*$J$1+L51*$K$1+M51*$L$1</f>
        <v>0</v>
      </c>
      <c r="P51" s="45">
        <f t="shared" si="13"/>
        <v>0</v>
      </c>
      <c r="Q51" s="54">
        <v>47604</v>
      </c>
      <c r="R51" s="55">
        <v>0</v>
      </c>
      <c r="S51" s="55">
        <v>0</v>
      </c>
      <c r="T51" s="43">
        <v>0</v>
      </c>
      <c r="U51" s="43">
        <v>0</v>
      </c>
      <c r="V51" s="43">
        <v>0</v>
      </c>
      <c r="W51" s="43">
        <v>0</v>
      </c>
      <c r="X51" s="43">
        <v>0</v>
      </c>
      <c r="Y51" s="59">
        <f t="shared" si="14"/>
        <v>0</v>
      </c>
      <c r="Z51" s="43">
        <v>0</v>
      </c>
      <c r="AA51" s="43">
        <v>0</v>
      </c>
      <c r="AB51" s="60">
        <v>0</v>
      </c>
      <c r="AC51" s="43"/>
      <c r="AD51" s="43"/>
      <c r="AE51" s="43"/>
      <c r="AF51" s="60">
        <f t="shared" si="15"/>
        <v>523052.42</v>
      </c>
      <c r="AG51" s="60"/>
      <c r="AH51" s="69"/>
      <c r="AI51" s="7">
        <v>5500</v>
      </c>
      <c r="AJ51" s="7">
        <v>0</v>
      </c>
      <c r="AK51" s="7">
        <v>9332.79</v>
      </c>
      <c r="AL51" s="7">
        <v>0</v>
      </c>
      <c r="AM51" s="7">
        <v>0</v>
      </c>
      <c r="AO51" s="7">
        <f t="shared" si="16"/>
        <v>14832.79</v>
      </c>
      <c r="AP51" s="59">
        <f t="shared" si="5"/>
        <v>0</v>
      </c>
      <c r="AQ51" s="59">
        <f t="shared" si="6"/>
        <v>0</v>
      </c>
      <c r="AR51" s="59">
        <f t="shared" si="7"/>
        <v>0</v>
      </c>
      <c r="AS51" s="59">
        <f t="shared" si="8"/>
        <v>0</v>
      </c>
    </row>
    <row r="52" spans="1:45">
      <c r="A52" s="26" t="s">
        <v>674</v>
      </c>
      <c r="B52" s="33" t="s">
        <v>675</v>
      </c>
      <c r="C52" s="18" t="s">
        <v>151</v>
      </c>
      <c r="D52" s="18" t="s">
        <v>151</v>
      </c>
      <c r="E52" s="34"/>
      <c r="F52" s="20">
        <v>-5000</v>
      </c>
      <c r="G52" s="19">
        <v>0</v>
      </c>
      <c r="H52" s="19">
        <v>0</v>
      </c>
      <c r="I52" s="43">
        <v>30</v>
      </c>
      <c r="J52" s="43">
        <v>0</v>
      </c>
      <c r="K52" s="43">
        <v>0</v>
      </c>
      <c r="L52" s="43">
        <v>0</v>
      </c>
      <c r="M52" s="43">
        <v>0</v>
      </c>
      <c r="N52" s="44">
        <f t="shared" si="12"/>
        <v>30</v>
      </c>
      <c r="O52" s="44">
        <f>I52*$H$4+J52*$I$4+K52*$J$4+L52*$K$4+M52*$L$4</f>
        <v>150000</v>
      </c>
      <c r="P52" s="45">
        <f t="shared" si="13"/>
        <v>150000</v>
      </c>
      <c r="Q52" s="54">
        <v>55000</v>
      </c>
      <c r="R52" s="55">
        <v>0</v>
      </c>
      <c r="S52" s="55">
        <v>0</v>
      </c>
      <c r="T52" s="43">
        <v>0</v>
      </c>
      <c r="U52" s="43">
        <v>0</v>
      </c>
      <c r="V52" s="43">
        <v>0</v>
      </c>
      <c r="W52" s="43">
        <v>0</v>
      </c>
      <c r="X52" s="43">
        <v>0</v>
      </c>
      <c r="Y52" s="59">
        <f t="shared" si="14"/>
        <v>0</v>
      </c>
      <c r="Z52" s="43">
        <v>0</v>
      </c>
      <c r="AA52" s="43">
        <v>0</v>
      </c>
      <c r="AB52" s="60">
        <v>0</v>
      </c>
      <c r="AC52" s="43"/>
      <c r="AD52" s="43"/>
      <c r="AE52" s="43"/>
      <c r="AF52" s="60">
        <f t="shared" si="15"/>
        <v>-5000</v>
      </c>
      <c r="AG52" s="60"/>
      <c r="AH52" s="69"/>
      <c r="AI52" s="7">
        <v>12000</v>
      </c>
      <c r="AJ52" s="7">
        <v>6000</v>
      </c>
      <c r="AK52" s="7">
        <v>4000</v>
      </c>
      <c r="AL52" s="7">
        <v>0</v>
      </c>
      <c r="AM52" s="7">
        <v>0</v>
      </c>
      <c r="AO52" s="7">
        <f t="shared" si="16"/>
        <v>22000</v>
      </c>
      <c r="AP52" s="59">
        <f t="shared" si="5"/>
        <v>30</v>
      </c>
      <c r="AQ52" s="59">
        <f t="shared" si="6"/>
        <v>0</v>
      </c>
      <c r="AR52" s="59">
        <f t="shared" si="7"/>
        <v>2.30769230769231</v>
      </c>
      <c r="AS52" s="59">
        <f t="shared" si="8"/>
        <v>0</v>
      </c>
    </row>
    <row r="53" spans="1:45">
      <c r="A53" s="21" t="s">
        <v>676</v>
      </c>
      <c r="B53" s="18" t="s">
        <v>677</v>
      </c>
      <c r="C53" s="18">
        <v>0</v>
      </c>
      <c r="D53" s="18">
        <v>0</v>
      </c>
      <c r="E53" s="19"/>
      <c r="F53" s="20">
        <v>439645</v>
      </c>
      <c r="G53" s="19">
        <v>0</v>
      </c>
      <c r="H53" s="19">
        <v>0</v>
      </c>
      <c r="I53" s="43">
        <v>0</v>
      </c>
      <c r="J53" s="43">
        <v>0</v>
      </c>
      <c r="K53" s="43">
        <v>0</v>
      </c>
      <c r="L53" s="43">
        <v>0</v>
      </c>
      <c r="M53" s="43">
        <v>0</v>
      </c>
      <c r="N53" s="44">
        <f t="shared" si="12"/>
        <v>0</v>
      </c>
      <c r="O53" s="44">
        <v>0</v>
      </c>
      <c r="P53" s="45">
        <f t="shared" si="13"/>
        <v>0</v>
      </c>
      <c r="Q53" s="54">
        <v>0</v>
      </c>
      <c r="R53" s="55">
        <v>0</v>
      </c>
      <c r="S53" s="55">
        <v>0</v>
      </c>
      <c r="T53" s="43">
        <v>0</v>
      </c>
      <c r="U53" s="43">
        <v>0</v>
      </c>
      <c r="V53" s="43">
        <v>0</v>
      </c>
      <c r="W53" s="43">
        <v>0</v>
      </c>
      <c r="X53" s="43">
        <v>0</v>
      </c>
      <c r="Y53" s="59">
        <f t="shared" si="14"/>
        <v>0</v>
      </c>
      <c r="Z53" s="43">
        <v>0</v>
      </c>
      <c r="AA53" s="43">
        <v>0</v>
      </c>
      <c r="AB53" s="60">
        <v>0</v>
      </c>
      <c r="AC53" s="43"/>
      <c r="AD53" s="43"/>
      <c r="AE53" s="43"/>
      <c r="AF53" s="60">
        <f t="shared" si="15"/>
        <v>439645</v>
      </c>
      <c r="AG53" s="60"/>
      <c r="AH53" s="7"/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O53" s="7">
        <f t="shared" si="16"/>
        <v>0</v>
      </c>
      <c r="AP53" s="59">
        <f t="shared" si="5"/>
        <v>0</v>
      </c>
      <c r="AQ53" s="59">
        <f t="shared" si="6"/>
        <v>0</v>
      </c>
      <c r="AR53" s="59">
        <f t="shared" si="7"/>
        <v>0</v>
      </c>
      <c r="AS53" s="59">
        <f t="shared" si="8"/>
        <v>0</v>
      </c>
    </row>
    <row r="54" spans="1:45">
      <c r="A54" s="21" t="s">
        <v>678</v>
      </c>
      <c r="B54" s="176" t="s">
        <v>679</v>
      </c>
      <c r="C54" s="18" t="s">
        <v>99</v>
      </c>
      <c r="D54" s="18" t="s">
        <v>99</v>
      </c>
      <c r="E54" s="19"/>
      <c r="F54" s="20">
        <v>261717</v>
      </c>
      <c r="G54" s="19"/>
      <c r="H54" s="19"/>
      <c r="I54" s="43">
        <v>20</v>
      </c>
      <c r="J54" s="43">
        <v>0</v>
      </c>
      <c r="K54" s="43">
        <v>0</v>
      </c>
      <c r="L54" s="43">
        <v>0</v>
      </c>
      <c r="M54" s="43">
        <v>0</v>
      </c>
      <c r="N54" s="44">
        <f t="shared" si="12"/>
        <v>20</v>
      </c>
      <c r="O54" s="44">
        <f>I54*$H$2+J54*$I$2+K54*$J$2+L54*$K$2+M54*$L$2</f>
        <v>273000</v>
      </c>
      <c r="P54" s="45">
        <f t="shared" si="13"/>
        <v>273000</v>
      </c>
      <c r="Q54" s="54">
        <v>158716.6</v>
      </c>
      <c r="R54" s="55">
        <v>0</v>
      </c>
      <c r="S54" s="55">
        <v>0</v>
      </c>
      <c r="T54" s="43">
        <v>10</v>
      </c>
      <c r="U54" s="43">
        <v>0</v>
      </c>
      <c r="V54" s="43">
        <v>0</v>
      </c>
      <c r="W54" s="43">
        <v>0</v>
      </c>
      <c r="X54" s="43">
        <v>0</v>
      </c>
      <c r="Y54" s="59">
        <f t="shared" si="14"/>
        <v>10</v>
      </c>
      <c r="Z54" s="43">
        <v>142500</v>
      </c>
      <c r="AA54" s="43">
        <v>0</v>
      </c>
      <c r="AB54" s="60"/>
      <c r="AC54" s="43"/>
      <c r="AD54" s="43"/>
      <c r="AE54" s="43"/>
      <c r="AF54" s="60">
        <f t="shared" si="15"/>
        <v>404217</v>
      </c>
      <c r="AG54" s="60">
        <f>AF54-AO54-H54</f>
        <v>362106.6</v>
      </c>
      <c r="AH54" s="69"/>
      <c r="AI54" s="7">
        <v>4000</v>
      </c>
      <c r="AJ54" s="7">
        <v>12000</v>
      </c>
      <c r="AK54" s="7">
        <v>26110.4</v>
      </c>
      <c r="AL54" s="7">
        <v>0</v>
      </c>
      <c r="AM54" s="7">
        <v>0</v>
      </c>
      <c r="AO54" s="7">
        <f t="shared" si="16"/>
        <v>42110.4</v>
      </c>
      <c r="AP54" s="59">
        <f t="shared" si="5"/>
        <v>10</v>
      </c>
      <c r="AQ54" s="59">
        <f t="shared" si="6"/>
        <v>0</v>
      </c>
      <c r="AR54" s="59">
        <f t="shared" si="7"/>
        <v>0.769230769230769</v>
      </c>
      <c r="AS54" s="59">
        <f t="shared" si="8"/>
        <v>0</v>
      </c>
    </row>
    <row r="55" spans="1:45">
      <c r="A55" s="21" t="s">
        <v>680</v>
      </c>
      <c r="B55" s="18" t="str">
        <f>IFERROR(VLOOKUP(A55,'[6]Dealer Wise Net Sales Register2'!D:E,2,FALSE),0)</f>
        <v>01539</v>
      </c>
      <c r="C55" s="18">
        <v>0</v>
      </c>
      <c r="D55" s="18">
        <v>0</v>
      </c>
      <c r="E55" s="19"/>
      <c r="F55" s="20">
        <v>-2610</v>
      </c>
      <c r="G55" s="19"/>
      <c r="H55" s="19"/>
      <c r="I55" s="43">
        <v>0</v>
      </c>
      <c r="J55" s="43">
        <v>0</v>
      </c>
      <c r="K55" s="43">
        <v>0</v>
      </c>
      <c r="L55" s="43">
        <v>0</v>
      </c>
      <c r="M55" s="43">
        <v>0</v>
      </c>
      <c r="N55" s="44">
        <f t="shared" si="12"/>
        <v>0</v>
      </c>
      <c r="O55" s="44">
        <v>0</v>
      </c>
      <c r="P55" s="45">
        <f t="shared" si="13"/>
        <v>0</v>
      </c>
      <c r="Q55" s="54">
        <v>0</v>
      </c>
      <c r="R55" s="55">
        <v>50</v>
      </c>
      <c r="S55" s="55">
        <v>0</v>
      </c>
      <c r="T55" s="43">
        <v>0</v>
      </c>
      <c r="U55" s="43">
        <v>0</v>
      </c>
      <c r="V55" s="43">
        <v>0</v>
      </c>
      <c r="W55" s="43">
        <v>0</v>
      </c>
      <c r="X55" s="43">
        <v>0</v>
      </c>
      <c r="Y55" s="59">
        <f t="shared" si="14"/>
        <v>0</v>
      </c>
      <c r="Z55" s="43">
        <v>0</v>
      </c>
      <c r="AA55" s="43">
        <v>0</v>
      </c>
      <c r="AB55" s="60">
        <v>0</v>
      </c>
      <c r="AC55" s="43"/>
      <c r="AD55" s="43"/>
      <c r="AE55" s="43"/>
      <c r="AF55" s="60">
        <f t="shared" si="15"/>
        <v>-2610</v>
      </c>
      <c r="AG55" s="60"/>
      <c r="AH55" s="7"/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O55" s="7">
        <f t="shared" si="16"/>
        <v>0</v>
      </c>
      <c r="AP55" s="59">
        <f t="shared" si="5"/>
        <v>0</v>
      </c>
      <c r="AQ55" s="59">
        <f t="shared" si="6"/>
        <v>0</v>
      </c>
      <c r="AR55" s="59">
        <f t="shared" si="7"/>
        <v>0</v>
      </c>
      <c r="AS55" s="59">
        <f t="shared" si="8"/>
        <v>0</v>
      </c>
    </row>
    <row r="56" spans="1:45">
      <c r="A56" s="21" t="s">
        <v>681</v>
      </c>
      <c r="B56" s="18" t="s">
        <v>682</v>
      </c>
      <c r="C56" s="18" t="s">
        <v>52</v>
      </c>
      <c r="D56" s="18" t="s">
        <v>52</v>
      </c>
      <c r="E56" s="19"/>
      <c r="F56" s="20">
        <v>1037057.24</v>
      </c>
      <c r="G56" s="19">
        <v>500000</v>
      </c>
      <c r="H56" s="19">
        <v>0</v>
      </c>
      <c r="I56" s="43">
        <v>0</v>
      </c>
      <c r="J56" s="43">
        <v>0</v>
      </c>
      <c r="K56" s="43">
        <v>0</v>
      </c>
      <c r="L56" s="43">
        <v>0</v>
      </c>
      <c r="M56" s="43">
        <v>0</v>
      </c>
      <c r="N56" s="44">
        <f t="shared" si="12"/>
        <v>0</v>
      </c>
      <c r="O56" s="44">
        <f>I56*$H$1+J56*$I$1+K56*$J$1+L56*$K$1+M56*$L$1</f>
        <v>0</v>
      </c>
      <c r="P56" s="45">
        <f t="shared" si="13"/>
        <v>0</v>
      </c>
      <c r="Q56" s="54">
        <v>517594.082105263</v>
      </c>
      <c r="R56" s="55">
        <v>0</v>
      </c>
      <c r="S56" s="55">
        <v>0</v>
      </c>
      <c r="T56" s="43">
        <v>0</v>
      </c>
      <c r="U56" s="43">
        <v>0</v>
      </c>
      <c r="V56" s="43">
        <v>0</v>
      </c>
      <c r="W56" s="43">
        <v>0</v>
      </c>
      <c r="X56" s="43">
        <v>0</v>
      </c>
      <c r="Y56" s="59">
        <f t="shared" si="14"/>
        <v>0</v>
      </c>
      <c r="Z56" s="43">
        <v>0</v>
      </c>
      <c r="AA56" s="43">
        <v>0</v>
      </c>
      <c r="AB56" s="60">
        <v>0</v>
      </c>
      <c r="AC56" s="43"/>
      <c r="AD56" s="43"/>
      <c r="AE56" s="43"/>
      <c r="AF56" s="60">
        <f t="shared" si="15"/>
        <v>1037057.24</v>
      </c>
      <c r="AG56" s="60"/>
      <c r="AH56" s="69"/>
      <c r="AI56" s="7">
        <v>0</v>
      </c>
      <c r="AJ56" s="7">
        <v>0</v>
      </c>
      <c r="AK56" s="7">
        <v>13500</v>
      </c>
      <c r="AL56" s="7">
        <v>463.157894736842</v>
      </c>
      <c r="AM56" s="7">
        <v>5500</v>
      </c>
      <c r="AO56" s="7">
        <f t="shared" si="16"/>
        <v>19463.1578947368</v>
      </c>
      <c r="AP56" s="59">
        <f t="shared" si="5"/>
        <v>0</v>
      </c>
      <c r="AQ56" s="59">
        <f t="shared" si="6"/>
        <v>0</v>
      </c>
      <c r="AR56" s="59">
        <f t="shared" si="7"/>
        <v>0</v>
      </c>
      <c r="AS56" s="59">
        <f t="shared" si="8"/>
        <v>0</v>
      </c>
    </row>
    <row r="57" spans="1:45">
      <c r="A57" s="21" t="s">
        <v>683</v>
      </c>
      <c r="B57" s="18" t="s">
        <v>684</v>
      </c>
      <c r="C57" s="18">
        <v>0</v>
      </c>
      <c r="D57" s="18">
        <v>0</v>
      </c>
      <c r="E57" s="19"/>
      <c r="F57" s="20">
        <v>571.63</v>
      </c>
      <c r="G57" s="19">
        <v>0</v>
      </c>
      <c r="H57" s="19">
        <v>0</v>
      </c>
      <c r="I57" s="43">
        <v>0</v>
      </c>
      <c r="J57" s="43">
        <v>0</v>
      </c>
      <c r="K57" s="43">
        <v>0</v>
      </c>
      <c r="L57" s="43">
        <v>0</v>
      </c>
      <c r="M57" s="43">
        <v>0</v>
      </c>
      <c r="N57" s="44">
        <f t="shared" si="12"/>
        <v>0</v>
      </c>
      <c r="O57" s="44">
        <v>0</v>
      </c>
      <c r="P57" s="45">
        <f t="shared" si="13"/>
        <v>0</v>
      </c>
      <c r="Q57" s="54">
        <v>0</v>
      </c>
      <c r="R57" s="55">
        <v>0</v>
      </c>
      <c r="S57" s="55">
        <v>0</v>
      </c>
      <c r="T57" s="43">
        <v>0</v>
      </c>
      <c r="U57" s="43">
        <v>0</v>
      </c>
      <c r="V57" s="43">
        <v>0</v>
      </c>
      <c r="W57" s="43">
        <v>0</v>
      </c>
      <c r="X57" s="43">
        <v>0</v>
      </c>
      <c r="Y57" s="59">
        <f t="shared" si="14"/>
        <v>0</v>
      </c>
      <c r="Z57" s="43">
        <v>0</v>
      </c>
      <c r="AA57" s="43">
        <v>0</v>
      </c>
      <c r="AB57" s="60">
        <v>0</v>
      </c>
      <c r="AC57" s="43"/>
      <c r="AD57" s="43"/>
      <c r="AE57" s="43"/>
      <c r="AF57" s="60">
        <f t="shared" si="15"/>
        <v>571.63</v>
      </c>
      <c r="AG57" s="60"/>
      <c r="AH57" s="7"/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O57" s="7">
        <f t="shared" si="16"/>
        <v>0</v>
      </c>
      <c r="AP57" s="59">
        <f t="shared" si="5"/>
        <v>0</v>
      </c>
      <c r="AQ57" s="59">
        <f t="shared" si="6"/>
        <v>0</v>
      </c>
      <c r="AR57" s="59">
        <f t="shared" si="7"/>
        <v>0</v>
      </c>
      <c r="AS57" s="59">
        <f t="shared" si="8"/>
        <v>0</v>
      </c>
    </row>
    <row r="58" spans="1:45">
      <c r="A58" s="21" t="s">
        <v>685</v>
      </c>
      <c r="B58" s="18" t="s">
        <v>686</v>
      </c>
      <c r="C58" s="18">
        <v>0</v>
      </c>
      <c r="D58" s="18">
        <v>0</v>
      </c>
      <c r="E58" s="19"/>
      <c r="F58" s="20">
        <v>1875</v>
      </c>
      <c r="G58" s="19">
        <v>0</v>
      </c>
      <c r="H58" s="19">
        <v>0</v>
      </c>
      <c r="I58" s="43">
        <v>0</v>
      </c>
      <c r="J58" s="43">
        <v>0</v>
      </c>
      <c r="K58" s="43">
        <v>0</v>
      </c>
      <c r="L58" s="43">
        <v>0</v>
      </c>
      <c r="M58" s="43">
        <v>0</v>
      </c>
      <c r="N58" s="44">
        <f t="shared" si="12"/>
        <v>0</v>
      </c>
      <c r="O58" s="44">
        <v>0</v>
      </c>
      <c r="P58" s="45">
        <f t="shared" si="13"/>
        <v>0</v>
      </c>
      <c r="Q58" s="54">
        <v>0</v>
      </c>
      <c r="R58" s="55">
        <v>0</v>
      </c>
      <c r="S58" s="55">
        <v>0</v>
      </c>
      <c r="T58" s="43">
        <v>0</v>
      </c>
      <c r="U58" s="43">
        <v>0</v>
      </c>
      <c r="V58" s="43">
        <v>0</v>
      </c>
      <c r="W58" s="43">
        <v>0</v>
      </c>
      <c r="X58" s="43">
        <v>0</v>
      </c>
      <c r="Y58" s="59">
        <f t="shared" si="14"/>
        <v>0</v>
      </c>
      <c r="Z58" s="43">
        <v>0</v>
      </c>
      <c r="AA58" s="43">
        <v>0</v>
      </c>
      <c r="AB58" s="60">
        <v>0</v>
      </c>
      <c r="AC58" s="43"/>
      <c r="AD58" s="43"/>
      <c r="AE58" s="43"/>
      <c r="AF58" s="60">
        <f t="shared" si="15"/>
        <v>1875</v>
      </c>
      <c r="AG58" s="60"/>
      <c r="AH58" s="7"/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O58" s="7">
        <f t="shared" si="16"/>
        <v>0</v>
      </c>
      <c r="AP58" s="59">
        <f t="shared" si="5"/>
        <v>0</v>
      </c>
      <c r="AQ58" s="59">
        <f t="shared" si="6"/>
        <v>0</v>
      </c>
      <c r="AR58" s="59">
        <f t="shared" si="7"/>
        <v>0</v>
      </c>
      <c r="AS58" s="59">
        <f t="shared" si="8"/>
        <v>0</v>
      </c>
    </row>
    <row r="59" spans="1:45">
      <c r="A59" s="21" t="s">
        <v>687</v>
      </c>
      <c r="B59" s="18" t="s">
        <v>688</v>
      </c>
      <c r="C59" s="18">
        <v>0</v>
      </c>
      <c r="D59" s="18">
        <v>0</v>
      </c>
      <c r="E59" s="19"/>
      <c r="F59" s="20">
        <v>0</v>
      </c>
      <c r="G59" s="19">
        <v>0</v>
      </c>
      <c r="H59" s="19">
        <v>0</v>
      </c>
      <c r="I59" s="43">
        <v>0</v>
      </c>
      <c r="J59" s="43">
        <v>0</v>
      </c>
      <c r="K59" s="43">
        <v>0</v>
      </c>
      <c r="L59" s="43">
        <v>0</v>
      </c>
      <c r="M59" s="43">
        <v>0</v>
      </c>
      <c r="N59" s="44">
        <f t="shared" si="12"/>
        <v>0</v>
      </c>
      <c r="O59" s="44">
        <v>0</v>
      </c>
      <c r="P59" s="45">
        <f t="shared" si="13"/>
        <v>0</v>
      </c>
      <c r="Q59" s="54">
        <v>0</v>
      </c>
      <c r="R59" s="55">
        <v>0</v>
      </c>
      <c r="S59" s="55">
        <v>0</v>
      </c>
      <c r="T59" s="43">
        <v>0</v>
      </c>
      <c r="U59" s="43">
        <v>0</v>
      </c>
      <c r="V59" s="43">
        <v>0</v>
      </c>
      <c r="W59" s="43">
        <v>0</v>
      </c>
      <c r="X59" s="43">
        <v>0</v>
      </c>
      <c r="Y59" s="59">
        <f t="shared" si="14"/>
        <v>0</v>
      </c>
      <c r="Z59" s="43">
        <v>0</v>
      </c>
      <c r="AA59" s="43">
        <v>0</v>
      </c>
      <c r="AB59" s="60">
        <v>0</v>
      </c>
      <c r="AC59" s="43"/>
      <c r="AD59" s="43"/>
      <c r="AE59" s="43"/>
      <c r="AF59" s="60">
        <f t="shared" si="15"/>
        <v>0</v>
      </c>
      <c r="AG59" s="60"/>
      <c r="AH59" s="7"/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O59" s="7">
        <f t="shared" si="16"/>
        <v>0</v>
      </c>
      <c r="AP59" s="59">
        <f t="shared" si="5"/>
        <v>0</v>
      </c>
      <c r="AQ59" s="59">
        <f t="shared" si="6"/>
        <v>0</v>
      </c>
      <c r="AR59" s="59">
        <f t="shared" si="7"/>
        <v>0</v>
      </c>
      <c r="AS59" s="59">
        <f t="shared" si="8"/>
        <v>0</v>
      </c>
    </row>
    <row r="60" spans="1:45">
      <c r="A60" s="21" t="s">
        <v>689</v>
      </c>
      <c r="B60" s="18" t="s">
        <v>690</v>
      </c>
      <c r="C60" s="18">
        <v>0</v>
      </c>
      <c r="D60" s="18">
        <v>0</v>
      </c>
      <c r="E60" s="19"/>
      <c r="F60" s="20">
        <v>215340</v>
      </c>
      <c r="G60" s="19">
        <v>238840</v>
      </c>
      <c r="H60" s="19">
        <v>0</v>
      </c>
      <c r="I60" s="43">
        <v>0</v>
      </c>
      <c r="J60" s="43">
        <v>0</v>
      </c>
      <c r="K60" s="43">
        <v>0</v>
      </c>
      <c r="L60" s="43">
        <v>0</v>
      </c>
      <c r="M60" s="43">
        <v>0</v>
      </c>
      <c r="N60" s="44">
        <f t="shared" si="12"/>
        <v>0</v>
      </c>
      <c r="O60" s="44">
        <v>0</v>
      </c>
      <c r="P60" s="45">
        <f t="shared" si="13"/>
        <v>0</v>
      </c>
      <c r="Q60" s="54">
        <v>0</v>
      </c>
      <c r="R60" s="55">
        <v>0</v>
      </c>
      <c r="S60" s="55">
        <v>0</v>
      </c>
      <c r="T60" s="43">
        <v>0</v>
      </c>
      <c r="U60" s="43">
        <v>0</v>
      </c>
      <c r="V60" s="43">
        <v>0</v>
      </c>
      <c r="W60" s="43">
        <v>0</v>
      </c>
      <c r="X60" s="43">
        <v>0</v>
      </c>
      <c r="Y60" s="59">
        <f t="shared" si="14"/>
        <v>0</v>
      </c>
      <c r="Z60" s="43">
        <v>0</v>
      </c>
      <c r="AA60" s="43">
        <v>0</v>
      </c>
      <c r="AB60" s="60">
        <v>0</v>
      </c>
      <c r="AC60" s="43"/>
      <c r="AD60" s="43"/>
      <c r="AE60" s="43"/>
      <c r="AF60" s="60">
        <f t="shared" si="15"/>
        <v>215340</v>
      </c>
      <c r="AG60" s="60"/>
      <c r="AH60" s="7"/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O60" s="7">
        <f t="shared" si="16"/>
        <v>0</v>
      </c>
      <c r="AP60" s="59">
        <f t="shared" si="5"/>
        <v>0</v>
      </c>
      <c r="AQ60" s="59">
        <f t="shared" si="6"/>
        <v>0</v>
      </c>
      <c r="AR60" s="59">
        <f t="shared" si="7"/>
        <v>0</v>
      </c>
      <c r="AS60" s="59">
        <f t="shared" si="8"/>
        <v>0</v>
      </c>
    </row>
    <row r="61" spans="1:45">
      <c r="A61" s="21" t="s">
        <v>691</v>
      </c>
      <c r="B61" s="18" t="s">
        <v>692</v>
      </c>
      <c r="C61" s="18">
        <v>0</v>
      </c>
      <c r="D61" s="18">
        <v>0</v>
      </c>
      <c r="E61" s="19"/>
      <c r="F61" s="20">
        <v>0</v>
      </c>
      <c r="G61" s="19">
        <v>0</v>
      </c>
      <c r="H61" s="19">
        <v>0</v>
      </c>
      <c r="I61" s="43">
        <v>0</v>
      </c>
      <c r="J61" s="43">
        <v>0</v>
      </c>
      <c r="K61" s="43">
        <v>0</v>
      </c>
      <c r="L61" s="43">
        <v>0</v>
      </c>
      <c r="M61" s="43">
        <v>0</v>
      </c>
      <c r="N61" s="44">
        <f t="shared" si="12"/>
        <v>0</v>
      </c>
      <c r="O61" s="44">
        <v>0</v>
      </c>
      <c r="P61" s="45">
        <f t="shared" si="13"/>
        <v>0</v>
      </c>
      <c r="Q61" s="54">
        <v>0</v>
      </c>
      <c r="R61" s="55">
        <v>0</v>
      </c>
      <c r="S61" s="55">
        <v>0</v>
      </c>
      <c r="T61" s="43">
        <v>0</v>
      </c>
      <c r="U61" s="43">
        <v>0</v>
      </c>
      <c r="V61" s="43">
        <v>0</v>
      </c>
      <c r="W61" s="43">
        <v>0</v>
      </c>
      <c r="X61" s="43">
        <v>0</v>
      </c>
      <c r="Y61" s="59">
        <f t="shared" si="14"/>
        <v>0</v>
      </c>
      <c r="Z61" s="43">
        <v>0</v>
      </c>
      <c r="AA61" s="43">
        <v>0</v>
      </c>
      <c r="AB61" s="60">
        <v>0</v>
      </c>
      <c r="AC61" s="43"/>
      <c r="AD61" s="43"/>
      <c r="AE61" s="43"/>
      <c r="AF61" s="60">
        <f t="shared" si="15"/>
        <v>0</v>
      </c>
      <c r="AG61" s="60"/>
      <c r="AH61" s="7"/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O61" s="7">
        <f t="shared" si="16"/>
        <v>0</v>
      </c>
      <c r="AP61" s="59">
        <f t="shared" si="5"/>
        <v>0</v>
      </c>
      <c r="AQ61" s="59">
        <f t="shared" si="6"/>
        <v>0</v>
      </c>
      <c r="AR61" s="59">
        <f t="shared" si="7"/>
        <v>0</v>
      </c>
      <c r="AS61" s="59">
        <f t="shared" si="8"/>
        <v>0</v>
      </c>
    </row>
    <row r="62" spans="1:45">
      <c r="A62" s="26" t="s">
        <v>693</v>
      </c>
      <c r="B62" s="18" t="s">
        <v>694</v>
      </c>
      <c r="C62" s="18" t="s">
        <v>99</v>
      </c>
      <c r="D62" s="18" t="s">
        <v>99</v>
      </c>
      <c r="E62" s="19"/>
      <c r="F62" s="20">
        <v>821657.76</v>
      </c>
      <c r="G62" s="19">
        <v>300000</v>
      </c>
      <c r="H62" s="19">
        <v>300000</v>
      </c>
      <c r="I62" s="43">
        <v>60</v>
      </c>
      <c r="J62" s="43">
        <v>0</v>
      </c>
      <c r="K62" s="43">
        <v>0</v>
      </c>
      <c r="L62" s="43">
        <v>0</v>
      </c>
      <c r="M62" s="43">
        <v>0</v>
      </c>
      <c r="N62" s="44">
        <f t="shared" si="12"/>
        <v>60</v>
      </c>
      <c r="O62" s="44">
        <f>I62*$H$2+J62*$I$2+K62*$J$2+L62*$K$2+M62*$L$2</f>
        <v>819000</v>
      </c>
      <c r="P62" s="45">
        <f t="shared" si="13"/>
        <v>819000</v>
      </c>
      <c r="Q62" s="54">
        <v>105793.724912281</v>
      </c>
      <c r="R62" s="55">
        <v>75</v>
      </c>
      <c r="S62" s="55">
        <v>0</v>
      </c>
      <c r="T62" s="43">
        <v>50</v>
      </c>
      <c r="U62" s="43">
        <v>0</v>
      </c>
      <c r="V62" s="43">
        <v>12</v>
      </c>
      <c r="W62" s="43">
        <v>0</v>
      </c>
      <c r="X62" s="43">
        <v>0</v>
      </c>
      <c r="Y62" s="59">
        <f t="shared" si="14"/>
        <v>62</v>
      </c>
      <c r="Z62" s="43">
        <v>852900</v>
      </c>
      <c r="AA62" s="43">
        <v>150000</v>
      </c>
      <c r="AB62" s="60">
        <v>0</v>
      </c>
      <c r="AC62" s="43"/>
      <c r="AD62" s="43"/>
      <c r="AE62" s="43"/>
      <c r="AF62" s="60">
        <f t="shared" si="15"/>
        <v>1524557.76</v>
      </c>
      <c r="AG62" s="60">
        <f>AF62-AO62-H62</f>
        <v>984943.724912281</v>
      </c>
      <c r="AH62" s="69"/>
      <c r="AI62" s="7">
        <v>28500</v>
      </c>
      <c r="AJ62" s="7">
        <v>56250</v>
      </c>
      <c r="AK62" s="7">
        <v>131250</v>
      </c>
      <c r="AL62" s="7">
        <v>2385.9649122807</v>
      </c>
      <c r="AM62" s="7">
        <v>21228.0701754386</v>
      </c>
      <c r="AO62" s="7">
        <f t="shared" si="16"/>
        <v>239614.035087719</v>
      </c>
      <c r="AP62" s="59">
        <f t="shared" si="5"/>
        <v>10</v>
      </c>
      <c r="AQ62" s="59">
        <f t="shared" si="6"/>
        <v>-12</v>
      </c>
      <c r="AR62" s="59">
        <f t="shared" si="7"/>
        <v>0.769230769230769</v>
      </c>
      <c r="AS62" s="59">
        <f t="shared" si="8"/>
        <v>-0.923076923076923</v>
      </c>
    </row>
    <row r="63" spans="1:45">
      <c r="A63" s="21" t="s">
        <v>695</v>
      </c>
      <c r="B63" s="33" t="s">
        <v>696</v>
      </c>
      <c r="C63" s="18">
        <v>0</v>
      </c>
      <c r="D63" s="18">
        <v>0</v>
      </c>
      <c r="E63" s="34"/>
      <c r="F63" s="20">
        <v>200</v>
      </c>
      <c r="G63" s="19">
        <v>0</v>
      </c>
      <c r="H63" s="19">
        <v>0</v>
      </c>
      <c r="I63" s="43">
        <v>0</v>
      </c>
      <c r="J63" s="43">
        <v>0</v>
      </c>
      <c r="K63" s="43">
        <v>0</v>
      </c>
      <c r="L63" s="43">
        <v>0</v>
      </c>
      <c r="M63" s="43">
        <v>0</v>
      </c>
      <c r="N63" s="44">
        <f t="shared" si="12"/>
        <v>0</v>
      </c>
      <c r="O63" s="44">
        <v>0</v>
      </c>
      <c r="P63" s="45">
        <f t="shared" si="13"/>
        <v>0</v>
      </c>
      <c r="Q63" s="54">
        <v>0</v>
      </c>
      <c r="R63" s="55">
        <v>0</v>
      </c>
      <c r="S63" s="55">
        <v>0</v>
      </c>
      <c r="T63" s="43">
        <v>0</v>
      </c>
      <c r="U63" s="43">
        <v>0</v>
      </c>
      <c r="V63" s="43">
        <v>0</v>
      </c>
      <c r="W63" s="43">
        <v>0</v>
      </c>
      <c r="X63" s="43">
        <v>0</v>
      </c>
      <c r="Y63" s="59">
        <f t="shared" si="14"/>
        <v>0</v>
      </c>
      <c r="Z63" s="43">
        <v>0</v>
      </c>
      <c r="AA63" s="43">
        <v>0</v>
      </c>
      <c r="AB63" s="60">
        <v>0</v>
      </c>
      <c r="AC63" s="43"/>
      <c r="AD63" s="43"/>
      <c r="AE63" s="43"/>
      <c r="AF63" s="60">
        <f t="shared" si="15"/>
        <v>200</v>
      </c>
      <c r="AG63" s="60"/>
      <c r="AH63" s="7"/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O63" s="7">
        <f t="shared" si="16"/>
        <v>0</v>
      </c>
      <c r="AP63" s="59">
        <f t="shared" si="5"/>
        <v>0</v>
      </c>
      <c r="AQ63" s="59">
        <f t="shared" si="6"/>
        <v>0</v>
      </c>
      <c r="AR63" s="59">
        <f t="shared" si="7"/>
        <v>0</v>
      </c>
      <c r="AS63" s="59">
        <f t="shared" si="8"/>
        <v>0</v>
      </c>
    </row>
    <row r="64" spans="1:45">
      <c r="A64" s="21" t="s">
        <v>697</v>
      </c>
      <c r="B64" s="18" t="s">
        <v>698</v>
      </c>
      <c r="C64" s="18">
        <v>0</v>
      </c>
      <c r="D64" s="18">
        <v>0</v>
      </c>
      <c r="E64" s="19"/>
      <c r="F64" s="20">
        <v>-147.6</v>
      </c>
      <c r="G64" s="19">
        <v>0</v>
      </c>
      <c r="H64" s="19">
        <v>0</v>
      </c>
      <c r="I64" s="43">
        <v>0</v>
      </c>
      <c r="J64" s="43">
        <v>0</v>
      </c>
      <c r="K64" s="43">
        <v>0</v>
      </c>
      <c r="L64" s="43">
        <v>0</v>
      </c>
      <c r="M64" s="43">
        <v>0</v>
      </c>
      <c r="N64" s="44">
        <f t="shared" si="12"/>
        <v>0</v>
      </c>
      <c r="O64" s="44">
        <v>0</v>
      </c>
      <c r="P64" s="45">
        <f t="shared" si="13"/>
        <v>0</v>
      </c>
      <c r="Q64" s="54">
        <v>0</v>
      </c>
      <c r="R64" s="55">
        <v>0</v>
      </c>
      <c r="S64" s="55">
        <v>0</v>
      </c>
      <c r="T64" s="43">
        <v>0</v>
      </c>
      <c r="U64" s="43">
        <v>0</v>
      </c>
      <c r="V64" s="43">
        <v>0</v>
      </c>
      <c r="W64" s="43">
        <v>0</v>
      </c>
      <c r="X64" s="43">
        <v>0</v>
      </c>
      <c r="Y64" s="59">
        <f t="shared" si="14"/>
        <v>0</v>
      </c>
      <c r="Z64" s="43">
        <v>0</v>
      </c>
      <c r="AA64" s="43">
        <v>0</v>
      </c>
      <c r="AB64" s="60">
        <v>0</v>
      </c>
      <c r="AC64" s="43"/>
      <c r="AD64" s="43"/>
      <c r="AE64" s="43"/>
      <c r="AF64" s="60">
        <f t="shared" si="15"/>
        <v>-147.6</v>
      </c>
      <c r="AG64" s="60"/>
      <c r="AH64" s="7"/>
      <c r="AI64" s="7">
        <v>0</v>
      </c>
      <c r="AJ64" s="7">
        <v>0</v>
      </c>
      <c r="AK64" s="7">
        <v>0</v>
      </c>
      <c r="AL64" s="7">
        <v>0</v>
      </c>
      <c r="AM64" s="7">
        <v>0</v>
      </c>
      <c r="AO64" s="7">
        <f t="shared" si="16"/>
        <v>0</v>
      </c>
      <c r="AP64" s="59">
        <f t="shared" si="5"/>
        <v>0</v>
      </c>
      <c r="AQ64" s="59">
        <f t="shared" si="6"/>
        <v>0</v>
      </c>
      <c r="AR64" s="59">
        <f t="shared" si="7"/>
        <v>0</v>
      </c>
      <c r="AS64" s="59">
        <f t="shared" si="8"/>
        <v>0</v>
      </c>
    </row>
    <row r="65" spans="1:45">
      <c r="A65" s="21" t="s">
        <v>699</v>
      </c>
      <c r="B65" s="18" t="s">
        <v>700</v>
      </c>
      <c r="C65" s="18">
        <v>0</v>
      </c>
      <c r="D65" s="18">
        <v>0</v>
      </c>
      <c r="E65" s="19"/>
      <c r="F65" s="20">
        <v>50925</v>
      </c>
      <c r="G65" s="19">
        <v>0</v>
      </c>
      <c r="H65" s="19">
        <v>0</v>
      </c>
      <c r="I65" s="43">
        <v>0</v>
      </c>
      <c r="J65" s="43">
        <v>0</v>
      </c>
      <c r="K65" s="43">
        <v>0</v>
      </c>
      <c r="L65" s="43">
        <v>0</v>
      </c>
      <c r="M65" s="43">
        <v>0</v>
      </c>
      <c r="N65" s="44">
        <f t="shared" si="12"/>
        <v>0</v>
      </c>
      <c r="O65" s="44">
        <v>0</v>
      </c>
      <c r="P65" s="45">
        <f t="shared" si="13"/>
        <v>0</v>
      </c>
      <c r="Q65" s="54">
        <v>0</v>
      </c>
      <c r="R65" s="55">
        <v>0</v>
      </c>
      <c r="S65" s="55">
        <v>0</v>
      </c>
      <c r="T65" s="43">
        <v>0</v>
      </c>
      <c r="U65" s="43">
        <v>0</v>
      </c>
      <c r="V65" s="43">
        <v>0</v>
      </c>
      <c r="W65" s="43">
        <v>0</v>
      </c>
      <c r="X65" s="43">
        <v>0</v>
      </c>
      <c r="Y65" s="59">
        <f t="shared" si="14"/>
        <v>0</v>
      </c>
      <c r="Z65" s="43">
        <v>0</v>
      </c>
      <c r="AA65" s="43">
        <v>0</v>
      </c>
      <c r="AB65" s="60">
        <v>0</v>
      </c>
      <c r="AC65" s="43"/>
      <c r="AD65" s="43"/>
      <c r="AE65" s="43"/>
      <c r="AF65" s="60">
        <f t="shared" si="15"/>
        <v>50925</v>
      </c>
      <c r="AG65" s="60"/>
      <c r="AH65" s="7"/>
      <c r="AI65" s="7">
        <v>0</v>
      </c>
      <c r="AJ65" s="7">
        <v>0</v>
      </c>
      <c r="AK65" s="7">
        <v>0</v>
      </c>
      <c r="AL65" s="7">
        <v>0</v>
      </c>
      <c r="AM65" s="7">
        <v>0</v>
      </c>
      <c r="AO65" s="7">
        <f t="shared" si="16"/>
        <v>0</v>
      </c>
      <c r="AP65" s="59">
        <f t="shared" si="5"/>
        <v>0</v>
      </c>
      <c r="AQ65" s="59">
        <f t="shared" si="6"/>
        <v>0</v>
      </c>
      <c r="AR65" s="59">
        <f t="shared" si="7"/>
        <v>0</v>
      </c>
      <c r="AS65" s="59">
        <f t="shared" si="8"/>
        <v>0</v>
      </c>
    </row>
    <row r="66" spans="1:45">
      <c r="A66" s="21" t="s">
        <v>701</v>
      </c>
      <c r="B66" s="18" t="s">
        <v>702</v>
      </c>
      <c r="C66" s="18">
        <v>0</v>
      </c>
      <c r="D66" s="18">
        <v>0</v>
      </c>
      <c r="E66" s="19"/>
      <c r="F66" s="20">
        <v>0.2</v>
      </c>
      <c r="G66" s="19">
        <v>0</v>
      </c>
      <c r="H66" s="19">
        <v>0</v>
      </c>
      <c r="I66" s="43">
        <v>0</v>
      </c>
      <c r="J66" s="43">
        <v>0</v>
      </c>
      <c r="K66" s="43">
        <v>0</v>
      </c>
      <c r="L66" s="43">
        <v>0</v>
      </c>
      <c r="M66" s="43">
        <v>0</v>
      </c>
      <c r="N66" s="44">
        <f t="shared" si="12"/>
        <v>0</v>
      </c>
      <c r="O66" s="44">
        <v>0</v>
      </c>
      <c r="P66" s="45">
        <f t="shared" si="13"/>
        <v>0</v>
      </c>
      <c r="Q66" s="54">
        <v>0</v>
      </c>
      <c r="R66" s="55">
        <v>0</v>
      </c>
      <c r="S66" s="55">
        <v>0</v>
      </c>
      <c r="T66" s="43">
        <v>0</v>
      </c>
      <c r="U66" s="43">
        <v>0</v>
      </c>
      <c r="V66" s="43">
        <v>0</v>
      </c>
      <c r="W66" s="43">
        <v>0</v>
      </c>
      <c r="X66" s="43">
        <v>0</v>
      </c>
      <c r="Y66" s="59">
        <f t="shared" si="14"/>
        <v>0</v>
      </c>
      <c r="Z66" s="43">
        <v>0</v>
      </c>
      <c r="AA66" s="43">
        <v>0</v>
      </c>
      <c r="AB66" s="60">
        <v>0</v>
      </c>
      <c r="AC66" s="43"/>
      <c r="AD66" s="43"/>
      <c r="AE66" s="43"/>
      <c r="AF66" s="60">
        <f t="shared" si="15"/>
        <v>0.2</v>
      </c>
      <c r="AG66" s="60"/>
      <c r="AH66" s="7"/>
      <c r="AI66" s="7">
        <v>0</v>
      </c>
      <c r="AJ66" s="7">
        <v>0</v>
      </c>
      <c r="AK66" s="7">
        <v>0</v>
      </c>
      <c r="AL66" s="7">
        <v>0</v>
      </c>
      <c r="AM66" s="7">
        <v>0</v>
      </c>
      <c r="AO66" s="7">
        <f t="shared" si="16"/>
        <v>0</v>
      </c>
      <c r="AP66" s="59">
        <f t="shared" si="5"/>
        <v>0</v>
      </c>
      <c r="AQ66" s="59">
        <f t="shared" si="6"/>
        <v>0</v>
      </c>
      <c r="AR66" s="59">
        <f t="shared" si="7"/>
        <v>0</v>
      </c>
      <c r="AS66" s="59">
        <f t="shared" si="8"/>
        <v>0</v>
      </c>
    </row>
    <row r="67" spans="1:45">
      <c r="A67" s="21" t="s">
        <v>703</v>
      </c>
      <c r="B67" s="176" t="s">
        <v>704</v>
      </c>
      <c r="C67" s="18">
        <v>0</v>
      </c>
      <c r="D67" s="18">
        <v>0</v>
      </c>
      <c r="E67" s="19"/>
      <c r="F67" s="20">
        <v>-4000</v>
      </c>
      <c r="G67" s="19"/>
      <c r="H67" s="19"/>
      <c r="I67" s="43">
        <v>0</v>
      </c>
      <c r="J67" s="43">
        <v>0</v>
      </c>
      <c r="K67" s="43">
        <v>0</v>
      </c>
      <c r="L67" s="43">
        <v>0</v>
      </c>
      <c r="M67" s="43">
        <v>0</v>
      </c>
      <c r="N67" s="44">
        <f t="shared" si="12"/>
        <v>0</v>
      </c>
      <c r="O67" s="44">
        <v>0</v>
      </c>
      <c r="P67" s="45">
        <f t="shared" si="13"/>
        <v>0</v>
      </c>
      <c r="Q67" s="54">
        <v>0</v>
      </c>
      <c r="R67" s="55">
        <v>0</v>
      </c>
      <c r="S67" s="55">
        <v>0</v>
      </c>
      <c r="T67" s="43">
        <v>0</v>
      </c>
      <c r="U67" s="43">
        <v>0</v>
      </c>
      <c r="V67" s="43">
        <v>0</v>
      </c>
      <c r="W67" s="43">
        <v>0</v>
      </c>
      <c r="X67" s="43">
        <v>0</v>
      </c>
      <c r="Y67" s="59">
        <f t="shared" si="14"/>
        <v>0</v>
      </c>
      <c r="Z67" s="43">
        <v>0</v>
      </c>
      <c r="AA67" s="43">
        <v>0</v>
      </c>
      <c r="AB67" s="60">
        <v>0</v>
      </c>
      <c r="AC67" s="43"/>
      <c r="AD67" s="43"/>
      <c r="AE67" s="43"/>
      <c r="AF67" s="60">
        <f t="shared" si="15"/>
        <v>-4000</v>
      </c>
      <c r="AG67" s="60"/>
      <c r="AH67" s="7"/>
      <c r="AI67" s="7">
        <v>0</v>
      </c>
      <c r="AJ67" s="7">
        <v>0</v>
      </c>
      <c r="AK67" s="7">
        <v>0</v>
      </c>
      <c r="AL67" s="7">
        <v>0</v>
      </c>
      <c r="AM67" s="7">
        <v>0</v>
      </c>
      <c r="AO67" s="7">
        <f t="shared" si="16"/>
        <v>0</v>
      </c>
      <c r="AP67" s="59">
        <f t="shared" si="5"/>
        <v>0</v>
      </c>
      <c r="AQ67" s="59">
        <f t="shared" si="6"/>
        <v>0</v>
      </c>
      <c r="AR67" s="59">
        <f t="shared" si="7"/>
        <v>0</v>
      </c>
      <c r="AS67" s="59">
        <f t="shared" si="8"/>
        <v>0</v>
      </c>
    </row>
    <row r="68" spans="1:45">
      <c r="A68" s="21" t="s">
        <v>705</v>
      </c>
      <c r="B68" s="18" t="s">
        <v>706</v>
      </c>
      <c r="C68" s="18">
        <v>0</v>
      </c>
      <c r="D68" s="18">
        <v>0</v>
      </c>
      <c r="E68" s="19"/>
      <c r="F68" s="20">
        <v>2.02</v>
      </c>
      <c r="G68" s="19">
        <v>0</v>
      </c>
      <c r="H68" s="19">
        <v>0</v>
      </c>
      <c r="I68" s="43">
        <v>0</v>
      </c>
      <c r="J68" s="43">
        <v>0</v>
      </c>
      <c r="K68" s="43">
        <v>0</v>
      </c>
      <c r="L68" s="43">
        <v>0</v>
      </c>
      <c r="M68" s="43">
        <v>0</v>
      </c>
      <c r="N68" s="44">
        <f t="shared" si="12"/>
        <v>0</v>
      </c>
      <c r="O68" s="44">
        <v>0</v>
      </c>
      <c r="P68" s="45">
        <f t="shared" si="13"/>
        <v>0</v>
      </c>
      <c r="Q68" s="54">
        <v>0</v>
      </c>
      <c r="R68" s="55">
        <v>0</v>
      </c>
      <c r="S68" s="55">
        <v>0</v>
      </c>
      <c r="T68" s="43">
        <v>0</v>
      </c>
      <c r="U68" s="43">
        <v>0</v>
      </c>
      <c r="V68" s="43">
        <v>0</v>
      </c>
      <c r="W68" s="43">
        <v>0</v>
      </c>
      <c r="X68" s="43">
        <v>0</v>
      </c>
      <c r="Y68" s="59">
        <f t="shared" si="14"/>
        <v>0</v>
      </c>
      <c r="Z68" s="43">
        <v>0</v>
      </c>
      <c r="AA68" s="43">
        <v>0</v>
      </c>
      <c r="AB68" s="60">
        <v>0</v>
      </c>
      <c r="AC68" s="43"/>
      <c r="AD68" s="43"/>
      <c r="AE68" s="43"/>
      <c r="AF68" s="60">
        <f t="shared" si="15"/>
        <v>2.02</v>
      </c>
      <c r="AG68" s="60"/>
      <c r="AH68" s="7"/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O68" s="7">
        <f t="shared" si="16"/>
        <v>0</v>
      </c>
      <c r="AP68" s="59">
        <f t="shared" si="5"/>
        <v>0</v>
      </c>
      <c r="AQ68" s="59">
        <f t="shared" si="6"/>
        <v>0</v>
      </c>
      <c r="AR68" s="59">
        <f t="shared" si="7"/>
        <v>0</v>
      </c>
      <c r="AS68" s="59">
        <f t="shared" si="8"/>
        <v>0</v>
      </c>
    </row>
    <row r="69" spans="1:45">
      <c r="A69" s="21" t="s">
        <v>707</v>
      </c>
      <c r="B69" s="18" t="s">
        <v>708</v>
      </c>
      <c r="C69" s="18" t="s">
        <v>52</v>
      </c>
      <c r="D69" s="18">
        <v>0</v>
      </c>
      <c r="E69" s="19"/>
      <c r="F69" s="20">
        <v>357400</v>
      </c>
      <c r="G69" s="19"/>
      <c r="H69" s="19"/>
      <c r="I69" s="43">
        <v>0</v>
      </c>
      <c r="J69" s="43">
        <v>0</v>
      </c>
      <c r="K69" s="43">
        <v>0</v>
      </c>
      <c r="L69" s="43">
        <v>0</v>
      </c>
      <c r="M69" s="43">
        <v>0</v>
      </c>
      <c r="N69" s="44">
        <f t="shared" si="12"/>
        <v>0</v>
      </c>
      <c r="O69" s="44">
        <v>0</v>
      </c>
      <c r="P69" s="45">
        <f t="shared" si="13"/>
        <v>0</v>
      </c>
      <c r="Q69" s="54">
        <v>0</v>
      </c>
      <c r="R69" s="55">
        <v>0</v>
      </c>
      <c r="S69" s="55">
        <v>0</v>
      </c>
      <c r="T69" s="43">
        <v>0</v>
      </c>
      <c r="U69" s="43">
        <v>0</v>
      </c>
      <c r="V69" s="43">
        <v>0</v>
      </c>
      <c r="W69" s="43">
        <v>0</v>
      </c>
      <c r="X69" s="43">
        <v>0</v>
      </c>
      <c r="Y69" s="59">
        <f t="shared" si="14"/>
        <v>0</v>
      </c>
      <c r="Z69" s="43">
        <v>0</v>
      </c>
      <c r="AA69" s="43">
        <v>0</v>
      </c>
      <c r="AB69" s="60">
        <v>0</v>
      </c>
      <c r="AC69" s="43"/>
      <c r="AD69" s="43"/>
      <c r="AE69" s="43"/>
      <c r="AF69" s="60">
        <f t="shared" si="15"/>
        <v>357400</v>
      </c>
      <c r="AG69" s="60"/>
      <c r="AH69" s="7"/>
      <c r="AI69" s="7">
        <v>4000</v>
      </c>
      <c r="AJ69" s="7">
        <v>0</v>
      </c>
      <c r="AK69" s="7">
        <v>0</v>
      </c>
      <c r="AL69" s="7">
        <v>0</v>
      </c>
      <c r="AM69" s="7">
        <v>0</v>
      </c>
      <c r="AO69" s="7">
        <f t="shared" si="16"/>
        <v>4000</v>
      </c>
      <c r="AP69" s="59">
        <f t="shared" si="5"/>
        <v>0</v>
      </c>
      <c r="AQ69" s="59">
        <f t="shared" si="6"/>
        <v>0</v>
      </c>
      <c r="AR69" s="59">
        <f t="shared" si="7"/>
        <v>0</v>
      </c>
      <c r="AS69" s="59">
        <f t="shared" si="8"/>
        <v>0</v>
      </c>
    </row>
    <row r="70" spans="1:45">
      <c r="A70" s="72" t="s">
        <v>709</v>
      </c>
      <c r="B70" s="18" t="s">
        <v>710</v>
      </c>
      <c r="C70" s="18" t="s">
        <v>99</v>
      </c>
      <c r="D70" s="18" t="s">
        <v>99</v>
      </c>
      <c r="E70" s="19"/>
      <c r="F70" s="20">
        <v>257074</v>
      </c>
      <c r="G70" s="19">
        <v>200000</v>
      </c>
      <c r="H70" s="19">
        <v>350000</v>
      </c>
      <c r="I70" s="43">
        <v>0</v>
      </c>
      <c r="J70" s="43">
        <v>0</v>
      </c>
      <c r="K70" s="43">
        <v>0</v>
      </c>
      <c r="L70" s="43">
        <v>0</v>
      </c>
      <c r="M70" s="43">
        <v>0</v>
      </c>
      <c r="N70" s="44">
        <f t="shared" si="12"/>
        <v>0</v>
      </c>
      <c r="O70" s="44">
        <f>I70*$H$2+J70*$I$2+K70*$J$2+L70*$K$2+M70*$L$2</f>
        <v>0</v>
      </c>
      <c r="P70" s="45">
        <f t="shared" si="13"/>
        <v>0</v>
      </c>
      <c r="Q70" s="54">
        <v>0</v>
      </c>
      <c r="R70" s="55">
        <v>0</v>
      </c>
      <c r="S70" s="55">
        <v>0</v>
      </c>
      <c r="T70" s="43">
        <v>10</v>
      </c>
      <c r="U70" s="43">
        <v>0</v>
      </c>
      <c r="V70" s="43">
        <v>0</v>
      </c>
      <c r="W70" s="43">
        <v>0</v>
      </c>
      <c r="X70" s="43">
        <v>0</v>
      </c>
      <c r="Y70" s="59">
        <f t="shared" si="14"/>
        <v>10</v>
      </c>
      <c r="Z70" s="43">
        <v>142500</v>
      </c>
      <c r="AA70" s="43">
        <v>0</v>
      </c>
      <c r="AB70" s="60">
        <v>0</v>
      </c>
      <c r="AC70" s="43"/>
      <c r="AD70" s="43"/>
      <c r="AE70" s="43"/>
      <c r="AF70" s="60">
        <f t="shared" si="15"/>
        <v>399574</v>
      </c>
      <c r="AG70" s="60">
        <f>AF70-AO70-H70</f>
        <v>-9759.33333333331</v>
      </c>
      <c r="AH70" s="7"/>
      <c r="AI70" s="7">
        <v>26250</v>
      </c>
      <c r="AJ70" s="7">
        <v>16250</v>
      </c>
      <c r="AK70" s="7">
        <v>13500</v>
      </c>
      <c r="AL70" s="7">
        <v>1403.50877192982</v>
      </c>
      <c r="AM70" s="7">
        <v>1929.82456140351</v>
      </c>
      <c r="AO70" s="7">
        <f t="shared" si="16"/>
        <v>59333.3333333333</v>
      </c>
      <c r="AP70" s="59">
        <f t="shared" si="5"/>
        <v>-10</v>
      </c>
      <c r="AQ70" s="59">
        <f t="shared" si="6"/>
        <v>0</v>
      </c>
      <c r="AR70" s="59">
        <f t="shared" si="7"/>
        <v>-0.769230769230769</v>
      </c>
      <c r="AS70" s="59">
        <f t="shared" si="8"/>
        <v>0</v>
      </c>
    </row>
    <row r="71" ht="13" customHeight="1" spans="1:45">
      <c r="A71" s="19" t="s">
        <v>711</v>
      </c>
      <c r="B71" s="18" t="s">
        <v>712</v>
      </c>
      <c r="C71" s="18" t="s">
        <v>99</v>
      </c>
      <c r="D71" s="18" t="str">
        <f>C71</f>
        <v>CASH</v>
      </c>
      <c r="E71" s="19"/>
      <c r="F71" s="20">
        <v>312057</v>
      </c>
      <c r="G71" s="19">
        <v>0</v>
      </c>
      <c r="H71" s="19">
        <v>0</v>
      </c>
      <c r="I71" s="43">
        <v>0</v>
      </c>
      <c r="J71" s="43">
        <v>0</v>
      </c>
      <c r="K71" s="43">
        <v>0</v>
      </c>
      <c r="L71" s="43">
        <v>0</v>
      </c>
      <c r="M71" s="43">
        <v>0</v>
      </c>
      <c r="N71" s="44">
        <f t="shared" si="12"/>
        <v>0</v>
      </c>
      <c r="O71" s="44">
        <f>I71*$H$2+J71*$I$2+K71*$J$2+L71*$K$2+M71*$L$2</f>
        <v>0</v>
      </c>
      <c r="P71" s="45">
        <f t="shared" si="13"/>
        <v>0</v>
      </c>
      <c r="Q71" s="54">
        <v>103965.070877193</v>
      </c>
      <c r="R71" s="55">
        <v>50</v>
      </c>
      <c r="S71" s="55">
        <v>0</v>
      </c>
      <c r="T71" s="43">
        <v>0</v>
      </c>
      <c r="U71" s="43">
        <v>0</v>
      </c>
      <c r="V71" s="43">
        <v>0</v>
      </c>
      <c r="W71" s="43">
        <v>0</v>
      </c>
      <c r="X71" s="43">
        <v>0</v>
      </c>
      <c r="Y71" s="59">
        <f t="shared" si="14"/>
        <v>0</v>
      </c>
      <c r="Z71" s="43">
        <v>0</v>
      </c>
      <c r="AA71" s="43">
        <v>0</v>
      </c>
      <c r="AB71" s="60">
        <v>0</v>
      </c>
      <c r="AC71" s="43"/>
      <c r="AD71" s="43"/>
      <c r="AE71" s="43"/>
      <c r="AF71" s="60">
        <f t="shared" si="15"/>
        <v>312057</v>
      </c>
      <c r="AG71" s="60"/>
      <c r="AH71" s="69"/>
      <c r="AI71" s="7">
        <v>66500</v>
      </c>
      <c r="AJ71" s="7">
        <v>42482.28</v>
      </c>
      <c r="AK71" s="7">
        <v>141250</v>
      </c>
      <c r="AL71" s="7">
        <v>12070.1754385965</v>
      </c>
      <c r="AM71" s="7">
        <v>5789.47368421053</v>
      </c>
      <c r="AO71" s="7">
        <f t="shared" si="16"/>
        <v>268091.929122807</v>
      </c>
      <c r="AP71" s="59">
        <f t="shared" si="5"/>
        <v>0</v>
      </c>
      <c r="AQ71" s="59">
        <f t="shared" si="6"/>
        <v>0</v>
      </c>
      <c r="AR71" s="59">
        <f t="shared" si="7"/>
        <v>0</v>
      </c>
      <c r="AS71" s="59">
        <f t="shared" si="8"/>
        <v>0</v>
      </c>
    </row>
    <row r="72" ht="13" customHeight="1" spans="1:45">
      <c r="A72" s="73" t="s">
        <v>713</v>
      </c>
      <c r="B72" s="18" t="str">
        <f>IFERROR(VLOOKUP(A72,'[11]Dealer Wise Net Sales Register1'!D:E,2,FALSE),0)</f>
        <v>01588</v>
      </c>
      <c r="C72" s="18"/>
      <c r="D72" s="18"/>
      <c r="E72" s="19"/>
      <c r="F72" s="20"/>
      <c r="G72" s="19"/>
      <c r="H72" s="19"/>
      <c r="I72" s="43">
        <v>0</v>
      </c>
      <c r="J72" s="43">
        <v>0</v>
      </c>
      <c r="K72" s="43">
        <v>0</v>
      </c>
      <c r="L72" s="43">
        <v>0</v>
      </c>
      <c r="M72" s="43">
        <v>0</v>
      </c>
      <c r="N72" s="44"/>
      <c r="O72" s="44"/>
      <c r="P72" s="45">
        <f t="shared" si="13"/>
        <v>0</v>
      </c>
      <c r="Q72" s="54"/>
      <c r="R72" s="55">
        <v>0</v>
      </c>
      <c r="S72" s="55">
        <v>0</v>
      </c>
      <c r="T72" s="43">
        <v>0</v>
      </c>
      <c r="U72" s="43">
        <v>1</v>
      </c>
      <c r="V72" s="43">
        <v>0</v>
      </c>
      <c r="W72" s="43">
        <v>0</v>
      </c>
      <c r="X72" s="43">
        <v>0</v>
      </c>
      <c r="Y72" s="59">
        <f t="shared" si="14"/>
        <v>1</v>
      </c>
      <c r="Z72" s="43">
        <v>15050</v>
      </c>
      <c r="AA72" s="43">
        <v>0</v>
      </c>
      <c r="AB72" s="60"/>
      <c r="AC72" s="43"/>
      <c r="AD72" s="43"/>
      <c r="AE72" s="43"/>
      <c r="AF72" s="60">
        <f t="shared" si="15"/>
        <v>15050</v>
      </c>
      <c r="AG72" s="60">
        <f>AF72-AO72-H72</f>
        <v>15050</v>
      </c>
      <c r="AH72" s="69"/>
      <c r="AP72" s="59">
        <f t="shared" si="5"/>
        <v>-1</v>
      </c>
      <c r="AQ72" s="59">
        <f t="shared" si="6"/>
        <v>0</v>
      </c>
      <c r="AR72" s="59">
        <f t="shared" si="7"/>
        <v>-0.0769230769230769</v>
      </c>
      <c r="AS72" s="59">
        <f t="shared" si="8"/>
        <v>0</v>
      </c>
    </row>
    <row r="73" spans="1:45">
      <c r="A73" s="19" t="s">
        <v>714</v>
      </c>
      <c r="B73" s="18" t="s">
        <v>715</v>
      </c>
      <c r="C73" s="18"/>
      <c r="D73" s="18"/>
      <c r="E73" s="19"/>
      <c r="F73" s="20">
        <v>110000</v>
      </c>
      <c r="G73" s="19"/>
      <c r="H73" s="19"/>
      <c r="I73" s="43">
        <v>30</v>
      </c>
      <c r="J73" s="43">
        <v>0</v>
      </c>
      <c r="K73" s="43">
        <v>0</v>
      </c>
      <c r="L73" s="43">
        <v>0</v>
      </c>
      <c r="M73" s="43">
        <v>0</v>
      </c>
      <c r="N73" s="44">
        <f>SUM(I73:M73)</f>
        <v>30</v>
      </c>
      <c r="O73" s="44"/>
      <c r="P73" s="45">
        <f t="shared" si="13"/>
        <v>0</v>
      </c>
      <c r="Q73" s="54"/>
      <c r="R73" s="55">
        <v>0</v>
      </c>
      <c r="S73" s="55">
        <v>0</v>
      </c>
      <c r="T73" s="43">
        <v>0</v>
      </c>
      <c r="U73" s="43">
        <v>0</v>
      </c>
      <c r="V73" s="43">
        <v>0</v>
      </c>
      <c r="W73" s="43">
        <v>0</v>
      </c>
      <c r="X73" s="43">
        <v>0</v>
      </c>
      <c r="Y73" s="59">
        <f t="shared" si="14"/>
        <v>0</v>
      </c>
      <c r="Z73" s="43">
        <v>0</v>
      </c>
      <c r="AA73" s="43">
        <v>0</v>
      </c>
      <c r="AB73" s="60">
        <v>0</v>
      </c>
      <c r="AC73" s="43"/>
      <c r="AD73" s="43"/>
      <c r="AE73" s="43"/>
      <c r="AF73" s="60">
        <f t="shared" si="15"/>
        <v>110000</v>
      </c>
      <c r="AG73" s="60"/>
      <c r="AH73" s="69"/>
      <c r="AP73" s="59">
        <f t="shared" ref="AP73:AP136" si="17">I73+J73-T73-U73</f>
        <v>30</v>
      </c>
      <c r="AQ73" s="59">
        <f t="shared" ref="AQ73:AQ136" si="18">K73-V73</f>
        <v>0</v>
      </c>
      <c r="AR73" s="59">
        <f t="shared" ref="AR73:AR136" si="19">AP73/13</f>
        <v>2.30769230769231</v>
      </c>
      <c r="AS73" s="59">
        <f t="shared" ref="AS73:AS136" si="20">AQ73/13</f>
        <v>0</v>
      </c>
    </row>
    <row r="74" spans="1:45">
      <c r="A74" s="19" t="s">
        <v>716</v>
      </c>
      <c r="B74" s="33" t="s">
        <v>717</v>
      </c>
      <c r="C74" s="18">
        <v>0</v>
      </c>
      <c r="D74" s="18">
        <v>0</v>
      </c>
      <c r="E74" s="34"/>
      <c r="F74" s="20">
        <v>27789.17</v>
      </c>
      <c r="G74" s="19">
        <v>0</v>
      </c>
      <c r="H74" s="19">
        <v>0</v>
      </c>
      <c r="I74" s="43">
        <v>0</v>
      </c>
      <c r="J74" s="43">
        <v>0</v>
      </c>
      <c r="K74" s="43">
        <v>0</v>
      </c>
      <c r="L74" s="43">
        <v>0</v>
      </c>
      <c r="M74" s="43">
        <v>0</v>
      </c>
      <c r="N74" s="44">
        <f>SUM(I74:M74)</f>
        <v>0</v>
      </c>
      <c r="O74" s="44">
        <v>0</v>
      </c>
      <c r="P74" s="45">
        <f t="shared" si="13"/>
        <v>0</v>
      </c>
      <c r="Q74" s="54">
        <v>0</v>
      </c>
      <c r="R74" s="55">
        <v>0</v>
      </c>
      <c r="S74" s="55">
        <v>0</v>
      </c>
      <c r="T74" s="43">
        <v>5</v>
      </c>
      <c r="U74" s="43">
        <v>0</v>
      </c>
      <c r="V74" s="43">
        <v>0</v>
      </c>
      <c r="W74" s="43">
        <v>0</v>
      </c>
      <c r="X74" s="43">
        <v>0</v>
      </c>
      <c r="Y74" s="59">
        <f t="shared" si="14"/>
        <v>5</v>
      </c>
      <c r="Z74" s="43">
        <v>71250</v>
      </c>
      <c r="AA74" s="43">
        <v>43000</v>
      </c>
      <c r="AB74" s="60">
        <v>0</v>
      </c>
      <c r="AC74" s="43"/>
      <c r="AD74" s="43"/>
      <c r="AE74" s="43"/>
      <c r="AF74" s="60">
        <f t="shared" si="15"/>
        <v>56039.17</v>
      </c>
      <c r="AG74" s="60"/>
      <c r="AH74" s="7"/>
      <c r="AI74" s="7">
        <v>0</v>
      </c>
      <c r="AJ74" s="7">
        <v>0</v>
      </c>
      <c r="AK74" s="7">
        <v>6484.36</v>
      </c>
      <c r="AL74" s="7">
        <v>0</v>
      </c>
      <c r="AM74" s="7">
        <v>2045.61403508772</v>
      </c>
      <c r="AO74" s="7">
        <f>AI74+AJ74+AK74+AL74+AM74</f>
        <v>8529.97403508772</v>
      </c>
      <c r="AP74" s="59">
        <f t="shared" si="17"/>
        <v>-5</v>
      </c>
      <c r="AQ74" s="59">
        <f t="shared" si="18"/>
        <v>0</v>
      </c>
      <c r="AR74" s="59">
        <f t="shared" si="19"/>
        <v>-0.384615384615385</v>
      </c>
      <c r="AS74" s="59">
        <f t="shared" si="20"/>
        <v>0</v>
      </c>
    </row>
    <row r="75" ht="15.15" spans="1:45">
      <c r="A75" s="74" t="s">
        <v>718</v>
      </c>
      <c r="B75" s="18" t="s">
        <v>719</v>
      </c>
      <c r="C75" s="18">
        <v>0</v>
      </c>
      <c r="D75" s="18">
        <v>0</v>
      </c>
      <c r="E75" s="19"/>
      <c r="F75" s="20">
        <v>181078.35</v>
      </c>
      <c r="G75" s="19">
        <v>0</v>
      </c>
      <c r="H75" s="19">
        <v>0</v>
      </c>
      <c r="I75" s="43">
        <v>0</v>
      </c>
      <c r="J75" s="43">
        <v>0</v>
      </c>
      <c r="K75" s="43">
        <v>0</v>
      </c>
      <c r="L75" s="43">
        <v>0</v>
      </c>
      <c r="M75" s="43">
        <v>0</v>
      </c>
      <c r="N75" s="44">
        <f>SUM(I75:M75)</f>
        <v>0</v>
      </c>
      <c r="O75" s="44">
        <v>0</v>
      </c>
      <c r="P75" s="45">
        <f t="shared" si="13"/>
        <v>0</v>
      </c>
      <c r="Q75" s="54">
        <v>0</v>
      </c>
      <c r="R75" s="55">
        <v>0</v>
      </c>
      <c r="S75" s="55">
        <v>0</v>
      </c>
      <c r="T75" s="43">
        <v>0</v>
      </c>
      <c r="U75" s="43">
        <v>0</v>
      </c>
      <c r="V75" s="43">
        <v>0</v>
      </c>
      <c r="W75" s="43">
        <v>0</v>
      </c>
      <c r="X75" s="43">
        <v>0</v>
      </c>
      <c r="Y75" s="59">
        <f t="shared" si="14"/>
        <v>0</v>
      </c>
      <c r="Z75" s="43">
        <v>0</v>
      </c>
      <c r="AA75" s="43">
        <v>0</v>
      </c>
      <c r="AB75" s="60">
        <v>0</v>
      </c>
      <c r="AC75" s="43"/>
      <c r="AD75" s="43"/>
      <c r="AE75" s="43"/>
      <c r="AF75" s="60">
        <f t="shared" si="15"/>
        <v>181078.35</v>
      </c>
      <c r="AG75" s="60"/>
      <c r="AH75" s="7"/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O75" s="7">
        <f>AI75+AJ75+AK75+AL75+AM75</f>
        <v>0</v>
      </c>
      <c r="AP75" s="59">
        <f t="shared" si="17"/>
        <v>0</v>
      </c>
      <c r="AQ75" s="59">
        <f t="shared" si="18"/>
        <v>0</v>
      </c>
      <c r="AR75" s="59">
        <f t="shared" si="19"/>
        <v>0</v>
      </c>
      <c r="AS75" s="59">
        <f t="shared" si="20"/>
        <v>0</v>
      </c>
    </row>
    <row r="76" ht="15.15" spans="1:45">
      <c r="A76" s="75" t="s">
        <v>720</v>
      </c>
      <c r="B76" s="30">
        <v>0</v>
      </c>
      <c r="C76" s="18">
        <v>0</v>
      </c>
      <c r="D76" s="18">
        <v>0</v>
      </c>
      <c r="E76" s="31"/>
      <c r="F76" s="32">
        <f t="shared" ref="F76:AB76" si="21">SUM(F49:F75)</f>
        <v>5102893.19</v>
      </c>
      <c r="G76" s="32">
        <f t="shared" si="21"/>
        <v>1638840</v>
      </c>
      <c r="H76" s="32">
        <f t="shared" si="21"/>
        <v>1250000</v>
      </c>
      <c r="I76" s="32">
        <f t="shared" si="21"/>
        <v>160</v>
      </c>
      <c r="J76" s="32">
        <f t="shared" si="21"/>
        <v>0</v>
      </c>
      <c r="K76" s="32">
        <f t="shared" si="21"/>
        <v>0</v>
      </c>
      <c r="L76" s="32">
        <f t="shared" si="21"/>
        <v>0</v>
      </c>
      <c r="M76" s="32">
        <f t="shared" si="21"/>
        <v>0</v>
      </c>
      <c r="N76" s="32">
        <f t="shared" si="21"/>
        <v>160</v>
      </c>
      <c r="O76" s="32">
        <f t="shared" si="21"/>
        <v>1515000</v>
      </c>
      <c r="P76" s="32">
        <f t="shared" si="21"/>
        <v>1515000</v>
      </c>
      <c r="Q76" s="32">
        <f t="shared" si="21"/>
        <v>988673.477894737</v>
      </c>
      <c r="R76" s="32">
        <f t="shared" si="21"/>
        <v>225</v>
      </c>
      <c r="S76" s="32">
        <f t="shared" si="21"/>
        <v>0</v>
      </c>
      <c r="T76" s="32">
        <f>SUM(T49:T75)</f>
        <v>75</v>
      </c>
      <c r="U76" s="32">
        <f>SUM(U49:U75)</f>
        <v>1</v>
      </c>
      <c r="V76" s="32">
        <f>SUM(V49:V75)</f>
        <v>12</v>
      </c>
      <c r="W76" s="32">
        <f>SUM(W49:W75)</f>
        <v>0</v>
      </c>
      <c r="X76" s="32">
        <f>SUM(X49:X75)</f>
        <v>0</v>
      </c>
      <c r="Y76" s="32">
        <f>SUM(Y49:Y75)</f>
        <v>88</v>
      </c>
      <c r="Z76" s="32">
        <f>SUM(Z49:Z75)</f>
        <v>1224200</v>
      </c>
      <c r="AA76" s="32">
        <f>SUM(AA49:AA75)</f>
        <v>263000</v>
      </c>
      <c r="AB76" s="32">
        <f>SUM(AB49:AB75)</f>
        <v>0</v>
      </c>
      <c r="AC76" s="32"/>
      <c r="AD76" s="32"/>
      <c r="AE76" s="32"/>
      <c r="AF76" s="32">
        <f>SUM(AF49:AF75)</f>
        <v>6064093.19</v>
      </c>
      <c r="AG76" s="60">
        <f>AF76-AO76-H76</f>
        <v>4026747.50807018</v>
      </c>
      <c r="AH76" s="66"/>
      <c r="AI76" s="32">
        <f>SUM(AI49:AI75)</f>
        <v>164800</v>
      </c>
      <c r="AJ76" s="32">
        <f>SUM(AJ49:AJ75)</f>
        <v>175732.28</v>
      </c>
      <c r="AK76" s="32">
        <f>SUM(AK49:AK75)</f>
        <v>392804.63</v>
      </c>
      <c r="AL76" s="32">
        <f>SUM(AL49:AL75)</f>
        <v>17515.7894736842</v>
      </c>
      <c r="AM76" s="32">
        <f>SUM(AM49:AM75)</f>
        <v>36492.9824561404</v>
      </c>
      <c r="AN76" s="67">
        <f>Y76/N76</f>
        <v>0.55</v>
      </c>
      <c r="AO76" s="71">
        <f>SUM(AO49:AO75)</f>
        <v>787345.681929824</v>
      </c>
      <c r="AP76" s="32">
        <f>SUM(AP49:AP75)</f>
        <v>84</v>
      </c>
      <c r="AQ76" s="32">
        <f>SUM(AQ49:AQ75)</f>
        <v>-12</v>
      </c>
      <c r="AR76" s="59">
        <f t="shared" si="19"/>
        <v>6.46153846153846</v>
      </c>
      <c r="AS76" s="59">
        <f t="shared" si="20"/>
        <v>-0.923076923076923</v>
      </c>
    </row>
    <row r="77" spans="1:45">
      <c r="A77" s="21" t="s">
        <v>721</v>
      </c>
      <c r="B77" s="33" t="s">
        <v>722</v>
      </c>
      <c r="C77" s="18">
        <v>0</v>
      </c>
      <c r="D77" s="18">
        <v>0</v>
      </c>
      <c r="E77" s="34"/>
      <c r="F77" s="20">
        <v>246748.61</v>
      </c>
      <c r="G77" s="19">
        <v>0</v>
      </c>
      <c r="H77" s="19">
        <v>0</v>
      </c>
      <c r="I77" s="43">
        <v>0</v>
      </c>
      <c r="J77" s="43">
        <v>0</v>
      </c>
      <c r="K77" s="43">
        <v>0</v>
      </c>
      <c r="L77" s="43">
        <v>0</v>
      </c>
      <c r="M77" s="43">
        <v>0</v>
      </c>
      <c r="N77" s="44">
        <f t="shared" ref="N77:N90" si="22">SUM(I77:M77)</f>
        <v>0</v>
      </c>
      <c r="O77" s="44">
        <v>0</v>
      </c>
      <c r="P77" s="45">
        <f t="shared" ref="P77:P90" si="23">O77</f>
        <v>0</v>
      </c>
      <c r="Q77" s="54">
        <v>0</v>
      </c>
      <c r="R77" s="55">
        <v>0</v>
      </c>
      <c r="S77" s="55">
        <v>0</v>
      </c>
      <c r="T77" s="43">
        <v>0</v>
      </c>
      <c r="U77" s="43">
        <v>0</v>
      </c>
      <c r="V77" s="43">
        <v>0</v>
      </c>
      <c r="W77" s="43">
        <v>0</v>
      </c>
      <c r="X77" s="43">
        <v>0</v>
      </c>
      <c r="Y77" s="59">
        <f t="shared" ref="Y77:Y90" si="24">T77+U77+V77+W77+X77</f>
        <v>0</v>
      </c>
      <c r="Z77" s="43">
        <v>0</v>
      </c>
      <c r="AA77" s="43">
        <v>0</v>
      </c>
      <c r="AB77" s="60">
        <v>0</v>
      </c>
      <c r="AC77" s="43"/>
      <c r="AD77" s="43"/>
      <c r="AE77" s="43"/>
      <c r="AF77" s="60">
        <f t="shared" ref="AF77:AF90" si="25">F77+Z77-AA77-AB77-AC77-AD77-AE77</f>
        <v>246748.61</v>
      </c>
      <c r="AG77" s="60"/>
      <c r="AH77" s="7"/>
      <c r="AI77" s="7">
        <v>0</v>
      </c>
      <c r="AJ77" s="7">
        <v>0</v>
      </c>
      <c r="AK77" s="7">
        <v>0</v>
      </c>
      <c r="AL77" s="7">
        <v>0</v>
      </c>
      <c r="AM77" s="7">
        <v>0</v>
      </c>
      <c r="AO77" s="7">
        <f t="shared" ref="AO77:AO90" si="26">AI77+AJ77+AK77+AL77+AM77</f>
        <v>0</v>
      </c>
      <c r="AP77" s="59">
        <f t="shared" si="17"/>
        <v>0</v>
      </c>
      <c r="AQ77" s="59">
        <f t="shared" si="18"/>
        <v>0</v>
      </c>
      <c r="AR77" s="59">
        <f t="shared" si="19"/>
        <v>0</v>
      </c>
      <c r="AS77" s="59">
        <f t="shared" si="20"/>
        <v>0</v>
      </c>
    </row>
    <row r="78" spans="1:45">
      <c r="A78" s="21" t="s">
        <v>723</v>
      </c>
      <c r="B78" s="18" t="s">
        <v>724</v>
      </c>
      <c r="C78" s="18">
        <v>0</v>
      </c>
      <c r="D78" s="18">
        <v>0</v>
      </c>
      <c r="E78" s="19"/>
      <c r="F78" s="20">
        <v>-69599.82</v>
      </c>
      <c r="G78" s="19"/>
      <c r="H78" s="19">
        <v>0</v>
      </c>
      <c r="I78" s="43">
        <v>0</v>
      </c>
      <c r="J78" s="43">
        <v>0</v>
      </c>
      <c r="K78" s="43">
        <v>0</v>
      </c>
      <c r="L78" s="43">
        <v>0</v>
      </c>
      <c r="M78" s="43">
        <v>0</v>
      </c>
      <c r="N78" s="44">
        <f t="shared" si="22"/>
        <v>0</v>
      </c>
      <c r="O78" s="44">
        <v>0</v>
      </c>
      <c r="P78" s="45">
        <f t="shared" si="23"/>
        <v>0</v>
      </c>
      <c r="Q78" s="54">
        <v>0</v>
      </c>
      <c r="R78" s="55">
        <v>0</v>
      </c>
      <c r="S78" s="55">
        <v>0</v>
      </c>
      <c r="T78" s="43">
        <v>0</v>
      </c>
      <c r="U78" s="43">
        <v>0</v>
      </c>
      <c r="V78" s="43">
        <v>0</v>
      </c>
      <c r="W78" s="43">
        <v>0</v>
      </c>
      <c r="X78" s="43">
        <v>0</v>
      </c>
      <c r="Y78" s="59">
        <f t="shared" si="24"/>
        <v>0</v>
      </c>
      <c r="Z78" s="43">
        <v>0</v>
      </c>
      <c r="AA78" s="43">
        <v>0</v>
      </c>
      <c r="AB78" s="60">
        <v>0</v>
      </c>
      <c r="AC78" s="43"/>
      <c r="AD78" s="43"/>
      <c r="AE78" s="43"/>
      <c r="AF78" s="60">
        <f t="shared" si="25"/>
        <v>-69599.82</v>
      </c>
      <c r="AG78" s="60"/>
      <c r="AH78" s="7"/>
      <c r="AI78" s="7">
        <v>0</v>
      </c>
      <c r="AJ78" s="7">
        <v>0</v>
      </c>
      <c r="AK78" s="7">
        <v>0</v>
      </c>
      <c r="AL78" s="7">
        <v>0</v>
      </c>
      <c r="AM78" s="7">
        <v>0</v>
      </c>
      <c r="AO78" s="7">
        <f t="shared" si="26"/>
        <v>0</v>
      </c>
      <c r="AP78" s="59">
        <f t="shared" si="17"/>
        <v>0</v>
      </c>
      <c r="AQ78" s="59">
        <f t="shared" si="18"/>
        <v>0</v>
      </c>
      <c r="AR78" s="59">
        <f t="shared" si="19"/>
        <v>0</v>
      </c>
      <c r="AS78" s="59">
        <f t="shared" si="20"/>
        <v>0</v>
      </c>
    </row>
    <row r="79" spans="1:45">
      <c r="A79" s="21" t="s">
        <v>725</v>
      </c>
      <c r="B79" s="18" t="s">
        <v>726</v>
      </c>
      <c r="C79" s="18" t="s">
        <v>52</v>
      </c>
      <c r="D79" s="18" t="s">
        <v>52</v>
      </c>
      <c r="E79" s="19"/>
      <c r="F79" s="20">
        <v>762200.77</v>
      </c>
      <c r="G79" s="19">
        <v>400000</v>
      </c>
      <c r="H79" s="19">
        <v>700000</v>
      </c>
      <c r="I79" s="43">
        <v>15</v>
      </c>
      <c r="J79" s="43">
        <v>0</v>
      </c>
      <c r="K79" s="43">
        <v>0</v>
      </c>
      <c r="L79" s="43">
        <v>0</v>
      </c>
      <c r="M79" s="43">
        <v>0</v>
      </c>
      <c r="N79" s="44">
        <f t="shared" si="22"/>
        <v>15</v>
      </c>
      <c r="O79" s="44">
        <f>I79*$H$1+J79*$I$1+K79*$J$1+L79*$K$1+M79*$L$1</f>
        <v>208500</v>
      </c>
      <c r="P79" s="45">
        <f t="shared" si="23"/>
        <v>208500</v>
      </c>
      <c r="Q79" s="54">
        <v>200450.77</v>
      </c>
      <c r="R79" s="55">
        <v>0</v>
      </c>
      <c r="S79" s="55">
        <v>0</v>
      </c>
      <c r="T79" s="43">
        <v>11</v>
      </c>
      <c r="U79" s="43">
        <v>0</v>
      </c>
      <c r="V79" s="43">
        <v>0</v>
      </c>
      <c r="W79" s="43">
        <v>0</v>
      </c>
      <c r="X79" s="43">
        <v>0</v>
      </c>
      <c r="Y79" s="59">
        <f t="shared" si="24"/>
        <v>11</v>
      </c>
      <c r="Z79" s="43">
        <v>156750</v>
      </c>
      <c r="AA79" s="43">
        <v>0</v>
      </c>
      <c r="AB79" s="60">
        <v>0</v>
      </c>
      <c r="AC79" s="43"/>
      <c r="AD79" s="43"/>
      <c r="AE79" s="43"/>
      <c r="AF79" s="60">
        <f t="shared" si="25"/>
        <v>918950.77</v>
      </c>
      <c r="AG79" s="60">
        <f>AF79-AO79-H79</f>
        <v>199700.77</v>
      </c>
      <c r="AH79" s="69"/>
      <c r="AI79" s="7">
        <v>10500</v>
      </c>
      <c r="AJ79" s="7">
        <v>8750</v>
      </c>
      <c r="AK79" s="7">
        <v>0</v>
      </c>
      <c r="AL79" s="7">
        <v>0</v>
      </c>
      <c r="AM79" s="7">
        <v>0</v>
      </c>
      <c r="AO79" s="7">
        <f t="shared" si="26"/>
        <v>19250</v>
      </c>
      <c r="AP79" s="59">
        <f t="shared" si="17"/>
        <v>4</v>
      </c>
      <c r="AQ79" s="59">
        <f t="shared" si="18"/>
        <v>0</v>
      </c>
      <c r="AR79" s="59">
        <f t="shared" si="19"/>
        <v>0.307692307692308</v>
      </c>
      <c r="AS79" s="59">
        <f t="shared" si="20"/>
        <v>0</v>
      </c>
    </row>
    <row r="80" spans="1:45">
      <c r="A80" s="21" t="s">
        <v>727</v>
      </c>
      <c r="B80" s="18" t="s">
        <v>728</v>
      </c>
      <c r="C80" s="18">
        <v>0</v>
      </c>
      <c r="D80" s="18">
        <v>0</v>
      </c>
      <c r="E80" s="19"/>
      <c r="F80" s="20">
        <v>552600</v>
      </c>
      <c r="G80" s="19">
        <v>0</v>
      </c>
      <c r="H80" s="19">
        <v>0</v>
      </c>
      <c r="I80" s="43">
        <v>0</v>
      </c>
      <c r="J80" s="43">
        <v>0</v>
      </c>
      <c r="K80" s="43">
        <v>0</v>
      </c>
      <c r="L80" s="43">
        <v>0</v>
      </c>
      <c r="M80" s="43">
        <v>0</v>
      </c>
      <c r="N80" s="44">
        <f t="shared" si="22"/>
        <v>0</v>
      </c>
      <c r="O80" s="44">
        <v>0</v>
      </c>
      <c r="P80" s="45">
        <f t="shared" si="23"/>
        <v>0</v>
      </c>
      <c r="Q80" s="54">
        <v>0</v>
      </c>
      <c r="R80" s="55">
        <v>0</v>
      </c>
      <c r="S80" s="55">
        <v>0</v>
      </c>
      <c r="T80" s="43">
        <v>0</v>
      </c>
      <c r="U80" s="43">
        <v>0</v>
      </c>
      <c r="V80" s="43">
        <v>0</v>
      </c>
      <c r="W80" s="43">
        <v>0</v>
      </c>
      <c r="X80" s="43">
        <v>0</v>
      </c>
      <c r="Y80" s="59">
        <f t="shared" si="24"/>
        <v>0</v>
      </c>
      <c r="Z80" s="43">
        <v>0</v>
      </c>
      <c r="AA80" s="43">
        <v>0</v>
      </c>
      <c r="AB80" s="60">
        <v>0</v>
      </c>
      <c r="AC80" s="43"/>
      <c r="AD80" s="43"/>
      <c r="AE80" s="43"/>
      <c r="AF80" s="60">
        <f t="shared" si="25"/>
        <v>552600</v>
      </c>
      <c r="AG80" s="60"/>
      <c r="AH80" s="7"/>
      <c r="AI80" s="7">
        <v>0</v>
      </c>
      <c r="AJ80" s="7">
        <v>0</v>
      </c>
      <c r="AK80" s="7">
        <v>0</v>
      </c>
      <c r="AL80" s="7">
        <v>0</v>
      </c>
      <c r="AM80" s="7">
        <v>0</v>
      </c>
      <c r="AO80" s="7">
        <f t="shared" si="26"/>
        <v>0</v>
      </c>
      <c r="AP80" s="59">
        <f t="shared" si="17"/>
        <v>0</v>
      </c>
      <c r="AQ80" s="59">
        <f t="shared" si="18"/>
        <v>0</v>
      </c>
      <c r="AR80" s="59">
        <f t="shared" si="19"/>
        <v>0</v>
      </c>
      <c r="AS80" s="59">
        <f t="shared" si="20"/>
        <v>0</v>
      </c>
    </row>
    <row r="81" spans="1:45">
      <c r="A81" s="21" t="s">
        <v>729</v>
      </c>
      <c r="B81" s="33" t="s">
        <v>730</v>
      </c>
      <c r="C81" s="18">
        <v>0</v>
      </c>
      <c r="D81" s="18">
        <v>0</v>
      </c>
      <c r="E81" s="34"/>
      <c r="F81" s="20">
        <v>177218.31</v>
      </c>
      <c r="G81" s="19">
        <v>0</v>
      </c>
      <c r="H81" s="19">
        <v>0</v>
      </c>
      <c r="I81" s="43">
        <v>0</v>
      </c>
      <c r="J81" s="43">
        <v>0</v>
      </c>
      <c r="K81" s="43">
        <v>0</v>
      </c>
      <c r="L81" s="43">
        <v>0</v>
      </c>
      <c r="M81" s="43">
        <v>0</v>
      </c>
      <c r="N81" s="44">
        <f t="shared" si="22"/>
        <v>0</v>
      </c>
      <c r="O81" s="44">
        <v>0</v>
      </c>
      <c r="P81" s="45">
        <f t="shared" si="23"/>
        <v>0</v>
      </c>
      <c r="Q81" s="54">
        <v>0</v>
      </c>
      <c r="R81" s="55">
        <v>0</v>
      </c>
      <c r="S81" s="55">
        <v>0</v>
      </c>
      <c r="T81" s="43">
        <v>0</v>
      </c>
      <c r="U81" s="43">
        <v>0</v>
      </c>
      <c r="V81" s="43">
        <v>0</v>
      </c>
      <c r="W81" s="43">
        <v>0</v>
      </c>
      <c r="X81" s="43">
        <v>0</v>
      </c>
      <c r="Y81" s="59">
        <f t="shared" si="24"/>
        <v>0</v>
      </c>
      <c r="Z81" s="43">
        <v>0</v>
      </c>
      <c r="AA81" s="43">
        <v>0</v>
      </c>
      <c r="AB81" s="60">
        <v>0</v>
      </c>
      <c r="AC81" s="43"/>
      <c r="AD81" s="43"/>
      <c r="AE81" s="43"/>
      <c r="AF81" s="60">
        <f t="shared" si="25"/>
        <v>177218.31</v>
      </c>
      <c r="AG81" s="60"/>
      <c r="AH81" s="7"/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O81" s="7">
        <f t="shared" si="26"/>
        <v>0</v>
      </c>
      <c r="AP81" s="59">
        <f t="shared" si="17"/>
        <v>0</v>
      </c>
      <c r="AQ81" s="59">
        <f t="shared" si="18"/>
        <v>0</v>
      </c>
      <c r="AR81" s="59">
        <f t="shared" si="19"/>
        <v>0</v>
      </c>
      <c r="AS81" s="59">
        <f t="shared" si="20"/>
        <v>0</v>
      </c>
    </row>
    <row r="82" spans="1:45">
      <c r="A82" s="21" t="s">
        <v>731</v>
      </c>
      <c r="B82" s="33" t="s">
        <v>732</v>
      </c>
      <c r="C82" s="18">
        <v>0</v>
      </c>
      <c r="D82" s="18">
        <v>0</v>
      </c>
      <c r="E82" s="34"/>
      <c r="F82" s="20">
        <v>127800.14</v>
      </c>
      <c r="G82" s="19"/>
      <c r="H82" s="19"/>
      <c r="I82" s="43">
        <v>0</v>
      </c>
      <c r="J82" s="43">
        <v>0</v>
      </c>
      <c r="K82" s="43">
        <v>0</v>
      </c>
      <c r="L82" s="43">
        <v>0</v>
      </c>
      <c r="M82" s="43">
        <v>0</v>
      </c>
      <c r="N82" s="44">
        <f t="shared" si="22"/>
        <v>0</v>
      </c>
      <c r="O82" s="44">
        <v>0</v>
      </c>
      <c r="P82" s="45">
        <f t="shared" si="23"/>
        <v>0</v>
      </c>
      <c r="Q82" s="54">
        <v>0</v>
      </c>
      <c r="R82" s="55">
        <v>0</v>
      </c>
      <c r="S82" s="55">
        <v>0</v>
      </c>
      <c r="T82" s="43">
        <v>0</v>
      </c>
      <c r="U82" s="43">
        <v>0</v>
      </c>
      <c r="V82" s="43">
        <v>0</v>
      </c>
      <c r="W82" s="43">
        <v>0</v>
      </c>
      <c r="X82" s="43">
        <v>0</v>
      </c>
      <c r="Y82" s="59">
        <f t="shared" si="24"/>
        <v>0</v>
      </c>
      <c r="Z82" s="43">
        <v>0</v>
      </c>
      <c r="AA82" s="43">
        <v>0</v>
      </c>
      <c r="AB82" s="60">
        <v>0</v>
      </c>
      <c r="AC82" s="43"/>
      <c r="AD82" s="43"/>
      <c r="AE82" s="43"/>
      <c r="AF82" s="60">
        <f t="shared" si="25"/>
        <v>127800.14</v>
      </c>
      <c r="AG82" s="60"/>
      <c r="AH82" s="7"/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O82" s="7">
        <f t="shared" si="26"/>
        <v>0</v>
      </c>
      <c r="AP82" s="59">
        <f t="shared" si="17"/>
        <v>0</v>
      </c>
      <c r="AQ82" s="59">
        <f t="shared" si="18"/>
        <v>0</v>
      </c>
      <c r="AR82" s="59">
        <f t="shared" si="19"/>
        <v>0</v>
      </c>
      <c r="AS82" s="59">
        <f t="shared" si="20"/>
        <v>0</v>
      </c>
    </row>
    <row r="83" spans="1:45">
      <c r="A83" s="21" t="s">
        <v>733</v>
      </c>
      <c r="B83" s="33" t="s">
        <v>734</v>
      </c>
      <c r="C83" s="18">
        <v>0</v>
      </c>
      <c r="D83" s="18" t="s">
        <v>99</v>
      </c>
      <c r="E83" s="34"/>
      <c r="F83" s="20">
        <v>-10198</v>
      </c>
      <c r="G83" s="19">
        <v>0</v>
      </c>
      <c r="H83" s="19">
        <v>500000</v>
      </c>
      <c r="I83" s="43">
        <v>100</v>
      </c>
      <c r="J83" s="43">
        <v>0</v>
      </c>
      <c r="K83" s="43">
        <v>0</v>
      </c>
      <c r="L83" s="43">
        <v>0</v>
      </c>
      <c r="M83" s="43">
        <v>0</v>
      </c>
      <c r="N83" s="44">
        <f t="shared" si="22"/>
        <v>100</v>
      </c>
      <c r="O83" s="44">
        <f>I83*$H$2+J83*$I$2+K83*$J$2+L83*$K$2+M83*$L$2</f>
        <v>1365000</v>
      </c>
      <c r="P83" s="45">
        <f t="shared" si="23"/>
        <v>1365000</v>
      </c>
      <c r="Q83" s="54">
        <v>0</v>
      </c>
      <c r="R83" s="55">
        <v>0</v>
      </c>
      <c r="S83" s="55">
        <v>0</v>
      </c>
      <c r="T83" s="43">
        <v>0</v>
      </c>
      <c r="U83" s="43">
        <v>0</v>
      </c>
      <c r="V83" s="43">
        <v>0</v>
      </c>
      <c r="W83" s="43">
        <v>0</v>
      </c>
      <c r="X83" s="43">
        <v>0</v>
      </c>
      <c r="Y83" s="59">
        <f t="shared" si="24"/>
        <v>0</v>
      </c>
      <c r="Z83" s="43">
        <v>0</v>
      </c>
      <c r="AA83" s="43">
        <v>0</v>
      </c>
      <c r="AB83" s="60">
        <v>0</v>
      </c>
      <c r="AC83" s="43"/>
      <c r="AD83" s="43"/>
      <c r="AE83" s="43"/>
      <c r="AF83" s="60">
        <f t="shared" si="25"/>
        <v>-10198</v>
      </c>
      <c r="AG83" s="60"/>
      <c r="AH83" s="7"/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O83" s="7">
        <f t="shared" si="26"/>
        <v>0</v>
      </c>
      <c r="AP83" s="59">
        <f t="shared" si="17"/>
        <v>100</v>
      </c>
      <c r="AQ83" s="59">
        <f t="shared" si="18"/>
        <v>0</v>
      </c>
      <c r="AR83" s="59">
        <f t="shared" si="19"/>
        <v>7.69230769230769</v>
      </c>
      <c r="AS83" s="59">
        <f t="shared" si="20"/>
        <v>0</v>
      </c>
    </row>
    <row r="84" spans="1:45">
      <c r="A84" s="21" t="s">
        <v>735</v>
      </c>
      <c r="B84" s="33" t="s">
        <v>736</v>
      </c>
      <c r="C84" s="18" t="s">
        <v>151</v>
      </c>
      <c r="D84" s="18" t="str">
        <f>C84</f>
        <v>Conver-Lead</v>
      </c>
      <c r="E84" s="34"/>
      <c r="F84" s="20">
        <v>309898</v>
      </c>
      <c r="G84" s="19"/>
      <c r="H84" s="19"/>
      <c r="I84" s="43">
        <v>0</v>
      </c>
      <c r="J84" s="43">
        <v>0</v>
      </c>
      <c r="K84" s="43">
        <v>0</v>
      </c>
      <c r="L84" s="43">
        <v>0</v>
      </c>
      <c r="M84" s="43">
        <v>0</v>
      </c>
      <c r="N84" s="44">
        <f t="shared" si="22"/>
        <v>0</v>
      </c>
      <c r="O84" s="44">
        <f>I84*$H$4+J84*$I$4+K84*$J$4+L84*$K$4+M84*$L$4</f>
        <v>0</v>
      </c>
      <c r="P84" s="45">
        <f t="shared" si="23"/>
        <v>0</v>
      </c>
      <c r="Q84" s="54">
        <v>0</v>
      </c>
      <c r="R84" s="55">
        <v>125</v>
      </c>
      <c r="S84" s="55">
        <v>0</v>
      </c>
      <c r="T84" s="43">
        <v>45</v>
      </c>
      <c r="U84" s="43">
        <v>0</v>
      </c>
      <c r="V84" s="43">
        <v>0</v>
      </c>
      <c r="W84" s="43">
        <v>0</v>
      </c>
      <c r="X84" s="43">
        <v>0</v>
      </c>
      <c r="Y84" s="59">
        <f t="shared" si="24"/>
        <v>45</v>
      </c>
      <c r="Z84" s="43">
        <v>247500</v>
      </c>
      <c r="AA84" s="43">
        <v>224000</v>
      </c>
      <c r="AB84" s="60">
        <v>0</v>
      </c>
      <c r="AC84" s="43"/>
      <c r="AD84" s="43"/>
      <c r="AE84" s="43"/>
      <c r="AF84" s="60">
        <f t="shared" si="25"/>
        <v>333398</v>
      </c>
      <c r="AG84" s="60">
        <f>AF84-AO84-H84</f>
        <v>73898</v>
      </c>
      <c r="AH84" s="7"/>
      <c r="AI84" s="7">
        <v>51000</v>
      </c>
      <c r="AJ84" s="7">
        <v>125000</v>
      </c>
      <c r="AK84" s="7">
        <v>83500</v>
      </c>
      <c r="AL84" s="7">
        <v>0</v>
      </c>
      <c r="AM84" s="7">
        <v>0</v>
      </c>
      <c r="AO84" s="7">
        <f t="shared" si="26"/>
        <v>259500</v>
      </c>
      <c r="AP84" s="59">
        <f t="shared" si="17"/>
        <v>-45</v>
      </c>
      <c r="AQ84" s="59">
        <f t="shared" si="18"/>
        <v>0</v>
      </c>
      <c r="AR84" s="59">
        <f t="shared" si="19"/>
        <v>-3.46153846153846</v>
      </c>
      <c r="AS84" s="59">
        <f t="shared" si="20"/>
        <v>0</v>
      </c>
    </row>
    <row r="85" spans="1:45">
      <c r="A85" s="21" t="s">
        <v>737</v>
      </c>
      <c r="B85" s="18" t="s">
        <v>738</v>
      </c>
      <c r="C85" s="18">
        <v>0</v>
      </c>
      <c r="D85" s="18">
        <v>0</v>
      </c>
      <c r="E85" s="19"/>
      <c r="F85" s="20">
        <v>0</v>
      </c>
      <c r="G85" s="19">
        <v>0</v>
      </c>
      <c r="H85" s="19">
        <v>0</v>
      </c>
      <c r="I85" s="43">
        <v>0</v>
      </c>
      <c r="J85" s="43">
        <v>0</v>
      </c>
      <c r="K85" s="43">
        <v>0</v>
      </c>
      <c r="L85" s="43">
        <v>0</v>
      </c>
      <c r="M85" s="43">
        <v>0</v>
      </c>
      <c r="N85" s="44">
        <f t="shared" si="22"/>
        <v>0</v>
      </c>
      <c r="O85" s="44">
        <v>0</v>
      </c>
      <c r="P85" s="45">
        <f t="shared" si="23"/>
        <v>0</v>
      </c>
      <c r="Q85" s="54">
        <v>0</v>
      </c>
      <c r="R85" s="55">
        <v>0</v>
      </c>
      <c r="S85" s="55">
        <v>0</v>
      </c>
      <c r="T85" s="43">
        <v>0</v>
      </c>
      <c r="U85" s="43">
        <v>0</v>
      </c>
      <c r="V85" s="43">
        <v>0</v>
      </c>
      <c r="W85" s="43">
        <v>0</v>
      </c>
      <c r="X85" s="43">
        <v>0</v>
      </c>
      <c r="Y85" s="59">
        <f t="shared" si="24"/>
        <v>0</v>
      </c>
      <c r="Z85" s="43">
        <v>0</v>
      </c>
      <c r="AA85" s="43">
        <v>0</v>
      </c>
      <c r="AB85" s="60">
        <v>0</v>
      </c>
      <c r="AC85" s="43"/>
      <c r="AD85" s="43"/>
      <c r="AE85" s="43"/>
      <c r="AF85" s="60">
        <f t="shared" si="25"/>
        <v>0</v>
      </c>
      <c r="AG85" s="60"/>
      <c r="AH85" s="7"/>
      <c r="AI85" s="7">
        <v>0</v>
      </c>
      <c r="AJ85" s="7">
        <v>0</v>
      </c>
      <c r="AK85" s="7">
        <v>0</v>
      </c>
      <c r="AL85" s="7">
        <v>0</v>
      </c>
      <c r="AM85" s="7">
        <v>0</v>
      </c>
      <c r="AO85" s="7">
        <f t="shared" si="26"/>
        <v>0</v>
      </c>
      <c r="AP85" s="59">
        <f t="shared" si="17"/>
        <v>0</v>
      </c>
      <c r="AQ85" s="59">
        <f t="shared" si="18"/>
        <v>0</v>
      </c>
      <c r="AR85" s="59">
        <f t="shared" si="19"/>
        <v>0</v>
      </c>
      <c r="AS85" s="59">
        <f t="shared" si="20"/>
        <v>0</v>
      </c>
    </row>
    <row r="86" spans="1:45">
      <c r="A86" s="21" t="s">
        <v>739</v>
      </c>
      <c r="B86" s="18" t="s">
        <v>740</v>
      </c>
      <c r="C86" s="18">
        <v>0</v>
      </c>
      <c r="D86" s="18">
        <v>0</v>
      </c>
      <c r="E86" s="19"/>
      <c r="F86" s="20">
        <v>899811.34</v>
      </c>
      <c r="G86" s="19">
        <v>0</v>
      </c>
      <c r="H86" s="19">
        <v>0</v>
      </c>
      <c r="I86" s="43">
        <v>0</v>
      </c>
      <c r="J86" s="43">
        <v>0</v>
      </c>
      <c r="K86" s="43">
        <v>0</v>
      </c>
      <c r="L86" s="43">
        <v>0</v>
      </c>
      <c r="M86" s="43">
        <v>0</v>
      </c>
      <c r="N86" s="44">
        <f t="shared" si="22"/>
        <v>0</v>
      </c>
      <c r="O86" s="44">
        <v>0</v>
      </c>
      <c r="P86" s="45">
        <f t="shared" si="23"/>
        <v>0</v>
      </c>
      <c r="Q86" s="54">
        <v>0</v>
      </c>
      <c r="R86" s="55">
        <v>0</v>
      </c>
      <c r="S86" s="55">
        <v>0</v>
      </c>
      <c r="T86" s="43">
        <v>0</v>
      </c>
      <c r="U86" s="43">
        <v>0</v>
      </c>
      <c r="V86" s="43">
        <v>0</v>
      </c>
      <c r="W86" s="43">
        <v>0</v>
      </c>
      <c r="X86" s="43">
        <v>0</v>
      </c>
      <c r="Y86" s="59">
        <f t="shared" si="24"/>
        <v>0</v>
      </c>
      <c r="Z86" s="43">
        <v>0</v>
      </c>
      <c r="AA86" s="43">
        <v>0</v>
      </c>
      <c r="AB86" s="60">
        <v>0</v>
      </c>
      <c r="AC86" s="43"/>
      <c r="AD86" s="43"/>
      <c r="AE86" s="43"/>
      <c r="AF86" s="60">
        <f t="shared" si="25"/>
        <v>899811.34</v>
      </c>
      <c r="AG86" s="60"/>
      <c r="AH86" s="7"/>
      <c r="AI86" s="7">
        <v>0</v>
      </c>
      <c r="AJ86" s="7">
        <v>0</v>
      </c>
      <c r="AK86" s="7">
        <v>0</v>
      </c>
      <c r="AL86" s="7">
        <v>0</v>
      </c>
      <c r="AM86" s="7">
        <v>0</v>
      </c>
      <c r="AO86" s="7">
        <f t="shared" si="26"/>
        <v>0</v>
      </c>
      <c r="AP86" s="59">
        <f t="shared" si="17"/>
        <v>0</v>
      </c>
      <c r="AQ86" s="59">
        <f t="shared" si="18"/>
        <v>0</v>
      </c>
      <c r="AR86" s="59">
        <f t="shared" si="19"/>
        <v>0</v>
      </c>
      <c r="AS86" s="59">
        <f t="shared" si="20"/>
        <v>0</v>
      </c>
    </row>
    <row r="87" spans="1:45">
      <c r="A87" s="21" t="s">
        <v>741</v>
      </c>
      <c r="B87" s="18" t="s">
        <v>742</v>
      </c>
      <c r="C87" s="18">
        <v>0</v>
      </c>
      <c r="D87" s="18">
        <v>0</v>
      </c>
      <c r="E87" s="19"/>
      <c r="F87" s="20">
        <v>216850</v>
      </c>
      <c r="G87" s="19">
        <v>0</v>
      </c>
      <c r="H87" s="19">
        <v>0</v>
      </c>
      <c r="I87" s="43">
        <v>0</v>
      </c>
      <c r="J87" s="43">
        <v>0</v>
      </c>
      <c r="K87" s="43">
        <v>0</v>
      </c>
      <c r="L87" s="43">
        <v>0</v>
      </c>
      <c r="M87" s="43">
        <v>0</v>
      </c>
      <c r="N87" s="44">
        <f t="shared" si="22"/>
        <v>0</v>
      </c>
      <c r="O87" s="44">
        <v>0</v>
      </c>
      <c r="P87" s="45">
        <f t="shared" si="23"/>
        <v>0</v>
      </c>
      <c r="Q87" s="54">
        <v>0</v>
      </c>
      <c r="R87" s="55">
        <v>0</v>
      </c>
      <c r="S87" s="55">
        <v>0</v>
      </c>
      <c r="T87" s="43">
        <v>0</v>
      </c>
      <c r="U87" s="43">
        <v>0</v>
      </c>
      <c r="V87" s="43">
        <v>0</v>
      </c>
      <c r="W87" s="43">
        <v>0</v>
      </c>
      <c r="X87" s="43">
        <v>0</v>
      </c>
      <c r="Y87" s="59">
        <f t="shared" si="24"/>
        <v>0</v>
      </c>
      <c r="Z87" s="43">
        <v>0</v>
      </c>
      <c r="AA87" s="43">
        <v>0</v>
      </c>
      <c r="AB87" s="60">
        <v>0</v>
      </c>
      <c r="AC87" s="43"/>
      <c r="AD87" s="43"/>
      <c r="AE87" s="43"/>
      <c r="AF87" s="60">
        <f t="shared" si="25"/>
        <v>216850</v>
      </c>
      <c r="AG87" s="60"/>
      <c r="AH87" s="7"/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O87" s="7">
        <f t="shared" si="26"/>
        <v>0</v>
      </c>
      <c r="AP87" s="59">
        <f t="shared" si="17"/>
        <v>0</v>
      </c>
      <c r="AQ87" s="59">
        <f t="shared" si="18"/>
        <v>0</v>
      </c>
      <c r="AR87" s="59">
        <f t="shared" si="19"/>
        <v>0</v>
      </c>
      <c r="AS87" s="59">
        <f t="shared" si="20"/>
        <v>0</v>
      </c>
    </row>
    <row r="88" spans="1:45">
      <c r="A88" s="21" t="s">
        <v>743</v>
      </c>
      <c r="B88" s="18" t="s">
        <v>744</v>
      </c>
      <c r="C88" s="18" t="s">
        <v>99</v>
      </c>
      <c r="D88" s="18" t="s">
        <v>99</v>
      </c>
      <c r="E88" s="19"/>
      <c r="F88" s="20">
        <v>18234</v>
      </c>
      <c r="G88" s="19">
        <v>0</v>
      </c>
      <c r="H88" s="19">
        <v>137000</v>
      </c>
      <c r="I88" s="43">
        <v>0</v>
      </c>
      <c r="J88" s="43">
        <v>0</v>
      </c>
      <c r="K88" s="43">
        <v>0</v>
      </c>
      <c r="L88" s="43">
        <v>0</v>
      </c>
      <c r="M88" s="43">
        <v>0</v>
      </c>
      <c r="N88" s="44">
        <f t="shared" si="22"/>
        <v>0</v>
      </c>
      <c r="O88" s="44">
        <f>I88*$H$2+J88*$I$2+K88*$J$2+L88*$K$2+M88*$L$2</f>
        <v>0</v>
      </c>
      <c r="P88" s="45">
        <f t="shared" si="23"/>
        <v>0</v>
      </c>
      <c r="Q88" s="54">
        <v>0</v>
      </c>
      <c r="R88" s="55">
        <v>0</v>
      </c>
      <c r="S88" s="55">
        <v>0</v>
      </c>
      <c r="T88" s="43">
        <v>0</v>
      </c>
      <c r="U88" s="43">
        <v>0</v>
      </c>
      <c r="V88" s="43">
        <v>0</v>
      </c>
      <c r="W88" s="43">
        <v>0</v>
      </c>
      <c r="X88" s="43">
        <v>0</v>
      </c>
      <c r="Y88" s="59">
        <f t="shared" si="24"/>
        <v>0</v>
      </c>
      <c r="Z88" s="43">
        <v>0</v>
      </c>
      <c r="AA88" s="43">
        <v>0</v>
      </c>
      <c r="AB88" s="60">
        <v>0</v>
      </c>
      <c r="AC88" s="43"/>
      <c r="AD88" s="43"/>
      <c r="AE88" s="43"/>
      <c r="AF88" s="60">
        <f t="shared" si="25"/>
        <v>18234</v>
      </c>
      <c r="AG88" s="60"/>
      <c r="AH88" s="7"/>
      <c r="AI88" s="7">
        <v>12000</v>
      </c>
      <c r="AJ88" s="7">
        <v>0</v>
      </c>
      <c r="AK88" s="7">
        <v>0</v>
      </c>
      <c r="AL88" s="7">
        <v>0</v>
      </c>
      <c r="AM88" s="7">
        <v>0</v>
      </c>
      <c r="AO88" s="7">
        <f t="shared" si="26"/>
        <v>12000</v>
      </c>
      <c r="AP88" s="59">
        <f t="shared" si="17"/>
        <v>0</v>
      </c>
      <c r="AQ88" s="59">
        <f t="shared" si="18"/>
        <v>0</v>
      </c>
      <c r="AR88" s="59">
        <f t="shared" si="19"/>
        <v>0</v>
      </c>
      <c r="AS88" s="59">
        <f t="shared" si="20"/>
        <v>0</v>
      </c>
    </row>
    <row r="89" spans="1:45">
      <c r="A89" s="21" t="s">
        <v>745</v>
      </c>
      <c r="B89" s="177" t="s">
        <v>746</v>
      </c>
      <c r="C89" s="18" t="s">
        <v>99</v>
      </c>
      <c r="D89" s="18" t="s">
        <v>99</v>
      </c>
      <c r="E89" s="34"/>
      <c r="F89" s="20">
        <v>123140</v>
      </c>
      <c r="G89" s="19"/>
      <c r="H89" s="19">
        <f>15*14050</f>
        <v>210750</v>
      </c>
      <c r="I89" s="43">
        <v>50</v>
      </c>
      <c r="J89" s="43">
        <v>0</v>
      </c>
      <c r="K89" s="43">
        <v>0</v>
      </c>
      <c r="L89" s="43">
        <v>0</v>
      </c>
      <c r="M89" s="43">
        <v>0</v>
      </c>
      <c r="N89" s="44">
        <f t="shared" si="22"/>
        <v>50</v>
      </c>
      <c r="O89" s="44">
        <f>I89*$H$2+J89*$I$2+K89*$J$2+L89*$K$2+M89*$L$2</f>
        <v>682500</v>
      </c>
      <c r="P89" s="45">
        <f t="shared" si="23"/>
        <v>682500</v>
      </c>
      <c r="Q89" s="54">
        <v>0</v>
      </c>
      <c r="R89" s="55">
        <v>0</v>
      </c>
      <c r="S89" s="55">
        <v>0</v>
      </c>
      <c r="T89" s="43">
        <v>30</v>
      </c>
      <c r="U89" s="43">
        <v>0</v>
      </c>
      <c r="V89" s="43">
        <v>0</v>
      </c>
      <c r="W89" s="43">
        <v>0</v>
      </c>
      <c r="X89" s="43">
        <v>0</v>
      </c>
      <c r="Y89" s="59">
        <f t="shared" si="24"/>
        <v>30</v>
      </c>
      <c r="Z89" s="43">
        <v>427500</v>
      </c>
      <c r="AA89" s="43">
        <v>154500</v>
      </c>
      <c r="AB89" s="60">
        <v>0</v>
      </c>
      <c r="AC89" s="43"/>
      <c r="AD89" s="43"/>
      <c r="AE89" s="43"/>
      <c r="AF89" s="60">
        <f t="shared" si="25"/>
        <v>396140</v>
      </c>
      <c r="AG89" s="60">
        <f>AF89-AO89-H89</f>
        <v>113926.842105263</v>
      </c>
      <c r="AH89" s="7"/>
      <c r="AI89" s="7">
        <v>19200</v>
      </c>
      <c r="AJ89" s="7">
        <v>24000</v>
      </c>
      <c r="AK89" s="7">
        <v>23000</v>
      </c>
      <c r="AL89" s="7">
        <v>1403.50877192982</v>
      </c>
      <c r="AM89" s="7">
        <v>3859.64912280702</v>
      </c>
      <c r="AO89" s="7">
        <f t="shared" si="26"/>
        <v>71463.1578947368</v>
      </c>
      <c r="AP89" s="59">
        <f t="shared" si="17"/>
        <v>20</v>
      </c>
      <c r="AQ89" s="59">
        <f t="shared" si="18"/>
        <v>0</v>
      </c>
      <c r="AR89" s="59">
        <f t="shared" si="19"/>
        <v>1.53846153846154</v>
      </c>
      <c r="AS89" s="59">
        <f t="shared" si="20"/>
        <v>0</v>
      </c>
    </row>
    <row r="90" ht="15.15" spans="1:45">
      <c r="A90" s="21" t="s">
        <v>747</v>
      </c>
      <c r="B90" s="18" t="s">
        <v>748</v>
      </c>
      <c r="C90" s="18" t="s">
        <v>99</v>
      </c>
      <c r="D90" s="18" t="s">
        <v>99</v>
      </c>
      <c r="E90" s="33" t="s">
        <v>79</v>
      </c>
      <c r="F90" s="20">
        <v>724607.4</v>
      </c>
      <c r="G90" s="19">
        <v>0</v>
      </c>
      <c r="H90" s="19">
        <v>137000</v>
      </c>
      <c r="I90" s="43">
        <v>50</v>
      </c>
      <c r="J90" s="43">
        <v>0</v>
      </c>
      <c r="K90" s="43">
        <v>0</v>
      </c>
      <c r="L90" s="43">
        <v>0</v>
      </c>
      <c r="M90" s="43">
        <v>0</v>
      </c>
      <c r="N90" s="44">
        <f t="shared" si="22"/>
        <v>50</v>
      </c>
      <c r="O90" s="44">
        <f>I90*$H$2+J90*$I$2+K90*$J$2+L90*$K$2+M90*$L$2</f>
        <v>682500</v>
      </c>
      <c r="P90" s="45">
        <f t="shared" si="23"/>
        <v>682500</v>
      </c>
      <c r="Q90" s="54">
        <v>0</v>
      </c>
      <c r="R90" s="55">
        <v>0</v>
      </c>
      <c r="S90" s="55">
        <v>0</v>
      </c>
      <c r="T90" s="43">
        <v>0</v>
      </c>
      <c r="U90" s="43">
        <v>0</v>
      </c>
      <c r="V90" s="43">
        <v>0</v>
      </c>
      <c r="W90" s="43">
        <v>1</v>
      </c>
      <c r="X90" s="43">
        <v>0</v>
      </c>
      <c r="Y90" s="59">
        <f t="shared" si="24"/>
        <v>1</v>
      </c>
      <c r="Z90" s="43">
        <v>30930</v>
      </c>
      <c r="AA90" s="43">
        <v>200000</v>
      </c>
      <c r="AB90" s="60">
        <v>0</v>
      </c>
      <c r="AC90" s="43"/>
      <c r="AD90" s="43"/>
      <c r="AE90" s="43"/>
      <c r="AF90" s="60">
        <f t="shared" si="25"/>
        <v>555537.4</v>
      </c>
      <c r="AG90" s="60"/>
      <c r="AH90" s="69" t="e">
        <f>#REF!-#REF!</f>
        <v>#REF!</v>
      </c>
      <c r="AI90" s="7">
        <v>36060.4</v>
      </c>
      <c r="AJ90" s="7">
        <v>0</v>
      </c>
      <c r="AK90" s="7">
        <v>52730.2</v>
      </c>
      <c r="AL90" s="7">
        <v>1403.50877192982</v>
      </c>
      <c r="AM90" s="7">
        <v>0</v>
      </c>
      <c r="AO90" s="7">
        <f t="shared" si="26"/>
        <v>90194.1087719298</v>
      </c>
      <c r="AP90" s="59">
        <f t="shared" si="17"/>
        <v>50</v>
      </c>
      <c r="AQ90" s="59">
        <f t="shared" si="18"/>
        <v>0</v>
      </c>
      <c r="AR90" s="59">
        <f t="shared" si="19"/>
        <v>3.84615384615385</v>
      </c>
      <c r="AS90" s="59">
        <f t="shared" si="20"/>
        <v>0</v>
      </c>
    </row>
    <row r="91" ht="15.15" spans="1:45">
      <c r="A91" s="76" t="s">
        <v>749</v>
      </c>
      <c r="B91" s="77">
        <v>0</v>
      </c>
      <c r="C91" s="18">
        <v>0</v>
      </c>
      <c r="D91" s="18">
        <v>0</v>
      </c>
      <c r="E91" s="78"/>
      <c r="F91" s="32">
        <f t="shared" ref="F91:AB91" si="27">SUM(F77:F90)</f>
        <v>4079310.75</v>
      </c>
      <c r="G91" s="32">
        <f t="shared" si="27"/>
        <v>400000</v>
      </c>
      <c r="H91" s="32">
        <f t="shared" si="27"/>
        <v>1684750</v>
      </c>
      <c r="I91" s="32">
        <f t="shared" si="27"/>
        <v>215</v>
      </c>
      <c r="J91" s="32">
        <f t="shared" si="27"/>
        <v>0</v>
      </c>
      <c r="K91" s="32">
        <f t="shared" si="27"/>
        <v>0</v>
      </c>
      <c r="L91" s="32">
        <f t="shared" si="27"/>
        <v>0</v>
      </c>
      <c r="M91" s="32">
        <f t="shared" si="27"/>
        <v>0</v>
      </c>
      <c r="N91" s="32">
        <f t="shared" si="27"/>
        <v>215</v>
      </c>
      <c r="O91" s="32">
        <f t="shared" si="27"/>
        <v>2938500</v>
      </c>
      <c r="P91" s="32">
        <f t="shared" si="27"/>
        <v>2938500</v>
      </c>
      <c r="Q91" s="32">
        <f t="shared" si="27"/>
        <v>200450.77</v>
      </c>
      <c r="R91" s="32">
        <f t="shared" si="27"/>
        <v>125</v>
      </c>
      <c r="S91" s="32">
        <f t="shared" si="27"/>
        <v>0</v>
      </c>
      <c r="T91" s="32">
        <f>SUM(T77:T90)</f>
        <v>86</v>
      </c>
      <c r="U91" s="32">
        <f>SUM(U77:U90)</f>
        <v>0</v>
      </c>
      <c r="V91" s="32">
        <f>SUM(V77:V90)</f>
        <v>0</v>
      </c>
      <c r="W91" s="32">
        <f>SUM(W77:W90)</f>
        <v>1</v>
      </c>
      <c r="X91" s="32">
        <f>SUM(X77:X90)</f>
        <v>0</v>
      </c>
      <c r="Y91" s="32">
        <f>SUM(Y77:Y90)</f>
        <v>87</v>
      </c>
      <c r="Z91" s="32">
        <f>SUM(Z77:Z90)</f>
        <v>862680</v>
      </c>
      <c r="AA91" s="32">
        <f>SUM(AA77:AA90)</f>
        <v>578500</v>
      </c>
      <c r="AB91" s="32">
        <f>SUM(AB77:AB90)</f>
        <v>0</v>
      </c>
      <c r="AC91" s="32"/>
      <c r="AD91" s="32"/>
      <c r="AE91" s="32"/>
      <c r="AF91" s="32">
        <f>SUM(AF77:AF90)</f>
        <v>4363490.75</v>
      </c>
      <c r="AG91" s="60">
        <f>AF91-AO91-H91</f>
        <v>2226333.48333333</v>
      </c>
      <c r="AH91" s="66"/>
      <c r="AI91" s="32">
        <f>SUM(AI77:AI90)</f>
        <v>128760.4</v>
      </c>
      <c r="AJ91" s="32">
        <f>SUM(AJ77:AJ90)</f>
        <v>157750</v>
      </c>
      <c r="AK91" s="32">
        <f>SUM(AK77:AK90)</f>
        <v>159230.2</v>
      </c>
      <c r="AL91" s="32">
        <f>SUM(AL77:AL90)</f>
        <v>2807.01754385964</v>
      </c>
      <c r="AM91" s="32">
        <f>SUM(AM77:AM90)</f>
        <v>3859.64912280702</v>
      </c>
      <c r="AN91" s="67">
        <f>Y91/N91</f>
        <v>0.404651162790698</v>
      </c>
      <c r="AO91" s="71">
        <f>SUM(AO77:AO90)</f>
        <v>452407.266666667</v>
      </c>
      <c r="AP91" s="32">
        <f>SUM(AP77:AP90)</f>
        <v>129</v>
      </c>
      <c r="AQ91" s="32">
        <f>SUM(AQ77:AQ90)</f>
        <v>0</v>
      </c>
      <c r="AR91" s="59">
        <f t="shared" si="19"/>
        <v>9.92307692307692</v>
      </c>
      <c r="AS91" s="59">
        <f t="shared" si="20"/>
        <v>0</v>
      </c>
    </row>
    <row r="92" s="3" customFormat="1" spans="1:45">
      <c r="A92" s="79" t="s">
        <v>255</v>
      </c>
      <c r="B92" s="80"/>
      <c r="C92" s="18">
        <v>0</v>
      </c>
      <c r="D92" s="81"/>
      <c r="E92" s="80"/>
      <c r="F92" s="20">
        <v>0</v>
      </c>
      <c r="G92" s="82"/>
      <c r="H92" s="82"/>
      <c r="I92" s="43">
        <v>185</v>
      </c>
      <c r="J92" s="43">
        <v>0</v>
      </c>
      <c r="K92" s="43">
        <v>0</v>
      </c>
      <c r="L92" s="43">
        <v>2</v>
      </c>
      <c r="M92" s="43">
        <v>0</v>
      </c>
      <c r="N92" s="89">
        <f t="shared" ref="N92:N103" si="28">SUM(I92:M92)</f>
        <v>187</v>
      </c>
      <c r="O92" s="44">
        <v>1965000</v>
      </c>
      <c r="P92" s="45">
        <f t="shared" ref="P92:P113" si="29">O92</f>
        <v>1965000</v>
      </c>
      <c r="Q92" s="54">
        <v>474991.754385965</v>
      </c>
      <c r="R92" s="55">
        <v>0</v>
      </c>
      <c r="S92" s="55">
        <v>0</v>
      </c>
      <c r="T92" s="43">
        <v>0</v>
      </c>
      <c r="U92" s="43">
        <v>0</v>
      </c>
      <c r="V92" s="43">
        <v>0</v>
      </c>
      <c r="W92" s="43">
        <v>0</v>
      </c>
      <c r="X92" s="43">
        <v>0</v>
      </c>
      <c r="Y92" s="59">
        <f t="shared" ref="Y92:Y113" si="30">T92+U92+V92+W92+X92</f>
        <v>0</v>
      </c>
      <c r="Z92" s="43">
        <v>112622349</v>
      </c>
      <c r="AA92" s="43">
        <v>0</v>
      </c>
      <c r="AB92" s="60"/>
      <c r="AC92" s="43"/>
      <c r="AD92" s="43"/>
      <c r="AE92" s="43"/>
      <c r="AF92" s="82"/>
      <c r="AG92" s="82"/>
      <c r="AH92" s="91"/>
      <c r="AI92" s="7">
        <v>0</v>
      </c>
      <c r="AJ92" s="7">
        <v>0</v>
      </c>
      <c r="AK92" s="7">
        <v>0</v>
      </c>
      <c r="AL92" s="7">
        <v>4912.28070175439</v>
      </c>
      <c r="AM92" s="7">
        <v>0</v>
      </c>
      <c r="AN92" s="7"/>
      <c r="AO92" s="7">
        <f t="shared" ref="AO92:AO112" si="31">AI92+AJ92+AK92+AL92+AM92</f>
        <v>4912.28070175439</v>
      </c>
      <c r="AP92" s="59">
        <f t="shared" si="17"/>
        <v>185</v>
      </c>
      <c r="AQ92" s="59">
        <f t="shared" si="18"/>
        <v>0</v>
      </c>
      <c r="AR92" s="59">
        <f t="shared" si="19"/>
        <v>14.2307692307692</v>
      </c>
      <c r="AS92" s="59">
        <f t="shared" si="20"/>
        <v>0</v>
      </c>
    </row>
    <row r="93" s="3" customFormat="1" spans="1:45">
      <c r="A93" s="83" t="s">
        <v>578</v>
      </c>
      <c r="B93" s="80"/>
      <c r="C93" s="18">
        <v>0</v>
      </c>
      <c r="D93" s="81"/>
      <c r="E93" s="80"/>
      <c r="F93" s="20">
        <v>0</v>
      </c>
      <c r="G93" s="82"/>
      <c r="H93" s="82"/>
      <c r="I93" s="43">
        <v>185</v>
      </c>
      <c r="J93" s="43">
        <v>0</v>
      </c>
      <c r="K93" s="43">
        <v>0</v>
      </c>
      <c r="L93" s="43">
        <v>2</v>
      </c>
      <c r="M93" s="43">
        <v>0</v>
      </c>
      <c r="N93" s="89">
        <f t="shared" si="28"/>
        <v>187</v>
      </c>
      <c r="O93" s="44">
        <v>1965000</v>
      </c>
      <c r="P93" s="45">
        <f t="shared" si="29"/>
        <v>1965000</v>
      </c>
      <c r="Q93" s="54">
        <v>474991.754385965</v>
      </c>
      <c r="R93" s="55">
        <v>0</v>
      </c>
      <c r="S93" s="55">
        <v>0</v>
      </c>
      <c r="T93" s="43">
        <v>0</v>
      </c>
      <c r="U93" s="43">
        <v>0</v>
      </c>
      <c r="V93" s="43">
        <v>0</v>
      </c>
      <c r="W93" s="43">
        <v>0</v>
      </c>
      <c r="X93" s="43">
        <v>0</v>
      </c>
      <c r="Y93" s="59">
        <f t="shared" si="30"/>
        <v>0</v>
      </c>
      <c r="Z93" s="43">
        <v>112622349</v>
      </c>
      <c r="AA93" s="43">
        <v>0</v>
      </c>
      <c r="AB93" s="60"/>
      <c r="AC93" s="43"/>
      <c r="AD93" s="43"/>
      <c r="AE93" s="43"/>
      <c r="AF93" s="82"/>
      <c r="AG93" s="82"/>
      <c r="AH93" s="91"/>
      <c r="AI93" s="7">
        <v>0</v>
      </c>
      <c r="AJ93" s="7">
        <v>0</v>
      </c>
      <c r="AK93" s="7">
        <v>0</v>
      </c>
      <c r="AL93" s="7">
        <v>4912.28070175439</v>
      </c>
      <c r="AM93" s="7">
        <v>0</v>
      </c>
      <c r="AN93" s="7"/>
      <c r="AO93" s="7">
        <f t="shared" si="31"/>
        <v>4912.28070175439</v>
      </c>
      <c r="AP93" s="59">
        <f t="shared" si="17"/>
        <v>185</v>
      </c>
      <c r="AQ93" s="59">
        <f t="shared" si="18"/>
        <v>0</v>
      </c>
      <c r="AR93" s="59">
        <f t="shared" si="19"/>
        <v>14.2307692307692</v>
      </c>
      <c r="AS93" s="59">
        <f t="shared" si="20"/>
        <v>0</v>
      </c>
    </row>
    <row r="94" spans="1:45">
      <c r="A94" s="21" t="s">
        <v>750</v>
      </c>
      <c r="B94" s="18" t="s">
        <v>751</v>
      </c>
      <c r="C94" s="18">
        <v>0</v>
      </c>
      <c r="D94" s="18" t="s">
        <v>2</v>
      </c>
      <c r="E94" s="19"/>
      <c r="F94" s="20">
        <v>11930</v>
      </c>
      <c r="G94" s="19">
        <v>0</v>
      </c>
      <c r="H94" s="19">
        <v>140500</v>
      </c>
      <c r="I94" s="43">
        <v>0</v>
      </c>
      <c r="J94" s="43">
        <v>0</v>
      </c>
      <c r="K94" s="43">
        <v>0</v>
      </c>
      <c r="L94" s="43">
        <v>0</v>
      </c>
      <c r="M94" s="43">
        <v>0</v>
      </c>
      <c r="N94" s="44">
        <f t="shared" si="28"/>
        <v>0</v>
      </c>
      <c r="O94" s="44">
        <f>I94*$H$3+J94*$I$3+K94*$J$3+L94*$K$3+M94*$L$3</f>
        <v>0</v>
      </c>
      <c r="P94" s="45">
        <f t="shared" si="29"/>
        <v>0</v>
      </c>
      <c r="Q94" s="54">
        <v>0</v>
      </c>
      <c r="R94" s="55">
        <v>0</v>
      </c>
      <c r="S94" s="55">
        <v>0</v>
      </c>
      <c r="T94" s="43">
        <v>0</v>
      </c>
      <c r="U94" s="43">
        <v>0</v>
      </c>
      <c r="V94" s="43">
        <v>0</v>
      </c>
      <c r="W94" s="43">
        <v>0</v>
      </c>
      <c r="X94" s="43">
        <v>0</v>
      </c>
      <c r="Y94" s="59">
        <f t="shared" si="30"/>
        <v>0</v>
      </c>
      <c r="Z94" s="43">
        <v>0</v>
      </c>
      <c r="AA94" s="43">
        <v>0</v>
      </c>
      <c r="AB94" s="60">
        <v>0</v>
      </c>
      <c r="AC94" s="43"/>
      <c r="AD94" s="43"/>
      <c r="AE94" s="43"/>
      <c r="AF94" s="60">
        <f t="shared" ref="AF94:AF113" si="32">F94+Z94-AA94-AB94-AC94-AD94-AE94</f>
        <v>11930</v>
      </c>
      <c r="AG94" s="60"/>
      <c r="AH94" s="7"/>
      <c r="AI94" s="7">
        <v>2052.08</v>
      </c>
      <c r="AJ94" s="7">
        <v>7500</v>
      </c>
      <c r="AK94" s="7">
        <v>0</v>
      </c>
      <c r="AL94" s="7">
        <v>0</v>
      </c>
      <c r="AM94" s="7">
        <v>0</v>
      </c>
      <c r="AN94" s="92">
        <v>0</v>
      </c>
      <c r="AO94" s="7">
        <f t="shared" si="31"/>
        <v>9552.08</v>
      </c>
      <c r="AP94" s="59">
        <f t="shared" si="17"/>
        <v>0</v>
      </c>
      <c r="AQ94" s="59">
        <f t="shared" si="18"/>
        <v>0</v>
      </c>
      <c r="AR94" s="59">
        <f t="shared" si="19"/>
        <v>0</v>
      </c>
      <c r="AS94" s="59">
        <f t="shared" si="20"/>
        <v>0</v>
      </c>
    </row>
    <row r="95" spans="1:45">
      <c r="A95" s="21" t="s">
        <v>752</v>
      </c>
      <c r="B95" s="18" t="s">
        <v>753</v>
      </c>
      <c r="C95" s="18" t="s">
        <v>2</v>
      </c>
      <c r="D95" s="18" t="s">
        <v>2</v>
      </c>
      <c r="E95" s="19"/>
      <c r="F95" s="20">
        <v>-491694.32</v>
      </c>
      <c r="G95" s="19">
        <v>2500000</v>
      </c>
      <c r="H95" s="19">
        <v>4261000</v>
      </c>
      <c r="I95" s="43">
        <v>260</v>
      </c>
      <c r="J95" s="43">
        <v>0</v>
      </c>
      <c r="K95" s="43">
        <v>40</v>
      </c>
      <c r="L95" s="43">
        <v>0</v>
      </c>
      <c r="M95" s="43">
        <v>0</v>
      </c>
      <c r="N95" s="44">
        <f t="shared" si="28"/>
        <v>300</v>
      </c>
      <c r="O95" s="44">
        <f>I95*$H$3+J95*$I$3+K95*$J$3+L95*$K$3+M95*$L$3</f>
        <v>4020500</v>
      </c>
      <c r="P95" s="45">
        <f t="shared" si="29"/>
        <v>4020500</v>
      </c>
      <c r="Q95" s="54">
        <v>0</v>
      </c>
      <c r="R95" s="55">
        <v>260</v>
      </c>
      <c r="S95" s="55">
        <v>40</v>
      </c>
      <c r="T95" s="43">
        <v>92</v>
      </c>
      <c r="U95" s="43">
        <v>15</v>
      </c>
      <c r="V95" s="43">
        <v>30</v>
      </c>
      <c r="W95" s="43">
        <v>0</v>
      </c>
      <c r="X95" s="43">
        <v>0</v>
      </c>
      <c r="Y95" s="59">
        <f t="shared" si="30"/>
        <v>137</v>
      </c>
      <c r="Z95" s="43">
        <v>1887750</v>
      </c>
      <c r="AA95" s="43">
        <v>0</v>
      </c>
      <c r="AB95" s="60">
        <v>0</v>
      </c>
      <c r="AC95" s="43"/>
      <c r="AD95" s="43"/>
      <c r="AE95" s="43"/>
      <c r="AF95" s="60">
        <f t="shared" si="32"/>
        <v>1396055.68</v>
      </c>
      <c r="AG95" s="60">
        <f>AF95-AO95-H95</f>
        <v>-3577482.91649123</v>
      </c>
      <c r="AH95" s="69"/>
      <c r="AI95" s="7">
        <v>261600</v>
      </c>
      <c r="AJ95" s="7">
        <v>111750</v>
      </c>
      <c r="AK95" s="7">
        <v>235750</v>
      </c>
      <c r="AL95" s="7">
        <v>0</v>
      </c>
      <c r="AM95" s="7">
        <v>103438.596491228</v>
      </c>
      <c r="AN95" s="92">
        <v>0</v>
      </c>
      <c r="AO95" s="7">
        <f t="shared" si="31"/>
        <v>712538.596491228</v>
      </c>
      <c r="AP95" s="59">
        <f t="shared" si="17"/>
        <v>153</v>
      </c>
      <c r="AQ95" s="59">
        <f t="shared" si="18"/>
        <v>10</v>
      </c>
      <c r="AR95" s="59">
        <f t="shared" si="19"/>
        <v>11.7692307692308</v>
      </c>
      <c r="AS95" s="59">
        <f t="shared" si="20"/>
        <v>0.769230769230769</v>
      </c>
    </row>
    <row r="96" spans="1:45">
      <c r="A96" s="21" t="s">
        <v>754</v>
      </c>
      <c r="B96" s="18" t="s">
        <v>755</v>
      </c>
      <c r="C96" s="18" t="s">
        <v>151</v>
      </c>
      <c r="D96" s="18" t="s">
        <v>151</v>
      </c>
      <c r="E96" s="19"/>
      <c r="F96" s="20">
        <v>2525200</v>
      </c>
      <c r="G96" s="19"/>
      <c r="H96" s="19"/>
      <c r="I96" s="43">
        <v>740</v>
      </c>
      <c r="J96" s="43">
        <v>0</v>
      </c>
      <c r="K96" s="43">
        <v>260</v>
      </c>
      <c r="L96" s="43">
        <v>0</v>
      </c>
      <c r="M96" s="43">
        <v>0</v>
      </c>
      <c r="N96" s="44">
        <f t="shared" si="28"/>
        <v>1000</v>
      </c>
      <c r="O96" s="44">
        <f>I96*$H$4+J96*$I$4+K96*$J$4+L96*$K$4+M96*$L$4</f>
        <v>4740000</v>
      </c>
      <c r="P96" s="45">
        <f t="shared" si="29"/>
        <v>4740000</v>
      </c>
      <c r="Q96" s="54">
        <v>874530</v>
      </c>
      <c r="R96" s="55">
        <v>740</v>
      </c>
      <c r="S96" s="55">
        <v>260</v>
      </c>
      <c r="T96" s="43">
        <v>174</v>
      </c>
      <c r="U96" s="43">
        <v>5</v>
      </c>
      <c r="V96" s="43">
        <v>80</v>
      </c>
      <c r="W96" s="43">
        <v>0</v>
      </c>
      <c r="X96" s="43">
        <v>0</v>
      </c>
      <c r="Y96" s="59">
        <f t="shared" si="30"/>
        <v>259</v>
      </c>
      <c r="Z96" s="43">
        <v>1225500</v>
      </c>
      <c r="AA96" s="43">
        <v>1500000</v>
      </c>
      <c r="AB96" s="60">
        <v>0</v>
      </c>
      <c r="AC96" s="43"/>
      <c r="AD96" s="43"/>
      <c r="AE96" s="43"/>
      <c r="AF96" s="60">
        <f t="shared" si="32"/>
        <v>2250700</v>
      </c>
      <c r="AG96" s="60">
        <f>AF96-AO96-H96</f>
        <v>582530</v>
      </c>
      <c r="AH96" s="7"/>
      <c r="AI96" s="7">
        <v>488400</v>
      </c>
      <c r="AJ96" s="7">
        <v>544800</v>
      </c>
      <c r="AK96" s="7">
        <v>634970</v>
      </c>
      <c r="AL96" s="7">
        <v>0</v>
      </c>
      <c r="AM96" s="7">
        <v>0</v>
      </c>
      <c r="AN96" s="92" t="s">
        <v>756</v>
      </c>
      <c r="AO96" s="7">
        <f t="shared" si="31"/>
        <v>1668170</v>
      </c>
      <c r="AP96" s="59">
        <f t="shared" si="17"/>
        <v>561</v>
      </c>
      <c r="AQ96" s="59">
        <f t="shared" si="18"/>
        <v>180</v>
      </c>
      <c r="AR96" s="59">
        <f t="shared" si="19"/>
        <v>43.1538461538462</v>
      </c>
      <c r="AS96" s="59">
        <f t="shared" si="20"/>
        <v>13.8461538461538</v>
      </c>
    </row>
    <row r="97" spans="1:45">
      <c r="A97" s="21" t="s">
        <v>757</v>
      </c>
      <c r="B97" s="18" t="s">
        <v>758</v>
      </c>
      <c r="C97" s="18">
        <v>0</v>
      </c>
      <c r="D97" s="18">
        <v>0</v>
      </c>
      <c r="E97" s="19"/>
      <c r="F97" s="20">
        <v>15450</v>
      </c>
      <c r="G97" s="19">
        <v>0</v>
      </c>
      <c r="H97" s="19">
        <v>0</v>
      </c>
      <c r="I97" s="43">
        <v>0</v>
      </c>
      <c r="J97" s="43">
        <v>0</v>
      </c>
      <c r="K97" s="43">
        <v>0</v>
      </c>
      <c r="L97" s="43">
        <v>0</v>
      </c>
      <c r="M97" s="43">
        <v>0</v>
      </c>
      <c r="N97" s="44">
        <f t="shared" si="28"/>
        <v>0</v>
      </c>
      <c r="O97" s="44">
        <v>0</v>
      </c>
      <c r="P97" s="45">
        <f t="shared" si="29"/>
        <v>0</v>
      </c>
      <c r="Q97" s="54">
        <v>0</v>
      </c>
      <c r="R97" s="55">
        <v>0</v>
      </c>
      <c r="S97" s="55">
        <v>0</v>
      </c>
      <c r="T97" s="43">
        <v>0</v>
      </c>
      <c r="U97" s="43">
        <v>0</v>
      </c>
      <c r="V97" s="43">
        <v>0</v>
      </c>
      <c r="W97" s="43">
        <v>0</v>
      </c>
      <c r="X97" s="43">
        <v>0</v>
      </c>
      <c r="Y97" s="59">
        <f t="shared" si="30"/>
        <v>0</v>
      </c>
      <c r="Z97" s="43">
        <v>0</v>
      </c>
      <c r="AA97" s="43">
        <v>0</v>
      </c>
      <c r="AB97" s="60">
        <v>0</v>
      </c>
      <c r="AC97" s="43"/>
      <c r="AD97" s="43"/>
      <c r="AE97" s="43"/>
      <c r="AF97" s="60">
        <f t="shared" si="32"/>
        <v>15450</v>
      </c>
      <c r="AG97" s="60"/>
      <c r="AH97" s="7"/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92">
        <v>0</v>
      </c>
      <c r="AO97" s="7">
        <f t="shared" si="31"/>
        <v>0</v>
      </c>
      <c r="AP97" s="59">
        <f t="shared" si="17"/>
        <v>0</v>
      </c>
      <c r="AQ97" s="59">
        <f t="shared" si="18"/>
        <v>0</v>
      </c>
      <c r="AR97" s="59">
        <f t="shared" si="19"/>
        <v>0</v>
      </c>
      <c r="AS97" s="59">
        <f t="shared" si="20"/>
        <v>0</v>
      </c>
    </row>
    <row r="98" spans="1:45">
      <c r="A98" s="21" t="s">
        <v>759</v>
      </c>
      <c r="B98" s="18" t="s">
        <v>760</v>
      </c>
      <c r="C98" s="18">
        <v>0</v>
      </c>
      <c r="D98" s="18">
        <v>0</v>
      </c>
      <c r="E98" s="19"/>
      <c r="F98" s="20">
        <v>47132</v>
      </c>
      <c r="G98" s="19">
        <v>0</v>
      </c>
      <c r="H98" s="19">
        <v>705500</v>
      </c>
      <c r="I98" s="43">
        <v>0</v>
      </c>
      <c r="J98" s="43">
        <v>0</v>
      </c>
      <c r="K98" s="43">
        <v>0</v>
      </c>
      <c r="L98" s="43">
        <v>0</v>
      </c>
      <c r="M98" s="43">
        <v>0</v>
      </c>
      <c r="N98" s="44">
        <f t="shared" si="28"/>
        <v>0</v>
      </c>
      <c r="O98" s="44">
        <v>0</v>
      </c>
      <c r="P98" s="45">
        <f t="shared" si="29"/>
        <v>0</v>
      </c>
      <c r="Q98" s="54">
        <v>0</v>
      </c>
      <c r="R98" s="55">
        <v>0</v>
      </c>
      <c r="S98" s="55">
        <v>0</v>
      </c>
      <c r="T98" s="43">
        <v>0</v>
      </c>
      <c r="U98" s="43">
        <v>0</v>
      </c>
      <c r="V98" s="43">
        <v>0</v>
      </c>
      <c r="W98" s="43">
        <v>0</v>
      </c>
      <c r="X98" s="43">
        <v>0</v>
      </c>
      <c r="Y98" s="59">
        <f t="shared" si="30"/>
        <v>0</v>
      </c>
      <c r="Z98" s="43">
        <v>0</v>
      </c>
      <c r="AA98" s="43">
        <v>0</v>
      </c>
      <c r="AB98" s="60">
        <v>0</v>
      </c>
      <c r="AC98" s="43"/>
      <c r="AD98" s="43"/>
      <c r="AE98" s="43"/>
      <c r="AF98" s="60">
        <f t="shared" si="32"/>
        <v>47132</v>
      </c>
      <c r="AG98" s="60"/>
      <c r="AH98" s="7"/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92">
        <v>0</v>
      </c>
      <c r="AO98" s="7">
        <f t="shared" si="31"/>
        <v>0</v>
      </c>
      <c r="AP98" s="59">
        <f t="shared" si="17"/>
        <v>0</v>
      </c>
      <c r="AQ98" s="59">
        <f t="shared" si="18"/>
        <v>0</v>
      </c>
      <c r="AR98" s="59">
        <f t="shared" si="19"/>
        <v>0</v>
      </c>
      <c r="AS98" s="59">
        <f t="shared" si="20"/>
        <v>0</v>
      </c>
    </row>
    <row r="99" spans="1:45">
      <c r="A99" s="21" t="s">
        <v>761</v>
      </c>
      <c r="B99" s="84" t="s">
        <v>762</v>
      </c>
      <c r="C99" s="18" t="s">
        <v>49</v>
      </c>
      <c r="D99" s="84" t="s">
        <v>49</v>
      </c>
      <c r="E99" s="85"/>
      <c r="F99" s="20">
        <v>987790</v>
      </c>
      <c r="G99" s="85"/>
      <c r="H99" s="85"/>
      <c r="I99" s="43">
        <v>250</v>
      </c>
      <c r="J99" s="43">
        <v>0</v>
      </c>
      <c r="K99" s="43">
        <v>0</v>
      </c>
      <c r="L99" s="43">
        <v>0</v>
      </c>
      <c r="M99" s="43">
        <v>0</v>
      </c>
      <c r="N99" s="90">
        <f t="shared" si="28"/>
        <v>250</v>
      </c>
      <c r="O99" s="44">
        <f>I99*$H$4+J99*$I$4+K99*$J$4+L99*$K$4+M99*$L$4</f>
        <v>1250000</v>
      </c>
      <c r="P99" s="45">
        <f t="shared" si="29"/>
        <v>1250000</v>
      </c>
      <c r="Q99" s="54">
        <v>612790</v>
      </c>
      <c r="R99" s="55">
        <v>200</v>
      </c>
      <c r="S99" s="55">
        <v>0</v>
      </c>
      <c r="T99" s="43">
        <v>60</v>
      </c>
      <c r="U99" s="43">
        <v>0</v>
      </c>
      <c r="V99" s="43">
        <v>0</v>
      </c>
      <c r="W99" s="43">
        <v>0</v>
      </c>
      <c r="X99" s="43">
        <v>0</v>
      </c>
      <c r="Y99" s="59">
        <f t="shared" si="30"/>
        <v>60</v>
      </c>
      <c r="Z99" s="43">
        <v>330000</v>
      </c>
      <c r="AA99" s="43">
        <v>0</v>
      </c>
      <c r="AB99" s="60">
        <v>0</v>
      </c>
      <c r="AC99" s="43"/>
      <c r="AD99" s="43"/>
      <c r="AE99" s="43"/>
      <c r="AF99" s="43">
        <f t="shared" si="32"/>
        <v>1317790</v>
      </c>
      <c r="AG99" s="43"/>
      <c r="AH99" s="7"/>
      <c r="AI99" s="7">
        <v>111300</v>
      </c>
      <c r="AJ99" s="7">
        <v>136000</v>
      </c>
      <c r="AK99" s="7">
        <v>157200</v>
      </c>
      <c r="AL99" s="7">
        <v>0</v>
      </c>
      <c r="AM99" s="7">
        <v>0</v>
      </c>
      <c r="AN99" s="92" t="s">
        <v>756</v>
      </c>
      <c r="AO99" s="7">
        <f t="shared" si="31"/>
        <v>404500</v>
      </c>
      <c r="AP99" s="59">
        <f t="shared" si="17"/>
        <v>190</v>
      </c>
      <c r="AQ99" s="59">
        <f t="shared" si="18"/>
        <v>0</v>
      </c>
      <c r="AR99" s="59">
        <f t="shared" si="19"/>
        <v>14.6153846153846</v>
      </c>
      <c r="AS99" s="59">
        <f t="shared" si="20"/>
        <v>0</v>
      </c>
    </row>
    <row r="100" spans="1:45">
      <c r="A100" s="21" t="s">
        <v>763</v>
      </c>
      <c r="B100" s="18" t="s">
        <v>764</v>
      </c>
      <c r="C100" s="18">
        <v>0</v>
      </c>
      <c r="D100" s="18">
        <v>0</v>
      </c>
      <c r="E100" s="19"/>
      <c r="F100" s="20">
        <v>53</v>
      </c>
      <c r="G100" s="19">
        <v>0</v>
      </c>
      <c r="H100" s="19">
        <v>0</v>
      </c>
      <c r="I100" s="43">
        <v>0</v>
      </c>
      <c r="J100" s="43">
        <v>0</v>
      </c>
      <c r="K100" s="43">
        <v>0</v>
      </c>
      <c r="L100" s="43">
        <v>0</v>
      </c>
      <c r="M100" s="43">
        <v>0</v>
      </c>
      <c r="N100" s="44">
        <f t="shared" si="28"/>
        <v>0</v>
      </c>
      <c r="O100" s="44">
        <v>0</v>
      </c>
      <c r="P100" s="45">
        <f t="shared" si="29"/>
        <v>0</v>
      </c>
      <c r="Q100" s="54">
        <v>0</v>
      </c>
      <c r="R100" s="55">
        <v>0</v>
      </c>
      <c r="S100" s="55">
        <v>0</v>
      </c>
      <c r="T100" s="43">
        <v>0</v>
      </c>
      <c r="U100" s="43">
        <v>0</v>
      </c>
      <c r="V100" s="43">
        <v>0</v>
      </c>
      <c r="W100" s="43">
        <v>0</v>
      </c>
      <c r="X100" s="43">
        <v>0</v>
      </c>
      <c r="Y100" s="59">
        <f t="shared" si="30"/>
        <v>0</v>
      </c>
      <c r="Z100" s="43">
        <v>0</v>
      </c>
      <c r="AA100" s="43">
        <v>0</v>
      </c>
      <c r="AB100" s="60">
        <v>0</v>
      </c>
      <c r="AC100" s="43"/>
      <c r="AD100" s="43"/>
      <c r="AE100" s="43"/>
      <c r="AF100" s="60">
        <f t="shared" si="32"/>
        <v>53</v>
      </c>
      <c r="AG100" s="60"/>
      <c r="AH100" s="7"/>
      <c r="AI100" s="7">
        <v>0</v>
      </c>
      <c r="AJ100" s="7">
        <v>0</v>
      </c>
      <c r="AK100" s="7">
        <v>0</v>
      </c>
      <c r="AL100" s="7">
        <v>0</v>
      </c>
      <c r="AM100" s="7">
        <v>0</v>
      </c>
      <c r="AN100" s="92">
        <v>0</v>
      </c>
      <c r="AO100" s="7">
        <f t="shared" si="31"/>
        <v>0</v>
      </c>
      <c r="AP100" s="59">
        <f t="shared" si="17"/>
        <v>0</v>
      </c>
      <c r="AQ100" s="59">
        <f t="shared" si="18"/>
        <v>0</v>
      </c>
      <c r="AR100" s="59">
        <f t="shared" si="19"/>
        <v>0</v>
      </c>
      <c r="AS100" s="59">
        <f t="shared" si="20"/>
        <v>0</v>
      </c>
    </row>
    <row r="101" spans="1:45">
      <c r="A101" s="21" t="s">
        <v>765</v>
      </c>
      <c r="B101" s="176" t="s">
        <v>766</v>
      </c>
      <c r="C101" s="18">
        <v>0</v>
      </c>
      <c r="D101" s="18" t="s">
        <v>2</v>
      </c>
      <c r="E101" s="19"/>
      <c r="F101" s="20">
        <v>269036.4</v>
      </c>
      <c r="G101" s="19">
        <v>250000</v>
      </c>
      <c r="H101" s="19"/>
      <c r="I101" s="43">
        <v>0</v>
      </c>
      <c r="J101" s="43">
        <v>0</v>
      </c>
      <c r="K101" s="43">
        <v>0</v>
      </c>
      <c r="L101" s="43">
        <v>0</v>
      </c>
      <c r="M101" s="43">
        <v>0</v>
      </c>
      <c r="N101" s="44">
        <f t="shared" si="28"/>
        <v>0</v>
      </c>
      <c r="O101" s="44">
        <f>I101*$H$3+J101*$I$3+K101*$J$3+L101*$K$3+M101*$L$3</f>
        <v>0</v>
      </c>
      <c r="P101" s="45">
        <f t="shared" si="29"/>
        <v>0</v>
      </c>
      <c r="Q101" s="54">
        <v>0</v>
      </c>
      <c r="R101" s="55">
        <v>0</v>
      </c>
      <c r="S101" s="55">
        <v>0</v>
      </c>
      <c r="T101" s="43">
        <v>0</v>
      </c>
      <c r="U101" s="43">
        <v>0</v>
      </c>
      <c r="V101" s="43">
        <v>0</v>
      </c>
      <c r="W101" s="43">
        <v>0</v>
      </c>
      <c r="X101" s="43">
        <v>0</v>
      </c>
      <c r="Y101" s="59">
        <f t="shared" si="30"/>
        <v>0</v>
      </c>
      <c r="Z101" s="43">
        <v>0</v>
      </c>
      <c r="AA101" s="43">
        <v>0</v>
      </c>
      <c r="AB101" s="60">
        <v>0</v>
      </c>
      <c r="AC101" s="43"/>
      <c r="AD101" s="43"/>
      <c r="AE101" s="43"/>
      <c r="AF101" s="60">
        <f t="shared" si="32"/>
        <v>269036.4</v>
      </c>
      <c r="AG101" s="60"/>
      <c r="AH101" s="69"/>
      <c r="AI101" s="7">
        <v>0</v>
      </c>
      <c r="AJ101" s="7">
        <v>0</v>
      </c>
      <c r="AK101" s="7">
        <v>0</v>
      </c>
      <c r="AL101" s="7">
        <v>0</v>
      </c>
      <c r="AM101" s="7">
        <v>0</v>
      </c>
      <c r="AN101" s="92">
        <v>0</v>
      </c>
      <c r="AO101" s="7">
        <f t="shared" si="31"/>
        <v>0</v>
      </c>
      <c r="AP101" s="59">
        <f t="shared" si="17"/>
        <v>0</v>
      </c>
      <c r="AQ101" s="59">
        <f t="shared" si="18"/>
        <v>0</v>
      </c>
      <c r="AR101" s="59">
        <f t="shared" si="19"/>
        <v>0</v>
      </c>
      <c r="AS101" s="59">
        <f t="shared" si="20"/>
        <v>0</v>
      </c>
    </row>
    <row r="102" spans="1:45">
      <c r="A102" s="21" t="s">
        <v>767</v>
      </c>
      <c r="B102" s="18" t="s">
        <v>768</v>
      </c>
      <c r="C102" s="18">
        <v>0</v>
      </c>
      <c r="D102" s="18">
        <v>0</v>
      </c>
      <c r="E102" s="19"/>
      <c r="F102" s="20">
        <v>0.8</v>
      </c>
      <c r="G102" s="19">
        <v>0</v>
      </c>
      <c r="H102" s="19">
        <v>0</v>
      </c>
      <c r="I102" s="43">
        <v>0</v>
      </c>
      <c r="J102" s="43">
        <v>0</v>
      </c>
      <c r="K102" s="43">
        <v>0</v>
      </c>
      <c r="L102" s="43">
        <v>0</v>
      </c>
      <c r="M102" s="43">
        <v>0</v>
      </c>
      <c r="N102" s="44">
        <f t="shared" si="28"/>
        <v>0</v>
      </c>
      <c r="O102" s="44">
        <v>0</v>
      </c>
      <c r="P102" s="45">
        <f t="shared" si="29"/>
        <v>0</v>
      </c>
      <c r="Q102" s="54">
        <v>0</v>
      </c>
      <c r="R102" s="55">
        <v>0</v>
      </c>
      <c r="S102" s="55">
        <v>0</v>
      </c>
      <c r="T102" s="43">
        <v>0</v>
      </c>
      <c r="U102" s="43">
        <v>0</v>
      </c>
      <c r="V102" s="43">
        <v>0</v>
      </c>
      <c r="W102" s="43">
        <v>0</v>
      </c>
      <c r="X102" s="43">
        <v>0</v>
      </c>
      <c r="Y102" s="59">
        <f t="shared" si="30"/>
        <v>0</v>
      </c>
      <c r="Z102" s="43">
        <v>0</v>
      </c>
      <c r="AA102" s="43">
        <v>0</v>
      </c>
      <c r="AB102" s="60">
        <v>0</v>
      </c>
      <c r="AC102" s="43"/>
      <c r="AD102" s="43"/>
      <c r="AE102" s="43"/>
      <c r="AF102" s="60">
        <f t="shared" si="32"/>
        <v>0.8</v>
      </c>
      <c r="AG102" s="60"/>
      <c r="AH102" s="7"/>
      <c r="AI102" s="7">
        <v>0</v>
      </c>
      <c r="AJ102" s="7">
        <v>0</v>
      </c>
      <c r="AK102" s="7">
        <v>0</v>
      </c>
      <c r="AL102" s="7">
        <v>0</v>
      </c>
      <c r="AM102" s="7">
        <v>0</v>
      </c>
      <c r="AN102" s="92">
        <v>0</v>
      </c>
      <c r="AO102" s="7">
        <f t="shared" si="31"/>
        <v>0</v>
      </c>
      <c r="AP102" s="59">
        <f t="shared" si="17"/>
        <v>0</v>
      </c>
      <c r="AQ102" s="59">
        <f t="shared" si="18"/>
        <v>0</v>
      </c>
      <c r="AR102" s="59">
        <f t="shared" si="19"/>
        <v>0</v>
      </c>
      <c r="AS102" s="59">
        <f t="shared" si="20"/>
        <v>0</v>
      </c>
    </row>
    <row r="103" spans="1:45">
      <c r="A103" s="21" t="s">
        <v>769</v>
      </c>
      <c r="B103" s="18" t="s">
        <v>770</v>
      </c>
      <c r="C103" s="18">
        <v>0</v>
      </c>
      <c r="D103" s="18">
        <v>0</v>
      </c>
      <c r="E103" s="19"/>
      <c r="F103" s="20">
        <v>-12820.88</v>
      </c>
      <c r="G103" s="19">
        <v>0</v>
      </c>
      <c r="H103" s="19">
        <v>0</v>
      </c>
      <c r="I103" s="43">
        <v>0</v>
      </c>
      <c r="J103" s="43">
        <v>0</v>
      </c>
      <c r="K103" s="43">
        <v>0</v>
      </c>
      <c r="L103" s="43">
        <v>0</v>
      </c>
      <c r="M103" s="43">
        <v>0</v>
      </c>
      <c r="N103" s="44">
        <f t="shared" si="28"/>
        <v>0</v>
      </c>
      <c r="O103" s="44">
        <v>0</v>
      </c>
      <c r="P103" s="45">
        <f t="shared" si="29"/>
        <v>0</v>
      </c>
      <c r="Q103" s="54">
        <v>0</v>
      </c>
      <c r="R103" s="55">
        <v>0</v>
      </c>
      <c r="S103" s="55">
        <v>0</v>
      </c>
      <c r="T103" s="43">
        <v>0</v>
      </c>
      <c r="U103" s="43">
        <v>0</v>
      </c>
      <c r="V103" s="43">
        <v>0</v>
      </c>
      <c r="W103" s="43">
        <v>0</v>
      </c>
      <c r="X103" s="43">
        <v>0</v>
      </c>
      <c r="Y103" s="59">
        <f t="shared" si="30"/>
        <v>0</v>
      </c>
      <c r="Z103" s="43">
        <v>0</v>
      </c>
      <c r="AA103" s="43">
        <v>0</v>
      </c>
      <c r="AB103" s="60">
        <v>0</v>
      </c>
      <c r="AC103" s="43"/>
      <c r="AD103" s="43"/>
      <c r="AE103" s="43"/>
      <c r="AF103" s="60">
        <f t="shared" si="32"/>
        <v>-12820.88</v>
      </c>
      <c r="AG103" s="60"/>
      <c r="AH103" s="7"/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92">
        <v>0</v>
      </c>
      <c r="AO103" s="7">
        <f t="shared" si="31"/>
        <v>0</v>
      </c>
      <c r="AP103" s="59">
        <f t="shared" si="17"/>
        <v>0</v>
      </c>
      <c r="AQ103" s="59">
        <f t="shared" si="18"/>
        <v>0</v>
      </c>
      <c r="AR103" s="59">
        <f t="shared" si="19"/>
        <v>0</v>
      </c>
      <c r="AS103" s="59">
        <f t="shared" si="20"/>
        <v>0</v>
      </c>
    </row>
    <row r="104" spans="1:45">
      <c r="A104" s="21" t="s">
        <v>771</v>
      </c>
      <c r="B104" s="176" t="s">
        <v>772</v>
      </c>
      <c r="C104" s="18"/>
      <c r="D104" s="18"/>
      <c r="E104" s="19"/>
      <c r="F104" s="20">
        <v>0</v>
      </c>
      <c r="G104" s="19"/>
      <c r="H104" s="19"/>
      <c r="I104" s="43">
        <v>0</v>
      </c>
      <c r="J104" s="43">
        <v>0</v>
      </c>
      <c r="K104" s="43">
        <v>0</v>
      </c>
      <c r="L104" s="43">
        <v>0</v>
      </c>
      <c r="M104" s="43">
        <v>0</v>
      </c>
      <c r="N104" s="44"/>
      <c r="O104" s="44"/>
      <c r="P104" s="45">
        <f t="shared" si="29"/>
        <v>0</v>
      </c>
      <c r="Q104" s="54"/>
      <c r="R104" s="55">
        <v>0</v>
      </c>
      <c r="S104" s="55">
        <v>0</v>
      </c>
      <c r="T104" s="43">
        <v>0</v>
      </c>
      <c r="U104" s="43">
        <v>0</v>
      </c>
      <c r="V104" s="43">
        <v>0</v>
      </c>
      <c r="W104" s="43">
        <v>0</v>
      </c>
      <c r="X104" s="43">
        <v>0</v>
      </c>
      <c r="Y104" s="59">
        <f t="shared" si="30"/>
        <v>0</v>
      </c>
      <c r="Z104" s="43">
        <v>0</v>
      </c>
      <c r="AA104" s="43">
        <v>0</v>
      </c>
      <c r="AB104" s="60">
        <v>0</v>
      </c>
      <c r="AC104" s="43"/>
      <c r="AD104" s="43"/>
      <c r="AE104" s="43"/>
      <c r="AF104" s="60">
        <f t="shared" si="32"/>
        <v>0</v>
      </c>
      <c r="AG104" s="60"/>
      <c r="AH104" s="7"/>
      <c r="AN104" s="92"/>
      <c r="AP104" s="59">
        <f t="shared" si="17"/>
        <v>0</v>
      </c>
      <c r="AQ104" s="59">
        <f t="shared" si="18"/>
        <v>0</v>
      </c>
      <c r="AR104" s="59">
        <f t="shared" si="19"/>
        <v>0</v>
      </c>
      <c r="AS104" s="59">
        <f t="shared" si="20"/>
        <v>0</v>
      </c>
    </row>
    <row r="105" spans="1:45">
      <c r="A105" s="21" t="s">
        <v>773</v>
      </c>
      <c r="B105" s="18" t="s">
        <v>774</v>
      </c>
      <c r="C105" s="18">
        <v>0</v>
      </c>
      <c r="D105" s="18">
        <v>0</v>
      </c>
      <c r="E105" s="19"/>
      <c r="F105" s="20">
        <v>609792.75</v>
      </c>
      <c r="G105" s="19">
        <v>609792.75</v>
      </c>
      <c r="H105" s="19">
        <v>0</v>
      </c>
      <c r="I105" s="43">
        <v>0</v>
      </c>
      <c r="J105" s="43">
        <v>0</v>
      </c>
      <c r="K105" s="43">
        <v>0</v>
      </c>
      <c r="L105" s="43">
        <v>0</v>
      </c>
      <c r="M105" s="43">
        <v>0</v>
      </c>
      <c r="N105" s="44">
        <f t="shared" ref="N105:N113" si="33">SUM(I105:M105)</f>
        <v>0</v>
      </c>
      <c r="O105" s="44">
        <v>0</v>
      </c>
      <c r="P105" s="45">
        <f t="shared" si="29"/>
        <v>0</v>
      </c>
      <c r="Q105" s="54">
        <v>0</v>
      </c>
      <c r="R105" s="55">
        <v>0</v>
      </c>
      <c r="S105" s="55">
        <v>0</v>
      </c>
      <c r="T105" s="43">
        <v>0</v>
      </c>
      <c r="U105" s="43">
        <v>0</v>
      </c>
      <c r="V105" s="43">
        <v>0</v>
      </c>
      <c r="W105" s="43">
        <v>0</v>
      </c>
      <c r="X105" s="43">
        <v>0</v>
      </c>
      <c r="Y105" s="59">
        <f t="shared" si="30"/>
        <v>0</v>
      </c>
      <c r="Z105" s="43">
        <v>0</v>
      </c>
      <c r="AA105" s="43">
        <v>0</v>
      </c>
      <c r="AB105" s="60">
        <v>0</v>
      </c>
      <c r="AC105" s="43"/>
      <c r="AD105" s="43"/>
      <c r="AE105" s="43"/>
      <c r="AF105" s="60">
        <f t="shared" si="32"/>
        <v>609792.75</v>
      </c>
      <c r="AG105" s="60"/>
      <c r="AH105" s="7"/>
      <c r="AI105" s="7">
        <v>0</v>
      </c>
      <c r="AJ105" s="7">
        <v>0</v>
      </c>
      <c r="AK105" s="7">
        <v>0</v>
      </c>
      <c r="AL105" s="7">
        <v>0</v>
      </c>
      <c r="AM105" s="7">
        <v>0</v>
      </c>
      <c r="AN105" s="92">
        <v>0</v>
      </c>
      <c r="AO105" s="7">
        <f t="shared" ref="AO105:AO113" si="34">AI105+AJ105+AK105+AL105+AM105</f>
        <v>0</v>
      </c>
      <c r="AP105" s="59">
        <f t="shared" si="17"/>
        <v>0</v>
      </c>
      <c r="AQ105" s="59">
        <f t="shared" si="18"/>
        <v>0</v>
      </c>
      <c r="AR105" s="59">
        <f t="shared" si="19"/>
        <v>0</v>
      </c>
      <c r="AS105" s="59">
        <f t="shared" si="20"/>
        <v>0</v>
      </c>
    </row>
    <row r="106" spans="1:45">
      <c r="A106" s="21" t="s">
        <v>775</v>
      </c>
      <c r="B106" s="18" t="s">
        <v>776</v>
      </c>
      <c r="C106" s="18" t="s">
        <v>3</v>
      </c>
      <c r="D106" s="18" t="s">
        <v>49</v>
      </c>
      <c r="E106" s="19"/>
      <c r="F106" s="20">
        <v>141000</v>
      </c>
      <c r="G106" s="19"/>
      <c r="H106" s="19"/>
      <c r="I106" s="43">
        <v>100</v>
      </c>
      <c r="J106" s="43">
        <v>0</v>
      </c>
      <c r="K106" s="43">
        <v>0</v>
      </c>
      <c r="L106" s="43">
        <v>0</v>
      </c>
      <c r="M106" s="43">
        <v>0</v>
      </c>
      <c r="N106" s="44">
        <f t="shared" si="33"/>
        <v>100</v>
      </c>
      <c r="O106" s="44">
        <f>I106*$H$4+J106*$I$4+K106*$J$4+L106*$K$4+M106*$L$4</f>
        <v>500000</v>
      </c>
      <c r="P106" s="45">
        <f t="shared" si="29"/>
        <v>500000</v>
      </c>
      <c r="Q106" s="54">
        <v>0</v>
      </c>
      <c r="R106" s="55">
        <v>100</v>
      </c>
      <c r="S106" s="55">
        <v>0</v>
      </c>
      <c r="T106" s="43">
        <v>50</v>
      </c>
      <c r="U106" s="43">
        <v>0</v>
      </c>
      <c r="V106" s="43">
        <v>0</v>
      </c>
      <c r="W106" s="43">
        <v>0</v>
      </c>
      <c r="X106" s="43">
        <v>0</v>
      </c>
      <c r="Y106" s="59">
        <f t="shared" si="30"/>
        <v>50</v>
      </c>
      <c r="Z106" s="43">
        <v>275000</v>
      </c>
      <c r="AA106" s="43">
        <v>255000</v>
      </c>
      <c r="AB106" s="60">
        <v>46900</v>
      </c>
      <c r="AC106" s="43"/>
      <c r="AD106" s="43"/>
      <c r="AE106" s="43"/>
      <c r="AF106" s="60">
        <f t="shared" si="32"/>
        <v>114100</v>
      </c>
      <c r="AG106" s="60">
        <f>AF106-AO106-H106</f>
        <v>19100</v>
      </c>
      <c r="AH106" s="69"/>
      <c r="AI106" s="7">
        <v>42000</v>
      </c>
      <c r="AJ106" s="7">
        <v>28000</v>
      </c>
      <c r="AK106" s="7">
        <v>25000</v>
      </c>
      <c r="AL106" s="7">
        <v>0</v>
      </c>
      <c r="AM106" s="7">
        <v>0</v>
      </c>
      <c r="AN106" s="92">
        <v>0</v>
      </c>
      <c r="AO106" s="7">
        <f t="shared" si="34"/>
        <v>95000</v>
      </c>
      <c r="AP106" s="59">
        <f t="shared" si="17"/>
        <v>50</v>
      </c>
      <c r="AQ106" s="59">
        <f t="shared" si="18"/>
        <v>0</v>
      </c>
      <c r="AR106" s="59">
        <f t="shared" si="19"/>
        <v>3.84615384615385</v>
      </c>
      <c r="AS106" s="59">
        <f t="shared" si="20"/>
        <v>0</v>
      </c>
    </row>
    <row r="107" spans="1:45">
      <c r="A107" s="21" t="s">
        <v>777</v>
      </c>
      <c r="B107" s="18" t="s">
        <v>778</v>
      </c>
      <c r="C107" s="18">
        <v>0</v>
      </c>
      <c r="D107" s="18">
        <v>0</v>
      </c>
      <c r="E107" s="19"/>
      <c r="F107" s="20">
        <v>0</v>
      </c>
      <c r="G107" s="19">
        <v>0</v>
      </c>
      <c r="H107" s="19">
        <v>0</v>
      </c>
      <c r="I107" s="43">
        <v>0</v>
      </c>
      <c r="J107" s="43">
        <v>0</v>
      </c>
      <c r="K107" s="43">
        <v>0</v>
      </c>
      <c r="L107" s="43">
        <v>0</v>
      </c>
      <c r="M107" s="43">
        <v>0</v>
      </c>
      <c r="N107" s="44">
        <f t="shared" si="33"/>
        <v>0</v>
      </c>
      <c r="O107" s="44">
        <v>0</v>
      </c>
      <c r="P107" s="45">
        <f t="shared" si="29"/>
        <v>0</v>
      </c>
      <c r="Q107" s="54">
        <v>0</v>
      </c>
      <c r="R107" s="55">
        <v>0</v>
      </c>
      <c r="S107" s="55">
        <v>0</v>
      </c>
      <c r="T107" s="43">
        <v>0</v>
      </c>
      <c r="U107" s="43">
        <v>0</v>
      </c>
      <c r="V107" s="43">
        <v>0</v>
      </c>
      <c r="W107" s="43">
        <v>0</v>
      </c>
      <c r="X107" s="43">
        <v>0</v>
      </c>
      <c r="Y107" s="59">
        <f t="shared" si="30"/>
        <v>0</v>
      </c>
      <c r="Z107" s="43">
        <v>0</v>
      </c>
      <c r="AA107" s="43">
        <v>0</v>
      </c>
      <c r="AB107" s="60">
        <v>0</v>
      </c>
      <c r="AC107" s="43"/>
      <c r="AD107" s="43"/>
      <c r="AE107" s="43"/>
      <c r="AF107" s="60">
        <f t="shared" si="32"/>
        <v>0</v>
      </c>
      <c r="AG107" s="60"/>
      <c r="AH107" s="7"/>
      <c r="AI107" s="7">
        <v>0</v>
      </c>
      <c r="AJ107" s="7">
        <v>0</v>
      </c>
      <c r="AK107" s="7">
        <v>0</v>
      </c>
      <c r="AL107" s="7">
        <v>0</v>
      </c>
      <c r="AM107" s="7">
        <v>0</v>
      </c>
      <c r="AN107" s="92">
        <v>0</v>
      </c>
      <c r="AO107" s="7">
        <f t="shared" si="34"/>
        <v>0</v>
      </c>
      <c r="AP107" s="59">
        <f t="shared" si="17"/>
        <v>0</v>
      </c>
      <c r="AQ107" s="59">
        <f t="shared" si="18"/>
        <v>0</v>
      </c>
      <c r="AR107" s="59">
        <f t="shared" si="19"/>
        <v>0</v>
      </c>
      <c r="AS107" s="59">
        <f t="shared" si="20"/>
        <v>0</v>
      </c>
    </row>
    <row r="108" spans="1:45">
      <c r="A108" s="21" t="s">
        <v>779</v>
      </c>
      <c r="B108" s="18" t="s">
        <v>780</v>
      </c>
      <c r="C108" s="18">
        <v>0</v>
      </c>
      <c r="D108" s="18">
        <v>0</v>
      </c>
      <c r="E108" s="19"/>
      <c r="F108" s="20">
        <v>1116100</v>
      </c>
      <c r="G108" s="19">
        <v>1015800</v>
      </c>
      <c r="H108" s="19">
        <v>1367050</v>
      </c>
      <c r="I108" s="43">
        <v>0</v>
      </c>
      <c r="J108" s="43">
        <v>0</v>
      </c>
      <c r="K108" s="43">
        <v>0</v>
      </c>
      <c r="L108" s="43">
        <v>0</v>
      </c>
      <c r="M108" s="43">
        <v>0</v>
      </c>
      <c r="N108" s="44">
        <f t="shared" si="33"/>
        <v>0</v>
      </c>
      <c r="O108" s="44">
        <v>0</v>
      </c>
      <c r="P108" s="45">
        <f t="shared" si="29"/>
        <v>0</v>
      </c>
      <c r="Q108" s="54">
        <v>0</v>
      </c>
      <c r="R108" s="55">
        <v>0</v>
      </c>
      <c r="S108" s="55">
        <v>0</v>
      </c>
      <c r="T108" s="43">
        <v>0</v>
      </c>
      <c r="U108" s="43">
        <v>0</v>
      </c>
      <c r="V108" s="43">
        <v>0</v>
      </c>
      <c r="W108" s="43">
        <v>0</v>
      </c>
      <c r="X108" s="43">
        <v>0</v>
      </c>
      <c r="Y108" s="59">
        <f t="shared" si="30"/>
        <v>0</v>
      </c>
      <c r="Z108" s="43">
        <v>0</v>
      </c>
      <c r="AA108" s="43">
        <v>0</v>
      </c>
      <c r="AB108" s="60">
        <v>0</v>
      </c>
      <c r="AC108" s="43"/>
      <c r="AD108" s="43"/>
      <c r="AE108" s="43"/>
      <c r="AF108" s="60">
        <f t="shared" si="32"/>
        <v>1116100</v>
      </c>
      <c r="AG108" s="60"/>
      <c r="AH108" s="69"/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92">
        <v>0</v>
      </c>
      <c r="AO108" s="7">
        <f t="shared" si="34"/>
        <v>0</v>
      </c>
      <c r="AP108" s="59">
        <f t="shared" si="17"/>
        <v>0</v>
      </c>
      <c r="AQ108" s="59">
        <f t="shared" si="18"/>
        <v>0</v>
      </c>
      <c r="AR108" s="59">
        <f t="shared" si="19"/>
        <v>0</v>
      </c>
      <c r="AS108" s="59">
        <f t="shared" si="20"/>
        <v>0</v>
      </c>
    </row>
    <row r="109" spans="1:45">
      <c r="A109" s="21" t="s">
        <v>781</v>
      </c>
      <c r="B109" s="176" t="s">
        <v>782</v>
      </c>
      <c r="C109" s="18">
        <v>0</v>
      </c>
      <c r="D109" s="18" t="s">
        <v>49</v>
      </c>
      <c r="E109" s="19"/>
      <c r="F109" s="20">
        <v>122000</v>
      </c>
      <c r="G109" s="19"/>
      <c r="H109" s="19"/>
      <c r="I109" s="43">
        <v>0</v>
      </c>
      <c r="J109" s="43">
        <v>0</v>
      </c>
      <c r="K109" s="43">
        <v>0</v>
      </c>
      <c r="L109" s="43">
        <v>0</v>
      </c>
      <c r="M109" s="43">
        <v>0</v>
      </c>
      <c r="N109" s="44">
        <f t="shared" si="33"/>
        <v>0</v>
      </c>
      <c r="O109" s="44">
        <f>I109*$H$4+J109*$I$4+K109*$J$4+L109*$K$4+M109*$L$4</f>
        <v>0</v>
      </c>
      <c r="P109" s="45">
        <f t="shared" si="29"/>
        <v>0</v>
      </c>
      <c r="Q109" s="54">
        <v>0</v>
      </c>
      <c r="R109" s="55">
        <v>0</v>
      </c>
      <c r="S109" s="55">
        <v>0</v>
      </c>
      <c r="T109" s="43">
        <v>0</v>
      </c>
      <c r="U109" s="43">
        <v>0</v>
      </c>
      <c r="V109" s="43">
        <v>0</v>
      </c>
      <c r="W109" s="43">
        <v>0</v>
      </c>
      <c r="X109" s="43">
        <v>0</v>
      </c>
      <c r="Y109" s="59">
        <f t="shared" si="30"/>
        <v>0</v>
      </c>
      <c r="Z109" s="43">
        <v>0</v>
      </c>
      <c r="AA109" s="43">
        <v>0</v>
      </c>
      <c r="AB109" s="60">
        <v>0</v>
      </c>
      <c r="AC109" s="43"/>
      <c r="AD109" s="43"/>
      <c r="AE109" s="43"/>
      <c r="AF109" s="60">
        <f t="shared" si="32"/>
        <v>122000</v>
      </c>
      <c r="AG109" s="60"/>
      <c r="AH109" s="69"/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92">
        <v>0</v>
      </c>
      <c r="AO109" s="7">
        <f t="shared" si="34"/>
        <v>0</v>
      </c>
      <c r="AP109" s="59">
        <f t="shared" si="17"/>
        <v>0</v>
      </c>
      <c r="AQ109" s="59">
        <f t="shared" si="18"/>
        <v>0</v>
      </c>
      <c r="AR109" s="59">
        <f t="shared" si="19"/>
        <v>0</v>
      </c>
      <c r="AS109" s="59">
        <f t="shared" si="20"/>
        <v>0</v>
      </c>
    </row>
    <row r="110" spans="1:45">
      <c r="A110" s="21" t="s">
        <v>783</v>
      </c>
      <c r="B110" s="18" t="s">
        <v>784</v>
      </c>
      <c r="C110" s="18" t="s">
        <v>99</v>
      </c>
      <c r="D110" s="18" t="s">
        <v>99</v>
      </c>
      <c r="E110" s="19"/>
      <c r="F110" s="20">
        <v>-125230</v>
      </c>
      <c r="G110" s="19">
        <v>0</v>
      </c>
      <c r="H110" s="19">
        <v>351250</v>
      </c>
      <c r="I110" s="43">
        <v>0</v>
      </c>
      <c r="J110" s="43">
        <v>0</v>
      </c>
      <c r="K110" s="43">
        <v>0</v>
      </c>
      <c r="L110" s="43">
        <v>0</v>
      </c>
      <c r="M110" s="43">
        <v>0</v>
      </c>
      <c r="N110" s="44">
        <f t="shared" si="33"/>
        <v>0</v>
      </c>
      <c r="O110" s="44">
        <f>I110*$H$2+J110*$I$2+K110*$J$2+L110*$K$2+M110*$L$2</f>
        <v>0</v>
      </c>
      <c r="P110" s="45">
        <f t="shared" si="29"/>
        <v>0</v>
      </c>
      <c r="Q110" s="54">
        <v>0</v>
      </c>
      <c r="R110" s="55">
        <v>0</v>
      </c>
      <c r="S110" s="55">
        <v>0</v>
      </c>
      <c r="T110" s="43">
        <v>0</v>
      </c>
      <c r="U110" s="43">
        <v>0</v>
      </c>
      <c r="V110" s="43">
        <v>0</v>
      </c>
      <c r="W110" s="43">
        <v>0</v>
      </c>
      <c r="X110" s="43">
        <v>0</v>
      </c>
      <c r="Y110" s="59">
        <f t="shared" si="30"/>
        <v>0</v>
      </c>
      <c r="Z110" s="43">
        <v>0</v>
      </c>
      <c r="AA110" s="43">
        <v>0</v>
      </c>
      <c r="AB110" s="60">
        <v>0</v>
      </c>
      <c r="AC110" s="43"/>
      <c r="AD110" s="43"/>
      <c r="AE110" s="43"/>
      <c r="AF110" s="60">
        <f t="shared" si="32"/>
        <v>-125230</v>
      </c>
      <c r="AG110" s="60"/>
      <c r="AH110" s="69"/>
      <c r="AI110" s="7">
        <v>0</v>
      </c>
      <c r="AJ110" s="7">
        <v>0</v>
      </c>
      <c r="AK110" s="7">
        <v>0</v>
      </c>
      <c r="AL110" s="7">
        <v>0</v>
      </c>
      <c r="AM110" s="7">
        <v>0</v>
      </c>
      <c r="AN110" s="92">
        <v>0</v>
      </c>
      <c r="AO110" s="7">
        <f t="shared" si="34"/>
        <v>0</v>
      </c>
      <c r="AP110" s="59">
        <f t="shared" si="17"/>
        <v>0</v>
      </c>
      <c r="AQ110" s="59">
        <f t="shared" si="18"/>
        <v>0</v>
      </c>
      <c r="AR110" s="59">
        <f t="shared" si="19"/>
        <v>0</v>
      </c>
      <c r="AS110" s="59">
        <f t="shared" si="20"/>
        <v>0</v>
      </c>
    </row>
    <row r="111" spans="1:45">
      <c r="A111" s="21" t="s">
        <v>785</v>
      </c>
      <c r="B111" s="176" t="s">
        <v>786</v>
      </c>
      <c r="C111" s="18" t="s">
        <v>3</v>
      </c>
      <c r="D111" s="18" t="s">
        <v>49</v>
      </c>
      <c r="E111" s="19"/>
      <c r="F111" s="20">
        <v>193500</v>
      </c>
      <c r="G111" s="19"/>
      <c r="H111" s="19"/>
      <c r="I111" s="43">
        <v>50</v>
      </c>
      <c r="J111" s="43">
        <v>0</v>
      </c>
      <c r="K111" s="43">
        <v>0</v>
      </c>
      <c r="L111" s="43">
        <v>0</v>
      </c>
      <c r="M111" s="43">
        <v>0</v>
      </c>
      <c r="N111" s="44">
        <f t="shared" si="33"/>
        <v>50</v>
      </c>
      <c r="O111" s="44">
        <f>I111*$H$4+J111*$I$4+K111*$J$4+L111*$K$4+M111*$L$4</f>
        <v>250000</v>
      </c>
      <c r="P111" s="45">
        <f t="shared" si="29"/>
        <v>250000</v>
      </c>
      <c r="Q111" s="54">
        <v>147000</v>
      </c>
      <c r="R111" s="55">
        <v>0</v>
      </c>
      <c r="S111" s="55">
        <v>0</v>
      </c>
      <c r="T111" s="43">
        <v>30</v>
      </c>
      <c r="U111" s="43">
        <v>0</v>
      </c>
      <c r="V111" s="43">
        <v>0</v>
      </c>
      <c r="W111" s="43">
        <v>0</v>
      </c>
      <c r="X111" s="43">
        <v>0</v>
      </c>
      <c r="Y111" s="59">
        <f t="shared" si="30"/>
        <v>30</v>
      </c>
      <c r="Z111" s="43">
        <v>165000</v>
      </c>
      <c r="AA111" s="43">
        <v>0</v>
      </c>
      <c r="AB111" s="60">
        <v>0</v>
      </c>
      <c r="AC111" s="43"/>
      <c r="AD111" s="43"/>
      <c r="AE111" s="43"/>
      <c r="AF111" s="60">
        <f t="shared" si="32"/>
        <v>358500</v>
      </c>
      <c r="AG111" s="60">
        <f>AF111-AO111-H111</f>
        <v>211000</v>
      </c>
      <c r="AH111" s="7"/>
      <c r="AI111" s="7">
        <v>40200</v>
      </c>
      <c r="AJ111" s="7">
        <v>72300</v>
      </c>
      <c r="AK111" s="7">
        <v>35000</v>
      </c>
      <c r="AL111" s="7">
        <v>0</v>
      </c>
      <c r="AM111" s="7">
        <v>0</v>
      </c>
      <c r="AN111" s="92">
        <v>0</v>
      </c>
      <c r="AO111" s="7">
        <f t="shared" si="34"/>
        <v>147500</v>
      </c>
      <c r="AP111" s="59">
        <f t="shared" si="17"/>
        <v>20</v>
      </c>
      <c r="AQ111" s="59">
        <f t="shared" si="18"/>
        <v>0</v>
      </c>
      <c r="AR111" s="59">
        <f t="shared" si="19"/>
        <v>1.53846153846154</v>
      </c>
      <c r="AS111" s="59">
        <f t="shared" si="20"/>
        <v>0</v>
      </c>
    </row>
    <row r="112" spans="1:45">
      <c r="A112" s="21" t="s">
        <v>787</v>
      </c>
      <c r="B112" s="18" t="s">
        <v>788</v>
      </c>
      <c r="C112" s="18">
        <v>0</v>
      </c>
      <c r="D112" s="18">
        <v>0</v>
      </c>
      <c r="E112" s="19"/>
      <c r="F112" s="20">
        <v>874113.25</v>
      </c>
      <c r="G112" s="19">
        <v>973013.25</v>
      </c>
      <c r="H112" s="19">
        <v>1324263.25</v>
      </c>
      <c r="I112" s="43">
        <v>0</v>
      </c>
      <c r="J112" s="43">
        <v>0</v>
      </c>
      <c r="K112" s="43">
        <v>0</v>
      </c>
      <c r="L112" s="43">
        <v>0</v>
      </c>
      <c r="M112" s="43">
        <v>0</v>
      </c>
      <c r="N112" s="44">
        <f t="shared" si="33"/>
        <v>0</v>
      </c>
      <c r="O112" s="44">
        <v>0</v>
      </c>
      <c r="P112" s="45">
        <f t="shared" si="29"/>
        <v>0</v>
      </c>
      <c r="Q112" s="54">
        <v>0</v>
      </c>
      <c r="R112" s="55">
        <v>0</v>
      </c>
      <c r="S112" s="55">
        <v>0</v>
      </c>
      <c r="T112" s="43">
        <v>0</v>
      </c>
      <c r="U112" s="43">
        <v>0</v>
      </c>
      <c r="V112" s="43">
        <v>0</v>
      </c>
      <c r="W112" s="43">
        <v>0</v>
      </c>
      <c r="X112" s="43">
        <v>0</v>
      </c>
      <c r="Y112" s="59">
        <f t="shared" si="30"/>
        <v>0</v>
      </c>
      <c r="Z112" s="43">
        <v>0</v>
      </c>
      <c r="AA112" s="43">
        <v>0</v>
      </c>
      <c r="AB112" s="60">
        <v>0</v>
      </c>
      <c r="AC112" s="43"/>
      <c r="AD112" s="43"/>
      <c r="AE112" s="43"/>
      <c r="AF112" s="60">
        <f t="shared" si="32"/>
        <v>874113.25</v>
      </c>
      <c r="AG112" s="60"/>
      <c r="AH112" s="69"/>
      <c r="AI112" s="7">
        <v>0</v>
      </c>
      <c r="AJ112" s="7">
        <v>0</v>
      </c>
      <c r="AK112" s="7">
        <v>0</v>
      </c>
      <c r="AL112" s="7">
        <v>0</v>
      </c>
      <c r="AM112" s="7">
        <v>0</v>
      </c>
      <c r="AN112" s="92">
        <v>0</v>
      </c>
      <c r="AO112" s="7">
        <f t="shared" si="34"/>
        <v>0</v>
      </c>
      <c r="AP112" s="59">
        <f t="shared" si="17"/>
        <v>0</v>
      </c>
      <c r="AQ112" s="59">
        <f t="shared" si="18"/>
        <v>0</v>
      </c>
      <c r="AR112" s="59">
        <f t="shared" si="19"/>
        <v>0</v>
      </c>
      <c r="AS112" s="59">
        <f t="shared" si="20"/>
        <v>0</v>
      </c>
    </row>
    <row r="113" ht="15.15" spans="1:45">
      <c r="A113" s="21" t="s">
        <v>789</v>
      </c>
      <c r="B113" s="18" t="s">
        <v>790</v>
      </c>
      <c r="C113" s="18">
        <v>0</v>
      </c>
      <c r="D113" s="18">
        <v>0</v>
      </c>
      <c r="E113" s="19"/>
      <c r="F113" s="20">
        <v>703595.49</v>
      </c>
      <c r="G113" s="19"/>
      <c r="H113" s="19"/>
      <c r="I113" s="43">
        <v>0</v>
      </c>
      <c r="J113" s="43">
        <v>0</v>
      </c>
      <c r="K113" s="43">
        <v>0</v>
      </c>
      <c r="L113" s="43">
        <v>0</v>
      </c>
      <c r="M113" s="43">
        <v>0</v>
      </c>
      <c r="N113" s="44">
        <f t="shared" si="33"/>
        <v>0</v>
      </c>
      <c r="O113" s="44">
        <v>0</v>
      </c>
      <c r="P113" s="45">
        <f t="shared" si="29"/>
        <v>0</v>
      </c>
      <c r="Q113" s="54">
        <v>0</v>
      </c>
      <c r="R113" s="55">
        <v>0</v>
      </c>
      <c r="S113" s="55">
        <v>0</v>
      </c>
      <c r="T113" s="43">
        <v>0</v>
      </c>
      <c r="U113" s="43">
        <v>0</v>
      </c>
      <c r="V113" s="43">
        <v>0</v>
      </c>
      <c r="W113" s="43">
        <v>0</v>
      </c>
      <c r="X113" s="43">
        <v>0</v>
      </c>
      <c r="Y113" s="59">
        <f t="shared" si="30"/>
        <v>0</v>
      </c>
      <c r="Z113" s="43">
        <v>0</v>
      </c>
      <c r="AA113" s="43">
        <v>0</v>
      </c>
      <c r="AB113" s="60">
        <v>0</v>
      </c>
      <c r="AC113" s="43"/>
      <c r="AD113" s="43"/>
      <c r="AE113" s="43"/>
      <c r="AF113" s="60">
        <f t="shared" si="32"/>
        <v>703595.49</v>
      </c>
      <c r="AG113" s="60"/>
      <c r="AH113" s="7"/>
      <c r="AI113" s="7">
        <v>0</v>
      </c>
      <c r="AJ113" s="7">
        <v>0</v>
      </c>
      <c r="AK113" s="7">
        <v>0</v>
      </c>
      <c r="AL113" s="7">
        <v>0</v>
      </c>
      <c r="AM113" s="7">
        <v>0</v>
      </c>
      <c r="AN113" s="92">
        <v>0</v>
      </c>
      <c r="AO113" s="7">
        <f t="shared" si="34"/>
        <v>0</v>
      </c>
      <c r="AP113" s="59">
        <f t="shared" si="17"/>
        <v>0</v>
      </c>
      <c r="AQ113" s="59">
        <f t="shared" si="18"/>
        <v>0</v>
      </c>
      <c r="AR113" s="59">
        <f t="shared" si="19"/>
        <v>0</v>
      </c>
      <c r="AS113" s="59">
        <f t="shared" si="20"/>
        <v>0</v>
      </c>
    </row>
    <row r="114" ht="16.35" spans="1:45">
      <c r="A114" s="86" t="s">
        <v>791</v>
      </c>
      <c r="B114" s="77">
        <v>0</v>
      </c>
      <c r="C114" s="18">
        <v>0</v>
      </c>
      <c r="D114" s="18">
        <v>0</v>
      </c>
      <c r="E114" s="78"/>
      <c r="F114" s="32">
        <f t="shared" ref="F114:AB114" si="35">SUM(F94:F113)</f>
        <v>6986948.49</v>
      </c>
      <c r="G114" s="32">
        <f t="shared" si="35"/>
        <v>5348606</v>
      </c>
      <c r="H114" s="32">
        <f t="shared" si="35"/>
        <v>8149563.25</v>
      </c>
      <c r="I114" s="32">
        <f t="shared" si="35"/>
        <v>1400</v>
      </c>
      <c r="J114" s="32">
        <f t="shared" si="35"/>
        <v>0</v>
      </c>
      <c r="K114" s="32">
        <f t="shared" si="35"/>
        <v>300</v>
      </c>
      <c r="L114" s="32">
        <f t="shared" si="35"/>
        <v>0</v>
      </c>
      <c r="M114" s="32">
        <f t="shared" si="35"/>
        <v>0</v>
      </c>
      <c r="N114" s="32">
        <f t="shared" si="35"/>
        <v>1700</v>
      </c>
      <c r="O114" s="32">
        <f t="shared" si="35"/>
        <v>10760500</v>
      </c>
      <c r="P114" s="32">
        <f t="shared" si="35"/>
        <v>10760500</v>
      </c>
      <c r="Q114" s="32">
        <f t="shared" si="35"/>
        <v>1634320</v>
      </c>
      <c r="R114" s="32">
        <f t="shared" si="35"/>
        <v>1300</v>
      </c>
      <c r="S114" s="32">
        <f t="shared" si="35"/>
        <v>300</v>
      </c>
      <c r="T114" s="32">
        <f>SUM(T94:T113)</f>
        <v>406</v>
      </c>
      <c r="U114" s="32">
        <f>SUM(U94:U113)</f>
        <v>20</v>
      </c>
      <c r="V114" s="32">
        <f>SUM(V94:V113)</f>
        <v>110</v>
      </c>
      <c r="W114" s="32">
        <f>SUM(W94:W113)</f>
        <v>0</v>
      </c>
      <c r="X114" s="32">
        <f>SUM(X94:X113)</f>
        <v>0</v>
      </c>
      <c r="Y114" s="32">
        <f>SUM(Y94:Y113)</f>
        <v>536</v>
      </c>
      <c r="Z114" s="32">
        <f>SUM(Z94:Z113)</f>
        <v>3883250</v>
      </c>
      <c r="AA114" s="32">
        <f>SUM(AA94:AA113)</f>
        <v>1755000</v>
      </c>
      <c r="AB114" s="32">
        <f>SUM(AB94:AB113)</f>
        <v>46900</v>
      </c>
      <c r="AC114" s="32"/>
      <c r="AD114" s="32"/>
      <c r="AE114" s="32"/>
      <c r="AF114" s="32">
        <f>SUM(AF94:AF113)</f>
        <v>9068298.49</v>
      </c>
      <c r="AG114" s="60">
        <f>AF114-AO114-H114</f>
        <v>-2118525.43649123</v>
      </c>
      <c r="AH114" s="66"/>
      <c r="AI114" s="32">
        <f>SUM(AI94:AI113)</f>
        <v>945552.08</v>
      </c>
      <c r="AJ114" s="32">
        <f>SUM(AJ94:AJ113)</f>
        <v>900350</v>
      </c>
      <c r="AK114" s="32">
        <f>SUM(AK94:AK113)</f>
        <v>1087920</v>
      </c>
      <c r="AL114" s="32">
        <f>SUM(AL94:AL113)</f>
        <v>0</v>
      </c>
      <c r="AM114" s="32">
        <f>SUM(AM94:AM113)</f>
        <v>103438.596491228</v>
      </c>
      <c r="AN114" s="67">
        <f>Y114/N114</f>
        <v>0.315294117647059</v>
      </c>
      <c r="AO114" s="71">
        <f>SUM(AO94:AO113)</f>
        <v>3037260.67649123</v>
      </c>
      <c r="AP114" s="32">
        <f>SUM(AP94:AP113)</f>
        <v>974</v>
      </c>
      <c r="AQ114" s="32">
        <f>SUM(AQ94:AQ113)</f>
        <v>190</v>
      </c>
      <c r="AR114" s="59">
        <f t="shared" si="19"/>
        <v>74.9230769230769</v>
      </c>
      <c r="AS114" s="59">
        <f t="shared" si="20"/>
        <v>14.6153846153846</v>
      </c>
    </row>
    <row r="115" spans="1:45">
      <c r="A115" s="21" t="s">
        <v>792</v>
      </c>
      <c r="B115" s="18" t="s">
        <v>793</v>
      </c>
      <c r="C115" s="18">
        <v>0</v>
      </c>
      <c r="D115" s="18">
        <v>0</v>
      </c>
      <c r="E115" s="19"/>
      <c r="F115" s="20">
        <v>115528</v>
      </c>
      <c r="G115" s="19">
        <v>300000</v>
      </c>
      <c r="H115" s="19">
        <v>642500</v>
      </c>
      <c r="I115" s="43">
        <v>0</v>
      </c>
      <c r="J115" s="43">
        <v>0</v>
      </c>
      <c r="K115" s="43">
        <v>0</v>
      </c>
      <c r="L115" s="43">
        <v>0</v>
      </c>
      <c r="M115" s="43">
        <v>0</v>
      </c>
      <c r="N115" s="44">
        <f t="shared" ref="N115:N140" si="36">SUM(I115:M115)</f>
        <v>0</v>
      </c>
      <c r="O115" s="44">
        <v>0</v>
      </c>
      <c r="P115" s="45">
        <f t="shared" ref="P115:P140" si="37">O115</f>
        <v>0</v>
      </c>
      <c r="Q115" s="54">
        <v>0</v>
      </c>
      <c r="R115" s="55">
        <v>0</v>
      </c>
      <c r="S115" s="55">
        <v>0</v>
      </c>
      <c r="T115" s="43">
        <v>0</v>
      </c>
      <c r="U115" s="43">
        <v>0</v>
      </c>
      <c r="V115" s="43">
        <v>0</v>
      </c>
      <c r="W115" s="43">
        <v>0</v>
      </c>
      <c r="X115" s="43">
        <v>0</v>
      </c>
      <c r="Y115" s="59">
        <f t="shared" ref="Y115:Y140" si="38">T115+U115+V115+W115+X115</f>
        <v>0</v>
      </c>
      <c r="Z115" s="43">
        <v>0</v>
      </c>
      <c r="AA115" s="43">
        <v>0</v>
      </c>
      <c r="AB115" s="60">
        <v>0</v>
      </c>
      <c r="AC115" s="43"/>
      <c r="AD115" s="43"/>
      <c r="AE115" s="43"/>
      <c r="AF115" s="60">
        <f t="shared" ref="AF115:AF140" si="39">F115+Z115-AA115-AB115-AC115-AD115-AE115</f>
        <v>115528</v>
      </c>
      <c r="AG115" s="60"/>
      <c r="AH115" s="7"/>
      <c r="AI115" s="7">
        <v>0</v>
      </c>
      <c r="AJ115" s="7">
        <v>0</v>
      </c>
      <c r="AK115" s="7">
        <v>0</v>
      </c>
      <c r="AL115" s="7">
        <v>0</v>
      </c>
      <c r="AM115" s="7">
        <v>0</v>
      </c>
      <c r="AN115" s="92">
        <v>0</v>
      </c>
      <c r="AO115" s="7">
        <f t="shared" ref="AO115:AO140" si="40">AI115+AJ115+AK115+AL115+AM115</f>
        <v>0</v>
      </c>
      <c r="AP115" s="59">
        <f t="shared" si="17"/>
        <v>0</v>
      </c>
      <c r="AQ115" s="59">
        <f t="shared" si="18"/>
        <v>0</v>
      </c>
      <c r="AR115" s="59">
        <f t="shared" si="19"/>
        <v>0</v>
      </c>
      <c r="AS115" s="59">
        <f t="shared" si="20"/>
        <v>0</v>
      </c>
    </row>
    <row r="116" spans="1:45">
      <c r="A116" s="21" t="s">
        <v>794</v>
      </c>
      <c r="B116" s="87" t="s">
        <v>795</v>
      </c>
      <c r="C116" s="18">
        <v>0</v>
      </c>
      <c r="D116" s="18" t="s">
        <v>99</v>
      </c>
      <c r="E116" s="88"/>
      <c r="F116" s="20">
        <v>250898</v>
      </c>
      <c r="G116" s="19">
        <v>200000</v>
      </c>
      <c r="H116" s="19">
        <v>400000</v>
      </c>
      <c r="I116" s="43">
        <v>0</v>
      </c>
      <c r="J116" s="43">
        <v>0</v>
      </c>
      <c r="K116" s="43">
        <v>0</v>
      </c>
      <c r="L116" s="43">
        <v>0</v>
      </c>
      <c r="M116" s="43">
        <v>0</v>
      </c>
      <c r="N116" s="44">
        <f t="shared" si="36"/>
        <v>0</v>
      </c>
      <c r="O116" s="44">
        <f>I116*$H$2+J116*$I$2+K116*$J$2+L116*$K$2+M116*$L$2</f>
        <v>0</v>
      </c>
      <c r="P116" s="45">
        <f t="shared" si="37"/>
        <v>0</v>
      </c>
      <c r="Q116" s="54">
        <v>100898</v>
      </c>
      <c r="R116" s="55">
        <v>0</v>
      </c>
      <c r="S116" s="55">
        <v>0</v>
      </c>
      <c r="T116" s="43">
        <v>0</v>
      </c>
      <c r="U116" s="43">
        <v>0</v>
      </c>
      <c r="V116" s="43">
        <v>0</v>
      </c>
      <c r="W116" s="43">
        <v>0</v>
      </c>
      <c r="X116" s="43">
        <v>0</v>
      </c>
      <c r="Y116" s="59">
        <f t="shared" si="38"/>
        <v>0</v>
      </c>
      <c r="Z116" s="43">
        <v>0</v>
      </c>
      <c r="AA116" s="43">
        <v>0</v>
      </c>
      <c r="AB116" s="60">
        <v>0</v>
      </c>
      <c r="AC116" s="43"/>
      <c r="AD116" s="43"/>
      <c r="AE116" s="43"/>
      <c r="AF116" s="60">
        <f t="shared" si="39"/>
        <v>250898</v>
      </c>
      <c r="AG116" s="60"/>
      <c r="AH116" s="7"/>
      <c r="AI116" s="7">
        <v>0</v>
      </c>
      <c r="AJ116" s="7">
        <v>0</v>
      </c>
      <c r="AK116" s="7">
        <v>0</v>
      </c>
      <c r="AL116" s="7">
        <v>0</v>
      </c>
      <c r="AM116" s="7">
        <v>0</v>
      </c>
      <c r="AN116" s="92" t="s">
        <v>756</v>
      </c>
      <c r="AO116" s="7">
        <f t="shared" si="40"/>
        <v>0</v>
      </c>
      <c r="AP116" s="59">
        <f t="shared" si="17"/>
        <v>0</v>
      </c>
      <c r="AQ116" s="59">
        <f t="shared" si="18"/>
        <v>0</v>
      </c>
      <c r="AR116" s="59">
        <f t="shared" si="19"/>
        <v>0</v>
      </c>
      <c r="AS116" s="59">
        <f t="shared" si="20"/>
        <v>0</v>
      </c>
    </row>
    <row r="117" spans="1:45">
      <c r="A117" s="21" t="s">
        <v>796</v>
      </c>
      <c r="B117" s="87" t="s">
        <v>797</v>
      </c>
      <c r="C117" s="18" t="s">
        <v>49</v>
      </c>
      <c r="D117" s="18" t="s">
        <v>49</v>
      </c>
      <c r="E117" s="88"/>
      <c r="F117" s="20">
        <v>172006</v>
      </c>
      <c r="G117" s="19"/>
      <c r="H117" s="19"/>
      <c r="I117" s="43">
        <v>0</v>
      </c>
      <c r="J117" s="43">
        <v>0</v>
      </c>
      <c r="K117" s="43">
        <v>0</v>
      </c>
      <c r="L117" s="43">
        <v>0</v>
      </c>
      <c r="M117" s="43">
        <v>0</v>
      </c>
      <c r="N117" s="44">
        <f t="shared" si="36"/>
        <v>0</v>
      </c>
      <c r="O117" s="44">
        <f>I117*$H$4+J117*$I$4+K117*$J$4+L117*$K$4+M117*$L$4</f>
        <v>0</v>
      </c>
      <c r="P117" s="45">
        <f t="shared" si="37"/>
        <v>0</v>
      </c>
      <c r="Q117" s="54">
        <v>59306</v>
      </c>
      <c r="R117" s="55">
        <v>0</v>
      </c>
      <c r="S117" s="55">
        <v>0</v>
      </c>
      <c r="T117" s="43">
        <v>0</v>
      </c>
      <c r="U117" s="43">
        <v>0</v>
      </c>
      <c r="V117" s="43">
        <v>0</v>
      </c>
      <c r="W117" s="43">
        <v>0</v>
      </c>
      <c r="X117" s="43">
        <v>0</v>
      </c>
      <c r="Y117" s="59">
        <f t="shared" si="38"/>
        <v>0</v>
      </c>
      <c r="Z117" s="43">
        <v>0</v>
      </c>
      <c r="AA117" s="43">
        <v>107500</v>
      </c>
      <c r="AB117" s="60">
        <v>0</v>
      </c>
      <c r="AC117" s="43"/>
      <c r="AD117" s="43"/>
      <c r="AE117" s="43"/>
      <c r="AF117" s="60">
        <f t="shared" si="39"/>
        <v>64506</v>
      </c>
      <c r="AG117" s="60"/>
      <c r="AH117" s="7"/>
      <c r="AI117" s="7">
        <v>6000</v>
      </c>
      <c r="AJ117" s="7">
        <v>88000</v>
      </c>
      <c r="AK117" s="7">
        <v>8700</v>
      </c>
      <c r="AL117" s="7">
        <v>0</v>
      </c>
      <c r="AM117" s="7">
        <v>0</v>
      </c>
      <c r="AN117" s="92">
        <v>0</v>
      </c>
      <c r="AO117" s="7">
        <f t="shared" si="40"/>
        <v>102700</v>
      </c>
      <c r="AP117" s="59">
        <f t="shared" si="17"/>
        <v>0</v>
      </c>
      <c r="AQ117" s="59">
        <f t="shared" si="18"/>
        <v>0</v>
      </c>
      <c r="AR117" s="59">
        <f t="shared" si="19"/>
        <v>0</v>
      </c>
      <c r="AS117" s="59">
        <f t="shared" si="20"/>
        <v>0</v>
      </c>
    </row>
    <row r="118" spans="1:45">
      <c r="A118" s="21" t="s">
        <v>798</v>
      </c>
      <c r="B118" s="87" t="str">
        <f>IFERROR(VLOOKUP(A118,'[2]Dealer Wise Net Sales Register1'!D:E,2,FALSE),0)</f>
        <v>01577</v>
      </c>
      <c r="C118" s="18" t="s">
        <v>49</v>
      </c>
      <c r="D118" s="18" t="str">
        <f>C118</f>
        <v>CONVERSION</v>
      </c>
      <c r="E118" s="28"/>
      <c r="F118" s="20">
        <v>0</v>
      </c>
      <c r="G118" s="28"/>
      <c r="H118" s="87"/>
      <c r="I118" s="43">
        <v>100</v>
      </c>
      <c r="J118" s="43">
        <v>0</v>
      </c>
      <c r="K118" s="43">
        <v>0</v>
      </c>
      <c r="L118" s="43">
        <v>0</v>
      </c>
      <c r="M118" s="43">
        <v>0</v>
      </c>
      <c r="N118" s="44">
        <f t="shared" si="36"/>
        <v>100</v>
      </c>
      <c r="O118" s="44">
        <f>I118*$H$4+J118*$I$4+K118*$J$4+L118*$K$4+M118*$L$4</f>
        <v>500000</v>
      </c>
      <c r="P118" s="45">
        <f t="shared" si="37"/>
        <v>500000</v>
      </c>
      <c r="Q118" s="54">
        <v>0</v>
      </c>
      <c r="R118" s="55">
        <v>100</v>
      </c>
      <c r="S118" s="55">
        <v>0</v>
      </c>
      <c r="T118" s="43">
        <v>0</v>
      </c>
      <c r="U118" s="43">
        <v>0</v>
      </c>
      <c r="V118" s="43">
        <v>0</v>
      </c>
      <c r="W118" s="43">
        <v>0</v>
      </c>
      <c r="X118" s="43">
        <v>0</v>
      </c>
      <c r="Y118" s="59">
        <f t="shared" si="38"/>
        <v>0</v>
      </c>
      <c r="Z118" s="43">
        <v>0</v>
      </c>
      <c r="AA118" s="43">
        <v>0</v>
      </c>
      <c r="AB118" s="60">
        <v>0</v>
      </c>
      <c r="AC118" s="43"/>
      <c r="AD118" s="43"/>
      <c r="AE118" s="43"/>
      <c r="AF118" s="60">
        <f t="shared" si="39"/>
        <v>0</v>
      </c>
      <c r="AG118" s="60"/>
      <c r="AH118" s="7"/>
      <c r="AI118" s="7">
        <v>0</v>
      </c>
      <c r="AJ118" s="7">
        <v>0</v>
      </c>
      <c r="AK118" s="7">
        <v>10000</v>
      </c>
      <c r="AL118" s="7">
        <v>0</v>
      </c>
      <c r="AM118" s="7">
        <v>0</v>
      </c>
      <c r="AN118" s="92">
        <v>0</v>
      </c>
      <c r="AO118" s="7">
        <f t="shared" si="40"/>
        <v>10000</v>
      </c>
      <c r="AP118" s="59">
        <f t="shared" si="17"/>
        <v>100</v>
      </c>
      <c r="AQ118" s="59">
        <f t="shared" si="18"/>
        <v>0</v>
      </c>
      <c r="AR118" s="59">
        <f t="shared" si="19"/>
        <v>7.69230769230769</v>
      </c>
      <c r="AS118" s="59">
        <f t="shared" si="20"/>
        <v>0</v>
      </c>
    </row>
    <row r="119" spans="1:45">
      <c r="A119" s="21" t="s">
        <v>799</v>
      </c>
      <c r="B119" s="18" t="s">
        <v>800</v>
      </c>
      <c r="C119" s="18">
        <v>0</v>
      </c>
      <c r="D119" s="18">
        <v>0</v>
      </c>
      <c r="E119" s="19"/>
      <c r="F119" s="20">
        <v>-8813</v>
      </c>
      <c r="G119" s="19">
        <v>0</v>
      </c>
      <c r="H119" s="19">
        <v>0</v>
      </c>
      <c r="I119" s="43">
        <v>0</v>
      </c>
      <c r="J119" s="43">
        <v>0</v>
      </c>
      <c r="K119" s="43">
        <v>0</v>
      </c>
      <c r="L119" s="43">
        <v>0</v>
      </c>
      <c r="M119" s="43">
        <v>0</v>
      </c>
      <c r="N119" s="44">
        <f t="shared" si="36"/>
        <v>0</v>
      </c>
      <c r="O119" s="44">
        <v>0</v>
      </c>
      <c r="P119" s="45">
        <f t="shared" si="37"/>
        <v>0</v>
      </c>
      <c r="Q119" s="54">
        <v>0</v>
      </c>
      <c r="R119" s="55">
        <v>0</v>
      </c>
      <c r="S119" s="55">
        <v>0</v>
      </c>
      <c r="T119" s="43">
        <v>0</v>
      </c>
      <c r="U119" s="43">
        <v>0</v>
      </c>
      <c r="V119" s="43">
        <v>0</v>
      </c>
      <c r="W119" s="43">
        <v>0</v>
      </c>
      <c r="X119" s="43">
        <v>0</v>
      </c>
      <c r="Y119" s="59">
        <f t="shared" si="38"/>
        <v>0</v>
      </c>
      <c r="Z119" s="43">
        <v>0</v>
      </c>
      <c r="AA119" s="43">
        <v>0</v>
      </c>
      <c r="AB119" s="60">
        <v>0</v>
      </c>
      <c r="AC119" s="43"/>
      <c r="AD119" s="43"/>
      <c r="AE119" s="43"/>
      <c r="AF119" s="60">
        <f t="shared" si="39"/>
        <v>-8813</v>
      </c>
      <c r="AG119" s="60"/>
      <c r="AH119" s="7"/>
      <c r="AI119" s="7">
        <v>0</v>
      </c>
      <c r="AJ119" s="7">
        <v>0</v>
      </c>
      <c r="AK119" s="7">
        <v>0</v>
      </c>
      <c r="AL119" s="7">
        <v>0</v>
      </c>
      <c r="AM119" s="7">
        <v>0</v>
      </c>
      <c r="AN119" s="92">
        <v>0</v>
      </c>
      <c r="AO119" s="7">
        <f t="shared" si="40"/>
        <v>0</v>
      </c>
      <c r="AP119" s="59">
        <f t="shared" si="17"/>
        <v>0</v>
      </c>
      <c r="AQ119" s="59">
        <f t="shared" si="18"/>
        <v>0</v>
      </c>
      <c r="AR119" s="59">
        <f t="shared" si="19"/>
        <v>0</v>
      </c>
      <c r="AS119" s="59">
        <f t="shared" si="20"/>
        <v>0</v>
      </c>
    </row>
    <row r="120" spans="1:45">
      <c r="A120" s="21" t="s">
        <v>801</v>
      </c>
      <c r="B120" s="18" t="s">
        <v>802</v>
      </c>
      <c r="C120" s="18">
        <v>0</v>
      </c>
      <c r="D120" s="18">
        <v>0</v>
      </c>
      <c r="E120" s="19"/>
      <c r="F120" s="20">
        <v>-551</v>
      </c>
      <c r="G120" s="19">
        <v>0</v>
      </c>
      <c r="H120" s="19">
        <v>171250</v>
      </c>
      <c r="I120" s="43">
        <v>0</v>
      </c>
      <c r="J120" s="43">
        <v>0</v>
      </c>
      <c r="K120" s="43">
        <v>0</v>
      </c>
      <c r="L120" s="43">
        <v>0</v>
      </c>
      <c r="M120" s="43">
        <v>0</v>
      </c>
      <c r="N120" s="44">
        <f t="shared" si="36"/>
        <v>0</v>
      </c>
      <c r="O120" s="44">
        <v>0</v>
      </c>
      <c r="P120" s="45">
        <f t="shared" si="37"/>
        <v>0</v>
      </c>
      <c r="Q120" s="54">
        <v>0</v>
      </c>
      <c r="R120" s="55">
        <v>0</v>
      </c>
      <c r="S120" s="55">
        <v>0</v>
      </c>
      <c r="T120" s="43">
        <v>0</v>
      </c>
      <c r="U120" s="43">
        <v>0</v>
      </c>
      <c r="V120" s="43">
        <v>0</v>
      </c>
      <c r="W120" s="43">
        <v>0</v>
      </c>
      <c r="X120" s="43">
        <v>0</v>
      </c>
      <c r="Y120" s="59">
        <f t="shared" si="38"/>
        <v>0</v>
      </c>
      <c r="Z120" s="43">
        <v>0</v>
      </c>
      <c r="AA120" s="43">
        <v>0</v>
      </c>
      <c r="AB120" s="60">
        <v>0</v>
      </c>
      <c r="AC120" s="43"/>
      <c r="AD120" s="43"/>
      <c r="AE120" s="43"/>
      <c r="AF120" s="60">
        <f t="shared" si="39"/>
        <v>-551</v>
      </c>
      <c r="AG120" s="60"/>
      <c r="AH120" s="7"/>
      <c r="AI120" s="7">
        <v>0</v>
      </c>
      <c r="AJ120" s="7">
        <v>0</v>
      </c>
      <c r="AK120" s="7">
        <v>0</v>
      </c>
      <c r="AL120" s="7">
        <v>0</v>
      </c>
      <c r="AM120" s="7">
        <v>0</v>
      </c>
      <c r="AN120" s="92">
        <v>0</v>
      </c>
      <c r="AO120" s="7">
        <f t="shared" si="40"/>
        <v>0</v>
      </c>
      <c r="AP120" s="59">
        <f t="shared" si="17"/>
        <v>0</v>
      </c>
      <c r="AQ120" s="59">
        <f t="shared" si="18"/>
        <v>0</v>
      </c>
      <c r="AR120" s="59">
        <f t="shared" si="19"/>
        <v>0</v>
      </c>
      <c r="AS120" s="59">
        <f t="shared" si="20"/>
        <v>0</v>
      </c>
    </row>
    <row r="121" spans="1:45">
      <c r="A121" s="21" t="s">
        <v>803</v>
      </c>
      <c r="B121" s="18" t="s">
        <v>804</v>
      </c>
      <c r="C121" s="18">
        <v>0</v>
      </c>
      <c r="D121" s="18">
        <v>0</v>
      </c>
      <c r="E121" s="19"/>
      <c r="F121" s="20">
        <v>11380.59</v>
      </c>
      <c r="G121" s="19">
        <v>0</v>
      </c>
      <c r="H121" s="19">
        <v>0</v>
      </c>
      <c r="I121" s="43">
        <v>0</v>
      </c>
      <c r="J121" s="43">
        <v>0</v>
      </c>
      <c r="K121" s="43">
        <v>0</v>
      </c>
      <c r="L121" s="43">
        <v>0</v>
      </c>
      <c r="M121" s="43">
        <v>0</v>
      </c>
      <c r="N121" s="44">
        <f t="shared" si="36"/>
        <v>0</v>
      </c>
      <c r="O121" s="44">
        <v>0</v>
      </c>
      <c r="P121" s="45">
        <f t="shared" si="37"/>
        <v>0</v>
      </c>
      <c r="Q121" s="54">
        <v>0</v>
      </c>
      <c r="R121" s="55">
        <v>0</v>
      </c>
      <c r="S121" s="55">
        <v>0</v>
      </c>
      <c r="T121" s="43">
        <v>0</v>
      </c>
      <c r="U121" s="43">
        <v>0</v>
      </c>
      <c r="V121" s="43">
        <v>0</v>
      </c>
      <c r="W121" s="43">
        <v>0</v>
      </c>
      <c r="X121" s="43">
        <v>0</v>
      </c>
      <c r="Y121" s="59">
        <f t="shared" si="38"/>
        <v>0</v>
      </c>
      <c r="Z121" s="43">
        <v>0</v>
      </c>
      <c r="AA121" s="43">
        <v>0</v>
      </c>
      <c r="AB121" s="60">
        <v>0</v>
      </c>
      <c r="AC121" s="43"/>
      <c r="AD121" s="43"/>
      <c r="AE121" s="43"/>
      <c r="AF121" s="60">
        <f t="shared" si="39"/>
        <v>11380.59</v>
      </c>
      <c r="AG121" s="60"/>
      <c r="AH121" s="7"/>
      <c r="AI121" s="7">
        <v>0</v>
      </c>
      <c r="AJ121" s="7">
        <v>0</v>
      </c>
      <c r="AK121" s="7">
        <v>0</v>
      </c>
      <c r="AL121" s="7">
        <v>0</v>
      </c>
      <c r="AM121" s="7">
        <v>0</v>
      </c>
      <c r="AN121" s="92">
        <v>0</v>
      </c>
      <c r="AO121" s="7">
        <f t="shared" si="40"/>
        <v>0</v>
      </c>
      <c r="AP121" s="59">
        <f t="shared" si="17"/>
        <v>0</v>
      </c>
      <c r="AQ121" s="59">
        <f t="shared" si="18"/>
        <v>0</v>
      </c>
      <c r="AR121" s="59">
        <f t="shared" si="19"/>
        <v>0</v>
      </c>
      <c r="AS121" s="59">
        <f t="shared" si="20"/>
        <v>0</v>
      </c>
    </row>
    <row r="122" spans="1:45">
      <c r="A122" s="21" t="s">
        <v>805</v>
      </c>
      <c r="B122" s="175" t="s">
        <v>806</v>
      </c>
      <c r="C122" s="18">
        <v>0</v>
      </c>
      <c r="D122" s="18">
        <v>0</v>
      </c>
      <c r="E122" s="88"/>
      <c r="F122" s="20">
        <v>-2555</v>
      </c>
      <c r="G122" s="19"/>
      <c r="H122" s="19"/>
      <c r="I122" s="43">
        <v>0</v>
      </c>
      <c r="J122" s="43">
        <v>0</v>
      </c>
      <c r="K122" s="43">
        <v>0</v>
      </c>
      <c r="L122" s="43">
        <v>0</v>
      </c>
      <c r="M122" s="43">
        <v>0</v>
      </c>
      <c r="N122" s="44">
        <f t="shared" si="36"/>
        <v>0</v>
      </c>
      <c r="O122" s="44">
        <v>0</v>
      </c>
      <c r="P122" s="45">
        <f t="shared" si="37"/>
        <v>0</v>
      </c>
      <c r="Q122" s="54">
        <v>0</v>
      </c>
      <c r="R122" s="55">
        <v>0</v>
      </c>
      <c r="S122" s="55">
        <v>0</v>
      </c>
      <c r="T122" s="43">
        <v>0</v>
      </c>
      <c r="U122" s="43">
        <v>0</v>
      </c>
      <c r="V122" s="43">
        <v>0</v>
      </c>
      <c r="W122" s="43">
        <v>0</v>
      </c>
      <c r="X122" s="43">
        <v>0</v>
      </c>
      <c r="Y122" s="59">
        <f t="shared" si="38"/>
        <v>0</v>
      </c>
      <c r="Z122" s="43">
        <v>0</v>
      </c>
      <c r="AA122" s="43">
        <v>0</v>
      </c>
      <c r="AB122" s="60">
        <v>0</v>
      </c>
      <c r="AC122" s="43"/>
      <c r="AD122" s="43"/>
      <c r="AE122" s="43"/>
      <c r="AF122" s="60">
        <f t="shared" si="39"/>
        <v>-2555</v>
      </c>
      <c r="AG122" s="60"/>
      <c r="AH122" s="69"/>
      <c r="AI122" s="7">
        <v>0</v>
      </c>
      <c r="AJ122" s="7">
        <v>0</v>
      </c>
      <c r="AK122" s="7">
        <v>0</v>
      </c>
      <c r="AL122" s="7">
        <v>0</v>
      </c>
      <c r="AM122" s="7">
        <v>0</v>
      </c>
      <c r="AN122" s="92">
        <v>0</v>
      </c>
      <c r="AO122" s="7">
        <f t="shared" si="40"/>
        <v>0</v>
      </c>
      <c r="AP122" s="59">
        <f t="shared" si="17"/>
        <v>0</v>
      </c>
      <c r="AQ122" s="59">
        <f t="shared" si="18"/>
        <v>0</v>
      </c>
      <c r="AR122" s="59">
        <f t="shared" si="19"/>
        <v>0</v>
      </c>
      <c r="AS122" s="59">
        <f t="shared" si="20"/>
        <v>0</v>
      </c>
    </row>
    <row r="123" spans="1:45">
      <c r="A123" s="21" t="s">
        <v>807</v>
      </c>
      <c r="B123" s="27" t="s">
        <v>808</v>
      </c>
      <c r="C123" s="18" t="s">
        <v>99</v>
      </c>
      <c r="D123" s="18" t="s">
        <v>99</v>
      </c>
      <c r="E123" s="28"/>
      <c r="F123" s="20">
        <v>1895529</v>
      </c>
      <c r="G123" s="19">
        <v>0</v>
      </c>
      <c r="H123" s="19">
        <v>0</v>
      </c>
      <c r="I123" s="43">
        <v>400</v>
      </c>
      <c r="J123" s="43">
        <v>0</v>
      </c>
      <c r="K123" s="43">
        <v>0</v>
      </c>
      <c r="L123" s="43">
        <v>0</v>
      </c>
      <c r="M123" s="43">
        <v>0</v>
      </c>
      <c r="N123" s="44">
        <f t="shared" si="36"/>
        <v>400</v>
      </c>
      <c r="O123" s="44">
        <f>I123*13100+J123*$I$2+K123*$J$2+L123*$K$2+M123*$L$2</f>
        <v>5240000</v>
      </c>
      <c r="P123" s="45">
        <f t="shared" si="37"/>
        <v>5240000</v>
      </c>
      <c r="Q123" s="54">
        <v>0</v>
      </c>
      <c r="R123" s="55">
        <v>400</v>
      </c>
      <c r="S123" s="55">
        <v>0</v>
      </c>
      <c r="T123" s="43">
        <v>70</v>
      </c>
      <c r="U123" s="43">
        <v>4</v>
      </c>
      <c r="V123" s="43">
        <v>0</v>
      </c>
      <c r="W123" s="43">
        <v>0</v>
      </c>
      <c r="X123" s="43">
        <v>0</v>
      </c>
      <c r="Y123" s="59">
        <f t="shared" si="38"/>
        <v>74</v>
      </c>
      <c r="Z123" s="43">
        <v>1057700</v>
      </c>
      <c r="AA123" s="43">
        <v>800000</v>
      </c>
      <c r="AB123" s="60">
        <v>0</v>
      </c>
      <c r="AC123" s="43"/>
      <c r="AD123" s="43"/>
      <c r="AE123" s="43"/>
      <c r="AF123" s="61">
        <f t="shared" si="39"/>
        <v>2153229</v>
      </c>
      <c r="AG123" s="60">
        <f>AF123-AO123-H123</f>
        <v>1175430.75438596</v>
      </c>
      <c r="AH123" s="7"/>
      <c r="AI123" s="7">
        <v>770500</v>
      </c>
      <c r="AJ123" s="7">
        <v>87500</v>
      </c>
      <c r="AK123" s="7">
        <v>112500</v>
      </c>
      <c r="AL123" s="7">
        <v>7298.24561403509</v>
      </c>
      <c r="AM123" s="7">
        <v>0</v>
      </c>
      <c r="AN123" s="92">
        <v>0</v>
      </c>
      <c r="AO123" s="7">
        <f t="shared" si="40"/>
        <v>977798.245614035</v>
      </c>
      <c r="AP123" s="59">
        <f t="shared" si="17"/>
        <v>326</v>
      </c>
      <c r="AQ123" s="59">
        <f t="shared" si="18"/>
        <v>0</v>
      </c>
      <c r="AR123" s="59">
        <f t="shared" si="19"/>
        <v>25.0769230769231</v>
      </c>
      <c r="AS123" s="59">
        <f t="shared" si="20"/>
        <v>0</v>
      </c>
    </row>
    <row r="124" spans="1:45">
      <c r="A124" s="21" t="s">
        <v>809</v>
      </c>
      <c r="B124" s="18" t="s">
        <v>810</v>
      </c>
      <c r="C124" s="18" t="s">
        <v>99</v>
      </c>
      <c r="D124" s="18" t="s">
        <v>99</v>
      </c>
      <c r="E124" s="19"/>
      <c r="F124" s="20">
        <v>25519</v>
      </c>
      <c r="G124" s="19">
        <v>0</v>
      </c>
      <c r="H124" s="19">
        <v>1405000</v>
      </c>
      <c r="I124" s="43">
        <v>0</v>
      </c>
      <c r="J124" s="43">
        <v>0</v>
      </c>
      <c r="K124" s="43">
        <v>0</v>
      </c>
      <c r="L124" s="43">
        <v>0</v>
      </c>
      <c r="M124" s="43">
        <v>0</v>
      </c>
      <c r="N124" s="44">
        <f t="shared" si="36"/>
        <v>0</v>
      </c>
      <c r="O124" s="44">
        <f>I124*$H$2+J124*$I$2+K124*$J$2+L124*$K$2+M124*$L$2</f>
        <v>0</v>
      </c>
      <c r="P124" s="45">
        <f t="shared" si="37"/>
        <v>0</v>
      </c>
      <c r="Q124" s="54">
        <v>0</v>
      </c>
      <c r="R124" s="55">
        <v>0</v>
      </c>
      <c r="S124" s="55">
        <v>0</v>
      </c>
      <c r="T124" s="43">
        <v>40</v>
      </c>
      <c r="U124" s="43">
        <v>0</v>
      </c>
      <c r="V124" s="43">
        <v>0</v>
      </c>
      <c r="W124" s="43">
        <v>0</v>
      </c>
      <c r="X124" s="43">
        <v>0</v>
      </c>
      <c r="Y124" s="59">
        <f t="shared" si="38"/>
        <v>40</v>
      </c>
      <c r="Z124" s="43">
        <v>570000</v>
      </c>
      <c r="AA124" s="43">
        <v>0</v>
      </c>
      <c r="AB124" s="60">
        <v>0</v>
      </c>
      <c r="AC124" s="43"/>
      <c r="AD124" s="43"/>
      <c r="AE124" s="43"/>
      <c r="AF124" s="60">
        <f t="shared" si="39"/>
        <v>595519</v>
      </c>
      <c r="AG124" s="60"/>
      <c r="AH124" s="69"/>
      <c r="AI124" s="7">
        <v>22500</v>
      </c>
      <c r="AJ124" s="7">
        <v>7500</v>
      </c>
      <c r="AK124" s="7">
        <v>0</v>
      </c>
      <c r="AL124" s="7">
        <v>2807.01754385965</v>
      </c>
      <c r="AM124" s="7">
        <v>0</v>
      </c>
      <c r="AN124" s="92">
        <v>0</v>
      </c>
      <c r="AO124" s="7">
        <f t="shared" si="40"/>
        <v>32807.0175438596</v>
      </c>
      <c r="AP124" s="59">
        <f t="shared" si="17"/>
        <v>-40</v>
      </c>
      <c r="AQ124" s="59">
        <f t="shared" si="18"/>
        <v>0</v>
      </c>
      <c r="AR124" s="59">
        <f t="shared" si="19"/>
        <v>-3.07692307692308</v>
      </c>
      <c r="AS124" s="59">
        <f t="shared" si="20"/>
        <v>0</v>
      </c>
    </row>
    <row r="125" spans="1:45">
      <c r="A125" s="21" t="s">
        <v>811</v>
      </c>
      <c r="B125" s="176" t="s">
        <v>812</v>
      </c>
      <c r="C125" s="18" t="s">
        <v>49</v>
      </c>
      <c r="D125" s="18" t="str">
        <f>C125</f>
        <v>CONVERSION</v>
      </c>
      <c r="E125" s="19"/>
      <c r="F125" s="20">
        <v>186000</v>
      </c>
      <c r="G125" s="19"/>
      <c r="H125" s="19"/>
      <c r="I125" s="43">
        <v>100</v>
      </c>
      <c r="J125" s="43">
        <v>0</v>
      </c>
      <c r="K125" s="43">
        <v>0</v>
      </c>
      <c r="L125" s="43">
        <v>0</v>
      </c>
      <c r="M125" s="43">
        <v>0</v>
      </c>
      <c r="N125" s="44">
        <f t="shared" si="36"/>
        <v>100</v>
      </c>
      <c r="O125" s="44">
        <f>I125*$H$4+J125*$I$4+K125*$J$4+L125*$K$4+M125*$L$4</f>
        <v>500000</v>
      </c>
      <c r="P125" s="45">
        <f t="shared" si="37"/>
        <v>500000</v>
      </c>
      <c r="Q125" s="54">
        <v>0</v>
      </c>
      <c r="R125" s="55">
        <v>0</v>
      </c>
      <c r="S125" s="55">
        <v>0</v>
      </c>
      <c r="T125" s="43">
        <v>0</v>
      </c>
      <c r="U125" s="43">
        <v>0</v>
      </c>
      <c r="V125" s="43">
        <v>0</v>
      </c>
      <c r="W125" s="43">
        <v>0</v>
      </c>
      <c r="X125" s="43">
        <v>0</v>
      </c>
      <c r="Y125" s="59">
        <f t="shared" si="38"/>
        <v>0</v>
      </c>
      <c r="Z125" s="43">
        <v>0</v>
      </c>
      <c r="AA125" s="43">
        <v>156000</v>
      </c>
      <c r="AB125" s="60">
        <v>0</v>
      </c>
      <c r="AC125" s="43"/>
      <c r="AD125" s="43"/>
      <c r="AE125" s="43"/>
      <c r="AF125" s="60">
        <f t="shared" si="39"/>
        <v>30000</v>
      </c>
      <c r="AG125" s="60"/>
      <c r="AH125" s="69"/>
      <c r="AI125" s="7">
        <v>0</v>
      </c>
      <c r="AJ125" s="7">
        <v>9000</v>
      </c>
      <c r="AK125" s="7">
        <v>12000</v>
      </c>
      <c r="AL125" s="7">
        <v>0</v>
      </c>
      <c r="AM125" s="7">
        <v>0</v>
      </c>
      <c r="AN125" s="92">
        <v>0</v>
      </c>
      <c r="AO125" s="7">
        <f t="shared" si="40"/>
        <v>21000</v>
      </c>
      <c r="AP125" s="59">
        <f t="shared" si="17"/>
        <v>100</v>
      </c>
      <c r="AQ125" s="59">
        <f t="shared" si="18"/>
        <v>0</v>
      </c>
      <c r="AR125" s="59">
        <f t="shared" si="19"/>
        <v>7.69230769230769</v>
      </c>
      <c r="AS125" s="59">
        <f t="shared" si="20"/>
        <v>0</v>
      </c>
    </row>
    <row r="126" spans="1:45">
      <c r="A126" s="21" t="s">
        <v>813</v>
      </c>
      <c r="B126" s="18" t="s">
        <v>814</v>
      </c>
      <c r="C126" s="18">
        <v>0</v>
      </c>
      <c r="D126" s="18">
        <v>0</v>
      </c>
      <c r="E126" s="19"/>
      <c r="F126" s="20">
        <v>-150.01</v>
      </c>
      <c r="G126" s="19">
        <v>0</v>
      </c>
      <c r="H126" s="19">
        <v>0</v>
      </c>
      <c r="I126" s="43">
        <v>0</v>
      </c>
      <c r="J126" s="43">
        <v>0</v>
      </c>
      <c r="K126" s="43">
        <v>0</v>
      </c>
      <c r="L126" s="43">
        <v>0</v>
      </c>
      <c r="M126" s="43">
        <v>0</v>
      </c>
      <c r="N126" s="44">
        <f t="shared" si="36"/>
        <v>0</v>
      </c>
      <c r="O126" s="44">
        <v>0</v>
      </c>
      <c r="P126" s="45">
        <f t="shared" si="37"/>
        <v>0</v>
      </c>
      <c r="Q126" s="54">
        <v>0</v>
      </c>
      <c r="R126" s="55">
        <v>0</v>
      </c>
      <c r="S126" s="55">
        <v>0</v>
      </c>
      <c r="T126" s="43">
        <v>0</v>
      </c>
      <c r="U126" s="43">
        <v>0</v>
      </c>
      <c r="V126" s="43">
        <v>0</v>
      </c>
      <c r="W126" s="43">
        <v>0</v>
      </c>
      <c r="X126" s="43">
        <v>0</v>
      </c>
      <c r="Y126" s="59">
        <f t="shared" si="38"/>
        <v>0</v>
      </c>
      <c r="Z126" s="43">
        <v>0</v>
      </c>
      <c r="AA126" s="43">
        <v>0</v>
      </c>
      <c r="AB126" s="60">
        <v>0</v>
      </c>
      <c r="AC126" s="43"/>
      <c r="AD126" s="43"/>
      <c r="AE126" s="43"/>
      <c r="AF126" s="60">
        <f t="shared" si="39"/>
        <v>-150.01</v>
      </c>
      <c r="AG126" s="60"/>
      <c r="AH126" s="7"/>
      <c r="AI126" s="7">
        <v>0</v>
      </c>
      <c r="AJ126" s="7">
        <v>0</v>
      </c>
      <c r="AK126" s="7">
        <v>0</v>
      </c>
      <c r="AL126" s="7">
        <v>0</v>
      </c>
      <c r="AM126" s="7">
        <v>0</v>
      </c>
      <c r="AN126" s="92">
        <v>0</v>
      </c>
      <c r="AO126" s="7">
        <f t="shared" si="40"/>
        <v>0</v>
      </c>
      <c r="AP126" s="59">
        <f t="shared" si="17"/>
        <v>0</v>
      </c>
      <c r="AQ126" s="59">
        <f t="shared" si="18"/>
        <v>0</v>
      </c>
      <c r="AR126" s="59">
        <f t="shared" si="19"/>
        <v>0</v>
      </c>
      <c r="AS126" s="59">
        <f t="shared" si="20"/>
        <v>0</v>
      </c>
    </row>
    <row r="127" spans="1:45">
      <c r="A127" s="21" t="s">
        <v>815</v>
      </c>
      <c r="B127" s="175" t="s">
        <v>816</v>
      </c>
      <c r="C127" s="18" t="s">
        <v>99</v>
      </c>
      <c r="D127" s="18" t="str">
        <f>C127</f>
        <v>CASH</v>
      </c>
      <c r="E127" s="28"/>
      <c r="F127" s="20">
        <v>178000</v>
      </c>
      <c r="G127" s="28"/>
      <c r="H127" s="87"/>
      <c r="I127" s="43">
        <v>0</v>
      </c>
      <c r="J127" s="43">
        <v>0</v>
      </c>
      <c r="K127" s="43">
        <v>0</v>
      </c>
      <c r="L127" s="43">
        <v>0</v>
      </c>
      <c r="M127" s="43">
        <v>0</v>
      </c>
      <c r="N127" s="44">
        <f t="shared" si="36"/>
        <v>0</v>
      </c>
      <c r="O127" s="44">
        <f>I127*$H$2+J127*$I$2+K127*$J$2+L127*$K$2+M127*$L$2</f>
        <v>0</v>
      </c>
      <c r="P127" s="45">
        <f t="shared" si="37"/>
        <v>0</v>
      </c>
      <c r="Q127" s="54">
        <v>148820.175438596</v>
      </c>
      <c r="R127" s="55">
        <v>0</v>
      </c>
      <c r="S127" s="55">
        <v>0</v>
      </c>
      <c r="T127" s="43">
        <v>0</v>
      </c>
      <c r="U127" s="43">
        <v>0</v>
      </c>
      <c r="V127" s="43">
        <v>0</v>
      </c>
      <c r="W127" s="43">
        <v>0</v>
      </c>
      <c r="X127" s="43">
        <v>0</v>
      </c>
      <c r="Y127" s="59">
        <f t="shared" si="38"/>
        <v>0</v>
      </c>
      <c r="Z127" s="43">
        <v>0</v>
      </c>
      <c r="AA127" s="43">
        <v>38000</v>
      </c>
      <c r="AB127" s="60">
        <v>0</v>
      </c>
      <c r="AC127" s="43"/>
      <c r="AD127" s="43"/>
      <c r="AE127" s="43"/>
      <c r="AF127" s="60">
        <f t="shared" si="39"/>
        <v>140000</v>
      </c>
      <c r="AG127" s="60"/>
      <c r="AH127" s="7"/>
      <c r="AI127" s="7">
        <v>0</v>
      </c>
      <c r="AJ127" s="7">
        <v>13000</v>
      </c>
      <c r="AK127" s="7">
        <v>13000</v>
      </c>
      <c r="AL127" s="7">
        <v>0</v>
      </c>
      <c r="AM127" s="7">
        <v>1929.82456140351</v>
      </c>
      <c r="AN127" s="92">
        <v>0</v>
      </c>
      <c r="AO127" s="7">
        <f t="shared" si="40"/>
        <v>27929.8245614035</v>
      </c>
      <c r="AP127" s="59">
        <f t="shared" si="17"/>
        <v>0</v>
      </c>
      <c r="AQ127" s="59">
        <f t="shared" si="18"/>
        <v>0</v>
      </c>
      <c r="AR127" s="59">
        <f t="shared" si="19"/>
        <v>0</v>
      </c>
      <c r="AS127" s="59">
        <f t="shared" si="20"/>
        <v>0</v>
      </c>
    </row>
    <row r="128" spans="1:45">
      <c r="A128" s="21" t="s">
        <v>817</v>
      </c>
      <c r="B128" s="18" t="s">
        <v>818</v>
      </c>
      <c r="C128" s="18" t="s">
        <v>99</v>
      </c>
      <c r="D128" s="18" t="s">
        <v>99</v>
      </c>
      <c r="E128" s="19"/>
      <c r="F128" s="20">
        <v>36252</v>
      </c>
      <c r="G128" s="19">
        <v>0</v>
      </c>
      <c r="H128" s="19">
        <v>2107500</v>
      </c>
      <c r="I128" s="43">
        <v>0</v>
      </c>
      <c r="J128" s="43">
        <v>0</v>
      </c>
      <c r="K128" s="43">
        <v>0</v>
      </c>
      <c r="L128" s="43">
        <v>0</v>
      </c>
      <c r="M128" s="43">
        <v>0</v>
      </c>
      <c r="N128" s="44">
        <f t="shared" si="36"/>
        <v>0</v>
      </c>
      <c r="O128" s="44">
        <f>I128*$H$2+J128*$I$2+K128*$J$2+L128*$K$2+M128*$L$2</f>
        <v>0</v>
      </c>
      <c r="P128" s="45">
        <f t="shared" si="37"/>
        <v>0</v>
      </c>
      <c r="Q128" s="54">
        <v>0</v>
      </c>
      <c r="R128" s="55">
        <v>0</v>
      </c>
      <c r="S128" s="55">
        <v>0</v>
      </c>
      <c r="T128" s="43">
        <v>0</v>
      </c>
      <c r="U128" s="43">
        <v>0</v>
      </c>
      <c r="V128" s="43">
        <v>0</v>
      </c>
      <c r="W128" s="43">
        <v>0</v>
      </c>
      <c r="X128" s="43">
        <v>0</v>
      </c>
      <c r="Y128" s="59">
        <f t="shared" si="38"/>
        <v>0</v>
      </c>
      <c r="Z128" s="43">
        <v>0</v>
      </c>
      <c r="AA128" s="43">
        <v>0</v>
      </c>
      <c r="AB128" s="60">
        <v>0</v>
      </c>
      <c r="AC128" s="43"/>
      <c r="AD128" s="43"/>
      <c r="AE128" s="43"/>
      <c r="AF128" s="60">
        <f t="shared" si="39"/>
        <v>36252</v>
      </c>
      <c r="AG128" s="60"/>
      <c r="AH128" s="69"/>
      <c r="AI128" s="7">
        <v>0</v>
      </c>
      <c r="AJ128" s="7">
        <v>0</v>
      </c>
      <c r="AK128" s="7">
        <v>0</v>
      </c>
      <c r="AL128" s="7">
        <v>0</v>
      </c>
      <c r="AM128" s="7">
        <v>0</v>
      </c>
      <c r="AN128" s="92">
        <v>0</v>
      </c>
      <c r="AO128" s="7">
        <f t="shared" si="40"/>
        <v>0</v>
      </c>
      <c r="AP128" s="59">
        <f t="shared" si="17"/>
        <v>0</v>
      </c>
      <c r="AQ128" s="59">
        <f t="shared" si="18"/>
        <v>0</v>
      </c>
      <c r="AR128" s="59">
        <f t="shared" si="19"/>
        <v>0</v>
      </c>
      <c r="AS128" s="59">
        <f t="shared" si="20"/>
        <v>0</v>
      </c>
    </row>
    <row r="129" spans="1:45">
      <c r="A129" s="21" t="s">
        <v>819</v>
      </c>
      <c r="B129" s="87" t="s">
        <v>820</v>
      </c>
      <c r="C129" s="18" t="s">
        <v>49</v>
      </c>
      <c r="D129" s="18" t="s">
        <v>49</v>
      </c>
      <c r="E129" s="28"/>
      <c r="F129" s="20">
        <v>458000</v>
      </c>
      <c r="G129" s="28"/>
      <c r="H129" s="87"/>
      <c r="I129" s="43">
        <v>100</v>
      </c>
      <c r="J129" s="43">
        <v>0</v>
      </c>
      <c r="K129" s="43">
        <v>0</v>
      </c>
      <c r="L129" s="43">
        <v>0</v>
      </c>
      <c r="M129" s="43">
        <v>0</v>
      </c>
      <c r="N129" s="44">
        <f t="shared" si="36"/>
        <v>100</v>
      </c>
      <c r="O129" s="44">
        <f>I129*$H$4+J129*$I$4+K129*$J$4+L129*$K$4+M129*$L$4</f>
        <v>500000</v>
      </c>
      <c r="P129" s="45">
        <f t="shared" si="37"/>
        <v>500000</v>
      </c>
      <c r="Q129" s="54">
        <v>0</v>
      </c>
      <c r="R129" s="55">
        <v>0</v>
      </c>
      <c r="S129" s="55">
        <v>0</v>
      </c>
      <c r="T129" s="43">
        <v>28</v>
      </c>
      <c r="U129" s="43">
        <v>0</v>
      </c>
      <c r="V129" s="43">
        <v>0</v>
      </c>
      <c r="W129" s="43">
        <v>0</v>
      </c>
      <c r="X129" s="43">
        <v>0</v>
      </c>
      <c r="Y129" s="59">
        <f t="shared" si="38"/>
        <v>28</v>
      </c>
      <c r="Z129" s="43">
        <v>154000</v>
      </c>
      <c r="AA129" s="43">
        <v>117500</v>
      </c>
      <c r="AB129" s="60">
        <v>0</v>
      </c>
      <c r="AC129" s="43"/>
      <c r="AD129" s="43"/>
      <c r="AE129" s="43"/>
      <c r="AF129" s="60">
        <f t="shared" si="39"/>
        <v>494500</v>
      </c>
      <c r="AG129" s="60">
        <f>AF129-AO129-H129</f>
        <v>12800</v>
      </c>
      <c r="AH129" s="7"/>
      <c r="AI129" s="7">
        <v>50400</v>
      </c>
      <c r="AJ129" s="7">
        <v>363300</v>
      </c>
      <c r="AK129" s="7">
        <v>68000</v>
      </c>
      <c r="AL129" s="7">
        <v>0</v>
      </c>
      <c r="AM129" s="7">
        <v>0</v>
      </c>
      <c r="AN129" s="92">
        <v>0</v>
      </c>
      <c r="AO129" s="7">
        <f t="shared" si="40"/>
        <v>481700</v>
      </c>
      <c r="AP129" s="59">
        <f t="shared" si="17"/>
        <v>72</v>
      </c>
      <c r="AQ129" s="59">
        <f t="shared" si="18"/>
        <v>0</v>
      </c>
      <c r="AR129" s="59">
        <f t="shared" si="19"/>
        <v>5.53846153846154</v>
      </c>
      <c r="AS129" s="59">
        <f t="shared" si="20"/>
        <v>0</v>
      </c>
    </row>
    <row r="130" spans="1:45">
      <c r="A130" s="21" t="s">
        <v>821</v>
      </c>
      <c r="B130" s="87" t="s">
        <v>822</v>
      </c>
      <c r="C130" s="18">
        <v>0</v>
      </c>
      <c r="D130" s="18">
        <v>0</v>
      </c>
      <c r="E130" s="88"/>
      <c r="F130" s="20">
        <v>0</v>
      </c>
      <c r="G130" s="19">
        <v>0</v>
      </c>
      <c r="H130" s="19">
        <v>0</v>
      </c>
      <c r="I130" s="43">
        <v>0</v>
      </c>
      <c r="J130" s="43">
        <v>0</v>
      </c>
      <c r="K130" s="43">
        <v>0</v>
      </c>
      <c r="L130" s="43">
        <v>0</v>
      </c>
      <c r="M130" s="43">
        <v>0</v>
      </c>
      <c r="N130" s="44">
        <f t="shared" si="36"/>
        <v>0</v>
      </c>
      <c r="O130" s="44">
        <v>0</v>
      </c>
      <c r="P130" s="45">
        <f t="shared" si="37"/>
        <v>0</v>
      </c>
      <c r="Q130" s="54">
        <v>0</v>
      </c>
      <c r="R130" s="55">
        <v>0</v>
      </c>
      <c r="S130" s="55">
        <v>0</v>
      </c>
      <c r="T130" s="43">
        <v>0</v>
      </c>
      <c r="U130" s="43">
        <v>0</v>
      </c>
      <c r="V130" s="43">
        <v>0</v>
      </c>
      <c r="W130" s="43">
        <v>0</v>
      </c>
      <c r="X130" s="43">
        <v>0</v>
      </c>
      <c r="Y130" s="59">
        <f t="shared" si="38"/>
        <v>0</v>
      </c>
      <c r="Z130" s="43">
        <v>0</v>
      </c>
      <c r="AA130" s="43">
        <v>0</v>
      </c>
      <c r="AB130" s="60">
        <v>0</v>
      </c>
      <c r="AC130" s="43"/>
      <c r="AD130" s="43"/>
      <c r="AE130" s="43"/>
      <c r="AF130" s="60">
        <f t="shared" si="39"/>
        <v>0</v>
      </c>
      <c r="AG130" s="60"/>
      <c r="AH130" s="7"/>
      <c r="AI130" s="7">
        <v>0</v>
      </c>
      <c r="AJ130" s="7">
        <v>0</v>
      </c>
      <c r="AK130" s="7">
        <v>0</v>
      </c>
      <c r="AL130" s="7">
        <v>0</v>
      </c>
      <c r="AM130" s="7">
        <v>0</v>
      </c>
      <c r="AN130" s="92">
        <v>0</v>
      </c>
      <c r="AO130" s="7">
        <f t="shared" si="40"/>
        <v>0</v>
      </c>
      <c r="AP130" s="59">
        <f t="shared" si="17"/>
        <v>0</v>
      </c>
      <c r="AQ130" s="59">
        <f t="shared" si="18"/>
        <v>0</v>
      </c>
      <c r="AR130" s="59">
        <f t="shared" si="19"/>
        <v>0</v>
      </c>
      <c r="AS130" s="59">
        <f t="shared" si="20"/>
        <v>0</v>
      </c>
    </row>
    <row r="131" spans="1:45">
      <c r="A131" s="21" t="s">
        <v>823</v>
      </c>
      <c r="B131" s="175" t="s">
        <v>824</v>
      </c>
      <c r="C131" s="18" t="s">
        <v>99</v>
      </c>
      <c r="D131" s="18" t="s">
        <v>99</v>
      </c>
      <c r="E131" s="88"/>
      <c r="F131" s="20">
        <v>323244</v>
      </c>
      <c r="G131" s="19"/>
      <c r="H131" s="19"/>
      <c r="I131" s="43">
        <v>0</v>
      </c>
      <c r="J131" s="43">
        <v>0</v>
      </c>
      <c r="K131" s="43">
        <v>0</v>
      </c>
      <c r="L131" s="43">
        <v>0</v>
      </c>
      <c r="M131" s="43">
        <v>0</v>
      </c>
      <c r="N131" s="44">
        <f t="shared" si="36"/>
        <v>0</v>
      </c>
      <c r="O131" s="44">
        <f>I131*$H$2+J131*$I$2+K131*$J$2+L131*$K$2+M131*$L$2</f>
        <v>0</v>
      </c>
      <c r="P131" s="45">
        <f t="shared" si="37"/>
        <v>0</v>
      </c>
      <c r="Q131" s="54">
        <v>208826.456140351</v>
      </c>
      <c r="R131" s="55">
        <v>0</v>
      </c>
      <c r="S131" s="55">
        <v>0</v>
      </c>
      <c r="T131" s="43">
        <v>0</v>
      </c>
      <c r="U131" s="43">
        <v>0</v>
      </c>
      <c r="V131" s="43">
        <v>0</v>
      </c>
      <c r="W131" s="43">
        <v>0</v>
      </c>
      <c r="X131" s="43">
        <v>0</v>
      </c>
      <c r="Y131" s="59">
        <f t="shared" si="38"/>
        <v>0</v>
      </c>
      <c r="Z131" s="43">
        <v>0</v>
      </c>
      <c r="AA131" s="43">
        <v>110000</v>
      </c>
      <c r="AB131" s="60">
        <v>0</v>
      </c>
      <c r="AC131" s="43"/>
      <c r="AD131" s="43"/>
      <c r="AE131" s="43"/>
      <c r="AF131" s="60">
        <f t="shared" si="39"/>
        <v>213244</v>
      </c>
      <c r="AG131" s="60"/>
      <c r="AH131" s="7"/>
      <c r="AI131" s="7">
        <v>9000</v>
      </c>
      <c r="AJ131" s="7">
        <v>12000</v>
      </c>
      <c r="AK131" s="7">
        <v>22800</v>
      </c>
      <c r="AL131" s="7">
        <v>968.421052631579</v>
      </c>
      <c r="AM131" s="7">
        <v>9649.12280701754</v>
      </c>
      <c r="AN131" s="92">
        <v>0</v>
      </c>
      <c r="AO131" s="7">
        <f t="shared" si="40"/>
        <v>54417.5438596491</v>
      </c>
      <c r="AP131" s="59">
        <f t="shared" si="17"/>
        <v>0</v>
      </c>
      <c r="AQ131" s="59">
        <f t="shared" si="18"/>
        <v>0</v>
      </c>
      <c r="AR131" s="59">
        <f t="shared" si="19"/>
        <v>0</v>
      </c>
      <c r="AS131" s="59">
        <f t="shared" si="20"/>
        <v>0</v>
      </c>
    </row>
    <row r="132" spans="1:45">
      <c r="A132" s="21" t="s">
        <v>825</v>
      </c>
      <c r="B132" s="18" t="s">
        <v>826</v>
      </c>
      <c r="C132" s="18" t="s">
        <v>2</v>
      </c>
      <c r="D132" s="18" t="s">
        <v>2</v>
      </c>
      <c r="E132" s="19"/>
      <c r="F132" s="20">
        <v>560250</v>
      </c>
      <c r="G132" s="19">
        <v>0</v>
      </c>
      <c r="H132" s="19">
        <v>500000</v>
      </c>
      <c r="I132" s="43">
        <v>80</v>
      </c>
      <c r="J132" s="43">
        <v>0</v>
      </c>
      <c r="K132" s="43">
        <v>0</v>
      </c>
      <c r="L132" s="43">
        <v>0</v>
      </c>
      <c r="M132" s="43">
        <v>0</v>
      </c>
      <c r="N132" s="44">
        <f t="shared" si="36"/>
        <v>80</v>
      </c>
      <c r="O132" s="44">
        <f>I132*$H$3+J132*$I$3+K132*$J$3+L132*$K$3+M132*$L$3</f>
        <v>1098000</v>
      </c>
      <c r="P132" s="45">
        <f t="shared" si="37"/>
        <v>1098000</v>
      </c>
      <c r="Q132" s="54">
        <v>263742.98245614</v>
      </c>
      <c r="R132" s="55">
        <v>100</v>
      </c>
      <c r="S132" s="55">
        <v>0</v>
      </c>
      <c r="T132" s="43">
        <v>30</v>
      </c>
      <c r="U132" s="43">
        <v>0</v>
      </c>
      <c r="V132" s="43">
        <v>0</v>
      </c>
      <c r="W132" s="43">
        <v>0</v>
      </c>
      <c r="X132" s="43">
        <v>0</v>
      </c>
      <c r="Y132" s="59">
        <f t="shared" si="38"/>
        <v>30</v>
      </c>
      <c r="Z132" s="43">
        <v>427500</v>
      </c>
      <c r="AA132" s="43">
        <v>300000</v>
      </c>
      <c r="AB132" s="60">
        <v>0</v>
      </c>
      <c r="AC132" s="43"/>
      <c r="AD132" s="43"/>
      <c r="AE132" s="43"/>
      <c r="AF132" s="60">
        <f t="shared" si="39"/>
        <v>687750</v>
      </c>
      <c r="AG132" s="60"/>
      <c r="AH132" s="7"/>
      <c r="AI132" s="7">
        <v>32450</v>
      </c>
      <c r="AJ132" s="7">
        <v>75000</v>
      </c>
      <c r="AK132" s="7">
        <v>52500</v>
      </c>
      <c r="AL132" s="7">
        <v>7017.54385964912</v>
      </c>
      <c r="AM132" s="7">
        <v>16789.4736842105</v>
      </c>
      <c r="AN132" s="92">
        <v>0</v>
      </c>
      <c r="AO132" s="7">
        <f t="shared" si="40"/>
        <v>183757.01754386</v>
      </c>
      <c r="AP132" s="59">
        <f t="shared" si="17"/>
        <v>50</v>
      </c>
      <c r="AQ132" s="59">
        <f t="shared" si="18"/>
        <v>0</v>
      </c>
      <c r="AR132" s="59">
        <f t="shared" si="19"/>
        <v>3.84615384615385</v>
      </c>
      <c r="AS132" s="59">
        <f t="shared" si="20"/>
        <v>0</v>
      </c>
    </row>
    <row r="133" spans="1:45">
      <c r="A133" s="21" t="s">
        <v>827</v>
      </c>
      <c r="B133" s="87" t="s">
        <v>828</v>
      </c>
      <c r="C133" s="18">
        <v>0</v>
      </c>
      <c r="D133" s="18">
        <v>0</v>
      </c>
      <c r="E133" s="88"/>
      <c r="F133" s="20">
        <v>157487.78</v>
      </c>
      <c r="G133" s="19">
        <v>0</v>
      </c>
      <c r="H133" s="19">
        <v>0</v>
      </c>
      <c r="I133" s="43">
        <v>0</v>
      </c>
      <c r="J133" s="43">
        <v>0</v>
      </c>
      <c r="K133" s="43">
        <v>0</v>
      </c>
      <c r="L133" s="43">
        <v>0</v>
      </c>
      <c r="M133" s="43">
        <v>0</v>
      </c>
      <c r="N133" s="44">
        <f t="shared" si="36"/>
        <v>0</v>
      </c>
      <c r="O133" s="44">
        <v>0</v>
      </c>
      <c r="P133" s="45">
        <f t="shared" si="37"/>
        <v>0</v>
      </c>
      <c r="Q133" s="54">
        <v>0</v>
      </c>
      <c r="R133" s="55">
        <v>0</v>
      </c>
      <c r="S133" s="55">
        <v>0</v>
      </c>
      <c r="T133" s="43">
        <v>0</v>
      </c>
      <c r="U133" s="43">
        <v>0</v>
      </c>
      <c r="V133" s="43">
        <v>0</v>
      </c>
      <c r="W133" s="43">
        <v>0</v>
      </c>
      <c r="X133" s="43">
        <v>0</v>
      </c>
      <c r="Y133" s="59">
        <f t="shared" si="38"/>
        <v>0</v>
      </c>
      <c r="Z133" s="43">
        <v>0</v>
      </c>
      <c r="AA133" s="43">
        <v>0</v>
      </c>
      <c r="AB133" s="60">
        <v>0</v>
      </c>
      <c r="AC133" s="43"/>
      <c r="AD133" s="43"/>
      <c r="AE133" s="43"/>
      <c r="AF133" s="60">
        <f t="shared" si="39"/>
        <v>157487.78</v>
      </c>
      <c r="AG133" s="60"/>
      <c r="AH133" s="7"/>
      <c r="AI133" s="7">
        <v>0</v>
      </c>
      <c r="AJ133" s="7">
        <v>0</v>
      </c>
      <c r="AK133" s="7">
        <v>0</v>
      </c>
      <c r="AL133" s="7">
        <v>0</v>
      </c>
      <c r="AM133" s="7">
        <v>0</v>
      </c>
      <c r="AN133" s="92">
        <v>0</v>
      </c>
      <c r="AO133" s="7">
        <f t="shared" si="40"/>
        <v>0</v>
      </c>
      <c r="AP133" s="59">
        <f t="shared" si="17"/>
        <v>0</v>
      </c>
      <c r="AQ133" s="59">
        <f t="shared" si="18"/>
        <v>0</v>
      </c>
      <c r="AR133" s="59">
        <f t="shared" si="19"/>
        <v>0</v>
      </c>
      <c r="AS133" s="59">
        <f t="shared" si="20"/>
        <v>0</v>
      </c>
    </row>
    <row r="134" spans="1:45">
      <c r="A134" s="21" t="s">
        <v>829</v>
      </c>
      <c r="B134" s="27" t="s">
        <v>830</v>
      </c>
      <c r="C134" s="18" t="s">
        <v>99</v>
      </c>
      <c r="D134" s="18" t="s">
        <v>99</v>
      </c>
      <c r="E134" s="28"/>
      <c r="F134" s="20">
        <v>164900</v>
      </c>
      <c r="G134" s="19">
        <v>0</v>
      </c>
      <c r="H134" s="19">
        <v>1050000</v>
      </c>
      <c r="I134" s="43">
        <v>100</v>
      </c>
      <c r="J134" s="43">
        <v>0</v>
      </c>
      <c r="K134" s="43">
        <v>0</v>
      </c>
      <c r="L134" s="43">
        <v>0</v>
      </c>
      <c r="M134" s="43">
        <v>0</v>
      </c>
      <c r="N134" s="44">
        <f t="shared" si="36"/>
        <v>100</v>
      </c>
      <c r="O134" s="44">
        <f>I134*$H$2+J134*$I$2+K134*$J$2+L134*$K$2+M134*$L$2</f>
        <v>1365000</v>
      </c>
      <c r="P134" s="45">
        <f t="shared" si="37"/>
        <v>1365000</v>
      </c>
      <c r="Q134" s="54">
        <v>0</v>
      </c>
      <c r="R134" s="55">
        <v>0</v>
      </c>
      <c r="S134" s="55">
        <v>0</v>
      </c>
      <c r="T134" s="43">
        <v>65</v>
      </c>
      <c r="U134" s="43">
        <v>0</v>
      </c>
      <c r="V134" s="43">
        <v>0</v>
      </c>
      <c r="W134" s="43">
        <v>0</v>
      </c>
      <c r="X134" s="43">
        <v>0</v>
      </c>
      <c r="Y134" s="59">
        <f t="shared" si="38"/>
        <v>65</v>
      </c>
      <c r="Z134" s="43">
        <v>926250</v>
      </c>
      <c r="AA134" s="43">
        <v>0</v>
      </c>
      <c r="AB134" s="60">
        <v>0</v>
      </c>
      <c r="AC134" s="43"/>
      <c r="AD134" s="43"/>
      <c r="AE134" s="43"/>
      <c r="AF134" s="60">
        <f t="shared" si="39"/>
        <v>1091150</v>
      </c>
      <c r="AG134" s="60">
        <f>AF134-AO134-H134</f>
        <v>-132583.333333333</v>
      </c>
      <c r="AH134" s="7"/>
      <c r="AI134" s="7">
        <v>68000</v>
      </c>
      <c r="AJ134" s="7">
        <v>105000</v>
      </c>
      <c r="AK134" s="7">
        <v>0</v>
      </c>
      <c r="AL134" s="7">
        <v>0</v>
      </c>
      <c r="AM134" s="7">
        <v>733.333333333333</v>
      </c>
      <c r="AN134" s="92">
        <v>0</v>
      </c>
      <c r="AO134" s="7">
        <f t="shared" si="40"/>
        <v>173733.333333333</v>
      </c>
      <c r="AP134" s="59">
        <f t="shared" si="17"/>
        <v>35</v>
      </c>
      <c r="AQ134" s="59">
        <f t="shared" si="18"/>
        <v>0</v>
      </c>
      <c r="AR134" s="59">
        <f t="shared" si="19"/>
        <v>2.69230769230769</v>
      </c>
      <c r="AS134" s="59">
        <f t="shared" si="20"/>
        <v>0</v>
      </c>
    </row>
    <row r="135" spans="1:45">
      <c r="A135" s="21" t="s">
        <v>831</v>
      </c>
      <c r="B135" s="27" t="str">
        <f>IFERROR(VLOOKUP(A135,'[2]Dealer Wise Net Sales Register1'!D:E,2,FALSE),0)</f>
        <v>01576</v>
      </c>
      <c r="C135" s="18"/>
      <c r="D135" s="18"/>
      <c r="E135" s="28"/>
      <c r="F135" s="20">
        <v>199000</v>
      </c>
      <c r="G135" s="19"/>
      <c r="H135" s="19"/>
      <c r="I135" s="43">
        <v>0</v>
      </c>
      <c r="J135" s="43">
        <v>0</v>
      </c>
      <c r="K135" s="43">
        <v>0</v>
      </c>
      <c r="L135" s="43">
        <v>0</v>
      </c>
      <c r="M135" s="43">
        <v>0</v>
      </c>
      <c r="N135" s="44">
        <f t="shared" si="36"/>
        <v>0</v>
      </c>
      <c r="O135" s="44">
        <v>0</v>
      </c>
      <c r="P135" s="45">
        <f t="shared" si="37"/>
        <v>0</v>
      </c>
      <c r="Q135" s="54">
        <v>122000</v>
      </c>
      <c r="R135" s="55">
        <v>0</v>
      </c>
      <c r="S135" s="55">
        <v>0</v>
      </c>
      <c r="T135" s="43">
        <v>0</v>
      </c>
      <c r="U135" s="43">
        <v>0</v>
      </c>
      <c r="V135" s="43">
        <v>0</v>
      </c>
      <c r="W135" s="43">
        <v>0</v>
      </c>
      <c r="X135" s="43">
        <v>0</v>
      </c>
      <c r="Y135" s="59">
        <f t="shared" si="38"/>
        <v>0</v>
      </c>
      <c r="Z135" s="43">
        <v>0</v>
      </c>
      <c r="AA135" s="43">
        <v>0</v>
      </c>
      <c r="AB135" s="60">
        <v>0</v>
      </c>
      <c r="AC135" s="43"/>
      <c r="AD135" s="43"/>
      <c r="AE135" s="43"/>
      <c r="AF135" s="60">
        <f t="shared" si="39"/>
        <v>199000</v>
      </c>
      <c r="AG135" s="60"/>
      <c r="AH135" s="7"/>
      <c r="AI135" s="7">
        <v>0</v>
      </c>
      <c r="AJ135" s="7">
        <v>0</v>
      </c>
      <c r="AK135" s="7">
        <v>185000</v>
      </c>
      <c r="AL135" s="7">
        <v>0</v>
      </c>
      <c r="AM135" s="7">
        <v>0</v>
      </c>
      <c r="AN135" s="92">
        <v>0</v>
      </c>
      <c r="AO135" s="7">
        <f t="shared" si="40"/>
        <v>185000</v>
      </c>
      <c r="AP135" s="59">
        <f t="shared" si="17"/>
        <v>0</v>
      </c>
      <c r="AQ135" s="59">
        <f t="shared" si="18"/>
        <v>0</v>
      </c>
      <c r="AR135" s="59">
        <f t="shared" si="19"/>
        <v>0</v>
      </c>
      <c r="AS135" s="59">
        <f t="shared" si="20"/>
        <v>0</v>
      </c>
    </row>
    <row r="136" spans="1:45">
      <c r="A136" s="21" t="s">
        <v>832</v>
      </c>
      <c r="B136" s="18" t="s">
        <v>833</v>
      </c>
      <c r="C136" s="18">
        <v>0</v>
      </c>
      <c r="D136" s="18">
        <v>0</v>
      </c>
      <c r="E136" s="19"/>
      <c r="F136" s="20">
        <v>0.36</v>
      </c>
      <c r="G136" s="19">
        <v>0</v>
      </c>
      <c r="H136" s="19">
        <v>0</v>
      </c>
      <c r="I136" s="43">
        <v>0</v>
      </c>
      <c r="J136" s="43">
        <v>0</v>
      </c>
      <c r="K136" s="43">
        <v>0</v>
      </c>
      <c r="L136" s="43">
        <v>0</v>
      </c>
      <c r="M136" s="43">
        <v>0</v>
      </c>
      <c r="N136" s="44">
        <f t="shared" si="36"/>
        <v>0</v>
      </c>
      <c r="O136" s="44">
        <v>0</v>
      </c>
      <c r="P136" s="45">
        <f t="shared" si="37"/>
        <v>0</v>
      </c>
      <c r="Q136" s="54">
        <v>0</v>
      </c>
      <c r="R136" s="55">
        <v>0</v>
      </c>
      <c r="S136" s="55">
        <v>0</v>
      </c>
      <c r="T136" s="43">
        <v>0</v>
      </c>
      <c r="U136" s="43">
        <v>0</v>
      </c>
      <c r="V136" s="43">
        <v>0</v>
      </c>
      <c r="W136" s="43">
        <v>0</v>
      </c>
      <c r="X136" s="43">
        <v>0</v>
      </c>
      <c r="Y136" s="59">
        <f t="shared" si="38"/>
        <v>0</v>
      </c>
      <c r="Z136" s="43">
        <v>0</v>
      </c>
      <c r="AA136" s="43">
        <v>0</v>
      </c>
      <c r="AB136" s="60">
        <v>0</v>
      </c>
      <c r="AC136" s="43"/>
      <c r="AD136" s="43"/>
      <c r="AE136" s="43"/>
      <c r="AF136" s="60">
        <f t="shared" si="39"/>
        <v>0.36</v>
      </c>
      <c r="AG136" s="60"/>
      <c r="AH136" s="7"/>
      <c r="AI136" s="7">
        <v>0</v>
      </c>
      <c r="AJ136" s="7">
        <v>0</v>
      </c>
      <c r="AK136" s="7">
        <v>0</v>
      </c>
      <c r="AL136" s="7">
        <v>0</v>
      </c>
      <c r="AM136" s="7">
        <v>0</v>
      </c>
      <c r="AN136" s="92">
        <v>0</v>
      </c>
      <c r="AO136" s="7">
        <f t="shared" si="40"/>
        <v>0</v>
      </c>
      <c r="AP136" s="59">
        <f t="shared" si="17"/>
        <v>0</v>
      </c>
      <c r="AQ136" s="59">
        <f t="shared" si="18"/>
        <v>0</v>
      </c>
      <c r="AR136" s="59">
        <f t="shared" si="19"/>
        <v>0</v>
      </c>
      <c r="AS136" s="59">
        <f t="shared" si="20"/>
        <v>0</v>
      </c>
    </row>
    <row r="137" spans="1:45">
      <c r="A137" s="21" t="s">
        <v>834</v>
      </c>
      <c r="B137" s="18" t="s">
        <v>835</v>
      </c>
      <c r="C137" s="18">
        <v>0</v>
      </c>
      <c r="D137" s="18">
        <v>0</v>
      </c>
      <c r="E137" s="93"/>
      <c r="F137" s="20">
        <v>-5120</v>
      </c>
      <c r="G137" s="93">
        <v>0</v>
      </c>
      <c r="H137" s="19">
        <v>142000</v>
      </c>
      <c r="I137" s="43">
        <v>0</v>
      </c>
      <c r="J137" s="43">
        <v>0</v>
      </c>
      <c r="K137" s="43">
        <v>0</v>
      </c>
      <c r="L137" s="43">
        <v>0</v>
      </c>
      <c r="M137" s="43">
        <v>0</v>
      </c>
      <c r="N137" s="44">
        <f t="shared" si="36"/>
        <v>0</v>
      </c>
      <c r="O137" s="44">
        <v>0</v>
      </c>
      <c r="P137" s="45">
        <f t="shared" si="37"/>
        <v>0</v>
      </c>
      <c r="Q137" s="54">
        <v>0</v>
      </c>
      <c r="R137" s="55">
        <v>0</v>
      </c>
      <c r="S137" s="55">
        <v>0</v>
      </c>
      <c r="T137" s="43">
        <v>0</v>
      </c>
      <c r="U137" s="43">
        <v>0</v>
      </c>
      <c r="V137" s="43">
        <v>0</v>
      </c>
      <c r="W137" s="43">
        <v>0</v>
      </c>
      <c r="X137" s="43">
        <v>0</v>
      </c>
      <c r="Y137" s="59">
        <f t="shared" si="38"/>
        <v>0</v>
      </c>
      <c r="Z137" s="43">
        <v>0</v>
      </c>
      <c r="AA137" s="43">
        <v>0</v>
      </c>
      <c r="AB137" s="60">
        <v>0</v>
      </c>
      <c r="AC137" s="43"/>
      <c r="AD137" s="43"/>
      <c r="AE137" s="43"/>
      <c r="AF137" s="60">
        <f t="shared" si="39"/>
        <v>-5120</v>
      </c>
      <c r="AG137" s="60"/>
      <c r="AH137" s="7"/>
      <c r="AI137" s="7">
        <v>0</v>
      </c>
      <c r="AJ137" s="7">
        <v>0</v>
      </c>
      <c r="AK137" s="7">
        <v>0</v>
      </c>
      <c r="AL137" s="7">
        <v>0</v>
      </c>
      <c r="AM137" s="7">
        <v>0</v>
      </c>
      <c r="AN137" s="92">
        <v>0</v>
      </c>
      <c r="AO137" s="7">
        <f t="shared" si="40"/>
        <v>0</v>
      </c>
      <c r="AP137" s="59">
        <f t="shared" ref="AP137:AP200" si="41">I137+J137-T137-U137</f>
        <v>0</v>
      </c>
      <c r="AQ137" s="59">
        <f t="shared" ref="AQ137:AQ200" si="42">K137-V137</f>
        <v>0</v>
      </c>
      <c r="AR137" s="59">
        <f t="shared" ref="AR137:AR200" si="43">AP137/13</f>
        <v>0</v>
      </c>
      <c r="AS137" s="59">
        <f t="shared" ref="AS137:AS200" si="44">AQ137/13</f>
        <v>0</v>
      </c>
    </row>
    <row r="138" spans="1:45">
      <c r="A138" s="21" t="s">
        <v>836</v>
      </c>
      <c r="B138" s="18" t="s">
        <v>837</v>
      </c>
      <c r="C138" s="18" t="s">
        <v>99</v>
      </c>
      <c r="D138" s="18" t="s">
        <v>99</v>
      </c>
      <c r="E138" s="93"/>
      <c r="F138" s="20">
        <v>58031.8</v>
      </c>
      <c r="G138" s="93">
        <v>0</v>
      </c>
      <c r="H138" s="19">
        <v>102750</v>
      </c>
      <c r="I138" s="43">
        <v>0</v>
      </c>
      <c r="J138" s="43">
        <v>0</v>
      </c>
      <c r="K138" s="43">
        <v>0</v>
      </c>
      <c r="L138" s="43">
        <v>0</v>
      </c>
      <c r="M138" s="43">
        <v>0</v>
      </c>
      <c r="N138" s="44">
        <f t="shared" si="36"/>
        <v>0</v>
      </c>
      <c r="O138" s="44">
        <f>I138*$H$2+J138*$I$2+K138*$J$2+L138*$K$2+M138*$L$2</f>
        <v>0</v>
      </c>
      <c r="P138" s="45">
        <f t="shared" si="37"/>
        <v>0</v>
      </c>
      <c r="Q138" s="54">
        <v>69781.8</v>
      </c>
      <c r="R138" s="55">
        <v>0</v>
      </c>
      <c r="S138" s="55">
        <v>0</v>
      </c>
      <c r="T138" s="43">
        <v>0</v>
      </c>
      <c r="U138" s="43">
        <v>0</v>
      </c>
      <c r="V138" s="43">
        <v>0</v>
      </c>
      <c r="W138" s="43">
        <v>0</v>
      </c>
      <c r="X138" s="43">
        <v>0</v>
      </c>
      <c r="Y138" s="59">
        <f t="shared" si="38"/>
        <v>0</v>
      </c>
      <c r="Z138" s="43">
        <v>0</v>
      </c>
      <c r="AA138" s="43">
        <v>0</v>
      </c>
      <c r="AB138" s="60">
        <v>0</v>
      </c>
      <c r="AC138" s="43"/>
      <c r="AD138" s="43"/>
      <c r="AE138" s="43"/>
      <c r="AF138" s="60">
        <f t="shared" si="39"/>
        <v>58031.8</v>
      </c>
      <c r="AG138" s="60"/>
      <c r="AH138" s="7"/>
      <c r="AI138" s="7">
        <v>5500</v>
      </c>
      <c r="AJ138" s="7">
        <v>0</v>
      </c>
      <c r="AK138" s="7">
        <v>2750</v>
      </c>
      <c r="AL138" s="7">
        <v>0</v>
      </c>
      <c r="AM138" s="7">
        <v>0</v>
      </c>
      <c r="AN138" s="92">
        <v>0</v>
      </c>
      <c r="AO138" s="7">
        <f t="shared" si="40"/>
        <v>8250</v>
      </c>
      <c r="AP138" s="59">
        <f t="shared" si="41"/>
        <v>0</v>
      </c>
      <c r="AQ138" s="59">
        <f t="shared" si="42"/>
        <v>0</v>
      </c>
      <c r="AR138" s="59">
        <f t="shared" si="43"/>
        <v>0</v>
      </c>
      <c r="AS138" s="59">
        <f t="shared" si="44"/>
        <v>0</v>
      </c>
    </row>
    <row r="139" spans="1:45">
      <c r="A139" s="21" t="s">
        <v>838</v>
      </c>
      <c r="B139" s="18" t="s">
        <v>839</v>
      </c>
      <c r="C139" s="18" t="s">
        <v>99</v>
      </c>
      <c r="D139" s="18" t="s">
        <v>99</v>
      </c>
      <c r="E139" s="93"/>
      <c r="F139" s="20">
        <v>127499.66</v>
      </c>
      <c r="G139" s="93">
        <v>0</v>
      </c>
      <c r="H139" s="19">
        <v>0</v>
      </c>
      <c r="I139" s="43">
        <v>0</v>
      </c>
      <c r="J139" s="43">
        <v>0</v>
      </c>
      <c r="K139" s="43">
        <v>0</v>
      </c>
      <c r="L139" s="43">
        <v>0</v>
      </c>
      <c r="M139" s="43">
        <v>0</v>
      </c>
      <c r="N139" s="44">
        <f t="shared" si="36"/>
        <v>0</v>
      </c>
      <c r="O139" s="44">
        <f>I139*$H$2+J139*$I$2+K139*$J$2+L139*$K$2+M139*$L$2</f>
        <v>0</v>
      </c>
      <c r="P139" s="45">
        <f t="shared" si="37"/>
        <v>0</v>
      </c>
      <c r="Q139" s="54">
        <v>0</v>
      </c>
      <c r="R139" s="55">
        <v>0</v>
      </c>
      <c r="S139" s="55">
        <v>0</v>
      </c>
      <c r="T139" s="43">
        <v>5</v>
      </c>
      <c r="U139" s="43">
        <v>0</v>
      </c>
      <c r="V139" s="43">
        <v>0</v>
      </c>
      <c r="W139" s="43">
        <v>0</v>
      </c>
      <c r="X139" s="43">
        <v>0</v>
      </c>
      <c r="Y139" s="59">
        <f t="shared" si="38"/>
        <v>5</v>
      </c>
      <c r="Z139" s="43">
        <v>71250</v>
      </c>
      <c r="AA139" s="43">
        <v>0</v>
      </c>
      <c r="AB139" s="60">
        <v>0</v>
      </c>
      <c r="AC139" s="43"/>
      <c r="AD139" s="43"/>
      <c r="AE139" s="43"/>
      <c r="AF139" s="60">
        <f t="shared" si="39"/>
        <v>198749.66</v>
      </c>
      <c r="AG139" s="60">
        <f>AF139-AO139-H139</f>
        <v>174846.15122807</v>
      </c>
      <c r="AH139" s="7"/>
      <c r="AI139" s="7">
        <v>0</v>
      </c>
      <c r="AJ139" s="7">
        <v>15000</v>
      </c>
      <c r="AK139" s="7">
        <v>7500</v>
      </c>
      <c r="AL139" s="7">
        <v>1403.50877192982</v>
      </c>
      <c r="AM139" s="7">
        <v>0</v>
      </c>
      <c r="AN139" s="92">
        <v>0</v>
      </c>
      <c r="AO139" s="7">
        <f t="shared" si="40"/>
        <v>23903.5087719298</v>
      </c>
      <c r="AP139" s="59">
        <f t="shared" si="41"/>
        <v>-5</v>
      </c>
      <c r="AQ139" s="59">
        <f t="shared" si="42"/>
        <v>0</v>
      </c>
      <c r="AR139" s="59">
        <f t="shared" si="43"/>
        <v>-0.384615384615385</v>
      </c>
      <c r="AS139" s="59">
        <f t="shared" si="44"/>
        <v>0</v>
      </c>
    </row>
    <row r="140" ht="15.15" spans="1:45">
      <c r="A140" s="21" t="s">
        <v>840</v>
      </c>
      <c r="B140" s="18" t="s">
        <v>841</v>
      </c>
      <c r="C140" s="18">
        <v>0</v>
      </c>
      <c r="D140" s="18">
        <v>0</v>
      </c>
      <c r="E140" s="19"/>
      <c r="F140" s="20">
        <v>-1365.2</v>
      </c>
      <c r="G140" s="19">
        <v>0</v>
      </c>
      <c r="H140" s="19">
        <v>140500</v>
      </c>
      <c r="I140" s="43">
        <v>0</v>
      </c>
      <c r="J140" s="43">
        <v>0</v>
      </c>
      <c r="K140" s="43">
        <v>0</v>
      </c>
      <c r="L140" s="43">
        <v>0</v>
      </c>
      <c r="M140" s="43">
        <v>0</v>
      </c>
      <c r="N140" s="44">
        <f t="shared" si="36"/>
        <v>0</v>
      </c>
      <c r="O140" s="44">
        <v>0</v>
      </c>
      <c r="P140" s="45">
        <f t="shared" si="37"/>
        <v>0</v>
      </c>
      <c r="Q140" s="54">
        <v>0</v>
      </c>
      <c r="R140" s="55">
        <v>0</v>
      </c>
      <c r="S140" s="55">
        <v>0</v>
      </c>
      <c r="T140" s="43">
        <v>0</v>
      </c>
      <c r="U140" s="43">
        <v>0</v>
      </c>
      <c r="V140" s="43">
        <v>0</v>
      </c>
      <c r="W140" s="43">
        <v>0</v>
      </c>
      <c r="X140" s="43">
        <v>0</v>
      </c>
      <c r="Y140" s="59">
        <f t="shared" si="38"/>
        <v>0</v>
      </c>
      <c r="Z140" s="43">
        <v>0</v>
      </c>
      <c r="AA140" s="43">
        <v>0</v>
      </c>
      <c r="AB140" s="60">
        <v>0</v>
      </c>
      <c r="AC140" s="43"/>
      <c r="AD140" s="43"/>
      <c r="AE140" s="43"/>
      <c r="AF140" s="60">
        <f t="shared" si="39"/>
        <v>-1365.2</v>
      </c>
      <c r="AG140" s="60"/>
      <c r="AH140" s="7"/>
      <c r="AI140" s="7">
        <v>0</v>
      </c>
      <c r="AJ140" s="7">
        <v>0</v>
      </c>
      <c r="AK140" s="7">
        <v>0</v>
      </c>
      <c r="AL140" s="7">
        <v>0</v>
      </c>
      <c r="AM140" s="7">
        <v>0</v>
      </c>
      <c r="AN140" s="92">
        <v>0</v>
      </c>
      <c r="AO140" s="7">
        <f t="shared" si="40"/>
        <v>0</v>
      </c>
      <c r="AP140" s="59">
        <f t="shared" si="41"/>
        <v>0</v>
      </c>
      <c r="AQ140" s="59">
        <f t="shared" si="42"/>
        <v>0</v>
      </c>
      <c r="AR140" s="59">
        <f t="shared" si="43"/>
        <v>0</v>
      </c>
      <c r="AS140" s="59">
        <f t="shared" si="44"/>
        <v>0</v>
      </c>
    </row>
    <row r="141" ht="15.15" spans="1:45">
      <c r="A141" s="76" t="s">
        <v>842</v>
      </c>
      <c r="B141" s="30">
        <v>0</v>
      </c>
      <c r="C141" s="18">
        <v>0</v>
      </c>
      <c r="D141" s="18">
        <v>0</v>
      </c>
      <c r="E141" s="31"/>
      <c r="F141" s="32">
        <f t="shared" ref="F141:AB141" si="45">SUM(F115:F140)</f>
        <v>4900971.98</v>
      </c>
      <c r="G141" s="32">
        <f t="shared" si="45"/>
        <v>500000</v>
      </c>
      <c r="H141" s="32">
        <f t="shared" si="45"/>
        <v>6661500</v>
      </c>
      <c r="I141" s="32">
        <f t="shared" si="45"/>
        <v>880</v>
      </c>
      <c r="J141" s="32">
        <f t="shared" si="45"/>
        <v>0</v>
      </c>
      <c r="K141" s="32">
        <f t="shared" si="45"/>
        <v>0</v>
      </c>
      <c r="L141" s="32">
        <f t="shared" si="45"/>
        <v>0</v>
      </c>
      <c r="M141" s="32">
        <f t="shared" si="45"/>
        <v>0</v>
      </c>
      <c r="N141" s="32">
        <f t="shared" si="45"/>
        <v>880</v>
      </c>
      <c r="O141" s="32">
        <f t="shared" si="45"/>
        <v>9203000</v>
      </c>
      <c r="P141" s="32">
        <f t="shared" si="45"/>
        <v>9203000</v>
      </c>
      <c r="Q141" s="32">
        <f t="shared" si="45"/>
        <v>973375.414035087</v>
      </c>
      <c r="R141" s="32">
        <f t="shared" si="45"/>
        <v>600</v>
      </c>
      <c r="S141" s="32">
        <f t="shared" si="45"/>
        <v>0</v>
      </c>
      <c r="T141" s="32">
        <f>SUM(T115:T140)</f>
        <v>238</v>
      </c>
      <c r="U141" s="32">
        <f>SUM(U115:U140)</f>
        <v>4</v>
      </c>
      <c r="V141" s="32">
        <f>SUM(V115:V140)</f>
        <v>0</v>
      </c>
      <c r="W141" s="32">
        <f>SUM(W115:W140)</f>
        <v>0</v>
      </c>
      <c r="X141" s="32">
        <f>SUM(X115:X140)</f>
        <v>0</v>
      </c>
      <c r="Y141" s="32">
        <f>SUM(Y115:Y140)</f>
        <v>242</v>
      </c>
      <c r="Z141" s="32">
        <f>SUM(Z115:Z140)</f>
        <v>3206700</v>
      </c>
      <c r="AA141" s="32">
        <f>SUM(AA115:AA140)</f>
        <v>1629000</v>
      </c>
      <c r="AB141" s="32">
        <f>SUM(AB115:AB140)</f>
        <v>0</v>
      </c>
      <c r="AC141" s="32"/>
      <c r="AD141" s="32"/>
      <c r="AE141" s="32"/>
      <c r="AF141" s="32">
        <f>SUM(AF115:AF140)</f>
        <v>6478671.98</v>
      </c>
      <c r="AG141" s="60">
        <f>AF141-AO141-H141</f>
        <v>-2465824.51122807</v>
      </c>
      <c r="AH141" s="66"/>
      <c r="AI141" s="32">
        <f>SUM(AI115:AI140)</f>
        <v>964350</v>
      </c>
      <c r="AJ141" s="32">
        <f>SUM(AJ115:AJ140)</f>
        <v>775300</v>
      </c>
      <c r="AK141" s="32">
        <f>SUM(AK115:AK140)</f>
        <v>494750</v>
      </c>
      <c r="AL141" s="32">
        <f>SUM(AL115:AL140)</f>
        <v>19494.7368421053</v>
      </c>
      <c r="AM141" s="32">
        <f>SUM(AM115:AM140)</f>
        <v>29101.7543859649</v>
      </c>
      <c r="AN141" s="67">
        <f>Y141/N141</f>
        <v>0.275</v>
      </c>
      <c r="AO141" s="71">
        <f>SUM(AO115:AO140)</f>
        <v>2282996.49122807</v>
      </c>
      <c r="AP141" s="32">
        <f>SUM(AP115:AP140)</f>
        <v>638</v>
      </c>
      <c r="AQ141" s="32">
        <f>SUM(AQ115:AQ140)</f>
        <v>0</v>
      </c>
      <c r="AR141" s="59">
        <f t="shared" si="43"/>
        <v>49.0769230769231</v>
      </c>
      <c r="AS141" s="59">
        <f t="shared" si="44"/>
        <v>0</v>
      </c>
    </row>
    <row r="142" spans="1:45">
      <c r="A142" s="21" t="s">
        <v>843</v>
      </c>
      <c r="B142" s="33" t="s">
        <v>844</v>
      </c>
      <c r="C142" s="18">
        <v>0</v>
      </c>
      <c r="D142" s="18" t="s">
        <v>2</v>
      </c>
      <c r="E142" s="34"/>
      <c r="F142" s="20">
        <v>-30000</v>
      </c>
      <c r="G142" s="19"/>
      <c r="H142" s="19"/>
      <c r="I142" s="43">
        <v>0</v>
      </c>
      <c r="J142" s="43">
        <v>0</v>
      </c>
      <c r="K142" s="43">
        <v>0</v>
      </c>
      <c r="L142" s="43">
        <v>0</v>
      </c>
      <c r="M142" s="43">
        <v>0</v>
      </c>
      <c r="N142" s="44">
        <f t="shared" ref="N142:N186" si="46">SUM(I142:M142)</f>
        <v>0</v>
      </c>
      <c r="O142" s="44">
        <f>I142*$H$3+J142*$I$3+K142*$J$3+L142*$K$3+M142*$L$3</f>
        <v>0</v>
      </c>
      <c r="P142" s="45">
        <f t="shared" ref="P142:P186" si="47">O142</f>
        <v>0</v>
      </c>
      <c r="Q142" s="54">
        <v>0</v>
      </c>
      <c r="R142" s="55">
        <v>0</v>
      </c>
      <c r="S142" s="55">
        <v>0</v>
      </c>
      <c r="T142" s="43">
        <v>0</v>
      </c>
      <c r="U142" s="43">
        <v>0</v>
      </c>
      <c r="V142" s="43">
        <v>0</v>
      </c>
      <c r="W142" s="43">
        <v>0</v>
      </c>
      <c r="X142" s="43">
        <v>0</v>
      </c>
      <c r="Y142" s="59">
        <f t="shared" ref="Y142:Y186" si="48">T142+U142+V142+W142+X142</f>
        <v>0</v>
      </c>
      <c r="Z142" s="43">
        <v>0</v>
      </c>
      <c r="AA142" s="43">
        <v>0</v>
      </c>
      <c r="AB142" s="60">
        <v>0</v>
      </c>
      <c r="AC142" s="43"/>
      <c r="AD142" s="43"/>
      <c r="AE142" s="43"/>
      <c r="AF142" s="60">
        <f t="shared" ref="AF142:AF186" si="49">F142+Z142-AA142-AB142-AC142-AD142-AE142</f>
        <v>-30000</v>
      </c>
      <c r="AG142" s="60"/>
      <c r="AH142" s="7"/>
      <c r="AI142" s="7">
        <v>0</v>
      </c>
      <c r="AJ142" s="7">
        <v>0</v>
      </c>
      <c r="AK142" s="7">
        <v>0</v>
      </c>
      <c r="AL142" s="7">
        <v>0</v>
      </c>
      <c r="AM142" s="7">
        <v>0</v>
      </c>
      <c r="AN142" s="92">
        <v>0</v>
      </c>
      <c r="AO142" s="7">
        <f t="shared" ref="AO142:AO168" si="50">AI142+AJ142+AK142+AL142+AM142</f>
        <v>0</v>
      </c>
      <c r="AP142" s="59">
        <f t="shared" si="41"/>
        <v>0</v>
      </c>
      <c r="AQ142" s="59">
        <f t="shared" si="42"/>
        <v>0</v>
      </c>
      <c r="AR142" s="59">
        <f t="shared" si="43"/>
        <v>0</v>
      </c>
      <c r="AS142" s="59">
        <f t="shared" si="44"/>
        <v>0</v>
      </c>
    </row>
    <row r="143" spans="1:45">
      <c r="A143" s="21" t="s">
        <v>845</v>
      </c>
      <c r="B143" s="33" t="s">
        <v>846</v>
      </c>
      <c r="C143" s="18">
        <v>0</v>
      </c>
      <c r="D143" s="18" t="s">
        <v>49</v>
      </c>
      <c r="E143" s="34"/>
      <c r="F143" s="20">
        <v>30000</v>
      </c>
      <c r="G143" s="19"/>
      <c r="H143" s="19"/>
      <c r="I143" s="43">
        <v>0</v>
      </c>
      <c r="J143" s="43">
        <v>0</v>
      </c>
      <c r="K143" s="43">
        <v>0</v>
      </c>
      <c r="L143" s="43">
        <v>0</v>
      </c>
      <c r="M143" s="43">
        <v>0</v>
      </c>
      <c r="N143" s="44">
        <f t="shared" si="46"/>
        <v>0</v>
      </c>
      <c r="O143" s="44">
        <f>I143*$H$4+J143*$I$4+K143*$J$4+L143*$K$4+M143*$L$4</f>
        <v>0</v>
      </c>
      <c r="P143" s="45">
        <f t="shared" si="47"/>
        <v>0</v>
      </c>
      <c r="Q143" s="54">
        <v>0</v>
      </c>
      <c r="R143" s="55">
        <v>0</v>
      </c>
      <c r="S143" s="55">
        <v>0</v>
      </c>
      <c r="T143" s="43">
        <v>0</v>
      </c>
      <c r="U143" s="43">
        <v>0</v>
      </c>
      <c r="V143" s="43">
        <v>0</v>
      </c>
      <c r="W143" s="43">
        <v>0</v>
      </c>
      <c r="X143" s="43">
        <v>0</v>
      </c>
      <c r="Y143" s="59">
        <f t="shared" si="48"/>
        <v>0</v>
      </c>
      <c r="Z143" s="43">
        <v>0</v>
      </c>
      <c r="AA143" s="43">
        <v>0</v>
      </c>
      <c r="AB143" s="60">
        <v>0</v>
      </c>
      <c r="AC143" s="43"/>
      <c r="AD143" s="43"/>
      <c r="AE143" s="43"/>
      <c r="AF143" s="60">
        <f t="shared" si="49"/>
        <v>30000</v>
      </c>
      <c r="AG143" s="60"/>
      <c r="AH143" s="7"/>
      <c r="AI143" s="7">
        <v>0</v>
      </c>
      <c r="AJ143" s="7">
        <v>0</v>
      </c>
      <c r="AK143" s="7">
        <v>0</v>
      </c>
      <c r="AL143" s="7">
        <v>0</v>
      </c>
      <c r="AM143" s="7">
        <v>0</v>
      </c>
      <c r="AN143" s="92">
        <v>0</v>
      </c>
      <c r="AO143" s="7">
        <f t="shared" si="50"/>
        <v>0</v>
      </c>
      <c r="AP143" s="59">
        <f t="shared" si="41"/>
        <v>0</v>
      </c>
      <c r="AQ143" s="59">
        <f t="shared" si="42"/>
        <v>0</v>
      </c>
      <c r="AR143" s="59">
        <f t="shared" si="43"/>
        <v>0</v>
      </c>
      <c r="AS143" s="59">
        <f t="shared" si="44"/>
        <v>0</v>
      </c>
    </row>
    <row r="144" spans="1:45">
      <c r="A144" s="21" t="s">
        <v>847</v>
      </c>
      <c r="B144" s="18" t="s">
        <v>848</v>
      </c>
      <c r="C144" s="18">
        <v>0</v>
      </c>
      <c r="D144" s="18">
        <v>0</v>
      </c>
      <c r="E144" s="19"/>
      <c r="F144" s="20">
        <v>0</v>
      </c>
      <c r="G144" s="19">
        <v>0</v>
      </c>
      <c r="H144" s="19">
        <v>0</v>
      </c>
      <c r="I144" s="43">
        <v>0</v>
      </c>
      <c r="J144" s="43">
        <v>0</v>
      </c>
      <c r="K144" s="43">
        <v>0</v>
      </c>
      <c r="L144" s="43">
        <v>0</v>
      </c>
      <c r="M144" s="43">
        <v>0</v>
      </c>
      <c r="N144" s="44">
        <f t="shared" si="46"/>
        <v>0</v>
      </c>
      <c r="O144" s="44">
        <v>0</v>
      </c>
      <c r="P144" s="45">
        <f t="shared" si="47"/>
        <v>0</v>
      </c>
      <c r="Q144" s="54">
        <v>0</v>
      </c>
      <c r="R144" s="55">
        <v>0</v>
      </c>
      <c r="S144" s="55">
        <v>0</v>
      </c>
      <c r="T144" s="43">
        <v>0</v>
      </c>
      <c r="U144" s="43">
        <v>0</v>
      </c>
      <c r="V144" s="43">
        <v>0</v>
      </c>
      <c r="W144" s="43">
        <v>0</v>
      </c>
      <c r="X144" s="43">
        <v>0</v>
      </c>
      <c r="Y144" s="59">
        <f t="shared" si="48"/>
        <v>0</v>
      </c>
      <c r="Z144" s="43">
        <v>0</v>
      </c>
      <c r="AA144" s="43">
        <v>0</v>
      </c>
      <c r="AB144" s="60">
        <v>0</v>
      </c>
      <c r="AC144" s="43"/>
      <c r="AD144" s="43"/>
      <c r="AE144" s="43"/>
      <c r="AF144" s="60">
        <f t="shared" si="49"/>
        <v>0</v>
      </c>
      <c r="AG144" s="60"/>
      <c r="AH144" s="7"/>
      <c r="AI144" s="7">
        <v>0</v>
      </c>
      <c r="AJ144" s="7">
        <v>0</v>
      </c>
      <c r="AK144" s="7">
        <v>0</v>
      </c>
      <c r="AL144" s="7">
        <v>0</v>
      </c>
      <c r="AM144" s="7">
        <v>0</v>
      </c>
      <c r="AN144" s="92">
        <v>0</v>
      </c>
      <c r="AO144" s="7">
        <f t="shared" si="50"/>
        <v>0</v>
      </c>
      <c r="AP144" s="59">
        <f t="shared" si="41"/>
        <v>0</v>
      </c>
      <c r="AQ144" s="59">
        <f t="shared" si="42"/>
        <v>0</v>
      </c>
      <c r="AR144" s="59">
        <f t="shared" si="43"/>
        <v>0</v>
      </c>
      <c r="AS144" s="59">
        <f t="shared" si="44"/>
        <v>0</v>
      </c>
    </row>
    <row r="145" spans="1:45">
      <c r="A145" s="21" t="s">
        <v>849</v>
      </c>
      <c r="B145" s="33" t="str">
        <f>IFERROR(VLOOKUP(A145,'[7]Dealer wise total summery'!D:E,2,FALSE),0)</f>
        <v>01507</v>
      </c>
      <c r="C145" s="18" t="s">
        <v>151</v>
      </c>
      <c r="D145" s="18" t="s">
        <v>151</v>
      </c>
      <c r="E145" s="34"/>
      <c r="F145" s="20">
        <v>564712</v>
      </c>
      <c r="G145" s="19"/>
      <c r="H145" s="19"/>
      <c r="I145" s="43">
        <v>200</v>
      </c>
      <c r="J145" s="43">
        <v>0</v>
      </c>
      <c r="K145" s="43">
        <v>0</v>
      </c>
      <c r="L145" s="43">
        <v>0</v>
      </c>
      <c r="M145" s="43">
        <v>0</v>
      </c>
      <c r="N145" s="44">
        <f t="shared" si="46"/>
        <v>200</v>
      </c>
      <c r="O145" s="44">
        <f>I145*$H$4+J145*$I$4+K145*$J$4+L145*$K$4+M145*$L$4</f>
        <v>1000000</v>
      </c>
      <c r="P145" s="45">
        <f t="shared" si="47"/>
        <v>1000000</v>
      </c>
      <c r="Q145" s="54">
        <v>947712</v>
      </c>
      <c r="R145" s="55">
        <v>0</v>
      </c>
      <c r="S145" s="55">
        <v>0</v>
      </c>
      <c r="T145" s="43">
        <v>20</v>
      </c>
      <c r="U145" s="43">
        <v>30</v>
      </c>
      <c r="V145" s="43">
        <v>0</v>
      </c>
      <c r="W145" s="43">
        <v>0</v>
      </c>
      <c r="X145" s="43">
        <v>0</v>
      </c>
      <c r="Y145" s="59">
        <f t="shared" si="48"/>
        <v>50</v>
      </c>
      <c r="Z145" s="43">
        <v>281000</v>
      </c>
      <c r="AA145" s="43">
        <v>0</v>
      </c>
      <c r="AB145" s="60">
        <v>0</v>
      </c>
      <c r="AC145" s="43"/>
      <c r="AD145" s="43"/>
      <c r="AE145" s="43"/>
      <c r="AF145" s="60">
        <f t="shared" si="49"/>
        <v>845712</v>
      </c>
      <c r="AG145" s="60"/>
      <c r="AH145" s="68" t="e">
        <f>#REF!-#REF!</f>
        <v>#REF!</v>
      </c>
      <c r="AI145" s="7">
        <v>65200</v>
      </c>
      <c r="AJ145" s="7">
        <v>74000</v>
      </c>
      <c r="AK145" s="7">
        <v>67000</v>
      </c>
      <c r="AL145" s="7">
        <v>0</v>
      </c>
      <c r="AM145" s="7">
        <v>0</v>
      </c>
      <c r="AN145" s="92" t="s">
        <v>850</v>
      </c>
      <c r="AO145" s="7">
        <f t="shared" si="50"/>
        <v>206200</v>
      </c>
      <c r="AP145" s="59">
        <f t="shared" si="41"/>
        <v>150</v>
      </c>
      <c r="AQ145" s="59">
        <f t="shared" si="42"/>
        <v>0</v>
      </c>
      <c r="AR145" s="59">
        <f t="shared" si="43"/>
        <v>11.5384615384615</v>
      </c>
      <c r="AS145" s="59">
        <f t="shared" si="44"/>
        <v>0</v>
      </c>
    </row>
    <row r="146" spans="1:45">
      <c r="A146" s="21" t="s">
        <v>851</v>
      </c>
      <c r="B146" s="18" t="s">
        <v>852</v>
      </c>
      <c r="C146" s="18" t="s">
        <v>52</v>
      </c>
      <c r="D146" s="18" t="s">
        <v>52</v>
      </c>
      <c r="E146" s="19"/>
      <c r="F146" s="20">
        <v>4399649.93</v>
      </c>
      <c r="G146" s="19">
        <v>1800000</v>
      </c>
      <c r="H146" s="19">
        <v>3000000</v>
      </c>
      <c r="I146" s="43">
        <v>100</v>
      </c>
      <c r="J146" s="43">
        <v>0</v>
      </c>
      <c r="K146" s="43">
        <v>75</v>
      </c>
      <c r="L146" s="43">
        <v>0</v>
      </c>
      <c r="M146" s="43">
        <v>0</v>
      </c>
      <c r="N146" s="94">
        <f t="shared" si="46"/>
        <v>175</v>
      </c>
      <c r="O146" s="44">
        <f>I146*$H$1+J146*$I$1+K146*$J$1+L146*$K$1+M146*$L$1</f>
        <v>2245000</v>
      </c>
      <c r="P146" s="45">
        <f t="shared" si="47"/>
        <v>2245000</v>
      </c>
      <c r="Q146" s="95">
        <v>1448335.0177193</v>
      </c>
      <c r="R146" s="55">
        <v>100</v>
      </c>
      <c r="S146" s="55">
        <v>75</v>
      </c>
      <c r="T146" s="43">
        <v>20</v>
      </c>
      <c r="U146" s="43">
        <v>0</v>
      </c>
      <c r="V146" s="43">
        <v>0</v>
      </c>
      <c r="W146" s="43">
        <v>0</v>
      </c>
      <c r="X146" s="43">
        <v>0</v>
      </c>
      <c r="Y146" s="59">
        <f t="shared" si="48"/>
        <v>20</v>
      </c>
      <c r="Z146" s="43">
        <v>285000</v>
      </c>
      <c r="AA146" s="43">
        <v>50000</v>
      </c>
      <c r="AB146" s="60">
        <v>0</v>
      </c>
      <c r="AC146" s="43"/>
      <c r="AD146" s="43"/>
      <c r="AE146" s="43"/>
      <c r="AF146" s="43">
        <f t="shared" si="49"/>
        <v>4634649.93</v>
      </c>
      <c r="AG146" s="43"/>
      <c r="AH146" s="7"/>
      <c r="AI146" s="7">
        <v>72000</v>
      </c>
      <c r="AJ146" s="7">
        <v>120350</v>
      </c>
      <c r="AK146" s="7">
        <v>167000</v>
      </c>
      <c r="AL146" s="7">
        <v>2105.26315789474</v>
      </c>
      <c r="AM146" s="7">
        <v>3859.64912280702</v>
      </c>
      <c r="AN146" s="92" t="s">
        <v>756</v>
      </c>
      <c r="AO146" s="7">
        <f t="shared" si="50"/>
        <v>365314.912280702</v>
      </c>
      <c r="AP146" s="59">
        <f t="shared" si="41"/>
        <v>80</v>
      </c>
      <c r="AQ146" s="59">
        <f t="shared" si="42"/>
        <v>75</v>
      </c>
      <c r="AR146" s="59">
        <f t="shared" si="43"/>
        <v>6.15384615384615</v>
      </c>
      <c r="AS146" s="59">
        <f t="shared" si="44"/>
        <v>5.76923076923077</v>
      </c>
    </row>
    <row r="147" spans="1:45">
      <c r="A147" s="21" t="s">
        <v>853</v>
      </c>
      <c r="B147" s="33" t="s">
        <v>854</v>
      </c>
      <c r="C147" s="18">
        <v>0</v>
      </c>
      <c r="D147" s="18">
        <v>0</v>
      </c>
      <c r="E147" s="34"/>
      <c r="F147" s="20">
        <v>165700</v>
      </c>
      <c r="G147" s="19"/>
      <c r="H147" s="19"/>
      <c r="I147" s="43">
        <v>0</v>
      </c>
      <c r="J147" s="43">
        <v>0</v>
      </c>
      <c r="K147" s="43">
        <v>0</v>
      </c>
      <c r="L147" s="43">
        <v>0</v>
      </c>
      <c r="M147" s="43">
        <v>0</v>
      </c>
      <c r="N147" s="44">
        <f t="shared" si="46"/>
        <v>0</v>
      </c>
      <c r="O147" s="44">
        <v>0</v>
      </c>
      <c r="P147" s="45">
        <f t="shared" si="47"/>
        <v>0</v>
      </c>
      <c r="Q147" s="54">
        <v>165700</v>
      </c>
      <c r="R147" s="55">
        <v>0</v>
      </c>
      <c r="S147" s="55">
        <v>0</v>
      </c>
      <c r="T147" s="43">
        <v>0</v>
      </c>
      <c r="U147" s="43">
        <v>0</v>
      </c>
      <c r="V147" s="43">
        <v>0</v>
      </c>
      <c r="W147" s="43">
        <v>0</v>
      </c>
      <c r="X147" s="43">
        <v>0</v>
      </c>
      <c r="Y147" s="59">
        <f t="shared" si="48"/>
        <v>0</v>
      </c>
      <c r="Z147" s="43">
        <v>0</v>
      </c>
      <c r="AA147" s="43">
        <v>0</v>
      </c>
      <c r="AB147" s="60">
        <v>0</v>
      </c>
      <c r="AC147" s="43"/>
      <c r="AD147" s="43"/>
      <c r="AE147" s="43"/>
      <c r="AF147" s="60">
        <f t="shared" si="49"/>
        <v>165700</v>
      </c>
      <c r="AG147" s="60"/>
      <c r="AH147" s="7"/>
      <c r="AI147" s="7">
        <v>0</v>
      </c>
      <c r="AJ147" s="7">
        <v>0</v>
      </c>
      <c r="AK147" s="7">
        <v>0</v>
      </c>
      <c r="AL147" s="7">
        <v>0</v>
      </c>
      <c r="AM147" s="7">
        <v>0</v>
      </c>
      <c r="AN147" s="92">
        <v>0</v>
      </c>
      <c r="AO147" s="7">
        <f t="shared" si="50"/>
        <v>0</v>
      </c>
      <c r="AP147" s="59">
        <f t="shared" si="41"/>
        <v>0</v>
      </c>
      <c r="AQ147" s="59">
        <f t="shared" si="42"/>
        <v>0</v>
      </c>
      <c r="AR147" s="59">
        <f t="shared" si="43"/>
        <v>0</v>
      </c>
      <c r="AS147" s="59">
        <f t="shared" si="44"/>
        <v>0</v>
      </c>
    </row>
    <row r="148" spans="1:45">
      <c r="A148" s="21" t="s">
        <v>855</v>
      </c>
      <c r="B148" s="18" t="s">
        <v>856</v>
      </c>
      <c r="C148" s="18">
        <v>0</v>
      </c>
      <c r="D148" s="18">
        <v>0</v>
      </c>
      <c r="E148" s="19"/>
      <c r="F148" s="20">
        <v>0</v>
      </c>
      <c r="G148" s="19">
        <v>0</v>
      </c>
      <c r="H148" s="19">
        <v>0</v>
      </c>
      <c r="I148" s="43">
        <v>0</v>
      </c>
      <c r="J148" s="43">
        <v>0</v>
      </c>
      <c r="K148" s="43">
        <v>0</v>
      </c>
      <c r="L148" s="43">
        <v>0</v>
      </c>
      <c r="M148" s="43">
        <v>0</v>
      </c>
      <c r="N148" s="44">
        <f t="shared" si="46"/>
        <v>0</v>
      </c>
      <c r="O148" s="44">
        <v>0</v>
      </c>
      <c r="P148" s="45">
        <f t="shared" si="47"/>
        <v>0</v>
      </c>
      <c r="Q148" s="54">
        <v>0</v>
      </c>
      <c r="R148" s="55">
        <v>0</v>
      </c>
      <c r="S148" s="55">
        <v>0</v>
      </c>
      <c r="T148" s="43">
        <v>0</v>
      </c>
      <c r="U148" s="43">
        <v>0</v>
      </c>
      <c r="V148" s="43">
        <v>0</v>
      </c>
      <c r="W148" s="43">
        <v>0</v>
      </c>
      <c r="X148" s="43">
        <v>0</v>
      </c>
      <c r="Y148" s="59">
        <f t="shared" si="48"/>
        <v>0</v>
      </c>
      <c r="Z148" s="43">
        <v>0</v>
      </c>
      <c r="AA148" s="43">
        <v>0</v>
      </c>
      <c r="AB148" s="60">
        <v>0</v>
      </c>
      <c r="AC148" s="43"/>
      <c r="AD148" s="43"/>
      <c r="AE148" s="43"/>
      <c r="AF148" s="60">
        <f t="shared" si="49"/>
        <v>0</v>
      </c>
      <c r="AG148" s="60"/>
      <c r="AH148" s="7"/>
      <c r="AI148" s="7">
        <v>0</v>
      </c>
      <c r="AJ148" s="7">
        <v>0</v>
      </c>
      <c r="AK148" s="7">
        <v>0</v>
      </c>
      <c r="AL148" s="7">
        <v>0</v>
      </c>
      <c r="AM148" s="7">
        <v>0</v>
      </c>
      <c r="AN148" s="92">
        <v>0</v>
      </c>
      <c r="AO148" s="7">
        <f t="shared" si="50"/>
        <v>0</v>
      </c>
      <c r="AP148" s="59">
        <f t="shared" si="41"/>
        <v>0</v>
      </c>
      <c r="AQ148" s="59">
        <f t="shared" si="42"/>
        <v>0</v>
      </c>
      <c r="AR148" s="59">
        <f t="shared" si="43"/>
        <v>0</v>
      </c>
      <c r="AS148" s="59">
        <f t="shared" si="44"/>
        <v>0</v>
      </c>
    </row>
    <row r="149" spans="1:45">
      <c r="A149" s="21" t="s">
        <v>857</v>
      </c>
      <c r="B149" s="33" t="s">
        <v>858</v>
      </c>
      <c r="C149" s="18">
        <v>0</v>
      </c>
      <c r="D149" s="18" t="s">
        <v>99</v>
      </c>
      <c r="E149" s="34"/>
      <c r="F149" s="20">
        <v>21769</v>
      </c>
      <c r="G149" s="19">
        <v>0</v>
      </c>
      <c r="H149" s="19">
        <v>513750</v>
      </c>
      <c r="I149" s="43">
        <v>0</v>
      </c>
      <c r="J149" s="43">
        <v>0</v>
      </c>
      <c r="K149" s="43">
        <v>0</v>
      </c>
      <c r="L149" s="43">
        <v>0</v>
      </c>
      <c r="M149" s="43">
        <v>0</v>
      </c>
      <c r="N149" s="44">
        <f t="shared" si="46"/>
        <v>0</v>
      </c>
      <c r="O149" s="44">
        <f>I149*$H$2+J149*$I$2+K149*$J$2+L149*$K$2+M149*$L$2</f>
        <v>0</v>
      </c>
      <c r="P149" s="45">
        <f t="shared" si="47"/>
        <v>0</v>
      </c>
      <c r="Q149" s="54">
        <v>0</v>
      </c>
      <c r="R149" s="55">
        <v>0</v>
      </c>
      <c r="S149" s="55">
        <v>0</v>
      </c>
      <c r="T149" s="43">
        <v>0</v>
      </c>
      <c r="U149" s="43">
        <v>0</v>
      </c>
      <c r="V149" s="43">
        <v>0</v>
      </c>
      <c r="W149" s="43">
        <v>0</v>
      </c>
      <c r="X149" s="43">
        <v>0</v>
      </c>
      <c r="Y149" s="59">
        <f t="shared" si="48"/>
        <v>0</v>
      </c>
      <c r="Z149" s="43">
        <v>0</v>
      </c>
      <c r="AA149" s="43">
        <v>0</v>
      </c>
      <c r="AB149" s="60">
        <v>0</v>
      </c>
      <c r="AC149" s="43"/>
      <c r="AD149" s="43"/>
      <c r="AE149" s="43"/>
      <c r="AF149" s="60">
        <f t="shared" si="49"/>
        <v>21769</v>
      </c>
      <c r="AG149" s="60"/>
      <c r="AH149" s="69"/>
      <c r="AI149" s="7">
        <v>0</v>
      </c>
      <c r="AJ149" s="7">
        <v>0</v>
      </c>
      <c r="AK149" s="7">
        <v>0</v>
      </c>
      <c r="AL149" s="7">
        <v>0</v>
      </c>
      <c r="AM149" s="7">
        <v>0</v>
      </c>
      <c r="AN149" s="92">
        <v>0</v>
      </c>
      <c r="AO149" s="7">
        <f t="shared" si="50"/>
        <v>0</v>
      </c>
      <c r="AP149" s="59">
        <f t="shared" si="41"/>
        <v>0</v>
      </c>
      <c r="AQ149" s="59">
        <f t="shared" si="42"/>
        <v>0</v>
      </c>
      <c r="AR149" s="59">
        <f t="shared" si="43"/>
        <v>0</v>
      </c>
      <c r="AS149" s="59">
        <f t="shared" si="44"/>
        <v>0</v>
      </c>
    </row>
    <row r="150" spans="1:45">
      <c r="A150" s="21" t="s">
        <v>859</v>
      </c>
      <c r="B150" s="18" t="s">
        <v>860</v>
      </c>
      <c r="C150" s="18">
        <v>0</v>
      </c>
      <c r="D150" s="18" t="s">
        <v>52</v>
      </c>
      <c r="E150" s="18" t="s">
        <v>861</v>
      </c>
      <c r="F150" s="20">
        <v>1014175.39</v>
      </c>
      <c r="G150" s="19">
        <v>700000</v>
      </c>
      <c r="H150" s="19">
        <v>1883500</v>
      </c>
      <c r="I150" s="43">
        <v>0</v>
      </c>
      <c r="J150" s="43">
        <v>0</v>
      </c>
      <c r="K150" s="43">
        <v>0</v>
      </c>
      <c r="L150" s="43">
        <v>0</v>
      </c>
      <c r="M150" s="43">
        <v>0</v>
      </c>
      <c r="N150" s="44">
        <f t="shared" si="46"/>
        <v>0</v>
      </c>
      <c r="O150" s="44">
        <f>I150*$H$1+J150*$I$1+K150*$J$1+L150*$K$1+M150*$L$1</f>
        <v>0</v>
      </c>
      <c r="P150" s="45">
        <f t="shared" si="47"/>
        <v>0</v>
      </c>
      <c r="Q150" s="54">
        <v>0</v>
      </c>
      <c r="R150" s="55">
        <v>0</v>
      </c>
      <c r="S150" s="55">
        <v>0</v>
      </c>
      <c r="T150" s="43">
        <v>0</v>
      </c>
      <c r="U150" s="43">
        <v>0</v>
      </c>
      <c r="V150" s="43">
        <v>0</v>
      </c>
      <c r="W150" s="43">
        <v>0</v>
      </c>
      <c r="X150" s="43">
        <v>0</v>
      </c>
      <c r="Y150" s="59">
        <f t="shared" si="48"/>
        <v>0</v>
      </c>
      <c r="Z150" s="43">
        <v>0</v>
      </c>
      <c r="AA150" s="43">
        <v>0</v>
      </c>
      <c r="AB150" s="60">
        <v>0</v>
      </c>
      <c r="AC150" s="43"/>
      <c r="AD150" s="43"/>
      <c r="AE150" s="43"/>
      <c r="AF150" s="60">
        <f t="shared" si="49"/>
        <v>1014175.39</v>
      </c>
      <c r="AG150" s="60"/>
      <c r="AH150" s="69"/>
      <c r="AI150" s="7">
        <v>0</v>
      </c>
      <c r="AJ150" s="7">
        <v>0</v>
      </c>
      <c r="AK150" s="7">
        <v>0</v>
      </c>
      <c r="AL150" s="7">
        <v>0</v>
      </c>
      <c r="AM150" s="7">
        <v>0</v>
      </c>
      <c r="AN150" s="92">
        <v>0</v>
      </c>
      <c r="AO150" s="7">
        <f t="shared" si="50"/>
        <v>0</v>
      </c>
      <c r="AP150" s="59">
        <f t="shared" si="41"/>
        <v>0</v>
      </c>
      <c r="AQ150" s="59">
        <f t="shared" si="42"/>
        <v>0</v>
      </c>
      <c r="AR150" s="59">
        <f t="shared" si="43"/>
        <v>0</v>
      </c>
      <c r="AS150" s="59">
        <f t="shared" si="44"/>
        <v>0</v>
      </c>
    </row>
    <row r="151" spans="1:45">
      <c r="A151" s="21" t="s">
        <v>862</v>
      </c>
      <c r="B151" s="33" t="s">
        <v>863</v>
      </c>
      <c r="C151" s="18" t="s">
        <v>49</v>
      </c>
      <c r="D151" s="18" t="str">
        <f>C151</f>
        <v>CONVERSION</v>
      </c>
      <c r="E151" s="34"/>
      <c r="F151" s="20">
        <v>531669</v>
      </c>
      <c r="G151" s="19"/>
      <c r="H151" s="19"/>
      <c r="I151" s="43">
        <v>0</v>
      </c>
      <c r="J151" s="43">
        <v>0</v>
      </c>
      <c r="K151" s="43">
        <v>0</v>
      </c>
      <c r="L151" s="43">
        <v>0</v>
      </c>
      <c r="M151" s="43">
        <v>0</v>
      </c>
      <c r="N151" s="44">
        <f t="shared" si="46"/>
        <v>0</v>
      </c>
      <c r="O151" s="44">
        <f>I151*$H$4+J151*$I$4+K151*$J$4+L151*$K$4+M151*$L$4</f>
        <v>0</v>
      </c>
      <c r="P151" s="45">
        <f t="shared" si="47"/>
        <v>0</v>
      </c>
      <c r="Q151" s="54">
        <v>1155349</v>
      </c>
      <c r="R151" s="55">
        <v>0</v>
      </c>
      <c r="S151" s="55">
        <v>0</v>
      </c>
      <c r="T151" s="43">
        <v>0</v>
      </c>
      <c r="U151" s="43">
        <v>0</v>
      </c>
      <c r="V151" s="43">
        <v>0</v>
      </c>
      <c r="W151" s="43">
        <v>0</v>
      </c>
      <c r="X151" s="43">
        <v>0</v>
      </c>
      <c r="Y151" s="59">
        <f t="shared" si="48"/>
        <v>0</v>
      </c>
      <c r="Z151" s="43">
        <v>0</v>
      </c>
      <c r="AA151" s="43">
        <v>150000</v>
      </c>
      <c r="AB151" s="60">
        <v>0</v>
      </c>
      <c r="AC151" s="43"/>
      <c r="AD151" s="43"/>
      <c r="AE151" s="43"/>
      <c r="AF151" s="60">
        <f t="shared" si="49"/>
        <v>381669</v>
      </c>
      <c r="AG151" s="60"/>
      <c r="AH151" s="7"/>
      <c r="AI151" s="7">
        <v>0</v>
      </c>
      <c r="AJ151" s="7">
        <v>139500</v>
      </c>
      <c r="AK151" s="7">
        <v>212000</v>
      </c>
      <c r="AL151" s="7">
        <v>0</v>
      </c>
      <c r="AM151" s="7">
        <v>0</v>
      </c>
      <c r="AN151" s="92" t="s">
        <v>864</v>
      </c>
      <c r="AO151" s="7">
        <f t="shared" si="50"/>
        <v>351500</v>
      </c>
      <c r="AP151" s="59">
        <f t="shared" si="41"/>
        <v>0</v>
      </c>
      <c r="AQ151" s="59">
        <f t="shared" si="42"/>
        <v>0</v>
      </c>
      <c r="AR151" s="59">
        <f t="shared" si="43"/>
        <v>0</v>
      </c>
      <c r="AS151" s="59">
        <f t="shared" si="44"/>
        <v>0</v>
      </c>
    </row>
    <row r="152" spans="1:45">
      <c r="A152" s="21" t="s">
        <v>865</v>
      </c>
      <c r="B152" s="18" t="s">
        <v>866</v>
      </c>
      <c r="C152" s="18">
        <v>0</v>
      </c>
      <c r="D152" s="18">
        <v>0</v>
      </c>
      <c r="E152" s="19"/>
      <c r="F152" s="20">
        <v>-9970</v>
      </c>
      <c r="G152" s="19">
        <v>0</v>
      </c>
      <c r="H152" s="19">
        <v>0</v>
      </c>
      <c r="I152" s="43">
        <v>0</v>
      </c>
      <c r="J152" s="43">
        <v>0</v>
      </c>
      <c r="K152" s="43">
        <v>0</v>
      </c>
      <c r="L152" s="43">
        <v>0</v>
      </c>
      <c r="M152" s="43">
        <v>0</v>
      </c>
      <c r="N152" s="44">
        <f t="shared" si="46"/>
        <v>0</v>
      </c>
      <c r="O152" s="44">
        <v>0</v>
      </c>
      <c r="P152" s="45">
        <f t="shared" si="47"/>
        <v>0</v>
      </c>
      <c r="Q152" s="54">
        <v>0</v>
      </c>
      <c r="R152" s="55">
        <v>0</v>
      </c>
      <c r="S152" s="55">
        <v>0</v>
      </c>
      <c r="T152" s="43">
        <v>0</v>
      </c>
      <c r="U152" s="43">
        <v>0</v>
      </c>
      <c r="V152" s="43">
        <v>0</v>
      </c>
      <c r="W152" s="43">
        <v>0</v>
      </c>
      <c r="X152" s="43">
        <v>0</v>
      </c>
      <c r="Y152" s="59">
        <f t="shared" si="48"/>
        <v>0</v>
      </c>
      <c r="Z152" s="43">
        <v>0</v>
      </c>
      <c r="AA152" s="43">
        <v>0</v>
      </c>
      <c r="AB152" s="60">
        <v>0</v>
      </c>
      <c r="AC152" s="43"/>
      <c r="AD152" s="43"/>
      <c r="AE152" s="43"/>
      <c r="AF152" s="60">
        <f t="shared" si="49"/>
        <v>-9970</v>
      </c>
      <c r="AG152" s="60"/>
      <c r="AH152" s="7"/>
      <c r="AI152" s="7">
        <v>0</v>
      </c>
      <c r="AJ152" s="7">
        <v>0</v>
      </c>
      <c r="AK152" s="7">
        <v>0</v>
      </c>
      <c r="AL152" s="7">
        <v>0</v>
      </c>
      <c r="AM152" s="7">
        <v>0</v>
      </c>
      <c r="AN152" s="92">
        <v>0</v>
      </c>
      <c r="AO152" s="7">
        <f t="shared" si="50"/>
        <v>0</v>
      </c>
      <c r="AP152" s="59">
        <f t="shared" si="41"/>
        <v>0</v>
      </c>
      <c r="AQ152" s="59">
        <f t="shared" si="42"/>
        <v>0</v>
      </c>
      <c r="AR152" s="59">
        <f t="shared" si="43"/>
        <v>0</v>
      </c>
      <c r="AS152" s="59">
        <f t="shared" si="44"/>
        <v>0</v>
      </c>
    </row>
    <row r="153" spans="1:45">
      <c r="A153" s="21" t="s">
        <v>867</v>
      </c>
      <c r="B153" s="18" t="s">
        <v>868</v>
      </c>
      <c r="C153" s="18">
        <v>0</v>
      </c>
      <c r="D153" s="18">
        <v>0</v>
      </c>
      <c r="E153" s="19"/>
      <c r="F153" s="20">
        <v>0</v>
      </c>
      <c r="G153" s="19">
        <v>0</v>
      </c>
      <c r="H153" s="19">
        <v>0</v>
      </c>
      <c r="I153" s="43">
        <v>225</v>
      </c>
      <c r="J153" s="43">
        <v>0</v>
      </c>
      <c r="K153" s="43">
        <v>0</v>
      </c>
      <c r="L153" s="43">
        <v>0</v>
      </c>
      <c r="M153" s="43">
        <v>0</v>
      </c>
      <c r="N153" s="44">
        <f t="shared" si="46"/>
        <v>225</v>
      </c>
      <c r="O153" s="44">
        <v>0</v>
      </c>
      <c r="P153" s="45">
        <f t="shared" si="47"/>
        <v>0</v>
      </c>
      <c r="Q153" s="54">
        <v>0</v>
      </c>
      <c r="R153" s="55">
        <v>0</v>
      </c>
      <c r="S153" s="55">
        <v>0</v>
      </c>
      <c r="T153" s="43">
        <v>0</v>
      </c>
      <c r="U153" s="43">
        <v>0</v>
      </c>
      <c r="V153" s="43">
        <v>0</v>
      </c>
      <c r="W153" s="43">
        <v>0</v>
      </c>
      <c r="X153" s="43">
        <v>0</v>
      </c>
      <c r="Y153" s="59">
        <f t="shared" si="48"/>
        <v>0</v>
      </c>
      <c r="Z153" s="43">
        <v>0</v>
      </c>
      <c r="AA153" s="43">
        <v>0</v>
      </c>
      <c r="AB153" s="60">
        <v>0</v>
      </c>
      <c r="AC153" s="43"/>
      <c r="AD153" s="43"/>
      <c r="AE153" s="43"/>
      <c r="AF153" s="60">
        <f t="shared" si="49"/>
        <v>0</v>
      </c>
      <c r="AG153" s="60"/>
      <c r="AH153" s="7"/>
      <c r="AI153" s="7">
        <v>0</v>
      </c>
      <c r="AJ153" s="7">
        <v>0</v>
      </c>
      <c r="AK153" s="7">
        <v>0</v>
      </c>
      <c r="AL153" s="7">
        <v>0</v>
      </c>
      <c r="AM153" s="7">
        <v>0</v>
      </c>
      <c r="AN153" s="92">
        <v>0</v>
      </c>
      <c r="AO153" s="7">
        <f t="shared" si="50"/>
        <v>0</v>
      </c>
      <c r="AP153" s="59">
        <f t="shared" si="41"/>
        <v>225</v>
      </c>
      <c r="AQ153" s="59">
        <f t="shared" si="42"/>
        <v>0</v>
      </c>
      <c r="AR153" s="59">
        <f t="shared" si="43"/>
        <v>17.3076923076923</v>
      </c>
      <c r="AS153" s="59">
        <f t="shared" si="44"/>
        <v>0</v>
      </c>
    </row>
    <row r="154" spans="1:45">
      <c r="A154" s="21" t="s">
        <v>869</v>
      </c>
      <c r="B154" s="33" t="s">
        <v>870</v>
      </c>
      <c r="C154" s="18">
        <v>0</v>
      </c>
      <c r="D154" s="18" t="s">
        <v>99</v>
      </c>
      <c r="E154" s="34"/>
      <c r="F154" s="20">
        <v>-120756</v>
      </c>
      <c r="G154" s="19">
        <v>0</v>
      </c>
      <c r="H154" s="19">
        <v>0</v>
      </c>
      <c r="I154" s="43">
        <v>0</v>
      </c>
      <c r="J154" s="43">
        <v>0</v>
      </c>
      <c r="K154" s="43">
        <v>0</v>
      </c>
      <c r="L154" s="43">
        <v>0</v>
      </c>
      <c r="M154" s="43">
        <v>0</v>
      </c>
      <c r="N154" s="44">
        <f t="shared" si="46"/>
        <v>0</v>
      </c>
      <c r="O154" s="44">
        <f>I154*$H$2+J154*$I$2+K154*$J$2+L154*$K$2+M154*$L$2</f>
        <v>0</v>
      </c>
      <c r="P154" s="45">
        <f t="shared" si="47"/>
        <v>0</v>
      </c>
      <c r="Q154" s="54">
        <v>0</v>
      </c>
      <c r="R154" s="55">
        <v>0</v>
      </c>
      <c r="S154" s="55">
        <v>0</v>
      </c>
      <c r="T154" s="43">
        <v>0</v>
      </c>
      <c r="U154" s="43">
        <v>0</v>
      </c>
      <c r="V154" s="43">
        <v>0</v>
      </c>
      <c r="W154" s="43">
        <v>0</v>
      </c>
      <c r="X154" s="43">
        <v>0</v>
      </c>
      <c r="Y154" s="59">
        <f t="shared" si="48"/>
        <v>0</v>
      </c>
      <c r="Z154" s="43">
        <v>0</v>
      </c>
      <c r="AA154" s="43">
        <v>0</v>
      </c>
      <c r="AB154" s="60">
        <v>0</v>
      </c>
      <c r="AC154" s="43"/>
      <c r="AD154" s="43"/>
      <c r="AE154" s="43"/>
      <c r="AF154" s="60">
        <f t="shared" si="49"/>
        <v>-120756</v>
      </c>
      <c r="AG154" s="60"/>
      <c r="AH154" s="69"/>
      <c r="AI154" s="7">
        <v>0</v>
      </c>
      <c r="AJ154" s="7">
        <v>0</v>
      </c>
      <c r="AK154" s="7">
        <v>0</v>
      </c>
      <c r="AL154" s="7">
        <v>0</v>
      </c>
      <c r="AM154" s="7">
        <v>0</v>
      </c>
      <c r="AN154" s="92">
        <v>0</v>
      </c>
      <c r="AO154" s="7">
        <f t="shared" si="50"/>
        <v>0</v>
      </c>
      <c r="AP154" s="59">
        <f t="shared" si="41"/>
        <v>0</v>
      </c>
      <c r="AQ154" s="59">
        <f t="shared" si="42"/>
        <v>0</v>
      </c>
      <c r="AR154" s="59">
        <f t="shared" si="43"/>
        <v>0</v>
      </c>
      <c r="AS154" s="59">
        <f t="shared" si="44"/>
        <v>0</v>
      </c>
    </row>
    <row r="155" spans="1:45">
      <c r="A155" s="21" t="s">
        <v>871</v>
      </c>
      <c r="B155" s="18" t="s">
        <v>872</v>
      </c>
      <c r="C155" s="18">
        <v>0</v>
      </c>
      <c r="D155" s="18">
        <v>0</v>
      </c>
      <c r="E155" s="19"/>
      <c r="F155" s="20">
        <v>44</v>
      </c>
      <c r="G155" s="19">
        <v>0</v>
      </c>
      <c r="H155" s="19">
        <v>0</v>
      </c>
      <c r="I155" s="43">
        <v>0</v>
      </c>
      <c r="J155" s="43">
        <v>0</v>
      </c>
      <c r="K155" s="43">
        <v>0</v>
      </c>
      <c r="L155" s="43">
        <v>0</v>
      </c>
      <c r="M155" s="43">
        <v>0</v>
      </c>
      <c r="N155" s="44">
        <f t="shared" si="46"/>
        <v>0</v>
      </c>
      <c r="O155" s="44">
        <v>0</v>
      </c>
      <c r="P155" s="45">
        <f t="shared" si="47"/>
        <v>0</v>
      </c>
      <c r="Q155" s="54">
        <v>0</v>
      </c>
      <c r="R155" s="55">
        <v>0</v>
      </c>
      <c r="S155" s="55">
        <v>0</v>
      </c>
      <c r="T155" s="43">
        <v>0</v>
      </c>
      <c r="U155" s="43">
        <v>0</v>
      </c>
      <c r="V155" s="43">
        <v>0</v>
      </c>
      <c r="W155" s="43">
        <v>0</v>
      </c>
      <c r="X155" s="43">
        <v>0</v>
      </c>
      <c r="Y155" s="59">
        <f t="shared" si="48"/>
        <v>0</v>
      </c>
      <c r="Z155" s="43">
        <v>0</v>
      </c>
      <c r="AA155" s="43">
        <v>0</v>
      </c>
      <c r="AB155" s="60">
        <v>0</v>
      </c>
      <c r="AC155" s="43"/>
      <c r="AD155" s="43"/>
      <c r="AE155" s="43"/>
      <c r="AF155" s="60">
        <f t="shared" si="49"/>
        <v>44</v>
      </c>
      <c r="AG155" s="60"/>
      <c r="AH155" s="7"/>
      <c r="AI155" s="7">
        <v>0</v>
      </c>
      <c r="AJ155" s="7">
        <v>0</v>
      </c>
      <c r="AK155" s="7">
        <v>0</v>
      </c>
      <c r="AL155" s="7">
        <v>0</v>
      </c>
      <c r="AM155" s="7">
        <v>0</v>
      </c>
      <c r="AN155" s="92">
        <v>0</v>
      </c>
      <c r="AO155" s="7">
        <f t="shared" si="50"/>
        <v>0</v>
      </c>
      <c r="AP155" s="59">
        <f t="shared" si="41"/>
        <v>0</v>
      </c>
      <c r="AQ155" s="59">
        <f t="shared" si="42"/>
        <v>0</v>
      </c>
      <c r="AR155" s="59">
        <f t="shared" si="43"/>
        <v>0</v>
      </c>
      <c r="AS155" s="59">
        <f t="shared" si="44"/>
        <v>0</v>
      </c>
    </row>
    <row r="156" spans="1:45">
      <c r="A156" s="21" t="s">
        <v>873</v>
      </c>
      <c r="B156" s="18" t="s">
        <v>874</v>
      </c>
      <c r="C156" s="18">
        <v>0</v>
      </c>
      <c r="D156" s="18">
        <v>0</v>
      </c>
      <c r="E156" s="19"/>
      <c r="F156" s="20">
        <v>-1</v>
      </c>
      <c r="G156" s="19">
        <v>0</v>
      </c>
      <c r="H156" s="19">
        <v>0</v>
      </c>
      <c r="I156" s="43">
        <v>0</v>
      </c>
      <c r="J156" s="43">
        <v>0</v>
      </c>
      <c r="K156" s="43">
        <v>0</v>
      </c>
      <c r="L156" s="43">
        <v>0</v>
      </c>
      <c r="M156" s="43">
        <v>0</v>
      </c>
      <c r="N156" s="44">
        <f t="shared" si="46"/>
        <v>0</v>
      </c>
      <c r="O156" s="44">
        <v>0</v>
      </c>
      <c r="P156" s="45">
        <f t="shared" si="47"/>
        <v>0</v>
      </c>
      <c r="Q156" s="54">
        <v>0</v>
      </c>
      <c r="R156" s="55">
        <v>0</v>
      </c>
      <c r="S156" s="55">
        <v>0</v>
      </c>
      <c r="T156" s="43">
        <v>0</v>
      </c>
      <c r="U156" s="43">
        <v>0</v>
      </c>
      <c r="V156" s="43">
        <v>0</v>
      </c>
      <c r="W156" s="43">
        <v>0</v>
      </c>
      <c r="X156" s="43">
        <v>0</v>
      </c>
      <c r="Y156" s="59">
        <f t="shared" si="48"/>
        <v>0</v>
      </c>
      <c r="Z156" s="43">
        <v>0</v>
      </c>
      <c r="AA156" s="43">
        <v>0</v>
      </c>
      <c r="AB156" s="60">
        <v>0</v>
      </c>
      <c r="AC156" s="43"/>
      <c r="AD156" s="43"/>
      <c r="AE156" s="43"/>
      <c r="AF156" s="60">
        <f t="shared" si="49"/>
        <v>-1</v>
      </c>
      <c r="AG156" s="60"/>
      <c r="AH156" s="7"/>
      <c r="AI156" s="7">
        <v>0</v>
      </c>
      <c r="AJ156" s="7">
        <v>0</v>
      </c>
      <c r="AK156" s="7">
        <v>0</v>
      </c>
      <c r="AL156" s="7">
        <v>0</v>
      </c>
      <c r="AM156" s="7">
        <v>0</v>
      </c>
      <c r="AN156" s="92">
        <v>0</v>
      </c>
      <c r="AO156" s="7">
        <f t="shared" si="50"/>
        <v>0</v>
      </c>
      <c r="AP156" s="59">
        <f t="shared" si="41"/>
        <v>0</v>
      </c>
      <c r="AQ156" s="59">
        <f t="shared" si="42"/>
        <v>0</v>
      </c>
      <c r="AR156" s="59">
        <f t="shared" si="43"/>
        <v>0</v>
      </c>
      <c r="AS156" s="59">
        <f t="shared" si="44"/>
        <v>0</v>
      </c>
    </row>
    <row r="157" spans="1:45">
      <c r="A157" s="21" t="s">
        <v>875</v>
      </c>
      <c r="B157" s="18" t="s">
        <v>876</v>
      </c>
      <c r="C157" s="18">
        <v>0</v>
      </c>
      <c r="D157" s="18">
        <v>0</v>
      </c>
      <c r="E157" s="19"/>
      <c r="F157" s="20">
        <v>-3450</v>
      </c>
      <c r="G157" s="19">
        <v>0</v>
      </c>
      <c r="H157" s="19">
        <v>0</v>
      </c>
      <c r="I157" s="43">
        <v>0</v>
      </c>
      <c r="J157" s="43">
        <v>0</v>
      </c>
      <c r="K157" s="43">
        <v>0</v>
      </c>
      <c r="L157" s="43">
        <v>0</v>
      </c>
      <c r="M157" s="43">
        <v>0</v>
      </c>
      <c r="N157" s="44">
        <f t="shared" si="46"/>
        <v>0</v>
      </c>
      <c r="O157" s="44">
        <v>0</v>
      </c>
      <c r="P157" s="45">
        <f t="shared" si="47"/>
        <v>0</v>
      </c>
      <c r="Q157" s="54">
        <v>0</v>
      </c>
      <c r="R157" s="55">
        <v>0</v>
      </c>
      <c r="S157" s="55">
        <v>0</v>
      </c>
      <c r="T157" s="43">
        <v>0</v>
      </c>
      <c r="U157" s="43">
        <v>0</v>
      </c>
      <c r="V157" s="43">
        <v>0</v>
      </c>
      <c r="W157" s="43">
        <v>0</v>
      </c>
      <c r="X157" s="43">
        <v>0</v>
      </c>
      <c r="Y157" s="59">
        <f t="shared" si="48"/>
        <v>0</v>
      </c>
      <c r="Z157" s="43">
        <v>0</v>
      </c>
      <c r="AA157" s="43">
        <v>0</v>
      </c>
      <c r="AB157" s="60">
        <v>0</v>
      </c>
      <c r="AC157" s="43"/>
      <c r="AD157" s="43"/>
      <c r="AE157" s="43"/>
      <c r="AF157" s="60">
        <f t="shared" si="49"/>
        <v>-3450</v>
      </c>
      <c r="AG157" s="60"/>
      <c r="AH157" s="7"/>
      <c r="AI157" s="7">
        <v>0</v>
      </c>
      <c r="AJ157" s="7">
        <v>0</v>
      </c>
      <c r="AK157" s="7">
        <v>0</v>
      </c>
      <c r="AL157" s="7">
        <v>0</v>
      </c>
      <c r="AM157" s="7">
        <v>0</v>
      </c>
      <c r="AN157" s="92">
        <v>0</v>
      </c>
      <c r="AO157" s="7">
        <f t="shared" si="50"/>
        <v>0</v>
      </c>
      <c r="AP157" s="59">
        <f t="shared" si="41"/>
        <v>0</v>
      </c>
      <c r="AQ157" s="59">
        <f t="shared" si="42"/>
        <v>0</v>
      </c>
      <c r="AR157" s="59">
        <f t="shared" si="43"/>
        <v>0</v>
      </c>
      <c r="AS157" s="59">
        <f t="shared" si="44"/>
        <v>0</v>
      </c>
    </row>
    <row r="158" spans="1:45">
      <c r="A158" s="21" t="s">
        <v>877</v>
      </c>
      <c r="B158" s="18" t="s">
        <v>878</v>
      </c>
      <c r="C158" s="18" t="s">
        <v>52</v>
      </c>
      <c r="D158" s="18" t="s">
        <v>52</v>
      </c>
      <c r="E158" s="18" t="s">
        <v>861</v>
      </c>
      <c r="F158" s="20">
        <v>1362427</v>
      </c>
      <c r="G158" s="19">
        <v>1000000</v>
      </c>
      <c r="H158" s="19">
        <v>2000000</v>
      </c>
      <c r="I158" s="43">
        <v>0</v>
      </c>
      <c r="J158" s="43">
        <v>0</v>
      </c>
      <c r="K158" s="43">
        <v>0</v>
      </c>
      <c r="L158" s="43">
        <v>0</v>
      </c>
      <c r="M158" s="43">
        <v>0</v>
      </c>
      <c r="N158" s="44">
        <f t="shared" si="46"/>
        <v>0</v>
      </c>
      <c r="O158" s="44">
        <f>I158*$H$1+J158*$I$1+K158*$J$1+L158*$K$1+M158*$L$1</f>
        <v>0</v>
      </c>
      <c r="P158" s="45">
        <f t="shared" si="47"/>
        <v>0</v>
      </c>
      <c r="Q158" s="54">
        <v>377391.912280702</v>
      </c>
      <c r="R158" s="55">
        <v>0</v>
      </c>
      <c r="S158" s="55">
        <v>0</v>
      </c>
      <c r="T158" s="43">
        <v>0</v>
      </c>
      <c r="U158" s="43">
        <v>0</v>
      </c>
      <c r="V158" s="43">
        <v>0</v>
      </c>
      <c r="W158" s="43">
        <v>0</v>
      </c>
      <c r="X158" s="43">
        <v>0</v>
      </c>
      <c r="Y158" s="59">
        <f t="shared" si="48"/>
        <v>0</v>
      </c>
      <c r="Z158" s="43">
        <v>0</v>
      </c>
      <c r="AA158" s="43">
        <v>0</v>
      </c>
      <c r="AB158" s="60">
        <v>0</v>
      </c>
      <c r="AC158" s="43"/>
      <c r="AD158" s="43"/>
      <c r="AE158" s="43"/>
      <c r="AF158" s="60">
        <f t="shared" si="49"/>
        <v>1362427</v>
      </c>
      <c r="AG158" s="60"/>
      <c r="AH158" s="7"/>
      <c r="AI158" s="7">
        <v>13000</v>
      </c>
      <c r="AJ158" s="7">
        <v>13000</v>
      </c>
      <c r="AK158" s="7">
        <v>0</v>
      </c>
      <c r="AL158" s="7">
        <v>2105.26315789474</v>
      </c>
      <c r="AM158" s="7">
        <v>1929.82456140351</v>
      </c>
      <c r="AN158" s="92">
        <v>0</v>
      </c>
      <c r="AO158" s="7">
        <f t="shared" si="50"/>
        <v>30035.0877192983</v>
      </c>
      <c r="AP158" s="59">
        <f t="shared" si="41"/>
        <v>0</v>
      </c>
      <c r="AQ158" s="59">
        <f t="shared" si="42"/>
        <v>0</v>
      </c>
      <c r="AR158" s="59">
        <f t="shared" si="43"/>
        <v>0</v>
      </c>
      <c r="AS158" s="59">
        <f t="shared" si="44"/>
        <v>0</v>
      </c>
    </row>
    <row r="159" spans="1:45">
      <c r="A159" s="21" t="s">
        <v>879</v>
      </c>
      <c r="B159" s="177" t="s">
        <v>880</v>
      </c>
      <c r="C159" s="18" t="s">
        <v>49</v>
      </c>
      <c r="D159" s="18" t="s">
        <v>49</v>
      </c>
      <c r="E159" s="34"/>
      <c r="F159" s="20">
        <v>119820</v>
      </c>
      <c r="G159" s="19"/>
      <c r="H159" s="19"/>
      <c r="I159" s="43">
        <v>150</v>
      </c>
      <c r="J159" s="43">
        <v>0</v>
      </c>
      <c r="K159" s="43">
        <v>0</v>
      </c>
      <c r="L159" s="43">
        <v>0</v>
      </c>
      <c r="M159" s="43">
        <v>0</v>
      </c>
      <c r="N159" s="44">
        <f t="shared" si="46"/>
        <v>150</v>
      </c>
      <c r="O159" s="44">
        <f>I159*$H$4+J159*$I$4+K159*$J$4+L159*$K$4+M159*$L$4</f>
        <v>750000</v>
      </c>
      <c r="P159" s="45">
        <f t="shared" si="47"/>
        <v>750000</v>
      </c>
      <c r="Q159" s="54">
        <v>0</v>
      </c>
      <c r="R159" s="55">
        <v>150</v>
      </c>
      <c r="S159" s="55">
        <v>0</v>
      </c>
      <c r="T159" s="43">
        <v>100</v>
      </c>
      <c r="U159" s="43">
        <v>0</v>
      </c>
      <c r="V159" s="43">
        <v>0</v>
      </c>
      <c r="W159" s="43">
        <v>0</v>
      </c>
      <c r="X159" s="43">
        <v>0</v>
      </c>
      <c r="Y159" s="59">
        <f t="shared" si="48"/>
        <v>100</v>
      </c>
      <c r="Z159" s="43">
        <v>550000</v>
      </c>
      <c r="AA159" s="43">
        <v>24000</v>
      </c>
      <c r="AB159" s="60">
        <v>0</v>
      </c>
      <c r="AC159" s="43"/>
      <c r="AD159" s="43"/>
      <c r="AE159" s="43"/>
      <c r="AF159" s="60">
        <f t="shared" si="49"/>
        <v>645820</v>
      </c>
      <c r="AG159" s="60">
        <f>AF159-AO159-H159</f>
        <v>525820</v>
      </c>
      <c r="AH159" s="69"/>
      <c r="AI159" s="7">
        <v>0</v>
      </c>
      <c r="AJ159" s="7">
        <v>60000</v>
      </c>
      <c r="AK159" s="7">
        <v>60000</v>
      </c>
      <c r="AL159" s="7">
        <v>0</v>
      </c>
      <c r="AM159" s="7">
        <v>0</v>
      </c>
      <c r="AN159" s="92">
        <v>0</v>
      </c>
      <c r="AO159" s="7">
        <f t="shared" si="50"/>
        <v>120000</v>
      </c>
      <c r="AP159" s="59">
        <f t="shared" si="41"/>
        <v>50</v>
      </c>
      <c r="AQ159" s="59">
        <f t="shared" si="42"/>
        <v>0</v>
      </c>
      <c r="AR159" s="59">
        <f t="shared" si="43"/>
        <v>3.84615384615385</v>
      </c>
      <c r="AS159" s="59">
        <f t="shared" si="44"/>
        <v>0</v>
      </c>
    </row>
    <row r="160" spans="1:45">
      <c r="A160" s="21" t="s">
        <v>881</v>
      </c>
      <c r="B160" s="18" t="s">
        <v>882</v>
      </c>
      <c r="C160" s="18">
        <v>0</v>
      </c>
      <c r="D160" s="18">
        <v>0</v>
      </c>
      <c r="E160" s="19"/>
      <c r="F160" s="20">
        <v>-1500</v>
      </c>
      <c r="G160" s="19">
        <v>0</v>
      </c>
      <c r="H160" s="19">
        <v>0</v>
      </c>
      <c r="I160" s="43">
        <v>0</v>
      </c>
      <c r="J160" s="43">
        <v>0</v>
      </c>
      <c r="K160" s="43">
        <v>0</v>
      </c>
      <c r="L160" s="43">
        <v>0</v>
      </c>
      <c r="M160" s="43">
        <v>0</v>
      </c>
      <c r="N160" s="44">
        <f t="shared" si="46"/>
        <v>0</v>
      </c>
      <c r="O160" s="44">
        <v>0</v>
      </c>
      <c r="P160" s="45">
        <f t="shared" si="47"/>
        <v>0</v>
      </c>
      <c r="Q160" s="54">
        <v>0</v>
      </c>
      <c r="R160" s="55">
        <v>0</v>
      </c>
      <c r="S160" s="55">
        <v>0</v>
      </c>
      <c r="T160" s="43">
        <v>0</v>
      </c>
      <c r="U160" s="43">
        <v>0</v>
      </c>
      <c r="V160" s="43">
        <v>0</v>
      </c>
      <c r="W160" s="43">
        <v>0</v>
      </c>
      <c r="X160" s="43">
        <v>0</v>
      </c>
      <c r="Y160" s="59">
        <f t="shared" si="48"/>
        <v>0</v>
      </c>
      <c r="Z160" s="43">
        <v>0</v>
      </c>
      <c r="AA160" s="43">
        <v>0</v>
      </c>
      <c r="AB160" s="60">
        <v>0</v>
      </c>
      <c r="AC160" s="43"/>
      <c r="AD160" s="43"/>
      <c r="AE160" s="43"/>
      <c r="AF160" s="60">
        <f t="shared" si="49"/>
        <v>-1500</v>
      </c>
      <c r="AG160" s="60"/>
      <c r="AH160" s="7"/>
      <c r="AI160" s="7">
        <v>0</v>
      </c>
      <c r="AJ160" s="7">
        <v>0</v>
      </c>
      <c r="AK160" s="7">
        <v>0</v>
      </c>
      <c r="AL160" s="7">
        <v>0</v>
      </c>
      <c r="AM160" s="7">
        <v>0</v>
      </c>
      <c r="AN160" s="92">
        <v>0</v>
      </c>
      <c r="AO160" s="7">
        <f t="shared" si="50"/>
        <v>0</v>
      </c>
      <c r="AP160" s="59">
        <f t="shared" si="41"/>
        <v>0</v>
      </c>
      <c r="AQ160" s="59">
        <f t="shared" si="42"/>
        <v>0</v>
      </c>
      <c r="AR160" s="59">
        <f t="shared" si="43"/>
        <v>0</v>
      </c>
      <c r="AS160" s="59">
        <f t="shared" si="44"/>
        <v>0</v>
      </c>
    </row>
    <row r="161" spans="1:45">
      <c r="A161" s="21" t="s">
        <v>883</v>
      </c>
      <c r="B161" s="18" t="s">
        <v>884</v>
      </c>
      <c r="C161" s="18">
        <v>0</v>
      </c>
      <c r="D161" s="18">
        <v>0</v>
      </c>
      <c r="E161" s="19"/>
      <c r="F161" s="20">
        <v>159998.52</v>
      </c>
      <c r="G161" s="19">
        <v>0</v>
      </c>
      <c r="H161" s="19">
        <v>0</v>
      </c>
      <c r="I161" s="43">
        <v>0</v>
      </c>
      <c r="J161" s="43">
        <v>0</v>
      </c>
      <c r="K161" s="43">
        <v>0</v>
      </c>
      <c r="L161" s="43">
        <v>0</v>
      </c>
      <c r="M161" s="43">
        <v>0</v>
      </c>
      <c r="N161" s="44">
        <f t="shared" si="46"/>
        <v>0</v>
      </c>
      <c r="O161" s="44">
        <v>0</v>
      </c>
      <c r="P161" s="45">
        <f t="shared" si="47"/>
        <v>0</v>
      </c>
      <c r="Q161" s="54">
        <v>0</v>
      </c>
      <c r="R161" s="55">
        <v>0</v>
      </c>
      <c r="S161" s="55">
        <v>0</v>
      </c>
      <c r="T161" s="43">
        <v>0</v>
      </c>
      <c r="U161" s="43">
        <v>0</v>
      </c>
      <c r="V161" s="43">
        <v>0</v>
      </c>
      <c r="W161" s="43">
        <v>0</v>
      </c>
      <c r="X161" s="43">
        <v>0</v>
      </c>
      <c r="Y161" s="59">
        <f t="shared" si="48"/>
        <v>0</v>
      </c>
      <c r="Z161" s="43">
        <v>0</v>
      </c>
      <c r="AA161" s="43">
        <v>0</v>
      </c>
      <c r="AB161" s="60">
        <v>0</v>
      </c>
      <c r="AC161" s="43"/>
      <c r="AD161" s="43"/>
      <c r="AE161" s="43"/>
      <c r="AF161" s="60">
        <f t="shared" si="49"/>
        <v>159998.52</v>
      </c>
      <c r="AG161" s="60"/>
      <c r="AH161" s="7"/>
      <c r="AI161" s="7">
        <v>0</v>
      </c>
      <c r="AJ161" s="7">
        <v>0</v>
      </c>
      <c r="AK161" s="7">
        <v>0</v>
      </c>
      <c r="AL161" s="7">
        <v>0</v>
      </c>
      <c r="AM161" s="7">
        <v>0</v>
      </c>
      <c r="AN161" s="92">
        <v>0</v>
      </c>
      <c r="AO161" s="7">
        <f t="shared" si="50"/>
        <v>0</v>
      </c>
      <c r="AP161" s="59">
        <f t="shared" si="41"/>
        <v>0</v>
      </c>
      <c r="AQ161" s="59">
        <f t="shared" si="42"/>
        <v>0</v>
      </c>
      <c r="AR161" s="59">
        <f t="shared" si="43"/>
        <v>0</v>
      </c>
      <c r="AS161" s="59">
        <f t="shared" si="44"/>
        <v>0</v>
      </c>
    </row>
    <row r="162" spans="1:45">
      <c r="A162" s="21" t="s">
        <v>885</v>
      </c>
      <c r="B162" s="18" t="s">
        <v>886</v>
      </c>
      <c r="C162" s="18">
        <v>0</v>
      </c>
      <c r="D162" s="18">
        <v>0</v>
      </c>
      <c r="E162" s="19"/>
      <c r="F162" s="20">
        <v>102525</v>
      </c>
      <c r="G162" s="19">
        <v>0</v>
      </c>
      <c r="H162" s="19">
        <v>0</v>
      </c>
      <c r="I162" s="43">
        <v>0</v>
      </c>
      <c r="J162" s="43">
        <v>0</v>
      </c>
      <c r="K162" s="43">
        <v>0</v>
      </c>
      <c r="L162" s="43">
        <v>0</v>
      </c>
      <c r="M162" s="43">
        <v>0</v>
      </c>
      <c r="N162" s="44">
        <f t="shared" si="46"/>
        <v>0</v>
      </c>
      <c r="O162" s="44">
        <v>0</v>
      </c>
      <c r="P162" s="45">
        <f t="shared" si="47"/>
        <v>0</v>
      </c>
      <c r="Q162" s="54">
        <v>0</v>
      </c>
      <c r="R162" s="55">
        <v>0</v>
      </c>
      <c r="S162" s="55">
        <v>0</v>
      </c>
      <c r="T162" s="43">
        <v>0</v>
      </c>
      <c r="U162" s="43">
        <v>0</v>
      </c>
      <c r="V162" s="43">
        <v>0</v>
      </c>
      <c r="W162" s="43">
        <v>0</v>
      </c>
      <c r="X162" s="43">
        <v>0</v>
      </c>
      <c r="Y162" s="59">
        <f t="shared" si="48"/>
        <v>0</v>
      </c>
      <c r="Z162" s="43">
        <v>0</v>
      </c>
      <c r="AA162" s="43">
        <v>0</v>
      </c>
      <c r="AB162" s="60">
        <v>0</v>
      </c>
      <c r="AC162" s="43"/>
      <c r="AD162" s="43"/>
      <c r="AE162" s="43"/>
      <c r="AF162" s="60">
        <f t="shared" si="49"/>
        <v>102525</v>
      </c>
      <c r="AG162" s="60"/>
      <c r="AH162" s="7"/>
      <c r="AI162" s="7">
        <v>0</v>
      </c>
      <c r="AJ162" s="7">
        <v>0</v>
      </c>
      <c r="AK162" s="7">
        <v>0</v>
      </c>
      <c r="AL162" s="7">
        <v>0</v>
      </c>
      <c r="AM162" s="7">
        <v>0</v>
      </c>
      <c r="AN162" s="92">
        <v>0</v>
      </c>
      <c r="AO162" s="7">
        <f t="shared" si="50"/>
        <v>0</v>
      </c>
      <c r="AP162" s="59">
        <f t="shared" si="41"/>
        <v>0</v>
      </c>
      <c r="AQ162" s="59">
        <f t="shared" si="42"/>
        <v>0</v>
      </c>
      <c r="AR162" s="59">
        <f t="shared" si="43"/>
        <v>0</v>
      </c>
      <c r="AS162" s="59">
        <f t="shared" si="44"/>
        <v>0</v>
      </c>
    </row>
    <row r="163" spans="1:45">
      <c r="A163" s="21" t="s">
        <v>887</v>
      </c>
      <c r="B163" s="177" t="s">
        <v>888</v>
      </c>
      <c r="C163" s="18" t="s">
        <v>2</v>
      </c>
      <c r="D163" s="18" t="s">
        <v>2</v>
      </c>
      <c r="E163" s="34"/>
      <c r="F163" s="20">
        <v>-3000</v>
      </c>
      <c r="G163" s="19"/>
      <c r="H163" s="19"/>
      <c r="I163" s="43">
        <v>0</v>
      </c>
      <c r="J163" s="43">
        <v>0</v>
      </c>
      <c r="K163" s="43">
        <v>0</v>
      </c>
      <c r="L163" s="43">
        <v>0</v>
      </c>
      <c r="M163" s="43">
        <v>0</v>
      </c>
      <c r="N163" s="44">
        <f t="shared" si="46"/>
        <v>0</v>
      </c>
      <c r="O163" s="44">
        <f>I163*$H$3+J163*$I$3+K163*$J$3+L163*$K$3+M163*$L$3</f>
        <v>0</v>
      </c>
      <c r="P163" s="45">
        <f t="shared" si="47"/>
        <v>0</v>
      </c>
      <c r="Q163" s="54">
        <v>0</v>
      </c>
      <c r="R163" s="55">
        <v>0</v>
      </c>
      <c r="S163" s="55">
        <v>0</v>
      </c>
      <c r="T163" s="43">
        <v>0</v>
      </c>
      <c r="U163" s="43">
        <v>0</v>
      </c>
      <c r="V163" s="43">
        <v>0</v>
      </c>
      <c r="W163" s="43">
        <v>0</v>
      </c>
      <c r="X163" s="43">
        <v>0</v>
      </c>
      <c r="Y163" s="59">
        <f t="shared" si="48"/>
        <v>0</v>
      </c>
      <c r="Z163" s="43">
        <v>0</v>
      </c>
      <c r="AA163" s="43">
        <v>0</v>
      </c>
      <c r="AB163" s="60">
        <v>0</v>
      </c>
      <c r="AC163" s="43"/>
      <c r="AD163" s="43"/>
      <c r="AE163" s="43"/>
      <c r="AF163" s="60">
        <f t="shared" si="49"/>
        <v>-3000</v>
      </c>
      <c r="AG163" s="60"/>
      <c r="AH163" s="7"/>
      <c r="AI163" s="7">
        <v>9000</v>
      </c>
      <c r="AJ163" s="7">
        <v>0</v>
      </c>
      <c r="AK163" s="7">
        <v>0</v>
      </c>
      <c r="AL163" s="7">
        <v>0</v>
      </c>
      <c r="AM163" s="7">
        <v>0</v>
      </c>
      <c r="AN163" s="92">
        <v>0</v>
      </c>
      <c r="AO163" s="7">
        <f t="shared" si="50"/>
        <v>9000</v>
      </c>
      <c r="AP163" s="59">
        <f t="shared" si="41"/>
        <v>0</v>
      </c>
      <c r="AQ163" s="59">
        <f t="shared" si="42"/>
        <v>0</v>
      </c>
      <c r="AR163" s="59">
        <f t="shared" si="43"/>
        <v>0</v>
      </c>
      <c r="AS163" s="59">
        <f t="shared" si="44"/>
        <v>0</v>
      </c>
    </row>
    <row r="164" spans="1:45">
      <c r="A164" s="21" t="s">
        <v>889</v>
      </c>
      <c r="B164" s="18" t="s">
        <v>890</v>
      </c>
      <c r="C164" s="18">
        <v>0</v>
      </c>
      <c r="D164" s="18" t="s">
        <v>52</v>
      </c>
      <c r="E164" s="19"/>
      <c r="F164" s="20">
        <v>1491075</v>
      </c>
      <c r="G164" s="19">
        <v>1000000</v>
      </c>
      <c r="H164" s="19">
        <v>2000000</v>
      </c>
      <c r="I164" s="43">
        <v>0</v>
      </c>
      <c r="J164" s="43">
        <v>0</v>
      </c>
      <c r="K164" s="43">
        <v>0</v>
      </c>
      <c r="L164" s="43">
        <v>0</v>
      </c>
      <c r="M164" s="43">
        <v>0</v>
      </c>
      <c r="N164" s="44">
        <f t="shared" si="46"/>
        <v>0</v>
      </c>
      <c r="O164" s="44">
        <f>I164*$H$1+J164*$I$1+K164*$J$1+L164*$K$1+M164*$L$1</f>
        <v>0</v>
      </c>
      <c r="P164" s="45">
        <f t="shared" si="47"/>
        <v>0</v>
      </c>
      <c r="Q164" s="54">
        <v>400000</v>
      </c>
      <c r="R164" s="55">
        <v>0</v>
      </c>
      <c r="S164" s="55">
        <v>0</v>
      </c>
      <c r="T164" s="43">
        <v>0</v>
      </c>
      <c r="U164" s="43">
        <v>0</v>
      </c>
      <c r="V164" s="43">
        <v>0</v>
      </c>
      <c r="W164" s="43">
        <v>0</v>
      </c>
      <c r="X164" s="43">
        <v>0</v>
      </c>
      <c r="Y164" s="59">
        <f t="shared" si="48"/>
        <v>0</v>
      </c>
      <c r="Z164" s="43">
        <v>0</v>
      </c>
      <c r="AA164" s="43">
        <v>0</v>
      </c>
      <c r="AB164" s="60">
        <v>0</v>
      </c>
      <c r="AC164" s="43"/>
      <c r="AD164" s="43"/>
      <c r="AE164" s="43"/>
      <c r="AF164" s="60">
        <f t="shared" si="49"/>
        <v>1491075</v>
      </c>
      <c r="AG164" s="60"/>
      <c r="AH164" s="7"/>
      <c r="AI164" s="7">
        <v>0</v>
      </c>
      <c r="AJ164" s="7">
        <v>0</v>
      </c>
      <c r="AK164" s="7">
        <v>0</v>
      </c>
      <c r="AL164" s="7">
        <v>0</v>
      </c>
      <c r="AM164" s="7">
        <v>524.912280701754</v>
      </c>
      <c r="AN164" s="92" t="s">
        <v>891</v>
      </c>
      <c r="AO164" s="7">
        <f t="shared" si="50"/>
        <v>524.912280701754</v>
      </c>
      <c r="AP164" s="59">
        <f t="shared" si="41"/>
        <v>0</v>
      </c>
      <c r="AQ164" s="59">
        <f t="shared" si="42"/>
        <v>0</v>
      </c>
      <c r="AR164" s="59">
        <f t="shared" si="43"/>
        <v>0</v>
      </c>
      <c r="AS164" s="59">
        <f t="shared" si="44"/>
        <v>0</v>
      </c>
    </row>
    <row r="165" spans="1:45">
      <c r="A165" s="21" t="s">
        <v>892</v>
      </c>
      <c r="B165" s="18" t="s">
        <v>893</v>
      </c>
      <c r="C165" s="18" t="s">
        <v>2</v>
      </c>
      <c r="D165" s="18" t="s">
        <v>2</v>
      </c>
      <c r="E165" s="18" t="s">
        <v>861</v>
      </c>
      <c r="F165" s="20">
        <v>1899168.53</v>
      </c>
      <c r="G165" s="19">
        <v>500000</v>
      </c>
      <c r="H165" s="19">
        <v>750000</v>
      </c>
      <c r="I165" s="43">
        <v>0</v>
      </c>
      <c r="J165" s="43">
        <v>0</v>
      </c>
      <c r="K165" s="43">
        <v>0</v>
      </c>
      <c r="L165" s="43">
        <v>0</v>
      </c>
      <c r="M165" s="43">
        <v>0</v>
      </c>
      <c r="N165" s="44">
        <f t="shared" si="46"/>
        <v>0</v>
      </c>
      <c r="O165" s="44">
        <f>I165*$H$3+J165*$I$3+K165*$J$3+L165*$K$3+M165*$L$3</f>
        <v>0</v>
      </c>
      <c r="P165" s="45">
        <f t="shared" si="47"/>
        <v>0</v>
      </c>
      <c r="Q165" s="54">
        <v>1550939.78506073</v>
      </c>
      <c r="R165" s="55">
        <v>0</v>
      </c>
      <c r="S165" s="55">
        <v>0</v>
      </c>
      <c r="T165" s="43">
        <v>0</v>
      </c>
      <c r="U165" s="43">
        <v>0</v>
      </c>
      <c r="V165" s="43">
        <v>0</v>
      </c>
      <c r="W165" s="43">
        <v>0</v>
      </c>
      <c r="X165" s="43">
        <v>0</v>
      </c>
      <c r="Y165" s="59">
        <f t="shared" si="48"/>
        <v>0</v>
      </c>
      <c r="Z165" s="43">
        <v>0</v>
      </c>
      <c r="AA165" s="43">
        <v>190000</v>
      </c>
      <c r="AB165" s="60">
        <v>0</v>
      </c>
      <c r="AC165" s="43"/>
      <c r="AD165" s="43"/>
      <c r="AE165" s="43"/>
      <c r="AF165" s="60">
        <f t="shared" si="49"/>
        <v>1709168.53</v>
      </c>
      <c r="AG165" s="60"/>
      <c r="AH165" s="7"/>
      <c r="AI165" s="7">
        <v>74000</v>
      </c>
      <c r="AJ165" s="7">
        <v>25500</v>
      </c>
      <c r="AK165" s="7">
        <v>96500</v>
      </c>
      <c r="AL165" s="7">
        <v>5641.02564102564</v>
      </c>
      <c r="AM165" s="7">
        <v>14087.7192982456</v>
      </c>
      <c r="AN165" s="92" t="s">
        <v>894</v>
      </c>
      <c r="AO165" s="7">
        <f t="shared" si="50"/>
        <v>215728.744939271</v>
      </c>
      <c r="AP165" s="59">
        <f t="shared" si="41"/>
        <v>0</v>
      </c>
      <c r="AQ165" s="59">
        <f t="shared" si="42"/>
        <v>0</v>
      </c>
      <c r="AR165" s="59">
        <f t="shared" si="43"/>
        <v>0</v>
      </c>
      <c r="AS165" s="59">
        <f t="shared" si="44"/>
        <v>0</v>
      </c>
    </row>
    <row r="166" spans="1:45">
      <c r="A166" s="21" t="s">
        <v>895</v>
      </c>
      <c r="B166" s="33" t="s">
        <v>896</v>
      </c>
      <c r="C166" s="18" t="s">
        <v>99</v>
      </c>
      <c r="D166" s="18" t="s">
        <v>99</v>
      </c>
      <c r="E166" s="34"/>
      <c r="F166" s="20">
        <v>2263.6</v>
      </c>
      <c r="G166" s="19">
        <v>0</v>
      </c>
      <c r="H166" s="19">
        <v>0</v>
      </c>
      <c r="I166" s="43">
        <v>0</v>
      </c>
      <c r="J166" s="43">
        <v>0</v>
      </c>
      <c r="K166" s="43">
        <v>0</v>
      </c>
      <c r="L166" s="43">
        <v>0</v>
      </c>
      <c r="M166" s="43">
        <v>0</v>
      </c>
      <c r="N166" s="44">
        <f t="shared" si="46"/>
        <v>0</v>
      </c>
      <c r="O166" s="44">
        <f>I166*$H$2+J166*$I$2+K166*$J$2+L166*$K$2+M166*$L$2</f>
        <v>0</v>
      </c>
      <c r="P166" s="45">
        <f t="shared" si="47"/>
        <v>0</v>
      </c>
      <c r="Q166" s="54">
        <v>0</v>
      </c>
      <c r="R166" s="55">
        <v>0</v>
      </c>
      <c r="S166" s="55">
        <v>0</v>
      </c>
      <c r="T166" s="43">
        <v>0</v>
      </c>
      <c r="U166" s="43">
        <v>0</v>
      </c>
      <c r="V166" s="43">
        <v>0</v>
      </c>
      <c r="W166" s="43">
        <v>0</v>
      </c>
      <c r="X166" s="43">
        <v>0</v>
      </c>
      <c r="Y166" s="59">
        <f t="shared" si="48"/>
        <v>0</v>
      </c>
      <c r="Z166" s="43">
        <v>0</v>
      </c>
      <c r="AA166" s="43">
        <v>0</v>
      </c>
      <c r="AB166" s="60">
        <v>0</v>
      </c>
      <c r="AC166" s="43"/>
      <c r="AD166" s="43"/>
      <c r="AE166" s="43"/>
      <c r="AF166" s="60">
        <f t="shared" si="49"/>
        <v>2263.6</v>
      </c>
      <c r="AG166" s="60"/>
      <c r="AH166" s="7"/>
      <c r="AI166" s="7">
        <v>9000</v>
      </c>
      <c r="AJ166" s="7">
        <v>0</v>
      </c>
      <c r="AK166" s="7">
        <v>0</v>
      </c>
      <c r="AL166" s="7">
        <v>0</v>
      </c>
      <c r="AM166" s="7">
        <v>0</v>
      </c>
      <c r="AN166" s="92">
        <v>0</v>
      </c>
      <c r="AO166" s="7">
        <f t="shared" si="50"/>
        <v>9000</v>
      </c>
      <c r="AP166" s="59">
        <f t="shared" si="41"/>
        <v>0</v>
      </c>
      <c r="AQ166" s="59">
        <f t="shared" si="42"/>
        <v>0</v>
      </c>
      <c r="AR166" s="59">
        <f t="shared" si="43"/>
        <v>0</v>
      </c>
      <c r="AS166" s="59">
        <f t="shared" si="44"/>
        <v>0</v>
      </c>
    </row>
    <row r="167" spans="1:45">
      <c r="A167" s="21" t="s">
        <v>897</v>
      </c>
      <c r="B167" s="33" t="s">
        <v>898</v>
      </c>
      <c r="C167" s="18" t="s">
        <v>3</v>
      </c>
      <c r="D167" s="18" t="s">
        <v>49</v>
      </c>
      <c r="E167" s="34"/>
      <c r="F167" s="20">
        <v>209472</v>
      </c>
      <c r="G167" s="19"/>
      <c r="H167" s="19"/>
      <c r="I167" s="43">
        <v>0</v>
      </c>
      <c r="J167" s="43">
        <v>0</v>
      </c>
      <c r="K167" s="43">
        <v>0</v>
      </c>
      <c r="L167" s="43">
        <v>0</v>
      </c>
      <c r="M167" s="43">
        <v>0</v>
      </c>
      <c r="N167" s="44">
        <f t="shared" si="46"/>
        <v>0</v>
      </c>
      <c r="O167" s="44">
        <f>I167*$H$4+J167*$I$4+K167*$J$4+L167*$K$4+M167*$L$4</f>
        <v>0</v>
      </c>
      <c r="P167" s="45">
        <f t="shared" si="47"/>
        <v>0</v>
      </c>
      <c r="Q167" s="54">
        <v>0</v>
      </c>
      <c r="R167" s="55">
        <v>60</v>
      </c>
      <c r="S167" s="55">
        <v>40</v>
      </c>
      <c r="T167" s="43">
        <v>10</v>
      </c>
      <c r="U167" s="43">
        <v>0</v>
      </c>
      <c r="V167" s="43">
        <v>32</v>
      </c>
      <c r="W167" s="43">
        <v>0</v>
      </c>
      <c r="X167" s="43">
        <v>0</v>
      </c>
      <c r="Y167" s="59">
        <f t="shared" si="48"/>
        <v>42</v>
      </c>
      <c r="Z167" s="43">
        <v>199000</v>
      </c>
      <c r="AA167" s="43">
        <v>186400</v>
      </c>
      <c r="AB167" s="60">
        <v>0</v>
      </c>
      <c r="AC167" s="43"/>
      <c r="AD167" s="43"/>
      <c r="AE167" s="43"/>
      <c r="AF167" s="60">
        <f t="shared" si="49"/>
        <v>222072</v>
      </c>
      <c r="AG167" s="60"/>
      <c r="AH167" s="69"/>
      <c r="AI167" s="7">
        <v>113500</v>
      </c>
      <c r="AJ167" s="7">
        <v>77400</v>
      </c>
      <c r="AK167" s="7">
        <v>26000</v>
      </c>
      <c r="AL167" s="7">
        <v>0</v>
      </c>
      <c r="AM167" s="7">
        <v>0</v>
      </c>
      <c r="AN167" s="92">
        <v>0</v>
      </c>
      <c r="AO167" s="7">
        <f t="shared" si="50"/>
        <v>216900</v>
      </c>
      <c r="AP167" s="59">
        <f t="shared" si="41"/>
        <v>-10</v>
      </c>
      <c r="AQ167" s="59">
        <f t="shared" si="42"/>
        <v>-32</v>
      </c>
      <c r="AR167" s="59">
        <f t="shared" si="43"/>
        <v>-0.769230769230769</v>
      </c>
      <c r="AS167" s="59">
        <f t="shared" si="44"/>
        <v>-2.46153846153846</v>
      </c>
    </row>
    <row r="168" spans="1:45">
      <c r="A168" s="21" t="s">
        <v>899</v>
      </c>
      <c r="B168" s="33" t="s">
        <v>900</v>
      </c>
      <c r="C168" s="18" t="s">
        <v>3</v>
      </c>
      <c r="D168" s="18" t="s">
        <v>49</v>
      </c>
      <c r="E168" s="34"/>
      <c r="F168" s="20">
        <v>44500</v>
      </c>
      <c r="G168" s="19"/>
      <c r="H168" s="19"/>
      <c r="I168" s="43">
        <v>0</v>
      </c>
      <c r="J168" s="43">
        <v>0</v>
      </c>
      <c r="K168" s="43">
        <v>0</v>
      </c>
      <c r="L168" s="43">
        <v>0</v>
      </c>
      <c r="M168" s="43">
        <v>0</v>
      </c>
      <c r="N168" s="44">
        <f t="shared" si="46"/>
        <v>0</v>
      </c>
      <c r="O168" s="44">
        <f>I168*$H$4+J168*$I$4+K168*$J$4+L168*$K$4+M168*$L$4</f>
        <v>0</v>
      </c>
      <c r="P168" s="45">
        <f t="shared" si="47"/>
        <v>0</v>
      </c>
      <c r="Q168" s="54">
        <v>85000</v>
      </c>
      <c r="R168" s="55">
        <v>0</v>
      </c>
      <c r="S168" s="55">
        <v>0</v>
      </c>
      <c r="T168" s="43">
        <v>25</v>
      </c>
      <c r="U168" s="43">
        <v>0</v>
      </c>
      <c r="V168" s="43">
        <v>0</v>
      </c>
      <c r="W168" s="43">
        <v>0</v>
      </c>
      <c r="X168" s="43">
        <v>0</v>
      </c>
      <c r="Y168" s="59">
        <f t="shared" si="48"/>
        <v>25</v>
      </c>
      <c r="Z168" s="43">
        <v>137500</v>
      </c>
      <c r="AA168" s="43">
        <v>0</v>
      </c>
      <c r="AB168" s="60">
        <v>0</v>
      </c>
      <c r="AC168" s="43"/>
      <c r="AD168" s="43"/>
      <c r="AE168" s="43"/>
      <c r="AF168" s="60">
        <f t="shared" si="49"/>
        <v>182000</v>
      </c>
      <c r="AG168" s="60"/>
      <c r="AH168" s="7"/>
      <c r="AI168" s="7">
        <v>7800</v>
      </c>
      <c r="AJ168" s="7">
        <v>19200</v>
      </c>
      <c r="AK168" s="7">
        <v>7500</v>
      </c>
      <c r="AL168" s="7">
        <v>0</v>
      </c>
      <c r="AM168" s="7">
        <v>0</v>
      </c>
      <c r="AN168" s="92">
        <v>0</v>
      </c>
      <c r="AO168" s="7">
        <f t="shared" si="50"/>
        <v>34500</v>
      </c>
      <c r="AP168" s="59">
        <f t="shared" si="41"/>
        <v>-25</v>
      </c>
      <c r="AQ168" s="59">
        <f t="shared" si="42"/>
        <v>0</v>
      </c>
      <c r="AR168" s="59">
        <f t="shared" si="43"/>
        <v>-1.92307692307692</v>
      </c>
      <c r="AS168" s="59">
        <f t="shared" si="44"/>
        <v>0</v>
      </c>
    </row>
    <row r="169" spans="1:45">
      <c r="A169" s="21" t="s">
        <v>901</v>
      </c>
      <c r="B169" s="33" t="s">
        <v>902</v>
      </c>
      <c r="C169" s="18"/>
      <c r="D169" s="18"/>
      <c r="E169" s="34"/>
      <c r="F169" s="20">
        <v>500250</v>
      </c>
      <c r="G169" s="19"/>
      <c r="H169" s="19"/>
      <c r="I169" s="43">
        <v>0</v>
      </c>
      <c r="J169" s="43">
        <v>0</v>
      </c>
      <c r="K169" s="43">
        <v>0</v>
      </c>
      <c r="L169" s="43">
        <v>0</v>
      </c>
      <c r="M169" s="43">
        <v>0</v>
      </c>
      <c r="N169" s="44">
        <f t="shared" si="46"/>
        <v>0</v>
      </c>
      <c r="O169" s="44"/>
      <c r="P169" s="45">
        <f t="shared" si="47"/>
        <v>0</v>
      </c>
      <c r="Q169" s="54"/>
      <c r="R169" s="55">
        <v>0</v>
      </c>
      <c r="S169" s="55">
        <v>0</v>
      </c>
      <c r="T169" s="43">
        <v>0</v>
      </c>
      <c r="U169" s="43">
        <v>0</v>
      </c>
      <c r="V169" s="43">
        <v>0</v>
      </c>
      <c r="W169" s="43">
        <v>0</v>
      </c>
      <c r="X169" s="43">
        <v>0</v>
      </c>
      <c r="Y169" s="59">
        <f t="shared" si="48"/>
        <v>0</v>
      </c>
      <c r="Z169" s="43">
        <v>0</v>
      </c>
      <c r="AA169" s="43">
        <v>470000</v>
      </c>
      <c r="AB169" s="60"/>
      <c r="AC169" s="43"/>
      <c r="AD169" s="43"/>
      <c r="AE169" s="43"/>
      <c r="AF169" s="60">
        <f t="shared" si="49"/>
        <v>30250</v>
      </c>
      <c r="AG169" s="60"/>
      <c r="AH169" s="7"/>
      <c r="AN169" s="92"/>
      <c r="AP169" s="59">
        <f t="shared" si="41"/>
        <v>0</v>
      </c>
      <c r="AQ169" s="59">
        <f t="shared" si="42"/>
        <v>0</v>
      </c>
      <c r="AR169" s="59">
        <f t="shared" si="43"/>
        <v>0</v>
      </c>
      <c r="AS169" s="59">
        <f t="shared" si="44"/>
        <v>0</v>
      </c>
    </row>
    <row r="170" spans="1:45">
      <c r="A170" s="21" t="s">
        <v>903</v>
      </c>
      <c r="B170" s="18" t="s">
        <v>904</v>
      </c>
      <c r="C170" s="18">
        <v>0</v>
      </c>
      <c r="D170" s="18">
        <v>0</v>
      </c>
      <c r="E170" s="19"/>
      <c r="F170" s="20">
        <v>68700</v>
      </c>
      <c r="G170" s="19">
        <v>0</v>
      </c>
      <c r="H170" s="19">
        <v>500000</v>
      </c>
      <c r="I170" s="43">
        <v>0</v>
      </c>
      <c r="J170" s="43">
        <v>0</v>
      </c>
      <c r="K170" s="43">
        <v>0</v>
      </c>
      <c r="L170" s="43">
        <v>0</v>
      </c>
      <c r="M170" s="43">
        <v>0</v>
      </c>
      <c r="N170" s="44">
        <f t="shared" si="46"/>
        <v>0</v>
      </c>
      <c r="O170" s="44">
        <v>0</v>
      </c>
      <c r="P170" s="45">
        <f t="shared" si="47"/>
        <v>0</v>
      </c>
      <c r="Q170" s="54">
        <v>0</v>
      </c>
      <c r="R170" s="55">
        <v>0</v>
      </c>
      <c r="S170" s="55">
        <v>0</v>
      </c>
      <c r="T170" s="43">
        <v>0</v>
      </c>
      <c r="U170" s="43">
        <v>0</v>
      </c>
      <c r="V170" s="43">
        <v>0</v>
      </c>
      <c r="W170" s="43">
        <v>0</v>
      </c>
      <c r="X170" s="43">
        <v>0</v>
      </c>
      <c r="Y170" s="59">
        <f t="shared" si="48"/>
        <v>0</v>
      </c>
      <c r="Z170" s="43">
        <v>0</v>
      </c>
      <c r="AA170" s="43">
        <v>0</v>
      </c>
      <c r="AB170" s="60">
        <v>0</v>
      </c>
      <c r="AC170" s="43"/>
      <c r="AD170" s="43"/>
      <c r="AE170" s="43"/>
      <c r="AF170" s="60">
        <f t="shared" si="49"/>
        <v>68700</v>
      </c>
      <c r="AG170" s="60"/>
      <c r="AH170" s="7"/>
      <c r="AI170" s="7">
        <v>0</v>
      </c>
      <c r="AJ170" s="7">
        <v>0</v>
      </c>
      <c r="AK170" s="7">
        <v>0</v>
      </c>
      <c r="AL170" s="7">
        <v>0</v>
      </c>
      <c r="AM170" s="7">
        <v>0</v>
      </c>
      <c r="AN170" s="92">
        <v>0</v>
      </c>
      <c r="AO170" s="7">
        <f>AI170+AJ170+AK170+AL170+AM170</f>
        <v>0</v>
      </c>
      <c r="AP170" s="59">
        <f t="shared" si="41"/>
        <v>0</v>
      </c>
      <c r="AQ170" s="59">
        <f t="shared" si="42"/>
        <v>0</v>
      </c>
      <c r="AR170" s="59">
        <f t="shared" si="43"/>
        <v>0</v>
      </c>
      <c r="AS170" s="59">
        <f t="shared" si="44"/>
        <v>0</v>
      </c>
    </row>
    <row r="171" spans="1:45">
      <c r="A171" s="21" t="s">
        <v>905</v>
      </c>
      <c r="B171" s="18" t="s">
        <v>906</v>
      </c>
      <c r="C171" s="18"/>
      <c r="D171" s="18"/>
      <c r="E171" s="19"/>
      <c r="F171" s="20">
        <v>29000</v>
      </c>
      <c r="G171" s="19"/>
      <c r="H171" s="19"/>
      <c r="I171" s="43">
        <v>100</v>
      </c>
      <c r="J171" s="43">
        <v>0</v>
      </c>
      <c r="K171" s="43">
        <v>0</v>
      </c>
      <c r="L171" s="43">
        <v>0</v>
      </c>
      <c r="M171" s="43">
        <v>0</v>
      </c>
      <c r="N171" s="44">
        <f t="shared" si="46"/>
        <v>100</v>
      </c>
      <c r="O171" s="44"/>
      <c r="P171" s="45">
        <f t="shared" si="47"/>
        <v>0</v>
      </c>
      <c r="Q171" s="54"/>
      <c r="R171" s="55">
        <v>0</v>
      </c>
      <c r="S171" s="55">
        <v>0</v>
      </c>
      <c r="T171" s="43">
        <v>5</v>
      </c>
      <c r="U171" s="43">
        <v>0</v>
      </c>
      <c r="V171" s="43">
        <v>56</v>
      </c>
      <c r="W171" s="43">
        <v>0</v>
      </c>
      <c r="X171" s="43">
        <v>0</v>
      </c>
      <c r="Y171" s="59">
        <f t="shared" si="48"/>
        <v>61</v>
      </c>
      <c r="Z171" s="43">
        <v>279500</v>
      </c>
      <c r="AA171" s="43">
        <v>242900</v>
      </c>
      <c r="AB171" s="60">
        <v>0</v>
      </c>
      <c r="AC171" s="43"/>
      <c r="AD171" s="43"/>
      <c r="AE171" s="43"/>
      <c r="AF171" s="60">
        <f t="shared" si="49"/>
        <v>65600</v>
      </c>
      <c r="AG171" s="60">
        <f>AF171-AO171-H171</f>
        <v>65600</v>
      </c>
      <c r="AH171" s="7"/>
      <c r="AN171" s="92"/>
      <c r="AP171" s="59">
        <f t="shared" si="41"/>
        <v>95</v>
      </c>
      <c r="AQ171" s="59">
        <f t="shared" si="42"/>
        <v>-56</v>
      </c>
      <c r="AR171" s="59">
        <f t="shared" si="43"/>
        <v>7.30769230769231</v>
      </c>
      <c r="AS171" s="59">
        <f t="shared" si="44"/>
        <v>-4.30769230769231</v>
      </c>
    </row>
    <row r="172" spans="1:45">
      <c r="A172" s="21" t="s">
        <v>907</v>
      </c>
      <c r="B172" s="18" t="s">
        <v>908</v>
      </c>
      <c r="C172" s="18" t="s">
        <v>52</v>
      </c>
      <c r="D172" s="18" t="s">
        <v>52</v>
      </c>
      <c r="E172" s="19"/>
      <c r="F172" s="20">
        <v>3020839.83</v>
      </c>
      <c r="G172" s="19">
        <v>1800000</v>
      </c>
      <c r="H172" s="19">
        <v>3000000</v>
      </c>
      <c r="I172" s="43">
        <v>115</v>
      </c>
      <c r="J172" s="43">
        <v>0</v>
      </c>
      <c r="K172" s="43">
        <v>60</v>
      </c>
      <c r="L172" s="43">
        <v>0</v>
      </c>
      <c r="M172" s="43">
        <v>0</v>
      </c>
      <c r="N172" s="44">
        <f t="shared" si="46"/>
        <v>175</v>
      </c>
      <c r="O172" s="44">
        <f>I172*$H$1+J172*$I$1+K172*$J$1+L172*$K$1+M172*$L$1</f>
        <v>2282500</v>
      </c>
      <c r="P172" s="45">
        <f t="shared" si="47"/>
        <v>2282500</v>
      </c>
      <c r="Q172" s="54">
        <v>505377.982735043</v>
      </c>
      <c r="R172" s="55">
        <v>115</v>
      </c>
      <c r="S172" s="55">
        <v>60</v>
      </c>
      <c r="T172" s="43">
        <v>10</v>
      </c>
      <c r="U172" s="43">
        <v>0</v>
      </c>
      <c r="V172" s="43">
        <v>100</v>
      </c>
      <c r="W172" s="43">
        <v>0</v>
      </c>
      <c r="X172" s="43">
        <v>0</v>
      </c>
      <c r="Y172" s="59">
        <f t="shared" si="48"/>
        <v>110</v>
      </c>
      <c r="Z172" s="43">
        <v>1333000</v>
      </c>
      <c r="AA172" s="43">
        <v>150000</v>
      </c>
      <c r="AB172" s="60">
        <v>0</v>
      </c>
      <c r="AC172" s="43"/>
      <c r="AD172" s="43"/>
      <c r="AE172" s="43"/>
      <c r="AF172" s="60">
        <f t="shared" si="49"/>
        <v>4203839.83</v>
      </c>
      <c r="AG172" s="60">
        <f>AF172-AO172-H172</f>
        <v>974377.982735043</v>
      </c>
      <c r="AH172" s="7"/>
      <c r="AI172" s="7">
        <v>94550</v>
      </c>
      <c r="AJ172" s="7">
        <v>99646.89</v>
      </c>
      <c r="AK172" s="7">
        <v>28000</v>
      </c>
      <c r="AL172" s="7">
        <v>1709.40170940171</v>
      </c>
      <c r="AM172" s="7">
        <v>5555.55555555556</v>
      </c>
      <c r="AN172" s="92">
        <v>0</v>
      </c>
      <c r="AO172" s="7">
        <f t="shared" ref="AO172:AO186" si="51">AI172+AJ172+AK172+AL172+AM172</f>
        <v>229461.847264957</v>
      </c>
      <c r="AP172" s="59">
        <f t="shared" si="41"/>
        <v>105</v>
      </c>
      <c r="AQ172" s="59">
        <f t="shared" si="42"/>
        <v>-40</v>
      </c>
      <c r="AR172" s="59">
        <f t="shared" si="43"/>
        <v>8.07692307692308</v>
      </c>
      <c r="AS172" s="59">
        <f t="shared" si="44"/>
        <v>-3.07692307692308</v>
      </c>
    </row>
    <row r="173" spans="1:45">
      <c r="A173" s="21" t="s">
        <v>909</v>
      </c>
      <c r="B173" s="18" t="s">
        <v>910</v>
      </c>
      <c r="C173" s="18">
        <v>0</v>
      </c>
      <c r="D173" s="18">
        <v>0</v>
      </c>
      <c r="E173" s="19"/>
      <c r="F173" s="20">
        <v>3250</v>
      </c>
      <c r="G173" s="19">
        <v>0</v>
      </c>
      <c r="H173" s="19">
        <v>0</v>
      </c>
      <c r="I173" s="43">
        <v>0</v>
      </c>
      <c r="J173" s="43">
        <v>0</v>
      </c>
      <c r="K173" s="43">
        <v>0</v>
      </c>
      <c r="L173" s="43">
        <v>0</v>
      </c>
      <c r="M173" s="43">
        <v>0</v>
      </c>
      <c r="N173" s="44">
        <f t="shared" si="46"/>
        <v>0</v>
      </c>
      <c r="O173" s="44">
        <v>0</v>
      </c>
      <c r="P173" s="45">
        <f t="shared" si="47"/>
        <v>0</v>
      </c>
      <c r="Q173" s="54">
        <v>0</v>
      </c>
      <c r="R173" s="55">
        <v>0</v>
      </c>
      <c r="S173" s="55">
        <v>0</v>
      </c>
      <c r="T173" s="43">
        <v>0</v>
      </c>
      <c r="U173" s="43">
        <v>0</v>
      </c>
      <c r="V173" s="43">
        <v>0</v>
      </c>
      <c r="W173" s="43">
        <v>0</v>
      </c>
      <c r="X173" s="43">
        <v>0</v>
      </c>
      <c r="Y173" s="59">
        <f t="shared" si="48"/>
        <v>0</v>
      </c>
      <c r="Z173" s="43">
        <v>0</v>
      </c>
      <c r="AA173" s="43">
        <v>0</v>
      </c>
      <c r="AB173" s="60">
        <v>0</v>
      </c>
      <c r="AC173" s="43"/>
      <c r="AD173" s="43"/>
      <c r="AE173" s="43"/>
      <c r="AF173" s="60">
        <f t="shared" si="49"/>
        <v>3250</v>
      </c>
      <c r="AG173" s="60"/>
      <c r="AH173" s="7"/>
      <c r="AI173" s="7">
        <v>0</v>
      </c>
      <c r="AJ173" s="7">
        <v>0</v>
      </c>
      <c r="AK173" s="7">
        <v>0</v>
      </c>
      <c r="AL173" s="7">
        <v>0</v>
      </c>
      <c r="AM173" s="7">
        <v>0</v>
      </c>
      <c r="AN173" s="92">
        <v>0</v>
      </c>
      <c r="AO173" s="7">
        <f t="shared" si="51"/>
        <v>0</v>
      </c>
      <c r="AP173" s="59">
        <f t="shared" si="41"/>
        <v>0</v>
      </c>
      <c r="AQ173" s="59">
        <f t="shared" si="42"/>
        <v>0</v>
      </c>
      <c r="AR173" s="59">
        <f t="shared" si="43"/>
        <v>0</v>
      </c>
      <c r="AS173" s="59">
        <f t="shared" si="44"/>
        <v>0</v>
      </c>
    </row>
    <row r="174" spans="1:45">
      <c r="A174" s="21" t="s">
        <v>911</v>
      </c>
      <c r="B174" s="33" t="s">
        <v>912</v>
      </c>
      <c r="C174" s="18" t="s">
        <v>99</v>
      </c>
      <c r="D174" s="18" t="s">
        <v>99</v>
      </c>
      <c r="E174" s="34"/>
      <c r="F174" s="20">
        <v>320302</v>
      </c>
      <c r="G174" s="19">
        <v>0</v>
      </c>
      <c r="H174" s="19">
        <v>0</v>
      </c>
      <c r="I174" s="43">
        <v>0</v>
      </c>
      <c r="J174" s="43">
        <v>0</v>
      </c>
      <c r="K174" s="43">
        <v>0</v>
      </c>
      <c r="L174" s="43">
        <v>0</v>
      </c>
      <c r="M174" s="43">
        <v>0</v>
      </c>
      <c r="N174" s="44">
        <f t="shared" si="46"/>
        <v>0</v>
      </c>
      <c r="O174" s="44">
        <f>I174*$H$2+J174*$I$2+K174*$J$2+L174*$K$2+M174*$L$2</f>
        <v>0</v>
      </c>
      <c r="P174" s="45">
        <f t="shared" si="47"/>
        <v>0</v>
      </c>
      <c r="Q174" s="54">
        <v>185778</v>
      </c>
      <c r="R174" s="55">
        <v>0</v>
      </c>
      <c r="S174" s="55">
        <v>0</v>
      </c>
      <c r="T174" s="43">
        <v>0</v>
      </c>
      <c r="U174" s="43">
        <v>0</v>
      </c>
      <c r="V174" s="43">
        <v>0</v>
      </c>
      <c r="W174" s="43">
        <v>0</v>
      </c>
      <c r="X174" s="43">
        <v>0</v>
      </c>
      <c r="Y174" s="59">
        <f t="shared" si="48"/>
        <v>0</v>
      </c>
      <c r="Z174" s="43">
        <v>0</v>
      </c>
      <c r="AA174" s="43">
        <v>0</v>
      </c>
      <c r="AB174" s="60">
        <v>0</v>
      </c>
      <c r="AC174" s="43"/>
      <c r="AD174" s="43"/>
      <c r="AE174" s="43"/>
      <c r="AF174" s="60">
        <f t="shared" si="49"/>
        <v>320302</v>
      </c>
      <c r="AG174" s="60"/>
      <c r="AH174" s="7"/>
      <c r="AI174" s="7">
        <v>1750</v>
      </c>
      <c r="AJ174" s="7">
        <v>52500</v>
      </c>
      <c r="AK174" s="7">
        <v>12800</v>
      </c>
      <c r="AL174" s="7">
        <v>0</v>
      </c>
      <c r="AM174" s="7">
        <v>0</v>
      </c>
      <c r="AN174" s="92">
        <v>0</v>
      </c>
      <c r="AO174" s="7">
        <f t="shared" si="51"/>
        <v>67050</v>
      </c>
      <c r="AP174" s="59">
        <f t="shared" si="41"/>
        <v>0</v>
      </c>
      <c r="AQ174" s="59">
        <f t="shared" si="42"/>
        <v>0</v>
      </c>
      <c r="AR174" s="59">
        <f t="shared" si="43"/>
        <v>0</v>
      </c>
      <c r="AS174" s="59">
        <f t="shared" si="44"/>
        <v>0</v>
      </c>
    </row>
    <row r="175" spans="1:45">
      <c r="A175" s="21" t="s">
        <v>913</v>
      </c>
      <c r="B175" s="18" t="s">
        <v>914</v>
      </c>
      <c r="C175" s="18" t="s">
        <v>52</v>
      </c>
      <c r="D175" s="18" t="s">
        <v>52</v>
      </c>
      <c r="E175" s="19"/>
      <c r="F175" s="20">
        <v>2359159</v>
      </c>
      <c r="G175" s="19">
        <v>800000</v>
      </c>
      <c r="H175" s="19">
        <v>2000000</v>
      </c>
      <c r="I175" s="43">
        <v>75</v>
      </c>
      <c r="J175" s="43">
        <v>0</v>
      </c>
      <c r="K175" s="43">
        <v>0</v>
      </c>
      <c r="L175" s="43">
        <v>0</v>
      </c>
      <c r="M175" s="43">
        <v>0</v>
      </c>
      <c r="N175" s="44">
        <f t="shared" si="46"/>
        <v>75</v>
      </c>
      <c r="O175" s="44">
        <f>I175*$H$1+J175*$I$1+K175*$J$1+L175*$K$1+M175*$L$1</f>
        <v>1042500</v>
      </c>
      <c r="P175" s="45">
        <f t="shared" si="47"/>
        <v>1042500</v>
      </c>
      <c r="Q175" s="54">
        <v>1083531.80701754</v>
      </c>
      <c r="R175" s="55">
        <v>125</v>
      </c>
      <c r="S175" s="55">
        <v>0</v>
      </c>
      <c r="T175" s="43">
        <v>25</v>
      </c>
      <c r="U175" s="43">
        <v>0</v>
      </c>
      <c r="V175" s="43">
        <v>0</v>
      </c>
      <c r="W175" s="43">
        <v>0</v>
      </c>
      <c r="X175" s="43">
        <v>0</v>
      </c>
      <c r="Y175" s="59">
        <f t="shared" si="48"/>
        <v>25</v>
      </c>
      <c r="Z175" s="43">
        <v>356250</v>
      </c>
      <c r="AA175" s="43">
        <v>350000</v>
      </c>
      <c r="AB175" s="60">
        <v>0</v>
      </c>
      <c r="AC175" s="43"/>
      <c r="AD175" s="43"/>
      <c r="AE175" s="43"/>
      <c r="AF175" s="60">
        <f t="shared" si="49"/>
        <v>2365409</v>
      </c>
      <c r="AG175" s="60">
        <f>AF175-AO175-H175</f>
        <v>266031.807017544</v>
      </c>
      <c r="AH175" s="68" t="e">
        <f>#REF!-#REF!</f>
        <v>#REF!</v>
      </c>
      <c r="AI175" s="7">
        <v>35750</v>
      </c>
      <c r="AJ175" s="7">
        <v>30250</v>
      </c>
      <c r="AK175" s="7">
        <v>22500</v>
      </c>
      <c r="AL175" s="7">
        <v>3157.89473684211</v>
      </c>
      <c r="AM175" s="7">
        <v>7719.29824561403</v>
      </c>
      <c r="AN175" s="92">
        <v>0</v>
      </c>
      <c r="AO175" s="7">
        <f t="shared" si="51"/>
        <v>99377.1929824561</v>
      </c>
      <c r="AP175" s="59">
        <f t="shared" si="41"/>
        <v>50</v>
      </c>
      <c r="AQ175" s="59">
        <f t="shared" si="42"/>
        <v>0</v>
      </c>
      <c r="AR175" s="59">
        <f t="shared" si="43"/>
        <v>3.84615384615385</v>
      </c>
      <c r="AS175" s="59">
        <f t="shared" si="44"/>
        <v>0</v>
      </c>
    </row>
    <row r="176" spans="1:45">
      <c r="A176" s="21" t="s">
        <v>915</v>
      </c>
      <c r="B176" s="18" t="s">
        <v>916</v>
      </c>
      <c r="C176" s="18">
        <v>0</v>
      </c>
      <c r="D176" s="18">
        <v>0</v>
      </c>
      <c r="E176" s="19"/>
      <c r="F176" s="20">
        <v>150775</v>
      </c>
      <c r="G176" s="19">
        <v>0</v>
      </c>
      <c r="H176" s="19">
        <v>205500</v>
      </c>
      <c r="I176" s="43">
        <v>0</v>
      </c>
      <c r="J176" s="43">
        <v>0</v>
      </c>
      <c r="K176" s="43">
        <v>0</v>
      </c>
      <c r="L176" s="43">
        <v>0</v>
      </c>
      <c r="M176" s="43">
        <v>0</v>
      </c>
      <c r="N176" s="44">
        <f t="shared" si="46"/>
        <v>0</v>
      </c>
      <c r="O176" s="44">
        <v>0</v>
      </c>
      <c r="P176" s="45">
        <f t="shared" si="47"/>
        <v>0</v>
      </c>
      <c r="Q176" s="54">
        <v>0</v>
      </c>
      <c r="R176" s="55">
        <v>0</v>
      </c>
      <c r="S176" s="55">
        <v>0</v>
      </c>
      <c r="T176" s="43">
        <v>0</v>
      </c>
      <c r="U176" s="43">
        <v>0</v>
      </c>
      <c r="V176" s="43">
        <v>0</v>
      </c>
      <c r="W176" s="43">
        <v>0</v>
      </c>
      <c r="X176" s="43">
        <v>0</v>
      </c>
      <c r="Y176" s="59">
        <f t="shared" si="48"/>
        <v>0</v>
      </c>
      <c r="Z176" s="43">
        <v>0</v>
      </c>
      <c r="AA176" s="43">
        <v>0</v>
      </c>
      <c r="AB176" s="60">
        <v>0</v>
      </c>
      <c r="AC176" s="43"/>
      <c r="AD176" s="43"/>
      <c r="AE176" s="43"/>
      <c r="AF176" s="60">
        <f t="shared" si="49"/>
        <v>150775</v>
      </c>
      <c r="AG176" s="60"/>
      <c r="AH176" s="7"/>
      <c r="AI176" s="7">
        <v>0</v>
      </c>
      <c r="AJ176" s="7">
        <v>0</v>
      </c>
      <c r="AK176" s="7">
        <v>0</v>
      </c>
      <c r="AL176" s="7">
        <v>0</v>
      </c>
      <c r="AM176" s="7">
        <v>0</v>
      </c>
      <c r="AN176" s="92">
        <v>0</v>
      </c>
      <c r="AO176" s="7">
        <f t="shared" si="51"/>
        <v>0</v>
      </c>
      <c r="AP176" s="59">
        <f t="shared" si="41"/>
        <v>0</v>
      </c>
      <c r="AQ176" s="59">
        <f t="shared" si="42"/>
        <v>0</v>
      </c>
      <c r="AR176" s="59">
        <f t="shared" si="43"/>
        <v>0</v>
      </c>
      <c r="AS176" s="59">
        <f t="shared" si="44"/>
        <v>0</v>
      </c>
    </row>
    <row r="177" spans="1:45">
      <c r="A177" s="21" t="s">
        <v>917</v>
      </c>
      <c r="B177" s="177" t="s">
        <v>918</v>
      </c>
      <c r="C177" s="18" t="s">
        <v>2</v>
      </c>
      <c r="D177" s="18" t="s">
        <v>2</v>
      </c>
      <c r="E177" s="34"/>
      <c r="F177" s="20">
        <v>1830300</v>
      </c>
      <c r="G177" s="19">
        <v>1000000</v>
      </c>
      <c r="H177" s="19">
        <v>0</v>
      </c>
      <c r="I177" s="43">
        <v>75</v>
      </c>
      <c r="J177" s="43">
        <v>0</v>
      </c>
      <c r="K177" s="43">
        <v>0</v>
      </c>
      <c r="L177" s="43">
        <v>0</v>
      </c>
      <c r="M177" s="43">
        <v>0</v>
      </c>
      <c r="N177" s="44">
        <f t="shared" si="46"/>
        <v>75</v>
      </c>
      <c r="O177" s="44">
        <f>I177*$H$3+J177*$I$3+K177*$J$3+L177*$K$3+M177*$L$3</f>
        <v>1029375</v>
      </c>
      <c r="P177" s="45">
        <f t="shared" si="47"/>
        <v>1029375</v>
      </c>
      <c r="Q177" s="54">
        <v>30836.3157894741</v>
      </c>
      <c r="R177" s="55">
        <v>0</v>
      </c>
      <c r="S177" s="55">
        <v>0</v>
      </c>
      <c r="T177" s="43">
        <v>75</v>
      </c>
      <c r="U177" s="43">
        <v>0</v>
      </c>
      <c r="V177" s="43">
        <v>0</v>
      </c>
      <c r="W177" s="43">
        <v>0</v>
      </c>
      <c r="X177" s="43">
        <v>0</v>
      </c>
      <c r="Y177" s="59">
        <f t="shared" si="48"/>
        <v>75</v>
      </c>
      <c r="Z177" s="43">
        <v>1068750</v>
      </c>
      <c r="AA177" s="43">
        <v>685000</v>
      </c>
      <c r="AB177" s="60">
        <v>0</v>
      </c>
      <c r="AC177" s="43"/>
      <c r="AD177" s="43"/>
      <c r="AE177" s="43"/>
      <c r="AF177" s="60">
        <f t="shared" si="49"/>
        <v>2214050</v>
      </c>
      <c r="AG177" s="60">
        <f>AF177-AO177-H177</f>
        <v>2127086.31578947</v>
      </c>
      <c r="AH177" s="7"/>
      <c r="AI177" s="7">
        <v>22000</v>
      </c>
      <c r="AJ177" s="7">
        <v>27500</v>
      </c>
      <c r="AK177" s="7">
        <v>27500</v>
      </c>
      <c r="AL177" s="7">
        <v>0</v>
      </c>
      <c r="AM177" s="7">
        <v>9963.68421052631</v>
      </c>
      <c r="AN177" s="92">
        <v>0</v>
      </c>
      <c r="AO177" s="7">
        <f t="shared" si="51"/>
        <v>86963.6842105263</v>
      </c>
      <c r="AP177" s="59">
        <f t="shared" si="41"/>
        <v>0</v>
      </c>
      <c r="AQ177" s="59">
        <f t="shared" si="42"/>
        <v>0</v>
      </c>
      <c r="AR177" s="59">
        <f t="shared" si="43"/>
        <v>0</v>
      </c>
      <c r="AS177" s="59">
        <f t="shared" si="44"/>
        <v>0</v>
      </c>
    </row>
    <row r="178" spans="1:45">
      <c r="A178" s="21" t="s">
        <v>919</v>
      </c>
      <c r="B178" s="18" t="s">
        <v>920</v>
      </c>
      <c r="C178" s="18">
        <v>0</v>
      </c>
      <c r="D178" s="18">
        <v>0</v>
      </c>
      <c r="E178" s="19"/>
      <c r="F178" s="20">
        <v>-125</v>
      </c>
      <c r="G178" s="19">
        <v>0</v>
      </c>
      <c r="H178" s="19">
        <v>0</v>
      </c>
      <c r="I178" s="43">
        <v>0</v>
      </c>
      <c r="J178" s="43">
        <v>0</v>
      </c>
      <c r="K178" s="43">
        <v>0</v>
      </c>
      <c r="L178" s="43">
        <v>0</v>
      </c>
      <c r="M178" s="43">
        <v>0</v>
      </c>
      <c r="N178" s="44">
        <f t="shared" si="46"/>
        <v>0</v>
      </c>
      <c r="O178" s="44">
        <v>0</v>
      </c>
      <c r="P178" s="45">
        <f t="shared" si="47"/>
        <v>0</v>
      </c>
      <c r="Q178" s="54">
        <v>0</v>
      </c>
      <c r="R178" s="55">
        <v>0</v>
      </c>
      <c r="S178" s="55">
        <v>0</v>
      </c>
      <c r="T178" s="43">
        <v>0</v>
      </c>
      <c r="U178" s="43">
        <v>0</v>
      </c>
      <c r="V178" s="43">
        <v>0</v>
      </c>
      <c r="W178" s="43">
        <v>0</v>
      </c>
      <c r="X178" s="43">
        <v>0</v>
      </c>
      <c r="Y178" s="59">
        <f t="shared" si="48"/>
        <v>0</v>
      </c>
      <c r="Z178" s="43">
        <v>0</v>
      </c>
      <c r="AA178" s="43">
        <v>0</v>
      </c>
      <c r="AB178" s="60">
        <v>0</v>
      </c>
      <c r="AC178" s="43"/>
      <c r="AD178" s="43"/>
      <c r="AE178" s="43"/>
      <c r="AF178" s="60">
        <f t="shared" si="49"/>
        <v>-125</v>
      </c>
      <c r="AG178" s="60"/>
      <c r="AH178" s="7"/>
      <c r="AI178" s="7">
        <v>0</v>
      </c>
      <c r="AJ178" s="7">
        <v>0</v>
      </c>
      <c r="AK178" s="7">
        <v>0</v>
      </c>
      <c r="AL178" s="7">
        <v>0</v>
      </c>
      <c r="AM178" s="7">
        <v>0</v>
      </c>
      <c r="AN178" s="92">
        <v>0</v>
      </c>
      <c r="AO178" s="7">
        <f t="shared" si="51"/>
        <v>0</v>
      </c>
      <c r="AP178" s="59">
        <f t="shared" si="41"/>
        <v>0</v>
      </c>
      <c r="AQ178" s="59">
        <f t="shared" si="42"/>
        <v>0</v>
      </c>
      <c r="AR178" s="59">
        <f t="shared" si="43"/>
        <v>0</v>
      </c>
      <c r="AS178" s="59">
        <f t="shared" si="44"/>
        <v>0</v>
      </c>
    </row>
    <row r="179" spans="1:45">
      <c r="A179" s="21" t="s">
        <v>921</v>
      </c>
      <c r="B179" s="18" t="s">
        <v>922</v>
      </c>
      <c r="C179" s="18">
        <v>0</v>
      </c>
      <c r="D179" s="18" t="s">
        <v>52</v>
      </c>
      <c r="E179" s="19"/>
      <c r="F179" s="20">
        <v>-10773</v>
      </c>
      <c r="G179" s="19">
        <v>0</v>
      </c>
      <c r="H179" s="19">
        <v>0</v>
      </c>
      <c r="I179" s="43">
        <v>0</v>
      </c>
      <c r="J179" s="43">
        <v>0</v>
      </c>
      <c r="K179" s="43">
        <v>0</v>
      </c>
      <c r="L179" s="43">
        <v>0</v>
      </c>
      <c r="M179" s="43">
        <v>0</v>
      </c>
      <c r="N179" s="44">
        <f t="shared" si="46"/>
        <v>0</v>
      </c>
      <c r="O179" s="44">
        <f>I179*$H$1+J179*$I$1+K179*$J$1+L179*$K$1+M179*$L$1</f>
        <v>0</v>
      </c>
      <c r="P179" s="45">
        <f t="shared" si="47"/>
        <v>0</v>
      </c>
      <c r="Q179" s="54">
        <v>0</v>
      </c>
      <c r="R179" s="55">
        <v>0</v>
      </c>
      <c r="S179" s="55">
        <v>0</v>
      </c>
      <c r="T179" s="43">
        <v>0</v>
      </c>
      <c r="U179" s="43">
        <v>0</v>
      </c>
      <c r="V179" s="43">
        <v>0</v>
      </c>
      <c r="W179" s="43">
        <v>0</v>
      </c>
      <c r="X179" s="43">
        <v>0</v>
      </c>
      <c r="Y179" s="59">
        <f t="shared" si="48"/>
        <v>0</v>
      </c>
      <c r="Z179" s="43">
        <v>0</v>
      </c>
      <c r="AA179" s="43">
        <v>0</v>
      </c>
      <c r="AB179" s="60">
        <v>0</v>
      </c>
      <c r="AC179" s="43"/>
      <c r="AD179" s="43"/>
      <c r="AE179" s="43"/>
      <c r="AF179" s="60">
        <f t="shared" si="49"/>
        <v>-10773</v>
      </c>
      <c r="AG179" s="60"/>
      <c r="AH179" s="7"/>
      <c r="AI179" s="7">
        <v>0</v>
      </c>
      <c r="AJ179" s="7">
        <v>0</v>
      </c>
      <c r="AK179" s="7">
        <v>0</v>
      </c>
      <c r="AL179" s="7">
        <v>0</v>
      </c>
      <c r="AM179" s="7">
        <v>0</v>
      </c>
      <c r="AN179" s="92">
        <v>0</v>
      </c>
      <c r="AO179" s="7">
        <f t="shared" si="51"/>
        <v>0</v>
      </c>
      <c r="AP179" s="59">
        <f t="shared" si="41"/>
        <v>0</v>
      </c>
      <c r="AQ179" s="59">
        <f t="shared" si="42"/>
        <v>0</v>
      </c>
      <c r="AR179" s="59">
        <f t="shared" si="43"/>
        <v>0</v>
      </c>
      <c r="AS179" s="59">
        <f t="shared" si="44"/>
        <v>0</v>
      </c>
    </row>
    <row r="180" spans="1:45">
      <c r="A180" s="21" t="s">
        <v>923</v>
      </c>
      <c r="B180" s="18" t="s">
        <v>924</v>
      </c>
      <c r="C180" s="18">
        <v>0</v>
      </c>
      <c r="D180" s="18">
        <v>0</v>
      </c>
      <c r="E180" s="19"/>
      <c r="F180" s="20">
        <v>539600</v>
      </c>
      <c r="G180" s="19">
        <v>0</v>
      </c>
      <c r="H180" s="19">
        <v>0</v>
      </c>
      <c r="I180" s="43">
        <v>0</v>
      </c>
      <c r="J180" s="43">
        <v>0</v>
      </c>
      <c r="K180" s="43">
        <v>0</v>
      </c>
      <c r="L180" s="43">
        <v>0</v>
      </c>
      <c r="M180" s="43">
        <v>0</v>
      </c>
      <c r="N180" s="44">
        <f t="shared" si="46"/>
        <v>0</v>
      </c>
      <c r="O180" s="44">
        <v>0</v>
      </c>
      <c r="P180" s="45">
        <f t="shared" si="47"/>
        <v>0</v>
      </c>
      <c r="Q180" s="54">
        <v>0</v>
      </c>
      <c r="R180" s="55">
        <v>0</v>
      </c>
      <c r="S180" s="55">
        <v>0</v>
      </c>
      <c r="T180" s="43">
        <v>0</v>
      </c>
      <c r="U180" s="43">
        <v>0</v>
      </c>
      <c r="V180" s="43">
        <v>0</v>
      </c>
      <c r="W180" s="43">
        <v>0</v>
      </c>
      <c r="X180" s="43">
        <v>0</v>
      </c>
      <c r="Y180" s="59">
        <f t="shared" si="48"/>
        <v>0</v>
      </c>
      <c r="Z180" s="43">
        <v>0</v>
      </c>
      <c r="AA180" s="43">
        <v>0</v>
      </c>
      <c r="AB180" s="60">
        <v>0</v>
      </c>
      <c r="AC180" s="43"/>
      <c r="AD180" s="43"/>
      <c r="AE180" s="43"/>
      <c r="AF180" s="60">
        <f t="shared" si="49"/>
        <v>539600</v>
      </c>
      <c r="AG180" s="60"/>
      <c r="AH180" s="7"/>
      <c r="AI180" s="7">
        <v>0</v>
      </c>
      <c r="AJ180" s="7">
        <v>0</v>
      </c>
      <c r="AK180" s="7">
        <v>0</v>
      </c>
      <c r="AL180" s="7">
        <v>0</v>
      </c>
      <c r="AM180" s="7">
        <v>0</v>
      </c>
      <c r="AN180" s="92">
        <v>0</v>
      </c>
      <c r="AO180" s="7">
        <f t="shared" si="51"/>
        <v>0</v>
      </c>
      <c r="AP180" s="59">
        <f t="shared" si="41"/>
        <v>0</v>
      </c>
      <c r="AQ180" s="59">
        <f t="shared" si="42"/>
        <v>0</v>
      </c>
      <c r="AR180" s="59">
        <f t="shared" si="43"/>
        <v>0</v>
      </c>
      <c r="AS180" s="59">
        <f t="shared" si="44"/>
        <v>0</v>
      </c>
    </row>
    <row r="181" spans="1:45">
      <c r="A181" s="21" t="s">
        <v>925</v>
      </c>
      <c r="B181" s="33" t="s">
        <v>926</v>
      </c>
      <c r="C181" s="18">
        <v>0</v>
      </c>
      <c r="D181" s="18">
        <v>0</v>
      </c>
      <c r="E181" s="34"/>
      <c r="F181" s="20">
        <v>-3.13</v>
      </c>
      <c r="G181" s="19">
        <v>0</v>
      </c>
      <c r="H181" s="19">
        <v>0</v>
      </c>
      <c r="I181" s="43">
        <v>0</v>
      </c>
      <c r="J181" s="43">
        <v>0</v>
      </c>
      <c r="K181" s="43">
        <v>0</v>
      </c>
      <c r="L181" s="43">
        <v>0</v>
      </c>
      <c r="M181" s="43">
        <v>0</v>
      </c>
      <c r="N181" s="44">
        <f t="shared" si="46"/>
        <v>0</v>
      </c>
      <c r="O181" s="44">
        <v>0</v>
      </c>
      <c r="P181" s="45">
        <f t="shared" si="47"/>
        <v>0</v>
      </c>
      <c r="Q181" s="54">
        <v>0</v>
      </c>
      <c r="R181" s="55">
        <v>0</v>
      </c>
      <c r="S181" s="55">
        <v>0</v>
      </c>
      <c r="T181" s="43">
        <v>0</v>
      </c>
      <c r="U181" s="43">
        <v>0</v>
      </c>
      <c r="V181" s="43">
        <v>0</v>
      </c>
      <c r="W181" s="43">
        <v>0</v>
      </c>
      <c r="X181" s="43">
        <v>0</v>
      </c>
      <c r="Y181" s="59">
        <f t="shared" si="48"/>
        <v>0</v>
      </c>
      <c r="Z181" s="43">
        <v>0</v>
      </c>
      <c r="AA181" s="43">
        <v>0</v>
      </c>
      <c r="AB181" s="60">
        <v>0</v>
      </c>
      <c r="AC181" s="43"/>
      <c r="AD181" s="43"/>
      <c r="AE181" s="43"/>
      <c r="AF181" s="60">
        <f t="shared" si="49"/>
        <v>-3.13</v>
      </c>
      <c r="AG181" s="60"/>
      <c r="AH181" s="7"/>
      <c r="AI181" s="7">
        <v>0</v>
      </c>
      <c r="AJ181" s="7">
        <v>0</v>
      </c>
      <c r="AK181" s="7">
        <v>0</v>
      </c>
      <c r="AL181" s="7">
        <v>0</v>
      </c>
      <c r="AM181" s="7">
        <v>0</v>
      </c>
      <c r="AN181" s="92">
        <v>0</v>
      </c>
      <c r="AO181" s="7">
        <f t="shared" si="51"/>
        <v>0</v>
      </c>
      <c r="AP181" s="59">
        <f t="shared" si="41"/>
        <v>0</v>
      </c>
      <c r="AQ181" s="59">
        <f t="shared" si="42"/>
        <v>0</v>
      </c>
      <c r="AR181" s="59">
        <f t="shared" si="43"/>
        <v>0</v>
      </c>
      <c r="AS181" s="59">
        <f t="shared" si="44"/>
        <v>0</v>
      </c>
    </row>
    <row r="182" spans="1:45">
      <c r="A182" s="21" t="s">
        <v>927</v>
      </c>
      <c r="B182" s="177" t="s">
        <v>928</v>
      </c>
      <c r="C182" s="18" t="s">
        <v>99</v>
      </c>
      <c r="D182" s="18" t="str">
        <f>C182</f>
        <v>CASH</v>
      </c>
      <c r="E182" s="34"/>
      <c r="F182" s="20">
        <v>370500</v>
      </c>
      <c r="G182" s="19"/>
      <c r="H182" s="19"/>
      <c r="I182" s="43">
        <v>0</v>
      </c>
      <c r="J182" s="43">
        <v>0</v>
      </c>
      <c r="K182" s="43">
        <v>0</v>
      </c>
      <c r="L182" s="43">
        <v>0</v>
      </c>
      <c r="M182" s="43">
        <v>0</v>
      </c>
      <c r="N182" s="44">
        <f t="shared" si="46"/>
        <v>0</v>
      </c>
      <c r="O182" s="44">
        <f>I182*$H$2+J182*$I$2+K182*$J$2+L182*$K$2+M182*$L$2</f>
        <v>0</v>
      </c>
      <c r="P182" s="45">
        <f t="shared" si="47"/>
        <v>0</v>
      </c>
      <c r="Q182" s="54">
        <v>148500</v>
      </c>
      <c r="R182" s="55">
        <v>0</v>
      </c>
      <c r="S182" s="55">
        <v>0</v>
      </c>
      <c r="T182" s="43">
        <v>15</v>
      </c>
      <c r="U182" s="43">
        <v>0</v>
      </c>
      <c r="V182" s="43">
        <v>0</v>
      </c>
      <c r="W182" s="43">
        <v>0</v>
      </c>
      <c r="X182" s="43">
        <v>0</v>
      </c>
      <c r="Y182" s="59">
        <f t="shared" si="48"/>
        <v>15</v>
      </c>
      <c r="Z182" s="43">
        <v>213750</v>
      </c>
      <c r="AA182" s="43">
        <v>150000</v>
      </c>
      <c r="AB182" s="60">
        <v>0</v>
      </c>
      <c r="AC182" s="43"/>
      <c r="AD182" s="43"/>
      <c r="AE182" s="43"/>
      <c r="AF182" s="60">
        <f t="shared" si="49"/>
        <v>434250</v>
      </c>
      <c r="AG182" s="60">
        <f>AF182-AO182-H182</f>
        <v>426000</v>
      </c>
      <c r="AH182" s="7"/>
      <c r="AI182" s="7">
        <v>0</v>
      </c>
      <c r="AJ182" s="7">
        <v>8250</v>
      </c>
      <c r="AK182" s="7">
        <v>0</v>
      </c>
      <c r="AL182" s="7">
        <v>0</v>
      </c>
      <c r="AM182" s="7">
        <v>0</v>
      </c>
      <c r="AN182" s="92">
        <v>0</v>
      </c>
      <c r="AO182" s="7">
        <f t="shared" si="51"/>
        <v>8250</v>
      </c>
      <c r="AP182" s="59">
        <f t="shared" si="41"/>
        <v>-15</v>
      </c>
      <c r="AQ182" s="59">
        <f t="shared" si="42"/>
        <v>0</v>
      </c>
      <c r="AR182" s="59">
        <f t="shared" si="43"/>
        <v>-1.15384615384615</v>
      </c>
      <c r="AS182" s="59">
        <f t="shared" si="44"/>
        <v>0</v>
      </c>
    </row>
    <row r="183" spans="1:45">
      <c r="A183" s="21" t="s">
        <v>929</v>
      </c>
      <c r="B183" s="33" t="s">
        <v>930</v>
      </c>
      <c r="C183" s="18" t="s">
        <v>151</v>
      </c>
      <c r="D183" s="18" t="s">
        <v>151</v>
      </c>
      <c r="E183" s="34"/>
      <c r="F183" s="20">
        <v>11800</v>
      </c>
      <c r="G183" s="19"/>
      <c r="H183" s="19"/>
      <c r="I183" s="43">
        <v>0</v>
      </c>
      <c r="J183" s="43">
        <v>0</v>
      </c>
      <c r="K183" s="43">
        <v>0</v>
      </c>
      <c r="L183" s="43">
        <v>0</v>
      </c>
      <c r="M183" s="43">
        <v>0</v>
      </c>
      <c r="N183" s="44">
        <f t="shared" si="46"/>
        <v>0</v>
      </c>
      <c r="O183" s="44">
        <f>I183*$H$4+J183*$I$4+K183*$J$4+L183*$K$4+M183*$L$4</f>
        <v>0</v>
      </c>
      <c r="P183" s="45">
        <f t="shared" si="47"/>
        <v>0</v>
      </c>
      <c r="Q183" s="54">
        <v>0</v>
      </c>
      <c r="R183" s="55">
        <v>0</v>
      </c>
      <c r="S183" s="55">
        <v>0</v>
      </c>
      <c r="T183" s="43">
        <v>0</v>
      </c>
      <c r="U183" s="43">
        <v>0</v>
      </c>
      <c r="V183" s="43">
        <v>0</v>
      </c>
      <c r="W183" s="43">
        <v>0</v>
      </c>
      <c r="X183" s="43">
        <v>0</v>
      </c>
      <c r="Y183" s="59">
        <f t="shared" si="48"/>
        <v>0</v>
      </c>
      <c r="Z183" s="43">
        <v>0</v>
      </c>
      <c r="AA183" s="43">
        <v>0</v>
      </c>
      <c r="AB183" s="60">
        <v>0</v>
      </c>
      <c r="AC183" s="43"/>
      <c r="AD183" s="43"/>
      <c r="AE183" s="43"/>
      <c r="AF183" s="60">
        <f t="shared" si="49"/>
        <v>11800</v>
      </c>
      <c r="AG183" s="60"/>
      <c r="AH183" s="69"/>
      <c r="AI183" s="7">
        <v>9000</v>
      </c>
      <c r="AJ183" s="7">
        <v>0</v>
      </c>
      <c r="AK183" s="7">
        <v>0</v>
      </c>
      <c r="AL183" s="7">
        <v>0</v>
      </c>
      <c r="AM183" s="7">
        <v>0</v>
      </c>
      <c r="AN183" s="92">
        <v>0</v>
      </c>
      <c r="AO183" s="7">
        <f t="shared" si="51"/>
        <v>9000</v>
      </c>
      <c r="AP183" s="59">
        <f t="shared" si="41"/>
        <v>0</v>
      </c>
      <c r="AQ183" s="59">
        <f t="shared" si="42"/>
        <v>0</v>
      </c>
      <c r="AR183" s="59">
        <f t="shared" si="43"/>
        <v>0</v>
      </c>
      <c r="AS183" s="59">
        <f t="shared" si="44"/>
        <v>0</v>
      </c>
    </row>
    <row r="184" spans="1:45">
      <c r="A184" s="21" t="s">
        <v>931</v>
      </c>
      <c r="B184" s="18" t="s">
        <v>932</v>
      </c>
      <c r="C184" s="18">
        <v>0</v>
      </c>
      <c r="D184" s="18">
        <v>0</v>
      </c>
      <c r="E184" s="19"/>
      <c r="F184" s="20">
        <v>592175</v>
      </c>
      <c r="G184" s="19">
        <v>0</v>
      </c>
      <c r="H184" s="19">
        <v>0</v>
      </c>
      <c r="I184" s="43">
        <v>0</v>
      </c>
      <c r="J184" s="43">
        <v>0</v>
      </c>
      <c r="K184" s="43">
        <v>0</v>
      </c>
      <c r="L184" s="43">
        <v>0</v>
      </c>
      <c r="M184" s="43">
        <v>0</v>
      </c>
      <c r="N184" s="44">
        <f t="shared" si="46"/>
        <v>0</v>
      </c>
      <c r="O184" s="44">
        <v>0</v>
      </c>
      <c r="P184" s="45">
        <f t="shared" si="47"/>
        <v>0</v>
      </c>
      <c r="Q184" s="54">
        <v>0</v>
      </c>
      <c r="R184" s="55">
        <v>0</v>
      </c>
      <c r="S184" s="55">
        <v>0</v>
      </c>
      <c r="T184" s="43">
        <v>0</v>
      </c>
      <c r="U184" s="43">
        <v>0</v>
      </c>
      <c r="V184" s="43">
        <v>0</v>
      </c>
      <c r="W184" s="43">
        <v>0</v>
      </c>
      <c r="X184" s="43">
        <v>0</v>
      </c>
      <c r="Y184" s="59">
        <f t="shared" si="48"/>
        <v>0</v>
      </c>
      <c r="Z184" s="43">
        <v>0</v>
      </c>
      <c r="AA184" s="43">
        <v>0</v>
      </c>
      <c r="AB184" s="60">
        <v>0</v>
      </c>
      <c r="AC184" s="43"/>
      <c r="AD184" s="43"/>
      <c r="AE184" s="43"/>
      <c r="AF184" s="60">
        <f t="shared" si="49"/>
        <v>592175</v>
      </c>
      <c r="AG184" s="60"/>
      <c r="AH184" s="7"/>
      <c r="AI184" s="7">
        <v>0</v>
      </c>
      <c r="AJ184" s="7">
        <v>0</v>
      </c>
      <c r="AK184" s="7">
        <v>0</v>
      </c>
      <c r="AL184" s="7">
        <v>0</v>
      </c>
      <c r="AM184" s="7">
        <v>0</v>
      </c>
      <c r="AN184" s="92">
        <v>0</v>
      </c>
      <c r="AO184" s="7">
        <f t="shared" si="51"/>
        <v>0</v>
      </c>
      <c r="AP184" s="59">
        <f t="shared" si="41"/>
        <v>0</v>
      </c>
      <c r="AQ184" s="59">
        <f t="shared" si="42"/>
        <v>0</v>
      </c>
      <c r="AR184" s="59">
        <f t="shared" si="43"/>
        <v>0</v>
      </c>
      <c r="AS184" s="59">
        <f t="shared" si="44"/>
        <v>0</v>
      </c>
    </row>
    <row r="185" spans="1:45">
      <c r="A185" s="21" t="s">
        <v>933</v>
      </c>
      <c r="B185" s="33" t="s">
        <v>934</v>
      </c>
      <c r="C185" s="18">
        <v>0</v>
      </c>
      <c r="D185" s="18" t="s">
        <v>99</v>
      </c>
      <c r="E185" s="34"/>
      <c r="F185" s="20">
        <v>1200</v>
      </c>
      <c r="G185" s="19">
        <v>0</v>
      </c>
      <c r="H185" s="19">
        <v>0</v>
      </c>
      <c r="I185" s="43">
        <v>0</v>
      </c>
      <c r="J185" s="43">
        <v>0</v>
      </c>
      <c r="K185" s="43">
        <v>0</v>
      </c>
      <c r="L185" s="43">
        <v>0</v>
      </c>
      <c r="M185" s="43">
        <v>0</v>
      </c>
      <c r="N185" s="44">
        <f t="shared" si="46"/>
        <v>0</v>
      </c>
      <c r="O185" s="44">
        <f>I185*$H$2+J185*$I$2+K185*$J$2+L185*$K$2+M185*$L$2</f>
        <v>0</v>
      </c>
      <c r="P185" s="45">
        <f t="shared" si="47"/>
        <v>0</v>
      </c>
      <c r="Q185" s="54">
        <v>0</v>
      </c>
      <c r="R185" s="55">
        <v>0</v>
      </c>
      <c r="S185" s="55">
        <v>0</v>
      </c>
      <c r="T185" s="43">
        <v>0</v>
      </c>
      <c r="U185" s="43">
        <v>0</v>
      </c>
      <c r="V185" s="43">
        <v>0</v>
      </c>
      <c r="W185" s="43">
        <v>0</v>
      </c>
      <c r="X185" s="43">
        <v>0</v>
      </c>
      <c r="Y185" s="59">
        <f t="shared" si="48"/>
        <v>0</v>
      </c>
      <c r="Z185" s="43">
        <v>0</v>
      </c>
      <c r="AA185" s="43">
        <v>0</v>
      </c>
      <c r="AB185" s="60">
        <v>0</v>
      </c>
      <c r="AC185" s="43"/>
      <c r="AD185" s="43"/>
      <c r="AE185" s="43"/>
      <c r="AF185" s="60">
        <f t="shared" si="49"/>
        <v>1200</v>
      </c>
      <c r="AG185" s="60"/>
      <c r="AH185" s="7"/>
      <c r="AI185" s="7">
        <v>0</v>
      </c>
      <c r="AJ185" s="7">
        <v>0</v>
      </c>
      <c r="AK185" s="7">
        <v>0</v>
      </c>
      <c r="AL185" s="7">
        <v>0</v>
      </c>
      <c r="AM185" s="7">
        <v>0</v>
      </c>
      <c r="AN185" s="92">
        <v>0</v>
      </c>
      <c r="AO185" s="7">
        <f t="shared" si="51"/>
        <v>0</v>
      </c>
      <c r="AP185" s="59">
        <f t="shared" si="41"/>
        <v>0</v>
      </c>
      <c r="AQ185" s="59">
        <f t="shared" si="42"/>
        <v>0</v>
      </c>
      <c r="AR185" s="59">
        <f t="shared" si="43"/>
        <v>0</v>
      </c>
      <c r="AS185" s="59">
        <f t="shared" si="44"/>
        <v>0</v>
      </c>
    </row>
    <row r="186" ht="15.15" spans="1:45">
      <c r="A186" s="21" t="s">
        <v>935</v>
      </c>
      <c r="B186" s="33" t="str">
        <f>IFERROR(VLOOKUP(A186,'[2]Dealer Wise Net Sales Register1'!D:E,2,FALSE),0)</f>
        <v>01573</v>
      </c>
      <c r="C186" s="18"/>
      <c r="D186" s="18" t="s">
        <v>2</v>
      </c>
      <c r="E186" s="34"/>
      <c r="F186" s="20">
        <v>268500</v>
      </c>
      <c r="G186" s="19"/>
      <c r="H186" s="19"/>
      <c r="I186" s="43">
        <v>0</v>
      </c>
      <c r="J186" s="43">
        <v>0</v>
      </c>
      <c r="K186" s="43">
        <v>0</v>
      </c>
      <c r="L186" s="43">
        <v>0</v>
      </c>
      <c r="M186" s="43">
        <v>0</v>
      </c>
      <c r="N186" s="44">
        <f t="shared" si="46"/>
        <v>0</v>
      </c>
      <c r="O186" s="44">
        <f>I186*$H$3+J186*$I$3+K186*$J$3+L186*$K$3+M186*$L$3</f>
        <v>0</v>
      </c>
      <c r="P186" s="45">
        <f t="shared" si="47"/>
        <v>0</v>
      </c>
      <c r="Q186" s="54">
        <v>479642.105263158</v>
      </c>
      <c r="R186" s="55">
        <v>0</v>
      </c>
      <c r="S186" s="55">
        <v>0</v>
      </c>
      <c r="T186" s="43">
        <v>0</v>
      </c>
      <c r="U186" s="43">
        <v>0</v>
      </c>
      <c r="V186" s="43">
        <v>0</v>
      </c>
      <c r="W186" s="43">
        <v>0</v>
      </c>
      <c r="X186" s="43">
        <v>0</v>
      </c>
      <c r="Y186" s="59">
        <f t="shared" si="48"/>
        <v>0</v>
      </c>
      <c r="Z186" s="43">
        <v>0</v>
      </c>
      <c r="AA186" s="43">
        <v>96000</v>
      </c>
      <c r="AB186" s="60">
        <v>0</v>
      </c>
      <c r="AC186" s="43"/>
      <c r="AD186" s="43"/>
      <c r="AE186" s="43"/>
      <c r="AF186" s="60">
        <f t="shared" si="49"/>
        <v>172500</v>
      </c>
      <c r="AG186" s="60"/>
      <c r="AH186" s="7"/>
      <c r="AI186" s="7">
        <v>0</v>
      </c>
      <c r="AJ186" s="7">
        <v>0</v>
      </c>
      <c r="AK186" s="7">
        <v>62500</v>
      </c>
      <c r="AL186" s="7">
        <v>0</v>
      </c>
      <c r="AM186" s="7">
        <v>3357.89473684211</v>
      </c>
      <c r="AN186" s="92" t="s">
        <v>894</v>
      </c>
      <c r="AO186" s="7">
        <f t="shared" si="51"/>
        <v>65857.8947368421</v>
      </c>
      <c r="AP186" s="59">
        <f t="shared" si="41"/>
        <v>0</v>
      </c>
      <c r="AQ186" s="59">
        <f t="shared" si="42"/>
        <v>0</v>
      </c>
      <c r="AR186" s="59">
        <f t="shared" si="43"/>
        <v>0</v>
      </c>
      <c r="AS186" s="59">
        <f t="shared" si="44"/>
        <v>0</v>
      </c>
    </row>
    <row r="187" ht="15.15" spans="1:45">
      <c r="A187" s="76" t="s">
        <v>936</v>
      </c>
      <c r="B187" s="77">
        <v>0</v>
      </c>
      <c r="C187" s="18">
        <v>0</v>
      </c>
      <c r="D187" s="18">
        <v>0</v>
      </c>
      <c r="E187" s="78"/>
      <c r="F187" s="32">
        <f t="shared" ref="F187:AB187" si="52">SUM(F142:F186)</f>
        <v>22005741.67</v>
      </c>
      <c r="G187" s="32">
        <f t="shared" si="52"/>
        <v>8600000</v>
      </c>
      <c r="H187" s="32">
        <f t="shared" si="52"/>
        <v>15852750</v>
      </c>
      <c r="I187" s="32">
        <f t="shared" si="52"/>
        <v>1040</v>
      </c>
      <c r="J187" s="32">
        <f t="shared" si="52"/>
        <v>0</v>
      </c>
      <c r="K187" s="32">
        <f t="shared" si="52"/>
        <v>135</v>
      </c>
      <c r="L187" s="32">
        <f t="shared" si="52"/>
        <v>0</v>
      </c>
      <c r="M187" s="32">
        <f t="shared" si="52"/>
        <v>0</v>
      </c>
      <c r="N187" s="32">
        <f t="shared" si="52"/>
        <v>1175</v>
      </c>
      <c r="O187" s="32">
        <f t="shared" si="52"/>
        <v>8349375</v>
      </c>
      <c r="P187" s="32">
        <f t="shared" si="52"/>
        <v>8349375</v>
      </c>
      <c r="Q187" s="32">
        <f t="shared" si="52"/>
        <v>8564093.92586595</v>
      </c>
      <c r="R187" s="32">
        <f t="shared" si="52"/>
        <v>550</v>
      </c>
      <c r="S187" s="32">
        <f t="shared" si="52"/>
        <v>175</v>
      </c>
      <c r="T187" s="32">
        <f>SUM(T142:T186)</f>
        <v>305</v>
      </c>
      <c r="U187" s="32">
        <f>SUM(U142:U186)</f>
        <v>30</v>
      </c>
      <c r="V187" s="32">
        <f>SUM(V142:V186)</f>
        <v>188</v>
      </c>
      <c r="W187" s="32">
        <f>SUM(W142:W186)</f>
        <v>0</v>
      </c>
      <c r="X187" s="32">
        <f>SUM(X142:X186)</f>
        <v>0</v>
      </c>
      <c r="Y187" s="32">
        <f>SUM(Y142:Y186)</f>
        <v>523</v>
      </c>
      <c r="Z187" s="32">
        <f>SUM(Z142:Z186)</f>
        <v>4703750</v>
      </c>
      <c r="AA187" s="32">
        <f>SUM(AA142:AA186)</f>
        <v>2744300</v>
      </c>
      <c r="AB187" s="32">
        <f>SUM(AB142:AB186)</f>
        <v>0</v>
      </c>
      <c r="AC187" s="32"/>
      <c r="AD187" s="32"/>
      <c r="AE187" s="32"/>
      <c r="AF187" s="32">
        <f>SUM(AF142:AF186)</f>
        <v>23965191.67</v>
      </c>
      <c r="AG187" s="60">
        <f>AF187-AO187-H187</f>
        <v>5987777.39358525</v>
      </c>
      <c r="AH187" s="66"/>
      <c r="AI187" s="32">
        <f>SUM(AI142:AI186)</f>
        <v>526550</v>
      </c>
      <c r="AJ187" s="32">
        <f>SUM(AJ142:AJ186)</f>
        <v>747096.89</v>
      </c>
      <c r="AK187" s="32">
        <f>SUM(AK142:AK186)</f>
        <v>789300</v>
      </c>
      <c r="AL187" s="32">
        <f>SUM(AL142:AL186)</f>
        <v>14718.8484030589</v>
      </c>
      <c r="AM187" s="32">
        <f>SUM(AM142:AM186)</f>
        <v>46998.5380116959</v>
      </c>
      <c r="AN187" s="67">
        <f>Y187/N187</f>
        <v>0.445106382978723</v>
      </c>
      <c r="AO187" s="71">
        <f>SUM(AO142:AO186)</f>
        <v>2124664.27641475</v>
      </c>
      <c r="AP187" s="32">
        <f>SUM(AP142:AP186)</f>
        <v>705</v>
      </c>
      <c r="AQ187" s="32">
        <f>SUM(AQ142:AQ186)</f>
        <v>-53</v>
      </c>
      <c r="AR187" s="59">
        <f t="shared" si="43"/>
        <v>54.2307692307692</v>
      </c>
      <c r="AS187" s="59">
        <f t="shared" si="44"/>
        <v>-4.07692307692308</v>
      </c>
    </row>
    <row r="188" s="3" customFormat="1" spans="1:45">
      <c r="A188" s="79" t="s">
        <v>255</v>
      </c>
      <c r="B188" s="80"/>
      <c r="C188" s="18">
        <v>0</v>
      </c>
      <c r="D188" s="81"/>
      <c r="E188" s="80"/>
      <c r="F188" s="20">
        <v>0</v>
      </c>
      <c r="G188" s="82"/>
      <c r="H188" s="82"/>
      <c r="I188" s="43">
        <v>185</v>
      </c>
      <c r="J188" s="43">
        <v>0</v>
      </c>
      <c r="K188" s="43">
        <v>0</v>
      </c>
      <c r="L188" s="43">
        <v>2</v>
      </c>
      <c r="M188" s="43">
        <v>0</v>
      </c>
      <c r="N188" s="89">
        <f>SUM(I188:M188)</f>
        <v>187</v>
      </c>
      <c r="O188" s="44">
        <v>1965000</v>
      </c>
      <c r="P188" s="45">
        <f t="shared" ref="P188:P207" si="53">O188</f>
        <v>1965000</v>
      </c>
      <c r="Q188" s="54">
        <v>474991.754385965</v>
      </c>
      <c r="R188" s="55">
        <v>0</v>
      </c>
      <c r="S188" s="55">
        <v>0</v>
      </c>
      <c r="T188" s="43">
        <v>0</v>
      </c>
      <c r="U188" s="43">
        <v>0</v>
      </c>
      <c r="V188" s="43">
        <v>0</v>
      </c>
      <c r="W188" s="43">
        <v>0</v>
      </c>
      <c r="X188" s="43">
        <v>0</v>
      </c>
      <c r="Y188" s="59">
        <f t="shared" ref="Y188:Y207" si="54">T188+U188+V188+W188+X188</f>
        <v>0</v>
      </c>
      <c r="Z188" s="43">
        <v>112622349</v>
      </c>
      <c r="AA188" s="43">
        <v>0</v>
      </c>
      <c r="AB188" s="60"/>
      <c r="AC188" s="43"/>
      <c r="AD188" s="43"/>
      <c r="AE188" s="43"/>
      <c r="AF188" s="82"/>
      <c r="AG188" s="82"/>
      <c r="AH188" s="91"/>
      <c r="AI188" s="7">
        <v>0</v>
      </c>
      <c r="AJ188" s="7">
        <v>0</v>
      </c>
      <c r="AK188" s="7">
        <v>0</v>
      </c>
      <c r="AL188" s="7">
        <v>4912.28070175439</v>
      </c>
      <c r="AM188" s="7">
        <v>0</v>
      </c>
      <c r="AN188" s="7"/>
      <c r="AO188" s="7">
        <f t="shared" ref="AO188:AO207" si="55">AI188+AJ188+AK188+AL188+AM188</f>
        <v>4912.28070175439</v>
      </c>
      <c r="AP188" s="59">
        <f t="shared" si="41"/>
        <v>185</v>
      </c>
      <c r="AQ188" s="59">
        <f t="shared" si="42"/>
        <v>0</v>
      </c>
      <c r="AR188" s="59">
        <f t="shared" si="43"/>
        <v>14.2307692307692</v>
      </c>
      <c r="AS188" s="59">
        <f t="shared" si="44"/>
        <v>0</v>
      </c>
    </row>
    <row r="189" s="3" customFormat="1" spans="1:45">
      <c r="A189" s="83" t="s">
        <v>578</v>
      </c>
      <c r="B189" s="80"/>
      <c r="C189" s="18">
        <v>0</v>
      </c>
      <c r="D189" s="81"/>
      <c r="E189" s="80"/>
      <c r="F189" s="20">
        <v>0</v>
      </c>
      <c r="G189" s="82"/>
      <c r="H189" s="82"/>
      <c r="I189" s="43">
        <v>185</v>
      </c>
      <c r="J189" s="43">
        <v>0</v>
      </c>
      <c r="K189" s="43">
        <v>0</v>
      </c>
      <c r="L189" s="43">
        <v>2</v>
      </c>
      <c r="M189" s="43">
        <v>0</v>
      </c>
      <c r="N189" s="89">
        <f>SUM(I189:M189)</f>
        <v>187</v>
      </c>
      <c r="O189" s="44">
        <v>1965000</v>
      </c>
      <c r="P189" s="45">
        <f t="shared" si="53"/>
        <v>1965000</v>
      </c>
      <c r="Q189" s="54">
        <v>474991.754385965</v>
      </c>
      <c r="R189" s="55">
        <v>0</v>
      </c>
      <c r="S189" s="55">
        <v>0</v>
      </c>
      <c r="T189" s="43">
        <v>0</v>
      </c>
      <c r="U189" s="43">
        <v>0</v>
      </c>
      <c r="V189" s="43">
        <v>0</v>
      </c>
      <c r="W189" s="43">
        <v>0</v>
      </c>
      <c r="X189" s="43">
        <v>0</v>
      </c>
      <c r="Y189" s="59">
        <f t="shared" si="54"/>
        <v>0</v>
      </c>
      <c r="Z189" s="43">
        <v>112622349</v>
      </c>
      <c r="AA189" s="43">
        <v>0</v>
      </c>
      <c r="AB189" s="60"/>
      <c r="AC189" s="43"/>
      <c r="AD189" s="43"/>
      <c r="AE189" s="43"/>
      <c r="AF189" s="82"/>
      <c r="AG189" s="82"/>
      <c r="AH189" s="91"/>
      <c r="AI189" s="7">
        <v>0</v>
      </c>
      <c r="AJ189" s="7">
        <v>0</v>
      </c>
      <c r="AK189" s="7">
        <v>0</v>
      </c>
      <c r="AL189" s="7">
        <v>4912.28070175439</v>
      </c>
      <c r="AM189" s="7">
        <v>0</v>
      </c>
      <c r="AN189" s="7"/>
      <c r="AO189" s="7">
        <f t="shared" si="55"/>
        <v>4912.28070175439</v>
      </c>
      <c r="AP189" s="59">
        <f t="shared" si="41"/>
        <v>185</v>
      </c>
      <c r="AQ189" s="59">
        <f t="shared" si="42"/>
        <v>0</v>
      </c>
      <c r="AR189" s="59">
        <f t="shared" si="43"/>
        <v>14.2307692307692</v>
      </c>
      <c r="AS189" s="59">
        <f t="shared" si="44"/>
        <v>0</v>
      </c>
    </row>
    <row r="190" spans="1:45">
      <c r="A190" s="21" t="s">
        <v>937</v>
      </c>
      <c r="B190" s="18" t="s">
        <v>938</v>
      </c>
      <c r="C190" s="18" t="s">
        <v>2</v>
      </c>
      <c r="D190" s="18" t="s">
        <v>2</v>
      </c>
      <c r="E190" s="19"/>
      <c r="F190" s="20">
        <v>66227</v>
      </c>
      <c r="G190" s="19">
        <v>0</v>
      </c>
      <c r="H190" s="19">
        <v>400000</v>
      </c>
      <c r="I190" s="43">
        <v>0</v>
      </c>
      <c r="J190" s="43">
        <v>0</v>
      </c>
      <c r="K190" s="43">
        <v>0</v>
      </c>
      <c r="L190" s="43">
        <v>0</v>
      </c>
      <c r="M190" s="43">
        <v>0</v>
      </c>
      <c r="N190" s="44">
        <f t="shared" ref="N190:N207" si="56">SUM(I190:M190)</f>
        <v>0</v>
      </c>
      <c r="O190" s="44">
        <f>I190*$H$3+J190*$I$3+K190*$J$3+L190*$K$3+M190*$L$3</f>
        <v>0</v>
      </c>
      <c r="P190" s="45">
        <f t="shared" si="53"/>
        <v>0</v>
      </c>
      <c r="Q190" s="54">
        <v>0</v>
      </c>
      <c r="R190" s="55">
        <v>0</v>
      </c>
      <c r="S190" s="55">
        <v>0</v>
      </c>
      <c r="T190" s="43">
        <v>0</v>
      </c>
      <c r="U190" s="43">
        <v>0</v>
      </c>
      <c r="V190" s="43">
        <v>0</v>
      </c>
      <c r="W190" s="43">
        <v>0</v>
      </c>
      <c r="X190" s="43">
        <v>0</v>
      </c>
      <c r="Y190" s="59">
        <f t="shared" si="54"/>
        <v>0</v>
      </c>
      <c r="Z190" s="43">
        <v>0</v>
      </c>
      <c r="AA190" s="43">
        <v>0</v>
      </c>
      <c r="AB190" s="60">
        <v>0</v>
      </c>
      <c r="AC190" s="43"/>
      <c r="AD190" s="43"/>
      <c r="AE190" s="43"/>
      <c r="AF190" s="60">
        <f t="shared" ref="AF190:AF207" si="57">F190+Z190-AA190-AB190-AC190-AD190-AE190</f>
        <v>66227</v>
      </c>
      <c r="AG190" s="60"/>
      <c r="AH190" s="69"/>
      <c r="AI190" s="7">
        <v>26225.89</v>
      </c>
      <c r="AJ190" s="7">
        <v>0</v>
      </c>
      <c r="AK190" s="7">
        <v>0</v>
      </c>
      <c r="AL190" s="7">
        <v>0</v>
      </c>
      <c r="AM190" s="7">
        <v>0</v>
      </c>
      <c r="AO190" s="7">
        <f t="shared" si="55"/>
        <v>26225.89</v>
      </c>
      <c r="AP190" s="59">
        <f t="shared" si="41"/>
        <v>0</v>
      </c>
      <c r="AQ190" s="59">
        <f t="shared" si="42"/>
        <v>0</v>
      </c>
      <c r="AR190" s="59">
        <f t="shared" si="43"/>
        <v>0</v>
      </c>
      <c r="AS190" s="59">
        <f t="shared" si="44"/>
        <v>0</v>
      </c>
    </row>
    <row r="191" spans="1:45">
      <c r="A191" s="21" t="s">
        <v>939</v>
      </c>
      <c r="B191" s="18" t="s">
        <v>940</v>
      </c>
      <c r="C191" s="18">
        <v>0</v>
      </c>
      <c r="D191" s="18" t="s">
        <v>49</v>
      </c>
      <c r="E191" s="19"/>
      <c r="F191" s="20">
        <v>72000</v>
      </c>
      <c r="G191" s="19">
        <v>0</v>
      </c>
      <c r="H191" s="19">
        <v>0</v>
      </c>
      <c r="I191" s="43">
        <v>20</v>
      </c>
      <c r="J191" s="43">
        <v>0</v>
      </c>
      <c r="K191" s="43">
        <v>0</v>
      </c>
      <c r="L191" s="43">
        <v>0</v>
      </c>
      <c r="M191" s="43">
        <v>0</v>
      </c>
      <c r="N191" s="44">
        <f t="shared" si="56"/>
        <v>20</v>
      </c>
      <c r="O191" s="44">
        <f>I191*$H$4+J191*$I$4+K191*$J$4+L191*$K$4+M191*$L$4</f>
        <v>100000</v>
      </c>
      <c r="P191" s="45">
        <f t="shared" si="53"/>
        <v>100000</v>
      </c>
      <c r="Q191" s="54">
        <v>72000</v>
      </c>
      <c r="R191" s="55">
        <v>0</v>
      </c>
      <c r="S191" s="55">
        <v>0</v>
      </c>
      <c r="T191" s="43">
        <v>0</v>
      </c>
      <c r="U191" s="43">
        <v>0</v>
      </c>
      <c r="V191" s="43">
        <v>0</v>
      </c>
      <c r="W191" s="43">
        <v>0</v>
      </c>
      <c r="X191" s="43">
        <v>0</v>
      </c>
      <c r="Y191" s="59">
        <f t="shared" si="54"/>
        <v>0</v>
      </c>
      <c r="Z191" s="43">
        <v>0</v>
      </c>
      <c r="AA191" s="43">
        <v>0</v>
      </c>
      <c r="AB191" s="60">
        <v>0</v>
      </c>
      <c r="AC191" s="43"/>
      <c r="AD191" s="43"/>
      <c r="AE191" s="43"/>
      <c r="AF191" s="60">
        <f t="shared" si="57"/>
        <v>72000</v>
      </c>
      <c r="AG191" s="60"/>
      <c r="AH191" s="7"/>
      <c r="AI191" s="7">
        <v>0</v>
      </c>
      <c r="AJ191" s="7">
        <v>0</v>
      </c>
      <c r="AK191" s="7">
        <v>0</v>
      </c>
      <c r="AL191" s="7">
        <v>0</v>
      </c>
      <c r="AM191" s="7">
        <v>0</v>
      </c>
      <c r="AO191" s="7">
        <f t="shared" si="55"/>
        <v>0</v>
      </c>
      <c r="AP191" s="59">
        <f t="shared" si="41"/>
        <v>20</v>
      </c>
      <c r="AQ191" s="59">
        <f t="shared" si="42"/>
        <v>0</v>
      </c>
      <c r="AR191" s="59">
        <f t="shared" si="43"/>
        <v>1.53846153846154</v>
      </c>
      <c r="AS191" s="59">
        <f t="shared" si="44"/>
        <v>0</v>
      </c>
    </row>
    <row r="192" spans="1:45">
      <c r="A192" s="21" t="s">
        <v>941</v>
      </c>
      <c r="B192" s="18" t="s">
        <v>942</v>
      </c>
      <c r="C192" s="18" t="s">
        <v>2</v>
      </c>
      <c r="D192" s="18" t="s">
        <v>2</v>
      </c>
      <c r="E192" s="19"/>
      <c r="F192" s="20">
        <v>83225</v>
      </c>
      <c r="G192" s="19">
        <v>0</v>
      </c>
      <c r="H192" s="19">
        <v>140500</v>
      </c>
      <c r="I192" s="43">
        <v>0</v>
      </c>
      <c r="J192" s="43">
        <v>0</v>
      </c>
      <c r="K192" s="43">
        <v>0</v>
      </c>
      <c r="L192" s="43">
        <v>4</v>
      </c>
      <c r="M192" s="43">
        <v>0</v>
      </c>
      <c r="N192" s="44">
        <f t="shared" si="56"/>
        <v>4</v>
      </c>
      <c r="O192" s="44">
        <f>I192*$H$3+J192*$I$3+K192*$J$3+L192*$K$3+M192*$L$3</f>
        <v>80000</v>
      </c>
      <c r="P192" s="45">
        <f t="shared" si="53"/>
        <v>80000</v>
      </c>
      <c r="Q192" s="54">
        <v>0</v>
      </c>
      <c r="R192" s="55">
        <v>0</v>
      </c>
      <c r="S192" s="55">
        <v>0</v>
      </c>
      <c r="T192" s="43">
        <v>0</v>
      </c>
      <c r="U192" s="43">
        <v>0</v>
      </c>
      <c r="V192" s="43">
        <v>0</v>
      </c>
      <c r="W192" s="43">
        <v>2</v>
      </c>
      <c r="X192" s="43">
        <v>8</v>
      </c>
      <c r="Y192" s="59">
        <f t="shared" si="54"/>
        <v>10</v>
      </c>
      <c r="Z192" s="43">
        <v>129181</v>
      </c>
      <c r="AA192" s="43">
        <v>0</v>
      </c>
      <c r="AB192" s="60">
        <v>0</v>
      </c>
      <c r="AC192" s="43"/>
      <c r="AD192" s="43"/>
      <c r="AE192" s="43"/>
      <c r="AF192" s="60">
        <f t="shared" si="57"/>
        <v>212406</v>
      </c>
      <c r="AG192" s="60">
        <f>AF192-AO192-H192</f>
        <v>16739.3180701754</v>
      </c>
      <c r="AH192" s="7"/>
      <c r="AI192" s="7">
        <v>29245.53</v>
      </c>
      <c r="AJ192" s="7">
        <v>0</v>
      </c>
      <c r="AK192" s="7">
        <v>23412.38</v>
      </c>
      <c r="AL192" s="7">
        <v>0</v>
      </c>
      <c r="AM192" s="7">
        <v>2508.77192982456</v>
      </c>
      <c r="AO192" s="7">
        <f t="shared" si="55"/>
        <v>55166.6819298246</v>
      </c>
      <c r="AP192" s="59">
        <f t="shared" si="41"/>
        <v>0</v>
      </c>
      <c r="AQ192" s="59">
        <f t="shared" si="42"/>
        <v>0</v>
      </c>
      <c r="AR192" s="59">
        <f t="shared" si="43"/>
        <v>0</v>
      </c>
      <c r="AS192" s="59">
        <f t="shared" si="44"/>
        <v>0</v>
      </c>
    </row>
    <row r="193" spans="1:45">
      <c r="A193" s="21" t="s">
        <v>943</v>
      </c>
      <c r="B193" s="18" t="s">
        <v>944</v>
      </c>
      <c r="C193" s="18">
        <v>0</v>
      </c>
      <c r="D193" s="18">
        <v>0</v>
      </c>
      <c r="E193" s="19"/>
      <c r="F193" s="20">
        <v>5848</v>
      </c>
      <c r="G193" s="19">
        <v>0</v>
      </c>
      <c r="H193" s="19">
        <v>140500</v>
      </c>
      <c r="I193" s="43">
        <v>0</v>
      </c>
      <c r="J193" s="43">
        <v>0</v>
      </c>
      <c r="K193" s="43">
        <v>0</v>
      </c>
      <c r="L193" s="43">
        <v>0</v>
      </c>
      <c r="M193" s="43">
        <v>0</v>
      </c>
      <c r="N193" s="44">
        <f t="shared" si="56"/>
        <v>0</v>
      </c>
      <c r="O193" s="44">
        <v>0</v>
      </c>
      <c r="P193" s="45">
        <f t="shared" si="53"/>
        <v>0</v>
      </c>
      <c r="Q193" s="54">
        <v>0</v>
      </c>
      <c r="R193" s="55">
        <v>0</v>
      </c>
      <c r="S193" s="55">
        <v>0</v>
      </c>
      <c r="T193" s="43">
        <v>0</v>
      </c>
      <c r="U193" s="43">
        <v>0</v>
      </c>
      <c r="V193" s="43">
        <v>0</v>
      </c>
      <c r="W193" s="43">
        <v>0</v>
      </c>
      <c r="X193" s="43">
        <v>0</v>
      </c>
      <c r="Y193" s="59">
        <f t="shared" si="54"/>
        <v>0</v>
      </c>
      <c r="Z193" s="43">
        <v>0</v>
      </c>
      <c r="AA193" s="43">
        <v>0</v>
      </c>
      <c r="AB193" s="60">
        <v>0</v>
      </c>
      <c r="AC193" s="43"/>
      <c r="AD193" s="43"/>
      <c r="AE193" s="43"/>
      <c r="AF193" s="60">
        <f t="shared" si="57"/>
        <v>5848</v>
      </c>
      <c r="AG193" s="60"/>
      <c r="AH193" s="7"/>
      <c r="AI193" s="7">
        <v>0</v>
      </c>
      <c r="AJ193" s="7">
        <v>6063.92</v>
      </c>
      <c r="AK193" s="7">
        <v>0</v>
      </c>
      <c r="AL193" s="7">
        <v>0</v>
      </c>
      <c r="AM193" s="7">
        <v>0</v>
      </c>
      <c r="AO193" s="7">
        <f t="shared" si="55"/>
        <v>6063.92</v>
      </c>
      <c r="AP193" s="59">
        <f t="shared" si="41"/>
        <v>0</v>
      </c>
      <c r="AQ193" s="59">
        <f t="shared" si="42"/>
        <v>0</v>
      </c>
      <c r="AR193" s="59">
        <f t="shared" si="43"/>
        <v>0</v>
      </c>
      <c r="AS193" s="59">
        <f t="shared" si="44"/>
        <v>0</v>
      </c>
    </row>
    <row r="194" spans="1:45">
      <c r="A194" s="21" t="s">
        <v>945</v>
      </c>
      <c r="B194" s="18" t="s">
        <v>946</v>
      </c>
      <c r="C194" s="18" t="s">
        <v>49</v>
      </c>
      <c r="D194" s="18" t="s">
        <v>49</v>
      </c>
      <c r="E194" s="19"/>
      <c r="F194" s="20">
        <v>7000</v>
      </c>
      <c r="G194" s="19">
        <v>0</v>
      </c>
      <c r="H194" s="19">
        <v>0</v>
      </c>
      <c r="I194" s="43">
        <v>40</v>
      </c>
      <c r="J194" s="43">
        <v>0</v>
      </c>
      <c r="K194" s="43">
        <v>0</v>
      </c>
      <c r="L194" s="43">
        <v>0</v>
      </c>
      <c r="M194" s="43">
        <v>0</v>
      </c>
      <c r="N194" s="44">
        <f t="shared" si="56"/>
        <v>40</v>
      </c>
      <c r="O194" s="44">
        <f>I194*$H$4+J194*$I$4+K194*$J$4+L194*$K$4+M194*$L$4</f>
        <v>200000</v>
      </c>
      <c r="P194" s="45">
        <f t="shared" si="53"/>
        <v>200000</v>
      </c>
      <c r="Q194" s="54">
        <v>0</v>
      </c>
      <c r="R194" s="55">
        <v>0</v>
      </c>
      <c r="S194" s="55">
        <v>0</v>
      </c>
      <c r="T194" s="43">
        <v>0</v>
      </c>
      <c r="U194" s="43">
        <v>0</v>
      </c>
      <c r="V194" s="43">
        <v>0</v>
      </c>
      <c r="W194" s="43">
        <v>0</v>
      </c>
      <c r="X194" s="43">
        <v>0</v>
      </c>
      <c r="Y194" s="59">
        <f t="shared" si="54"/>
        <v>0</v>
      </c>
      <c r="Z194" s="43">
        <v>0</v>
      </c>
      <c r="AA194" s="43">
        <v>0</v>
      </c>
      <c r="AB194" s="60">
        <v>0</v>
      </c>
      <c r="AC194" s="43"/>
      <c r="AD194" s="43"/>
      <c r="AE194" s="43"/>
      <c r="AF194" s="60">
        <f t="shared" si="57"/>
        <v>7000</v>
      </c>
      <c r="AG194" s="60"/>
      <c r="AH194" s="7"/>
      <c r="AI194" s="7">
        <v>4500</v>
      </c>
      <c r="AJ194" s="7">
        <v>4500</v>
      </c>
      <c r="AK194" s="7">
        <v>4500</v>
      </c>
      <c r="AL194" s="7">
        <v>0</v>
      </c>
      <c r="AM194" s="7">
        <v>0</v>
      </c>
      <c r="AO194" s="7">
        <f t="shared" si="55"/>
        <v>13500</v>
      </c>
      <c r="AP194" s="59">
        <f t="shared" si="41"/>
        <v>40</v>
      </c>
      <c r="AQ194" s="59">
        <f t="shared" si="42"/>
        <v>0</v>
      </c>
      <c r="AR194" s="59">
        <f t="shared" si="43"/>
        <v>3.07692307692308</v>
      </c>
      <c r="AS194" s="59">
        <f t="shared" si="44"/>
        <v>0</v>
      </c>
    </row>
    <row r="195" spans="1:45">
      <c r="A195" s="21" t="s">
        <v>947</v>
      </c>
      <c r="B195" s="18" t="s">
        <v>948</v>
      </c>
      <c r="C195" s="18">
        <v>0</v>
      </c>
      <c r="D195" s="18">
        <v>0</v>
      </c>
      <c r="E195" s="19"/>
      <c r="F195" s="20">
        <v>694891.95</v>
      </c>
      <c r="G195" s="19">
        <v>0</v>
      </c>
      <c r="H195" s="19">
        <v>0</v>
      </c>
      <c r="I195" s="43">
        <v>0</v>
      </c>
      <c r="J195" s="43">
        <v>0</v>
      </c>
      <c r="K195" s="43">
        <v>0</v>
      </c>
      <c r="L195" s="43">
        <v>0</v>
      </c>
      <c r="M195" s="43">
        <v>0</v>
      </c>
      <c r="N195" s="44">
        <f t="shared" si="56"/>
        <v>0</v>
      </c>
      <c r="O195" s="44">
        <v>0</v>
      </c>
      <c r="P195" s="45">
        <f t="shared" si="53"/>
        <v>0</v>
      </c>
      <c r="Q195" s="54">
        <v>0</v>
      </c>
      <c r="R195" s="55">
        <v>0</v>
      </c>
      <c r="S195" s="55">
        <v>0</v>
      </c>
      <c r="T195" s="43">
        <v>0</v>
      </c>
      <c r="U195" s="43">
        <v>0</v>
      </c>
      <c r="V195" s="43">
        <v>0</v>
      </c>
      <c r="W195" s="43">
        <v>0</v>
      </c>
      <c r="X195" s="43">
        <v>0</v>
      </c>
      <c r="Y195" s="59">
        <f t="shared" si="54"/>
        <v>0</v>
      </c>
      <c r="Z195" s="43">
        <v>0</v>
      </c>
      <c r="AA195" s="43">
        <v>0</v>
      </c>
      <c r="AB195" s="60">
        <v>0</v>
      </c>
      <c r="AC195" s="43"/>
      <c r="AD195" s="43"/>
      <c r="AE195" s="43"/>
      <c r="AF195" s="60">
        <f t="shared" si="57"/>
        <v>694891.95</v>
      </c>
      <c r="AG195" s="60"/>
      <c r="AH195" s="7"/>
      <c r="AI195" s="7">
        <v>0</v>
      </c>
      <c r="AJ195" s="7">
        <v>0</v>
      </c>
      <c r="AK195" s="7">
        <v>0</v>
      </c>
      <c r="AL195" s="7">
        <v>0</v>
      </c>
      <c r="AM195" s="7">
        <v>0</v>
      </c>
      <c r="AO195" s="7">
        <f t="shared" si="55"/>
        <v>0</v>
      </c>
      <c r="AP195" s="59">
        <f t="shared" si="41"/>
        <v>0</v>
      </c>
      <c r="AQ195" s="59">
        <f t="shared" si="42"/>
        <v>0</v>
      </c>
      <c r="AR195" s="59">
        <f t="shared" si="43"/>
        <v>0</v>
      </c>
      <c r="AS195" s="59">
        <f t="shared" si="44"/>
        <v>0</v>
      </c>
    </row>
    <row r="196" spans="1:45">
      <c r="A196" s="21" t="s">
        <v>949</v>
      </c>
      <c r="B196" s="18" t="s">
        <v>950</v>
      </c>
      <c r="C196" s="18">
        <v>0</v>
      </c>
      <c r="D196" s="18">
        <v>0</v>
      </c>
      <c r="E196" s="19"/>
      <c r="F196" s="20">
        <v>449296.4</v>
      </c>
      <c r="G196" s="19">
        <v>0</v>
      </c>
      <c r="H196" s="19">
        <v>0</v>
      </c>
      <c r="I196" s="43">
        <v>0</v>
      </c>
      <c r="J196" s="43">
        <v>0</v>
      </c>
      <c r="K196" s="43">
        <v>0</v>
      </c>
      <c r="L196" s="43">
        <v>0</v>
      </c>
      <c r="M196" s="43">
        <v>0</v>
      </c>
      <c r="N196" s="44">
        <f t="shared" si="56"/>
        <v>0</v>
      </c>
      <c r="O196" s="44">
        <v>0</v>
      </c>
      <c r="P196" s="45">
        <f t="shared" si="53"/>
        <v>0</v>
      </c>
      <c r="Q196" s="54">
        <v>0</v>
      </c>
      <c r="R196" s="55">
        <v>0</v>
      </c>
      <c r="S196" s="55">
        <v>0</v>
      </c>
      <c r="T196" s="43">
        <v>0</v>
      </c>
      <c r="U196" s="43">
        <v>0</v>
      </c>
      <c r="V196" s="43">
        <v>0</v>
      </c>
      <c r="W196" s="43">
        <v>0</v>
      </c>
      <c r="X196" s="43">
        <v>0</v>
      </c>
      <c r="Y196" s="59">
        <f t="shared" si="54"/>
        <v>0</v>
      </c>
      <c r="Z196" s="43">
        <v>0</v>
      </c>
      <c r="AA196" s="43">
        <v>0</v>
      </c>
      <c r="AB196" s="60">
        <v>0</v>
      </c>
      <c r="AC196" s="43"/>
      <c r="AD196" s="43"/>
      <c r="AE196" s="43"/>
      <c r="AF196" s="60">
        <f t="shared" si="57"/>
        <v>449296.4</v>
      </c>
      <c r="AG196" s="60"/>
      <c r="AH196" s="7"/>
      <c r="AI196" s="7">
        <v>0</v>
      </c>
      <c r="AJ196" s="7">
        <v>0</v>
      </c>
      <c r="AK196" s="7">
        <v>0</v>
      </c>
      <c r="AL196" s="7">
        <v>0</v>
      </c>
      <c r="AM196" s="7">
        <v>0</v>
      </c>
      <c r="AO196" s="7">
        <f t="shared" si="55"/>
        <v>0</v>
      </c>
      <c r="AP196" s="59">
        <f t="shared" si="41"/>
        <v>0</v>
      </c>
      <c r="AQ196" s="59">
        <f t="shared" si="42"/>
        <v>0</v>
      </c>
      <c r="AR196" s="59">
        <f t="shared" si="43"/>
        <v>0</v>
      </c>
      <c r="AS196" s="59">
        <f t="shared" si="44"/>
        <v>0</v>
      </c>
    </row>
    <row r="197" spans="1:45">
      <c r="A197" s="21" t="s">
        <v>951</v>
      </c>
      <c r="B197" s="18" t="s">
        <v>952</v>
      </c>
      <c r="C197" s="18">
        <v>0</v>
      </c>
      <c r="D197" s="18">
        <v>0</v>
      </c>
      <c r="E197" s="19"/>
      <c r="F197" s="20">
        <v>-5</v>
      </c>
      <c r="G197" s="19">
        <v>0</v>
      </c>
      <c r="H197" s="19">
        <v>140500</v>
      </c>
      <c r="I197" s="43">
        <v>0</v>
      </c>
      <c r="J197" s="43">
        <v>0</v>
      </c>
      <c r="K197" s="43">
        <v>0</v>
      </c>
      <c r="L197" s="43">
        <v>0</v>
      </c>
      <c r="M197" s="43">
        <v>0</v>
      </c>
      <c r="N197" s="44">
        <f t="shared" si="56"/>
        <v>0</v>
      </c>
      <c r="O197" s="44">
        <v>0</v>
      </c>
      <c r="P197" s="45">
        <f t="shared" si="53"/>
        <v>0</v>
      </c>
      <c r="Q197" s="54">
        <v>0</v>
      </c>
      <c r="R197" s="55">
        <v>0</v>
      </c>
      <c r="S197" s="55">
        <v>0</v>
      </c>
      <c r="T197" s="43">
        <v>0</v>
      </c>
      <c r="U197" s="43">
        <v>0</v>
      </c>
      <c r="V197" s="43">
        <v>0</v>
      </c>
      <c r="W197" s="43">
        <v>0</v>
      </c>
      <c r="X197" s="43">
        <v>0</v>
      </c>
      <c r="Y197" s="59">
        <f t="shared" si="54"/>
        <v>0</v>
      </c>
      <c r="Z197" s="43">
        <v>0</v>
      </c>
      <c r="AA197" s="43">
        <v>0</v>
      </c>
      <c r="AB197" s="60">
        <v>0</v>
      </c>
      <c r="AC197" s="43"/>
      <c r="AD197" s="43"/>
      <c r="AE197" s="43"/>
      <c r="AF197" s="60">
        <f t="shared" si="57"/>
        <v>-5</v>
      </c>
      <c r="AG197" s="60"/>
      <c r="AH197" s="69"/>
      <c r="AI197" s="7">
        <v>0</v>
      </c>
      <c r="AJ197" s="7">
        <v>0</v>
      </c>
      <c r="AK197" s="7">
        <v>0</v>
      </c>
      <c r="AL197" s="7">
        <v>0</v>
      </c>
      <c r="AM197" s="7">
        <v>0</v>
      </c>
      <c r="AO197" s="7">
        <f t="shared" si="55"/>
        <v>0</v>
      </c>
      <c r="AP197" s="59">
        <f t="shared" si="41"/>
        <v>0</v>
      </c>
      <c r="AQ197" s="59">
        <f t="shared" si="42"/>
        <v>0</v>
      </c>
      <c r="AR197" s="59">
        <f t="shared" si="43"/>
        <v>0</v>
      </c>
      <c r="AS197" s="59">
        <f t="shared" si="44"/>
        <v>0</v>
      </c>
    </row>
    <row r="198" spans="1:45">
      <c r="A198" s="21" t="s">
        <v>953</v>
      </c>
      <c r="B198" s="18" t="s">
        <v>954</v>
      </c>
      <c r="C198" s="18" t="s">
        <v>49</v>
      </c>
      <c r="D198" s="18" t="s">
        <v>49</v>
      </c>
      <c r="E198" s="19"/>
      <c r="F198" s="20">
        <v>17754</v>
      </c>
      <c r="G198" s="19">
        <v>0</v>
      </c>
      <c r="H198" s="19">
        <v>0</v>
      </c>
      <c r="I198" s="43">
        <v>40</v>
      </c>
      <c r="J198" s="43">
        <v>0</v>
      </c>
      <c r="K198" s="43">
        <v>0</v>
      </c>
      <c r="L198" s="43">
        <v>0</v>
      </c>
      <c r="M198" s="43">
        <v>0</v>
      </c>
      <c r="N198" s="44">
        <f t="shared" si="56"/>
        <v>40</v>
      </c>
      <c r="O198" s="44">
        <f>I198*$H$4+J198*$I$4+K198*$J$4+L198*$K$4+M198*$L$4</f>
        <v>200000</v>
      </c>
      <c r="P198" s="45">
        <f t="shared" si="53"/>
        <v>200000</v>
      </c>
      <c r="Q198" s="54">
        <v>0</v>
      </c>
      <c r="R198" s="55">
        <v>0</v>
      </c>
      <c r="S198" s="55">
        <v>0</v>
      </c>
      <c r="T198" s="43">
        <v>51</v>
      </c>
      <c r="U198" s="43">
        <v>0</v>
      </c>
      <c r="V198" s="43">
        <v>0</v>
      </c>
      <c r="W198" s="43">
        <v>0</v>
      </c>
      <c r="X198" s="43">
        <v>0</v>
      </c>
      <c r="Y198" s="59">
        <f t="shared" si="54"/>
        <v>51</v>
      </c>
      <c r="Z198" s="43">
        <v>280500</v>
      </c>
      <c r="AA198" s="43">
        <v>50000</v>
      </c>
      <c r="AB198" s="60">
        <v>0</v>
      </c>
      <c r="AC198" s="43"/>
      <c r="AD198" s="43"/>
      <c r="AE198" s="43"/>
      <c r="AF198" s="60">
        <f t="shared" si="57"/>
        <v>248254</v>
      </c>
      <c r="AG198" s="60">
        <f>AF198-AO198-H198</f>
        <v>230554</v>
      </c>
      <c r="AH198" s="69"/>
      <c r="AI198" s="7">
        <v>4500</v>
      </c>
      <c r="AJ198" s="7">
        <v>10200</v>
      </c>
      <c r="AK198" s="7">
        <v>3000</v>
      </c>
      <c r="AL198" s="7">
        <v>0</v>
      </c>
      <c r="AM198" s="7">
        <v>0</v>
      </c>
      <c r="AO198" s="7">
        <f t="shared" si="55"/>
        <v>17700</v>
      </c>
      <c r="AP198" s="59">
        <f t="shared" si="41"/>
        <v>-11</v>
      </c>
      <c r="AQ198" s="59">
        <f t="shared" si="42"/>
        <v>0</v>
      </c>
      <c r="AR198" s="59">
        <f t="shared" si="43"/>
        <v>-0.846153846153846</v>
      </c>
      <c r="AS198" s="59">
        <f t="shared" si="44"/>
        <v>0</v>
      </c>
    </row>
    <row r="199" spans="1:45">
      <c r="A199" s="21" t="s">
        <v>955</v>
      </c>
      <c r="B199" s="18" t="s">
        <v>956</v>
      </c>
      <c r="C199" s="18">
        <v>0</v>
      </c>
      <c r="D199" s="18">
        <v>0</v>
      </c>
      <c r="E199" s="19"/>
      <c r="F199" s="20">
        <v>0</v>
      </c>
      <c r="G199" s="19">
        <v>0</v>
      </c>
      <c r="H199" s="19">
        <v>0</v>
      </c>
      <c r="I199" s="43">
        <v>0</v>
      </c>
      <c r="J199" s="43">
        <v>0</v>
      </c>
      <c r="K199" s="43">
        <v>0</v>
      </c>
      <c r="L199" s="43">
        <v>0</v>
      </c>
      <c r="M199" s="43">
        <v>0</v>
      </c>
      <c r="N199" s="44">
        <f t="shared" si="56"/>
        <v>0</v>
      </c>
      <c r="O199" s="44">
        <v>0</v>
      </c>
      <c r="P199" s="45">
        <f t="shared" si="53"/>
        <v>0</v>
      </c>
      <c r="Q199" s="54">
        <v>0</v>
      </c>
      <c r="R199" s="55">
        <v>0</v>
      </c>
      <c r="S199" s="55">
        <v>0</v>
      </c>
      <c r="T199" s="43">
        <v>0</v>
      </c>
      <c r="U199" s="43">
        <v>0</v>
      </c>
      <c r="V199" s="43">
        <v>0</v>
      </c>
      <c r="W199" s="43">
        <v>0</v>
      </c>
      <c r="X199" s="43">
        <v>0</v>
      </c>
      <c r="Y199" s="59">
        <f t="shared" si="54"/>
        <v>0</v>
      </c>
      <c r="Z199" s="43">
        <v>0</v>
      </c>
      <c r="AA199" s="43">
        <v>0</v>
      </c>
      <c r="AB199" s="60">
        <v>0</v>
      </c>
      <c r="AC199" s="43"/>
      <c r="AD199" s="43"/>
      <c r="AE199" s="43"/>
      <c r="AF199" s="60">
        <f t="shared" si="57"/>
        <v>0</v>
      </c>
      <c r="AG199" s="60"/>
      <c r="AH199" s="7"/>
      <c r="AI199" s="7">
        <v>0</v>
      </c>
      <c r="AJ199" s="7">
        <v>0</v>
      </c>
      <c r="AK199" s="7">
        <v>0</v>
      </c>
      <c r="AL199" s="7">
        <v>0</v>
      </c>
      <c r="AM199" s="7">
        <v>0</v>
      </c>
      <c r="AO199" s="7">
        <f t="shared" si="55"/>
        <v>0</v>
      </c>
      <c r="AP199" s="59">
        <f t="shared" si="41"/>
        <v>0</v>
      </c>
      <c r="AQ199" s="59">
        <f t="shared" si="42"/>
        <v>0</v>
      </c>
      <c r="AR199" s="59">
        <f t="shared" si="43"/>
        <v>0</v>
      </c>
      <c r="AS199" s="59">
        <f t="shared" si="44"/>
        <v>0</v>
      </c>
    </row>
    <row r="200" spans="1:45">
      <c r="A200" s="21" t="s">
        <v>957</v>
      </c>
      <c r="B200" s="18" t="s">
        <v>958</v>
      </c>
      <c r="C200" s="18">
        <v>0</v>
      </c>
      <c r="D200" s="18">
        <v>0</v>
      </c>
      <c r="E200" s="19"/>
      <c r="F200" s="20">
        <v>743622.38</v>
      </c>
      <c r="G200" s="19">
        <v>0</v>
      </c>
      <c r="H200" s="19">
        <v>0</v>
      </c>
      <c r="I200" s="43">
        <v>0</v>
      </c>
      <c r="J200" s="43">
        <v>0</v>
      </c>
      <c r="K200" s="43">
        <v>0</v>
      </c>
      <c r="L200" s="43">
        <v>0</v>
      </c>
      <c r="M200" s="43">
        <v>0</v>
      </c>
      <c r="N200" s="44">
        <f t="shared" si="56"/>
        <v>0</v>
      </c>
      <c r="O200" s="44">
        <v>0</v>
      </c>
      <c r="P200" s="45">
        <f t="shared" si="53"/>
        <v>0</v>
      </c>
      <c r="Q200" s="54">
        <v>0</v>
      </c>
      <c r="R200" s="55">
        <v>0</v>
      </c>
      <c r="S200" s="55">
        <v>0</v>
      </c>
      <c r="T200" s="43">
        <v>0</v>
      </c>
      <c r="U200" s="43">
        <v>0</v>
      </c>
      <c r="V200" s="43">
        <v>0</v>
      </c>
      <c r="W200" s="43">
        <v>0</v>
      </c>
      <c r="X200" s="43">
        <v>0</v>
      </c>
      <c r="Y200" s="59">
        <f t="shared" si="54"/>
        <v>0</v>
      </c>
      <c r="Z200" s="43">
        <v>0</v>
      </c>
      <c r="AA200" s="43">
        <v>0</v>
      </c>
      <c r="AB200" s="60">
        <v>0</v>
      </c>
      <c r="AC200" s="43"/>
      <c r="AD200" s="43"/>
      <c r="AE200" s="43"/>
      <c r="AF200" s="60">
        <f t="shared" si="57"/>
        <v>743622.38</v>
      </c>
      <c r="AG200" s="60"/>
      <c r="AH200" s="7"/>
      <c r="AI200" s="7">
        <v>0</v>
      </c>
      <c r="AJ200" s="7">
        <v>0</v>
      </c>
      <c r="AK200" s="7">
        <v>0</v>
      </c>
      <c r="AL200" s="7">
        <v>0</v>
      </c>
      <c r="AM200" s="7">
        <v>0</v>
      </c>
      <c r="AO200" s="7">
        <f t="shared" si="55"/>
        <v>0</v>
      </c>
      <c r="AP200" s="59">
        <f t="shared" si="41"/>
        <v>0</v>
      </c>
      <c r="AQ200" s="59">
        <f t="shared" si="42"/>
        <v>0</v>
      </c>
      <c r="AR200" s="59">
        <f t="shared" si="43"/>
        <v>0</v>
      </c>
      <c r="AS200" s="59">
        <f t="shared" si="44"/>
        <v>0</v>
      </c>
    </row>
    <row r="201" spans="1:45">
      <c r="A201" s="21" t="s">
        <v>959</v>
      </c>
      <c r="B201" s="18" t="s">
        <v>960</v>
      </c>
      <c r="C201" s="18">
        <v>0</v>
      </c>
      <c r="D201" s="18">
        <v>0</v>
      </c>
      <c r="E201" s="19"/>
      <c r="F201" s="20">
        <v>-1643.6</v>
      </c>
      <c r="G201" s="19">
        <v>0</v>
      </c>
      <c r="H201" s="19">
        <v>140500</v>
      </c>
      <c r="I201" s="43">
        <v>0</v>
      </c>
      <c r="J201" s="43">
        <v>0</v>
      </c>
      <c r="K201" s="43">
        <v>0</v>
      </c>
      <c r="L201" s="43">
        <v>0</v>
      </c>
      <c r="M201" s="43">
        <v>0</v>
      </c>
      <c r="N201" s="44">
        <f t="shared" si="56"/>
        <v>0</v>
      </c>
      <c r="O201" s="44">
        <v>0</v>
      </c>
      <c r="P201" s="45">
        <f t="shared" si="53"/>
        <v>0</v>
      </c>
      <c r="Q201" s="54">
        <v>0</v>
      </c>
      <c r="R201" s="55">
        <v>0</v>
      </c>
      <c r="S201" s="55">
        <v>0</v>
      </c>
      <c r="T201" s="43">
        <v>0</v>
      </c>
      <c r="U201" s="43">
        <v>0</v>
      </c>
      <c r="V201" s="43">
        <v>0</v>
      </c>
      <c r="W201" s="43">
        <v>0</v>
      </c>
      <c r="X201" s="43">
        <v>0</v>
      </c>
      <c r="Y201" s="59">
        <f t="shared" si="54"/>
        <v>0</v>
      </c>
      <c r="Z201" s="43">
        <v>0</v>
      </c>
      <c r="AA201" s="43">
        <v>0</v>
      </c>
      <c r="AB201" s="60">
        <v>0</v>
      </c>
      <c r="AC201" s="43"/>
      <c r="AD201" s="43"/>
      <c r="AE201" s="43"/>
      <c r="AF201" s="60">
        <f t="shared" si="57"/>
        <v>-1643.6</v>
      </c>
      <c r="AG201" s="60"/>
      <c r="AH201" s="7"/>
      <c r="AI201" s="7">
        <v>0</v>
      </c>
      <c r="AJ201" s="7">
        <v>0</v>
      </c>
      <c r="AK201" s="7">
        <v>0</v>
      </c>
      <c r="AL201" s="7">
        <v>0</v>
      </c>
      <c r="AM201" s="7">
        <v>0</v>
      </c>
      <c r="AO201" s="7">
        <f t="shared" si="55"/>
        <v>0</v>
      </c>
      <c r="AP201" s="59">
        <f t="shared" ref="AP201:AP266" si="58">I201+J201-T201-U201</f>
        <v>0</v>
      </c>
      <c r="AQ201" s="59">
        <f t="shared" ref="AQ201:AQ266" si="59">K201-V201</f>
        <v>0</v>
      </c>
      <c r="AR201" s="59">
        <f t="shared" ref="AR201:AR264" si="60">AP201/13</f>
        <v>0</v>
      </c>
      <c r="AS201" s="59">
        <f t="shared" ref="AS201:AS264" si="61">AQ201/13</f>
        <v>0</v>
      </c>
    </row>
    <row r="202" spans="1:45">
      <c r="A202" s="21" t="s">
        <v>961</v>
      </c>
      <c r="B202" s="18" t="s">
        <v>962</v>
      </c>
      <c r="C202" s="18">
        <v>0</v>
      </c>
      <c r="D202" s="18" t="s">
        <v>2</v>
      </c>
      <c r="E202" s="19"/>
      <c r="F202" s="20">
        <v>14015.4</v>
      </c>
      <c r="G202" s="19">
        <v>0</v>
      </c>
      <c r="H202" s="19">
        <v>210750</v>
      </c>
      <c r="I202" s="43">
        <v>0</v>
      </c>
      <c r="J202" s="43">
        <v>0</v>
      </c>
      <c r="K202" s="43">
        <v>0</v>
      </c>
      <c r="L202" s="43">
        <v>0</v>
      </c>
      <c r="M202" s="43">
        <v>0</v>
      </c>
      <c r="N202" s="44">
        <f t="shared" si="56"/>
        <v>0</v>
      </c>
      <c r="O202" s="44">
        <f>I202*$H$3+J202*$I$3+K202*$J$3+L202*$K$3+M202*$L$3</f>
        <v>0</v>
      </c>
      <c r="P202" s="45">
        <f t="shared" si="53"/>
        <v>0</v>
      </c>
      <c r="Q202" s="54">
        <v>0</v>
      </c>
      <c r="R202" s="55">
        <v>0</v>
      </c>
      <c r="S202" s="55">
        <v>0</v>
      </c>
      <c r="T202" s="43">
        <v>0</v>
      </c>
      <c r="U202" s="43">
        <v>0</v>
      </c>
      <c r="V202" s="43">
        <v>0</v>
      </c>
      <c r="W202" s="43">
        <v>0</v>
      </c>
      <c r="X202" s="43">
        <v>3</v>
      </c>
      <c r="Y202" s="59">
        <f t="shared" si="54"/>
        <v>3</v>
      </c>
      <c r="Z202" s="43">
        <v>25896</v>
      </c>
      <c r="AA202" s="43">
        <v>0</v>
      </c>
      <c r="AB202" s="60">
        <v>0</v>
      </c>
      <c r="AC202" s="43"/>
      <c r="AD202" s="43"/>
      <c r="AE202" s="43"/>
      <c r="AF202" s="60">
        <f t="shared" si="57"/>
        <v>39911.4</v>
      </c>
      <c r="AG202" s="60"/>
      <c r="AH202" s="7"/>
      <c r="AI202" s="7">
        <v>0</v>
      </c>
      <c r="AJ202" s="7">
        <v>0</v>
      </c>
      <c r="AK202" s="7">
        <v>0</v>
      </c>
      <c r="AL202" s="7">
        <v>0</v>
      </c>
      <c r="AM202" s="7">
        <v>0</v>
      </c>
      <c r="AO202" s="7">
        <f t="shared" si="55"/>
        <v>0</v>
      </c>
      <c r="AP202" s="59">
        <f t="shared" si="58"/>
        <v>0</v>
      </c>
      <c r="AQ202" s="59">
        <f t="shared" si="59"/>
        <v>0</v>
      </c>
      <c r="AR202" s="59">
        <f t="shared" si="60"/>
        <v>0</v>
      </c>
      <c r="AS202" s="59">
        <f t="shared" si="61"/>
        <v>0</v>
      </c>
    </row>
    <row r="203" spans="1:45">
      <c r="A203" s="21" t="s">
        <v>963</v>
      </c>
      <c r="B203" s="18" t="s">
        <v>964</v>
      </c>
      <c r="C203" s="18" t="s">
        <v>49</v>
      </c>
      <c r="D203" s="18" t="s">
        <v>49</v>
      </c>
      <c r="E203" s="19"/>
      <c r="F203" s="20">
        <v>111500</v>
      </c>
      <c r="G203" s="19">
        <v>0</v>
      </c>
      <c r="H203" s="19">
        <v>0</v>
      </c>
      <c r="I203" s="43">
        <v>45</v>
      </c>
      <c r="J203" s="43">
        <v>0</v>
      </c>
      <c r="K203" s="43">
        <v>0</v>
      </c>
      <c r="L203" s="43">
        <v>0</v>
      </c>
      <c r="M203" s="43">
        <v>0</v>
      </c>
      <c r="N203" s="44">
        <f t="shared" si="56"/>
        <v>45</v>
      </c>
      <c r="O203" s="44">
        <f>I203*$H$4+J203*$I$4+K203*$J$4+L203*$K$4+M203*$L$4</f>
        <v>225000</v>
      </c>
      <c r="P203" s="45">
        <f t="shared" si="53"/>
        <v>225000</v>
      </c>
      <c r="Q203" s="54">
        <v>0</v>
      </c>
      <c r="R203" s="55">
        <v>0</v>
      </c>
      <c r="S203" s="55">
        <v>0</v>
      </c>
      <c r="T203" s="43">
        <v>50</v>
      </c>
      <c r="U203" s="43">
        <v>0</v>
      </c>
      <c r="V203" s="43">
        <v>0</v>
      </c>
      <c r="W203" s="43">
        <v>0</v>
      </c>
      <c r="X203" s="43">
        <v>0</v>
      </c>
      <c r="Y203" s="59">
        <f t="shared" si="54"/>
        <v>50</v>
      </c>
      <c r="Z203" s="43">
        <v>275000</v>
      </c>
      <c r="AA203" s="43">
        <v>0</v>
      </c>
      <c r="AB203" s="60">
        <v>0</v>
      </c>
      <c r="AC203" s="43"/>
      <c r="AD203" s="43"/>
      <c r="AE203" s="43"/>
      <c r="AF203" s="60">
        <f t="shared" si="57"/>
        <v>386500</v>
      </c>
      <c r="AG203" s="60">
        <f>AF203-AO203-H203</f>
        <v>275000</v>
      </c>
      <c r="AH203" s="7"/>
      <c r="AI203" s="7">
        <v>3000</v>
      </c>
      <c r="AJ203" s="7">
        <v>102500</v>
      </c>
      <c r="AK203" s="7">
        <v>6000</v>
      </c>
      <c r="AL203" s="7">
        <v>0</v>
      </c>
      <c r="AM203" s="7">
        <v>0</v>
      </c>
      <c r="AO203" s="7">
        <f t="shared" si="55"/>
        <v>111500</v>
      </c>
      <c r="AP203" s="59">
        <f t="shared" si="58"/>
        <v>-5</v>
      </c>
      <c r="AQ203" s="59">
        <f t="shared" si="59"/>
        <v>0</v>
      </c>
      <c r="AR203" s="59">
        <f t="shared" si="60"/>
        <v>-0.384615384615385</v>
      </c>
      <c r="AS203" s="59">
        <f t="shared" si="61"/>
        <v>0</v>
      </c>
    </row>
    <row r="204" spans="1:45">
      <c r="A204" s="21" t="s">
        <v>965</v>
      </c>
      <c r="B204" s="18" t="s">
        <v>966</v>
      </c>
      <c r="C204" s="18" t="s">
        <v>52</v>
      </c>
      <c r="D204" s="18" t="s">
        <v>52</v>
      </c>
      <c r="E204" s="19"/>
      <c r="F204" s="20">
        <v>179651.69</v>
      </c>
      <c r="G204" s="19">
        <v>500000</v>
      </c>
      <c r="H204" s="19">
        <v>1185000</v>
      </c>
      <c r="I204" s="43">
        <v>0</v>
      </c>
      <c r="J204" s="43">
        <v>0</v>
      </c>
      <c r="K204" s="43">
        <v>0</v>
      </c>
      <c r="L204" s="43">
        <v>0</v>
      </c>
      <c r="M204" s="43">
        <v>0</v>
      </c>
      <c r="N204" s="44">
        <f t="shared" si="56"/>
        <v>0</v>
      </c>
      <c r="O204" s="44">
        <f>I204*$H$1+J204*$I$1+K204*$J$1+L204*$K$1+M204*$L$1</f>
        <v>0</v>
      </c>
      <c r="P204" s="45">
        <f t="shared" si="53"/>
        <v>0</v>
      </c>
      <c r="Q204" s="54">
        <v>0</v>
      </c>
      <c r="R204" s="55">
        <v>0</v>
      </c>
      <c r="S204" s="55">
        <v>0</v>
      </c>
      <c r="T204" s="43">
        <v>0</v>
      </c>
      <c r="U204" s="43">
        <v>0</v>
      </c>
      <c r="V204" s="43">
        <v>0</v>
      </c>
      <c r="W204" s="43">
        <v>0</v>
      </c>
      <c r="X204" s="43">
        <v>0</v>
      </c>
      <c r="Y204" s="59">
        <f t="shared" si="54"/>
        <v>0</v>
      </c>
      <c r="Z204" s="43">
        <v>0</v>
      </c>
      <c r="AA204" s="43">
        <v>0</v>
      </c>
      <c r="AB204" s="60">
        <v>0</v>
      </c>
      <c r="AC204" s="43"/>
      <c r="AD204" s="43"/>
      <c r="AE204" s="43"/>
      <c r="AF204" s="60">
        <f t="shared" si="57"/>
        <v>179651.69</v>
      </c>
      <c r="AG204" s="60"/>
      <c r="AH204" s="7"/>
      <c r="AI204" s="7">
        <v>9606.9</v>
      </c>
      <c r="AJ204" s="7">
        <v>4116.4</v>
      </c>
      <c r="AK204" s="7">
        <v>0</v>
      </c>
      <c r="AL204" s="7">
        <v>1818.94736842105</v>
      </c>
      <c r="AM204" s="7">
        <v>0</v>
      </c>
      <c r="AO204" s="7">
        <f t="shared" si="55"/>
        <v>15542.247368421</v>
      </c>
      <c r="AP204" s="59">
        <f t="shared" si="58"/>
        <v>0</v>
      </c>
      <c r="AQ204" s="59">
        <f t="shared" si="59"/>
        <v>0</v>
      </c>
      <c r="AR204" s="59">
        <f t="shared" si="60"/>
        <v>0</v>
      </c>
      <c r="AS204" s="59">
        <f t="shared" si="61"/>
        <v>0</v>
      </c>
    </row>
    <row r="205" spans="1:45">
      <c r="A205" s="21" t="s">
        <v>967</v>
      </c>
      <c r="B205" s="18" t="s">
        <v>968</v>
      </c>
      <c r="C205" s="18" t="s">
        <v>49</v>
      </c>
      <c r="D205" s="18" t="s">
        <v>49</v>
      </c>
      <c r="E205" s="19"/>
      <c r="F205" s="20">
        <v>49900</v>
      </c>
      <c r="G205" s="19">
        <v>0</v>
      </c>
      <c r="H205" s="19">
        <v>0</v>
      </c>
      <c r="I205" s="43">
        <v>80</v>
      </c>
      <c r="J205" s="43">
        <v>0</v>
      </c>
      <c r="K205" s="43">
        <v>0</v>
      </c>
      <c r="L205" s="43">
        <v>0</v>
      </c>
      <c r="M205" s="43">
        <v>0</v>
      </c>
      <c r="N205" s="44">
        <f t="shared" si="56"/>
        <v>80</v>
      </c>
      <c r="O205" s="44">
        <f>I205*$H$4+J205*$I$4+K205*$J$4+L205*$K$4+M205*$L$4</f>
        <v>400000</v>
      </c>
      <c r="P205" s="45">
        <f t="shared" si="53"/>
        <v>400000</v>
      </c>
      <c r="Q205" s="54">
        <v>357500</v>
      </c>
      <c r="R205" s="55">
        <v>125</v>
      </c>
      <c r="S205" s="55">
        <v>0</v>
      </c>
      <c r="T205" s="43">
        <v>48</v>
      </c>
      <c r="U205" s="43">
        <v>0</v>
      </c>
      <c r="V205" s="43">
        <v>0</v>
      </c>
      <c r="W205" s="43">
        <v>0</v>
      </c>
      <c r="X205" s="43">
        <v>0</v>
      </c>
      <c r="Y205" s="59">
        <f t="shared" si="54"/>
        <v>48</v>
      </c>
      <c r="Z205" s="43">
        <v>264000</v>
      </c>
      <c r="AA205" s="43">
        <v>50000</v>
      </c>
      <c r="AB205" s="60">
        <v>0</v>
      </c>
      <c r="AC205" s="43"/>
      <c r="AD205" s="43"/>
      <c r="AE205" s="43"/>
      <c r="AF205" s="60">
        <f t="shared" si="57"/>
        <v>263900</v>
      </c>
      <c r="AG205" s="60">
        <f>AF205-AO205-H205</f>
        <v>214000</v>
      </c>
      <c r="AH205" s="7"/>
      <c r="AI205" s="7">
        <v>13000</v>
      </c>
      <c r="AJ205" s="7">
        <v>36900</v>
      </c>
      <c r="AK205" s="7">
        <v>0</v>
      </c>
      <c r="AL205" s="7">
        <v>0</v>
      </c>
      <c r="AM205" s="7">
        <v>0</v>
      </c>
      <c r="AO205" s="7">
        <f t="shared" si="55"/>
        <v>49900</v>
      </c>
      <c r="AP205" s="59">
        <f t="shared" si="58"/>
        <v>32</v>
      </c>
      <c r="AQ205" s="59">
        <f t="shared" si="59"/>
        <v>0</v>
      </c>
      <c r="AR205" s="59">
        <f t="shared" si="60"/>
        <v>2.46153846153846</v>
      </c>
      <c r="AS205" s="59">
        <f t="shared" si="61"/>
        <v>0</v>
      </c>
    </row>
    <row r="206" spans="1:45">
      <c r="A206" s="21" t="s">
        <v>969</v>
      </c>
      <c r="B206" s="18" t="s">
        <v>970</v>
      </c>
      <c r="C206" s="18" t="s">
        <v>2</v>
      </c>
      <c r="D206" s="18" t="s">
        <v>2</v>
      </c>
      <c r="E206" s="19"/>
      <c r="F206" s="20">
        <v>456276</v>
      </c>
      <c r="G206" s="19">
        <v>0</v>
      </c>
      <c r="H206" s="19">
        <v>500000</v>
      </c>
      <c r="I206" s="43">
        <v>0</v>
      </c>
      <c r="J206" s="43">
        <v>0</v>
      </c>
      <c r="K206" s="43">
        <v>0</v>
      </c>
      <c r="L206" s="43">
        <v>0</v>
      </c>
      <c r="M206" s="43">
        <v>0</v>
      </c>
      <c r="N206" s="44">
        <f t="shared" si="56"/>
        <v>0</v>
      </c>
      <c r="O206" s="44">
        <f>I206*$H$3+J206*$I$3+K206*$J$3+L206*$K$3+M206*$L$3</f>
        <v>0</v>
      </c>
      <c r="P206" s="45">
        <f t="shared" si="53"/>
        <v>0</v>
      </c>
      <c r="Q206" s="54">
        <v>366979.7094</v>
      </c>
      <c r="R206" s="55">
        <v>0</v>
      </c>
      <c r="S206" s="55">
        <v>0</v>
      </c>
      <c r="T206" s="43">
        <v>0</v>
      </c>
      <c r="U206" s="43">
        <v>0</v>
      </c>
      <c r="V206" s="43">
        <v>0</v>
      </c>
      <c r="W206" s="43">
        <v>0</v>
      </c>
      <c r="X206" s="43">
        <v>81</v>
      </c>
      <c r="Y206" s="59">
        <f t="shared" si="54"/>
        <v>81</v>
      </c>
      <c r="Z206" s="43">
        <v>496082</v>
      </c>
      <c r="AA206" s="43">
        <v>200000</v>
      </c>
      <c r="AB206" s="60">
        <v>0</v>
      </c>
      <c r="AC206" s="43"/>
      <c r="AD206" s="43"/>
      <c r="AE206" s="43"/>
      <c r="AF206" s="60">
        <f t="shared" si="57"/>
        <v>752358</v>
      </c>
      <c r="AG206" s="60">
        <f>AF206-AO206-H206</f>
        <v>160849.76</v>
      </c>
      <c r="AH206" s="68" t="e">
        <f>#REF!-#REF!</f>
        <v>#REF!</v>
      </c>
      <c r="AI206" s="7">
        <v>45199.9</v>
      </c>
      <c r="AJ206" s="7">
        <v>15397.28</v>
      </c>
      <c r="AK206" s="7">
        <v>30911.06</v>
      </c>
      <c r="AL206" s="7">
        <v>0</v>
      </c>
      <c r="AM206" s="7">
        <v>0</v>
      </c>
      <c r="AO206" s="7">
        <f t="shared" si="55"/>
        <v>91508.24</v>
      </c>
      <c r="AP206" s="59">
        <f t="shared" si="58"/>
        <v>0</v>
      </c>
      <c r="AQ206" s="59">
        <f t="shared" si="59"/>
        <v>0</v>
      </c>
      <c r="AR206" s="59">
        <f t="shared" si="60"/>
        <v>0</v>
      </c>
      <c r="AS206" s="59">
        <f t="shared" si="61"/>
        <v>0</v>
      </c>
    </row>
    <row r="207" ht="15.15" spans="1:45">
      <c r="A207" s="21" t="s">
        <v>971</v>
      </c>
      <c r="B207" s="27" t="str">
        <f>IFERROR(VLOOKUP(A207,[5]Sales!D:E,2,FALSE),0)</f>
        <v>01455</v>
      </c>
      <c r="C207" s="18" t="s">
        <v>49</v>
      </c>
      <c r="D207" s="18" t="s">
        <v>49</v>
      </c>
      <c r="E207" s="28"/>
      <c r="F207" s="20">
        <v>4500</v>
      </c>
      <c r="G207" s="19">
        <v>0</v>
      </c>
      <c r="H207" s="19">
        <v>0</v>
      </c>
      <c r="I207" s="43">
        <v>30</v>
      </c>
      <c r="J207" s="43">
        <v>0</v>
      </c>
      <c r="K207" s="43">
        <v>0</v>
      </c>
      <c r="L207" s="43">
        <v>0</v>
      </c>
      <c r="M207" s="43">
        <v>0</v>
      </c>
      <c r="N207" s="44">
        <f t="shared" si="56"/>
        <v>30</v>
      </c>
      <c r="O207" s="44">
        <f>I207*$H$4+J207*$I$4+K207*$J$4+L207*$K$4+M207*$L$4</f>
        <v>150000</v>
      </c>
      <c r="P207" s="45">
        <f t="shared" si="53"/>
        <v>150000</v>
      </c>
      <c r="Q207" s="54">
        <v>0</v>
      </c>
      <c r="R207" s="55">
        <v>20</v>
      </c>
      <c r="S207" s="55">
        <v>0</v>
      </c>
      <c r="T207" s="43">
        <v>0</v>
      </c>
      <c r="U207" s="43">
        <v>0</v>
      </c>
      <c r="V207" s="43">
        <v>0</v>
      </c>
      <c r="W207" s="43">
        <v>0</v>
      </c>
      <c r="X207" s="43">
        <v>0</v>
      </c>
      <c r="Y207" s="59">
        <f t="shared" si="54"/>
        <v>0</v>
      </c>
      <c r="Z207" s="43">
        <v>0</v>
      </c>
      <c r="AA207" s="43">
        <v>0</v>
      </c>
      <c r="AB207" s="60">
        <v>0</v>
      </c>
      <c r="AC207" s="43"/>
      <c r="AD207" s="43"/>
      <c r="AE207" s="43"/>
      <c r="AF207" s="60">
        <f t="shared" si="57"/>
        <v>4500</v>
      </c>
      <c r="AG207" s="60"/>
      <c r="AH207" s="7"/>
      <c r="AI207" s="7">
        <v>3000</v>
      </c>
      <c r="AJ207" s="7">
        <v>0</v>
      </c>
      <c r="AK207" s="7">
        <v>4500</v>
      </c>
      <c r="AL207" s="7">
        <v>0</v>
      </c>
      <c r="AM207" s="7">
        <v>0</v>
      </c>
      <c r="AO207" s="7">
        <f t="shared" si="55"/>
        <v>7500</v>
      </c>
      <c r="AP207" s="59">
        <f t="shared" si="58"/>
        <v>30</v>
      </c>
      <c r="AQ207" s="59">
        <f t="shared" si="59"/>
        <v>0</v>
      </c>
      <c r="AR207" s="59">
        <f t="shared" si="60"/>
        <v>2.30769230769231</v>
      </c>
      <c r="AS207" s="59">
        <f t="shared" si="61"/>
        <v>0</v>
      </c>
    </row>
    <row r="208" ht="15.15" spans="1:45">
      <c r="A208" s="75" t="s">
        <v>972</v>
      </c>
      <c r="B208" s="30">
        <v>0</v>
      </c>
      <c r="C208" s="18">
        <v>0</v>
      </c>
      <c r="D208" s="18">
        <v>0</v>
      </c>
      <c r="E208" s="31"/>
      <c r="F208" s="32">
        <f t="shared" ref="F208:AB208" si="62">SUM(F190:F207)</f>
        <v>2954059.22</v>
      </c>
      <c r="G208" s="32">
        <f t="shared" si="62"/>
        <v>500000</v>
      </c>
      <c r="H208" s="32">
        <f t="shared" si="62"/>
        <v>2857750</v>
      </c>
      <c r="I208" s="32">
        <f t="shared" si="62"/>
        <v>255</v>
      </c>
      <c r="J208" s="32">
        <f t="shared" si="62"/>
        <v>0</v>
      </c>
      <c r="K208" s="32">
        <f t="shared" si="62"/>
        <v>0</v>
      </c>
      <c r="L208" s="32">
        <f t="shared" si="62"/>
        <v>4</v>
      </c>
      <c r="M208" s="32">
        <f t="shared" si="62"/>
        <v>0</v>
      </c>
      <c r="N208" s="32">
        <f t="shared" si="62"/>
        <v>259</v>
      </c>
      <c r="O208" s="32">
        <f t="shared" si="62"/>
        <v>1355000</v>
      </c>
      <c r="P208" s="32">
        <f t="shared" si="62"/>
        <v>1355000</v>
      </c>
      <c r="Q208" s="32">
        <f t="shared" si="62"/>
        <v>796479.7094</v>
      </c>
      <c r="R208" s="32">
        <f t="shared" si="62"/>
        <v>145</v>
      </c>
      <c r="S208" s="32">
        <f t="shared" si="62"/>
        <v>0</v>
      </c>
      <c r="T208" s="32">
        <f>SUM(T190:T207)</f>
        <v>149</v>
      </c>
      <c r="U208" s="32">
        <f>SUM(U190:U207)</f>
        <v>0</v>
      </c>
      <c r="V208" s="32">
        <f>SUM(V190:V207)</f>
        <v>0</v>
      </c>
      <c r="W208" s="32">
        <f>SUM(W190:W207)</f>
        <v>2</v>
      </c>
      <c r="X208" s="32">
        <f>SUM(X190:X207)</f>
        <v>92</v>
      </c>
      <c r="Y208" s="32">
        <f>SUM(Y190:Y207)</f>
        <v>243</v>
      </c>
      <c r="Z208" s="32">
        <f>SUM(Z190:Z207)</f>
        <v>1470659</v>
      </c>
      <c r="AA208" s="32">
        <f>SUM(AA190:AA207)</f>
        <v>300000</v>
      </c>
      <c r="AB208" s="32">
        <f>SUM(AB190:AB207)</f>
        <v>0</v>
      </c>
      <c r="AC208" s="32"/>
      <c r="AD208" s="32"/>
      <c r="AE208" s="32"/>
      <c r="AF208" s="32">
        <f>SUM(AF190:AF207)</f>
        <v>4124718.22</v>
      </c>
      <c r="AG208" s="60">
        <f>AF208-AO208-H208</f>
        <v>872361.240701754</v>
      </c>
      <c r="AH208" s="66"/>
      <c r="AI208" s="32">
        <f>SUM(AI190:AI207)</f>
        <v>138278.22</v>
      </c>
      <c r="AJ208" s="32">
        <f>SUM(AJ190:AJ207)</f>
        <v>179677.6</v>
      </c>
      <c r="AK208" s="32">
        <f>SUM(AK190:AK207)</f>
        <v>72323.44</v>
      </c>
      <c r="AL208" s="32">
        <f>SUM(AL190:AL207)</f>
        <v>1818.94736842105</v>
      </c>
      <c r="AM208" s="32">
        <f>SUM(AM190:AM207)</f>
        <v>2508.77192982456</v>
      </c>
      <c r="AN208" s="67">
        <f>Y208/N208</f>
        <v>0.938223938223938</v>
      </c>
      <c r="AO208" s="71">
        <f>SUM(AO190:AO207)</f>
        <v>394606.979298246</v>
      </c>
      <c r="AP208" s="32">
        <f>SUM(AP190:AP207)</f>
        <v>106</v>
      </c>
      <c r="AQ208" s="32">
        <f>SUM(AQ190:AQ207)</f>
        <v>0</v>
      </c>
      <c r="AR208" s="59">
        <f t="shared" si="60"/>
        <v>8.15384615384615</v>
      </c>
      <c r="AS208" s="59">
        <f t="shared" si="61"/>
        <v>0</v>
      </c>
    </row>
    <row r="209" spans="1:45">
      <c r="A209" s="21" t="s">
        <v>973</v>
      </c>
      <c r="B209" s="27" t="s">
        <v>974</v>
      </c>
      <c r="C209" s="18" t="s">
        <v>99</v>
      </c>
      <c r="D209" s="18" t="s">
        <v>99</v>
      </c>
      <c r="E209" s="28"/>
      <c r="F209" s="20">
        <v>13408</v>
      </c>
      <c r="G209" s="19">
        <v>0</v>
      </c>
      <c r="H209" s="19">
        <v>0</v>
      </c>
      <c r="I209" s="43">
        <v>0</v>
      </c>
      <c r="J209" s="43">
        <v>0</v>
      </c>
      <c r="K209" s="43">
        <v>0</v>
      </c>
      <c r="L209" s="43">
        <v>0</v>
      </c>
      <c r="M209" s="43">
        <v>0</v>
      </c>
      <c r="N209" s="44">
        <f t="shared" ref="N209:N217" si="63">SUM(I209:M209)</f>
        <v>0</v>
      </c>
      <c r="O209" s="44">
        <f>I209*$H$2+J209*$I$2+K209*$J$2+L209*$K$2+M209*$L$2</f>
        <v>0</v>
      </c>
      <c r="P209" s="45">
        <f t="shared" ref="P209:P238" si="64">O209</f>
        <v>0</v>
      </c>
      <c r="Q209" s="54">
        <v>0</v>
      </c>
      <c r="R209" s="55">
        <v>0</v>
      </c>
      <c r="S209" s="55">
        <v>0</v>
      </c>
      <c r="T209" s="43">
        <v>0</v>
      </c>
      <c r="U209" s="43">
        <v>0</v>
      </c>
      <c r="V209" s="43">
        <v>0</v>
      </c>
      <c r="W209" s="43">
        <v>0</v>
      </c>
      <c r="X209" s="43">
        <v>0</v>
      </c>
      <c r="Y209" s="59">
        <f t="shared" ref="Y209:Y238" si="65">T209+U209+V209+W209+X209</f>
        <v>0</v>
      </c>
      <c r="Z209" s="43">
        <v>0</v>
      </c>
      <c r="AA209" s="43">
        <v>0</v>
      </c>
      <c r="AB209" s="60">
        <v>0</v>
      </c>
      <c r="AC209" s="43"/>
      <c r="AD209" s="43"/>
      <c r="AE209" s="43"/>
      <c r="AF209" s="60">
        <f t="shared" ref="AF209:AF217" si="66">F209+Z209-AA209-AB209-AC209-AD209-AE209</f>
        <v>13408</v>
      </c>
      <c r="AG209" s="60"/>
      <c r="AH209" s="7"/>
      <c r="AI209" s="7">
        <v>0</v>
      </c>
      <c r="AJ209" s="7">
        <v>0</v>
      </c>
      <c r="AK209" s="7">
        <v>0</v>
      </c>
      <c r="AL209" s="7">
        <v>0</v>
      </c>
      <c r="AM209" s="7">
        <v>0</v>
      </c>
      <c r="AO209" s="7">
        <f t="shared" ref="AO209:AO216" si="67">AI209+AJ209+AK209+AL209+AM209</f>
        <v>0</v>
      </c>
      <c r="AP209" s="59">
        <f t="shared" si="58"/>
        <v>0</v>
      </c>
      <c r="AQ209" s="59">
        <f t="shared" si="59"/>
        <v>0</v>
      </c>
      <c r="AR209" s="59">
        <f t="shared" si="60"/>
        <v>0</v>
      </c>
      <c r="AS209" s="59">
        <f t="shared" si="61"/>
        <v>0</v>
      </c>
    </row>
    <row r="210" spans="1:45">
      <c r="A210" s="21" t="s">
        <v>975</v>
      </c>
      <c r="B210" s="174" t="s">
        <v>976</v>
      </c>
      <c r="C210" s="18" t="s">
        <v>49</v>
      </c>
      <c r="D210" s="18" t="s">
        <v>49</v>
      </c>
      <c r="E210" s="28"/>
      <c r="F210" s="20">
        <v>54630</v>
      </c>
      <c r="G210" s="19">
        <v>0</v>
      </c>
      <c r="H210" s="19">
        <v>0</v>
      </c>
      <c r="I210" s="43">
        <v>30</v>
      </c>
      <c r="J210" s="43">
        <v>5</v>
      </c>
      <c r="K210" s="43">
        <v>0</v>
      </c>
      <c r="L210" s="43">
        <v>0</v>
      </c>
      <c r="M210" s="43">
        <v>0</v>
      </c>
      <c r="N210" s="44">
        <f t="shared" si="63"/>
        <v>35</v>
      </c>
      <c r="O210" s="44">
        <f>I210*$H$4+J210*$I$4+K210*$J$4+L210*$K$4+M210*$L$4</f>
        <v>176000</v>
      </c>
      <c r="P210" s="45">
        <f t="shared" si="64"/>
        <v>176000</v>
      </c>
      <c r="Q210" s="54">
        <v>0</v>
      </c>
      <c r="R210" s="55">
        <v>70</v>
      </c>
      <c r="S210" s="55">
        <v>0</v>
      </c>
      <c r="T210" s="43">
        <v>31</v>
      </c>
      <c r="U210" s="43">
        <v>0</v>
      </c>
      <c r="V210" s="43">
        <v>0</v>
      </c>
      <c r="W210" s="43">
        <v>0</v>
      </c>
      <c r="X210" s="43">
        <v>0</v>
      </c>
      <c r="Y210" s="59">
        <f t="shared" si="65"/>
        <v>31</v>
      </c>
      <c r="Z210" s="43">
        <v>170500</v>
      </c>
      <c r="AA210" s="43">
        <v>114000</v>
      </c>
      <c r="AB210" s="60">
        <v>0</v>
      </c>
      <c r="AC210" s="43"/>
      <c r="AD210" s="43"/>
      <c r="AE210" s="43"/>
      <c r="AF210" s="60">
        <f t="shared" si="66"/>
        <v>111130</v>
      </c>
      <c r="AG210" s="60">
        <f>AF210-AO210-H210</f>
        <v>93430</v>
      </c>
      <c r="AH210" s="7"/>
      <c r="AI210" s="7">
        <v>0</v>
      </c>
      <c r="AJ210" s="7">
        <v>11700</v>
      </c>
      <c r="AK210" s="7">
        <v>6000</v>
      </c>
      <c r="AL210" s="7">
        <v>0</v>
      </c>
      <c r="AM210" s="7">
        <v>0</v>
      </c>
      <c r="AO210" s="7">
        <f t="shared" si="67"/>
        <v>17700</v>
      </c>
      <c r="AP210" s="59">
        <f t="shared" si="58"/>
        <v>4</v>
      </c>
      <c r="AQ210" s="59">
        <f t="shared" si="59"/>
        <v>0</v>
      </c>
      <c r="AR210" s="59">
        <f t="shared" si="60"/>
        <v>0.307692307692308</v>
      </c>
      <c r="AS210" s="59">
        <f t="shared" si="61"/>
        <v>0</v>
      </c>
    </row>
    <row r="211" spans="1:45">
      <c r="A211" s="21" t="s">
        <v>977</v>
      </c>
      <c r="B211" s="18" t="str">
        <f>IFERROR(VLOOKUP(A211,[8]Sheet1!D:E,2,FALSE),0)</f>
        <v>01514</v>
      </c>
      <c r="C211" s="18">
        <v>0</v>
      </c>
      <c r="D211" s="18">
        <v>0</v>
      </c>
      <c r="E211" s="19"/>
      <c r="F211" s="20">
        <v>-500</v>
      </c>
      <c r="G211" s="19"/>
      <c r="H211" s="19"/>
      <c r="I211" s="43">
        <v>0</v>
      </c>
      <c r="J211" s="43">
        <v>0</v>
      </c>
      <c r="K211" s="43">
        <v>0</v>
      </c>
      <c r="L211" s="43">
        <v>0</v>
      </c>
      <c r="M211" s="43">
        <v>0</v>
      </c>
      <c r="N211" s="44">
        <f t="shared" si="63"/>
        <v>0</v>
      </c>
      <c r="O211" s="44">
        <v>0</v>
      </c>
      <c r="P211" s="45">
        <f t="shared" si="64"/>
        <v>0</v>
      </c>
      <c r="Q211" s="54">
        <v>0</v>
      </c>
      <c r="R211" s="55">
        <v>0</v>
      </c>
      <c r="S211" s="55">
        <v>0</v>
      </c>
      <c r="T211" s="43">
        <v>0</v>
      </c>
      <c r="U211" s="43">
        <v>0</v>
      </c>
      <c r="V211" s="43">
        <v>0</v>
      </c>
      <c r="W211" s="43">
        <v>0</v>
      </c>
      <c r="X211" s="43">
        <v>0</v>
      </c>
      <c r="Y211" s="59">
        <f t="shared" si="65"/>
        <v>0</v>
      </c>
      <c r="Z211" s="43">
        <v>0</v>
      </c>
      <c r="AA211" s="43">
        <v>0</v>
      </c>
      <c r="AB211" s="60">
        <v>0</v>
      </c>
      <c r="AC211" s="43"/>
      <c r="AD211" s="43"/>
      <c r="AE211" s="43"/>
      <c r="AF211" s="60">
        <f t="shared" si="66"/>
        <v>-500</v>
      </c>
      <c r="AG211" s="60"/>
      <c r="AH211" s="7"/>
      <c r="AI211" s="7">
        <v>0</v>
      </c>
      <c r="AJ211" s="7">
        <v>0</v>
      </c>
      <c r="AK211" s="7">
        <v>0</v>
      </c>
      <c r="AL211" s="7">
        <v>0</v>
      </c>
      <c r="AM211" s="7">
        <v>0</v>
      </c>
      <c r="AO211" s="7">
        <f t="shared" si="67"/>
        <v>0</v>
      </c>
      <c r="AP211" s="59">
        <f t="shared" si="58"/>
        <v>0</v>
      </c>
      <c r="AQ211" s="59">
        <f t="shared" si="59"/>
        <v>0</v>
      </c>
      <c r="AR211" s="59">
        <f t="shared" si="60"/>
        <v>0</v>
      </c>
      <c r="AS211" s="59">
        <f t="shared" si="61"/>
        <v>0</v>
      </c>
    </row>
    <row r="212" spans="1:45">
      <c r="A212" s="21" t="s">
        <v>978</v>
      </c>
      <c r="B212" s="18" t="s">
        <v>979</v>
      </c>
      <c r="C212" s="18" t="s">
        <v>3</v>
      </c>
      <c r="D212" s="18" t="s">
        <v>49</v>
      </c>
      <c r="E212" s="19"/>
      <c r="F212" s="20">
        <v>20700</v>
      </c>
      <c r="G212" s="19"/>
      <c r="H212" s="19"/>
      <c r="I212" s="43">
        <v>0</v>
      </c>
      <c r="J212" s="43">
        <v>0</v>
      </c>
      <c r="K212" s="43">
        <v>0</v>
      </c>
      <c r="L212" s="43">
        <v>0</v>
      </c>
      <c r="M212" s="43">
        <v>0</v>
      </c>
      <c r="N212" s="44">
        <f t="shared" si="63"/>
        <v>0</v>
      </c>
      <c r="O212" s="44">
        <f>I212*$H$4+J212*$I$4+K212*$J$4+L212*$K$4+M212*$L$4</f>
        <v>0</v>
      </c>
      <c r="P212" s="45">
        <f t="shared" si="64"/>
        <v>0</v>
      </c>
      <c r="Q212" s="54">
        <v>0</v>
      </c>
      <c r="R212" s="55">
        <v>0</v>
      </c>
      <c r="S212" s="55">
        <v>0</v>
      </c>
      <c r="T212" s="43">
        <v>0</v>
      </c>
      <c r="U212" s="43">
        <v>0</v>
      </c>
      <c r="V212" s="43">
        <v>0</v>
      </c>
      <c r="W212" s="43">
        <v>0</v>
      </c>
      <c r="X212" s="43">
        <v>0</v>
      </c>
      <c r="Y212" s="59">
        <f t="shared" si="65"/>
        <v>0</v>
      </c>
      <c r="Z212" s="43">
        <v>0</v>
      </c>
      <c r="AA212" s="43">
        <v>0</v>
      </c>
      <c r="AB212" s="60">
        <v>0</v>
      </c>
      <c r="AC212" s="43"/>
      <c r="AD212" s="43"/>
      <c r="AE212" s="43"/>
      <c r="AF212" s="60">
        <f t="shared" si="66"/>
        <v>20700</v>
      </c>
      <c r="AG212" s="60"/>
      <c r="AH212" s="7"/>
      <c r="AI212" s="7">
        <v>0</v>
      </c>
      <c r="AJ212" s="7">
        <v>3300</v>
      </c>
      <c r="AK212" s="7">
        <v>7200</v>
      </c>
      <c r="AL212" s="7">
        <v>0</v>
      </c>
      <c r="AM212" s="7">
        <v>0</v>
      </c>
      <c r="AO212" s="7">
        <f t="shared" si="67"/>
        <v>10500</v>
      </c>
      <c r="AP212" s="59">
        <f t="shared" si="58"/>
        <v>0</v>
      </c>
      <c r="AQ212" s="59">
        <f t="shared" si="59"/>
        <v>0</v>
      </c>
      <c r="AR212" s="59">
        <f t="shared" si="60"/>
        <v>0</v>
      </c>
      <c r="AS212" s="59">
        <f t="shared" si="61"/>
        <v>0</v>
      </c>
    </row>
    <row r="213" spans="1:45">
      <c r="A213" s="21" t="s">
        <v>980</v>
      </c>
      <c r="B213" s="27" t="s">
        <v>981</v>
      </c>
      <c r="C213" s="18">
        <v>0</v>
      </c>
      <c r="D213" s="18" t="s">
        <v>99</v>
      </c>
      <c r="E213" s="28"/>
      <c r="F213" s="20">
        <v>-1250</v>
      </c>
      <c r="G213" s="19">
        <v>0</v>
      </c>
      <c r="H213" s="19">
        <v>0</v>
      </c>
      <c r="I213" s="43">
        <v>0</v>
      </c>
      <c r="J213" s="43">
        <v>0</v>
      </c>
      <c r="K213" s="43">
        <v>0</v>
      </c>
      <c r="L213" s="43">
        <v>0</v>
      </c>
      <c r="M213" s="43">
        <v>0</v>
      </c>
      <c r="N213" s="44">
        <f t="shared" si="63"/>
        <v>0</v>
      </c>
      <c r="O213" s="44">
        <f>I213*$H$2+J213*$I$2+K213*$J$2+L213*$K$2+M213*$L$2</f>
        <v>0</v>
      </c>
      <c r="P213" s="45">
        <f t="shared" si="64"/>
        <v>0</v>
      </c>
      <c r="Q213" s="54">
        <v>0</v>
      </c>
      <c r="R213" s="55">
        <v>0</v>
      </c>
      <c r="S213" s="55">
        <v>0</v>
      </c>
      <c r="T213" s="43">
        <v>0</v>
      </c>
      <c r="U213" s="43">
        <v>0</v>
      </c>
      <c r="V213" s="43">
        <v>0</v>
      </c>
      <c r="W213" s="43">
        <v>0</v>
      </c>
      <c r="X213" s="43">
        <v>0</v>
      </c>
      <c r="Y213" s="59">
        <f t="shared" si="65"/>
        <v>0</v>
      </c>
      <c r="Z213" s="43">
        <v>0</v>
      </c>
      <c r="AA213" s="43">
        <v>0</v>
      </c>
      <c r="AB213" s="60">
        <v>0</v>
      </c>
      <c r="AC213" s="43"/>
      <c r="AD213" s="43"/>
      <c r="AE213" s="43"/>
      <c r="AF213" s="43">
        <f t="shared" si="66"/>
        <v>-1250</v>
      </c>
      <c r="AG213" s="43"/>
      <c r="AH213" s="7"/>
      <c r="AI213" s="7">
        <v>0</v>
      </c>
      <c r="AJ213" s="7">
        <v>0</v>
      </c>
      <c r="AK213" s="7">
        <v>0</v>
      </c>
      <c r="AL213" s="7">
        <v>0</v>
      </c>
      <c r="AM213" s="7">
        <v>0</v>
      </c>
      <c r="AO213" s="7">
        <f t="shared" si="67"/>
        <v>0</v>
      </c>
      <c r="AP213" s="59">
        <f t="shared" si="58"/>
        <v>0</v>
      </c>
      <c r="AQ213" s="59">
        <f t="shared" si="59"/>
        <v>0</v>
      </c>
      <c r="AR213" s="59">
        <f t="shared" si="60"/>
        <v>0</v>
      </c>
      <c r="AS213" s="59">
        <f t="shared" si="61"/>
        <v>0</v>
      </c>
    </row>
    <row r="214" spans="1:45">
      <c r="A214" s="21" t="s">
        <v>982</v>
      </c>
      <c r="B214" s="18" t="s">
        <v>983</v>
      </c>
      <c r="C214" s="18" t="s">
        <v>3</v>
      </c>
      <c r="D214" s="18" t="s">
        <v>3</v>
      </c>
      <c r="E214" s="19"/>
      <c r="F214" s="20">
        <v>2012</v>
      </c>
      <c r="G214" s="19"/>
      <c r="H214" s="19"/>
      <c r="I214" s="43">
        <v>0</v>
      </c>
      <c r="J214" s="43">
        <v>0</v>
      </c>
      <c r="K214" s="43">
        <v>0</v>
      </c>
      <c r="L214" s="43">
        <v>0</v>
      </c>
      <c r="M214" s="43">
        <v>0</v>
      </c>
      <c r="N214" s="44">
        <f t="shared" si="63"/>
        <v>0</v>
      </c>
      <c r="O214" s="44">
        <f>I214*$H$4+J214*$I$4+K214*$J$4+L214*$K$4+M214*$L$4</f>
        <v>0</v>
      </c>
      <c r="P214" s="45">
        <f t="shared" si="64"/>
        <v>0</v>
      </c>
      <c r="Q214" s="54">
        <v>0</v>
      </c>
      <c r="R214" s="55">
        <v>10</v>
      </c>
      <c r="S214" s="55">
        <v>0</v>
      </c>
      <c r="T214" s="43">
        <v>0</v>
      </c>
      <c r="U214" s="43">
        <v>0</v>
      </c>
      <c r="V214" s="43">
        <v>0</v>
      </c>
      <c r="W214" s="43">
        <v>0</v>
      </c>
      <c r="X214" s="43">
        <v>0</v>
      </c>
      <c r="Y214" s="59">
        <f t="shared" si="65"/>
        <v>0</v>
      </c>
      <c r="Z214" s="43">
        <v>0</v>
      </c>
      <c r="AA214" s="43">
        <v>0</v>
      </c>
      <c r="AB214" s="60">
        <v>0</v>
      </c>
      <c r="AC214" s="43"/>
      <c r="AD214" s="43"/>
      <c r="AE214" s="43"/>
      <c r="AF214" s="43">
        <f t="shared" si="66"/>
        <v>2012</v>
      </c>
      <c r="AG214" s="43"/>
      <c r="AH214" s="7"/>
      <c r="AI214" s="7">
        <v>0</v>
      </c>
      <c r="AJ214" s="7">
        <v>0</v>
      </c>
      <c r="AK214" s="7">
        <v>0</v>
      </c>
      <c r="AL214" s="7">
        <v>0</v>
      </c>
      <c r="AM214" s="7">
        <v>0</v>
      </c>
      <c r="AO214" s="7">
        <f t="shared" si="67"/>
        <v>0</v>
      </c>
      <c r="AP214" s="59">
        <f t="shared" si="58"/>
        <v>0</v>
      </c>
      <c r="AQ214" s="59">
        <f t="shared" si="59"/>
        <v>0</v>
      </c>
      <c r="AR214" s="59">
        <f t="shared" si="60"/>
        <v>0</v>
      </c>
      <c r="AS214" s="59">
        <f t="shared" si="61"/>
        <v>0</v>
      </c>
    </row>
    <row r="215" spans="1:45">
      <c r="A215" s="21" t="s">
        <v>984</v>
      </c>
      <c r="B215" s="18" t="s">
        <v>985</v>
      </c>
      <c r="C215" s="18">
        <v>0</v>
      </c>
      <c r="D215" s="18">
        <v>0</v>
      </c>
      <c r="E215" s="19"/>
      <c r="F215" s="20">
        <v>0.46</v>
      </c>
      <c r="G215" s="19">
        <v>0</v>
      </c>
      <c r="H215" s="19">
        <v>0</v>
      </c>
      <c r="I215" s="43">
        <v>0</v>
      </c>
      <c r="J215" s="43">
        <v>0</v>
      </c>
      <c r="K215" s="43">
        <v>0</v>
      </c>
      <c r="L215" s="43">
        <v>0</v>
      </c>
      <c r="M215" s="43">
        <v>0</v>
      </c>
      <c r="N215" s="44">
        <f t="shared" si="63"/>
        <v>0</v>
      </c>
      <c r="O215" s="44">
        <v>0</v>
      </c>
      <c r="P215" s="45">
        <f t="shared" si="64"/>
        <v>0</v>
      </c>
      <c r="Q215" s="54">
        <v>0</v>
      </c>
      <c r="R215" s="55">
        <v>0</v>
      </c>
      <c r="S215" s="55">
        <v>0</v>
      </c>
      <c r="T215" s="43">
        <v>0</v>
      </c>
      <c r="U215" s="43">
        <v>0</v>
      </c>
      <c r="V215" s="43">
        <v>0</v>
      </c>
      <c r="W215" s="43">
        <v>0</v>
      </c>
      <c r="X215" s="43">
        <v>0</v>
      </c>
      <c r="Y215" s="59">
        <f t="shared" si="65"/>
        <v>0</v>
      </c>
      <c r="Z215" s="43">
        <v>0</v>
      </c>
      <c r="AA215" s="43">
        <v>0</v>
      </c>
      <c r="AB215" s="60">
        <v>0</v>
      </c>
      <c r="AC215" s="43"/>
      <c r="AD215" s="43"/>
      <c r="AE215" s="43"/>
      <c r="AF215" s="43">
        <f t="shared" si="66"/>
        <v>0.46</v>
      </c>
      <c r="AG215" s="43"/>
      <c r="AH215" s="7"/>
      <c r="AI215" s="7">
        <v>0</v>
      </c>
      <c r="AJ215" s="7">
        <v>0</v>
      </c>
      <c r="AK215" s="7">
        <v>0</v>
      </c>
      <c r="AL215" s="7">
        <v>0</v>
      </c>
      <c r="AM215" s="7">
        <v>0</v>
      </c>
      <c r="AO215" s="7">
        <f t="shared" si="67"/>
        <v>0</v>
      </c>
      <c r="AP215" s="59">
        <f t="shared" si="58"/>
        <v>0</v>
      </c>
      <c r="AQ215" s="59">
        <f t="shared" si="59"/>
        <v>0</v>
      </c>
      <c r="AR215" s="59">
        <f t="shared" si="60"/>
        <v>0</v>
      </c>
      <c r="AS215" s="59">
        <f t="shared" si="61"/>
        <v>0</v>
      </c>
    </row>
    <row r="216" spans="1:45">
      <c r="A216" s="21" t="s">
        <v>986</v>
      </c>
      <c r="B216" s="174" t="s">
        <v>987</v>
      </c>
      <c r="C216" s="18">
        <v>0</v>
      </c>
      <c r="D216" s="18">
        <v>0</v>
      </c>
      <c r="E216" s="34"/>
      <c r="F216" s="20">
        <v>-32</v>
      </c>
      <c r="G216" s="19"/>
      <c r="H216" s="19"/>
      <c r="I216" s="43">
        <v>0</v>
      </c>
      <c r="J216" s="43">
        <v>0</v>
      </c>
      <c r="K216" s="43">
        <v>0</v>
      </c>
      <c r="L216" s="43">
        <v>0</v>
      </c>
      <c r="M216" s="43">
        <v>0</v>
      </c>
      <c r="N216" s="44">
        <f t="shared" si="63"/>
        <v>0</v>
      </c>
      <c r="O216" s="44">
        <v>0</v>
      </c>
      <c r="P216" s="45">
        <f t="shared" si="64"/>
        <v>0</v>
      </c>
      <c r="Q216" s="54">
        <v>0</v>
      </c>
      <c r="R216" s="55">
        <v>0</v>
      </c>
      <c r="S216" s="55">
        <v>0</v>
      </c>
      <c r="T216" s="43">
        <v>0</v>
      </c>
      <c r="U216" s="43">
        <v>0</v>
      </c>
      <c r="V216" s="43">
        <v>0</v>
      </c>
      <c r="W216" s="43">
        <v>0</v>
      </c>
      <c r="X216" s="43">
        <v>0</v>
      </c>
      <c r="Y216" s="59">
        <f t="shared" si="65"/>
        <v>0</v>
      </c>
      <c r="Z216" s="43">
        <v>0</v>
      </c>
      <c r="AA216" s="43">
        <v>0</v>
      </c>
      <c r="AB216" s="60">
        <v>0</v>
      </c>
      <c r="AC216" s="43"/>
      <c r="AD216" s="43"/>
      <c r="AE216" s="43"/>
      <c r="AF216" s="43">
        <f t="shared" si="66"/>
        <v>-32</v>
      </c>
      <c r="AG216" s="43"/>
      <c r="AH216" s="7"/>
      <c r="AI216" s="7">
        <v>0</v>
      </c>
      <c r="AJ216" s="7">
        <v>0</v>
      </c>
      <c r="AK216" s="7">
        <v>0</v>
      </c>
      <c r="AL216" s="7">
        <v>0</v>
      </c>
      <c r="AM216" s="7">
        <v>0</v>
      </c>
      <c r="AO216" s="7">
        <f t="shared" si="67"/>
        <v>0</v>
      </c>
      <c r="AP216" s="59">
        <f t="shared" si="58"/>
        <v>0</v>
      </c>
      <c r="AQ216" s="59">
        <f t="shared" si="59"/>
        <v>0</v>
      </c>
      <c r="AR216" s="59">
        <f t="shared" si="60"/>
        <v>0</v>
      </c>
      <c r="AS216" s="59">
        <f t="shared" si="61"/>
        <v>0</v>
      </c>
    </row>
    <row r="217" spans="1:45">
      <c r="A217" t="s">
        <v>988</v>
      </c>
      <c r="B217" s="27" t="s">
        <v>989</v>
      </c>
      <c r="C217" s="18" t="s">
        <v>3</v>
      </c>
      <c r="D217" s="18" t="s">
        <v>3</v>
      </c>
      <c r="E217" s="34"/>
      <c r="F217" s="20">
        <v>0</v>
      </c>
      <c r="G217" s="19"/>
      <c r="H217" s="19"/>
      <c r="I217" s="43">
        <v>0</v>
      </c>
      <c r="J217" s="43">
        <v>0</v>
      </c>
      <c r="K217" s="43">
        <v>0</v>
      </c>
      <c r="L217" s="43">
        <v>0</v>
      </c>
      <c r="M217" s="43">
        <v>0</v>
      </c>
      <c r="N217" s="44">
        <f t="shared" si="63"/>
        <v>0</v>
      </c>
      <c r="O217" s="44">
        <f>I217*$H$4+J217*$I$4+K217*$J$4+L217*$K$4+M217*$L$4</f>
        <v>0</v>
      </c>
      <c r="P217" s="45">
        <f t="shared" si="64"/>
        <v>0</v>
      </c>
      <c r="Q217" s="54"/>
      <c r="R217" s="55">
        <v>0</v>
      </c>
      <c r="S217" s="55">
        <v>0</v>
      </c>
      <c r="T217" s="43">
        <v>0</v>
      </c>
      <c r="U217" s="43">
        <v>0</v>
      </c>
      <c r="V217" s="43">
        <v>0</v>
      </c>
      <c r="W217" s="43">
        <v>0</v>
      </c>
      <c r="X217" s="43">
        <v>0</v>
      </c>
      <c r="Y217" s="59">
        <f t="shared" si="65"/>
        <v>0</v>
      </c>
      <c r="Z217" s="43">
        <v>0</v>
      </c>
      <c r="AA217" s="43">
        <v>0</v>
      </c>
      <c r="AB217" s="60">
        <v>0</v>
      </c>
      <c r="AC217" s="43"/>
      <c r="AD217" s="43"/>
      <c r="AE217" s="43"/>
      <c r="AF217" s="43">
        <f t="shared" si="66"/>
        <v>0</v>
      </c>
      <c r="AG217" s="43"/>
      <c r="AH217" s="7"/>
      <c r="AP217" s="59">
        <f t="shared" si="58"/>
        <v>0</v>
      </c>
      <c r="AQ217" s="59">
        <f t="shared" si="59"/>
        <v>0</v>
      </c>
      <c r="AR217" s="59">
        <f t="shared" si="60"/>
        <v>0</v>
      </c>
      <c r="AS217" s="59">
        <f t="shared" si="61"/>
        <v>0</v>
      </c>
    </row>
    <row r="218" spans="1:45">
      <c r="A218" s="21" t="s">
        <v>990</v>
      </c>
      <c r="B218" s="27" t="s">
        <v>991</v>
      </c>
      <c r="C218" s="18" t="s">
        <v>2</v>
      </c>
      <c r="D218" s="18" t="s">
        <v>2</v>
      </c>
      <c r="E218" s="27" t="s">
        <v>383</v>
      </c>
      <c r="F218" s="20">
        <v>2941468</v>
      </c>
      <c r="G218" s="19">
        <v>0</v>
      </c>
      <c r="H218" s="19">
        <v>2000000</v>
      </c>
      <c r="I218" s="43">
        <v>150</v>
      </c>
      <c r="J218" s="43">
        <v>100</v>
      </c>
      <c r="K218" s="43">
        <v>0</v>
      </c>
      <c r="L218" s="43">
        <v>0</v>
      </c>
      <c r="M218" s="43">
        <v>0</v>
      </c>
      <c r="N218" s="44">
        <f t="shared" ref="N218:N238" si="68">SUM(I218:M218)</f>
        <v>250</v>
      </c>
      <c r="O218" s="44">
        <f>I218*$H$3+J218*$I$3+K218*$J$3+L218*$K$3+M218*$L$3</f>
        <v>3511250</v>
      </c>
      <c r="P218" s="45">
        <f t="shared" si="64"/>
        <v>3511250</v>
      </c>
      <c r="Q218" s="54">
        <v>1773103.96491228</v>
      </c>
      <c r="R218" s="55">
        <v>150</v>
      </c>
      <c r="S218" s="55">
        <v>0</v>
      </c>
      <c r="T218" s="43">
        <v>0</v>
      </c>
      <c r="U218" s="43">
        <v>0</v>
      </c>
      <c r="V218" s="43">
        <v>20</v>
      </c>
      <c r="W218" s="43">
        <v>0</v>
      </c>
      <c r="X218" s="43">
        <v>0</v>
      </c>
      <c r="Y218" s="59">
        <f t="shared" si="65"/>
        <v>20</v>
      </c>
      <c r="Z218" s="43">
        <v>234000</v>
      </c>
      <c r="AA218" s="43">
        <v>350000</v>
      </c>
      <c r="AB218" s="60">
        <v>0</v>
      </c>
      <c r="AC218" s="43"/>
      <c r="AD218" s="43"/>
      <c r="AE218" s="43"/>
      <c r="AF218" s="43">
        <f t="shared" ref="AF218:AF238" si="69">F218+Z218-AA218-AB218-AC218-AD218-AE218</f>
        <v>2825468</v>
      </c>
      <c r="AG218" s="60">
        <f>AF218-AO218-H218</f>
        <v>510253.964912281</v>
      </c>
      <c r="AH218" s="7"/>
      <c r="AI218" s="7">
        <v>12600</v>
      </c>
      <c r="AJ218" s="7">
        <v>86000</v>
      </c>
      <c r="AK218" s="7">
        <v>201000</v>
      </c>
      <c r="AL218" s="7">
        <v>2105.26315789474</v>
      </c>
      <c r="AM218" s="7">
        <v>13508.7719298246</v>
      </c>
      <c r="AO218" s="7">
        <f t="shared" ref="AO218:AO228" si="70">AI218+AJ218+AK218+AL218+AM218</f>
        <v>315214.035087719</v>
      </c>
      <c r="AP218" s="59">
        <f t="shared" si="58"/>
        <v>250</v>
      </c>
      <c r="AQ218" s="59">
        <f t="shared" si="59"/>
        <v>-20</v>
      </c>
      <c r="AR218" s="59">
        <f t="shared" si="60"/>
        <v>19.2307692307692</v>
      </c>
      <c r="AS218" s="59">
        <f t="shared" si="61"/>
        <v>-1.53846153846154</v>
      </c>
    </row>
    <row r="219" spans="1:45">
      <c r="A219" s="21" t="s">
        <v>992</v>
      </c>
      <c r="B219" s="18" t="s">
        <v>993</v>
      </c>
      <c r="C219" s="18">
        <v>0</v>
      </c>
      <c r="D219" s="18">
        <v>0</v>
      </c>
      <c r="E219" s="19"/>
      <c r="F219" s="20">
        <v>-460.99</v>
      </c>
      <c r="G219" s="19">
        <v>0</v>
      </c>
      <c r="H219" s="19">
        <v>0</v>
      </c>
      <c r="I219" s="43">
        <v>0</v>
      </c>
      <c r="J219" s="43">
        <v>0</v>
      </c>
      <c r="K219" s="43">
        <v>0</v>
      </c>
      <c r="L219" s="43">
        <v>0</v>
      </c>
      <c r="M219" s="43">
        <v>0</v>
      </c>
      <c r="N219" s="44">
        <f t="shared" si="68"/>
        <v>0</v>
      </c>
      <c r="O219" s="44">
        <v>0</v>
      </c>
      <c r="P219" s="45">
        <f t="shared" si="64"/>
        <v>0</v>
      </c>
      <c r="Q219" s="54">
        <v>0</v>
      </c>
      <c r="R219" s="55">
        <v>0</v>
      </c>
      <c r="S219" s="55">
        <v>0</v>
      </c>
      <c r="T219" s="43">
        <v>0</v>
      </c>
      <c r="U219" s="43">
        <v>0</v>
      </c>
      <c r="V219" s="43">
        <v>0</v>
      </c>
      <c r="W219" s="43">
        <v>0</v>
      </c>
      <c r="X219" s="43">
        <v>0</v>
      </c>
      <c r="Y219" s="59">
        <f t="shared" si="65"/>
        <v>0</v>
      </c>
      <c r="Z219" s="43">
        <v>0</v>
      </c>
      <c r="AA219" s="43">
        <v>0</v>
      </c>
      <c r="AB219" s="60">
        <v>0</v>
      </c>
      <c r="AC219" s="43"/>
      <c r="AD219" s="43"/>
      <c r="AE219" s="43"/>
      <c r="AF219" s="43">
        <f t="shared" si="69"/>
        <v>-460.99</v>
      </c>
      <c r="AG219" s="43"/>
      <c r="AH219" s="7"/>
      <c r="AI219" s="7">
        <v>0</v>
      </c>
      <c r="AJ219" s="7">
        <v>0</v>
      </c>
      <c r="AK219" s="7">
        <v>0</v>
      </c>
      <c r="AL219" s="7">
        <v>0</v>
      </c>
      <c r="AM219" s="7">
        <v>0</v>
      </c>
      <c r="AO219" s="7">
        <f t="shared" si="70"/>
        <v>0</v>
      </c>
      <c r="AP219" s="59">
        <f t="shared" si="58"/>
        <v>0</v>
      </c>
      <c r="AQ219" s="59">
        <f t="shared" si="59"/>
        <v>0</v>
      </c>
      <c r="AR219" s="59">
        <f t="shared" si="60"/>
        <v>0</v>
      </c>
      <c r="AS219" s="59">
        <f t="shared" si="61"/>
        <v>0</v>
      </c>
    </row>
    <row r="220" spans="1:45">
      <c r="A220" s="21" t="s">
        <v>994</v>
      </c>
      <c r="B220" s="174" t="s">
        <v>995</v>
      </c>
      <c r="C220" s="18" t="s">
        <v>99</v>
      </c>
      <c r="D220" s="18" t="s">
        <v>99</v>
      </c>
      <c r="E220" s="34"/>
      <c r="F220" s="20">
        <v>27200</v>
      </c>
      <c r="G220" s="19"/>
      <c r="H220" s="19"/>
      <c r="I220" s="43">
        <v>20</v>
      </c>
      <c r="J220" s="43">
        <v>0</v>
      </c>
      <c r="K220" s="43">
        <v>0</v>
      </c>
      <c r="L220" s="43">
        <v>0</v>
      </c>
      <c r="M220" s="43">
        <v>0</v>
      </c>
      <c r="N220" s="44">
        <f t="shared" si="68"/>
        <v>20</v>
      </c>
      <c r="O220" s="44">
        <f>I220*$H$2+J220*$I$2+K220*$J$2+L220*$K$2+M220*$L$2</f>
        <v>273000</v>
      </c>
      <c r="P220" s="45">
        <f t="shared" si="64"/>
        <v>273000</v>
      </c>
      <c r="Q220" s="54">
        <v>27200</v>
      </c>
      <c r="R220" s="55">
        <v>10</v>
      </c>
      <c r="S220" s="55">
        <v>0</v>
      </c>
      <c r="T220" s="43">
        <v>0</v>
      </c>
      <c r="U220" s="43">
        <v>0</v>
      </c>
      <c r="V220" s="43">
        <v>0</v>
      </c>
      <c r="W220" s="43">
        <v>0</v>
      </c>
      <c r="X220" s="43">
        <v>0</v>
      </c>
      <c r="Y220" s="59">
        <f t="shared" si="65"/>
        <v>0</v>
      </c>
      <c r="Z220" s="43">
        <v>0</v>
      </c>
      <c r="AA220" s="43">
        <v>0</v>
      </c>
      <c r="AB220" s="60">
        <v>0</v>
      </c>
      <c r="AC220" s="43"/>
      <c r="AD220" s="43"/>
      <c r="AE220" s="43"/>
      <c r="AF220" s="43">
        <f t="shared" si="69"/>
        <v>27200</v>
      </c>
      <c r="AG220" s="43"/>
      <c r="AH220" s="7"/>
      <c r="AI220" s="7">
        <v>0</v>
      </c>
      <c r="AJ220" s="7">
        <v>0</v>
      </c>
      <c r="AK220" s="7">
        <v>0</v>
      </c>
      <c r="AL220" s="7">
        <v>0</v>
      </c>
      <c r="AM220" s="7">
        <v>0</v>
      </c>
      <c r="AO220" s="7">
        <f t="shared" si="70"/>
        <v>0</v>
      </c>
      <c r="AP220" s="59">
        <f t="shared" si="58"/>
        <v>20</v>
      </c>
      <c r="AQ220" s="59">
        <f t="shared" si="59"/>
        <v>0</v>
      </c>
      <c r="AR220" s="59">
        <f t="shared" si="60"/>
        <v>1.53846153846154</v>
      </c>
      <c r="AS220" s="59">
        <f t="shared" si="61"/>
        <v>0</v>
      </c>
    </row>
    <row r="221" spans="1:45">
      <c r="A221" s="21" t="s">
        <v>996</v>
      </c>
      <c r="B221" s="18" t="str">
        <f>IFERROR(VLOOKUP(A221,[9]Sheet1!D:E,2,FALSE),0)</f>
        <v>01534</v>
      </c>
      <c r="C221" s="18" t="s">
        <v>3</v>
      </c>
      <c r="D221" s="18" t="str">
        <f>C221</f>
        <v>Conversion</v>
      </c>
      <c r="E221" s="19"/>
      <c r="F221" s="20">
        <v>88306</v>
      </c>
      <c r="G221" s="19"/>
      <c r="H221" s="18"/>
      <c r="I221" s="43">
        <v>0</v>
      </c>
      <c r="J221" s="43">
        <v>0</v>
      </c>
      <c r="K221" s="43">
        <v>0</v>
      </c>
      <c r="L221" s="43">
        <v>0</v>
      </c>
      <c r="M221" s="43">
        <v>0</v>
      </c>
      <c r="N221" s="44">
        <f t="shared" si="68"/>
        <v>0</v>
      </c>
      <c r="O221" s="44">
        <f>I221*$H$4+J221*$I$4+K221*$J$4+L221*$K$4+M221*$L$4</f>
        <v>0</v>
      </c>
      <c r="P221" s="45">
        <f t="shared" si="64"/>
        <v>0</v>
      </c>
      <c r="Q221" s="54">
        <v>53506</v>
      </c>
      <c r="R221" s="55">
        <v>10</v>
      </c>
      <c r="S221" s="55">
        <v>0</v>
      </c>
      <c r="T221" s="43">
        <v>0</v>
      </c>
      <c r="U221" s="43">
        <v>0</v>
      </c>
      <c r="V221" s="43">
        <v>0</v>
      </c>
      <c r="W221" s="43">
        <v>0</v>
      </c>
      <c r="X221" s="43">
        <v>0</v>
      </c>
      <c r="Y221" s="59">
        <f t="shared" si="65"/>
        <v>0</v>
      </c>
      <c r="Z221" s="43">
        <v>0</v>
      </c>
      <c r="AA221" s="43">
        <v>37500</v>
      </c>
      <c r="AB221" s="60">
        <v>0</v>
      </c>
      <c r="AC221" s="43"/>
      <c r="AD221" s="43"/>
      <c r="AE221" s="43"/>
      <c r="AF221" s="43">
        <f t="shared" si="69"/>
        <v>50806</v>
      </c>
      <c r="AG221" s="43"/>
      <c r="AH221" s="7"/>
      <c r="AI221" s="7">
        <v>0</v>
      </c>
      <c r="AJ221" s="7">
        <v>15000</v>
      </c>
      <c r="AK221" s="7">
        <v>15300</v>
      </c>
      <c r="AL221" s="7">
        <v>0</v>
      </c>
      <c r="AM221" s="7">
        <v>0</v>
      </c>
      <c r="AO221" s="7">
        <f t="shared" si="70"/>
        <v>30300</v>
      </c>
      <c r="AP221" s="59">
        <f t="shared" si="58"/>
        <v>0</v>
      </c>
      <c r="AQ221" s="59">
        <f t="shared" si="59"/>
        <v>0</v>
      </c>
      <c r="AR221" s="59">
        <f t="shared" si="60"/>
        <v>0</v>
      </c>
      <c r="AS221" s="59">
        <f t="shared" si="61"/>
        <v>0</v>
      </c>
    </row>
    <row r="222" spans="1:45">
      <c r="A222" s="21" t="s">
        <v>997</v>
      </c>
      <c r="B222" s="18" t="s">
        <v>998</v>
      </c>
      <c r="C222" s="18">
        <v>0</v>
      </c>
      <c r="D222" s="18" t="s">
        <v>52</v>
      </c>
      <c r="E222" s="21"/>
      <c r="F222" s="20">
        <v>7734.66</v>
      </c>
      <c r="G222" s="21">
        <v>0</v>
      </c>
      <c r="H222" s="19">
        <v>0</v>
      </c>
      <c r="I222" s="43">
        <v>0</v>
      </c>
      <c r="J222" s="43">
        <v>0</v>
      </c>
      <c r="K222" s="43">
        <v>0</v>
      </c>
      <c r="L222" s="43">
        <v>0</v>
      </c>
      <c r="M222" s="43">
        <v>0</v>
      </c>
      <c r="N222" s="44">
        <f t="shared" si="68"/>
        <v>0</v>
      </c>
      <c r="O222" s="44">
        <f>I222*$H$1+J222*$I$1+K222*$J$1+L222*$K$1+M222*$L$1</f>
        <v>0</v>
      </c>
      <c r="P222" s="45">
        <f t="shared" si="64"/>
        <v>0</v>
      </c>
      <c r="Q222" s="54">
        <v>0</v>
      </c>
      <c r="R222" s="55">
        <v>0</v>
      </c>
      <c r="S222" s="55">
        <v>0</v>
      </c>
      <c r="T222" s="43">
        <v>0</v>
      </c>
      <c r="U222" s="43">
        <v>0</v>
      </c>
      <c r="V222" s="43">
        <v>0</v>
      </c>
      <c r="W222" s="43">
        <v>0</v>
      </c>
      <c r="X222" s="43">
        <v>0</v>
      </c>
      <c r="Y222" s="59">
        <f t="shared" si="65"/>
        <v>0</v>
      </c>
      <c r="Z222" s="43">
        <v>0</v>
      </c>
      <c r="AA222" s="43">
        <v>0</v>
      </c>
      <c r="AB222" s="60">
        <v>0</v>
      </c>
      <c r="AC222" s="43"/>
      <c r="AD222" s="43"/>
      <c r="AE222" s="43"/>
      <c r="AF222" s="43">
        <f t="shared" si="69"/>
        <v>7734.66</v>
      </c>
      <c r="AG222" s="43"/>
      <c r="AH222" s="7"/>
      <c r="AI222" s="7">
        <v>0</v>
      </c>
      <c r="AJ222" s="7">
        <v>0</v>
      </c>
      <c r="AK222" s="7">
        <v>0</v>
      </c>
      <c r="AL222" s="7">
        <v>0</v>
      </c>
      <c r="AM222" s="7">
        <v>0</v>
      </c>
      <c r="AO222" s="7">
        <f t="shared" si="70"/>
        <v>0</v>
      </c>
      <c r="AP222" s="59">
        <f t="shared" si="58"/>
        <v>0</v>
      </c>
      <c r="AQ222" s="59">
        <f t="shared" si="59"/>
        <v>0</v>
      </c>
      <c r="AR222" s="59">
        <f t="shared" si="60"/>
        <v>0</v>
      </c>
      <c r="AS222" s="59">
        <f t="shared" si="61"/>
        <v>0</v>
      </c>
    </row>
    <row r="223" spans="1:45">
      <c r="A223" s="21" t="s">
        <v>999</v>
      </c>
      <c r="B223" s="18" t="s">
        <v>1000</v>
      </c>
      <c r="C223" s="18">
        <v>0</v>
      </c>
      <c r="D223" s="18">
        <v>0</v>
      </c>
      <c r="E223" s="19"/>
      <c r="F223" s="20">
        <v>846873</v>
      </c>
      <c r="G223" s="19">
        <v>0</v>
      </c>
      <c r="H223" s="19">
        <v>702500</v>
      </c>
      <c r="I223" s="43">
        <v>0</v>
      </c>
      <c r="J223" s="43">
        <v>0</v>
      </c>
      <c r="K223" s="43">
        <v>0</v>
      </c>
      <c r="L223" s="43">
        <v>0</v>
      </c>
      <c r="M223" s="43">
        <v>0</v>
      </c>
      <c r="N223" s="44">
        <f t="shared" si="68"/>
        <v>0</v>
      </c>
      <c r="O223" s="44">
        <v>0</v>
      </c>
      <c r="P223" s="45">
        <f t="shared" si="64"/>
        <v>0</v>
      </c>
      <c r="Q223" s="54">
        <v>0</v>
      </c>
      <c r="R223" s="55">
        <v>0</v>
      </c>
      <c r="S223" s="55">
        <v>0</v>
      </c>
      <c r="T223" s="43">
        <v>0</v>
      </c>
      <c r="U223" s="43">
        <v>0</v>
      </c>
      <c r="V223" s="43">
        <v>0</v>
      </c>
      <c r="W223" s="43">
        <v>0</v>
      </c>
      <c r="X223" s="43">
        <v>0</v>
      </c>
      <c r="Y223" s="59">
        <f t="shared" si="65"/>
        <v>0</v>
      </c>
      <c r="Z223" s="43">
        <v>0</v>
      </c>
      <c r="AA223" s="43">
        <v>0</v>
      </c>
      <c r="AB223" s="60">
        <v>0</v>
      </c>
      <c r="AC223" s="43"/>
      <c r="AD223" s="43"/>
      <c r="AE223" s="43"/>
      <c r="AF223" s="43">
        <f t="shared" si="69"/>
        <v>846873</v>
      </c>
      <c r="AG223" s="43"/>
      <c r="AH223" s="7"/>
      <c r="AI223" s="7">
        <v>0</v>
      </c>
      <c r="AJ223" s="7">
        <v>0</v>
      </c>
      <c r="AK223" s="7">
        <v>0</v>
      </c>
      <c r="AL223" s="7">
        <v>0</v>
      </c>
      <c r="AM223" s="7">
        <v>0</v>
      </c>
      <c r="AO223" s="7">
        <f t="shared" si="70"/>
        <v>0</v>
      </c>
      <c r="AP223" s="59">
        <f t="shared" si="58"/>
        <v>0</v>
      </c>
      <c r="AQ223" s="59">
        <f t="shared" si="59"/>
        <v>0</v>
      </c>
      <c r="AR223" s="59">
        <f t="shared" si="60"/>
        <v>0</v>
      </c>
      <c r="AS223" s="59">
        <f t="shared" si="61"/>
        <v>0</v>
      </c>
    </row>
    <row r="224" spans="1:45">
      <c r="A224" s="21" t="s">
        <v>1001</v>
      </c>
      <c r="B224" s="177" t="s">
        <v>1002</v>
      </c>
      <c r="C224" s="18" t="s">
        <v>99</v>
      </c>
      <c r="D224" s="18" t="s">
        <v>99</v>
      </c>
      <c r="E224" s="96"/>
      <c r="F224" s="20">
        <v>23680</v>
      </c>
      <c r="G224" s="21"/>
      <c r="H224" s="19"/>
      <c r="I224" s="43">
        <v>0</v>
      </c>
      <c r="J224" s="43">
        <v>0</v>
      </c>
      <c r="K224" s="43">
        <v>0</v>
      </c>
      <c r="L224" s="43">
        <v>0</v>
      </c>
      <c r="M224" s="43">
        <v>0</v>
      </c>
      <c r="N224" s="44">
        <f t="shared" si="68"/>
        <v>0</v>
      </c>
      <c r="O224" s="44">
        <f>I224*$H$2+J224*$I$2+K224*$J$2+L224*$K$2+M224*$L$2</f>
        <v>0</v>
      </c>
      <c r="P224" s="45">
        <f t="shared" si="64"/>
        <v>0</v>
      </c>
      <c r="Q224" s="54">
        <v>0</v>
      </c>
      <c r="R224" s="55">
        <v>0</v>
      </c>
      <c r="S224" s="55">
        <v>0</v>
      </c>
      <c r="T224" s="43">
        <v>0</v>
      </c>
      <c r="U224" s="43">
        <v>0</v>
      </c>
      <c r="V224" s="43">
        <v>0</v>
      </c>
      <c r="W224" s="43">
        <v>0</v>
      </c>
      <c r="X224" s="43">
        <v>0</v>
      </c>
      <c r="Y224" s="59">
        <f t="shared" si="65"/>
        <v>0</v>
      </c>
      <c r="Z224" s="43">
        <v>0</v>
      </c>
      <c r="AA224" s="43">
        <v>0</v>
      </c>
      <c r="AB224" s="60">
        <v>0</v>
      </c>
      <c r="AC224" s="43"/>
      <c r="AD224" s="43"/>
      <c r="AE224" s="43"/>
      <c r="AF224" s="43">
        <f t="shared" si="69"/>
        <v>23680</v>
      </c>
      <c r="AG224" s="43"/>
      <c r="AH224" s="69"/>
      <c r="AI224" s="7">
        <v>0</v>
      </c>
      <c r="AJ224" s="7">
        <v>0</v>
      </c>
      <c r="AK224" s="7">
        <v>0</v>
      </c>
      <c r="AL224" s="7">
        <v>0</v>
      </c>
      <c r="AM224" s="7">
        <v>0</v>
      </c>
      <c r="AO224" s="7">
        <f t="shared" si="70"/>
        <v>0</v>
      </c>
      <c r="AP224" s="59">
        <f t="shared" si="58"/>
        <v>0</v>
      </c>
      <c r="AQ224" s="59">
        <f t="shared" si="59"/>
        <v>0</v>
      </c>
      <c r="AR224" s="59">
        <f t="shared" si="60"/>
        <v>0</v>
      </c>
      <c r="AS224" s="59">
        <f t="shared" si="61"/>
        <v>0</v>
      </c>
    </row>
    <row r="225" spans="1:45">
      <c r="A225" s="21" t="s">
        <v>1003</v>
      </c>
      <c r="B225" s="18" t="s">
        <v>1004</v>
      </c>
      <c r="C225" s="18">
        <v>0</v>
      </c>
      <c r="D225" s="18">
        <v>0</v>
      </c>
      <c r="E225" s="19"/>
      <c r="F225" s="20">
        <v>278550</v>
      </c>
      <c r="G225" s="19">
        <v>0</v>
      </c>
      <c r="H225" s="19">
        <v>0</v>
      </c>
      <c r="I225" s="43">
        <v>0</v>
      </c>
      <c r="J225" s="43">
        <v>0</v>
      </c>
      <c r="K225" s="43">
        <v>0</v>
      </c>
      <c r="L225" s="43">
        <v>0</v>
      </c>
      <c r="M225" s="43">
        <v>0</v>
      </c>
      <c r="N225" s="44">
        <f t="shared" si="68"/>
        <v>0</v>
      </c>
      <c r="O225" s="44">
        <v>0</v>
      </c>
      <c r="P225" s="45">
        <f t="shared" si="64"/>
        <v>0</v>
      </c>
      <c r="Q225" s="54">
        <v>0</v>
      </c>
      <c r="R225" s="55">
        <v>0</v>
      </c>
      <c r="S225" s="55">
        <v>0</v>
      </c>
      <c r="T225" s="43">
        <v>0</v>
      </c>
      <c r="U225" s="43">
        <v>0</v>
      </c>
      <c r="V225" s="43">
        <v>0</v>
      </c>
      <c r="W225" s="43">
        <v>0</v>
      </c>
      <c r="X225" s="43">
        <v>0</v>
      </c>
      <c r="Y225" s="59">
        <f t="shared" si="65"/>
        <v>0</v>
      </c>
      <c r="Z225" s="43">
        <v>0</v>
      </c>
      <c r="AA225" s="43">
        <v>0</v>
      </c>
      <c r="AB225" s="60">
        <v>0</v>
      </c>
      <c r="AC225" s="43"/>
      <c r="AD225" s="43"/>
      <c r="AE225" s="43"/>
      <c r="AF225" s="43">
        <f t="shared" si="69"/>
        <v>278550</v>
      </c>
      <c r="AG225" s="43"/>
      <c r="AH225" s="7"/>
      <c r="AI225" s="7">
        <v>0</v>
      </c>
      <c r="AJ225" s="7">
        <v>0</v>
      </c>
      <c r="AK225" s="7">
        <v>0</v>
      </c>
      <c r="AL225" s="7">
        <v>0</v>
      </c>
      <c r="AM225" s="7">
        <v>0</v>
      </c>
      <c r="AO225" s="7">
        <f t="shared" si="70"/>
        <v>0</v>
      </c>
      <c r="AP225" s="59">
        <f t="shared" si="58"/>
        <v>0</v>
      </c>
      <c r="AQ225" s="59">
        <f t="shared" si="59"/>
        <v>0</v>
      </c>
      <c r="AR225" s="59">
        <f t="shared" si="60"/>
        <v>0</v>
      </c>
      <c r="AS225" s="59">
        <f t="shared" si="61"/>
        <v>0</v>
      </c>
    </row>
    <row r="226" spans="1:45">
      <c r="A226" s="21" t="s">
        <v>1005</v>
      </c>
      <c r="B226" s="27" t="s">
        <v>1006</v>
      </c>
      <c r="C226" s="18">
        <v>0</v>
      </c>
      <c r="D226" s="18" t="s">
        <v>49</v>
      </c>
      <c r="E226" s="28"/>
      <c r="F226" s="20">
        <v>0</v>
      </c>
      <c r="G226" s="19">
        <v>0</v>
      </c>
      <c r="H226" s="19">
        <v>0</v>
      </c>
      <c r="I226" s="43">
        <v>0</v>
      </c>
      <c r="J226" s="43">
        <v>0</v>
      </c>
      <c r="K226" s="43">
        <v>0</v>
      </c>
      <c r="L226" s="43">
        <v>0</v>
      </c>
      <c r="M226" s="43">
        <v>0</v>
      </c>
      <c r="N226" s="44">
        <f t="shared" si="68"/>
        <v>0</v>
      </c>
      <c r="O226" s="44">
        <f>I226*$H$4+J226*$I$4+K226*$J$4+L226*$K$4+M226*$L$4</f>
        <v>0</v>
      </c>
      <c r="P226" s="45">
        <f t="shared" si="64"/>
        <v>0</v>
      </c>
      <c r="Q226" s="54">
        <v>0</v>
      </c>
      <c r="R226" s="55">
        <v>0</v>
      </c>
      <c r="S226" s="55">
        <v>0</v>
      </c>
      <c r="T226" s="43">
        <v>0</v>
      </c>
      <c r="U226" s="43">
        <v>0</v>
      </c>
      <c r="V226" s="43">
        <v>0</v>
      </c>
      <c r="W226" s="43">
        <v>0</v>
      </c>
      <c r="X226" s="43">
        <v>0</v>
      </c>
      <c r="Y226" s="59">
        <f t="shared" si="65"/>
        <v>0</v>
      </c>
      <c r="Z226" s="43">
        <v>0</v>
      </c>
      <c r="AA226" s="43">
        <v>0</v>
      </c>
      <c r="AB226" s="60">
        <v>0</v>
      </c>
      <c r="AC226" s="43"/>
      <c r="AD226" s="43"/>
      <c r="AE226" s="43"/>
      <c r="AF226" s="43">
        <f t="shared" si="69"/>
        <v>0</v>
      </c>
      <c r="AG226" s="43"/>
      <c r="AH226" s="7"/>
      <c r="AI226" s="7">
        <v>0</v>
      </c>
      <c r="AJ226" s="7">
        <v>0</v>
      </c>
      <c r="AK226" s="7">
        <v>0</v>
      </c>
      <c r="AL226" s="7">
        <v>0</v>
      </c>
      <c r="AM226" s="7">
        <v>0</v>
      </c>
      <c r="AO226" s="7">
        <f t="shared" si="70"/>
        <v>0</v>
      </c>
      <c r="AP226" s="59">
        <f t="shared" si="58"/>
        <v>0</v>
      </c>
      <c r="AQ226" s="59">
        <f t="shared" si="59"/>
        <v>0</v>
      </c>
      <c r="AR226" s="59">
        <f t="shared" si="60"/>
        <v>0</v>
      </c>
      <c r="AS226" s="59">
        <f t="shared" si="61"/>
        <v>0</v>
      </c>
    </row>
    <row r="227" spans="1:45">
      <c r="A227" s="21" t="s">
        <v>1007</v>
      </c>
      <c r="B227" s="18" t="s">
        <v>1008</v>
      </c>
      <c r="C227" s="18">
        <v>0</v>
      </c>
      <c r="D227" s="18">
        <v>0</v>
      </c>
      <c r="E227" s="19"/>
      <c r="F227" s="20">
        <v>-100</v>
      </c>
      <c r="G227" s="19">
        <v>0</v>
      </c>
      <c r="H227" s="19">
        <v>0</v>
      </c>
      <c r="I227" s="43">
        <v>0</v>
      </c>
      <c r="J227" s="43">
        <v>0</v>
      </c>
      <c r="K227" s="43">
        <v>0</v>
      </c>
      <c r="L227" s="43">
        <v>0</v>
      </c>
      <c r="M227" s="43">
        <v>0</v>
      </c>
      <c r="N227" s="44">
        <f t="shared" si="68"/>
        <v>0</v>
      </c>
      <c r="O227" s="44">
        <v>0</v>
      </c>
      <c r="P227" s="45">
        <f t="shared" si="64"/>
        <v>0</v>
      </c>
      <c r="Q227" s="54">
        <v>0</v>
      </c>
      <c r="R227" s="55">
        <v>0</v>
      </c>
      <c r="S227" s="55">
        <v>0</v>
      </c>
      <c r="T227" s="43">
        <v>0</v>
      </c>
      <c r="U227" s="43">
        <v>0</v>
      </c>
      <c r="V227" s="43">
        <v>0</v>
      </c>
      <c r="W227" s="43">
        <v>0</v>
      </c>
      <c r="X227" s="43">
        <v>0</v>
      </c>
      <c r="Y227" s="59">
        <f t="shared" si="65"/>
        <v>0</v>
      </c>
      <c r="Z227" s="43">
        <v>0</v>
      </c>
      <c r="AA227" s="43">
        <v>0</v>
      </c>
      <c r="AB227" s="60">
        <v>0</v>
      </c>
      <c r="AC227" s="43"/>
      <c r="AD227" s="43"/>
      <c r="AE227" s="43"/>
      <c r="AF227" s="43">
        <f t="shared" si="69"/>
        <v>-100</v>
      </c>
      <c r="AG227" s="43"/>
      <c r="AH227" s="7"/>
      <c r="AI227" s="7">
        <v>0</v>
      </c>
      <c r="AJ227" s="7">
        <v>0</v>
      </c>
      <c r="AK227" s="7">
        <v>0</v>
      </c>
      <c r="AL227" s="7">
        <v>0</v>
      </c>
      <c r="AM227" s="7">
        <v>0</v>
      </c>
      <c r="AO227" s="7">
        <f t="shared" si="70"/>
        <v>0</v>
      </c>
      <c r="AP227" s="59">
        <f t="shared" si="58"/>
        <v>0</v>
      </c>
      <c r="AQ227" s="59">
        <f t="shared" si="59"/>
        <v>0</v>
      </c>
      <c r="AR227" s="59">
        <f t="shared" si="60"/>
        <v>0</v>
      </c>
      <c r="AS227" s="59">
        <f t="shared" si="61"/>
        <v>0</v>
      </c>
    </row>
    <row r="228" spans="1:45">
      <c r="A228" s="21" t="s">
        <v>1009</v>
      </c>
      <c r="B228" s="18" t="s">
        <v>1010</v>
      </c>
      <c r="C228" s="18">
        <v>0</v>
      </c>
      <c r="D228" s="18" t="s">
        <v>52</v>
      </c>
      <c r="E228" s="19"/>
      <c r="F228" s="20">
        <v>-225.38</v>
      </c>
      <c r="G228" s="19">
        <v>0</v>
      </c>
      <c r="H228" s="19">
        <v>0</v>
      </c>
      <c r="I228" s="43">
        <v>0</v>
      </c>
      <c r="J228" s="43">
        <v>0</v>
      </c>
      <c r="K228" s="43">
        <v>0</v>
      </c>
      <c r="L228" s="43">
        <v>0</v>
      </c>
      <c r="M228" s="43">
        <v>0</v>
      </c>
      <c r="N228" s="44">
        <f t="shared" si="68"/>
        <v>0</v>
      </c>
      <c r="O228" s="44">
        <f>I228*$H$1+J228*$I$1+K228*$J$1+L228*$K$1+M228*$L$1</f>
        <v>0</v>
      </c>
      <c r="P228" s="45">
        <f t="shared" si="64"/>
        <v>0</v>
      </c>
      <c r="Q228" s="54">
        <v>0</v>
      </c>
      <c r="R228" s="55">
        <v>0</v>
      </c>
      <c r="S228" s="55">
        <v>0</v>
      </c>
      <c r="T228" s="43">
        <v>0</v>
      </c>
      <c r="U228" s="43">
        <v>0</v>
      </c>
      <c r="V228" s="43">
        <v>0</v>
      </c>
      <c r="W228" s="43">
        <v>0</v>
      </c>
      <c r="X228" s="43">
        <v>0</v>
      </c>
      <c r="Y228" s="59">
        <f t="shared" si="65"/>
        <v>0</v>
      </c>
      <c r="Z228" s="43">
        <v>0</v>
      </c>
      <c r="AA228" s="43">
        <v>0</v>
      </c>
      <c r="AB228" s="60">
        <v>0</v>
      </c>
      <c r="AC228" s="43"/>
      <c r="AD228" s="43"/>
      <c r="AE228" s="43"/>
      <c r="AF228" s="43">
        <f t="shared" si="69"/>
        <v>-225.38</v>
      </c>
      <c r="AG228" s="43"/>
      <c r="AH228" s="7"/>
      <c r="AI228" s="7">
        <v>0</v>
      </c>
      <c r="AJ228" s="7">
        <v>0</v>
      </c>
      <c r="AK228" s="7">
        <v>0</v>
      </c>
      <c r="AL228" s="7">
        <v>0</v>
      </c>
      <c r="AM228" s="7">
        <v>0</v>
      </c>
      <c r="AO228" s="7">
        <f t="shared" si="70"/>
        <v>0</v>
      </c>
      <c r="AP228" s="59">
        <f t="shared" si="58"/>
        <v>0</v>
      </c>
      <c r="AQ228" s="59">
        <f t="shared" si="59"/>
        <v>0</v>
      </c>
      <c r="AR228" s="59">
        <f t="shared" si="60"/>
        <v>0</v>
      </c>
      <c r="AS228" s="59">
        <f t="shared" si="61"/>
        <v>0</v>
      </c>
    </row>
    <row r="229" spans="1:45">
      <c r="A229" s="21" t="s">
        <v>1011</v>
      </c>
      <c r="B229" s="18" t="s">
        <v>1012</v>
      </c>
      <c r="C229" s="18" t="s">
        <v>49</v>
      </c>
      <c r="D229" s="18" t="s">
        <v>49</v>
      </c>
      <c r="E229" s="19"/>
      <c r="F229" s="20">
        <v>2916</v>
      </c>
      <c r="G229" s="19"/>
      <c r="H229" s="19"/>
      <c r="I229" s="43">
        <v>0</v>
      </c>
      <c r="J229" s="43">
        <v>0</v>
      </c>
      <c r="K229" s="43">
        <v>0</v>
      </c>
      <c r="L229" s="43">
        <v>0</v>
      </c>
      <c r="M229" s="43">
        <v>0</v>
      </c>
      <c r="N229" s="44">
        <f t="shared" si="68"/>
        <v>0</v>
      </c>
      <c r="O229" s="44">
        <f>I229*$H$4+J229*$I$4+K229*$J$4+L229*$K$4+M229*$L$4</f>
        <v>0</v>
      </c>
      <c r="P229" s="45">
        <f t="shared" si="64"/>
        <v>0</v>
      </c>
      <c r="Q229" s="54"/>
      <c r="R229" s="55">
        <v>0</v>
      </c>
      <c r="S229" s="55">
        <v>0</v>
      </c>
      <c r="T229" s="43">
        <v>0</v>
      </c>
      <c r="U229" s="43">
        <v>0</v>
      </c>
      <c r="V229" s="43">
        <v>0</v>
      </c>
      <c r="W229" s="43">
        <v>0</v>
      </c>
      <c r="X229" s="43">
        <v>0</v>
      </c>
      <c r="Y229" s="59">
        <f t="shared" si="65"/>
        <v>0</v>
      </c>
      <c r="Z229" s="43">
        <v>0</v>
      </c>
      <c r="AA229" s="43">
        <v>0</v>
      </c>
      <c r="AB229" s="60">
        <v>0</v>
      </c>
      <c r="AC229" s="43"/>
      <c r="AD229" s="43"/>
      <c r="AE229" s="43"/>
      <c r="AF229" s="43">
        <f t="shared" si="69"/>
        <v>2916</v>
      </c>
      <c r="AG229" s="43"/>
      <c r="AH229" s="7"/>
      <c r="AP229" s="59">
        <f t="shared" si="58"/>
        <v>0</v>
      </c>
      <c r="AQ229" s="59">
        <f t="shared" si="59"/>
        <v>0</v>
      </c>
      <c r="AR229" s="59">
        <f t="shared" si="60"/>
        <v>0</v>
      </c>
      <c r="AS229" s="59">
        <f t="shared" si="61"/>
        <v>0</v>
      </c>
    </row>
    <row r="230" spans="1:45">
      <c r="A230" s="21" t="s">
        <v>1013</v>
      </c>
      <c r="B230" s="174" t="s">
        <v>1014</v>
      </c>
      <c r="C230" s="18" t="s">
        <v>99</v>
      </c>
      <c r="D230" s="18" t="s">
        <v>99</v>
      </c>
      <c r="E230" s="34"/>
      <c r="F230" s="20">
        <v>50</v>
      </c>
      <c r="G230" s="19"/>
      <c r="H230" s="19"/>
      <c r="I230" s="43">
        <v>5</v>
      </c>
      <c r="J230" s="43">
        <v>0</v>
      </c>
      <c r="K230" s="43">
        <v>0</v>
      </c>
      <c r="L230" s="43">
        <v>5</v>
      </c>
      <c r="M230" s="43">
        <v>0</v>
      </c>
      <c r="N230" s="44">
        <f t="shared" si="68"/>
        <v>10</v>
      </c>
      <c r="O230" s="44">
        <f>I230*$H$2+J230*$I$2+K230*$J$2+L230*$K$2+M230*$L$2</f>
        <v>168250</v>
      </c>
      <c r="P230" s="45">
        <f t="shared" si="64"/>
        <v>168250</v>
      </c>
      <c r="Q230" s="54">
        <v>0</v>
      </c>
      <c r="R230" s="55">
        <v>0</v>
      </c>
      <c r="S230" s="55">
        <v>0</v>
      </c>
      <c r="T230" s="43">
        <v>0</v>
      </c>
      <c r="U230" s="43">
        <v>0</v>
      </c>
      <c r="V230" s="43">
        <v>0</v>
      </c>
      <c r="W230" s="43">
        <v>2</v>
      </c>
      <c r="X230" s="43">
        <v>0</v>
      </c>
      <c r="Y230" s="59">
        <f t="shared" si="65"/>
        <v>2</v>
      </c>
      <c r="Z230" s="43">
        <v>35100</v>
      </c>
      <c r="AA230" s="43">
        <v>17550</v>
      </c>
      <c r="AB230" s="60">
        <v>0</v>
      </c>
      <c r="AC230" s="43"/>
      <c r="AD230" s="43"/>
      <c r="AE230" s="43"/>
      <c r="AF230" s="43">
        <f t="shared" si="69"/>
        <v>17600</v>
      </c>
      <c r="AG230" s="60">
        <f>AF230-AO230-H230</f>
        <v>17600</v>
      </c>
      <c r="AH230" s="7"/>
      <c r="AI230" s="7">
        <v>0</v>
      </c>
      <c r="AJ230" s="7">
        <v>0</v>
      </c>
      <c r="AK230" s="7">
        <v>0</v>
      </c>
      <c r="AL230" s="7">
        <v>0</v>
      </c>
      <c r="AM230" s="7">
        <v>0</v>
      </c>
      <c r="AO230" s="7">
        <f t="shared" ref="AO230:AO238" si="71">AI230+AJ230+AK230+AL230+AM230</f>
        <v>0</v>
      </c>
      <c r="AP230" s="59">
        <f t="shared" si="58"/>
        <v>5</v>
      </c>
      <c r="AQ230" s="59">
        <f t="shared" si="59"/>
        <v>0</v>
      </c>
      <c r="AR230" s="59">
        <f t="shared" si="60"/>
        <v>0.384615384615385</v>
      </c>
      <c r="AS230" s="59">
        <f t="shared" si="61"/>
        <v>0</v>
      </c>
    </row>
    <row r="231" spans="1:45">
      <c r="A231" s="21" t="s">
        <v>1015</v>
      </c>
      <c r="B231" s="18" t="s">
        <v>1016</v>
      </c>
      <c r="C231" s="18">
        <v>0</v>
      </c>
      <c r="D231" s="18">
        <v>0</v>
      </c>
      <c r="E231" s="19"/>
      <c r="F231" s="20">
        <v>1363050</v>
      </c>
      <c r="G231" s="19">
        <v>0</v>
      </c>
      <c r="H231" s="19">
        <v>0</v>
      </c>
      <c r="I231" s="43">
        <v>0</v>
      </c>
      <c r="J231" s="43">
        <v>0</v>
      </c>
      <c r="K231" s="43">
        <v>0</v>
      </c>
      <c r="L231" s="43">
        <v>0</v>
      </c>
      <c r="M231" s="43">
        <v>0</v>
      </c>
      <c r="N231" s="44">
        <f t="shared" si="68"/>
        <v>0</v>
      </c>
      <c r="O231" s="44">
        <v>0</v>
      </c>
      <c r="P231" s="45">
        <f t="shared" si="64"/>
        <v>0</v>
      </c>
      <c r="Q231" s="54">
        <v>0</v>
      </c>
      <c r="R231" s="55">
        <v>0</v>
      </c>
      <c r="S231" s="55">
        <v>0</v>
      </c>
      <c r="T231" s="43">
        <v>0</v>
      </c>
      <c r="U231" s="43">
        <v>0</v>
      </c>
      <c r="V231" s="43">
        <v>0</v>
      </c>
      <c r="W231" s="43">
        <v>0</v>
      </c>
      <c r="X231" s="43">
        <v>0</v>
      </c>
      <c r="Y231" s="59">
        <f t="shared" si="65"/>
        <v>0</v>
      </c>
      <c r="Z231" s="43">
        <v>0</v>
      </c>
      <c r="AA231" s="43">
        <v>0</v>
      </c>
      <c r="AB231" s="60">
        <v>0</v>
      </c>
      <c r="AC231" s="43"/>
      <c r="AD231" s="43"/>
      <c r="AE231" s="43"/>
      <c r="AF231" s="43">
        <f t="shared" si="69"/>
        <v>1363050</v>
      </c>
      <c r="AG231" s="43"/>
      <c r="AH231" s="7"/>
      <c r="AI231" s="7">
        <v>0</v>
      </c>
      <c r="AJ231" s="7">
        <v>0</v>
      </c>
      <c r="AK231" s="7">
        <v>0</v>
      </c>
      <c r="AL231" s="7">
        <v>0</v>
      </c>
      <c r="AM231" s="7">
        <v>0</v>
      </c>
      <c r="AO231" s="7">
        <f t="shared" si="71"/>
        <v>0</v>
      </c>
      <c r="AP231" s="59">
        <f t="shared" si="58"/>
        <v>0</v>
      </c>
      <c r="AQ231" s="59">
        <f t="shared" si="59"/>
        <v>0</v>
      </c>
      <c r="AR231" s="59">
        <f t="shared" si="60"/>
        <v>0</v>
      </c>
      <c r="AS231" s="59">
        <f t="shared" si="61"/>
        <v>0</v>
      </c>
    </row>
    <row r="232" spans="1:45">
      <c r="A232" s="21" t="s">
        <v>1017</v>
      </c>
      <c r="B232" s="174" t="s">
        <v>1018</v>
      </c>
      <c r="C232" s="18" t="s">
        <v>99</v>
      </c>
      <c r="D232" s="18" t="s">
        <v>99</v>
      </c>
      <c r="E232" s="28"/>
      <c r="F232" s="20">
        <v>40800</v>
      </c>
      <c r="G232" s="19">
        <v>0</v>
      </c>
      <c r="H232" s="19">
        <v>0</v>
      </c>
      <c r="I232" s="43">
        <v>15</v>
      </c>
      <c r="J232" s="43">
        <v>0</v>
      </c>
      <c r="K232" s="43">
        <v>0</v>
      </c>
      <c r="L232" s="43">
        <v>0</v>
      </c>
      <c r="M232" s="43">
        <v>0</v>
      </c>
      <c r="N232" s="44">
        <f t="shared" si="68"/>
        <v>15</v>
      </c>
      <c r="O232" s="44">
        <f>I232*$H$2+J232*$I$2+K232*$J$2+L232*$K$2+M232*$L$2</f>
        <v>204750</v>
      </c>
      <c r="P232" s="45">
        <f t="shared" si="64"/>
        <v>204750</v>
      </c>
      <c r="Q232" s="54">
        <v>40800</v>
      </c>
      <c r="R232" s="55">
        <v>0</v>
      </c>
      <c r="S232" s="55">
        <v>0</v>
      </c>
      <c r="T232" s="43">
        <v>5</v>
      </c>
      <c r="U232" s="43">
        <v>0</v>
      </c>
      <c r="V232" s="43">
        <v>0</v>
      </c>
      <c r="W232" s="43">
        <v>0</v>
      </c>
      <c r="X232" s="43">
        <v>0</v>
      </c>
      <c r="Y232" s="59">
        <f t="shared" si="65"/>
        <v>5</v>
      </c>
      <c r="Z232" s="43">
        <v>66000</v>
      </c>
      <c r="AA232" s="43">
        <v>66000</v>
      </c>
      <c r="AB232" s="60">
        <v>0</v>
      </c>
      <c r="AC232" s="43"/>
      <c r="AD232" s="43"/>
      <c r="AE232" s="43"/>
      <c r="AF232" s="43">
        <f t="shared" si="69"/>
        <v>40800</v>
      </c>
      <c r="AG232" s="60">
        <f>AF232-AO232-H232</f>
        <v>40800</v>
      </c>
      <c r="AH232" s="7"/>
      <c r="AI232" s="7">
        <v>0</v>
      </c>
      <c r="AJ232" s="7">
        <v>0</v>
      </c>
      <c r="AK232" s="7">
        <v>0</v>
      </c>
      <c r="AL232" s="7">
        <v>0</v>
      </c>
      <c r="AM232" s="7">
        <v>0</v>
      </c>
      <c r="AO232" s="7">
        <f t="shared" si="71"/>
        <v>0</v>
      </c>
      <c r="AP232" s="59">
        <f t="shared" si="58"/>
        <v>10</v>
      </c>
      <c r="AQ232" s="59">
        <f t="shared" si="59"/>
        <v>0</v>
      </c>
      <c r="AR232" s="59">
        <f t="shared" si="60"/>
        <v>0.769230769230769</v>
      </c>
      <c r="AS232" s="59">
        <f t="shared" si="61"/>
        <v>0</v>
      </c>
    </row>
    <row r="233" spans="1:45">
      <c r="A233" s="21" t="s">
        <v>1019</v>
      </c>
      <c r="B233" s="18" t="s">
        <v>1020</v>
      </c>
      <c r="C233" s="18">
        <v>0</v>
      </c>
      <c r="D233" s="18" t="s">
        <v>52</v>
      </c>
      <c r="E233" s="19"/>
      <c r="F233" s="20">
        <v>99344.71</v>
      </c>
      <c r="G233" s="19">
        <v>0</v>
      </c>
      <c r="H233" s="19">
        <v>68500</v>
      </c>
      <c r="I233" s="43">
        <v>0</v>
      </c>
      <c r="J233" s="43">
        <v>0</v>
      </c>
      <c r="K233" s="43">
        <v>0</v>
      </c>
      <c r="L233" s="43">
        <v>0</v>
      </c>
      <c r="M233" s="43">
        <v>0</v>
      </c>
      <c r="N233" s="44">
        <f t="shared" si="68"/>
        <v>0</v>
      </c>
      <c r="O233" s="44">
        <f>I233*$H$1+J233*$I$1+K233*$J$1+L233*$K$1+M233*$L$1</f>
        <v>0</v>
      </c>
      <c r="P233" s="45">
        <f t="shared" si="64"/>
        <v>0</v>
      </c>
      <c r="Q233" s="54">
        <v>0</v>
      </c>
      <c r="R233" s="55">
        <v>0</v>
      </c>
      <c r="S233" s="55">
        <v>0</v>
      </c>
      <c r="T233" s="43">
        <v>0</v>
      </c>
      <c r="U233" s="43">
        <v>0</v>
      </c>
      <c r="V233" s="43">
        <v>0</v>
      </c>
      <c r="W233" s="43">
        <v>0</v>
      </c>
      <c r="X233" s="43">
        <v>0</v>
      </c>
      <c r="Y233" s="59">
        <f t="shared" si="65"/>
        <v>0</v>
      </c>
      <c r="Z233" s="43">
        <v>0</v>
      </c>
      <c r="AA233" s="43">
        <v>0</v>
      </c>
      <c r="AB233" s="60">
        <v>0</v>
      </c>
      <c r="AC233" s="43"/>
      <c r="AD233" s="43"/>
      <c r="AE233" s="43"/>
      <c r="AF233" s="43">
        <f t="shared" si="69"/>
        <v>99344.71</v>
      </c>
      <c r="AG233" s="43"/>
      <c r="AH233" s="7"/>
      <c r="AI233" s="7">
        <v>0</v>
      </c>
      <c r="AJ233" s="7">
        <v>0</v>
      </c>
      <c r="AK233" s="7">
        <v>0</v>
      </c>
      <c r="AL233" s="7">
        <v>0</v>
      </c>
      <c r="AM233" s="7">
        <v>0</v>
      </c>
      <c r="AO233" s="7">
        <f t="shared" si="71"/>
        <v>0</v>
      </c>
      <c r="AP233" s="59">
        <f t="shared" si="58"/>
        <v>0</v>
      </c>
      <c r="AQ233" s="59">
        <f t="shared" si="59"/>
        <v>0</v>
      </c>
      <c r="AR233" s="59">
        <f t="shared" si="60"/>
        <v>0</v>
      </c>
      <c r="AS233" s="59">
        <f t="shared" si="61"/>
        <v>0</v>
      </c>
    </row>
    <row r="234" spans="1:45">
      <c r="A234" s="21" t="s">
        <v>1021</v>
      </c>
      <c r="B234" s="18" t="s">
        <v>1022</v>
      </c>
      <c r="C234" s="18" t="s">
        <v>49</v>
      </c>
      <c r="D234" s="18" t="str">
        <f>C234</f>
        <v>CONVERSION</v>
      </c>
      <c r="E234" s="19"/>
      <c r="F234" s="20">
        <v>-1494</v>
      </c>
      <c r="G234" s="19"/>
      <c r="H234" s="18"/>
      <c r="I234" s="43">
        <v>0</v>
      </c>
      <c r="J234" s="43">
        <v>0</v>
      </c>
      <c r="K234" s="43">
        <v>0</v>
      </c>
      <c r="L234" s="43">
        <v>0</v>
      </c>
      <c r="M234" s="43">
        <v>0</v>
      </c>
      <c r="N234" s="44">
        <f t="shared" si="68"/>
        <v>0</v>
      </c>
      <c r="O234" s="44">
        <f>I234*$H$4+J234*$I$4+K234*$J$4+L234*$K$4+M234*$L$4</f>
        <v>0</v>
      </c>
      <c r="P234" s="45">
        <f t="shared" si="64"/>
        <v>0</v>
      </c>
      <c r="Q234" s="54">
        <v>0</v>
      </c>
      <c r="R234" s="55">
        <v>0</v>
      </c>
      <c r="S234" s="55">
        <v>0</v>
      </c>
      <c r="T234" s="43">
        <v>10</v>
      </c>
      <c r="U234" s="43">
        <v>0</v>
      </c>
      <c r="V234" s="43">
        <v>0</v>
      </c>
      <c r="W234" s="43">
        <v>0</v>
      </c>
      <c r="X234" s="43">
        <v>0</v>
      </c>
      <c r="Y234" s="59">
        <f t="shared" si="65"/>
        <v>10</v>
      </c>
      <c r="Z234" s="43">
        <v>55000</v>
      </c>
      <c r="AA234" s="43">
        <v>52000</v>
      </c>
      <c r="AB234" s="60">
        <v>0</v>
      </c>
      <c r="AC234" s="43"/>
      <c r="AD234" s="43"/>
      <c r="AE234" s="43"/>
      <c r="AF234" s="43">
        <f t="shared" si="69"/>
        <v>1506</v>
      </c>
      <c r="AG234" s="60">
        <f>AF234-AO234-H234</f>
        <v>1506</v>
      </c>
      <c r="AH234" s="7"/>
      <c r="AI234" s="7">
        <v>0</v>
      </c>
      <c r="AJ234" s="7">
        <v>0</v>
      </c>
      <c r="AK234" s="7">
        <v>0</v>
      </c>
      <c r="AL234" s="7">
        <v>0</v>
      </c>
      <c r="AM234" s="7">
        <v>0</v>
      </c>
      <c r="AO234" s="7">
        <f t="shared" si="71"/>
        <v>0</v>
      </c>
      <c r="AP234" s="59">
        <f t="shared" si="58"/>
        <v>-10</v>
      </c>
      <c r="AQ234" s="59">
        <f t="shared" si="59"/>
        <v>0</v>
      </c>
      <c r="AR234" s="59">
        <f t="shared" si="60"/>
        <v>-0.769230769230769</v>
      </c>
      <c r="AS234" s="59">
        <f t="shared" si="61"/>
        <v>0</v>
      </c>
    </row>
    <row r="235" spans="1:45">
      <c r="A235" s="21" t="s">
        <v>1023</v>
      </c>
      <c r="B235" s="176" t="s">
        <v>1024</v>
      </c>
      <c r="C235" s="18" t="s">
        <v>49</v>
      </c>
      <c r="D235" s="18" t="s">
        <v>49</v>
      </c>
      <c r="E235" s="19"/>
      <c r="F235" s="20">
        <v>241500</v>
      </c>
      <c r="G235" s="19"/>
      <c r="H235" s="19"/>
      <c r="I235" s="43">
        <v>15</v>
      </c>
      <c r="J235" s="43">
        <v>0</v>
      </c>
      <c r="K235" s="43">
        <v>0</v>
      </c>
      <c r="L235" s="43">
        <v>0</v>
      </c>
      <c r="M235" s="43">
        <v>0</v>
      </c>
      <c r="N235" s="44">
        <f t="shared" si="68"/>
        <v>15</v>
      </c>
      <c r="O235" s="44">
        <f>I235*$H$4+J235*$I$4+K235*$J$4+L235*$K$4+M235*$L$4</f>
        <v>75000</v>
      </c>
      <c r="P235" s="45">
        <f t="shared" si="64"/>
        <v>75000</v>
      </c>
      <c r="Q235" s="54">
        <v>69500</v>
      </c>
      <c r="R235" s="55">
        <v>0</v>
      </c>
      <c r="S235" s="55">
        <v>0</v>
      </c>
      <c r="T235" s="43">
        <v>0</v>
      </c>
      <c r="U235" s="43">
        <v>0</v>
      </c>
      <c r="V235" s="43">
        <v>0</v>
      </c>
      <c r="W235" s="43">
        <v>0</v>
      </c>
      <c r="X235" s="43">
        <v>0</v>
      </c>
      <c r="Y235" s="59">
        <f t="shared" si="65"/>
        <v>0</v>
      </c>
      <c r="Z235" s="43">
        <v>0</v>
      </c>
      <c r="AA235" s="43">
        <v>100000</v>
      </c>
      <c r="AB235" s="60">
        <v>0</v>
      </c>
      <c r="AC235" s="43"/>
      <c r="AD235" s="43"/>
      <c r="AE235" s="43"/>
      <c r="AF235" s="43">
        <f t="shared" si="69"/>
        <v>141500</v>
      </c>
      <c r="AG235" s="43"/>
      <c r="AH235" s="7"/>
      <c r="AI235" s="7">
        <v>0</v>
      </c>
      <c r="AJ235" s="7">
        <v>9000</v>
      </c>
      <c r="AK235" s="7">
        <v>9000</v>
      </c>
      <c r="AL235" s="7">
        <v>0</v>
      </c>
      <c r="AM235" s="7">
        <v>0</v>
      </c>
      <c r="AO235" s="7">
        <f t="shared" si="71"/>
        <v>18000</v>
      </c>
      <c r="AP235" s="59">
        <f t="shared" si="58"/>
        <v>15</v>
      </c>
      <c r="AQ235" s="59">
        <f t="shared" si="59"/>
        <v>0</v>
      </c>
      <c r="AR235" s="59">
        <f t="shared" si="60"/>
        <v>1.15384615384615</v>
      </c>
      <c r="AS235" s="59">
        <f t="shared" si="61"/>
        <v>0</v>
      </c>
    </row>
    <row r="236" spans="1:45">
      <c r="A236" s="21" t="s">
        <v>1025</v>
      </c>
      <c r="B236" s="18" t="s">
        <v>1026</v>
      </c>
      <c r="C236" s="18">
        <v>0</v>
      </c>
      <c r="D236" s="18">
        <v>0</v>
      </c>
      <c r="E236" s="19"/>
      <c r="F236" s="20">
        <v>0</v>
      </c>
      <c r="G236" s="19">
        <v>0</v>
      </c>
      <c r="H236" s="19">
        <v>0</v>
      </c>
      <c r="I236" s="43">
        <v>0</v>
      </c>
      <c r="J236" s="43">
        <v>0</v>
      </c>
      <c r="K236" s="43">
        <v>0</v>
      </c>
      <c r="L236" s="43">
        <v>0</v>
      </c>
      <c r="M236" s="43">
        <v>0</v>
      </c>
      <c r="N236" s="44">
        <f t="shared" si="68"/>
        <v>0</v>
      </c>
      <c r="O236" s="44">
        <v>0</v>
      </c>
      <c r="P236" s="45">
        <f t="shared" si="64"/>
        <v>0</v>
      </c>
      <c r="Q236" s="54">
        <v>0</v>
      </c>
      <c r="R236" s="55">
        <v>0</v>
      </c>
      <c r="S236" s="55">
        <v>0</v>
      </c>
      <c r="T236" s="43">
        <v>0</v>
      </c>
      <c r="U236" s="43">
        <v>0</v>
      </c>
      <c r="V236" s="43">
        <v>0</v>
      </c>
      <c r="W236" s="43">
        <v>0</v>
      </c>
      <c r="X236" s="43">
        <v>0</v>
      </c>
      <c r="Y236" s="59">
        <f t="shared" si="65"/>
        <v>0</v>
      </c>
      <c r="Z236" s="43">
        <v>0</v>
      </c>
      <c r="AA236" s="43">
        <v>0</v>
      </c>
      <c r="AB236" s="60">
        <v>0</v>
      </c>
      <c r="AC236" s="43"/>
      <c r="AD236" s="43"/>
      <c r="AE236" s="43"/>
      <c r="AF236" s="43">
        <f t="shared" si="69"/>
        <v>0</v>
      </c>
      <c r="AG236" s="43"/>
      <c r="AH236" s="7"/>
      <c r="AI236" s="7">
        <v>0</v>
      </c>
      <c r="AJ236" s="7">
        <v>0</v>
      </c>
      <c r="AK236" s="7">
        <v>0</v>
      </c>
      <c r="AL236" s="7">
        <v>0</v>
      </c>
      <c r="AM236" s="7">
        <v>0</v>
      </c>
      <c r="AO236" s="7">
        <f t="shared" si="71"/>
        <v>0</v>
      </c>
      <c r="AP236" s="59">
        <f t="shared" si="58"/>
        <v>0</v>
      </c>
      <c r="AQ236" s="59">
        <f t="shared" si="59"/>
        <v>0</v>
      </c>
      <c r="AR236" s="59">
        <f t="shared" si="60"/>
        <v>0</v>
      </c>
      <c r="AS236" s="59">
        <f t="shared" si="61"/>
        <v>0</v>
      </c>
    </row>
    <row r="237" spans="1:45">
      <c r="A237" s="21" t="s">
        <v>1027</v>
      </c>
      <c r="B237" s="18" t="s">
        <v>1028</v>
      </c>
      <c r="C237" s="18" t="s">
        <v>3</v>
      </c>
      <c r="D237" s="18" t="str">
        <f>C237</f>
        <v>Conversion</v>
      </c>
      <c r="E237" s="19"/>
      <c r="F237" s="20">
        <v>1500</v>
      </c>
      <c r="G237" s="19"/>
      <c r="H237" s="19"/>
      <c r="I237" s="43">
        <v>0</v>
      </c>
      <c r="J237" s="43">
        <v>0</v>
      </c>
      <c r="K237" s="43">
        <v>0</v>
      </c>
      <c r="L237" s="43">
        <v>0</v>
      </c>
      <c r="M237" s="43">
        <v>0</v>
      </c>
      <c r="N237" s="44">
        <f t="shared" si="68"/>
        <v>0</v>
      </c>
      <c r="O237" s="44">
        <f>I237*$H$4+J237*$I$4+K237*$J$4+L237*$K$4+M237*$L$4</f>
        <v>0</v>
      </c>
      <c r="P237" s="45">
        <f t="shared" si="64"/>
        <v>0</v>
      </c>
      <c r="Q237" s="54">
        <v>76500</v>
      </c>
      <c r="R237" s="55">
        <v>0</v>
      </c>
      <c r="S237" s="55">
        <v>0</v>
      </c>
      <c r="T237" s="43">
        <v>29</v>
      </c>
      <c r="U237" s="43">
        <v>0</v>
      </c>
      <c r="V237" s="43">
        <v>0</v>
      </c>
      <c r="W237" s="43">
        <v>0</v>
      </c>
      <c r="X237" s="43">
        <v>0</v>
      </c>
      <c r="Y237" s="59">
        <f t="shared" si="65"/>
        <v>29</v>
      </c>
      <c r="Z237" s="43">
        <v>159500</v>
      </c>
      <c r="AA237" s="43">
        <v>86000</v>
      </c>
      <c r="AB237" s="60">
        <v>0</v>
      </c>
      <c r="AC237" s="43"/>
      <c r="AD237" s="43"/>
      <c r="AE237" s="43"/>
      <c r="AF237" s="43">
        <f t="shared" si="69"/>
        <v>75000</v>
      </c>
      <c r="AG237" s="60">
        <f>AF237-AO237-H237</f>
        <v>69000</v>
      </c>
      <c r="AH237" s="7"/>
      <c r="AI237" s="7">
        <v>0</v>
      </c>
      <c r="AJ237" s="7">
        <v>0</v>
      </c>
      <c r="AK237" s="7">
        <v>6000</v>
      </c>
      <c r="AL237" s="7">
        <v>0</v>
      </c>
      <c r="AM237" s="7">
        <v>0</v>
      </c>
      <c r="AO237" s="7">
        <f t="shared" si="71"/>
        <v>6000</v>
      </c>
      <c r="AP237" s="59">
        <f t="shared" si="58"/>
        <v>-29</v>
      </c>
      <c r="AQ237" s="59">
        <f t="shared" si="59"/>
        <v>0</v>
      </c>
      <c r="AR237" s="59">
        <f t="shared" si="60"/>
        <v>-2.23076923076923</v>
      </c>
      <c r="AS237" s="59">
        <f t="shared" si="61"/>
        <v>0</v>
      </c>
    </row>
    <row r="238" ht="15.15" spans="1:45">
      <c r="A238" s="21" t="s">
        <v>1029</v>
      </c>
      <c r="B238" s="18" t="s">
        <v>1030</v>
      </c>
      <c r="C238" s="18">
        <v>0</v>
      </c>
      <c r="D238" s="18">
        <v>0</v>
      </c>
      <c r="E238" s="19"/>
      <c r="F238" s="20">
        <v>693711</v>
      </c>
      <c r="G238" s="19">
        <v>0</v>
      </c>
      <c r="H238" s="19">
        <v>0</v>
      </c>
      <c r="I238" s="43">
        <v>0</v>
      </c>
      <c r="J238" s="43">
        <v>0</v>
      </c>
      <c r="K238" s="43">
        <v>0</v>
      </c>
      <c r="L238" s="43">
        <v>0</v>
      </c>
      <c r="M238" s="43">
        <v>0</v>
      </c>
      <c r="N238" s="44">
        <f t="shared" si="68"/>
        <v>0</v>
      </c>
      <c r="O238" s="44">
        <v>0</v>
      </c>
      <c r="P238" s="45">
        <f t="shared" si="64"/>
        <v>0</v>
      </c>
      <c r="Q238" s="54">
        <v>0</v>
      </c>
      <c r="R238" s="55">
        <v>0</v>
      </c>
      <c r="S238" s="55">
        <v>0</v>
      </c>
      <c r="T238" s="43">
        <v>0</v>
      </c>
      <c r="U238" s="43">
        <v>0</v>
      </c>
      <c r="V238" s="43">
        <v>0</v>
      </c>
      <c r="W238" s="43">
        <v>0</v>
      </c>
      <c r="X238" s="43">
        <v>0</v>
      </c>
      <c r="Y238" s="59">
        <f t="shared" si="65"/>
        <v>0</v>
      </c>
      <c r="Z238" s="43">
        <v>0</v>
      </c>
      <c r="AA238" s="43">
        <v>0</v>
      </c>
      <c r="AB238" s="60">
        <v>0</v>
      </c>
      <c r="AC238" s="43"/>
      <c r="AD238" s="43"/>
      <c r="AE238" s="43"/>
      <c r="AF238" s="60">
        <f t="shared" si="69"/>
        <v>693711</v>
      </c>
      <c r="AG238" s="60"/>
      <c r="AH238" s="7"/>
      <c r="AI238" s="7">
        <v>0</v>
      </c>
      <c r="AJ238" s="7">
        <v>0</v>
      </c>
      <c r="AK238" s="7">
        <v>0</v>
      </c>
      <c r="AL238" s="7">
        <v>0</v>
      </c>
      <c r="AM238" s="7">
        <v>0</v>
      </c>
      <c r="AO238" s="7">
        <f t="shared" si="71"/>
        <v>0</v>
      </c>
      <c r="AP238" s="59">
        <f t="shared" si="58"/>
        <v>0</v>
      </c>
      <c r="AQ238" s="59">
        <f t="shared" si="59"/>
        <v>0</v>
      </c>
      <c r="AR238" s="59">
        <f t="shared" si="60"/>
        <v>0</v>
      </c>
      <c r="AS238" s="59">
        <f t="shared" si="61"/>
        <v>0</v>
      </c>
    </row>
    <row r="239" s="3" customFormat="1" ht="15.15" spans="1:45">
      <c r="A239" s="75" t="s">
        <v>1031</v>
      </c>
      <c r="B239" s="97"/>
      <c r="C239" s="18">
        <v>0</v>
      </c>
      <c r="D239" s="18">
        <v>0</v>
      </c>
      <c r="E239" s="98"/>
      <c r="F239" s="32">
        <f>SUM(F209:F238)</f>
        <v>6743371.46</v>
      </c>
      <c r="G239" s="32">
        <f t="shared" ref="F239:AF239" si="72">SUM(G209:G238)</f>
        <v>0</v>
      </c>
      <c r="H239" s="32">
        <f t="shared" si="72"/>
        <v>2771000</v>
      </c>
      <c r="I239" s="32">
        <f t="shared" si="72"/>
        <v>235</v>
      </c>
      <c r="J239" s="32">
        <f t="shared" si="72"/>
        <v>105</v>
      </c>
      <c r="K239" s="32">
        <f t="shared" si="72"/>
        <v>0</v>
      </c>
      <c r="L239" s="32">
        <f t="shared" si="72"/>
        <v>5</v>
      </c>
      <c r="M239" s="32">
        <f t="shared" si="72"/>
        <v>0</v>
      </c>
      <c r="N239" s="32">
        <f t="shared" si="72"/>
        <v>345</v>
      </c>
      <c r="O239" s="32">
        <f t="shared" si="72"/>
        <v>4408250</v>
      </c>
      <c r="P239" s="32">
        <f t="shared" si="72"/>
        <v>4408250</v>
      </c>
      <c r="Q239" s="32">
        <f t="shared" si="72"/>
        <v>2040609.96491228</v>
      </c>
      <c r="R239" s="32">
        <f t="shared" si="72"/>
        <v>250</v>
      </c>
      <c r="S239" s="32">
        <f t="shared" si="72"/>
        <v>0</v>
      </c>
      <c r="T239" s="32">
        <f>SUM(T209:T238)</f>
        <v>75</v>
      </c>
      <c r="U239" s="32">
        <f>SUM(U209:U238)</f>
        <v>0</v>
      </c>
      <c r="V239" s="32">
        <f>SUM(V209:V238)</f>
        <v>20</v>
      </c>
      <c r="W239" s="32">
        <f>SUM(W209:W238)</f>
        <v>2</v>
      </c>
      <c r="X239" s="32">
        <f>SUM(X209:X238)</f>
        <v>0</v>
      </c>
      <c r="Y239" s="32">
        <f>SUM(Y209:Y238)</f>
        <v>97</v>
      </c>
      <c r="Z239" s="32">
        <f>SUM(Z209:Z238)</f>
        <v>720100</v>
      </c>
      <c r="AA239" s="32">
        <f>SUM(AA209:AA238)</f>
        <v>823050</v>
      </c>
      <c r="AB239" s="32">
        <f>SUM(AB209:AB238)</f>
        <v>0</v>
      </c>
      <c r="AC239" s="32">
        <f>SUM(AC209:AC238)</f>
        <v>0</v>
      </c>
      <c r="AD239" s="32">
        <f>SUM(AD209:AD238)</f>
        <v>0</v>
      </c>
      <c r="AE239" s="32">
        <f>SUM(AE209:AE238)</f>
        <v>0</v>
      </c>
      <c r="AF239" s="32">
        <f>SUM(AF209:AF238)</f>
        <v>6640421.46</v>
      </c>
      <c r="AG239" s="60">
        <f>AF239-AO239-H239</f>
        <v>3471707.42491228</v>
      </c>
      <c r="AH239" s="66"/>
      <c r="AI239" s="32">
        <f>SUM(AI209:AI238)</f>
        <v>12600</v>
      </c>
      <c r="AJ239" s="32">
        <f>SUM(AJ209:AJ238)</f>
        <v>125000</v>
      </c>
      <c r="AK239" s="32">
        <f>SUM(AK209:AK238)</f>
        <v>244500</v>
      </c>
      <c r="AL239" s="32">
        <f>SUM(AL209:AL238)</f>
        <v>2105.26315789474</v>
      </c>
      <c r="AM239" s="32">
        <f>SUM(AM209:AM238)</f>
        <v>13508.7719298246</v>
      </c>
      <c r="AN239" s="67">
        <f>Y239/N239</f>
        <v>0.281159420289855</v>
      </c>
      <c r="AO239" s="71">
        <f>SUM(AO209:AO238)</f>
        <v>397714.035087719</v>
      </c>
      <c r="AP239" s="32">
        <f>SUM(AP209:AP238)</f>
        <v>265</v>
      </c>
      <c r="AQ239" s="32">
        <f>SUM(AQ209:AQ238)</f>
        <v>-20</v>
      </c>
      <c r="AR239" s="59">
        <f t="shared" si="60"/>
        <v>20.3846153846154</v>
      </c>
      <c r="AS239" s="59">
        <f t="shared" si="61"/>
        <v>-1.53846153846154</v>
      </c>
    </row>
    <row r="240" spans="1:45">
      <c r="A240" s="21" t="s">
        <v>1032</v>
      </c>
      <c r="B240" s="18" t="s">
        <v>1033</v>
      </c>
      <c r="C240" s="18">
        <v>0</v>
      </c>
      <c r="D240" s="18" t="s">
        <v>99</v>
      </c>
      <c r="E240" s="19"/>
      <c r="F240" s="20">
        <v>79335</v>
      </c>
      <c r="G240" s="19"/>
      <c r="H240" s="19"/>
      <c r="I240" s="43"/>
      <c r="J240" s="43">
        <v>0</v>
      </c>
      <c r="K240" s="43">
        <v>0</v>
      </c>
      <c r="L240" s="43">
        <v>0</v>
      </c>
      <c r="M240" s="43">
        <v>0</v>
      </c>
      <c r="N240" s="44">
        <f t="shared" ref="N240:N284" si="73">SUM(I240:M240)</f>
        <v>0</v>
      </c>
      <c r="O240" s="44">
        <f>I240*$H$2+J240*$I$2+K240*$J$2+L240*$K$2+M240*$L$2</f>
        <v>0</v>
      </c>
      <c r="P240" s="45">
        <f t="shared" ref="P240:P284" si="74">O240</f>
        <v>0</v>
      </c>
      <c r="Q240" s="54">
        <v>79335</v>
      </c>
      <c r="R240" s="55">
        <v>0</v>
      </c>
      <c r="S240" s="55">
        <v>0</v>
      </c>
      <c r="T240" s="43">
        <v>0</v>
      </c>
      <c r="U240" s="43">
        <v>0</v>
      </c>
      <c r="V240" s="43">
        <v>0</v>
      </c>
      <c r="W240" s="43">
        <v>0</v>
      </c>
      <c r="X240" s="43">
        <v>0</v>
      </c>
      <c r="Y240" s="59">
        <f t="shared" ref="Y240:Y285" si="75">T240+U240+V240+W240+X240</f>
        <v>0</v>
      </c>
      <c r="Z240" s="43">
        <v>0</v>
      </c>
      <c r="AA240" s="43">
        <v>0</v>
      </c>
      <c r="AB240" s="60">
        <v>0</v>
      </c>
      <c r="AC240" s="43"/>
      <c r="AD240" s="43"/>
      <c r="AE240" s="43"/>
      <c r="AF240" s="60">
        <f t="shared" ref="AF240:AF271" si="76">F240+Z240-AA240-AB240-AC240-AD240-AE240</f>
        <v>79335</v>
      </c>
      <c r="AG240" s="60"/>
      <c r="AH240" s="7"/>
      <c r="AI240" s="7">
        <v>0</v>
      </c>
      <c r="AJ240" s="7">
        <v>0</v>
      </c>
      <c r="AK240" s="7">
        <v>0</v>
      </c>
      <c r="AL240" s="7">
        <v>0</v>
      </c>
      <c r="AM240" s="7">
        <v>0</v>
      </c>
      <c r="AO240" s="7">
        <f t="shared" ref="AO240:AO256" si="77">AI240+AJ240+AK240+AL240+AM240</f>
        <v>0</v>
      </c>
      <c r="AP240" s="59">
        <f t="shared" si="58"/>
        <v>0</v>
      </c>
      <c r="AQ240" s="59">
        <f t="shared" si="59"/>
        <v>0</v>
      </c>
      <c r="AR240" s="59">
        <f t="shared" si="60"/>
        <v>0</v>
      </c>
      <c r="AS240" s="59">
        <f t="shared" si="61"/>
        <v>0</v>
      </c>
    </row>
    <row r="241" spans="1:45">
      <c r="A241" s="21" t="s">
        <v>1034</v>
      </c>
      <c r="B241" s="27" t="s">
        <v>1035</v>
      </c>
      <c r="C241" s="18" t="s">
        <v>3</v>
      </c>
      <c r="D241" s="18" t="str">
        <f>C241</f>
        <v>Conversion</v>
      </c>
      <c r="E241" s="28"/>
      <c r="F241" s="20">
        <v>37000</v>
      </c>
      <c r="G241" s="19"/>
      <c r="H241" s="19"/>
      <c r="I241" s="43">
        <v>20</v>
      </c>
      <c r="J241" s="43">
        <v>0</v>
      </c>
      <c r="K241" s="43">
        <v>0</v>
      </c>
      <c r="L241" s="43">
        <v>0</v>
      </c>
      <c r="M241" s="43">
        <v>0</v>
      </c>
      <c r="N241" s="44">
        <f t="shared" si="73"/>
        <v>20</v>
      </c>
      <c r="O241" s="44">
        <f>I241*$H$4+J241*$I$4+K241*$J$4+L241*$K$4+M241*$L$4</f>
        <v>100000</v>
      </c>
      <c r="P241" s="45">
        <f t="shared" si="74"/>
        <v>100000</v>
      </c>
      <c r="Q241" s="54">
        <v>0</v>
      </c>
      <c r="R241" s="55">
        <v>0</v>
      </c>
      <c r="S241" s="55">
        <v>0</v>
      </c>
      <c r="T241" s="43">
        <v>20</v>
      </c>
      <c r="U241" s="43">
        <v>0</v>
      </c>
      <c r="V241" s="43">
        <v>0</v>
      </c>
      <c r="W241" s="43">
        <v>0</v>
      </c>
      <c r="X241" s="43">
        <v>0</v>
      </c>
      <c r="Y241" s="59">
        <f t="shared" si="75"/>
        <v>20</v>
      </c>
      <c r="Z241" s="43">
        <v>110000</v>
      </c>
      <c r="AA241" s="43">
        <v>78000</v>
      </c>
      <c r="AB241" s="60">
        <v>0</v>
      </c>
      <c r="AC241" s="43"/>
      <c r="AD241" s="43"/>
      <c r="AE241" s="43"/>
      <c r="AF241" s="60">
        <f t="shared" si="76"/>
        <v>69000</v>
      </c>
      <c r="AG241" s="60">
        <f>AF241-AO241-H241</f>
        <v>61500</v>
      </c>
      <c r="AH241" s="7"/>
      <c r="AI241" s="7">
        <v>0</v>
      </c>
      <c r="AJ241" s="7">
        <v>7500</v>
      </c>
      <c r="AK241" s="7">
        <v>0</v>
      </c>
      <c r="AL241" s="7">
        <v>0</v>
      </c>
      <c r="AM241" s="7">
        <v>0</v>
      </c>
      <c r="AO241" s="7">
        <f t="shared" si="77"/>
        <v>7500</v>
      </c>
      <c r="AP241" s="59">
        <f t="shared" si="58"/>
        <v>0</v>
      </c>
      <c r="AQ241" s="59">
        <f t="shared" si="59"/>
        <v>0</v>
      </c>
      <c r="AR241" s="59">
        <f t="shared" si="60"/>
        <v>0</v>
      </c>
      <c r="AS241" s="59">
        <f t="shared" si="61"/>
        <v>0</v>
      </c>
    </row>
    <row r="242" spans="1:45">
      <c r="A242" s="21" t="s">
        <v>1036</v>
      </c>
      <c r="B242" s="18" t="s">
        <v>1037</v>
      </c>
      <c r="C242" s="18">
        <v>0</v>
      </c>
      <c r="D242" s="18">
        <v>0</v>
      </c>
      <c r="E242" s="19"/>
      <c r="F242" s="20">
        <v>120868</v>
      </c>
      <c r="G242" s="19">
        <v>0</v>
      </c>
      <c r="H242" s="19">
        <v>0</v>
      </c>
      <c r="I242" s="43">
        <v>0</v>
      </c>
      <c r="J242" s="43">
        <v>0</v>
      </c>
      <c r="K242" s="43">
        <v>0</v>
      </c>
      <c r="L242" s="43">
        <v>0</v>
      </c>
      <c r="M242" s="43">
        <v>0</v>
      </c>
      <c r="N242" s="44">
        <f t="shared" si="73"/>
        <v>0</v>
      </c>
      <c r="O242" s="44">
        <v>0</v>
      </c>
      <c r="P242" s="45">
        <f t="shared" si="74"/>
        <v>0</v>
      </c>
      <c r="Q242" s="54">
        <v>0</v>
      </c>
      <c r="R242" s="55">
        <v>0</v>
      </c>
      <c r="S242" s="55">
        <v>0</v>
      </c>
      <c r="T242" s="43">
        <v>0</v>
      </c>
      <c r="U242" s="43">
        <v>0</v>
      </c>
      <c r="V242" s="43">
        <v>0</v>
      </c>
      <c r="W242" s="43">
        <v>0</v>
      </c>
      <c r="X242" s="43">
        <v>0</v>
      </c>
      <c r="Y242" s="59">
        <f t="shared" si="75"/>
        <v>0</v>
      </c>
      <c r="Z242" s="43">
        <v>0</v>
      </c>
      <c r="AA242" s="43">
        <v>0</v>
      </c>
      <c r="AB242" s="60">
        <v>0</v>
      </c>
      <c r="AC242" s="43"/>
      <c r="AD242" s="43"/>
      <c r="AE242" s="43"/>
      <c r="AF242" s="60">
        <f t="shared" si="76"/>
        <v>120868</v>
      </c>
      <c r="AG242" s="60"/>
      <c r="AH242" s="7"/>
      <c r="AI242" s="7">
        <v>0</v>
      </c>
      <c r="AJ242" s="7">
        <v>0</v>
      </c>
      <c r="AK242" s="7">
        <v>0</v>
      </c>
      <c r="AL242" s="7">
        <v>0</v>
      </c>
      <c r="AM242" s="7">
        <v>0</v>
      </c>
      <c r="AO242" s="7">
        <f t="shared" si="77"/>
        <v>0</v>
      </c>
      <c r="AP242" s="59">
        <f t="shared" si="58"/>
        <v>0</v>
      </c>
      <c r="AQ242" s="59">
        <f t="shared" si="59"/>
        <v>0</v>
      </c>
      <c r="AR242" s="59">
        <f t="shared" si="60"/>
        <v>0</v>
      </c>
      <c r="AS242" s="59">
        <f t="shared" si="61"/>
        <v>0</v>
      </c>
    </row>
    <row r="243" spans="1:45">
      <c r="A243" s="21" t="s">
        <v>1038</v>
      </c>
      <c r="B243" s="33" t="s">
        <v>1039</v>
      </c>
      <c r="C243" s="18">
        <v>0</v>
      </c>
      <c r="D243" s="18" t="s">
        <v>52</v>
      </c>
      <c r="E243" s="34"/>
      <c r="F243" s="20">
        <v>6</v>
      </c>
      <c r="G243" s="19">
        <v>0</v>
      </c>
      <c r="H243" s="19">
        <v>0</v>
      </c>
      <c r="I243" s="43">
        <v>10</v>
      </c>
      <c r="J243" s="43">
        <v>0</v>
      </c>
      <c r="K243" s="43">
        <v>0</v>
      </c>
      <c r="L243" s="43">
        <v>0</v>
      </c>
      <c r="M243" s="43">
        <v>0</v>
      </c>
      <c r="N243" s="44">
        <f t="shared" si="73"/>
        <v>10</v>
      </c>
      <c r="O243" s="44">
        <f>I243*$H$1+J243*$I$1+K243*$J$1+L243*$K$1+M243*$L$1</f>
        <v>139000</v>
      </c>
      <c r="P243" s="45">
        <f t="shared" si="74"/>
        <v>139000</v>
      </c>
      <c r="Q243" s="54">
        <v>0</v>
      </c>
      <c r="R243" s="55">
        <v>0</v>
      </c>
      <c r="S243" s="55">
        <v>0</v>
      </c>
      <c r="T243" s="43">
        <v>0</v>
      </c>
      <c r="U243" s="43">
        <v>0</v>
      </c>
      <c r="V243" s="43">
        <v>0</v>
      </c>
      <c r="W243" s="43">
        <v>0</v>
      </c>
      <c r="X243" s="43">
        <v>0</v>
      </c>
      <c r="Y243" s="59">
        <f t="shared" si="75"/>
        <v>0</v>
      </c>
      <c r="Z243" s="43">
        <v>0</v>
      </c>
      <c r="AA243" s="43">
        <v>0</v>
      </c>
      <c r="AB243" s="60">
        <v>0</v>
      </c>
      <c r="AC243" s="43"/>
      <c r="AD243" s="43"/>
      <c r="AE243" s="43"/>
      <c r="AF243" s="60">
        <f t="shared" si="76"/>
        <v>6</v>
      </c>
      <c r="AG243" s="60"/>
      <c r="AH243" s="7"/>
      <c r="AI243" s="7">
        <v>0</v>
      </c>
      <c r="AJ243" s="7">
        <v>0</v>
      </c>
      <c r="AK243" s="7">
        <v>0</v>
      </c>
      <c r="AL243" s="7">
        <v>0</v>
      </c>
      <c r="AM243" s="7">
        <v>0</v>
      </c>
      <c r="AO243" s="7">
        <f t="shared" si="77"/>
        <v>0</v>
      </c>
      <c r="AP243" s="59">
        <f t="shared" si="58"/>
        <v>10</v>
      </c>
      <c r="AQ243" s="59">
        <f t="shared" si="59"/>
        <v>0</v>
      </c>
      <c r="AR243" s="59">
        <f t="shared" si="60"/>
        <v>0.769230769230769</v>
      </c>
      <c r="AS243" s="59">
        <f t="shared" si="61"/>
        <v>0</v>
      </c>
    </row>
    <row r="244" spans="1:45">
      <c r="A244" s="21" t="s">
        <v>1040</v>
      </c>
      <c r="B244" s="18" t="s">
        <v>1041</v>
      </c>
      <c r="C244" s="18">
        <v>0</v>
      </c>
      <c r="D244" s="18">
        <v>0</v>
      </c>
      <c r="E244" s="19"/>
      <c r="F244" s="20">
        <v>-63.33</v>
      </c>
      <c r="G244" s="19">
        <v>0</v>
      </c>
      <c r="H244" s="19">
        <v>0</v>
      </c>
      <c r="I244" s="43">
        <v>0</v>
      </c>
      <c r="J244" s="43">
        <v>0</v>
      </c>
      <c r="K244" s="43">
        <v>0</v>
      </c>
      <c r="L244" s="43">
        <v>0</v>
      </c>
      <c r="M244" s="43">
        <v>0</v>
      </c>
      <c r="N244" s="44">
        <f t="shared" si="73"/>
        <v>0</v>
      </c>
      <c r="O244" s="44">
        <v>0</v>
      </c>
      <c r="P244" s="45">
        <f t="shared" si="74"/>
        <v>0</v>
      </c>
      <c r="Q244" s="54">
        <v>0</v>
      </c>
      <c r="R244" s="55">
        <v>0</v>
      </c>
      <c r="S244" s="55">
        <v>0</v>
      </c>
      <c r="T244" s="43">
        <v>0</v>
      </c>
      <c r="U244" s="43">
        <v>0</v>
      </c>
      <c r="V244" s="43">
        <v>0</v>
      </c>
      <c r="W244" s="43">
        <v>0</v>
      </c>
      <c r="X244" s="43">
        <v>0</v>
      </c>
      <c r="Y244" s="59">
        <f t="shared" si="75"/>
        <v>0</v>
      </c>
      <c r="Z244" s="43">
        <v>0</v>
      </c>
      <c r="AA244" s="43">
        <v>0</v>
      </c>
      <c r="AB244" s="60">
        <v>0</v>
      </c>
      <c r="AC244" s="43"/>
      <c r="AD244" s="43"/>
      <c r="AE244" s="43"/>
      <c r="AF244" s="60">
        <f t="shared" si="76"/>
        <v>-63.33</v>
      </c>
      <c r="AG244" s="60"/>
      <c r="AH244" s="7"/>
      <c r="AI244" s="7">
        <v>0</v>
      </c>
      <c r="AJ244" s="7">
        <v>0</v>
      </c>
      <c r="AK244" s="7">
        <v>0</v>
      </c>
      <c r="AL244" s="7">
        <v>0</v>
      </c>
      <c r="AM244" s="7">
        <v>0</v>
      </c>
      <c r="AO244" s="7">
        <f t="shared" si="77"/>
        <v>0</v>
      </c>
      <c r="AP244" s="59">
        <f t="shared" si="58"/>
        <v>0</v>
      </c>
      <c r="AQ244" s="59">
        <f t="shared" si="59"/>
        <v>0</v>
      </c>
      <c r="AR244" s="59">
        <f t="shared" si="60"/>
        <v>0</v>
      </c>
      <c r="AS244" s="59">
        <f t="shared" si="61"/>
        <v>0</v>
      </c>
    </row>
    <row r="245" spans="1:45">
      <c r="A245" s="21" t="s">
        <v>1042</v>
      </c>
      <c r="B245" s="18" t="s">
        <v>1043</v>
      </c>
      <c r="C245" s="18">
        <v>0</v>
      </c>
      <c r="D245" s="18" t="s">
        <v>52</v>
      </c>
      <c r="E245" s="19"/>
      <c r="F245" s="20">
        <v>496684</v>
      </c>
      <c r="G245" s="19">
        <v>0</v>
      </c>
      <c r="H245" s="19">
        <v>479500</v>
      </c>
      <c r="I245" s="43">
        <v>0</v>
      </c>
      <c r="J245" s="43">
        <v>0</v>
      </c>
      <c r="K245" s="43">
        <v>0</v>
      </c>
      <c r="L245" s="43">
        <v>0</v>
      </c>
      <c r="M245" s="43">
        <v>0</v>
      </c>
      <c r="N245" s="44">
        <f t="shared" si="73"/>
        <v>0</v>
      </c>
      <c r="O245" s="44">
        <f>I245*$H$1+J245*$I$1+K245*$J$1+L245*$K$1+M245*$L$1</f>
        <v>0</v>
      </c>
      <c r="P245" s="45">
        <f t="shared" si="74"/>
        <v>0</v>
      </c>
      <c r="Q245" s="54">
        <v>0</v>
      </c>
      <c r="R245" s="55">
        <v>0</v>
      </c>
      <c r="S245" s="55">
        <v>0</v>
      </c>
      <c r="T245" s="43">
        <v>0</v>
      </c>
      <c r="U245" s="43">
        <v>0</v>
      </c>
      <c r="V245" s="43">
        <v>0</v>
      </c>
      <c r="W245" s="43">
        <v>0</v>
      </c>
      <c r="X245" s="43">
        <v>0</v>
      </c>
      <c r="Y245" s="59">
        <f t="shared" si="75"/>
        <v>0</v>
      </c>
      <c r="Z245" s="43">
        <v>0</v>
      </c>
      <c r="AA245" s="43">
        <v>0</v>
      </c>
      <c r="AB245" s="60">
        <v>0</v>
      </c>
      <c r="AC245" s="43"/>
      <c r="AD245" s="43"/>
      <c r="AE245" s="43"/>
      <c r="AF245" s="60">
        <f t="shared" si="76"/>
        <v>496684</v>
      </c>
      <c r="AG245" s="60"/>
      <c r="AH245" s="7"/>
      <c r="AI245" s="7">
        <v>0</v>
      </c>
      <c r="AJ245" s="7">
        <v>0</v>
      </c>
      <c r="AK245" s="7">
        <v>0</v>
      </c>
      <c r="AL245" s="7">
        <v>0</v>
      </c>
      <c r="AM245" s="7">
        <v>0</v>
      </c>
      <c r="AO245" s="7">
        <f t="shared" si="77"/>
        <v>0</v>
      </c>
      <c r="AP245" s="59">
        <f t="shared" si="58"/>
        <v>0</v>
      </c>
      <c r="AQ245" s="59">
        <f t="shared" si="59"/>
        <v>0</v>
      </c>
      <c r="AR245" s="59">
        <f t="shared" si="60"/>
        <v>0</v>
      </c>
      <c r="AS245" s="59">
        <f t="shared" si="61"/>
        <v>0</v>
      </c>
    </row>
    <row r="246" spans="1:45">
      <c r="A246" s="21" t="s">
        <v>1044</v>
      </c>
      <c r="B246" s="27" t="s">
        <v>1045</v>
      </c>
      <c r="C246" s="18">
        <v>0</v>
      </c>
      <c r="D246" s="18" t="s">
        <v>99</v>
      </c>
      <c r="E246" s="28"/>
      <c r="F246" s="20">
        <v>11839</v>
      </c>
      <c r="G246" s="19">
        <v>0</v>
      </c>
      <c r="H246" s="19">
        <v>0</v>
      </c>
      <c r="I246" s="43">
        <v>0</v>
      </c>
      <c r="J246" s="43">
        <v>0</v>
      </c>
      <c r="K246" s="43">
        <v>0</v>
      </c>
      <c r="L246" s="43">
        <v>0</v>
      </c>
      <c r="M246" s="43">
        <v>0</v>
      </c>
      <c r="N246" s="44">
        <f t="shared" si="73"/>
        <v>0</v>
      </c>
      <c r="O246" s="44">
        <f>I246*$H$2+J246*$I$2+K246*$J$2+L246*$K$2+M246*$L$2</f>
        <v>0</v>
      </c>
      <c r="P246" s="45">
        <f t="shared" si="74"/>
        <v>0</v>
      </c>
      <c r="Q246" s="54">
        <v>0</v>
      </c>
      <c r="R246" s="55">
        <v>0</v>
      </c>
      <c r="S246" s="55">
        <v>0</v>
      </c>
      <c r="T246" s="43">
        <v>0</v>
      </c>
      <c r="U246" s="43">
        <v>0</v>
      </c>
      <c r="V246" s="43">
        <v>0</v>
      </c>
      <c r="W246" s="43">
        <v>0</v>
      </c>
      <c r="X246" s="43">
        <v>0</v>
      </c>
      <c r="Y246" s="59">
        <f t="shared" si="75"/>
        <v>0</v>
      </c>
      <c r="Z246" s="43">
        <v>0</v>
      </c>
      <c r="AA246" s="43">
        <v>0</v>
      </c>
      <c r="AB246" s="60">
        <v>0</v>
      </c>
      <c r="AC246" s="43"/>
      <c r="AD246" s="43"/>
      <c r="AE246" s="43"/>
      <c r="AF246" s="60">
        <f t="shared" si="76"/>
        <v>11839</v>
      </c>
      <c r="AG246" s="60"/>
      <c r="AH246" s="7"/>
      <c r="AI246" s="7">
        <v>0</v>
      </c>
      <c r="AJ246" s="7">
        <v>549.05</v>
      </c>
      <c r="AK246" s="7">
        <v>0</v>
      </c>
      <c r="AL246" s="7">
        <v>0</v>
      </c>
      <c r="AM246" s="7">
        <v>0</v>
      </c>
      <c r="AO246" s="7">
        <f t="shared" si="77"/>
        <v>549.05</v>
      </c>
      <c r="AP246" s="59">
        <f t="shared" si="58"/>
        <v>0</v>
      </c>
      <c r="AQ246" s="59">
        <f t="shared" si="59"/>
        <v>0</v>
      </c>
      <c r="AR246" s="59">
        <f t="shared" si="60"/>
        <v>0</v>
      </c>
      <c r="AS246" s="59">
        <f t="shared" si="61"/>
        <v>0</v>
      </c>
    </row>
    <row r="247" spans="1:45">
      <c r="A247" s="21" t="s">
        <v>1046</v>
      </c>
      <c r="B247" s="27" t="s">
        <v>1047</v>
      </c>
      <c r="C247" s="18" t="s">
        <v>49</v>
      </c>
      <c r="D247" s="18" t="s">
        <v>49</v>
      </c>
      <c r="E247" s="28"/>
      <c r="F247" s="20">
        <v>25940</v>
      </c>
      <c r="G247" s="19"/>
      <c r="H247" s="19"/>
      <c r="I247" s="43">
        <v>50</v>
      </c>
      <c r="J247" s="43">
        <v>0</v>
      </c>
      <c r="K247" s="43">
        <v>0</v>
      </c>
      <c r="L247" s="43">
        <v>1</v>
      </c>
      <c r="M247" s="43">
        <v>10</v>
      </c>
      <c r="N247" s="44">
        <f t="shared" si="73"/>
        <v>61</v>
      </c>
      <c r="O247" s="44">
        <f>I247*$H$4+J247*$I$4+K247*$J$4+L247*$K$4+M247*$L$4</f>
        <v>330000</v>
      </c>
      <c r="P247" s="45">
        <f t="shared" si="74"/>
        <v>330000</v>
      </c>
      <c r="Q247" s="54">
        <v>0</v>
      </c>
      <c r="R247" s="55">
        <v>50</v>
      </c>
      <c r="S247" s="55">
        <v>0</v>
      </c>
      <c r="T247" s="43">
        <v>0</v>
      </c>
      <c r="U247" s="43">
        <v>0</v>
      </c>
      <c r="V247" s="43">
        <v>0</v>
      </c>
      <c r="W247" s="43">
        <v>0</v>
      </c>
      <c r="X247" s="43">
        <v>0</v>
      </c>
      <c r="Y247" s="59">
        <f t="shared" si="75"/>
        <v>0</v>
      </c>
      <c r="Z247" s="43">
        <v>0</v>
      </c>
      <c r="AA247" s="43">
        <v>0</v>
      </c>
      <c r="AB247" s="60">
        <v>0</v>
      </c>
      <c r="AC247" s="43"/>
      <c r="AD247" s="43"/>
      <c r="AE247" s="43"/>
      <c r="AF247" s="60">
        <f t="shared" si="76"/>
        <v>25940</v>
      </c>
      <c r="AG247" s="60"/>
      <c r="AH247" s="7"/>
      <c r="AI247" s="7">
        <v>0</v>
      </c>
      <c r="AJ247" s="7">
        <v>31500</v>
      </c>
      <c r="AK247" s="7">
        <v>1200</v>
      </c>
      <c r="AL247" s="7">
        <v>0</v>
      </c>
      <c r="AM247" s="7">
        <v>0</v>
      </c>
      <c r="AO247" s="7">
        <f t="shared" si="77"/>
        <v>32700</v>
      </c>
      <c r="AP247" s="59">
        <f t="shared" si="58"/>
        <v>50</v>
      </c>
      <c r="AQ247" s="59">
        <f t="shared" si="59"/>
        <v>0</v>
      </c>
      <c r="AR247" s="59">
        <f t="shared" si="60"/>
        <v>3.84615384615385</v>
      </c>
      <c r="AS247" s="59">
        <f t="shared" si="61"/>
        <v>0</v>
      </c>
    </row>
    <row r="248" spans="1:45">
      <c r="A248" s="21" t="s">
        <v>1048</v>
      </c>
      <c r="B248" s="18" t="s">
        <v>1049</v>
      </c>
      <c r="C248" s="18">
        <v>0</v>
      </c>
      <c r="D248" s="18">
        <v>0</v>
      </c>
      <c r="E248" s="19"/>
      <c r="F248" s="20">
        <v>192670.8</v>
      </c>
      <c r="G248" s="19">
        <v>0</v>
      </c>
      <c r="H248" s="19">
        <v>0</v>
      </c>
      <c r="I248" s="43">
        <v>0</v>
      </c>
      <c r="J248" s="43">
        <v>0</v>
      </c>
      <c r="K248" s="43">
        <v>0</v>
      </c>
      <c r="L248" s="43">
        <v>0</v>
      </c>
      <c r="M248" s="43">
        <v>0</v>
      </c>
      <c r="N248" s="44">
        <f t="shared" si="73"/>
        <v>0</v>
      </c>
      <c r="O248" s="44">
        <v>0</v>
      </c>
      <c r="P248" s="45">
        <f t="shared" si="74"/>
        <v>0</v>
      </c>
      <c r="Q248" s="54">
        <v>0</v>
      </c>
      <c r="R248" s="55">
        <v>0</v>
      </c>
      <c r="S248" s="55">
        <v>0</v>
      </c>
      <c r="T248" s="43">
        <v>0</v>
      </c>
      <c r="U248" s="43">
        <v>0</v>
      </c>
      <c r="V248" s="43">
        <v>0</v>
      </c>
      <c r="W248" s="43">
        <v>0</v>
      </c>
      <c r="X248" s="43">
        <v>0</v>
      </c>
      <c r="Y248" s="59">
        <f t="shared" si="75"/>
        <v>0</v>
      </c>
      <c r="Z248" s="43">
        <v>0</v>
      </c>
      <c r="AA248" s="43">
        <v>0</v>
      </c>
      <c r="AB248" s="60">
        <v>0</v>
      </c>
      <c r="AC248" s="43"/>
      <c r="AD248" s="43"/>
      <c r="AE248" s="43"/>
      <c r="AF248" s="60">
        <f t="shared" si="76"/>
        <v>192670.8</v>
      </c>
      <c r="AG248" s="60"/>
      <c r="AH248" s="7"/>
      <c r="AI248" s="7">
        <v>0</v>
      </c>
      <c r="AJ248" s="7">
        <v>0</v>
      </c>
      <c r="AK248" s="7">
        <v>0</v>
      </c>
      <c r="AL248" s="7">
        <v>0</v>
      </c>
      <c r="AM248" s="7">
        <v>0</v>
      </c>
      <c r="AO248" s="7">
        <f t="shared" si="77"/>
        <v>0</v>
      </c>
      <c r="AP248" s="59">
        <f t="shared" si="58"/>
        <v>0</v>
      </c>
      <c r="AQ248" s="59">
        <f t="shared" si="59"/>
        <v>0</v>
      </c>
      <c r="AR248" s="59">
        <f t="shared" si="60"/>
        <v>0</v>
      </c>
      <c r="AS248" s="59">
        <f t="shared" si="61"/>
        <v>0</v>
      </c>
    </row>
    <row r="249" spans="1:45">
      <c r="A249" s="21" t="s">
        <v>1050</v>
      </c>
      <c r="B249" s="18" t="s">
        <v>1051</v>
      </c>
      <c r="C249" s="18">
        <v>0</v>
      </c>
      <c r="D249" s="18">
        <v>0</v>
      </c>
      <c r="E249" s="19"/>
      <c r="F249" s="20">
        <v>0</v>
      </c>
      <c r="G249" s="19">
        <v>0</v>
      </c>
      <c r="H249" s="19">
        <v>0</v>
      </c>
      <c r="I249" s="43">
        <v>0</v>
      </c>
      <c r="J249" s="43">
        <v>0</v>
      </c>
      <c r="K249" s="43">
        <v>0</v>
      </c>
      <c r="L249" s="43">
        <v>0</v>
      </c>
      <c r="M249" s="43">
        <v>0</v>
      </c>
      <c r="N249" s="44">
        <f t="shared" si="73"/>
        <v>0</v>
      </c>
      <c r="O249" s="44">
        <v>0</v>
      </c>
      <c r="P249" s="45">
        <f t="shared" si="74"/>
        <v>0</v>
      </c>
      <c r="Q249" s="54">
        <v>0</v>
      </c>
      <c r="R249" s="55">
        <v>0</v>
      </c>
      <c r="S249" s="55">
        <v>0</v>
      </c>
      <c r="T249" s="43">
        <v>0</v>
      </c>
      <c r="U249" s="43">
        <v>0</v>
      </c>
      <c r="V249" s="43">
        <v>0</v>
      </c>
      <c r="W249" s="43">
        <v>0</v>
      </c>
      <c r="X249" s="43">
        <v>0</v>
      </c>
      <c r="Y249" s="59">
        <f t="shared" si="75"/>
        <v>0</v>
      </c>
      <c r="Z249" s="43">
        <v>0</v>
      </c>
      <c r="AA249" s="43">
        <v>0</v>
      </c>
      <c r="AB249" s="60">
        <v>0</v>
      </c>
      <c r="AC249" s="43"/>
      <c r="AD249" s="43"/>
      <c r="AE249" s="43"/>
      <c r="AF249" s="60">
        <f t="shared" si="76"/>
        <v>0</v>
      </c>
      <c r="AG249" s="60"/>
      <c r="AH249" s="7"/>
      <c r="AI249" s="7">
        <v>0</v>
      </c>
      <c r="AJ249" s="7">
        <v>0</v>
      </c>
      <c r="AK249" s="7">
        <v>0</v>
      </c>
      <c r="AL249" s="7">
        <v>0</v>
      </c>
      <c r="AM249" s="7">
        <v>0</v>
      </c>
      <c r="AO249" s="7">
        <f t="shared" si="77"/>
        <v>0</v>
      </c>
      <c r="AP249" s="59">
        <f t="shared" si="58"/>
        <v>0</v>
      </c>
      <c r="AQ249" s="59">
        <f t="shared" si="59"/>
        <v>0</v>
      </c>
      <c r="AR249" s="59">
        <f t="shared" si="60"/>
        <v>0</v>
      </c>
      <c r="AS249" s="59">
        <f t="shared" si="61"/>
        <v>0</v>
      </c>
    </row>
    <row r="250" spans="1:45">
      <c r="A250" s="21" t="s">
        <v>1052</v>
      </c>
      <c r="B250" s="18" t="s">
        <v>1053</v>
      </c>
      <c r="C250" s="18">
        <v>0</v>
      </c>
      <c r="D250" s="18">
        <v>0</v>
      </c>
      <c r="E250" s="19"/>
      <c r="F250" s="20">
        <v>2575</v>
      </c>
      <c r="G250" s="19">
        <v>0</v>
      </c>
      <c r="H250" s="19">
        <v>0</v>
      </c>
      <c r="I250" s="43">
        <v>0</v>
      </c>
      <c r="J250" s="43">
        <v>0</v>
      </c>
      <c r="K250" s="43">
        <v>0</v>
      </c>
      <c r="L250" s="43">
        <v>0</v>
      </c>
      <c r="M250" s="43">
        <v>0</v>
      </c>
      <c r="N250" s="44">
        <f t="shared" si="73"/>
        <v>0</v>
      </c>
      <c r="O250" s="44">
        <v>0</v>
      </c>
      <c r="P250" s="45">
        <f t="shared" si="74"/>
        <v>0</v>
      </c>
      <c r="Q250" s="54">
        <v>0</v>
      </c>
      <c r="R250" s="55">
        <v>0</v>
      </c>
      <c r="S250" s="55">
        <v>0</v>
      </c>
      <c r="T250" s="43">
        <v>0</v>
      </c>
      <c r="U250" s="43">
        <v>0</v>
      </c>
      <c r="V250" s="43">
        <v>0</v>
      </c>
      <c r="W250" s="43">
        <v>0</v>
      </c>
      <c r="X250" s="43">
        <v>0</v>
      </c>
      <c r="Y250" s="59">
        <f t="shared" si="75"/>
        <v>0</v>
      </c>
      <c r="Z250" s="43">
        <v>0</v>
      </c>
      <c r="AA250" s="43">
        <v>0</v>
      </c>
      <c r="AB250" s="60">
        <v>0</v>
      </c>
      <c r="AC250" s="43"/>
      <c r="AD250" s="43"/>
      <c r="AE250" s="43"/>
      <c r="AF250" s="60">
        <f t="shared" si="76"/>
        <v>2575</v>
      </c>
      <c r="AG250" s="60"/>
      <c r="AH250" s="7"/>
      <c r="AI250" s="7">
        <v>0</v>
      </c>
      <c r="AJ250" s="7">
        <v>0</v>
      </c>
      <c r="AK250" s="7">
        <v>0</v>
      </c>
      <c r="AL250" s="7">
        <v>0</v>
      </c>
      <c r="AM250" s="7">
        <v>0</v>
      </c>
      <c r="AO250" s="7">
        <f t="shared" si="77"/>
        <v>0</v>
      </c>
      <c r="AP250" s="59">
        <f t="shared" si="58"/>
        <v>0</v>
      </c>
      <c r="AQ250" s="59">
        <f t="shared" si="59"/>
        <v>0</v>
      </c>
      <c r="AR250" s="59">
        <f t="shared" si="60"/>
        <v>0</v>
      </c>
      <c r="AS250" s="59">
        <f t="shared" si="61"/>
        <v>0</v>
      </c>
    </row>
    <row r="251" spans="1:45">
      <c r="A251" s="21" t="s">
        <v>1054</v>
      </c>
      <c r="B251" s="33" t="s">
        <v>1055</v>
      </c>
      <c r="C251" s="18" t="s">
        <v>52</v>
      </c>
      <c r="D251" s="18" t="s">
        <v>52</v>
      </c>
      <c r="E251" s="34"/>
      <c r="F251" s="20">
        <v>48566</v>
      </c>
      <c r="G251" s="19">
        <v>0</v>
      </c>
      <c r="H251" s="19">
        <v>0</v>
      </c>
      <c r="I251" s="43">
        <v>15</v>
      </c>
      <c r="J251" s="43">
        <v>0</v>
      </c>
      <c r="K251" s="43">
        <v>0</v>
      </c>
      <c r="L251" s="43">
        <v>0</v>
      </c>
      <c r="M251" s="43">
        <v>0</v>
      </c>
      <c r="N251" s="44">
        <f t="shared" si="73"/>
        <v>15</v>
      </c>
      <c r="O251" s="44">
        <f>I251*$H$1+J251*$I$1+K251*$J$1+L251*$K$1+M251*$L$1</f>
        <v>208500</v>
      </c>
      <c r="P251" s="45">
        <f t="shared" si="74"/>
        <v>208500</v>
      </c>
      <c r="Q251" s="54">
        <v>0</v>
      </c>
      <c r="R251" s="55">
        <v>0</v>
      </c>
      <c r="S251" s="55">
        <v>0</v>
      </c>
      <c r="T251" s="43">
        <v>15</v>
      </c>
      <c r="U251" s="43">
        <v>0</v>
      </c>
      <c r="V251" s="43">
        <v>0</v>
      </c>
      <c r="W251" s="43">
        <v>0</v>
      </c>
      <c r="X251" s="43">
        <v>0</v>
      </c>
      <c r="Y251" s="59">
        <f t="shared" si="75"/>
        <v>15</v>
      </c>
      <c r="Z251" s="43">
        <v>198500</v>
      </c>
      <c r="AA251" s="43">
        <v>134500</v>
      </c>
      <c r="AB251" s="60">
        <v>0</v>
      </c>
      <c r="AC251" s="43"/>
      <c r="AD251" s="43"/>
      <c r="AE251" s="43"/>
      <c r="AF251" s="60">
        <f t="shared" si="76"/>
        <v>112566</v>
      </c>
      <c r="AG251" s="60">
        <f>AF251-AO251-H251</f>
        <v>112566</v>
      </c>
      <c r="AH251" s="7"/>
      <c r="AI251" s="7">
        <v>0</v>
      </c>
      <c r="AJ251" s="7">
        <v>0</v>
      </c>
      <c r="AK251" s="7">
        <v>0</v>
      </c>
      <c r="AL251" s="7">
        <v>0</v>
      </c>
      <c r="AM251" s="7">
        <v>0</v>
      </c>
      <c r="AO251" s="7">
        <f t="shared" si="77"/>
        <v>0</v>
      </c>
      <c r="AP251" s="59">
        <f t="shared" si="58"/>
        <v>0</v>
      </c>
      <c r="AQ251" s="59">
        <f t="shared" si="59"/>
        <v>0</v>
      </c>
      <c r="AR251" s="59">
        <f t="shared" si="60"/>
        <v>0</v>
      </c>
      <c r="AS251" s="59">
        <f t="shared" si="61"/>
        <v>0</v>
      </c>
    </row>
    <row r="252" spans="1:45">
      <c r="A252" s="21" t="s">
        <v>1056</v>
      </c>
      <c r="B252" s="99" t="s">
        <v>1057</v>
      </c>
      <c r="C252" s="18">
        <v>0</v>
      </c>
      <c r="D252" s="18" t="s">
        <v>2</v>
      </c>
      <c r="E252" s="28"/>
      <c r="F252" s="20">
        <v>13000</v>
      </c>
      <c r="G252" s="19">
        <v>0</v>
      </c>
      <c r="H252" s="19">
        <v>0</v>
      </c>
      <c r="I252" s="43">
        <v>15</v>
      </c>
      <c r="J252" s="43">
        <v>0</v>
      </c>
      <c r="K252" s="43">
        <v>0</v>
      </c>
      <c r="L252" s="43">
        <v>0</v>
      </c>
      <c r="M252" s="43">
        <v>0</v>
      </c>
      <c r="N252" s="44">
        <f t="shared" si="73"/>
        <v>15</v>
      </c>
      <c r="O252" s="44">
        <f>I252*$H$3+J252*$I$3+K252*$J$3+L252*$K$3+M252*$L$3</f>
        <v>205875</v>
      </c>
      <c r="P252" s="45">
        <f t="shared" si="74"/>
        <v>205875</v>
      </c>
      <c r="Q252" s="54">
        <v>13000</v>
      </c>
      <c r="R252" s="55">
        <v>0</v>
      </c>
      <c r="S252" s="55">
        <v>0</v>
      </c>
      <c r="T252" s="43">
        <v>0</v>
      </c>
      <c r="U252" s="43">
        <v>0</v>
      </c>
      <c r="V252" s="43">
        <v>0</v>
      </c>
      <c r="W252" s="43">
        <v>0</v>
      </c>
      <c r="X252" s="43">
        <v>0</v>
      </c>
      <c r="Y252" s="59">
        <f t="shared" si="75"/>
        <v>0</v>
      </c>
      <c r="Z252" s="43">
        <v>0</v>
      </c>
      <c r="AA252" s="43">
        <v>0</v>
      </c>
      <c r="AB252" s="60">
        <v>0</v>
      </c>
      <c r="AC252" s="43"/>
      <c r="AD252" s="43"/>
      <c r="AE252" s="43"/>
      <c r="AF252" s="60">
        <f t="shared" si="76"/>
        <v>13000</v>
      </c>
      <c r="AG252" s="60"/>
      <c r="AH252" s="7"/>
      <c r="AI252" s="7">
        <v>0</v>
      </c>
      <c r="AJ252" s="7">
        <v>0</v>
      </c>
      <c r="AK252" s="7">
        <v>0</v>
      </c>
      <c r="AL252" s="7">
        <v>0</v>
      </c>
      <c r="AM252" s="7">
        <v>0</v>
      </c>
      <c r="AO252" s="7">
        <f t="shared" si="77"/>
        <v>0</v>
      </c>
      <c r="AP252" s="59">
        <f t="shared" si="58"/>
        <v>15</v>
      </c>
      <c r="AQ252" s="59">
        <f t="shared" si="59"/>
        <v>0</v>
      </c>
      <c r="AR252" s="59">
        <f t="shared" si="60"/>
        <v>1.15384615384615</v>
      </c>
      <c r="AS252" s="59">
        <f t="shared" si="61"/>
        <v>0</v>
      </c>
    </row>
    <row r="253" spans="1:45">
      <c r="A253" s="21" t="s">
        <v>1058</v>
      </c>
      <c r="B253" s="18" t="s">
        <v>1059</v>
      </c>
      <c r="C253" s="18" t="s">
        <v>49</v>
      </c>
      <c r="D253" s="18" t="str">
        <f>C253</f>
        <v>CONVERSION</v>
      </c>
      <c r="E253" s="19"/>
      <c r="F253" s="20">
        <v>7500</v>
      </c>
      <c r="G253" s="19"/>
      <c r="H253" s="19"/>
      <c r="I253" s="43">
        <v>0</v>
      </c>
      <c r="J253" s="43">
        <v>0</v>
      </c>
      <c r="K253" s="43">
        <v>0</v>
      </c>
      <c r="L253" s="43">
        <v>0</v>
      </c>
      <c r="M253" s="43">
        <v>0</v>
      </c>
      <c r="N253" s="44">
        <f t="shared" si="73"/>
        <v>0</v>
      </c>
      <c r="O253" s="44">
        <f>I253*$H$4+J253*$I$4+K253*$J$4+L253*$K$4+M253*$L$4</f>
        <v>0</v>
      </c>
      <c r="P253" s="45">
        <f t="shared" si="74"/>
        <v>0</v>
      </c>
      <c r="Q253" s="54">
        <v>55000</v>
      </c>
      <c r="R253" s="55">
        <v>0</v>
      </c>
      <c r="S253" s="55">
        <v>0</v>
      </c>
      <c r="T253" s="43">
        <v>30</v>
      </c>
      <c r="U253" s="43">
        <v>0</v>
      </c>
      <c r="V253" s="43">
        <v>0</v>
      </c>
      <c r="W253" s="43">
        <v>0</v>
      </c>
      <c r="X253" s="43">
        <v>0</v>
      </c>
      <c r="Y253" s="59">
        <f t="shared" si="75"/>
        <v>30</v>
      </c>
      <c r="Z253" s="43">
        <v>165000</v>
      </c>
      <c r="AA253" s="43">
        <v>0</v>
      </c>
      <c r="AB253" s="60">
        <v>0</v>
      </c>
      <c r="AC253" s="43"/>
      <c r="AD253" s="43"/>
      <c r="AE253" s="43"/>
      <c r="AF253" s="60">
        <f t="shared" si="76"/>
        <v>172500</v>
      </c>
      <c r="AG253" s="60">
        <f>AF253-AO253-H253</f>
        <v>165000</v>
      </c>
      <c r="AH253" s="7"/>
      <c r="AI253" s="7">
        <v>0</v>
      </c>
      <c r="AJ253" s="7">
        <v>7500</v>
      </c>
      <c r="AK253" s="7">
        <v>0</v>
      </c>
      <c r="AL253" s="7">
        <v>0</v>
      </c>
      <c r="AM253" s="7">
        <v>0</v>
      </c>
      <c r="AO253" s="7">
        <f t="shared" si="77"/>
        <v>7500</v>
      </c>
      <c r="AP253" s="59">
        <f t="shared" si="58"/>
        <v>-30</v>
      </c>
      <c r="AQ253" s="59">
        <f t="shared" si="59"/>
        <v>0</v>
      </c>
      <c r="AR253" s="59">
        <f t="shared" si="60"/>
        <v>-2.30769230769231</v>
      </c>
      <c r="AS253" s="59">
        <f t="shared" si="61"/>
        <v>0</v>
      </c>
    </row>
    <row r="254" spans="1:45">
      <c r="A254" s="21" t="s">
        <v>1060</v>
      </c>
      <c r="B254" s="18" t="s">
        <v>1061</v>
      </c>
      <c r="C254" s="18">
        <v>0</v>
      </c>
      <c r="D254" s="18" t="s">
        <v>52</v>
      </c>
      <c r="E254" s="19"/>
      <c r="F254" s="20">
        <v>219197.01</v>
      </c>
      <c r="G254" s="19">
        <v>0</v>
      </c>
      <c r="H254" s="19">
        <v>0</v>
      </c>
      <c r="I254" s="43">
        <v>0</v>
      </c>
      <c r="J254" s="43">
        <v>0</v>
      </c>
      <c r="K254" s="43">
        <v>0</v>
      </c>
      <c r="L254" s="43">
        <v>0</v>
      </c>
      <c r="M254" s="43">
        <v>0</v>
      </c>
      <c r="N254" s="44">
        <f t="shared" si="73"/>
        <v>0</v>
      </c>
      <c r="O254" s="44">
        <f>I254*$H$1+J254*$I$1+K254*$J$1+L254*$K$1+M254*$L$1</f>
        <v>0</v>
      </c>
      <c r="P254" s="45">
        <f t="shared" si="74"/>
        <v>0</v>
      </c>
      <c r="Q254" s="54">
        <v>0</v>
      </c>
      <c r="R254" s="55">
        <v>0</v>
      </c>
      <c r="S254" s="55">
        <v>0</v>
      </c>
      <c r="T254" s="43">
        <v>0</v>
      </c>
      <c r="U254" s="43">
        <v>0</v>
      </c>
      <c r="V254" s="43">
        <v>0</v>
      </c>
      <c r="W254" s="43">
        <v>0</v>
      </c>
      <c r="X254" s="43">
        <v>0</v>
      </c>
      <c r="Y254" s="59">
        <f t="shared" si="75"/>
        <v>0</v>
      </c>
      <c r="Z254" s="43">
        <v>0</v>
      </c>
      <c r="AA254" s="43">
        <v>0</v>
      </c>
      <c r="AB254" s="60">
        <v>0</v>
      </c>
      <c r="AC254" s="43"/>
      <c r="AD254" s="43"/>
      <c r="AE254" s="43"/>
      <c r="AF254" s="60">
        <f t="shared" si="76"/>
        <v>219197.01</v>
      </c>
      <c r="AG254" s="60"/>
      <c r="AH254" s="7"/>
      <c r="AI254" s="7">
        <v>0</v>
      </c>
      <c r="AJ254" s="7">
        <v>0</v>
      </c>
      <c r="AK254" s="7">
        <v>0</v>
      </c>
      <c r="AL254" s="7">
        <v>0</v>
      </c>
      <c r="AM254" s="7">
        <v>0</v>
      </c>
      <c r="AO254" s="7">
        <f t="shared" si="77"/>
        <v>0</v>
      </c>
      <c r="AP254" s="59">
        <f t="shared" si="58"/>
        <v>0</v>
      </c>
      <c r="AQ254" s="59">
        <f t="shared" si="59"/>
        <v>0</v>
      </c>
      <c r="AR254" s="59">
        <f t="shared" si="60"/>
        <v>0</v>
      </c>
      <c r="AS254" s="59">
        <f t="shared" si="61"/>
        <v>0</v>
      </c>
    </row>
    <row r="255" spans="1:45">
      <c r="A255" s="21" t="s">
        <v>1062</v>
      </c>
      <c r="B255" s="18" t="s">
        <v>1063</v>
      </c>
      <c r="C255" s="18">
        <v>0</v>
      </c>
      <c r="D255" s="18" t="s">
        <v>52</v>
      </c>
      <c r="E255" s="28"/>
      <c r="F255" s="20">
        <v>-0.27</v>
      </c>
      <c r="G255" s="19">
        <v>0</v>
      </c>
      <c r="H255" s="19">
        <v>0</v>
      </c>
      <c r="I255" s="43">
        <v>0</v>
      </c>
      <c r="J255" s="43">
        <v>0</v>
      </c>
      <c r="K255" s="43">
        <v>8</v>
      </c>
      <c r="L255" s="43">
        <v>2</v>
      </c>
      <c r="M255" s="43">
        <v>30</v>
      </c>
      <c r="N255" s="44">
        <f t="shared" si="73"/>
        <v>40</v>
      </c>
      <c r="O255" s="44">
        <f>I255*$H$1+J255*$I$1+K255*$J$1+L255*$K$1+M255*$L$1</f>
        <v>311200</v>
      </c>
      <c r="P255" s="45">
        <f t="shared" si="74"/>
        <v>311200</v>
      </c>
      <c r="Q255" s="54">
        <v>0</v>
      </c>
      <c r="R255" s="55">
        <v>0</v>
      </c>
      <c r="S255" s="55">
        <v>0</v>
      </c>
      <c r="T255" s="43">
        <v>0</v>
      </c>
      <c r="U255" s="43">
        <v>0</v>
      </c>
      <c r="V255" s="43">
        <v>0</v>
      </c>
      <c r="W255" s="43">
        <v>0</v>
      </c>
      <c r="X255" s="43">
        <v>0</v>
      </c>
      <c r="Y255" s="59">
        <f t="shared" si="75"/>
        <v>0</v>
      </c>
      <c r="Z255" s="43">
        <v>0</v>
      </c>
      <c r="AA255" s="43">
        <v>0</v>
      </c>
      <c r="AB255" s="60">
        <v>0</v>
      </c>
      <c r="AC255" s="43"/>
      <c r="AD255" s="43"/>
      <c r="AE255" s="43"/>
      <c r="AF255" s="60">
        <f t="shared" si="76"/>
        <v>-0.27</v>
      </c>
      <c r="AG255" s="60"/>
      <c r="AH255" s="7"/>
      <c r="AI255" s="7">
        <v>0</v>
      </c>
      <c r="AJ255" s="7">
        <v>0</v>
      </c>
      <c r="AK255" s="7">
        <v>0</v>
      </c>
      <c r="AL255" s="7">
        <v>0</v>
      </c>
      <c r="AM255" s="7">
        <v>0</v>
      </c>
      <c r="AO255" s="7">
        <f t="shared" si="77"/>
        <v>0</v>
      </c>
      <c r="AP255" s="59">
        <f t="shared" si="58"/>
        <v>0</v>
      </c>
      <c r="AQ255" s="59">
        <f t="shared" si="59"/>
        <v>8</v>
      </c>
      <c r="AR255" s="59">
        <f t="shared" si="60"/>
        <v>0</v>
      </c>
      <c r="AS255" s="59">
        <f t="shared" si="61"/>
        <v>0.615384615384615</v>
      </c>
    </row>
    <row r="256" spans="1:45">
      <c r="A256" s="21" t="s">
        <v>1064</v>
      </c>
      <c r="B256" s="27" t="s">
        <v>1065</v>
      </c>
      <c r="C256" s="18" t="s">
        <v>2</v>
      </c>
      <c r="D256" s="18" t="s">
        <v>2</v>
      </c>
      <c r="E256" s="28"/>
      <c r="F256" s="20">
        <v>523293</v>
      </c>
      <c r="G256" s="19">
        <v>0</v>
      </c>
      <c r="H256" s="19">
        <v>0</v>
      </c>
      <c r="I256" s="43">
        <v>70</v>
      </c>
      <c r="J256" s="43">
        <v>0</v>
      </c>
      <c r="K256" s="43">
        <v>0</v>
      </c>
      <c r="L256" s="43">
        <v>0</v>
      </c>
      <c r="M256" s="43">
        <v>0</v>
      </c>
      <c r="N256" s="44">
        <f t="shared" si="73"/>
        <v>70</v>
      </c>
      <c r="O256" s="44">
        <f>I256*$H$3+J256*$I$3+K256*$J$3+L256*$K$3+M256*$L$3</f>
        <v>960750</v>
      </c>
      <c r="P256" s="45">
        <f t="shared" si="74"/>
        <v>960750</v>
      </c>
      <c r="Q256" s="54">
        <v>268537.434210526</v>
      </c>
      <c r="R256" s="55">
        <v>80</v>
      </c>
      <c r="S256" s="55">
        <v>0</v>
      </c>
      <c r="T256" s="43">
        <v>50</v>
      </c>
      <c r="U256" s="43">
        <v>0</v>
      </c>
      <c r="V256" s="43">
        <v>0</v>
      </c>
      <c r="W256" s="43">
        <v>0</v>
      </c>
      <c r="X256" s="43">
        <v>0</v>
      </c>
      <c r="Y256" s="59">
        <f t="shared" si="75"/>
        <v>50</v>
      </c>
      <c r="Z256" s="43">
        <v>712500</v>
      </c>
      <c r="AA256" s="43">
        <v>300000</v>
      </c>
      <c r="AB256" s="60">
        <v>0</v>
      </c>
      <c r="AC256" s="43"/>
      <c r="AD256" s="43"/>
      <c r="AE256" s="43"/>
      <c r="AF256" s="60">
        <f t="shared" si="76"/>
        <v>935793</v>
      </c>
      <c r="AG256" s="60">
        <f>AF256-AO256-H256</f>
        <v>805537.284210526</v>
      </c>
      <c r="AH256" s="7"/>
      <c r="AI256" s="7">
        <v>34200</v>
      </c>
      <c r="AJ256" s="7">
        <v>54029.4</v>
      </c>
      <c r="AK256" s="7">
        <v>31500</v>
      </c>
      <c r="AL256" s="7">
        <v>2807.01754385965</v>
      </c>
      <c r="AM256" s="7">
        <v>7719.29824561403</v>
      </c>
      <c r="AO256" s="7">
        <f t="shared" si="77"/>
        <v>130255.715789474</v>
      </c>
      <c r="AP256" s="59">
        <f t="shared" si="58"/>
        <v>20</v>
      </c>
      <c r="AQ256" s="59">
        <f t="shared" si="59"/>
        <v>0</v>
      </c>
      <c r="AR256" s="59">
        <f t="shared" si="60"/>
        <v>1.53846153846154</v>
      </c>
      <c r="AS256" s="59">
        <f t="shared" si="61"/>
        <v>0</v>
      </c>
    </row>
    <row r="257" spans="1:45">
      <c r="A257" s="21" t="s">
        <v>1066</v>
      </c>
      <c r="B257" s="18" t="s">
        <v>1067</v>
      </c>
      <c r="C257" s="18" t="s">
        <v>1</v>
      </c>
      <c r="D257" s="18" t="s">
        <v>99</v>
      </c>
      <c r="E257" s="19"/>
      <c r="F257" s="20">
        <v>21231</v>
      </c>
      <c r="G257" s="19"/>
      <c r="H257" s="19"/>
      <c r="I257" s="43">
        <v>0</v>
      </c>
      <c r="J257" s="43">
        <v>0</v>
      </c>
      <c r="K257" s="43">
        <v>0</v>
      </c>
      <c r="L257" s="43">
        <v>0</v>
      </c>
      <c r="M257" s="43">
        <v>0</v>
      </c>
      <c r="N257" s="44">
        <f t="shared" si="73"/>
        <v>0</v>
      </c>
      <c r="O257" s="44">
        <f>I257*$H$2+J257*$I$2+K257*$J$2+L257*$K$2+M257*$L$2</f>
        <v>0</v>
      </c>
      <c r="P257" s="45">
        <f t="shared" si="74"/>
        <v>0</v>
      </c>
      <c r="Q257" s="54">
        <v>0</v>
      </c>
      <c r="R257" s="55">
        <v>0</v>
      </c>
      <c r="S257" s="55">
        <v>0</v>
      </c>
      <c r="T257" s="43">
        <v>0</v>
      </c>
      <c r="U257" s="43">
        <v>0</v>
      </c>
      <c r="V257" s="43">
        <v>0</v>
      </c>
      <c r="W257" s="43">
        <v>0</v>
      </c>
      <c r="X257" s="43">
        <v>0</v>
      </c>
      <c r="Y257" s="59">
        <f t="shared" si="75"/>
        <v>0</v>
      </c>
      <c r="Z257" s="43">
        <v>0</v>
      </c>
      <c r="AA257" s="43">
        <v>10000</v>
      </c>
      <c r="AB257" s="60">
        <v>0</v>
      </c>
      <c r="AC257" s="43"/>
      <c r="AD257" s="43"/>
      <c r="AE257" s="43"/>
      <c r="AF257" s="60">
        <f t="shared" si="76"/>
        <v>11231</v>
      </c>
      <c r="AG257" s="60"/>
      <c r="AH257" s="7"/>
      <c r="AI257" s="7">
        <v>4877.53</v>
      </c>
      <c r="AJ257" s="7">
        <v>4947.75</v>
      </c>
      <c r="AK257" s="7">
        <v>0</v>
      </c>
      <c r="AL257" s="7">
        <v>0</v>
      </c>
      <c r="AM257" s="7">
        <v>0</v>
      </c>
      <c r="AO257" s="7">
        <f t="shared" ref="AO257:AO271" si="78">AI257+AJ257+AK257+AL257+AM257</f>
        <v>9825.28</v>
      </c>
      <c r="AP257" s="59">
        <f t="shared" si="58"/>
        <v>0</v>
      </c>
      <c r="AQ257" s="59">
        <f t="shared" si="59"/>
        <v>0</v>
      </c>
      <c r="AR257" s="59">
        <f t="shared" si="60"/>
        <v>0</v>
      </c>
      <c r="AS257" s="59">
        <f t="shared" si="61"/>
        <v>0</v>
      </c>
    </row>
    <row r="258" spans="1:45">
      <c r="A258" s="21" t="s">
        <v>1068</v>
      </c>
      <c r="B258" s="174" t="s">
        <v>1069</v>
      </c>
      <c r="C258" s="18">
        <v>0</v>
      </c>
      <c r="D258" s="18" t="s">
        <v>52</v>
      </c>
      <c r="E258" s="34"/>
      <c r="F258" s="20">
        <v>336801.7</v>
      </c>
      <c r="G258" s="19"/>
      <c r="H258" s="19"/>
      <c r="I258" s="43">
        <v>15</v>
      </c>
      <c r="J258" s="43">
        <v>0</v>
      </c>
      <c r="K258" s="43">
        <v>0</v>
      </c>
      <c r="L258" s="43">
        <v>0</v>
      </c>
      <c r="M258" s="43">
        <v>0</v>
      </c>
      <c r="N258" s="44">
        <f t="shared" si="73"/>
        <v>15</v>
      </c>
      <c r="O258" s="44">
        <f>I258*$H$1+J258*$I$1+K258*$J$1+L258*$K$1+M258*$L$1</f>
        <v>208500</v>
      </c>
      <c r="P258" s="45">
        <f t="shared" si="74"/>
        <v>208500</v>
      </c>
      <c r="Q258" s="54">
        <v>0</v>
      </c>
      <c r="R258" s="55">
        <v>0</v>
      </c>
      <c r="S258" s="55">
        <v>0</v>
      </c>
      <c r="T258" s="43">
        <v>0</v>
      </c>
      <c r="U258" s="43">
        <v>0</v>
      </c>
      <c r="V258" s="43">
        <v>0</v>
      </c>
      <c r="W258" s="43">
        <v>0</v>
      </c>
      <c r="X258" s="43">
        <v>0</v>
      </c>
      <c r="Y258" s="59">
        <f t="shared" si="75"/>
        <v>0</v>
      </c>
      <c r="Z258" s="43">
        <v>0</v>
      </c>
      <c r="AA258" s="43">
        <v>0</v>
      </c>
      <c r="AB258" s="60">
        <v>0</v>
      </c>
      <c r="AC258" s="43"/>
      <c r="AD258" s="43"/>
      <c r="AE258" s="43"/>
      <c r="AF258" s="60">
        <f t="shared" si="76"/>
        <v>336801.7</v>
      </c>
      <c r="AG258" s="60"/>
      <c r="AH258" s="7"/>
      <c r="AI258" s="7">
        <v>0</v>
      </c>
      <c r="AJ258" s="7">
        <v>0</v>
      </c>
      <c r="AK258" s="7">
        <v>0</v>
      </c>
      <c r="AL258" s="7">
        <v>0</v>
      </c>
      <c r="AM258" s="7">
        <v>0</v>
      </c>
      <c r="AO258" s="7">
        <f t="shared" si="78"/>
        <v>0</v>
      </c>
      <c r="AP258" s="59">
        <f t="shared" si="58"/>
        <v>15</v>
      </c>
      <c r="AQ258" s="59">
        <f t="shared" si="59"/>
        <v>0</v>
      </c>
      <c r="AR258" s="59">
        <f t="shared" si="60"/>
        <v>1.15384615384615</v>
      </c>
      <c r="AS258" s="59">
        <f t="shared" si="61"/>
        <v>0</v>
      </c>
    </row>
    <row r="259" spans="1:45">
      <c r="A259" s="21" t="s">
        <v>1070</v>
      </c>
      <c r="B259" s="176" t="s">
        <v>1071</v>
      </c>
      <c r="C259" s="18" t="s">
        <v>49</v>
      </c>
      <c r="D259" s="18" t="str">
        <f>C259</f>
        <v>CONVERSION</v>
      </c>
      <c r="E259" s="19"/>
      <c r="F259" s="20">
        <v>-40500</v>
      </c>
      <c r="G259" s="19"/>
      <c r="H259" s="19"/>
      <c r="I259" s="43">
        <v>0</v>
      </c>
      <c r="J259" s="43">
        <v>0</v>
      </c>
      <c r="K259" s="43">
        <v>0</v>
      </c>
      <c r="L259" s="43">
        <v>0</v>
      </c>
      <c r="M259" s="43">
        <v>0</v>
      </c>
      <c r="N259" s="44">
        <f t="shared" si="73"/>
        <v>0</v>
      </c>
      <c r="O259" s="44">
        <f>I259*$H$4+J259*$I$4+K259*$J$4+L259*$K$4+M259*$L$4</f>
        <v>0</v>
      </c>
      <c r="P259" s="45">
        <f t="shared" si="74"/>
        <v>0</v>
      </c>
      <c r="Q259" s="54">
        <v>0</v>
      </c>
      <c r="R259" s="55">
        <v>0</v>
      </c>
      <c r="S259" s="55">
        <v>0</v>
      </c>
      <c r="T259" s="43">
        <v>40</v>
      </c>
      <c r="U259" s="43">
        <v>0</v>
      </c>
      <c r="V259" s="43">
        <v>0</v>
      </c>
      <c r="W259" s="43">
        <v>0</v>
      </c>
      <c r="X259" s="43">
        <v>0</v>
      </c>
      <c r="Y259" s="59">
        <f t="shared" si="75"/>
        <v>40</v>
      </c>
      <c r="Z259" s="43">
        <v>220000</v>
      </c>
      <c r="AA259" s="43">
        <v>155000</v>
      </c>
      <c r="AB259" s="60">
        <v>0</v>
      </c>
      <c r="AC259" s="43"/>
      <c r="AD259" s="43"/>
      <c r="AE259" s="43"/>
      <c r="AF259" s="60">
        <f t="shared" si="76"/>
        <v>24500</v>
      </c>
      <c r="AG259" s="60">
        <f>AF259-AO259-H259</f>
        <v>20000</v>
      </c>
      <c r="AH259" s="7"/>
      <c r="AI259" s="7">
        <v>0</v>
      </c>
      <c r="AJ259" s="7">
        <v>4500</v>
      </c>
      <c r="AK259" s="7">
        <v>0</v>
      </c>
      <c r="AL259" s="7">
        <v>0</v>
      </c>
      <c r="AM259" s="7">
        <v>0</v>
      </c>
      <c r="AO259" s="7">
        <f t="shared" si="78"/>
        <v>4500</v>
      </c>
      <c r="AP259" s="59">
        <f t="shared" si="58"/>
        <v>-40</v>
      </c>
      <c r="AQ259" s="59">
        <f t="shared" si="59"/>
        <v>0</v>
      </c>
      <c r="AR259" s="59">
        <f t="shared" si="60"/>
        <v>-3.07692307692308</v>
      </c>
      <c r="AS259" s="59">
        <f t="shared" si="61"/>
        <v>0</v>
      </c>
    </row>
    <row r="260" spans="1:45">
      <c r="A260" s="21" t="s">
        <v>1072</v>
      </c>
      <c r="B260" s="18" t="s">
        <v>1073</v>
      </c>
      <c r="C260" s="18">
        <v>0</v>
      </c>
      <c r="D260" s="18">
        <v>0</v>
      </c>
      <c r="E260" s="19"/>
      <c r="F260" s="20">
        <v>381325</v>
      </c>
      <c r="G260" s="19">
        <v>0</v>
      </c>
      <c r="H260" s="19">
        <v>0</v>
      </c>
      <c r="I260" s="43">
        <v>0</v>
      </c>
      <c r="J260" s="43">
        <v>0</v>
      </c>
      <c r="K260" s="43">
        <v>0</v>
      </c>
      <c r="L260" s="43">
        <v>0</v>
      </c>
      <c r="M260" s="43">
        <v>0</v>
      </c>
      <c r="N260" s="44">
        <f t="shared" si="73"/>
        <v>0</v>
      </c>
      <c r="O260" s="44">
        <v>0</v>
      </c>
      <c r="P260" s="45">
        <f t="shared" si="74"/>
        <v>0</v>
      </c>
      <c r="Q260" s="54">
        <v>0</v>
      </c>
      <c r="R260" s="55">
        <v>0</v>
      </c>
      <c r="S260" s="55">
        <v>0</v>
      </c>
      <c r="T260" s="43">
        <v>0</v>
      </c>
      <c r="U260" s="43">
        <v>0</v>
      </c>
      <c r="V260" s="43">
        <v>0</v>
      </c>
      <c r="W260" s="43">
        <v>0</v>
      </c>
      <c r="X260" s="43">
        <v>0</v>
      </c>
      <c r="Y260" s="59">
        <f t="shared" si="75"/>
        <v>0</v>
      </c>
      <c r="Z260" s="43">
        <v>0</v>
      </c>
      <c r="AA260" s="43">
        <v>0</v>
      </c>
      <c r="AB260" s="60">
        <v>0</v>
      </c>
      <c r="AC260" s="43"/>
      <c r="AD260" s="43"/>
      <c r="AE260" s="43"/>
      <c r="AF260" s="60">
        <f t="shared" si="76"/>
        <v>381325</v>
      </c>
      <c r="AG260" s="60"/>
      <c r="AH260" s="7"/>
      <c r="AI260" s="7">
        <v>0</v>
      </c>
      <c r="AJ260" s="7">
        <v>0</v>
      </c>
      <c r="AK260" s="7">
        <v>0</v>
      </c>
      <c r="AL260" s="7">
        <v>0</v>
      </c>
      <c r="AM260" s="7">
        <v>0</v>
      </c>
      <c r="AO260" s="7">
        <f t="shared" si="78"/>
        <v>0</v>
      </c>
      <c r="AP260" s="59">
        <f t="shared" si="58"/>
        <v>0</v>
      </c>
      <c r="AQ260" s="59">
        <f t="shared" si="59"/>
        <v>0</v>
      </c>
      <c r="AR260" s="59">
        <f t="shared" si="60"/>
        <v>0</v>
      </c>
      <c r="AS260" s="59">
        <f t="shared" si="61"/>
        <v>0</v>
      </c>
    </row>
    <row r="261" spans="1:45">
      <c r="A261" s="21" t="s">
        <v>1074</v>
      </c>
      <c r="B261" s="18" t="s">
        <v>1075</v>
      </c>
      <c r="C261" s="18">
        <v>0</v>
      </c>
      <c r="D261" s="18">
        <v>0</v>
      </c>
      <c r="E261" s="19"/>
      <c r="F261" s="20">
        <v>359251</v>
      </c>
      <c r="G261" s="19">
        <v>600000</v>
      </c>
      <c r="H261" s="19">
        <v>950000</v>
      </c>
      <c r="I261" s="43">
        <v>0</v>
      </c>
      <c r="J261" s="43">
        <v>0</v>
      </c>
      <c r="K261" s="43">
        <v>0</v>
      </c>
      <c r="L261" s="43">
        <v>0</v>
      </c>
      <c r="M261" s="43">
        <v>0</v>
      </c>
      <c r="N261" s="44">
        <f t="shared" si="73"/>
        <v>0</v>
      </c>
      <c r="O261" s="44">
        <v>0</v>
      </c>
      <c r="P261" s="45">
        <f t="shared" si="74"/>
        <v>0</v>
      </c>
      <c r="Q261" s="54">
        <v>0</v>
      </c>
      <c r="R261" s="55">
        <v>0</v>
      </c>
      <c r="S261" s="55">
        <v>0</v>
      </c>
      <c r="T261" s="43">
        <v>5</v>
      </c>
      <c r="U261" s="43">
        <v>0</v>
      </c>
      <c r="V261" s="43">
        <v>0</v>
      </c>
      <c r="W261" s="43">
        <v>0</v>
      </c>
      <c r="X261" s="43">
        <v>0</v>
      </c>
      <c r="Y261" s="59">
        <f t="shared" si="75"/>
        <v>5</v>
      </c>
      <c r="Z261" s="43">
        <v>71250</v>
      </c>
      <c r="AA261" s="43">
        <v>0</v>
      </c>
      <c r="AB261" s="60">
        <v>0</v>
      </c>
      <c r="AC261" s="43"/>
      <c r="AD261" s="43"/>
      <c r="AE261" s="43"/>
      <c r="AF261" s="60">
        <f t="shared" si="76"/>
        <v>430501</v>
      </c>
      <c r="AG261" s="60">
        <f>AF261-AO261-H261</f>
        <v>-519499</v>
      </c>
      <c r="AH261" s="7"/>
      <c r="AI261" s="7">
        <v>0</v>
      </c>
      <c r="AJ261" s="7">
        <v>0</v>
      </c>
      <c r="AK261" s="7">
        <v>0</v>
      </c>
      <c r="AL261" s="7">
        <v>0</v>
      </c>
      <c r="AM261" s="7">
        <v>0</v>
      </c>
      <c r="AO261" s="7">
        <f t="shared" si="78"/>
        <v>0</v>
      </c>
      <c r="AP261" s="59">
        <f t="shared" si="58"/>
        <v>-5</v>
      </c>
      <c r="AQ261" s="59">
        <f t="shared" si="59"/>
        <v>0</v>
      </c>
      <c r="AR261" s="59">
        <f t="shared" si="60"/>
        <v>-0.384615384615385</v>
      </c>
      <c r="AS261" s="59">
        <f t="shared" si="61"/>
        <v>0</v>
      </c>
    </row>
    <row r="262" spans="1:45">
      <c r="A262" s="21" t="s">
        <v>1076</v>
      </c>
      <c r="B262" s="174" t="s">
        <v>1077</v>
      </c>
      <c r="C262" s="18" t="s">
        <v>49</v>
      </c>
      <c r="D262" s="18" t="s">
        <v>49</v>
      </c>
      <c r="E262" s="34"/>
      <c r="F262" s="20">
        <v>-6000</v>
      </c>
      <c r="G262" s="19"/>
      <c r="H262" s="19"/>
      <c r="I262" s="43"/>
      <c r="J262" s="43">
        <v>0</v>
      </c>
      <c r="K262" s="43">
        <v>0</v>
      </c>
      <c r="L262" s="43">
        <v>0</v>
      </c>
      <c r="M262" s="43">
        <v>0</v>
      </c>
      <c r="N262" s="44">
        <f t="shared" si="73"/>
        <v>0</v>
      </c>
      <c r="O262" s="44">
        <f>I262*$H$4+J262*$I$4+K262*$J$4+L262*$K$4+M262*$L$4</f>
        <v>0</v>
      </c>
      <c r="P262" s="45">
        <f t="shared" si="74"/>
        <v>0</v>
      </c>
      <c r="Q262" s="54">
        <v>0</v>
      </c>
      <c r="R262" s="55">
        <v>0</v>
      </c>
      <c r="S262" s="55">
        <v>0</v>
      </c>
      <c r="T262" s="43">
        <v>0</v>
      </c>
      <c r="U262" s="43">
        <v>0</v>
      </c>
      <c r="V262" s="43">
        <v>0</v>
      </c>
      <c r="W262" s="43">
        <v>0</v>
      </c>
      <c r="X262" s="43">
        <v>0</v>
      </c>
      <c r="Y262" s="59">
        <f t="shared" si="75"/>
        <v>0</v>
      </c>
      <c r="Z262" s="43">
        <v>0</v>
      </c>
      <c r="AA262" s="43">
        <v>0</v>
      </c>
      <c r="AB262" s="60">
        <v>0</v>
      </c>
      <c r="AC262" s="43"/>
      <c r="AD262" s="43"/>
      <c r="AE262" s="43"/>
      <c r="AF262" s="60">
        <f t="shared" si="76"/>
        <v>-6000</v>
      </c>
      <c r="AG262" s="60"/>
      <c r="AH262" s="7"/>
      <c r="AI262" s="7">
        <v>0</v>
      </c>
      <c r="AJ262" s="7">
        <v>1800</v>
      </c>
      <c r="AK262" s="7">
        <v>0</v>
      </c>
      <c r="AL262" s="7">
        <v>0</v>
      </c>
      <c r="AM262" s="7">
        <v>0</v>
      </c>
      <c r="AO262" s="7">
        <f t="shared" si="78"/>
        <v>1800</v>
      </c>
      <c r="AP262" s="59">
        <f t="shared" si="58"/>
        <v>0</v>
      </c>
      <c r="AQ262" s="59">
        <f t="shared" si="59"/>
        <v>0</v>
      </c>
      <c r="AR262" s="59">
        <f t="shared" si="60"/>
        <v>0</v>
      </c>
      <c r="AS262" s="59">
        <f t="shared" si="61"/>
        <v>0</v>
      </c>
    </row>
    <row r="263" spans="1:45">
      <c r="A263" s="21" t="s">
        <v>1078</v>
      </c>
      <c r="B263" s="33" t="s">
        <v>1079</v>
      </c>
      <c r="C263" s="18">
        <v>0</v>
      </c>
      <c r="D263" s="18">
        <v>0</v>
      </c>
      <c r="E263" s="34"/>
      <c r="F263" s="20">
        <v>-891.11</v>
      </c>
      <c r="G263" s="19">
        <v>0</v>
      </c>
      <c r="H263" s="19">
        <v>0</v>
      </c>
      <c r="I263" s="43">
        <v>0</v>
      </c>
      <c r="J263" s="43">
        <v>0</v>
      </c>
      <c r="K263" s="43">
        <v>0</v>
      </c>
      <c r="L263" s="43">
        <v>0</v>
      </c>
      <c r="M263" s="43">
        <v>0</v>
      </c>
      <c r="N263" s="44">
        <f t="shared" si="73"/>
        <v>0</v>
      </c>
      <c r="O263" s="44">
        <v>0</v>
      </c>
      <c r="P263" s="45">
        <f t="shared" si="74"/>
        <v>0</v>
      </c>
      <c r="Q263" s="54">
        <v>0</v>
      </c>
      <c r="R263" s="55">
        <v>0</v>
      </c>
      <c r="S263" s="55">
        <v>0</v>
      </c>
      <c r="T263" s="43">
        <v>0</v>
      </c>
      <c r="U263" s="43">
        <v>0</v>
      </c>
      <c r="V263" s="43">
        <v>0</v>
      </c>
      <c r="W263" s="43">
        <v>0</v>
      </c>
      <c r="X263" s="43">
        <v>0</v>
      </c>
      <c r="Y263" s="59">
        <f t="shared" si="75"/>
        <v>0</v>
      </c>
      <c r="Z263" s="43">
        <v>0</v>
      </c>
      <c r="AA263" s="43">
        <v>0</v>
      </c>
      <c r="AB263" s="60">
        <v>0</v>
      </c>
      <c r="AC263" s="43"/>
      <c r="AD263" s="43"/>
      <c r="AE263" s="43"/>
      <c r="AF263" s="60">
        <f t="shared" si="76"/>
        <v>-891.11</v>
      </c>
      <c r="AG263" s="60"/>
      <c r="AH263" s="7"/>
      <c r="AI263" s="7">
        <v>0</v>
      </c>
      <c r="AJ263" s="7">
        <v>0</v>
      </c>
      <c r="AK263" s="7">
        <v>2000</v>
      </c>
      <c r="AL263" s="7">
        <v>0</v>
      </c>
      <c r="AM263" s="7">
        <v>1401.7094017094</v>
      </c>
      <c r="AO263" s="7">
        <f t="shared" si="78"/>
        <v>3401.7094017094</v>
      </c>
      <c r="AP263" s="59">
        <f t="shared" si="58"/>
        <v>0</v>
      </c>
      <c r="AQ263" s="59">
        <f t="shared" si="59"/>
        <v>0</v>
      </c>
      <c r="AR263" s="59">
        <f t="shared" si="60"/>
        <v>0</v>
      </c>
      <c r="AS263" s="59">
        <f t="shared" si="61"/>
        <v>0</v>
      </c>
    </row>
    <row r="264" ht="15" customHeight="1" spans="1:45">
      <c r="A264" s="21" t="s">
        <v>1080</v>
      </c>
      <c r="B264" s="18" t="s">
        <v>1081</v>
      </c>
      <c r="C264" s="18">
        <v>0</v>
      </c>
      <c r="D264" s="18">
        <v>0</v>
      </c>
      <c r="E264" s="19"/>
      <c r="F264" s="20">
        <v>1313982.5</v>
      </c>
      <c r="G264" s="19">
        <v>0</v>
      </c>
      <c r="H264" s="19">
        <v>0</v>
      </c>
      <c r="I264" s="43">
        <v>0</v>
      </c>
      <c r="J264" s="43">
        <v>0</v>
      </c>
      <c r="K264" s="43">
        <v>0</v>
      </c>
      <c r="L264" s="43">
        <v>0</v>
      </c>
      <c r="M264" s="43">
        <v>0</v>
      </c>
      <c r="N264" s="44">
        <f t="shared" si="73"/>
        <v>0</v>
      </c>
      <c r="O264" s="44">
        <v>0</v>
      </c>
      <c r="P264" s="45">
        <f t="shared" si="74"/>
        <v>0</v>
      </c>
      <c r="Q264" s="54">
        <v>0</v>
      </c>
      <c r="R264" s="55">
        <v>0</v>
      </c>
      <c r="S264" s="55">
        <v>0</v>
      </c>
      <c r="T264" s="43">
        <v>0</v>
      </c>
      <c r="U264" s="43">
        <v>0</v>
      </c>
      <c r="V264" s="43">
        <v>0</v>
      </c>
      <c r="W264" s="43">
        <v>0</v>
      </c>
      <c r="X264" s="43">
        <v>0</v>
      </c>
      <c r="Y264" s="59">
        <f t="shared" si="75"/>
        <v>0</v>
      </c>
      <c r="Z264" s="43">
        <v>0</v>
      </c>
      <c r="AA264" s="43">
        <v>0</v>
      </c>
      <c r="AB264" s="60">
        <v>0</v>
      </c>
      <c r="AC264" s="43"/>
      <c r="AD264" s="43"/>
      <c r="AE264" s="43"/>
      <c r="AF264" s="60">
        <f t="shared" si="76"/>
        <v>1313982.5</v>
      </c>
      <c r="AG264" s="60"/>
      <c r="AH264" s="7"/>
      <c r="AI264" s="7">
        <v>0</v>
      </c>
      <c r="AJ264" s="7">
        <v>0</v>
      </c>
      <c r="AK264" s="7">
        <v>0</v>
      </c>
      <c r="AL264" s="7">
        <v>0</v>
      </c>
      <c r="AM264" s="7">
        <v>0</v>
      </c>
      <c r="AO264" s="7">
        <f t="shared" si="78"/>
        <v>0</v>
      </c>
      <c r="AP264" s="59">
        <f t="shared" si="58"/>
        <v>0</v>
      </c>
      <c r="AQ264" s="59">
        <f t="shared" si="59"/>
        <v>0</v>
      </c>
      <c r="AR264" s="59">
        <f t="shared" si="60"/>
        <v>0</v>
      </c>
      <c r="AS264" s="59">
        <f t="shared" si="61"/>
        <v>0</v>
      </c>
    </row>
    <row r="265" spans="1:45">
      <c r="A265" s="21" t="s">
        <v>1082</v>
      </c>
      <c r="B265" s="18" t="s">
        <v>1083</v>
      </c>
      <c r="C265" s="18">
        <v>0</v>
      </c>
      <c r="D265" s="18">
        <v>0</v>
      </c>
      <c r="E265" s="19"/>
      <c r="F265" s="20">
        <v>45452</v>
      </c>
      <c r="G265" s="19">
        <v>0</v>
      </c>
      <c r="H265" s="19">
        <v>0</v>
      </c>
      <c r="I265" s="43">
        <v>0</v>
      </c>
      <c r="J265" s="43">
        <v>0</v>
      </c>
      <c r="K265" s="43">
        <v>0</v>
      </c>
      <c r="L265" s="43">
        <v>0</v>
      </c>
      <c r="M265" s="43">
        <v>0</v>
      </c>
      <c r="N265" s="44">
        <f t="shared" si="73"/>
        <v>0</v>
      </c>
      <c r="O265" s="44">
        <v>0</v>
      </c>
      <c r="P265" s="45">
        <f t="shared" si="74"/>
        <v>0</v>
      </c>
      <c r="Q265" s="54">
        <v>0</v>
      </c>
      <c r="R265" s="55">
        <v>0</v>
      </c>
      <c r="S265" s="55">
        <v>0</v>
      </c>
      <c r="T265" s="43">
        <v>0</v>
      </c>
      <c r="U265" s="43">
        <v>0</v>
      </c>
      <c r="V265" s="43">
        <v>0</v>
      </c>
      <c r="W265" s="43">
        <v>0</v>
      </c>
      <c r="X265" s="43">
        <v>0</v>
      </c>
      <c r="Y265" s="59">
        <f t="shared" si="75"/>
        <v>0</v>
      </c>
      <c r="Z265" s="43">
        <v>0</v>
      </c>
      <c r="AA265" s="43">
        <v>0</v>
      </c>
      <c r="AB265" s="60">
        <v>0</v>
      </c>
      <c r="AC265" s="43"/>
      <c r="AD265" s="43"/>
      <c r="AE265" s="43"/>
      <c r="AF265" s="60">
        <f t="shared" si="76"/>
        <v>45452</v>
      </c>
      <c r="AG265" s="60"/>
      <c r="AH265" s="7"/>
      <c r="AI265" s="7">
        <v>0</v>
      </c>
      <c r="AJ265" s="7">
        <v>0</v>
      </c>
      <c r="AK265" s="7">
        <v>0</v>
      </c>
      <c r="AL265" s="7">
        <v>0</v>
      </c>
      <c r="AM265" s="7">
        <v>0</v>
      </c>
      <c r="AO265" s="7">
        <f t="shared" si="78"/>
        <v>0</v>
      </c>
      <c r="AP265" s="59">
        <f t="shared" si="58"/>
        <v>0</v>
      </c>
      <c r="AQ265" s="59">
        <f t="shared" si="59"/>
        <v>0</v>
      </c>
      <c r="AR265" s="59">
        <f>AP265/13</f>
        <v>0</v>
      </c>
      <c r="AS265" s="59">
        <f>AQ265/13</f>
        <v>0</v>
      </c>
    </row>
    <row r="266" spans="1:45">
      <c r="A266" s="21" t="s">
        <v>1084</v>
      </c>
      <c r="B266" s="18" t="s">
        <v>1085</v>
      </c>
      <c r="C266" s="18">
        <v>0</v>
      </c>
      <c r="D266" s="18">
        <v>0</v>
      </c>
      <c r="E266" s="19"/>
      <c r="F266" s="20">
        <v>-4315</v>
      </c>
      <c r="G266" s="19">
        <v>0</v>
      </c>
      <c r="H266" s="19">
        <v>213000</v>
      </c>
      <c r="I266" s="43">
        <v>0</v>
      </c>
      <c r="J266" s="43">
        <v>0</v>
      </c>
      <c r="K266" s="43">
        <v>0</v>
      </c>
      <c r="L266" s="43">
        <v>0</v>
      </c>
      <c r="M266" s="43">
        <v>0</v>
      </c>
      <c r="N266" s="44">
        <f t="shared" si="73"/>
        <v>0</v>
      </c>
      <c r="O266" s="44">
        <v>0</v>
      </c>
      <c r="P266" s="45">
        <f t="shared" si="74"/>
        <v>0</v>
      </c>
      <c r="Q266" s="54">
        <v>0</v>
      </c>
      <c r="R266" s="55">
        <v>0</v>
      </c>
      <c r="S266" s="55">
        <v>0</v>
      </c>
      <c r="T266" s="43">
        <v>0</v>
      </c>
      <c r="U266" s="43">
        <v>0</v>
      </c>
      <c r="V266" s="43">
        <v>0</v>
      </c>
      <c r="W266" s="43">
        <v>0</v>
      </c>
      <c r="X266" s="43">
        <v>0</v>
      </c>
      <c r="Y266" s="59">
        <f t="shared" si="75"/>
        <v>0</v>
      </c>
      <c r="Z266" s="43">
        <v>0</v>
      </c>
      <c r="AA266" s="43">
        <v>0</v>
      </c>
      <c r="AB266" s="60">
        <v>0</v>
      </c>
      <c r="AC266" s="43"/>
      <c r="AD266" s="43"/>
      <c r="AE266" s="43"/>
      <c r="AF266" s="60">
        <f t="shared" si="76"/>
        <v>-4315</v>
      </c>
      <c r="AG266" s="60"/>
      <c r="AH266" s="7"/>
      <c r="AI266" s="7">
        <v>0</v>
      </c>
      <c r="AJ266" s="7">
        <v>0</v>
      </c>
      <c r="AK266" s="7">
        <v>0</v>
      </c>
      <c r="AL266" s="7">
        <v>0</v>
      </c>
      <c r="AM266" s="7">
        <v>0</v>
      </c>
      <c r="AO266" s="7">
        <f t="shared" si="78"/>
        <v>0</v>
      </c>
      <c r="AP266" s="59">
        <f t="shared" si="58"/>
        <v>0</v>
      </c>
      <c r="AQ266" s="59">
        <f t="shared" si="59"/>
        <v>0</v>
      </c>
      <c r="AR266" s="59">
        <f>AP266/13</f>
        <v>0</v>
      </c>
      <c r="AS266" s="59">
        <f>AQ266/13</f>
        <v>0</v>
      </c>
    </row>
    <row r="267" spans="1:45">
      <c r="A267" s="21" t="s">
        <v>1086</v>
      </c>
      <c r="B267" s="18" t="s">
        <v>1087</v>
      </c>
      <c r="C267" s="18" t="s">
        <v>49</v>
      </c>
      <c r="D267" s="18" t="s">
        <v>49</v>
      </c>
      <c r="E267" s="19"/>
      <c r="F267" s="20">
        <v>81900</v>
      </c>
      <c r="G267" s="19"/>
      <c r="H267" s="19"/>
      <c r="I267" s="43">
        <v>0</v>
      </c>
      <c r="J267" s="43">
        <v>0</v>
      </c>
      <c r="K267" s="43">
        <v>0</v>
      </c>
      <c r="L267" s="43">
        <v>0</v>
      </c>
      <c r="M267" s="43">
        <v>0</v>
      </c>
      <c r="N267" s="44">
        <f t="shared" si="73"/>
        <v>0</v>
      </c>
      <c r="O267" s="44">
        <f>I267*$H$4+J267*$I$4+K267*$J$4+L267*$K$4+M267*$L$4</f>
        <v>0</v>
      </c>
      <c r="P267" s="45">
        <f t="shared" si="74"/>
        <v>0</v>
      </c>
      <c r="Q267" s="54">
        <v>0</v>
      </c>
      <c r="R267" s="55">
        <v>0</v>
      </c>
      <c r="S267" s="55">
        <v>0</v>
      </c>
      <c r="T267" s="43">
        <v>0</v>
      </c>
      <c r="U267" s="43">
        <v>0</v>
      </c>
      <c r="V267" s="43">
        <v>0</v>
      </c>
      <c r="W267" s="43">
        <v>0</v>
      </c>
      <c r="X267" s="43">
        <v>0</v>
      </c>
      <c r="Y267" s="59">
        <f t="shared" si="75"/>
        <v>0</v>
      </c>
      <c r="Z267" s="43">
        <v>0</v>
      </c>
      <c r="AA267" s="43">
        <v>0</v>
      </c>
      <c r="AB267" s="60">
        <v>0</v>
      </c>
      <c r="AC267" s="43"/>
      <c r="AD267" s="43"/>
      <c r="AE267" s="43"/>
      <c r="AF267" s="60">
        <f t="shared" si="76"/>
        <v>81900</v>
      </c>
      <c r="AG267" s="60"/>
      <c r="AH267" s="7"/>
      <c r="AI267" s="7">
        <v>0</v>
      </c>
      <c r="AJ267" s="7">
        <v>0</v>
      </c>
      <c r="AK267" s="7">
        <v>0</v>
      </c>
      <c r="AL267" s="7">
        <v>0</v>
      </c>
      <c r="AM267" s="7">
        <v>0</v>
      </c>
      <c r="AO267" s="7">
        <f t="shared" si="78"/>
        <v>0</v>
      </c>
      <c r="AP267" s="59">
        <f t="shared" ref="AP267:AP285" si="79">I267+J267-T267-U267</f>
        <v>0</v>
      </c>
      <c r="AQ267" s="59">
        <f t="shared" ref="AQ267:AQ285" si="80">K267-V267</f>
        <v>0</v>
      </c>
      <c r="AR267" s="59">
        <f>AP267/13</f>
        <v>0</v>
      </c>
      <c r="AS267" s="59">
        <f>AQ267/13</f>
        <v>0</v>
      </c>
    </row>
    <row r="268" spans="1:45">
      <c r="A268" s="21" t="s">
        <v>1088</v>
      </c>
      <c r="B268" s="18" t="s">
        <v>1089</v>
      </c>
      <c r="C268" s="18">
        <v>0</v>
      </c>
      <c r="D268" s="18" t="s">
        <v>52</v>
      </c>
      <c r="E268" s="19"/>
      <c r="F268" s="20">
        <v>226539.68</v>
      </c>
      <c r="G268" s="19">
        <v>300000</v>
      </c>
      <c r="H268" s="19">
        <v>718500</v>
      </c>
      <c r="I268" s="43">
        <v>0</v>
      </c>
      <c r="J268" s="43">
        <v>0</v>
      </c>
      <c r="K268" s="43">
        <v>0</v>
      </c>
      <c r="L268" s="43">
        <v>0</v>
      </c>
      <c r="M268" s="43">
        <v>0</v>
      </c>
      <c r="N268" s="44">
        <f t="shared" si="73"/>
        <v>0</v>
      </c>
      <c r="O268" s="44">
        <f>I268*$H$1+J268*$I$1+K268*$J$1+L268*$K$1+M268*$L$1</f>
        <v>0</v>
      </c>
      <c r="P268" s="45">
        <f t="shared" si="74"/>
        <v>0</v>
      </c>
      <c r="Q268" s="54">
        <v>0</v>
      </c>
      <c r="R268" s="55">
        <v>0</v>
      </c>
      <c r="S268" s="55">
        <v>0</v>
      </c>
      <c r="T268" s="43">
        <v>0</v>
      </c>
      <c r="U268" s="43">
        <v>0</v>
      </c>
      <c r="V268" s="43">
        <v>0</v>
      </c>
      <c r="W268" s="43">
        <v>0</v>
      </c>
      <c r="X268" s="43">
        <v>0</v>
      </c>
      <c r="Y268" s="59">
        <f t="shared" si="75"/>
        <v>0</v>
      </c>
      <c r="Z268" s="43">
        <v>0</v>
      </c>
      <c r="AA268" s="43">
        <v>0</v>
      </c>
      <c r="AB268" s="60">
        <v>0</v>
      </c>
      <c r="AC268" s="43"/>
      <c r="AD268" s="43"/>
      <c r="AE268" s="43"/>
      <c r="AF268" s="60">
        <f t="shared" si="76"/>
        <v>226539.68</v>
      </c>
      <c r="AG268" s="60"/>
      <c r="AH268" s="7"/>
      <c r="AI268" s="7">
        <v>0</v>
      </c>
      <c r="AJ268" s="7">
        <v>0</v>
      </c>
      <c r="AK268" s="7">
        <v>0</v>
      </c>
      <c r="AL268" s="7">
        <v>0</v>
      </c>
      <c r="AM268" s="7">
        <v>0</v>
      </c>
      <c r="AO268" s="7">
        <f t="shared" si="78"/>
        <v>0</v>
      </c>
      <c r="AP268" s="59">
        <f t="shared" si="79"/>
        <v>0</v>
      </c>
      <c r="AQ268" s="59">
        <f t="shared" si="80"/>
        <v>0</v>
      </c>
      <c r="AR268" s="59">
        <f>AP268/13</f>
        <v>0</v>
      </c>
      <c r="AS268" s="59">
        <f>AQ268/13</f>
        <v>0</v>
      </c>
    </row>
    <row r="269" spans="1:45">
      <c r="A269" s="21" t="s">
        <v>1090</v>
      </c>
      <c r="B269" s="18" t="s">
        <v>1091</v>
      </c>
      <c r="C269" s="18">
        <v>0</v>
      </c>
      <c r="D269" s="18">
        <v>0</v>
      </c>
      <c r="E269" s="19"/>
      <c r="F269" s="20">
        <v>-5620</v>
      </c>
      <c r="G269" s="19">
        <v>0</v>
      </c>
      <c r="H269" s="19">
        <v>0</v>
      </c>
      <c r="I269" s="43">
        <v>0</v>
      </c>
      <c r="J269" s="43">
        <v>0</v>
      </c>
      <c r="K269" s="43">
        <v>0</v>
      </c>
      <c r="L269" s="43">
        <v>0</v>
      </c>
      <c r="M269" s="43">
        <v>0</v>
      </c>
      <c r="N269" s="44">
        <f t="shared" si="73"/>
        <v>0</v>
      </c>
      <c r="O269" s="44">
        <v>0</v>
      </c>
      <c r="P269" s="45">
        <f t="shared" si="74"/>
        <v>0</v>
      </c>
      <c r="Q269" s="54">
        <v>0</v>
      </c>
      <c r="R269" s="55">
        <v>0</v>
      </c>
      <c r="S269" s="55">
        <v>0</v>
      </c>
      <c r="T269" s="43">
        <v>0</v>
      </c>
      <c r="U269" s="43">
        <v>0</v>
      </c>
      <c r="V269" s="43">
        <v>0</v>
      </c>
      <c r="W269" s="43">
        <v>0</v>
      </c>
      <c r="X269" s="43">
        <v>0</v>
      </c>
      <c r="Y269" s="59">
        <f t="shared" si="75"/>
        <v>0</v>
      </c>
      <c r="Z269" s="43">
        <v>0</v>
      </c>
      <c r="AA269" s="43">
        <v>0</v>
      </c>
      <c r="AB269" s="60">
        <v>0</v>
      </c>
      <c r="AC269" s="43"/>
      <c r="AD269" s="43"/>
      <c r="AE269" s="43"/>
      <c r="AF269" s="60">
        <f t="shared" si="76"/>
        <v>-5620</v>
      </c>
      <c r="AG269" s="60"/>
      <c r="AH269" s="7"/>
      <c r="AI269" s="7">
        <v>0</v>
      </c>
      <c r="AJ269" s="7">
        <v>0</v>
      </c>
      <c r="AK269" s="7">
        <v>0</v>
      </c>
      <c r="AL269" s="7">
        <v>0</v>
      </c>
      <c r="AM269" s="7">
        <v>0</v>
      </c>
      <c r="AO269" s="7">
        <f t="shared" si="78"/>
        <v>0</v>
      </c>
      <c r="AP269" s="59">
        <f t="shared" si="79"/>
        <v>0</v>
      </c>
      <c r="AQ269" s="59">
        <f t="shared" si="80"/>
        <v>0</v>
      </c>
      <c r="AR269" s="59">
        <f>AP269/13</f>
        <v>0</v>
      </c>
      <c r="AS269" s="59">
        <f>AQ269/13</f>
        <v>0</v>
      </c>
    </row>
    <row r="270" spans="1:45">
      <c r="A270" s="21" t="s">
        <v>1092</v>
      </c>
      <c r="B270" s="174" t="s">
        <v>1093</v>
      </c>
      <c r="C270" s="18">
        <v>0</v>
      </c>
      <c r="D270" s="18" t="s">
        <v>99</v>
      </c>
      <c r="E270" s="34"/>
      <c r="F270" s="20">
        <v>0</v>
      </c>
      <c r="G270" s="19"/>
      <c r="H270" s="19"/>
      <c r="I270" s="43">
        <v>0</v>
      </c>
      <c r="J270" s="43">
        <v>0</v>
      </c>
      <c r="K270" s="43">
        <v>0</v>
      </c>
      <c r="L270" s="43">
        <v>0</v>
      </c>
      <c r="M270" s="43">
        <v>0</v>
      </c>
      <c r="N270" s="44">
        <f t="shared" si="73"/>
        <v>0</v>
      </c>
      <c r="O270" s="44">
        <f>I270*$H$2+J270*$I$2+K270*$J$2+L270*$K$2+M270*$L$2</f>
        <v>0</v>
      </c>
      <c r="P270" s="45">
        <f t="shared" si="74"/>
        <v>0</v>
      </c>
      <c r="Q270" s="54">
        <v>0</v>
      </c>
      <c r="R270" s="55">
        <v>0</v>
      </c>
      <c r="S270" s="55">
        <v>0</v>
      </c>
      <c r="T270" s="43">
        <v>0</v>
      </c>
      <c r="U270" s="43">
        <v>0</v>
      </c>
      <c r="V270" s="43">
        <v>0</v>
      </c>
      <c r="W270" s="43">
        <v>0</v>
      </c>
      <c r="X270" s="43">
        <v>0</v>
      </c>
      <c r="Y270" s="59">
        <f t="shared" si="75"/>
        <v>0</v>
      </c>
      <c r="Z270" s="43">
        <v>0</v>
      </c>
      <c r="AA270" s="43">
        <v>0</v>
      </c>
      <c r="AB270" s="60">
        <v>0</v>
      </c>
      <c r="AC270" s="43"/>
      <c r="AD270" s="43"/>
      <c r="AE270" s="43"/>
      <c r="AF270" s="60">
        <f t="shared" si="76"/>
        <v>0</v>
      </c>
      <c r="AG270" s="60"/>
      <c r="AH270" s="7"/>
      <c r="AI270" s="7">
        <v>0</v>
      </c>
      <c r="AJ270" s="7">
        <v>0</v>
      </c>
      <c r="AK270" s="7">
        <v>0</v>
      </c>
      <c r="AL270" s="7">
        <v>0</v>
      </c>
      <c r="AM270" s="7">
        <v>0</v>
      </c>
      <c r="AO270" s="7">
        <f t="shared" si="78"/>
        <v>0</v>
      </c>
      <c r="AP270" s="59">
        <f t="shared" si="79"/>
        <v>0</v>
      </c>
      <c r="AQ270" s="59">
        <f t="shared" si="80"/>
        <v>0</v>
      </c>
      <c r="AR270" s="59">
        <f>AP270/13</f>
        <v>0</v>
      </c>
      <c r="AS270" s="59">
        <f>AQ270/13</f>
        <v>0</v>
      </c>
    </row>
    <row r="271" spans="1:45">
      <c r="A271" s="21" t="s">
        <v>1094</v>
      </c>
      <c r="B271" s="18" t="s">
        <v>1095</v>
      </c>
      <c r="C271" s="18">
        <v>0</v>
      </c>
      <c r="D271" s="18">
        <v>0</v>
      </c>
      <c r="E271" s="19"/>
      <c r="F271" s="20">
        <v>1366563.71</v>
      </c>
      <c r="G271" s="19">
        <v>1200000</v>
      </c>
      <c r="H271" s="19">
        <v>1337000</v>
      </c>
      <c r="I271" s="43">
        <v>0</v>
      </c>
      <c r="J271" s="43">
        <v>0</v>
      </c>
      <c r="K271" s="43">
        <v>0</v>
      </c>
      <c r="L271" s="43">
        <v>0</v>
      </c>
      <c r="M271" s="43">
        <v>0</v>
      </c>
      <c r="N271" s="44">
        <f t="shared" si="73"/>
        <v>0</v>
      </c>
      <c r="O271" s="44">
        <v>0</v>
      </c>
      <c r="P271" s="45">
        <f t="shared" si="74"/>
        <v>0</v>
      </c>
      <c r="Q271" s="54">
        <v>0</v>
      </c>
      <c r="R271" s="55">
        <v>0</v>
      </c>
      <c r="S271" s="55">
        <v>0</v>
      </c>
      <c r="T271" s="43">
        <v>0</v>
      </c>
      <c r="U271" s="43">
        <v>0</v>
      </c>
      <c r="V271" s="43">
        <v>0</v>
      </c>
      <c r="W271" s="43">
        <v>0</v>
      </c>
      <c r="X271" s="43">
        <v>0</v>
      </c>
      <c r="Y271" s="59">
        <f t="shared" si="75"/>
        <v>0</v>
      </c>
      <c r="Z271" s="43">
        <v>0</v>
      </c>
      <c r="AA271" s="43">
        <v>0</v>
      </c>
      <c r="AB271" s="60">
        <v>0</v>
      </c>
      <c r="AC271" s="43"/>
      <c r="AD271" s="43"/>
      <c r="AE271" s="43"/>
      <c r="AF271" s="60">
        <f t="shared" si="76"/>
        <v>1366563.71</v>
      </c>
      <c r="AG271" s="60"/>
      <c r="AH271" s="7"/>
      <c r="AI271" s="7">
        <v>0</v>
      </c>
      <c r="AJ271" s="7">
        <v>0</v>
      </c>
      <c r="AK271" s="7">
        <v>0</v>
      </c>
      <c r="AL271" s="7">
        <v>0</v>
      </c>
      <c r="AM271" s="7">
        <v>0</v>
      </c>
      <c r="AO271" s="7">
        <f t="shared" si="78"/>
        <v>0</v>
      </c>
      <c r="AP271" s="59">
        <f t="shared" si="79"/>
        <v>0</v>
      </c>
      <c r="AQ271" s="59">
        <f t="shared" si="80"/>
        <v>0</v>
      </c>
      <c r="AR271" s="59">
        <f>AP271/13</f>
        <v>0</v>
      </c>
      <c r="AS271" s="59">
        <f>AQ271/13</f>
        <v>0</v>
      </c>
    </row>
    <row r="272" spans="1:45">
      <c r="A272" s="21" t="s">
        <v>1096</v>
      </c>
      <c r="B272" s="18" t="s">
        <v>1097</v>
      </c>
      <c r="C272" s="18">
        <v>0</v>
      </c>
      <c r="D272" s="18">
        <v>0</v>
      </c>
      <c r="E272" s="19"/>
      <c r="F272" s="20">
        <v>96541.54</v>
      </c>
      <c r="G272" s="19">
        <v>0</v>
      </c>
      <c r="H272" s="19">
        <v>210750</v>
      </c>
      <c r="I272" s="43">
        <v>0</v>
      </c>
      <c r="J272" s="43">
        <v>0</v>
      </c>
      <c r="K272" s="43">
        <v>0</v>
      </c>
      <c r="L272" s="43">
        <v>0</v>
      </c>
      <c r="M272" s="43">
        <v>0</v>
      </c>
      <c r="N272" s="44">
        <f t="shared" si="73"/>
        <v>0</v>
      </c>
      <c r="O272" s="44">
        <v>0</v>
      </c>
      <c r="P272" s="45">
        <f t="shared" si="74"/>
        <v>0</v>
      </c>
      <c r="Q272" s="54">
        <v>0</v>
      </c>
      <c r="R272" s="55">
        <v>0</v>
      </c>
      <c r="S272" s="55">
        <v>0</v>
      </c>
      <c r="T272" s="43">
        <v>0</v>
      </c>
      <c r="U272" s="43">
        <v>0</v>
      </c>
      <c r="V272" s="43">
        <v>0</v>
      </c>
      <c r="W272" s="43">
        <v>0</v>
      </c>
      <c r="X272" s="43">
        <v>0</v>
      </c>
      <c r="Y272" s="59">
        <f t="shared" si="75"/>
        <v>0</v>
      </c>
      <c r="Z272" s="43">
        <v>0</v>
      </c>
      <c r="AA272" s="43">
        <v>0</v>
      </c>
      <c r="AB272" s="60">
        <v>0</v>
      </c>
      <c r="AC272" s="43"/>
      <c r="AD272" s="43"/>
      <c r="AE272" s="43"/>
      <c r="AF272" s="60">
        <f t="shared" ref="AF272:AF285" si="81">F272+Z272-AA272-AB272-AC272-AD272-AE272</f>
        <v>96541.54</v>
      </c>
      <c r="AG272" s="60"/>
      <c r="AH272" s="7"/>
      <c r="AI272" s="7">
        <v>0</v>
      </c>
      <c r="AJ272" s="7">
        <v>0</v>
      </c>
      <c r="AK272" s="7">
        <v>0</v>
      </c>
      <c r="AL272" s="7">
        <v>0</v>
      </c>
      <c r="AM272" s="7">
        <v>0</v>
      </c>
      <c r="AO272" s="7">
        <f t="shared" ref="AO272:AO284" si="82">AI272+AJ272+AK272+AL272+AM272</f>
        <v>0</v>
      </c>
      <c r="AP272" s="59">
        <f t="shared" si="79"/>
        <v>0</v>
      </c>
      <c r="AQ272" s="59">
        <f t="shared" si="80"/>
        <v>0</v>
      </c>
      <c r="AR272" s="59">
        <f>AP272/13</f>
        <v>0</v>
      </c>
      <c r="AS272" s="59">
        <f>AQ272/13</f>
        <v>0</v>
      </c>
    </row>
    <row r="273" spans="1:45">
      <c r="A273" s="21" t="s">
        <v>1098</v>
      </c>
      <c r="B273" s="18" t="s">
        <v>1099</v>
      </c>
      <c r="C273" s="18">
        <v>0</v>
      </c>
      <c r="D273" s="18">
        <v>0</v>
      </c>
      <c r="E273" s="19"/>
      <c r="F273" s="20">
        <v>19675</v>
      </c>
      <c r="G273" s="19">
        <v>0</v>
      </c>
      <c r="H273" s="19">
        <v>0</v>
      </c>
      <c r="I273" s="43">
        <v>0</v>
      </c>
      <c r="J273" s="43">
        <v>0</v>
      </c>
      <c r="K273" s="43">
        <v>0</v>
      </c>
      <c r="L273" s="43">
        <v>0</v>
      </c>
      <c r="M273" s="43">
        <v>0</v>
      </c>
      <c r="N273" s="44">
        <f t="shared" si="73"/>
        <v>0</v>
      </c>
      <c r="O273" s="44">
        <v>0</v>
      </c>
      <c r="P273" s="45">
        <f t="shared" si="74"/>
        <v>0</v>
      </c>
      <c r="Q273" s="54">
        <v>0</v>
      </c>
      <c r="R273" s="55">
        <v>0</v>
      </c>
      <c r="S273" s="55">
        <v>0</v>
      </c>
      <c r="T273" s="43">
        <v>0</v>
      </c>
      <c r="U273" s="43">
        <v>0</v>
      </c>
      <c r="V273" s="43">
        <v>0</v>
      </c>
      <c r="W273" s="43">
        <v>0</v>
      </c>
      <c r="X273" s="43">
        <v>0</v>
      </c>
      <c r="Y273" s="59">
        <f t="shared" si="75"/>
        <v>0</v>
      </c>
      <c r="Z273" s="43">
        <v>0</v>
      </c>
      <c r="AA273" s="43">
        <v>0</v>
      </c>
      <c r="AB273" s="60">
        <v>0</v>
      </c>
      <c r="AC273" s="43"/>
      <c r="AD273" s="43"/>
      <c r="AE273" s="43"/>
      <c r="AF273" s="60">
        <f t="shared" si="81"/>
        <v>19675</v>
      </c>
      <c r="AG273" s="60"/>
      <c r="AH273" s="7"/>
      <c r="AI273" s="7">
        <v>0</v>
      </c>
      <c r="AJ273" s="7">
        <v>0</v>
      </c>
      <c r="AK273" s="7">
        <v>0</v>
      </c>
      <c r="AL273" s="7">
        <v>0</v>
      </c>
      <c r="AM273" s="7">
        <v>0</v>
      </c>
      <c r="AO273" s="7">
        <f t="shared" si="82"/>
        <v>0</v>
      </c>
      <c r="AP273" s="59">
        <f t="shared" si="79"/>
        <v>0</v>
      </c>
      <c r="AQ273" s="59">
        <f t="shared" si="80"/>
        <v>0</v>
      </c>
      <c r="AR273" s="59">
        <f>AP273/13</f>
        <v>0</v>
      </c>
      <c r="AS273" s="59">
        <f>AQ273/13</f>
        <v>0</v>
      </c>
    </row>
    <row r="274" spans="1:45">
      <c r="A274" s="21" t="s">
        <v>1100</v>
      </c>
      <c r="B274" s="18" t="s">
        <v>1101</v>
      </c>
      <c r="C274" s="18">
        <v>0</v>
      </c>
      <c r="D274" s="18" t="s">
        <v>52</v>
      </c>
      <c r="E274" s="19"/>
      <c r="F274" s="20">
        <v>135464</v>
      </c>
      <c r="G274" s="19">
        <v>0</v>
      </c>
      <c r="H274" s="19">
        <v>0</v>
      </c>
      <c r="I274" s="43">
        <v>15</v>
      </c>
      <c r="J274" s="43">
        <v>0</v>
      </c>
      <c r="K274" s="43">
        <v>0</v>
      </c>
      <c r="L274" s="43">
        <v>0</v>
      </c>
      <c r="M274" s="43">
        <v>0</v>
      </c>
      <c r="N274" s="44">
        <f t="shared" si="73"/>
        <v>15</v>
      </c>
      <c r="O274" s="44">
        <f>I274*$H$1+J274*$I$1+K274*$J$1+L274*$K$1+M274*$L$1</f>
        <v>208500</v>
      </c>
      <c r="P274" s="45">
        <f t="shared" si="74"/>
        <v>208500</v>
      </c>
      <c r="Q274" s="54">
        <v>0</v>
      </c>
      <c r="R274" s="55">
        <v>0</v>
      </c>
      <c r="S274" s="55">
        <v>0</v>
      </c>
      <c r="T274" s="43">
        <v>0</v>
      </c>
      <c r="U274" s="43">
        <v>0</v>
      </c>
      <c r="V274" s="43">
        <v>0</v>
      </c>
      <c r="W274" s="43">
        <v>0</v>
      </c>
      <c r="X274" s="43">
        <v>0</v>
      </c>
      <c r="Y274" s="59">
        <f t="shared" si="75"/>
        <v>0</v>
      </c>
      <c r="Z274" s="43">
        <v>0</v>
      </c>
      <c r="AA274" s="43">
        <v>0</v>
      </c>
      <c r="AB274" s="60">
        <v>0</v>
      </c>
      <c r="AC274" s="43"/>
      <c r="AD274" s="43"/>
      <c r="AE274" s="43"/>
      <c r="AF274" s="60">
        <f t="shared" si="81"/>
        <v>135464</v>
      </c>
      <c r="AG274" s="60"/>
      <c r="AH274" s="7"/>
      <c r="AI274" s="7">
        <v>0</v>
      </c>
      <c r="AJ274" s="7">
        <v>0</v>
      </c>
      <c r="AK274" s="7">
        <v>0</v>
      </c>
      <c r="AL274" s="7">
        <v>0</v>
      </c>
      <c r="AM274" s="7">
        <v>0</v>
      </c>
      <c r="AO274" s="7">
        <f t="shared" si="82"/>
        <v>0</v>
      </c>
      <c r="AP274" s="59">
        <f t="shared" si="79"/>
        <v>15</v>
      </c>
      <c r="AQ274" s="59">
        <f t="shared" si="80"/>
        <v>0</v>
      </c>
      <c r="AR274" s="59">
        <f>AP274/13</f>
        <v>1.15384615384615</v>
      </c>
      <c r="AS274" s="59">
        <f>AQ274/13</f>
        <v>0</v>
      </c>
    </row>
    <row r="275" spans="1:45">
      <c r="A275" s="21" t="s">
        <v>1102</v>
      </c>
      <c r="B275" s="18" t="str">
        <f>IFERROR(VLOOKUP(A275,[10]Sheet2!C:D,2,FALSE),0)</f>
        <v>01523</v>
      </c>
      <c r="C275" s="18" t="s">
        <v>49</v>
      </c>
      <c r="D275" s="18" t="s">
        <v>49</v>
      </c>
      <c r="E275" s="19"/>
      <c r="F275" s="20">
        <v>15500</v>
      </c>
      <c r="G275" s="19"/>
      <c r="H275" s="18"/>
      <c r="I275" s="43">
        <v>0</v>
      </c>
      <c r="J275" s="43">
        <v>0</v>
      </c>
      <c r="K275" s="43">
        <v>0</v>
      </c>
      <c r="L275" s="43">
        <v>0</v>
      </c>
      <c r="M275" s="43">
        <v>0</v>
      </c>
      <c r="N275" s="44">
        <f t="shared" si="73"/>
        <v>0</v>
      </c>
      <c r="O275" s="44">
        <f>I275*$H$4+J275*$I$4+K275*$J$4+L275*$K$4+M275*$L$4</f>
        <v>0</v>
      </c>
      <c r="P275" s="45">
        <f t="shared" si="74"/>
        <v>0</v>
      </c>
      <c r="Q275" s="54">
        <v>19900</v>
      </c>
      <c r="R275" s="55">
        <v>0</v>
      </c>
      <c r="S275" s="55">
        <v>0</v>
      </c>
      <c r="T275" s="43">
        <v>30</v>
      </c>
      <c r="U275" s="43">
        <v>0</v>
      </c>
      <c r="V275" s="43">
        <v>0</v>
      </c>
      <c r="W275" s="43">
        <v>0</v>
      </c>
      <c r="X275" s="43">
        <v>0</v>
      </c>
      <c r="Y275" s="59">
        <f t="shared" si="75"/>
        <v>30</v>
      </c>
      <c r="Z275" s="43">
        <v>165000</v>
      </c>
      <c r="AA275" s="43">
        <v>0</v>
      </c>
      <c r="AB275" s="60">
        <v>0</v>
      </c>
      <c r="AC275" s="43"/>
      <c r="AD275" s="43"/>
      <c r="AE275" s="43"/>
      <c r="AF275" s="60">
        <f t="shared" si="81"/>
        <v>180500</v>
      </c>
      <c r="AG275" s="60">
        <f>AF275-AO275-H275</f>
        <v>164900</v>
      </c>
      <c r="AH275" s="7"/>
      <c r="AI275" s="7">
        <v>0</v>
      </c>
      <c r="AJ275" s="7">
        <v>15600</v>
      </c>
      <c r="AK275" s="7">
        <v>0</v>
      </c>
      <c r="AL275" s="7">
        <v>0</v>
      </c>
      <c r="AM275" s="7">
        <v>0</v>
      </c>
      <c r="AO275" s="7">
        <f t="shared" si="82"/>
        <v>15600</v>
      </c>
      <c r="AP275" s="59">
        <f t="shared" si="79"/>
        <v>-30</v>
      </c>
      <c r="AQ275" s="59">
        <f t="shared" si="80"/>
        <v>0</v>
      </c>
      <c r="AR275" s="59">
        <f>AP275/13</f>
        <v>-2.30769230769231</v>
      </c>
      <c r="AS275" s="59">
        <f>AQ275/13</f>
        <v>0</v>
      </c>
    </row>
    <row r="276" spans="1:45">
      <c r="A276" s="21" t="s">
        <v>1103</v>
      </c>
      <c r="B276" s="18" t="s">
        <v>1104</v>
      </c>
      <c r="C276" s="18">
        <v>0</v>
      </c>
      <c r="D276" s="18" t="s">
        <v>52</v>
      </c>
      <c r="E276" s="19"/>
      <c r="F276" s="20">
        <v>447628.5</v>
      </c>
      <c r="G276" s="19"/>
      <c r="H276" s="19"/>
      <c r="I276" s="43">
        <v>0</v>
      </c>
      <c r="J276" s="43">
        <v>0</v>
      </c>
      <c r="K276" s="43">
        <v>0</v>
      </c>
      <c r="L276" s="43">
        <v>0</v>
      </c>
      <c r="M276" s="43">
        <v>0</v>
      </c>
      <c r="N276" s="44">
        <f t="shared" si="73"/>
        <v>0</v>
      </c>
      <c r="O276" s="44">
        <f>I276*$H$1+J276*$I$1+K276*$J$1+L276*$K$1+M276*$L$1</f>
        <v>0</v>
      </c>
      <c r="P276" s="45">
        <f t="shared" si="74"/>
        <v>0</v>
      </c>
      <c r="Q276" s="54">
        <v>0</v>
      </c>
      <c r="R276" s="55">
        <v>0</v>
      </c>
      <c r="S276" s="55">
        <v>0</v>
      </c>
      <c r="T276" s="43">
        <v>0</v>
      </c>
      <c r="U276" s="43">
        <v>0</v>
      </c>
      <c r="V276" s="43">
        <v>0</v>
      </c>
      <c r="W276" s="43">
        <v>0</v>
      </c>
      <c r="X276" s="43">
        <v>0</v>
      </c>
      <c r="Y276" s="59">
        <f t="shared" si="75"/>
        <v>0</v>
      </c>
      <c r="Z276" s="43">
        <v>0</v>
      </c>
      <c r="AA276" s="43">
        <v>0</v>
      </c>
      <c r="AB276" s="60">
        <v>0</v>
      </c>
      <c r="AC276" s="43"/>
      <c r="AD276" s="43"/>
      <c r="AE276" s="43"/>
      <c r="AF276" s="60">
        <f t="shared" si="81"/>
        <v>447628.5</v>
      </c>
      <c r="AG276" s="60"/>
      <c r="AH276" s="7"/>
      <c r="AI276" s="7">
        <v>0</v>
      </c>
      <c r="AJ276" s="7">
        <v>0</v>
      </c>
      <c r="AK276" s="7">
        <v>0</v>
      </c>
      <c r="AL276" s="7">
        <v>0</v>
      </c>
      <c r="AM276" s="7">
        <v>0</v>
      </c>
      <c r="AO276" s="7">
        <f t="shared" si="82"/>
        <v>0</v>
      </c>
      <c r="AP276" s="59">
        <f t="shared" si="79"/>
        <v>0</v>
      </c>
      <c r="AQ276" s="59">
        <f t="shared" si="80"/>
        <v>0</v>
      </c>
      <c r="AR276" s="59">
        <f>AP276/13</f>
        <v>0</v>
      </c>
      <c r="AS276" s="59">
        <f>AQ276/13</f>
        <v>0</v>
      </c>
    </row>
    <row r="277" spans="1:45">
      <c r="A277" s="21" t="s">
        <v>1105</v>
      </c>
      <c r="B277" s="174" t="s">
        <v>1106</v>
      </c>
      <c r="C277" s="18" t="s">
        <v>99</v>
      </c>
      <c r="D277" s="18" t="s">
        <v>99</v>
      </c>
      <c r="E277" s="34"/>
      <c r="F277" s="20">
        <v>-4320</v>
      </c>
      <c r="G277" s="19"/>
      <c r="H277" s="19"/>
      <c r="I277" s="43">
        <v>0</v>
      </c>
      <c r="J277" s="43">
        <v>0</v>
      </c>
      <c r="K277" s="43">
        <v>0</v>
      </c>
      <c r="L277" s="43">
        <v>0</v>
      </c>
      <c r="M277" s="43">
        <v>0</v>
      </c>
      <c r="N277" s="44">
        <f t="shared" si="73"/>
        <v>0</v>
      </c>
      <c r="O277" s="44">
        <f>I277*$H$2+J277*$I$2+K277*$J$2+L277*$K$2+M277*$L$2</f>
        <v>0</v>
      </c>
      <c r="P277" s="45">
        <f t="shared" si="74"/>
        <v>0</v>
      </c>
      <c r="Q277" s="54">
        <v>0</v>
      </c>
      <c r="R277" s="55">
        <v>0</v>
      </c>
      <c r="S277" s="55">
        <v>0</v>
      </c>
      <c r="T277" s="43">
        <v>0</v>
      </c>
      <c r="U277" s="43">
        <v>0</v>
      </c>
      <c r="V277" s="43">
        <v>0</v>
      </c>
      <c r="W277" s="43">
        <v>0</v>
      </c>
      <c r="X277" s="43">
        <v>0</v>
      </c>
      <c r="Y277" s="59">
        <f t="shared" si="75"/>
        <v>0</v>
      </c>
      <c r="Z277" s="43">
        <v>0</v>
      </c>
      <c r="AA277" s="43">
        <v>0</v>
      </c>
      <c r="AB277" s="60">
        <v>0</v>
      </c>
      <c r="AC277" s="43"/>
      <c r="AD277" s="43"/>
      <c r="AE277" s="43"/>
      <c r="AF277" s="60">
        <f t="shared" si="81"/>
        <v>-4320</v>
      </c>
      <c r="AG277" s="60"/>
      <c r="AH277" s="7"/>
      <c r="AI277" s="7">
        <v>0</v>
      </c>
      <c r="AJ277" s="7">
        <v>0</v>
      </c>
      <c r="AK277" s="7">
        <v>0</v>
      </c>
      <c r="AL277" s="7">
        <v>0</v>
      </c>
      <c r="AM277" s="7">
        <v>0</v>
      </c>
      <c r="AO277" s="7">
        <f t="shared" si="82"/>
        <v>0</v>
      </c>
      <c r="AP277" s="59">
        <f t="shared" si="79"/>
        <v>0</v>
      </c>
      <c r="AQ277" s="59">
        <f t="shared" si="80"/>
        <v>0</v>
      </c>
      <c r="AR277" s="59">
        <f>AP277/13</f>
        <v>0</v>
      </c>
      <c r="AS277" s="59">
        <f>AQ277/13</f>
        <v>0</v>
      </c>
    </row>
    <row r="278" spans="1:45">
      <c r="A278" s="21" t="s">
        <v>1107</v>
      </c>
      <c r="B278" s="18" t="s">
        <v>1108</v>
      </c>
      <c r="C278" s="18">
        <v>0</v>
      </c>
      <c r="D278" s="18" t="s">
        <v>99</v>
      </c>
      <c r="E278" s="21"/>
      <c r="F278" s="20">
        <v>6520</v>
      </c>
      <c r="G278" s="21">
        <v>0</v>
      </c>
      <c r="H278" s="19">
        <v>411000</v>
      </c>
      <c r="I278" s="43">
        <v>45</v>
      </c>
      <c r="J278" s="43">
        <v>0</v>
      </c>
      <c r="K278" s="43">
        <v>0</v>
      </c>
      <c r="L278" s="43">
        <v>0</v>
      </c>
      <c r="M278" s="43">
        <v>0</v>
      </c>
      <c r="N278" s="44">
        <f t="shared" si="73"/>
        <v>45</v>
      </c>
      <c r="O278" s="44">
        <f>I278*$H$2+J278*$I$2+K278*$J$2+L278*$K$2+M278*$L$2</f>
        <v>614250</v>
      </c>
      <c r="P278" s="45">
        <f t="shared" si="74"/>
        <v>614250</v>
      </c>
      <c r="Q278" s="54">
        <v>0</v>
      </c>
      <c r="R278" s="55">
        <v>0</v>
      </c>
      <c r="S278" s="55">
        <v>0</v>
      </c>
      <c r="T278" s="43">
        <v>0</v>
      </c>
      <c r="U278" s="43">
        <v>0</v>
      </c>
      <c r="V278" s="43">
        <v>0</v>
      </c>
      <c r="W278" s="43">
        <v>0</v>
      </c>
      <c r="X278" s="43">
        <v>0</v>
      </c>
      <c r="Y278" s="59">
        <f t="shared" si="75"/>
        <v>0</v>
      </c>
      <c r="Z278" s="43">
        <v>0</v>
      </c>
      <c r="AA278" s="43">
        <v>0</v>
      </c>
      <c r="AB278" s="60">
        <v>0</v>
      </c>
      <c r="AC278" s="43"/>
      <c r="AD278" s="43"/>
      <c r="AE278" s="43"/>
      <c r="AF278" s="60">
        <f t="shared" si="81"/>
        <v>6520</v>
      </c>
      <c r="AG278" s="60"/>
      <c r="AH278" s="7"/>
      <c r="AI278" s="7">
        <v>0</v>
      </c>
      <c r="AJ278" s="7">
        <v>4858.2</v>
      </c>
      <c r="AK278" s="7">
        <v>0</v>
      </c>
      <c r="AL278" s="7">
        <v>0</v>
      </c>
      <c r="AM278" s="7">
        <v>0</v>
      </c>
      <c r="AO278" s="7">
        <f t="shared" si="82"/>
        <v>4858.2</v>
      </c>
      <c r="AP278" s="59">
        <f t="shared" si="79"/>
        <v>45</v>
      </c>
      <c r="AQ278" s="59">
        <f t="shared" si="80"/>
        <v>0</v>
      </c>
      <c r="AR278" s="59">
        <f>AP278/13</f>
        <v>3.46153846153846</v>
      </c>
      <c r="AS278" s="59">
        <f>AQ278/13</f>
        <v>0</v>
      </c>
    </row>
    <row r="279" spans="1:45">
      <c r="A279" s="21" t="s">
        <v>1109</v>
      </c>
      <c r="B279" s="18" t="s">
        <v>1110</v>
      </c>
      <c r="C279" s="18">
        <v>0</v>
      </c>
      <c r="D279" s="18">
        <v>0</v>
      </c>
      <c r="E279" s="21"/>
      <c r="F279" s="20">
        <v>145001.4</v>
      </c>
      <c r="G279" s="21">
        <v>0</v>
      </c>
      <c r="H279" s="19">
        <v>140500</v>
      </c>
      <c r="I279" s="43">
        <v>0</v>
      </c>
      <c r="J279" s="43">
        <v>0</v>
      </c>
      <c r="K279" s="43">
        <v>0</v>
      </c>
      <c r="L279" s="43">
        <v>0</v>
      </c>
      <c r="M279" s="43">
        <v>0</v>
      </c>
      <c r="N279" s="44">
        <f t="shared" si="73"/>
        <v>0</v>
      </c>
      <c r="O279" s="44">
        <v>0</v>
      </c>
      <c r="P279" s="45">
        <f t="shared" si="74"/>
        <v>0</v>
      </c>
      <c r="Q279" s="54">
        <v>0</v>
      </c>
      <c r="R279" s="55">
        <v>0</v>
      </c>
      <c r="S279" s="55">
        <v>0</v>
      </c>
      <c r="T279" s="43">
        <v>0</v>
      </c>
      <c r="U279" s="43">
        <v>0</v>
      </c>
      <c r="V279" s="43">
        <v>0</v>
      </c>
      <c r="W279" s="43">
        <v>0</v>
      </c>
      <c r="X279" s="43">
        <v>0</v>
      </c>
      <c r="Y279" s="59">
        <f t="shared" si="75"/>
        <v>0</v>
      </c>
      <c r="Z279" s="43">
        <v>0</v>
      </c>
      <c r="AA279" s="43">
        <v>0</v>
      </c>
      <c r="AB279" s="60">
        <v>0</v>
      </c>
      <c r="AC279" s="43"/>
      <c r="AD279" s="43"/>
      <c r="AE279" s="43"/>
      <c r="AF279" s="60">
        <f t="shared" si="81"/>
        <v>145001.4</v>
      </c>
      <c r="AG279" s="60"/>
      <c r="AH279" s="7"/>
      <c r="AI279" s="7">
        <v>0</v>
      </c>
      <c r="AJ279" s="7">
        <v>0</v>
      </c>
      <c r="AK279" s="7">
        <v>0</v>
      </c>
      <c r="AL279" s="7">
        <v>0</v>
      </c>
      <c r="AM279" s="7">
        <v>0</v>
      </c>
      <c r="AO279" s="7">
        <f t="shared" si="82"/>
        <v>0</v>
      </c>
      <c r="AP279" s="59">
        <f t="shared" si="79"/>
        <v>0</v>
      </c>
      <c r="AQ279" s="59">
        <f t="shared" si="80"/>
        <v>0</v>
      </c>
      <c r="AR279" s="59">
        <f>AP279/13</f>
        <v>0</v>
      </c>
      <c r="AS279" s="59">
        <f>AQ279/13</f>
        <v>0</v>
      </c>
    </row>
    <row r="280" spans="1:45">
      <c r="A280" s="21" t="s">
        <v>1111</v>
      </c>
      <c r="B280" s="176" t="s">
        <v>1112</v>
      </c>
      <c r="C280" s="18" t="s">
        <v>49</v>
      </c>
      <c r="D280" s="18" t="str">
        <f>C280</f>
        <v>CONVERSION</v>
      </c>
      <c r="E280" s="19"/>
      <c r="F280" s="20">
        <v>-1</v>
      </c>
      <c r="G280" s="19"/>
      <c r="H280" s="19"/>
      <c r="I280" s="43">
        <v>150</v>
      </c>
      <c r="J280" s="43">
        <v>0</v>
      </c>
      <c r="K280" s="43">
        <v>0</v>
      </c>
      <c r="L280" s="43">
        <v>0</v>
      </c>
      <c r="M280" s="43">
        <v>0</v>
      </c>
      <c r="N280" s="44">
        <f t="shared" si="73"/>
        <v>150</v>
      </c>
      <c r="O280" s="44">
        <f>I280*$H$4+J280*$I$4+K280*$J$4+L280*$K$4+M280*$L$4</f>
        <v>750000</v>
      </c>
      <c r="P280" s="45">
        <f t="shared" si="74"/>
        <v>750000</v>
      </c>
      <c r="Q280" s="54">
        <v>137499</v>
      </c>
      <c r="R280" s="55">
        <v>100</v>
      </c>
      <c r="S280" s="55">
        <v>0</v>
      </c>
      <c r="T280" s="43">
        <v>150</v>
      </c>
      <c r="U280" s="43">
        <v>0</v>
      </c>
      <c r="V280" s="43">
        <v>0</v>
      </c>
      <c r="W280" s="43">
        <v>0</v>
      </c>
      <c r="X280" s="43">
        <v>0</v>
      </c>
      <c r="Y280" s="59">
        <f t="shared" si="75"/>
        <v>150</v>
      </c>
      <c r="Z280" s="43">
        <v>825000</v>
      </c>
      <c r="AA280" s="43">
        <v>600000</v>
      </c>
      <c r="AB280" s="60">
        <v>0</v>
      </c>
      <c r="AC280" s="43"/>
      <c r="AD280" s="43"/>
      <c r="AE280" s="43"/>
      <c r="AF280" s="60">
        <f t="shared" si="81"/>
        <v>224999</v>
      </c>
      <c r="AG280" s="60">
        <f>AF280-AO280-H280</f>
        <v>224999</v>
      </c>
      <c r="AH280" s="7"/>
      <c r="AI280" s="7">
        <v>0</v>
      </c>
      <c r="AJ280" s="7">
        <v>0</v>
      </c>
      <c r="AK280" s="7">
        <v>0</v>
      </c>
      <c r="AL280" s="7">
        <v>0</v>
      </c>
      <c r="AM280" s="7">
        <v>0</v>
      </c>
      <c r="AO280" s="7">
        <f t="shared" si="82"/>
        <v>0</v>
      </c>
      <c r="AP280" s="59">
        <f t="shared" si="79"/>
        <v>0</v>
      </c>
      <c r="AQ280" s="59">
        <f t="shared" si="80"/>
        <v>0</v>
      </c>
      <c r="AR280" s="59">
        <f>AP280/13</f>
        <v>0</v>
      </c>
      <c r="AS280" s="59">
        <f>AQ280/13</f>
        <v>0</v>
      </c>
    </row>
    <row r="281" spans="1:45">
      <c r="A281" s="21" t="s">
        <v>1113</v>
      </c>
      <c r="B281" s="18" t="s">
        <v>1114</v>
      </c>
      <c r="C281" s="18">
        <v>0</v>
      </c>
      <c r="D281" s="18">
        <v>0</v>
      </c>
      <c r="E281" s="19"/>
      <c r="F281" s="20">
        <v>372030</v>
      </c>
      <c r="G281" s="19">
        <v>0</v>
      </c>
      <c r="H281" s="19">
        <v>0</v>
      </c>
      <c r="I281" s="43">
        <v>0</v>
      </c>
      <c r="J281" s="43">
        <v>0</v>
      </c>
      <c r="K281" s="43">
        <v>0</v>
      </c>
      <c r="L281" s="43">
        <v>0</v>
      </c>
      <c r="M281" s="43">
        <v>0</v>
      </c>
      <c r="N281" s="44">
        <f t="shared" si="73"/>
        <v>0</v>
      </c>
      <c r="O281" s="44">
        <v>0</v>
      </c>
      <c r="P281" s="45">
        <f t="shared" si="74"/>
        <v>0</v>
      </c>
      <c r="Q281" s="54">
        <v>0</v>
      </c>
      <c r="R281" s="55">
        <v>0</v>
      </c>
      <c r="S281" s="55">
        <v>0</v>
      </c>
      <c r="T281" s="43">
        <v>0</v>
      </c>
      <c r="U281" s="43">
        <v>0</v>
      </c>
      <c r="V281" s="43">
        <v>0</v>
      </c>
      <c r="W281" s="43">
        <v>0</v>
      </c>
      <c r="X281" s="43">
        <v>0</v>
      </c>
      <c r="Y281" s="59">
        <f t="shared" si="75"/>
        <v>0</v>
      </c>
      <c r="Z281" s="43">
        <v>0</v>
      </c>
      <c r="AA281" s="43">
        <v>0</v>
      </c>
      <c r="AB281" s="60">
        <v>0</v>
      </c>
      <c r="AC281" s="43"/>
      <c r="AD281" s="43"/>
      <c r="AE281" s="43"/>
      <c r="AF281" s="60">
        <f t="shared" si="81"/>
        <v>372030</v>
      </c>
      <c r="AG281" s="60"/>
      <c r="AH281" s="7"/>
      <c r="AI281" s="7">
        <v>0</v>
      </c>
      <c r="AJ281" s="7">
        <v>0</v>
      </c>
      <c r="AK281" s="7">
        <v>0</v>
      </c>
      <c r="AL281" s="7">
        <v>0</v>
      </c>
      <c r="AM281" s="7">
        <v>0</v>
      </c>
      <c r="AO281" s="7">
        <f t="shared" si="82"/>
        <v>0</v>
      </c>
      <c r="AP281" s="59">
        <f t="shared" si="79"/>
        <v>0</v>
      </c>
      <c r="AQ281" s="59">
        <f t="shared" si="80"/>
        <v>0</v>
      </c>
      <c r="AR281" s="59">
        <f>AP281/13</f>
        <v>0</v>
      </c>
      <c r="AS281" s="59">
        <f>AQ281/13</f>
        <v>0</v>
      </c>
    </row>
    <row r="282" spans="1:45">
      <c r="A282" s="21" t="s">
        <v>1115</v>
      </c>
      <c r="B282" s="18" t="s">
        <v>1116</v>
      </c>
      <c r="C282" s="18" t="s">
        <v>3</v>
      </c>
      <c r="D282" s="18" t="s">
        <v>49</v>
      </c>
      <c r="E282" s="19"/>
      <c r="F282" s="20">
        <v>-2000</v>
      </c>
      <c r="G282" s="19"/>
      <c r="H282" s="19"/>
      <c r="I282" s="43">
        <v>0</v>
      </c>
      <c r="J282" s="43">
        <v>0</v>
      </c>
      <c r="K282" s="43">
        <v>0</v>
      </c>
      <c r="L282" s="43">
        <v>0</v>
      </c>
      <c r="M282" s="43">
        <v>0</v>
      </c>
      <c r="N282" s="44">
        <f t="shared" si="73"/>
        <v>0</v>
      </c>
      <c r="O282" s="44">
        <f>I282*$H$4+J282*$I$4+K282*$J$4+L282*$K$4+M282*$L$4</f>
        <v>0</v>
      </c>
      <c r="P282" s="45">
        <f t="shared" si="74"/>
        <v>0</v>
      </c>
      <c r="Q282" s="54">
        <v>0</v>
      </c>
      <c r="R282" s="55">
        <v>0</v>
      </c>
      <c r="S282" s="55">
        <v>0</v>
      </c>
      <c r="T282" s="43">
        <v>0</v>
      </c>
      <c r="U282" s="43">
        <v>0</v>
      </c>
      <c r="V282" s="43">
        <v>0</v>
      </c>
      <c r="W282" s="43">
        <v>0</v>
      </c>
      <c r="X282" s="43">
        <v>0</v>
      </c>
      <c r="Y282" s="59">
        <f t="shared" si="75"/>
        <v>0</v>
      </c>
      <c r="Z282" s="43">
        <v>0</v>
      </c>
      <c r="AA282" s="43">
        <v>0</v>
      </c>
      <c r="AB282" s="60">
        <v>0</v>
      </c>
      <c r="AC282" s="43"/>
      <c r="AD282" s="43"/>
      <c r="AE282" s="43"/>
      <c r="AF282" s="60">
        <f t="shared" si="81"/>
        <v>-2000</v>
      </c>
      <c r="AG282" s="60"/>
      <c r="AH282" s="7"/>
      <c r="AI282" s="7">
        <v>0</v>
      </c>
      <c r="AJ282" s="7">
        <v>0</v>
      </c>
      <c r="AK282" s="7">
        <v>0</v>
      </c>
      <c r="AL282" s="7">
        <v>0</v>
      </c>
      <c r="AM282" s="7">
        <v>0</v>
      </c>
      <c r="AO282" s="7">
        <f t="shared" si="82"/>
        <v>0</v>
      </c>
      <c r="AP282" s="59">
        <f t="shared" si="79"/>
        <v>0</v>
      </c>
      <c r="AQ282" s="59">
        <f t="shared" si="80"/>
        <v>0</v>
      </c>
      <c r="AR282" s="59">
        <f>AP282/13</f>
        <v>0</v>
      </c>
      <c r="AS282" s="59">
        <f>AQ282/13</f>
        <v>0</v>
      </c>
    </row>
    <row r="283" spans="1:45">
      <c r="A283" s="21" t="s">
        <v>1117</v>
      </c>
      <c r="B283" s="18" t="s">
        <v>1118</v>
      </c>
      <c r="C283" s="18"/>
      <c r="D283" s="18"/>
      <c r="E283" s="19"/>
      <c r="F283" s="20"/>
      <c r="G283" s="19"/>
      <c r="H283" s="19"/>
      <c r="I283" s="43"/>
      <c r="J283" s="43"/>
      <c r="K283" s="43"/>
      <c r="L283" s="43"/>
      <c r="M283" s="43"/>
      <c r="N283" s="44"/>
      <c r="O283" s="44"/>
      <c r="P283" s="45"/>
      <c r="Q283" s="54"/>
      <c r="R283" s="55"/>
      <c r="S283" s="55"/>
      <c r="T283" s="43">
        <v>20</v>
      </c>
      <c r="U283" s="43">
        <v>0</v>
      </c>
      <c r="V283" s="43">
        <v>0</v>
      </c>
      <c r="W283" s="43">
        <v>0</v>
      </c>
      <c r="X283" s="43">
        <v>0</v>
      </c>
      <c r="Y283" s="59">
        <f t="shared" si="75"/>
        <v>20</v>
      </c>
      <c r="Z283" s="43">
        <v>110000</v>
      </c>
      <c r="AA283" s="43"/>
      <c r="AB283" s="60"/>
      <c r="AC283" s="43"/>
      <c r="AD283" s="43"/>
      <c r="AE283" s="43"/>
      <c r="AF283" s="60">
        <f t="shared" si="81"/>
        <v>110000</v>
      </c>
      <c r="AG283" s="60"/>
      <c r="AH283" s="7"/>
      <c r="AP283" s="59">
        <f t="shared" si="79"/>
        <v>-20</v>
      </c>
      <c r="AQ283" s="59">
        <f t="shared" si="80"/>
        <v>0</v>
      </c>
      <c r="AR283" s="59">
        <f>AP283/13</f>
        <v>-1.53846153846154</v>
      </c>
      <c r="AS283" s="59">
        <f>AQ283/13</f>
        <v>0</v>
      </c>
    </row>
    <row r="284" spans="1:45">
      <c r="A284" s="21" t="s">
        <v>1119</v>
      </c>
      <c r="B284" s="27" t="s">
        <v>1120</v>
      </c>
      <c r="C284" s="18">
        <v>0</v>
      </c>
      <c r="D284" s="18" t="s">
        <v>99</v>
      </c>
      <c r="E284" s="34"/>
      <c r="F284" s="20">
        <v>-67000</v>
      </c>
      <c r="G284" s="19"/>
      <c r="H284" s="19"/>
      <c r="I284" s="43">
        <v>15</v>
      </c>
      <c r="J284" s="43">
        <v>0</v>
      </c>
      <c r="K284" s="43">
        <v>0</v>
      </c>
      <c r="L284" s="43">
        <v>0</v>
      </c>
      <c r="M284" s="43">
        <v>0</v>
      </c>
      <c r="N284" s="44">
        <f>SUM(I284:M284)</f>
        <v>15</v>
      </c>
      <c r="O284" s="44">
        <f>I284*$H$2+J284*$I$2+K284*$J$2+L284*$K$2+M284*$L$2</f>
        <v>204750</v>
      </c>
      <c r="P284" s="45">
        <f>O284</f>
        <v>204750</v>
      </c>
      <c r="Q284" s="54">
        <v>0</v>
      </c>
      <c r="R284" s="55">
        <v>0</v>
      </c>
      <c r="S284" s="55">
        <v>0</v>
      </c>
      <c r="T284" s="43">
        <v>0</v>
      </c>
      <c r="U284" s="43">
        <v>0</v>
      </c>
      <c r="V284" s="43">
        <v>0</v>
      </c>
      <c r="W284" s="43">
        <v>0</v>
      </c>
      <c r="X284" s="43">
        <v>0</v>
      </c>
      <c r="Y284" s="59">
        <f t="shared" si="75"/>
        <v>0</v>
      </c>
      <c r="Z284" s="43">
        <v>0</v>
      </c>
      <c r="AA284" s="43">
        <v>0</v>
      </c>
      <c r="AB284" s="60">
        <v>0</v>
      </c>
      <c r="AC284" s="43"/>
      <c r="AD284" s="43"/>
      <c r="AE284" s="43"/>
      <c r="AF284" s="60">
        <f t="shared" si="81"/>
        <v>-67000</v>
      </c>
      <c r="AG284" s="60"/>
      <c r="AH284" s="7"/>
      <c r="AI284" s="7">
        <v>0</v>
      </c>
      <c r="AJ284" s="7">
        <v>0</v>
      </c>
      <c r="AK284" s="7">
        <v>0</v>
      </c>
      <c r="AL284" s="7">
        <v>0</v>
      </c>
      <c r="AM284" s="7">
        <v>0</v>
      </c>
      <c r="AO284" s="7">
        <f>AI284+AJ284+AK284+AL284+AM284</f>
        <v>0</v>
      </c>
      <c r="AP284" s="59">
        <f t="shared" si="79"/>
        <v>15</v>
      </c>
      <c r="AQ284" s="59">
        <f t="shared" si="80"/>
        <v>0</v>
      </c>
      <c r="AR284" s="59">
        <f>AP284/13</f>
        <v>1.15384615384615</v>
      </c>
      <c r="AS284" s="59">
        <f>AQ284/13</f>
        <v>0</v>
      </c>
    </row>
    <row r="285" ht="15.15" spans="1:45">
      <c r="A285" s="21" t="s">
        <v>1121</v>
      </c>
      <c r="B285" s="18" t="s">
        <v>1122</v>
      </c>
      <c r="C285" s="18" t="s">
        <v>3</v>
      </c>
      <c r="D285" s="18">
        <v>0</v>
      </c>
      <c r="E285" s="19"/>
      <c r="F285" s="20">
        <v>111800</v>
      </c>
      <c r="G285" s="19"/>
      <c r="H285" s="18"/>
      <c r="I285" s="43">
        <v>0</v>
      </c>
      <c r="J285" s="43">
        <v>0</v>
      </c>
      <c r="K285" s="43">
        <v>0</v>
      </c>
      <c r="L285" s="43">
        <v>0</v>
      </c>
      <c r="M285" s="43">
        <v>0</v>
      </c>
      <c r="N285" s="44">
        <f>SUM(I285:M285)</f>
        <v>0</v>
      </c>
      <c r="O285" s="44">
        <v>0</v>
      </c>
      <c r="P285" s="45">
        <f>O285</f>
        <v>0</v>
      </c>
      <c r="Q285" s="54">
        <v>16500</v>
      </c>
      <c r="R285" s="55">
        <v>0</v>
      </c>
      <c r="S285" s="55">
        <v>0</v>
      </c>
      <c r="T285" s="43">
        <v>0</v>
      </c>
      <c r="U285" s="43">
        <v>0</v>
      </c>
      <c r="V285" s="43">
        <v>0</v>
      </c>
      <c r="W285" s="43">
        <v>0</v>
      </c>
      <c r="X285" s="43">
        <v>0</v>
      </c>
      <c r="Y285" s="59">
        <f t="shared" si="75"/>
        <v>0</v>
      </c>
      <c r="Z285" s="43">
        <v>0</v>
      </c>
      <c r="AA285" s="43">
        <v>0</v>
      </c>
      <c r="AB285" s="60">
        <v>0</v>
      </c>
      <c r="AC285" s="43"/>
      <c r="AD285" s="43"/>
      <c r="AE285" s="43"/>
      <c r="AF285" s="60">
        <f t="shared" si="81"/>
        <v>111800</v>
      </c>
      <c r="AG285" s="60"/>
      <c r="AH285" s="7"/>
      <c r="AI285" s="7">
        <v>1500</v>
      </c>
      <c r="AJ285" s="7">
        <v>0</v>
      </c>
      <c r="AK285" s="7">
        <v>0</v>
      </c>
      <c r="AL285" s="7">
        <v>0</v>
      </c>
      <c r="AM285" s="7">
        <v>0</v>
      </c>
      <c r="AO285" s="7">
        <f>AI285+AJ285+AK285+AL285+AM285</f>
        <v>1500</v>
      </c>
      <c r="AP285" s="59">
        <f t="shared" si="79"/>
        <v>0</v>
      </c>
      <c r="AQ285" s="59">
        <f t="shared" si="80"/>
        <v>0</v>
      </c>
      <c r="AR285" s="59">
        <f>AP285/13</f>
        <v>0</v>
      </c>
      <c r="AS285" s="59">
        <f>AQ285/13</f>
        <v>0</v>
      </c>
    </row>
    <row r="286" ht="15.15" spans="1:45">
      <c r="A286" s="76" t="s">
        <v>1123</v>
      </c>
      <c r="B286" s="30">
        <v>0</v>
      </c>
      <c r="C286" s="31"/>
      <c r="D286" s="31"/>
      <c r="E286" s="31"/>
      <c r="F286" s="32">
        <f t="shared" ref="F286:AD286" si="83">SUM(F240:F285)</f>
        <v>7130970.13</v>
      </c>
      <c r="G286" s="32">
        <f t="shared" si="83"/>
        <v>2100000</v>
      </c>
      <c r="H286" s="32">
        <f t="shared" si="83"/>
        <v>4460250</v>
      </c>
      <c r="I286" s="32">
        <f t="shared" si="83"/>
        <v>420</v>
      </c>
      <c r="J286" s="32">
        <f t="shared" si="83"/>
        <v>0</v>
      </c>
      <c r="K286" s="32">
        <f t="shared" si="83"/>
        <v>8</v>
      </c>
      <c r="L286" s="32">
        <f t="shared" si="83"/>
        <v>3</v>
      </c>
      <c r="M286" s="32">
        <f t="shared" si="83"/>
        <v>40</v>
      </c>
      <c r="N286" s="32">
        <f t="shared" si="83"/>
        <v>471</v>
      </c>
      <c r="O286" s="32">
        <f t="shared" si="83"/>
        <v>4241325</v>
      </c>
      <c r="P286" s="32">
        <f t="shared" si="83"/>
        <v>4241325</v>
      </c>
      <c r="Q286" s="32">
        <f t="shared" si="83"/>
        <v>589771.434210526</v>
      </c>
      <c r="R286" s="32">
        <f t="shared" si="83"/>
        <v>230</v>
      </c>
      <c r="S286" s="32">
        <f t="shared" si="83"/>
        <v>0</v>
      </c>
      <c r="T286" s="32">
        <f>SUM(T240:T285)</f>
        <v>360</v>
      </c>
      <c r="U286" s="32">
        <f>SUM(U240:U285)</f>
        <v>0</v>
      </c>
      <c r="V286" s="32">
        <f>SUM(V240:V285)</f>
        <v>0</v>
      </c>
      <c r="W286" s="32">
        <f>SUM(W240:W285)</f>
        <v>0</v>
      </c>
      <c r="X286" s="32">
        <f>SUM(X240:X285)</f>
        <v>0</v>
      </c>
      <c r="Y286" s="32">
        <f>SUM(Y240:Y285)</f>
        <v>360</v>
      </c>
      <c r="Z286" s="32">
        <f>SUM(Z240:Z285)</f>
        <v>2577250</v>
      </c>
      <c r="AA286" s="32">
        <f>SUM(AA240:AA285)</f>
        <v>1277500</v>
      </c>
      <c r="AB286" s="32">
        <f>SUM(AB240:AB285)</f>
        <v>0</v>
      </c>
      <c r="AC286" s="32">
        <f>SUM(AC240:AC285)</f>
        <v>0</v>
      </c>
      <c r="AD286" s="32">
        <f>SUM(AD240:AD285)</f>
        <v>0</v>
      </c>
      <c r="AE286" s="32"/>
      <c r="AF286" s="32">
        <f>SUM(AF240:AF285)</f>
        <v>8430720.13</v>
      </c>
      <c r="AG286" s="32"/>
      <c r="AH286" s="66"/>
      <c r="AI286" s="32">
        <f>SUM(AI240:AI285)</f>
        <v>40577.53</v>
      </c>
      <c r="AJ286" s="32">
        <f>SUM(AJ240:AJ285)</f>
        <v>132784.4</v>
      </c>
      <c r="AK286" s="32">
        <f>SUM(AK240:AK285)</f>
        <v>34700</v>
      </c>
      <c r="AL286" s="32">
        <f>SUM(AL240:AL285)</f>
        <v>2807.01754385965</v>
      </c>
      <c r="AM286" s="32">
        <f>SUM(AM240:AM285)</f>
        <v>9121.00764732343</v>
      </c>
      <c r="AN286" s="67">
        <f>Y286/N286</f>
        <v>0.764331210191083</v>
      </c>
      <c r="AO286" s="71">
        <f>SUM(AO240:AO285)</f>
        <v>219989.955191183</v>
      </c>
      <c r="AP286" s="32">
        <f>SUM(AP240:AP285)</f>
        <v>60</v>
      </c>
      <c r="AQ286" s="32">
        <f>SUM(AQ240:AQ285)</f>
        <v>8</v>
      </c>
      <c r="AR286" s="59">
        <f>AP286/13</f>
        <v>4.61538461538461</v>
      </c>
      <c r="AS286" s="59">
        <f>AQ286/13</f>
        <v>0.615384615384615</v>
      </c>
    </row>
    <row r="287" s="3" customFormat="1" spans="1:41">
      <c r="A287" s="79" t="s">
        <v>255</v>
      </c>
      <c r="B287" s="98"/>
      <c r="C287" s="98"/>
      <c r="D287" s="98"/>
      <c r="E287" s="98"/>
      <c r="F287" s="82"/>
      <c r="G287" s="82"/>
      <c r="H287" s="82"/>
      <c r="I287" s="89">
        <f t="shared" ref="I287:M287" si="84">I286+I239+I208</f>
        <v>910</v>
      </c>
      <c r="J287" s="89">
        <f t="shared" si="84"/>
        <v>105</v>
      </c>
      <c r="K287" s="89">
        <f t="shared" si="84"/>
        <v>8</v>
      </c>
      <c r="L287" s="89">
        <f t="shared" si="84"/>
        <v>12</v>
      </c>
      <c r="M287" s="89">
        <f t="shared" si="84"/>
        <v>40</v>
      </c>
      <c r="N287" s="89">
        <f>SUM(I287:M287)</f>
        <v>1075</v>
      </c>
      <c r="O287" s="82"/>
      <c r="P287" s="82"/>
      <c r="Q287" s="82"/>
      <c r="R287" s="82"/>
      <c r="S287" s="82"/>
      <c r="T287" s="43"/>
      <c r="U287" s="43"/>
      <c r="V287" s="43"/>
      <c r="W287" s="43"/>
      <c r="X287" s="43"/>
      <c r="Y287" s="59">
        <f>T287+U287+V287+W287+X287</f>
        <v>0</v>
      </c>
      <c r="Z287" s="43"/>
      <c r="AA287" s="43"/>
      <c r="AB287" s="43"/>
      <c r="AC287" s="43"/>
      <c r="AD287" s="43"/>
      <c r="AE287" s="43"/>
      <c r="AF287" s="82"/>
      <c r="AG287" s="82"/>
      <c r="AH287" s="91"/>
      <c r="AI287" s="91"/>
      <c r="AJ287" s="91"/>
      <c r="AK287" s="91">
        <v>0</v>
      </c>
      <c r="AL287" s="91">
        <v>4912.28070175439</v>
      </c>
      <c r="AM287" s="91">
        <v>0</v>
      </c>
      <c r="AN287" s="91"/>
      <c r="AO287" s="91">
        <f>AI287+AJ287+AK287</f>
        <v>0</v>
      </c>
    </row>
    <row r="288" s="3" customFormat="1" ht="15.15" spans="1:41">
      <c r="A288" s="100" t="s">
        <v>578</v>
      </c>
      <c r="B288" s="98"/>
      <c r="C288" s="98"/>
      <c r="D288" s="98"/>
      <c r="E288" s="98"/>
      <c r="F288" s="82"/>
      <c r="G288" s="82"/>
      <c r="H288" s="82"/>
      <c r="I288" s="89">
        <v>975</v>
      </c>
      <c r="J288" s="89"/>
      <c r="K288" s="89"/>
      <c r="L288" s="89">
        <v>32</v>
      </c>
      <c r="M288" s="89">
        <v>208</v>
      </c>
      <c r="N288" s="89">
        <f>SUM(I288:M288)</f>
        <v>1215</v>
      </c>
      <c r="O288" s="82"/>
      <c r="P288" s="82"/>
      <c r="Q288" s="82"/>
      <c r="R288" s="82"/>
      <c r="S288" s="82"/>
      <c r="T288" s="43"/>
      <c r="U288" s="43"/>
      <c r="V288" s="43"/>
      <c r="W288" s="43"/>
      <c r="X288" s="43"/>
      <c r="Y288" s="59">
        <f>T288+U288+V288+W288+X288</f>
        <v>0</v>
      </c>
      <c r="Z288" s="43"/>
      <c r="AA288" s="43"/>
      <c r="AB288" s="43"/>
      <c r="AC288" s="43"/>
      <c r="AD288" s="43"/>
      <c r="AE288" s="43"/>
      <c r="AF288" s="82"/>
      <c r="AG288" s="82"/>
      <c r="AH288" s="91"/>
      <c r="AI288" s="91"/>
      <c r="AJ288" s="91"/>
      <c r="AK288" s="91">
        <v>0</v>
      </c>
      <c r="AL288" s="91">
        <v>4912.28070175439</v>
      </c>
      <c r="AM288" s="91">
        <v>0</v>
      </c>
      <c r="AN288" s="91"/>
      <c r="AO288" s="91">
        <f>AI288+AJ288+AK288</f>
        <v>0</v>
      </c>
    </row>
    <row r="289" ht="16.35" spans="1:45">
      <c r="A289" s="101" t="s">
        <v>579</v>
      </c>
      <c r="B289" s="102"/>
      <c r="C289" s="103"/>
      <c r="D289" s="103"/>
      <c r="E289" s="103"/>
      <c r="F289" s="104">
        <f t="shared" ref="F289:AF289" si="85">F286+F208+F187+F141+F114+F91+F76+F48+F239</f>
        <v>65664032.08</v>
      </c>
      <c r="G289" s="104">
        <f t="shared" si="85"/>
        <v>21009419.36</v>
      </c>
      <c r="H289" s="104">
        <f t="shared" si="85"/>
        <v>47394813.25</v>
      </c>
      <c r="I289" s="104">
        <f t="shared" si="85"/>
        <v>4790</v>
      </c>
      <c r="J289" s="104">
        <f t="shared" si="85"/>
        <v>105</v>
      </c>
      <c r="K289" s="104">
        <f t="shared" si="85"/>
        <v>443</v>
      </c>
      <c r="L289" s="104">
        <f t="shared" si="85"/>
        <v>14</v>
      </c>
      <c r="M289" s="104">
        <f t="shared" si="85"/>
        <v>40</v>
      </c>
      <c r="N289" s="104">
        <f t="shared" si="85"/>
        <v>5392</v>
      </c>
      <c r="O289" s="104">
        <f t="shared" si="85"/>
        <v>44092075</v>
      </c>
      <c r="P289" s="104">
        <f t="shared" si="85"/>
        <v>44092075</v>
      </c>
      <c r="Q289" s="104">
        <f t="shared" si="85"/>
        <v>16262766.4507045</v>
      </c>
      <c r="R289" s="104">
        <f t="shared" si="85"/>
        <v>3525</v>
      </c>
      <c r="S289" s="104">
        <f t="shared" si="85"/>
        <v>475</v>
      </c>
      <c r="T289" s="104">
        <f>T286+T208+T187+T141+T114+T91+T76+T48+T239</f>
        <v>1729</v>
      </c>
      <c r="U289" s="104">
        <f>U286+U208+U187+U141+U114+U91+U76+U48+U239</f>
        <v>55</v>
      </c>
      <c r="V289" s="104">
        <f>V286+V208+V187+V141+V114+V91+V76+V48+V239</f>
        <v>330</v>
      </c>
      <c r="W289" s="104">
        <f>W286+W208+W187+W141+W114+W91+W76+W48+W239</f>
        <v>7</v>
      </c>
      <c r="X289" s="104">
        <f>X286+X208+X187+X141+X114+X91+X76+X48+X239</f>
        <v>92</v>
      </c>
      <c r="Y289" s="104">
        <f>Y286+Y208+Y187+Y141+Y114+Y91+Y76+Y48+Y239</f>
        <v>2213</v>
      </c>
      <c r="Z289" s="104">
        <f>Z286+Z208+Z187+Z141+Z114+Z91+Z76+Z48+Z239</f>
        <v>19015839</v>
      </c>
      <c r="AA289" s="104">
        <f>AA286+AA208+AA187+AA141+AA114+AA91+AA76+AA48+AA239</f>
        <v>9412900</v>
      </c>
      <c r="AB289" s="104">
        <f>AB286+AB208+AB187+AB141+AB114+AB91+AB76+AB48+AB239</f>
        <v>46900</v>
      </c>
      <c r="AC289" s="104">
        <f>AC286+AC208+AC187+AC141+AC114+AC91+AC76+AC48+AC239</f>
        <v>0</v>
      </c>
      <c r="AD289" s="104">
        <f>AD286+AD208+AD187+AD141+AD114+AD91+AD76+AD48+AD239</f>
        <v>0</v>
      </c>
      <c r="AE289" s="104">
        <f>AE286+AE208+AE187+AE141+AE114+AE91+AE76+AE48+AE239</f>
        <v>0</v>
      </c>
      <c r="AF289" s="104">
        <f>AF286+AF208+AF187+AF141+AF114+AF91+AF76+AF48+AF239</f>
        <v>75220071.08</v>
      </c>
      <c r="AG289" s="104"/>
      <c r="AH289" s="106"/>
      <c r="AI289" s="104">
        <f>AI286+AI208+AI187+AI141+AI114+AI91+AI76+AI48+AI239</f>
        <v>2985118.23</v>
      </c>
      <c r="AJ289" s="104">
        <f t="shared" ref="AJ289:AO289" si="86">AJ286+AJ208+AJ187+AJ141+AJ114+AJ91+AJ76+AJ48+AJ239</f>
        <v>3264991.17</v>
      </c>
      <c r="AK289" s="104">
        <f t="shared" si="86"/>
        <v>3443953.27</v>
      </c>
      <c r="AL289" s="104">
        <f t="shared" si="86"/>
        <v>64776.392262708</v>
      </c>
      <c r="AM289" s="104">
        <f t="shared" si="86"/>
        <v>250819.545659019</v>
      </c>
      <c r="AN289" s="104"/>
      <c r="AO289" s="104">
        <f>AO286+AO208+AO187+AO141+AO114+AO91+AO76+AO48+AO239</f>
        <v>10009658.6079217</v>
      </c>
      <c r="AP289" s="104">
        <f>AP286+AP208+AP187+AP141+AP114+AP91+AP76+AP48+AP239</f>
        <v>3111</v>
      </c>
      <c r="AQ289" s="104">
        <f>AQ286+AQ208+AQ187+AQ141+AQ114+AQ91+AQ76+AQ48+AQ239</f>
        <v>113</v>
      </c>
      <c r="AR289" s="104">
        <f>AR286+AR208+AR187+AR141+AR114+AR91+AR76+AR48+AR239</f>
        <v>239.307692307692</v>
      </c>
      <c r="AS289" s="104">
        <f>AS286+AS208+AS187+AS141+AS114+AS91+AS76+AS48+AS239</f>
        <v>8.69230769230769</v>
      </c>
    </row>
    <row r="292" spans="27:31">
      <c r="AA292" s="57"/>
      <c r="AC292" s="64"/>
      <c r="AD292" s="64"/>
      <c r="AE292" s="64">
        <f>SUM(AE8:AE291)</f>
        <v>0</v>
      </c>
    </row>
    <row r="293" spans="27:28">
      <c r="AA293" s="57"/>
      <c r="AB293" s="64"/>
    </row>
    <row r="295" spans="23:23">
      <c r="W295" s="4"/>
    </row>
    <row r="296" spans="24:24">
      <c r="X296" s="105"/>
    </row>
    <row r="298" spans="24:24">
      <c r="X298" s="105"/>
    </row>
  </sheetData>
  <autoFilter ref="A7:AS289">
    <extLst/>
  </autoFilter>
  <mergeCells count="5">
    <mergeCell ref="I6:P6"/>
    <mergeCell ref="R6:S6"/>
    <mergeCell ref="T6:AD6"/>
    <mergeCell ref="AP6:AQ6"/>
    <mergeCell ref="AR6:AS6"/>
  </mergeCells>
  <conditionalFormatting sqref="A74">
    <cfRule type="duplicateValues" dxfId="0" priority="224"/>
    <cfRule type="duplicateValues" dxfId="0" priority="227"/>
    <cfRule type="duplicateValues" dxfId="0" priority="228"/>
    <cfRule type="duplicateValues" dxfId="0" priority="229"/>
    <cfRule type="duplicateValues" dxfId="0" priority="230"/>
    <cfRule type="duplicateValues" dxfId="0" priority="231"/>
    <cfRule type="duplicateValues" dxfId="0" priority="232"/>
    <cfRule type="duplicateValues" dxfId="0" priority="233"/>
  </conditionalFormatting>
  <conditionalFormatting sqref="B74">
    <cfRule type="duplicateValues" dxfId="0" priority="225"/>
    <cfRule type="duplicateValues" dxfId="0" priority="226"/>
  </conditionalFormatting>
  <conditionalFormatting sqref="B271">
    <cfRule type="duplicateValues" dxfId="0" priority="128"/>
    <cfRule type="duplicateValues" dxfId="0" priority="129"/>
  </conditionalFormatting>
  <conditionalFormatting sqref="B278">
    <cfRule type="duplicateValues" dxfId="0" priority="178"/>
    <cfRule type="duplicateValues" dxfId="0" priority="180"/>
  </conditionalFormatting>
  <conditionalFormatting sqref="A289">
    <cfRule type="duplicateValues" dxfId="0" priority="239"/>
  </conditionalFormatting>
  <conditionalFormatting sqref="A34:A47">
    <cfRule type="duplicateValues" dxfId="0" priority="119"/>
    <cfRule type="duplicateValues" dxfId="0" priority="120"/>
    <cfRule type="duplicateValues" dxfId="0" priority="121"/>
    <cfRule type="duplicateValues" dxfId="0" priority="122"/>
    <cfRule type="duplicateValues" dxfId="0" priority="123"/>
    <cfRule type="duplicateValues" dxfId="0" priority="124"/>
    <cfRule type="duplicateValues" dxfId="0" priority="125"/>
    <cfRule type="duplicateValues" dxfId="0" priority="126"/>
    <cfRule type="duplicateValues" dxfId="0" priority="127"/>
  </conditionalFormatting>
  <conditionalFormatting sqref="A53:A60">
    <cfRule type="duplicateValues" dxfId="0" priority="110"/>
    <cfRule type="duplicateValues" dxfId="0" priority="111"/>
    <cfRule type="duplicateValues" dxfId="0" priority="112"/>
    <cfRule type="duplicateValues" dxfId="0" priority="113"/>
    <cfRule type="duplicateValues" dxfId="0" priority="114"/>
    <cfRule type="duplicateValues" dxfId="0" priority="115"/>
    <cfRule type="duplicateValues" dxfId="0" priority="116"/>
    <cfRule type="duplicateValues" dxfId="0" priority="117"/>
    <cfRule type="duplicateValues" dxfId="0" priority="118"/>
  </conditionalFormatting>
  <conditionalFormatting sqref="A63:A69">
    <cfRule type="duplicateValues" dxfId="0" priority="101"/>
    <cfRule type="duplicateValues" dxfId="0" priority="102"/>
    <cfRule type="duplicateValues" dxfId="0" priority="103"/>
    <cfRule type="duplicateValues" dxfId="0" priority="104"/>
    <cfRule type="duplicateValues" dxfId="0" priority="105"/>
    <cfRule type="duplicateValues" dxfId="0" priority="106"/>
    <cfRule type="duplicateValues" dxfId="0" priority="107"/>
    <cfRule type="duplicateValues" dxfId="0" priority="108"/>
    <cfRule type="duplicateValues" dxfId="0" priority="109"/>
  </conditionalFormatting>
  <conditionalFormatting sqref="A77:A90">
    <cfRule type="duplicateValues" dxfId="0" priority="92"/>
    <cfRule type="duplicateValues" dxfId="0" priority="93"/>
    <cfRule type="duplicateValues" dxfId="0" priority="94"/>
    <cfRule type="duplicateValues" dxfId="0" priority="95"/>
    <cfRule type="duplicateValues" dxfId="0" priority="96"/>
    <cfRule type="duplicateValues" dxfId="0" priority="97"/>
    <cfRule type="duplicateValues" dxfId="0" priority="98"/>
    <cfRule type="duplicateValues" dxfId="0" priority="99"/>
    <cfRule type="duplicateValues" dxfId="0" priority="100"/>
  </conditionalFormatting>
  <conditionalFormatting sqref="A92:A93">
    <cfRule type="duplicateValues" dxfId="0" priority="155"/>
    <cfRule type="duplicateValues" dxfId="0" priority="156"/>
    <cfRule type="duplicateValues" dxfId="0" priority="157"/>
    <cfRule type="duplicateValues" dxfId="0" priority="158"/>
  </conditionalFormatting>
  <conditionalFormatting sqref="A94:A99">
    <cfRule type="duplicateValues" dxfId="0" priority="74"/>
    <cfRule type="duplicateValues" dxfId="0" priority="75"/>
    <cfRule type="duplicateValues" dxfId="0" priority="76"/>
    <cfRule type="duplicateValues" dxfId="0" priority="77"/>
    <cfRule type="duplicateValues" dxfId="0" priority="78"/>
    <cfRule type="duplicateValues" dxfId="0" priority="79"/>
    <cfRule type="duplicateValues" dxfId="0" priority="80"/>
    <cfRule type="duplicateValues" dxfId="0" priority="81"/>
    <cfRule type="duplicateValues" dxfId="0" priority="82"/>
  </conditionalFormatting>
  <conditionalFormatting sqref="A100:A113">
    <cfRule type="duplicateValues" dxfId="0" priority="83"/>
    <cfRule type="duplicateValues" dxfId="0" priority="84"/>
    <cfRule type="duplicateValues" dxfId="0" priority="85"/>
    <cfRule type="duplicateValues" dxfId="0" priority="86"/>
    <cfRule type="duplicateValues" dxfId="0" priority="87"/>
    <cfRule type="duplicateValues" dxfId="0" priority="88"/>
    <cfRule type="duplicateValues" dxfId="0" priority="89"/>
    <cfRule type="duplicateValues" dxfId="0" priority="90"/>
    <cfRule type="duplicateValues" dxfId="0" priority="91"/>
  </conditionalFormatting>
  <conditionalFormatting sqref="A115:A140">
    <cfRule type="duplicateValues" dxfId="0" priority="65"/>
    <cfRule type="duplicateValues" dxfId="0" priority="66"/>
    <cfRule type="duplicateValues" dxfId="0" priority="67"/>
    <cfRule type="duplicateValues" dxfId="0" priority="68"/>
    <cfRule type="duplicateValues" dxfId="0" priority="69"/>
    <cfRule type="duplicateValues" dxfId="0" priority="70"/>
    <cfRule type="duplicateValues" dxfId="0" priority="71"/>
    <cfRule type="duplicateValues" dxfId="0" priority="72"/>
    <cfRule type="duplicateValues" dxfId="0" priority="73"/>
  </conditionalFormatting>
  <conditionalFormatting sqref="A142:A186">
    <cfRule type="duplicateValues" dxfId="0" priority="56"/>
    <cfRule type="duplicateValues" dxfId="0" priority="57"/>
    <cfRule type="duplicateValues" dxfId="0" priority="58"/>
    <cfRule type="duplicateValues" dxfId="0" priority="59"/>
    <cfRule type="duplicateValues" dxfId="0" priority="60"/>
    <cfRule type="duplicateValues" dxfId="0" priority="61"/>
    <cfRule type="duplicateValues" dxfId="0" priority="62"/>
    <cfRule type="duplicateValues" dxfId="0" priority="63"/>
    <cfRule type="duplicateValues" dxfId="0" priority="64"/>
  </conditionalFormatting>
  <conditionalFormatting sqref="A188:A189">
    <cfRule type="duplicateValues" dxfId="0" priority="151"/>
    <cfRule type="duplicateValues" dxfId="0" priority="152"/>
    <cfRule type="duplicateValues" dxfId="0" priority="153"/>
    <cfRule type="duplicateValues" dxfId="0" priority="154"/>
  </conditionalFormatting>
  <conditionalFormatting sqref="A190:A207">
    <cfRule type="duplicateValues" dxfId="0" priority="47"/>
    <cfRule type="duplicateValues" dxfId="0" priority="48"/>
    <cfRule type="duplicateValues" dxfId="0" priority="49"/>
    <cfRule type="duplicateValues" dxfId="0" priority="50"/>
    <cfRule type="duplicateValues" dxfId="0" priority="51"/>
    <cfRule type="duplicateValues" dxfId="0" priority="52"/>
    <cfRule type="duplicateValues" dxfId="0" priority="53"/>
    <cfRule type="duplicateValues" dxfId="0" priority="54"/>
    <cfRule type="duplicateValues" dxfId="0" priority="55"/>
  </conditionalFormatting>
  <conditionalFormatting sqref="A287:A288">
    <cfRule type="duplicateValues" dxfId="0" priority="147"/>
    <cfRule type="duplicateValues" dxfId="0" priority="148"/>
    <cfRule type="duplicateValues" dxfId="0" priority="149"/>
    <cfRule type="duplicateValues" dxfId="0" priority="150"/>
  </conditionalFormatting>
  <conditionalFormatting sqref="B137:B139">
    <cfRule type="duplicateValues" dxfId="0" priority="205"/>
    <cfRule type="duplicateValues" dxfId="0" priority="207"/>
  </conditionalFormatting>
  <conditionalFormatting sqref="E137:E139">
    <cfRule type="duplicateValues" dxfId="0" priority="203"/>
    <cfRule type="duplicateValues" dxfId="0" priority="209"/>
    <cfRule type="duplicateValues" dxfId="0" priority="211"/>
    <cfRule type="duplicateValues" dxfId="0" priority="213"/>
    <cfRule type="duplicateValues" dxfId="0" priority="215"/>
    <cfRule type="duplicateValues" dxfId="0" priority="217"/>
    <cfRule type="duplicateValues" dxfId="0" priority="219"/>
    <cfRule type="duplicateValues" dxfId="0" priority="221"/>
    <cfRule type="duplicateValues" dxfId="0" priority="223"/>
  </conditionalFormatting>
  <conditionalFormatting sqref="G137:G139">
    <cfRule type="duplicateValues" dxfId="0" priority="202"/>
    <cfRule type="duplicateValues" dxfId="0" priority="208"/>
    <cfRule type="duplicateValues" dxfId="0" priority="210"/>
    <cfRule type="duplicateValues" dxfId="0" priority="212"/>
    <cfRule type="duplicateValues" dxfId="0" priority="214"/>
    <cfRule type="duplicateValues" dxfId="0" priority="216"/>
    <cfRule type="duplicateValues" dxfId="0" priority="218"/>
    <cfRule type="duplicateValues" dxfId="0" priority="220"/>
    <cfRule type="duplicateValues" dxfId="0" priority="222"/>
  </conditionalFormatting>
  <conditionalFormatting sqref="H137:H139">
    <cfRule type="duplicateValues" dxfId="0" priority="204"/>
    <cfRule type="duplicateValues" dxfId="0" priority="206"/>
  </conditionalFormatting>
  <conditionalFormatting sqref="A1:A33 A48:A52 A61:A62 A70:A73 A114 A208 A239 A75:A76 A91 A141 A187 A286 A289:A1048576">
    <cfRule type="duplicateValues" dxfId="0" priority="234"/>
    <cfRule type="duplicateValues" dxfId="0" priority="237"/>
  </conditionalFormatting>
  <conditionalFormatting sqref="A1:A33 A48:A52 A61:A62 A70:A73 A114 A75:A76 A239 A91 A141 A187 A208 A286 A289:A1048576">
    <cfRule type="duplicateValues" dxfId="0" priority="238"/>
  </conditionalFormatting>
  <conditionalFormatting sqref="B1:B43 B47:B73 C1:D168 B140:B168 B169:D219 C220:D222 C224:D226 B227:D229 B223:D223 B225 C230:D230 B75:B136 B220:B221 B237 B239:B241 C272:D1048576 B231:D235 C236:D241 B272:B277 B242:D270 B286:B1048576">
    <cfRule type="duplicateValues" dxfId="0" priority="235"/>
    <cfRule type="duplicateValues" dxfId="0" priority="236"/>
  </conditionalFormatting>
  <conditionalFormatting sqref="A8:A33 A49:A52 A61:A62 A75">
    <cfRule type="duplicateValues" dxfId="0" priority="247"/>
  </conditionalFormatting>
  <conditionalFormatting sqref="A8:A33 A70:A73 A49:A52 A61:A62 A75">
    <cfRule type="duplicateValues" dxfId="0" priority="240"/>
    <cfRule type="duplicateValues" dxfId="0" priority="241"/>
    <cfRule type="duplicateValues" dxfId="0" priority="243"/>
    <cfRule type="duplicateValues" dxfId="0" priority="245"/>
    <cfRule type="duplicateValues" dxfId="0" priority="246"/>
  </conditionalFormatting>
  <conditionalFormatting sqref="B44:B46 B226 B230 B236 B280:B284 B238">
    <cfRule type="duplicateValues" dxfId="0" priority="172"/>
    <cfRule type="duplicateValues" dxfId="0" priority="173"/>
  </conditionalFormatting>
  <conditionalFormatting sqref="A209:A212 A220:A222 A224:A226 A230 A237:A238 A232:A235 A218 A214">
    <cfRule type="duplicateValues" dxfId="0" priority="38"/>
    <cfRule type="duplicateValues" dxfId="0" priority="39"/>
    <cfRule type="duplicateValues" dxfId="0" priority="40"/>
    <cfRule type="duplicateValues" dxfId="0" priority="41"/>
    <cfRule type="duplicateValues" dxfId="0" priority="42"/>
    <cfRule type="duplicateValues" dxfId="0" priority="43"/>
    <cfRule type="duplicateValues" dxfId="0" priority="44"/>
    <cfRule type="duplicateValues" dxfId="0" priority="45"/>
    <cfRule type="duplicateValues" dxfId="0" priority="46"/>
  </conditionalFormatting>
  <conditionalFormatting sqref="B209:B210 E209:E210 E259:E265 B259:B265 E285">
    <cfRule type="duplicateValues" dxfId="0" priority="242"/>
  </conditionalFormatting>
  <conditionalFormatting sqref="A213 A223 A227:A229 A231 A236 A240:A285 A215:A217 A219">
    <cfRule type="duplicateValues" dxfId="0" priority="29"/>
    <cfRule type="duplicateValues" dxfId="0" priority="30"/>
    <cfRule type="duplicateValues" dxfId="0" priority="31"/>
    <cfRule type="duplicateValues" dxfId="0" priority="32"/>
    <cfRule type="duplicateValues" dxfId="0" priority="33"/>
    <cfRule type="duplicateValues" dxfId="0" priority="34"/>
    <cfRule type="duplicateValues" dxfId="0" priority="35"/>
    <cfRule type="duplicateValues" dxfId="0" priority="36"/>
    <cfRule type="duplicateValues" dxfId="0" priority="37"/>
  </conditionalFormatting>
  <conditionalFormatting sqref="B222 B279">
    <cfRule type="duplicateValues" dxfId="0" priority="170"/>
    <cfRule type="duplicateValues" dxfId="0" priority="171"/>
  </conditionalFormatting>
  <conditionalFormatting sqref="E222 E224 E278:E279">
    <cfRule type="duplicateValues" dxfId="0" priority="176"/>
    <cfRule type="duplicateValues" dxfId="0" priority="183"/>
    <cfRule type="duplicateValues" dxfId="0" priority="186"/>
    <cfRule type="duplicateValues" dxfId="0" priority="189"/>
    <cfRule type="duplicateValues" dxfId="0" priority="192"/>
    <cfRule type="duplicateValues" dxfId="0" priority="195"/>
    <cfRule type="duplicateValues" dxfId="0" priority="198"/>
    <cfRule type="duplicateValues" dxfId="0" priority="201"/>
  </conditionalFormatting>
  <conditionalFormatting sqref="G224 G222 G278:G279">
    <cfRule type="duplicateValues" dxfId="0" priority="175"/>
    <cfRule type="duplicateValues" dxfId="0" priority="182"/>
    <cfRule type="duplicateValues" dxfId="0" priority="185"/>
    <cfRule type="duplicateValues" dxfId="0" priority="188"/>
    <cfRule type="duplicateValues" dxfId="0" priority="191"/>
    <cfRule type="duplicateValues" dxfId="0" priority="194"/>
    <cfRule type="duplicateValues" dxfId="0" priority="197"/>
    <cfRule type="duplicateValues" dxfId="0" priority="200"/>
  </conditionalFormatting>
  <conditionalFormatting sqref="H222 H224 H278:H279">
    <cfRule type="duplicateValues" dxfId="0" priority="177"/>
    <cfRule type="duplicateValues" dxfId="0" priority="179"/>
  </conditionalFormatting>
  <conditionalFormatting sqref="B224 B285">
    <cfRule type="duplicateValues" dxfId="0" priority="159"/>
    <cfRule type="duplicateValues" dxfId="0" priority="160"/>
  </conditionalFormatting>
  <conditionalFormatting sqref="B258 E258">
    <cfRule type="duplicateValues" dxfId="0" priority="244"/>
  </conditionalFormatting>
  <pageMargins left="0.75" right="0.75" top="1" bottom="1" header="0.5" footer="0.5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N-1</vt:lpstr>
      <vt:lpstr>N-2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morshed.alam</dc:creator>
  <cp:lastModifiedBy>morshed.alam</cp:lastModifiedBy>
  <dcterms:created xsi:type="dcterms:W3CDTF">2025-06-24T03:32:00Z</dcterms:created>
  <dcterms:modified xsi:type="dcterms:W3CDTF">2025-11-16T11:05:48Z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4043FC6F0C8745EC81B4C8F7ADF9AB39_13</vt:lpwstr>
  </property>
  <property fmtid="{D5CDD505-2E9C-101B-9397-08002B2CF9AE}" pid="3" name="KSOProductBuildVer">
    <vt:lpwstr>1033-12.2.0.13306</vt:lpwstr>
  </property>
</Properties>
</file>
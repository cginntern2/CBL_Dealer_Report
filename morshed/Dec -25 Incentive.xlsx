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700" activeTab="5"/>
  </bookViews>
  <sheets>
    <sheet name="Sheet1" sheetId="6" r:id="rId1"/>
    <sheet name="with Out Conversion" sheetId="1" r:id="rId2"/>
    <sheet name="orgin" sheetId="5" r:id="rId3"/>
    <sheet name="Sheet2" sheetId="3" r:id="rId4"/>
    <sheet name="Conversion Details" sheetId="2" r:id="rId5"/>
    <sheet name="ET- TRB" sheetId="10" r:id="rId6"/>
    <sheet name="S.P ET &amp; TRB" sheetId="12" r:id="rId7"/>
    <sheet name="Conversion" sheetId="4" r:id="rId8"/>
    <sheet name="Solar" sheetId="7" r:id="rId9"/>
    <sheet name="IPS" sheetId="8" r:id="rId10"/>
    <sheet name="PC-CV" sheetId="9" r:id="rId11"/>
    <sheet name="Sheet3" sheetId="13" r:id="rId12"/>
  </sheets>
  <externalReferences>
    <externalReference r:id="rId16"/>
  </externalReferences>
  <definedNames>
    <definedName name="_xlnm._FilterDatabase" localSheetId="1" hidden="1">'with Out Conversion'!$A$8:$AC$702</definedName>
    <definedName name="_xlnm._FilterDatabase" localSheetId="2" hidden="1">orgin!$A$8:$AC$1485</definedName>
    <definedName name="_xlnm._FilterDatabase" localSheetId="4" hidden="1">'Conversion Details'!$A$8:$AC$791</definedName>
    <definedName name="_xlnm._FilterDatabase" localSheetId="5" hidden="1">'ET- TRB'!$A$4:$BA$113</definedName>
    <definedName name="_xlnm._FilterDatabase" localSheetId="6" hidden="1">'S.P ET &amp; TRB'!$A$4:$BA$113</definedName>
    <definedName name="_xlnm._FilterDatabase" localSheetId="7" hidden="1">Conversion!$A$4:$O$79</definedName>
    <definedName name="_xlnm._FilterDatabase" localSheetId="8" hidden="1">Solar!$A$5:$R$19</definedName>
    <definedName name="_xlnm._FilterDatabase" localSheetId="9" hidden="1">IPS!$A$5:$X$36</definedName>
    <definedName name="_xlnm._FilterDatabase" localSheetId="10" hidden="1">'PC-CV'!$A$12:$AB$40</definedName>
  </definedNames>
  <calcPr calcId="144525"/>
  <pivotCaches>
    <pivotCache cacheId="0" r:id="rId13"/>
    <pivotCache cacheId="1" r:id="rId14"/>
    <pivotCache cacheId="2" r:id="rId15"/>
  </pivotCaches>
</workbook>
</file>

<file path=xl/sharedStrings.xml><?xml version="1.0" encoding="utf-8"?>
<sst xmlns="http://schemas.openxmlformats.org/spreadsheetml/2006/main" count="31379" uniqueCount="685">
  <si>
    <t>Sum of Actual Invoice Qunatity</t>
  </si>
  <si>
    <t>Application Name</t>
  </si>
  <si>
    <t>Territory Name</t>
  </si>
  <si>
    <t>Customer Name</t>
  </si>
  <si>
    <t>ET</t>
  </si>
  <si>
    <t>Rickshaw</t>
  </si>
  <si>
    <t>Grand Total</t>
  </si>
  <si>
    <t>Bagura Territory</t>
  </si>
  <si>
    <t>M/S Anamika Auto Rickshow</t>
  </si>
  <si>
    <t>M/S Sony Autos</t>
  </si>
  <si>
    <t>Barishal Territory</t>
  </si>
  <si>
    <t>M/S Bhai Bhai Battery And Motors</t>
  </si>
  <si>
    <t>M/S Farhan Battery &amp; Auto Parts</t>
  </si>
  <si>
    <t>M/S Manir Battery Charging Station</t>
  </si>
  <si>
    <t>M/S Nirapad Motors</t>
  </si>
  <si>
    <t>Chattogram Territory</t>
  </si>
  <si>
    <t>M/S Ekata Motors</t>
  </si>
  <si>
    <t>M/S Kalam Auto Motor Parts And Battery House</t>
  </si>
  <si>
    <t>M/S Pagla Mama Auto Parts</t>
  </si>
  <si>
    <t>M/S Sangu Battery House</t>
  </si>
  <si>
    <t>Cox's Bazar Territory</t>
  </si>
  <si>
    <t>M/S Bismillah Motors-Hinla</t>
  </si>
  <si>
    <t>M/S Hafiz Battery House</t>
  </si>
  <si>
    <t>M/S Hira Motors-Chokoria</t>
  </si>
  <si>
    <t>M/S Kalam Enterprise</t>
  </si>
  <si>
    <t>M/S Setu Cycle Mart</t>
  </si>
  <si>
    <t>M/S Shah Mojidia Motor Parts</t>
  </si>
  <si>
    <t>M/S Sohan Motors</t>
  </si>
  <si>
    <t>Cumilla Territory</t>
  </si>
  <si>
    <t>M/S Anas Battery &amp; Auto House</t>
  </si>
  <si>
    <t>M/S Bondhu Motors</t>
  </si>
  <si>
    <t>M/S Laksam Battery House</t>
  </si>
  <si>
    <t>M/S Lalmai Machineries &amp; Parts</t>
  </si>
  <si>
    <t>M/S Mayer Doya Auto Parts-Feni</t>
  </si>
  <si>
    <t>M/S Mayer Doya Auto Parts-Laksam</t>
  </si>
  <si>
    <t>M/S Payar Auto Electric Works</t>
  </si>
  <si>
    <t>M/S Power Battery</t>
  </si>
  <si>
    <t>M/S S.S. Enterprise-Norshingdi</t>
  </si>
  <si>
    <t>Dinajpur Territory</t>
  </si>
  <si>
    <t>M/S Gausia Mill Store</t>
  </si>
  <si>
    <t>M/S M R Enterprise- Setabganj</t>
  </si>
  <si>
    <t>M/S Mithila Auto Show Room</t>
  </si>
  <si>
    <t>M/S Nobodhara Corporation</t>
  </si>
  <si>
    <t>Gazipur Territory</t>
  </si>
  <si>
    <t>M/S Al - Mokka Enterprise</t>
  </si>
  <si>
    <t>M/S Arafat Enterprise</t>
  </si>
  <si>
    <t>M/S Ma Tyre &amp; Battery  Shop</t>
  </si>
  <si>
    <t>M/S Mahtab Engineering Workshop</t>
  </si>
  <si>
    <t>M/S Master Motor's</t>
  </si>
  <si>
    <t>Hobigonj Territory</t>
  </si>
  <si>
    <t>M/S Al Baraka Enterprise</t>
  </si>
  <si>
    <t>M/S Al Madina Enterprise</t>
  </si>
  <si>
    <t>M/S Amir Auto House</t>
  </si>
  <si>
    <t>M/S B.P Battery House</t>
  </si>
  <si>
    <t>M/S Bhai Bhai Cycle Mart</t>
  </si>
  <si>
    <t>M/S Bondhu Auto and CNG Workshop</t>
  </si>
  <si>
    <t>M/S Comilla Traders</t>
  </si>
  <si>
    <t>M/S Doyal Battery</t>
  </si>
  <si>
    <t>M/S Mashpi Battery &amp; Auto</t>
  </si>
  <si>
    <t>M/S Nasir Motors</t>
  </si>
  <si>
    <t>M/S Oithi Motors</t>
  </si>
  <si>
    <t>M/S Sawda Auto and Battery</t>
  </si>
  <si>
    <t>M/S Shahjalal Traders</t>
  </si>
  <si>
    <t>M/S Siam Motors</t>
  </si>
  <si>
    <t>M/S Tanim Traders and Battery House</t>
  </si>
  <si>
    <t>Jashore Territory</t>
  </si>
  <si>
    <t>M/S Bamondi Battery House</t>
  </si>
  <si>
    <t>M/S Bonna Enterprise</t>
  </si>
  <si>
    <t>M/S S.K. Motors - Kushtia</t>
  </si>
  <si>
    <t>M/S Shikdar Auto House</t>
  </si>
  <si>
    <t>M/S Shuvo Enterprise</t>
  </si>
  <si>
    <t>Khulna Territory</t>
  </si>
  <si>
    <t>M/S Shekh Enterprise - Khulna</t>
  </si>
  <si>
    <t>Mymenshing Territory</t>
  </si>
  <si>
    <t>M/S Bang Mia Traders</t>
  </si>
  <si>
    <t>M/S Bhai Bhai Traders-Kendua</t>
  </si>
  <si>
    <t>M/S Bondhu Battery &amp; Auto</t>
  </si>
  <si>
    <t>M/S Ira Motors</t>
  </si>
  <si>
    <t>M/S Jogotbondhu Battery &amp; Eng. Workshop</t>
  </si>
  <si>
    <t>M/S Snigdha Battery</t>
  </si>
  <si>
    <t>Narayangonj Territory</t>
  </si>
  <si>
    <t>M/S Allahar Dan Battery</t>
  </si>
  <si>
    <t>M/S Samir Battery And Tyre</t>
  </si>
  <si>
    <t>Noakhali Territory</t>
  </si>
  <si>
    <t>M/S Hazi Auto &amp; Solar</t>
  </si>
  <si>
    <t>M/S Hazi Automobiles &amp; Service Centre</t>
  </si>
  <si>
    <t>Rajshahi Territory</t>
  </si>
  <si>
    <t>M/S Aminul Battery House</t>
  </si>
  <si>
    <t>M/S Chapai Auto Battery House</t>
  </si>
  <si>
    <t>M/S Oreya Enterprise</t>
  </si>
  <si>
    <t>M/S Shahadat Auto Repairing Workshop</t>
  </si>
  <si>
    <t>Rangpur Territory</t>
  </si>
  <si>
    <t>M/S Atik Auto</t>
  </si>
  <si>
    <t>M/S Rakin Auto Parts</t>
  </si>
  <si>
    <t>M/S S S Trading</t>
  </si>
  <si>
    <t>Retail Territory OWN</t>
  </si>
  <si>
    <t>M/S Arman Battery House</t>
  </si>
  <si>
    <t>M/S Islam Auto House</t>
  </si>
  <si>
    <t>M/S Mohi Enterprise</t>
  </si>
  <si>
    <t>M/S Oppo Parts &amp; Battery House</t>
  </si>
  <si>
    <t>M/S Sagorika Motors</t>
  </si>
  <si>
    <t>M/S Tamim Enterprise</t>
  </si>
  <si>
    <t>Md. Moazzem Hossain D.M</t>
  </si>
  <si>
    <t>Sylhet Territory</t>
  </si>
  <si>
    <t xml:space="preserve">M/S B.R.S.  Sowra Bidduyt </t>
  </si>
  <si>
    <t>M/S City Auto</t>
  </si>
  <si>
    <t>M/S Fateha Battery</t>
  </si>
  <si>
    <t>M/S Minara Traders</t>
  </si>
  <si>
    <t>M/S Rafi Battery House</t>
  </si>
  <si>
    <t>M/S Rumi Battery House</t>
  </si>
  <si>
    <t>M/S Tanvir Battery House</t>
  </si>
  <si>
    <t>Tangail Territory</t>
  </si>
  <si>
    <t>M/S Ananna Battery &amp; Tyre</t>
  </si>
  <si>
    <t>M/S Modina Enterprise - Savar</t>
  </si>
  <si>
    <t>M/S Monir Auto &amp; Battery House</t>
  </si>
  <si>
    <t># CONFIDENCE BATTERIES LIMITED #</t>
  </si>
  <si>
    <t>CCV17 Gaston</t>
  </si>
  <si>
    <t>Sales System</t>
  </si>
  <si>
    <t>NS40ZL Gaston</t>
  </si>
  <si>
    <t>Monem Business District (MDB) East Tower 8th &amp; 9th Floor,  111 Bir Uttam C.R Datta Road, Dhaka-1205</t>
  </si>
  <si>
    <t>Dealer Wise Net Sales Register</t>
  </si>
  <si>
    <t>From Date:01-DEC-25 To Date:31-DEC-25</t>
  </si>
  <si>
    <t>NS60L Gaston</t>
  </si>
  <si>
    <t>SL NO</t>
  </si>
  <si>
    <t>Origin</t>
  </si>
  <si>
    <t>Customer Code</t>
  </si>
  <si>
    <t>Pad Name</t>
  </si>
  <si>
    <t>Division Name</t>
  </si>
  <si>
    <t>National Name</t>
  </si>
  <si>
    <t>ERP Status</t>
  </si>
  <si>
    <t>Warehouse</t>
  </si>
  <si>
    <t>Invoice No</t>
  </si>
  <si>
    <t>Invoice Date</t>
  </si>
  <si>
    <t>Order Date</t>
  </si>
  <si>
    <t>Product Code</t>
  </si>
  <si>
    <t>Product Name</t>
  </si>
  <si>
    <t>Unit TP</t>
  </si>
  <si>
    <t>Invoice Qunatity</t>
  </si>
  <si>
    <t>Invoice Amount</t>
  </si>
  <si>
    <t>Return Qunatity</t>
  </si>
  <si>
    <t>Return Amount</t>
  </si>
  <si>
    <t>Actual Invoice Qunatity</t>
  </si>
  <si>
    <t>Actual Invoice Amount</t>
  </si>
  <si>
    <t>Monthly Incent</t>
  </si>
  <si>
    <t>Yearly Incent</t>
  </si>
  <si>
    <t>Payment Incent</t>
  </si>
  <si>
    <t>Invoice Discount</t>
  </si>
  <si>
    <t>GRF Incent</t>
  </si>
  <si>
    <t>Total Incent</t>
  </si>
  <si>
    <t>CBL</t>
  </si>
  <si>
    <t>Tangail Zone</t>
  </si>
  <si>
    <t>National-1</t>
  </si>
  <si>
    <t>ERP-2</t>
  </si>
  <si>
    <t>Dhaka</t>
  </si>
  <si>
    <t>L101PJ140</t>
  </si>
  <si>
    <t>EV-210(H) Pongkhiraj</t>
  </si>
  <si>
    <t>Bagura Zone</t>
  </si>
  <si>
    <t>National-2</t>
  </si>
  <si>
    <t>ERP-1</t>
  </si>
  <si>
    <t>Rangpur</t>
  </si>
  <si>
    <t>L101GP131</t>
  </si>
  <si>
    <t>EV175T(H) Gaston Plus</t>
  </si>
  <si>
    <t>L101CB139</t>
  </si>
  <si>
    <t>EV-220(H) CBL2020</t>
  </si>
  <si>
    <t>Cumilla Zone</t>
  </si>
  <si>
    <t>L104ZR162</t>
  </si>
  <si>
    <t>TRB-190 Z Power</t>
  </si>
  <si>
    <t>Sylhet Zone</t>
  </si>
  <si>
    <t>L101SN134</t>
  </si>
  <si>
    <t>EV-250T(H) Sunrise Power</t>
  </si>
  <si>
    <t>M/S Shepon Motors</t>
  </si>
  <si>
    <t>Bhola Territory</t>
  </si>
  <si>
    <t>Barishal Zone</t>
  </si>
  <si>
    <t>Solar</t>
  </si>
  <si>
    <t>Jashore</t>
  </si>
  <si>
    <t>L102GT002</t>
  </si>
  <si>
    <t>GSB30 Gaston</t>
  </si>
  <si>
    <t>L101AP132</t>
  </si>
  <si>
    <t>EV180T(H) Alpha Plus</t>
  </si>
  <si>
    <t>L101TY136</t>
  </si>
  <si>
    <t>6DGA-200(H) Typhoon</t>
  </si>
  <si>
    <t>M/S Rifat Enterprise</t>
  </si>
  <si>
    <t>Water</t>
  </si>
  <si>
    <t>L116CP001</t>
  </si>
  <si>
    <t>DM WATER (5L) Confidence Plus</t>
  </si>
  <si>
    <t>Mymensingh Zone</t>
  </si>
  <si>
    <t>M/S Awlad Electronics</t>
  </si>
  <si>
    <t>Retail Zone OWN</t>
  </si>
  <si>
    <t>National-Retail OWN</t>
  </si>
  <si>
    <t>L101BK217</t>
  </si>
  <si>
    <t>EV-250T(H.D) Banskhali King</t>
  </si>
  <si>
    <t>L104GP064</t>
  </si>
  <si>
    <t>TRB170 Gaston Plus</t>
  </si>
  <si>
    <t>Chattogram Zone</t>
  </si>
  <si>
    <t>L104KI109</t>
  </si>
  <si>
    <t>MISHUK-220 Kingshuk Power</t>
  </si>
  <si>
    <t>L104ZP117</t>
  </si>
  <si>
    <t>MISHUK-220-A+ Zodiac Power</t>
  </si>
  <si>
    <t>L104MK140</t>
  </si>
  <si>
    <t>MODEL-400 Mishuk King</t>
  </si>
  <si>
    <t>L101GT003</t>
  </si>
  <si>
    <t>ET140T- L Gaston</t>
  </si>
  <si>
    <t>Rangpur Zone</t>
  </si>
  <si>
    <t>Dinajpur</t>
  </si>
  <si>
    <t>L101KI141</t>
  </si>
  <si>
    <t>6DGA-225(H) Kingshuk Power</t>
  </si>
  <si>
    <t>L101DT220</t>
  </si>
  <si>
    <t>6DGA-225T Dimitris</t>
  </si>
  <si>
    <t>Jashore Zone</t>
  </si>
  <si>
    <t>M/S Modina Battery House</t>
  </si>
  <si>
    <t>IPS</t>
  </si>
  <si>
    <t>L105GM016</t>
  </si>
  <si>
    <t>SPB165T Gaston Premium</t>
  </si>
  <si>
    <t>L105GM017</t>
  </si>
  <si>
    <t>SPB200T Gaston Premium</t>
  </si>
  <si>
    <t>L101ZR226</t>
  </si>
  <si>
    <t>6DGA-225(H) Z Power</t>
  </si>
  <si>
    <t>L104TS164</t>
  </si>
  <si>
    <t>TRB480 Target Plus</t>
  </si>
  <si>
    <t>L101VM216</t>
  </si>
  <si>
    <t>EV230T Volt Master</t>
  </si>
  <si>
    <t>L101KB201</t>
  </si>
  <si>
    <t>6DGA-230A+(H) KB Power</t>
  </si>
  <si>
    <t>L101DT221</t>
  </si>
  <si>
    <t>6DGA-225T(H.D) Dimitris</t>
  </si>
  <si>
    <t>L101KI203</t>
  </si>
  <si>
    <t>6DGA-225(H.D) Kingshuk Power</t>
  </si>
  <si>
    <t>M/S Nazrul Mike &amp; Battery</t>
  </si>
  <si>
    <t>L105GP001</t>
  </si>
  <si>
    <t>TTB165 Gaston Plus</t>
  </si>
  <si>
    <t>M/S New Viddut Battery Hosue</t>
  </si>
  <si>
    <t>PC</t>
  </si>
  <si>
    <t>L106GT003</t>
  </si>
  <si>
    <t>L106GT002</t>
  </si>
  <si>
    <t>L106GT012</t>
  </si>
  <si>
    <t>NX120-7 Gaston</t>
  </si>
  <si>
    <t>Cox's Bazar</t>
  </si>
  <si>
    <t>M/S Al - Amin Battery House</t>
  </si>
  <si>
    <t>CV</t>
  </si>
  <si>
    <t>L103GT008</t>
  </si>
  <si>
    <t>CCV21 Gaston</t>
  </si>
  <si>
    <t>L103GT009</t>
  </si>
  <si>
    <t>CCV27 Gaston</t>
  </si>
  <si>
    <t>L101GM130</t>
  </si>
  <si>
    <t>EV200T Gaston Premium</t>
  </si>
  <si>
    <t>L101ZR232</t>
  </si>
  <si>
    <t>6DGA-225(H.D) Z Power</t>
  </si>
  <si>
    <t>L103GT007</t>
  </si>
  <si>
    <t>L101BN223</t>
  </si>
  <si>
    <t>6DGA-230-A+(H.D) Easy Bike King</t>
  </si>
  <si>
    <t>L105GP002</t>
  </si>
  <si>
    <t>TTB200 Gaston Plus</t>
  </si>
  <si>
    <t>M/S Roni Battery</t>
  </si>
  <si>
    <t>L104CB089</t>
  </si>
  <si>
    <t>TRB-210 CBL2020</t>
  </si>
  <si>
    <t>M/S Rashed Enterprise</t>
  </si>
  <si>
    <t>L101GP212</t>
  </si>
  <si>
    <t>EV175T(H.D) Gaston Plus</t>
  </si>
  <si>
    <t>L101TS227</t>
  </si>
  <si>
    <t>EV-220 Target Plus</t>
  </si>
  <si>
    <t>L104PJ088</t>
  </si>
  <si>
    <t>TRB-200 Pongkhiraj</t>
  </si>
  <si>
    <t>L101BN222</t>
  </si>
  <si>
    <t>6-DGA-230-A+ Easy Bike King</t>
  </si>
  <si>
    <t>M/S Adib Alifa Auto &amp; Battery House</t>
  </si>
  <si>
    <t>L102GT033</t>
  </si>
  <si>
    <t>GSB100(1) Gaston</t>
  </si>
  <si>
    <t>L101ZP143</t>
  </si>
  <si>
    <t>6DGA-230A+(H) Zodiac Power</t>
  </si>
  <si>
    <t>L104AP165</t>
  </si>
  <si>
    <t>TRB-160 Alpha Plus</t>
  </si>
  <si>
    <t>L104VM149</t>
  </si>
  <si>
    <t>TRB210T Volt Master</t>
  </si>
  <si>
    <t>L104ZR151</t>
  </si>
  <si>
    <t>MISHUK-220 Z Power</t>
  </si>
  <si>
    <t>M/S Nirob Motors &amp; Battery</t>
  </si>
  <si>
    <t>M/S Shopon Battery House</t>
  </si>
  <si>
    <t>L102GT004</t>
  </si>
  <si>
    <t>GSB60 Gaston</t>
  </si>
  <si>
    <t>L104AP152</t>
  </si>
  <si>
    <t>TRB400 Alpha Plus</t>
  </si>
  <si>
    <t>M/S Ripon Tyre and Battery</t>
  </si>
  <si>
    <t>L103GT010</t>
  </si>
  <si>
    <t>CCV29 Gaston</t>
  </si>
  <si>
    <t>M/S Ukhiya Motors</t>
  </si>
  <si>
    <t>L102GT001</t>
  </si>
  <si>
    <t>GSB20 Gaston</t>
  </si>
  <si>
    <t>L102GT003</t>
  </si>
  <si>
    <t>GSB40 Gaston</t>
  </si>
  <si>
    <t>M/S Rajapur IPS &amp; Battery House</t>
  </si>
  <si>
    <t>L101AP209</t>
  </si>
  <si>
    <t>EV180T(H.D) Alpha Plus</t>
  </si>
  <si>
    <t>M/S Raisa Radia  Battery House</t>
  </si>
  <si>
    <t>M/S S.K. Enterprise</t>
  </si>
  <si>
    <t>L101VM218</t>
  </si>
  <si>
    <t>EV230T(H.D) Volt Master</t>
  </si>
  <si>
    <t>M/S Raju Battery</t>
  </si>
  <si>
    <t>L104TY168</t>
  </si>
  <si>
    <t>TRB400 Typhoon</t>
  </si>
  <si>
    <t>M/S Al - Barakah Battery &amp; Auto Parts</t>
  </si>
  <si>
    <t>L101CB224</t>
  </si>
  <si>
    <t>EV-220(H.D) CBL2020</t>
  </si>
  <si>
    <t>M/S Souro Power Electric</t>
  </si>
  <si>
    <t>Mr. Rezaul Karim, Honorable Chairman Sir</t>
  </si>
  <si>
    <t>M/S Banyan Distribution House</t>
  </si>
  <si>
    <t>Khulna Zone</t>
  </si>
  <si>
    <t>M/S Boalkhali Battery House</t>
  </si>
  <si>
    <t>M/S S.B. Energy</t>
  </si>
  <si>
    <t>L102GT007</t>
  </si>
  <si>
    <t>GSB130 Gaston</t>
  </si>
  <si>
    <t>L104TU146</t>
  </si>
  <si>
    <t>6TSN-1650 Tuffan</t>
  </si>
  <si>
    <t>M/S Anik Motors &amp; Battery</t>
  </si>
  <si>
    <t>M/S Khokon IPS &amp; Battery Center</t>
  </si>
  <si>
    <t>M/S Hemayetpur Battery House (C)</t>
  </si>
  <si>
    <t>M/S Monir Auto &amp; Battery House (C)</t>
  </si>
  <si>
    <t>M/S Anas Enterprise (C)</t>
  </si>
  <si>
    <t>M/S Al - Mokka Enterprise (C)</t>
  </si>
  <si>
    <t>M/S Shoshi Enterprise (C)</t>
  </si>
  <si>
    <t>M/S Shopon Battery House (C)</t>
  </si>
  <si>
    <t>M/S Shepon Motors (C)</t>
  </si>
  <si>
    <t>L101KB214</t>
  </si>
  <si>
    <t>6DGA-230A+(H.D) KB Power</t>
  </si>
  <si>
    <t>M/S Souro Power Electric (C)</t>
  </si>
  <si>
    <t>M/S Sardar Auto House (C)</t>
  </si>
  <si>
    <t>M/S Al - Barakah Battery &amp; Auto Parts (C)</t>
  </si>
  <si>
    <t>M/S S.K. Trading Corporation (C)</t>
  </si>
  <si>
    <t>L101BK200</t>
  </si>
  <si>
    <t>EV-250T(H) Banskhali King</t>
  </si>
  <si>
    <t>M/S Selim Battery House (C)</t>
  </si>
  <si>
    <t>M/S S.M. Imran Battery House (C)</t>
  </si>
  <si>
    <t>M/S Sadiq Enterprise (C)</t>
  </si>
  <si>
    <t>M/S Lamia Battery (C)</t>
  </si>
  <si>
    <t>M/S M.R. Enterprise- Dinajpur (C)</t>
  </si>
  <si>
    <t>M/S L D Poribahan &amp; Trading (C)</t>
  </si>
  <si>
    <t>M/S Supreme Auto (C)</t>
  </si>
  <si>
    <t>M/S Babul Enterprise (C)</t>
  </si>
  <si>
    <t>M/S Boalkhali Battery House (C)</t>
  </si>
  <si>
    <t>M/S S.K. Enterprise (C)</t>
  </si>
  <si>
    <t>L104RU161</t>
  </si>
  <si>
    <t>MISHUK-400T Power Run</t>
  </si>
  <si>
    <t>M/S Anik Motors &amp; Battery (C)</t>
  </si>
  <si>
    <t>M/S Bogura Auto Center (C)</t>
  </si>
  <si>
    <t>M/S Simanto Battery House (C)</t>
  </si>
  <si>
    <t>M/S Ripon Tyre and Battery (C)</t>
  </si>
  <si>
    <t>M/S Gazipur Battery House (C)</t>
  </si>
  <si>
    <t>M/S Sadia Enterprise (C)</t>
  </si>
  <si>
    <t>M/S Afifa Traders (C)</t>
  </si>
  <si>
    <t>M/S Bhai Bhai Auto Center (C)</t>
  </si>
  <si>
    <t>L101ZP204</t>
  </si>
  <si>
    <t>6DGA-230A+(H.D) Zodiac Power</t>
  </si>
  <si>
    <t>M/S Molla Battery House (C)</t>
  </si>
  <si>
    <t>M/S Satata Battery House (C)</t>
  </si>
  <si>
    <t>M/S Modina Cycle Store (C)</t>
  </si>
  <si>
    <t>M/S Sharif Battery House &amp; IPS Center (C)</t>
  </si>
  <si>
    <t>M/S Salman Auto and Battery (C)</t>
  </si>
  <si>
    <t>M/S Sajib Enterprise (C)</t>
  </si>
  <si>
    <t>L101SN202</t>
  </si>
  <si>
    <t>EV-250T(H.D) Sunrise Power</t>
  </si>
  <si>
    <t>M/S Banskhali Enterprise-Joldi (C)</t>
  </si>
  <si>
    <t>L104BK139</t>
  </si>
  <si>
    <t>TRB-215T Banskhali King</t>
  </si>
  <si>
    <t>M/S Adib Alifa Auto &amp; Battery House (C)</t>
  </si>
  <si>
    <t>M/S Islam Parts Store (C)</t>
  </si>
  <si>
    <t>M/S Maa Auto Workshop &amp; Battery Center (C)</t>
  </si>
  <si>
    <t>M/S New Mintu Motors (C)</t>
  </si>
  <si>
    <t>M/S S.S. Enterprise-Norshingdi (C)</t>
  </si>
  <si>
    <t>M/S S.B. Energy (C)</t>
  </si>
  <si>
    <t>M/S Doyal Battery (C)</t>
  </si>
  <si>
    <t>M/S Talukder Motors (C)</t>
  </si>
  <si>
    <t>M/S Samar Auto (C)</t>
  </si>
  <si>
    <t>M/S Jony Motors - Faridpur (C)</t>
  </si>
  <si>
    <t>M/S Takdir Battery &amp; Autos (C)</t>
  </si>
  <si>
    <t>M/S Lutfor Auto Battery House (C)</t>
  </si>
  <si>
    <t>M/S Khan Battery Recycling (C)</t>
  </si>
  <si>
    <t>M/S Arafat Enterprise (C)</t>
  </si>
  <si>
    <t>M/S J. S Battery House (C)</t>
  </si>
  <si>
    <t>M/S Khokon IPS &amp; Battery Center (C)</t>
  </si>
  <si>
    <t>M/S Tanjila Enterprise (C)</t>
  </si>
  <si>
    <t>M/S S. K. Battery House (C)</t>
  </si>
  <si>
    <t>L101TY213</t>
  </si>
  <si>
    <t>6DGA-200(H.D) Typhoon</t>
  </si>
  <si>
    <t>M/S New Dhaka Motors and Battery (C)</t>
  </si>
  <si>
    <t>M/S A.P.L. Auto House (C)</t>
  </si>
  <si>
    <t>L104SJ143</t>
  </si>
  <si>
    <t>CTC-440 SURJO</t>
  </si>
  <si>
    <t>M/S Bondhu Auto House (C)</t>
  </si>
  <si>
    <t>M/S Sompa Cycle Store (C)</t>
  </si>
  <si>
    <t>M/S Mohona Bike Center (C)</t>
  </si>
  <si>
    <t>M/S Farhan Auto (C)</t>
  </si>
  <si>
    <t>L101TS230</t>
  </si>
  <si>
    <t>EV-220(H.D) Target Plus</t>
  </si>
  <si>
    <t>M/S Battery House - Pabna (C)</t>
  </si>
  <si>
    <t>M/S Jhenaidah Bike Center  (C)</t>
  </si>
  <si>
    <t>M/S Shamim Battery &amp; Tyre House (C)</t>
  </si>
  <si>
    <t>M/S North Bengal Trading (C)</t>
  </si>
  <si>
    <t>M/S Saiful Motors (C)</t>
  </si>
  <si>
    <t>L104GP097</t>
  </si>
  <si>
    <t>TRB-160 Gaston Plus</t>
  </si>
  <si>
    <t>M/S Salman Auto and Battery-2 (C) ET Premium</t>
  </si>
  <si>
    <t>OEM</t>
  </si>
  <si>
    <t>M/S AISB Corporation (C)</t>
  </si>
  <si>
    <t>L201PE236</t>
  </si>
  <si>
    <t>6DGA-200A+ Power Master</t>
  </si>
  <si>
    <t>L201KJ237</t>
  </si>
  <si>
    <t>EV-220 Kim Jon</t>
  </si>
  <si>
    <t>L101PJ219</t>
  </si>
  <si>
    <t>EV-210(H.D) Pongkhiraj</t>
  </si>
  <si>
    <t>L101ZT235</t>
  </si>
  <si>
    <t>6DGA-230A+(H.D) Zodiac Power (ET04)</t>
  </si>
  <si>
    <t>M/S Mokka Motors-Cumilla (C)</t>
  </si>
  <si>
    <t>M/S Nazrul Battery Ghor &amp; Auto Part  (C)</t>
  </si>
  <si>
    <t>M/S Hasan Enterprise (C)</t>
  </si>
  <si>
    <t>M/S Mahbub Motors-Patuakhali (C)</t>
  </si>
  <si>
    <t>M/S New China Auto Traders (C)</t>
  </si>
  <si>
    <t>M/S Rashed Traders (C)</t>
  </si>
  <si>
    <t>M/S Sadia Auto Parts (C)</t>
  </si>
  <si>
    <t>ET Total</t>
  </si>
  <si>
    <t>After monthly &amp; Yearly</t>
  </si>
  <si>
    <t>Total Incentive after Monthly &amp; Yearly</t>
  </si>
  <si>
    <t>TRB</t>
  </si>
  <si>
    <t>Dealer Net Price Asper TSO/ZM</t>
  </si>
  <si>
    <t>Cash</t>
  </si>
  <si>
    <t>Monthly</t>
  </si>
  <si>
    <t>SP</t>
  </si>
  <si>
    <t>ID</t>
  </si>
  <si>
    <t>ERP
Status</t>
  </si>
  <si>
    <t>Dealer Type</t>
  </si>
  <si>
    <t>ET Regular</t>
  </si>
  <si>
    <t>ET Premium</t>
  </si>
  <si>
    <t xml:space="preserve">Monthly </t>
  </si>
  <si>
    <t>Yearly</t>
  </si>
  <si>
    <t>Monthly-End</t>
  </si>
  <si>
    <t>ET Total
Inc</t>
  </si>
  <si>
    <t>TRB Total
Inc</t>
  </si>
  <si>
    <t>Total 
Incentive</t>
  </si>
  <si>
    <t>Remarks</t>
  </si>
  <si>
    <t>ET
Reg</t>
  </si>
  <si>
    <t>ET
Pre</t>
  </si>
  <si>
    <t>Rickshaw Small</t>
  </si>
  <si>
    <t>Pre</t>
  </si>
  <si>
    <t>00496</t>
  </si>
  <si>
    <t>00495</t>
  </si>
  <si>
    <t>CASH</t>
  </si>
  <si>
    <t>01453</t>
  </si>
  <si>
    <t>01470</t>
  </si>
  <si>
    <t>00833</t>
  </si>
  <si>
    <t>REGULAR</t>
  </si>
  <si>
    <t>00739</t>
  </si>
  <si>
    <t>00419</t>
  </si>
  <si>
    <t>00420</t>
  </si>
  <si>
    <t>01170</t>
  </si>
  <si>
    <t>00988</t>
  </si>
  <si>
    <t>01448</t>
  </si>
  <si>
    <t>01368</t>
  </si>
  <si>
    <t>01441</t>
  </si>
  <si>
    <t>01341</t>
  </si>
  <si>
    <t>00471</t>
  </si>
  <si>
    <t>00842</t>
  </si>
  <si>
    <t>01385</t>
  </si>
  <si>
    <t>01401</t>
  </si>
  <si>
    <t>01147</t>
  </si>
  <si>
    <t>00336</t>
  </si>
  <si>
    <t>00329</t>
  </si>
  <si>
    <t>00373</t>
  </si>
  <si>
    <t>00325</t>
  </si>
  <si>
    <t>00371</t>
  </si>
  <si>
    <t>00324</t>
  </si>
  <si>
    <t>01118</t>
  </si>
  <si>
    <t>00615</t>
  </si>
  <si>
    <t>01564</t>
  </si>
  <si>
    <t>01499</t>
  </si>
  <si>
    <t>01352</t>
  </si>
  <si>
    <t>01112</t>
  </si>
  <si>
    <t>00094</t>
  </si>
  <si>
    <t>00088</t>
  </si>
  <si>
    <t>01429</t>
  </si>
  <si>
    <t>00217</t>
  </si>
  <si>
    <t>00159</t>
  </si>
  <si>
    <t>00814</t>
  </si>
  <si>
    <t>00138</t>
  </si>
  <si>
    <t>01130</t>
  </si>
  <si>
    <t>00823</t>
  </si>
  <si>
    <t>01149</t>
  </si>
  <si>
    <t>00334</t>
  </si>
  <si>
    <t>00337</t>
  </si>
  <si>
    <t>01152</t>
  </si>
  <si>
    <t>01248</t>
  </si>
  <si>
    <t>01604</t>
  </si>
  <si>
    <t>01261</t>
  </si>
  <si>
    <t>01362</t>
  </si>
  <si>
    <t>00367</t>
  </si>
  <si>
    <t>00160</t>
  </si>
  <si>
    <t>00618</t>
  </si>
  <si>
    <t>00617</t>
  </si>
  <si>
    <t>01057</t>
  </si>
  <si>
    <t>01493</t>
  </si>
  <si>
    <t>00622</t>
  </si>
  <si>
    <t>01435</t>
  </si>
  <si>
    <t>01249</t>
  </si>
  <si>
    <t>00165</t>
  </si>
  <si>
    <t>00163</t>
  </si>
  <si>
    <t>00133</t>
  </si>
  <si>
    <t>00143</t>
  </si>
  <si>
    <t>00134</t>
  </si>
  <si>
    <t>01466</t>
  </si>
  <si>
    <t>01450</t>
  </si>
  <si>
    <t>00827</t>
  </si>
  <si>
    <t>00315</t>
  </si>
  <si>
    <t>01250</t>
  </si>
  <si>
    <t>01487</t>
  </si>
  <si>
    <t>00537</t>
  </si>
  <si>
    <t>01588</t>
  </si>
  <si>
    <t>00562</t>
  </si>
  <si>
    <t>00561</t>
  </si>
  <si>
    <t>00846</t>
  </si>
  <si>
    <t>01581</t>
  </si>
  <si>
    <t>01391</t>
  </si>
  <si>
    <t>01356</t>
  </si>
  <si>
    <t>01508</t>
  </si>
  <si>
    <t>01503</t>
  </si>
  <si>
    <t>01395</t>
  </si>
  <si>
    <t>01355</t>
  </si>
  <si>
    <t>00415</t>
  </si>
  <si>
    <t>00398</t>
  </si>
  <si>
    <t>00388</t>
  </si>
  <si>
    <t>01108</t>
  </si>
  <si>
    <t>00410</t>
  </si>
  <si>
    <t>00387</t>
  </si>
  <si>
    <t>01175</t>
  </si>
  <si>
    <t>01088</t>
  </si>
  <si>
    <t>01404</t>
  </si>
  <si>
    <t>00001</t>
  </si>
  <si>
    <t>Total Ins</t>
  </si>
  <si>
    <t>ET Pre</t>
  </si>
  <si>
    <t>Total SP
Incentive</t>
  </si>
  <si>
    <t>15pcs TRB Tuffan</t>
  </si>
  <si>
    <t>Territory</t>
  </si>
  <si>
    <t>Dealer
 Code</t>
  </si>
  <si>
    <t>ERP 
Status</t>
  </si>
  <si>
    <t>ET Regular
 Qty.</t>
  </si>
  <si>
    <t>ET
Rate</t>
  </si>
  <si>
    <t>ET Premium
 Qty.</t>
  </si>
  <si>
    <t>TRB
Rate</t>
  </si>
  <si>
    <t>Grand 
Total</t>
  </si>
  <si>
    <t>Invoice Amount
(Software)</t>
  </si>
  <si>
    <t>Actual Total Value 
Conversion</t>
  </si>
  <si>
    <t>Adjustment 
Value Tk</t>
  </si>
  <si>
    <t>01468</t>
  </si>
  <si>
    <t>3900 &amp; 2650</t>
  </si>
  <si>
    <t>TRB 120</t>
  </si>
  <si>
    <t>01497</t>
  </si>
  <si>
    <t>01535</t>
  </si>
  <si>
    <t>01600</t>
  </si>
  <si>
    <t>01545</t>
  </si>
  <si>
    <t>Faridpur Territory</t>
  </si>
  <si>
    <t>01454</t>
  </si>
  <si>
    <t>01562</t>
  </si>
  <si>
    <t>01547</t>
  </si>
  <si>
    <t>01511</t>
  </si>
  <si>
    <t>01523</t>
  </si>
  <si>
    <t>01569</t>
  </si>
  <si>
    <t>01575</t>
  </si>
  <si>
    <t>01602</t>
  </si>
  <si>
    <t>01439</t>
  </si>
  <si>
    <t>01428</t>
  </si>
  <si>
    <t>01325</t>
  </si>
  <si>
    <t>01438</t>
  </si>
  <si>
    <t>01320</t>
  </si>
  <si>
    <t>01455</t>
  </si>
  <si>
    <t>01312</t>
  </si>
  <si>
    <t>01550</t>
  </si>
  <si>
    <t>01326</t>
  </si>
  <si>
    <t>01313</t>
  </si>
  <si>
    <t>01305</t>
  </si>
  <si>
    <t>01444</t>
  </si>
  <si>
    <t>01306</t>
  </si>
  <si>
    <t>01481</t>
  </si>
  <si>
    <t>01331</t>
  </si>
  <si>
    <t>01353</t>
  </si>
  <si>
    <t>01577</t>
  </si>
  <si>
    <t>01520</t>
  </si>
  <si>
    <t>01553</t>
  </si>
  <si>
    <t>01290</t>
  </si>
  <si>
    <t>01549</t>
  </si>
  <si>
    <t>01289</t>
  </si>
  <si>
    <t>01323</t>
  </si>
  <si>
    <t>01288</t>
  </si>
  <si>
    <t>01335</t>
  </si>
  <si>
    <t>01308</t>
  </si>
  <si>
    <t>01515</t>
  </si>
  <si>
    <t>01536</t>
  </si>
  <si>
    <t>01534</t>
  </si>
  <si>
    <t>01599</t>
  </si>
  <si>
    <t>01533</t>
  </si>
  <si>
    <t>01498</t>
  </si>
  <si>
    <t>01540</t>
  </si>
  <si>
    <t>01345</t>
  </si>
  <si>
    <t>01484</t>
  </si>
  <si>
    <t>01292</t>
  </si>
  <si>
    <t>01594</t>
  </si>
  <si>
    <t>01522</t>
  </si>
  <si>
    <t>01471</t>
  </si>
  <si>
    <t>01517</t>
  </si>
  <si>
    <t>01298</t>
  </si>
  <si>
    <t>01299</t>
  </si>
  <si>
    <t>01300</t>
  </si>
  <si>
    <t>01315</t>
  </si>
  <si>
    <t>01606</t>
  </si>
  <si>
    <t>01603</t>
  </si>
  <si>
    <t>01563</t>
  </si>
  <si>
    <t>01566</t>
  </si>
  <si>
    <t>01552</t>
  </si>
  <si>
    <t>01537</t>
  </si>
  <si>
    <t>01592</t>
  </si>
  <si>
    <t>01551</t>
  </si>
  <si>
    <t>01478</t>
  </si>
  <si>
    <t>01282</t>
  </si>
  <si>
    <t>01519</t>
  </si>
  <si>
    <t>01596</t>
  </si>
  <si>
    <t>01554</t>
  </si>
  <si>
    <t>01557</t>
  </si>
  <si>
    <t>01530</t>
  </si>
  <si>
    <t>01491</t>
  </si>
  <si>
    <t>01593</t>
  </si>
  <si>
    <t>Based upon target prices these are being adjusted.</t>
  </si>
  <si>
    <t>Price</t>
  </si>
  <si>
    <t>5500/-</t>
  </si>
  <si>
    <t>5700/-</t>
  </si>
  <si>
    <t>4500/-</t>
  </si>
  <si>
    <t>3000/-</t>
  </si>
  <si>
    <t>GSB20
 Gaston</t>
  </si>
  <si>
    <t>GSB30
 Gaston</t>
  </si>
  <si>
    <t>GSB40 
Gaston</t>
  </si>
  <si>
    <t>GSB60 
Gaston</t>
  </si>
  <si>
    <t>GSB100(1) 
Gaston</t>
  </si>
  <si>
    <t>GSB130
 Gaston</t>
  </si>
  <si>
    <t>Solar
 Total QTY</t>
  </si>
  <si>
    <t>Total Incentive 
(TK)</t>
  </si>
  <si>
    <t>01284</t>
  </si>
  <si>
    <t>00749</t>
  </si>
  <si>
    <t>00740</t>
  </si>
  <si>
    <t>01285</t>
  </si>
  <si>
    <t>SPB-165</t>
  </si>
  <si>
    <t>SPB-200</t>
  </si>
  <si>
    <t>TTB-165</t>
  </si>
  <si>
    <t>TTB-200</t>
  </si>
  <si>
    <t>Offer</t>
  </si>
  <si>
    <t>SPB165T
 Gaston Premium</t>
  </si>
  <si>
    <t>SPB200T 
Gaston Premium</t>
  </si>
  <si>
    <t>TTB165
 Gaston Plus</t>
  </si>
  <si>
    <t>TTB200
 Gaston Plus</t>
  </si>
  <si>
    <t>IPS 
Total  QTY</t>
  </si>
  <si>
    <t>00519</t>
  </si>
  <si>
    <t>S.P</t>
  </si>
  <si>
    <t>01605</t>
  </si>
  <si>
    <t>00441</t>
  </si>
  <si>
    <t>00845</t>
  </si>
  <si>
    <t>01262</t>
  </si>
  <si>
    <t>01400</t>
  </si>
  <si>
    <t>00087</t>
  </si>
  <si>
    <t>00141</t>
  </si>
  <si>
    <t>01485</t>
  </si>
  <si>
    <t>01379</t>
  </si>
  <si>
    <t>Slab</t>
  </si>
  <si>
    <t>1-2</t>
  </si>
  <si>
    <t>2-3</t>
  </si>
  <si>
    <t>3-4</t>
  </si>
  <si>
    <t>CCV17 
Gaston</t>
  </si>
  <si>
    <t>CCV21 
Gaston</t>
  </si>
  <si>
    <t>CCV27 
Gaston</t>
  </si>
  <si>
    <t>CCV29 
Gaston</t>
  </si>
  <si>
    <t>NS40ZL 
Gaston</t>
  </si>
  <si>
    <t>NS60L 
Gaston</t>
  </si>
  <si>
    <t>NX120-7 
Gaston</t>
  </si>
  <si>
    <t>Grand Total
QTY</t>
  </si>
  <si>
    <t>Sales Value</t>
  </si>
  <si>
    <t>00867</t>
  </si>
  <si>
    <t>00647</t>
  </si>
  <si>
    <t>01476</t>
  </si>
  <si>
    <t>01486</t>
  </si>
  <si>
    <t>00400</t>
  </si>
  <si>
    <t>00002</t>
  </si>
  <si>
    <t>D</t>
  </si>
  <si>
    <t>Sum of TK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</si>
</sst>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0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11" borderId="11" applyNumberFormat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2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178" fontId="0" fillId="0" borderId="0" xfId="1" applyNumberFormat="1" applyAlignment="1">
      <alignment horizontal="center" vertical="center"/>
    </xf>
    <xf numFmtId="178" fontId="0" fillId="0" borderId="0" xfId="1" applyNumberForma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2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178" fontId="0" fillId="0" borderId="1" xfId="1" applyNumberForma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78" fontId="3" fillId="2" borderId="1" xfId="1" applyNumberFormat="1" applyFont="1" applyFill="1" applyBorder="1">
      <alignment vertical="center"/>
    </xf>
    <xf numFmtId="178" fontId="0" fillId="3" borderId="1" xfId="1" applyNumberFormat="1" applyFill="1" applyBorder="1">
      <alignment vertical="center"/>
    </xf>
    <xf numFmtId="178" fontId="0" fillId="0" borderId="1" xfId="1" applyNumberForma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178" fontId="3" fillId="5" borderId="1" xfId="1" applyNumberFormat="1" applyFont="1" applyFill="1" applyBorder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178" fontId="4" fillId="0" borderId="2" xfId="1" applyNumberFormat="1" applyFont="1" applyFill="1" applyBorder="1" applyAlignment="1">
      <alignment horizontal="center" vertical="center"/>
    </xf>
    <xf numFmtId="178" fontId="4" fillId="0" borderId="0" xfId="1" applyNumberFormat="1" applyFont="1" applyFill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178" fontId="0" fillId="0" borderId="1" xfId="0" applyNumberFormat="1" applyBorder="1">
      <alignment vertical="center"/>
    </xf>
    <xf numFmtId="0" fontId="3" fillId="2" borderId="1" xfId="0" applyNumberFormat="1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8" fontId="3" fillId="4" borderId="1" xfId="0" applyNumberFormat="1" applyFont="1" applyFill="1" applyBorder="1">
      <alignment vertical="center"/>
    </xf>
    <xf numFmtId="178" fontId="7" fillId="0" borderId="1" xfId="1" applyNumberFormat="1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/>
    </xf>
    <xf numFmtId="178" fontId="0" fillId="0" borderId="0" xfId="0" applyNumberFormat="1">
      <alignment vertical="center"/>
    </xf>
    <xf numFmtId="178" fontId="0" fillId="0" borderId="1" xfId="1" applyNumberFormat="1" applyBorder="1" applyAlignment="1">
      <alignment horizontal="center" vertical="center" wrapText="1"/>
    </xf>
    <xf numFmtId="178" fontId="4" fillId="0" borderId="2" xfId="1" applyNumberFormat="1" applyFont="1" applyFill="1" applyBorder="1" applyAlignment="1">
      <alignment vertical="center"/>
    </xf>
    <xf numFmtId="178" fontId="4" fillId="0" borderId="0" xfId="1" applyNumberFormat="1" applyFont="1" applyFill="1" applyAlignment="1">
      <alignment vertical="center"/>
    </xf>
    <xf numFmtId="178" fontId="3" fillId="4" borderId="1" xfId="1" applyNumberFormat="1" applyFont="1" applyFill="1" applyBorder="1">
      <alignment vertical="center"/>
    </xf>
    <xf numFmtId="0" fontId="5" fillId="0" borderId="0" xfId="0" applyFont="1" applyFill="1">
      <alignment vertical="center"/>
    </xf>
    <xf numFmtId="0" fontId="5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8" fontId="5" fillId="0" borderId="1" xfId="1" applyNumberFormat="1" applyFont="1" applyFill="1" applyBorder="1" applyAlignment="1">
      <alignment horizontal="center" vertical="center" wrapText="1"/>
    </xf>
    <xf numFmtId="178" fontId="5" fillId="6" borderId="1" xfId="1" applyNumberFormat="1" applyFont="1" applyFill="1" applyBorder="1" applyAlignment="1">
      <alignment horizontal="center" vertical="center" wrapText="1"/>
    </xf>
    <xf numFmtId="0" fontId="5" fillId="0" borderId="1" xfId="0" applyFont="1" applyFill="1" applyBorder="1">
      <alignment vertical="center"/>
    </xf>
    <xf numFmtId="178" fontId="0" fillId="7" borderId="1" xfId="1" applyNumberFormat="1" applyFill="1" applyBorder="1">
      <alignment vertical="center"/>
    </xf>
    <xf numFmtId="178" fontId="0" fillId="0" borderId="1" xfId="1" applyNumberFormat="1" applyBorder="1" applyAlignment="1">
      <alignment horizontal="center" vertical="center"/>
    </xf>
    <xf numFmtId="178" fontId="0" fillId="0" borderId="1" xfId="1" applyNumberForma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8" fontId="3" fillId="0" borderId="1" xfId="1" applyNumberFormat="1" applyFont="1" applyBorder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/>
    <xf numFmtId="0" fontId="0" fillId="0" borderId="0" xfId="0" applyFill="1">
      <alignment vertical="center"/>
    </xf>
    <xf numFmtId="178" fontId="0" fillId="0" borderId="3" xfId="1" applyNumberFormat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178" fontId="0" fillId="0" borderId="3" xfId="1" applyNumberFormat="1" applyFill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8" fontId="0" fillId="2" borderId="1" xfId="0" applyNumberFormat="1" applyFill="1" applyBorder="1">
      <alignment vertical="center"/>
    </xf>
    <xf numFmtId="178" fontId="0" fillId="0" borderId="1" xfId="0" applyNumberFormat="1" applyFill="1" applyBorder="1">
      <alignment vertical="center"/>
    </xf>
    <xf numFmtId="178" fontId="0" fillId="0" borderId="0" xfId="1" applyNumberFormat="1" applyBorder="1" applyAlignment="1">
      <alignment horizontal="center" vertical="center"/>
    </xf>
    <xf numFmtId="178" fontId="0" fillId="0" borderId="0" xfId="1" applyNumberFormat="1" applyFill="1" applyAlignment="1">
      <alignment horizontal="center" vertical="center"/>
    </xf>
    <xf numFmtId="178" fontId="3" fillId="8" borderId="0" xfId="1" applyNumberFormat="1" applyFont="1" applyFill="1" applyAlignment="1">
      <alignment horizontal="center" vertical="center"/>
    </xf>
    <xf numFmtId="178" fontId="3" fillId="4" borderId="1" xfId="1" applyNumberFormat="1" applyFont="1" applyFill="1" applyBorder="1" applyAlignment="1">
      <alignment horizontal="center" vertical="center" wrapText="1"/>
    </xf>
    <xf numFmtId="178" fontId="0" fillId="0" borderId="1" xfId="1" applyNumberFormat="1" applyFont="1" applyFill="1" applyBorder="1" applyAlignment="1">
      <alignment horizontal="center" vertical="center" wrapText="1"/>
    </xf>
    <xf numFmtId="178" fontId="0" fillId="0" borderId="0" xfId="1" applyNumberFormat="1" applyFill="1">
      <alignment vertical="center"/>
    </xf>
    <xf numFmtId="178" fontId="8" fillId="0" borderId="1" xfId="1" applyNumberFormat="1" applyFont="1" applyFill="1" applyBorder="1" applyAlignment="1" applyProtection="1">
      <alignment horizontal="center" vertical="center"/>
      <protection locked="0"/>
    </xf>
    <xf numFmtId="178" fontId="0" fillId="0" borderId="0" xfId="0" applyNumberFormat="1" applyFill="1">
      <alignment vertical="center"/>
    </xf>
    <xf numFmtId="0" fontId="3" fillId="8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8" fontId="3" fillId="5" borderId="3" xfId="1" applyNumberFormat="1" applyFont="1" applyFill="1" applyBorder="1">
      <alignment vertical="center"/>
    </xf>
    <xf numFmtId="178" fontId="3" fillId="4" borderId="0" xfId="1" applyNumberFormat="1" applyFont="1" applyFill="1">
      <alignment vertical="center"/>
    </xf>
    <xf numFmtId="0" fontId="1" fillId="0" borderId="1" xfId="0" applyFont="1" applyBorder="1" applyAlignment="1">
      <alignment vertical="center"/>
    </xf>
    <xf numFmtId="0" fontId="0" fillId="8" borderId="0" xfId="0" applyFill="1">
      <alignment vertical="center"/>
    </xf>
    <xf numFmtId="0" fontId="0" fillId="8" borderId="1" xfId="0" applyFill="1" applyBorder="1">
      <alignment vertical="center"/>
    </xf>
    <xf numFmtId="0" fontId="5" fillId="8" borderId="1" xfId="0" applyFont="1" applyFill="1" applyBorder="1">
      <alignment vertical="center"/>
    </xf>
    <xf numFmtId="178" fontId="0" fillId="8" borderId="1" xfId="1" applyNumberFormat="1" applyFill="1" applyBorder="1">
      <alignment vertical="center"/>
    </xf>
    <xf numFmtId="178" fontId="0" fillId="8" borderId="3" xfId="1" applyNumberFormat="1" applyFill="1" applyBorder="1">
      <alignment vertical="center"/>
    </xf>
    <xf numFmtId="178" fontId="0" fillId="8" borderId="1" xfId="0" applyNumberFormat="1" applyFill="1" applyBorder="1">
      <alignment vertical="center"/>
    </xf>
    <xf numFmtId="178" fontId="0" fillId="8" borderId="0" xfId="1" applyNumberFormat="1" applyFill="1">
      <alignment vertical="center"/>
    </xf>
    <xf numFmtId="178" fontId="3" fillId="6" borderId="0" xfId="0" applyNumberFormat="1" applyFont="1" applyFill="1">
      <alignment vertical="center"/>
    </xf>
    <xf numFmtId="178" fontId="0" fillId="8" borderId="0" xfId="0" applyNumberFormat="1" applyFill="1">
      <alignment vertical="center"/>
    </xf>
    <xf numFmtId="15" fontId="0" fillId="0" borderId="0" xfId="0" applyNumberFormat="1">
      <alignment vertical="center"/>
    </xf>
    <xf numFmtId="0" fontId="0" fillId="2" borderId="0" xfId="0" applyFill="1">
      <alignment vertical="center"/>
    </xf>
    <xf numFmtId="15" fontId="0" fillId="2" borderId="0" xfId="0" applyNumberFormat="1" applyFill="1">
      <alignment vertical="center"/>
    </xf>
    <xf numFmtId="0" fontId="0" fillId="0" borderId="1" xfId="0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alignment horizontal="center"/>
    </dxf>
    <dxf>
      <alignment horizontal="center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1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525145</xdr:colOff>
      <xdr:row>84</xdr:row>
      <xdr:rowOff>7620</xdr:rowOff>
    </xdr:from>
    <xdr:to>
      <xdr:col>11</xdr:col>
      <xdr:colOff>651510</xdr:colOff>
      <xdr:row>85</xdr:row>
      <xdr:rowOff>115570</xdr:rowOff>
    </xdr:to>
    <xdr:grpSp>
      <xdr:nvGrpSpPr>
        <xdr:cNvPr id="2" name="Group 1"/>
        <xdr:cNvGrpSpPr/>
      </xdr:nvGrpSpPr>
      <xdr:grpSpPr>
        <a:xfrm>
          <a:off x="6598285" y="15712440"/>
          <a:ext cx="1376045" cy="290830"/>
          <a:chOff x="-81511" y="47877810"/>
          <a:chExt cx="1833619" cy="274615"/>
        </a:xfrm>
      </xdr:grpSpPr>
      <xdr:sp>
        <xdr:nvSpPr>
          <xdr:cNvPr id="3" name="TextBox 14"/>
          <xdr:cNvSpPr txBox="1"/>
        </xdr:nvSpPr>
        <xdr:spPr>
          <a:xfrm>
            <a:off x="-81511" y="47877810"/>
            <a:ext cx="1821474" cy="2746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      </a:t>
            </a:r>
            <a:r>
              <a:rPr lang="en-US" sz="12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Approved</a:t>
            </a:r>
            <a:r>
              <a:rPr 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By</a:t>
            </a:r>
            <a:endParaRPr lang="en-US" sz="1200">
              <a:effectLst/>
            </a:endParaRPr>
          </a:p>
        </xdr:txBody>
      </xdr:sp>
      <xdr:cxnSp>
        <xdr:nvCxnSpPr>
          <xdr:cNvPr id="4" name="Straight Connector 3"/>
          <xdr:cNvCxnSpPr/>
        </xdr:nvCxnSpPr>
        <xdr:spPr>
          <a:xfrm>
            <a:off x="90716" y="47893399"/>
            <a:ext cx="1661392" cy="4797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1524000</xdr:colOff>
      <xdr:row>84</xdr:row>
      <xdr:rowOff>7620</xdr:rowOff>
    </xdr:from>
    <xdr:to>
      <xdr:col>4</xdr:col>
      <xdr:colOff>28575</xdr:colOff>
      <xdr:row>85</xdr:row>
      <xdr:rowOff>78105</xdr:rowOff>
    </xdr:to>
    <xdr:grpSp>
      <xdr:nvGrpSpPr>
        <xdr:cNvPr id="5" name="Group 4"/>
        <xdr:cNvGrpSpPr/>
      </xdr:nvGrpSpPr>
      <xdr:grpSpPr>
        <a:xfrm>
          <a:off x="2796540" y="15712440"/>
          <a:ext cx="2070735" cy="253365"/>
          <a:chOff x="-1060995" y="47914832"/>
          <a:chExt cx="2318772" cy="253506"/>
        </a:xfrm>
      </xdr:grpSpPr>
      <xdr:sp>
        <xdr:nvSpPr>
          <xdr:cNvPr id="6" name="TextBox 17"/>
          <xdr:cNvSpPr txBox="1"/>
        </xdr:nvSpPr>
        <xdr:spPr>
          <a:xfrm>
            <a:off x="-1060995" y="47914832"/>
            <a:ext cx="2318772" cy="2535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                     Prepared By</a:t>
            </a:r>
            <a:endParaRPr lang="en-US" sz="1400">
              <a:effectLst/>
            </a:endParaRPr>
          </a:p>
        </xdr:txBody>
      </xdr:sp>
      <xdr:cxnSp>
        <xdr:nvCxnSpPr>
          <xdr:cNvPr id="7" name="Straight Connector 6"/>
          <xdr:cNvCxnSpPr/>
        </xdr:nvCxnSpPr>
        <xdr:spPr>
          <a:xfrm>
            <a:off x="-169860" y="47930092"/>
            <a:ext cx="985323" cy="6354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372745</xdr:colOff>
      <xdr:row>84</xdr:row>
      <xdr:rowOff>15240</xdr:rowOff>
    </xdr:from>
    <xdr:to>
      <xdr:col>8</xdr:col>
      <xdr:colOff>332740</xdr:colOff>
      <xdr:row>85</xdr:row>
      <xdr:rowOff>85725</xdr:rowOff>
    </xdr:to>
    <xdr:grpSp>
      <xdr:nvGrpSpPr>
        <xdr:cNvPr id="8" name="Group 7"/>
        <xdr:cNvGrpSpPr/>
      </xdr:nvGrpSpPr>
      <xdr:grpSpPr>
        <a:xfrm>
          <a:off x="4335145" y="15720060"/>
          <a:ext cx="2070735" cy="253365"/>
          <a:chOff x="-594275" y="47914832"/>
          <a:chExt cx="1629513" cy="253506"/>
        </a:xfrm>
      </xdr:grpSpPr>
      <xdr:sp>
        <xdr:nvSpPr>
          <xdr:cNvPr id="9" name="TextBox 17"/>
          <xdr:cNvSpPr txBox="1"/>
        </xdr:nvSpPr>
        <xdr:spPr>
          <a:xfrm>
            <a:off x="-594275" y="47914832"/>
            <a:ext cx="1629513" cy="2535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                         Checked By</a:t>
            </a:r>
            <a:endParaRPr lang="en-US" sz="1400">
              <a:effectLst/>
            </a:endParaRPr>
          </a:p>
        </xdr:txBody>
      </xdr:sp>
      <xdr:cxnSp>
        <xdr:nvCxnSpPr>
          <xdr:cNvPr id="10" name="Straight Connector 9"/>
          <xdr:cNvCxnSpPr/>
        </xdr:nvCxnSpPr>
        <xdr:spPr>
          <a:xfrm>
            <a:off x="-1727" y="47914843"/>
            <a:ext cx="875639" cy="7624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1607820</xdr:colOff>
      <xdr:row>23</xdr:row>
      <xdr:rowOff>7620</xdr:rowOff>
    </xdr:from>
    <xdr:to>
      <xdr:col>3</xdr:col>
      <xdr:colOff>160020</xdr:colOff>
      <xdr:row>24</xdr:row>
      <xdr:rowOff>127635</xdr:rowOff>
    </xdr:to>
    <xdr:grpSp>
      <xdr:nvGrpSpPr>
        <xdr:cNvPr id="2" name="Group 7"/>
        <xdr:cNvGrpSpPr/>
      </xdr:nvGrpSpPr>
      <xdr:grpSpPr>
        <a:xfrm>
          <a:off x="1607820" y="3848100"/>
          <a:ext cx="1363980" cy="302895"/>
          <a:chOff x="-96658" y="47887735"/>
          <a:chExt cx="1848407" cy="315935"/>
        </a:xfrm>
      </xdr:grpSpPr>
      <xdr:sp>
        <xdr:nvSpPr>
          <xdr:cNvPr id="3" name="TextBox 17"/>
          <xdr:cNvSpPr txBox="1"/>
        </xdr:nvSpPr>
        <xdr:spPr>
          <a:xfrm>
            <a:off x="-96658" y="47900320"/>
            <a:ext cx="1848407" cy="3033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b="1" kern="1200">
                <a:solidFill>
                  <a:srgbClr val="000000"/>
                </a:solidFill>
                <a:latin typeface="Calibri" panose="020F0502020204030204"/>
                <a:ea typeface="等线"/>
                <a:cs typeface="Times New Roman" panose="02020603050405020304" pitchFamily="12"/>
                <a:sym typeface="Times New Roman" panose="02020603050405020304" pitchFamily="12"/>
              </a:rPr>
              <a:t>           Prepared By</a:t>
            </a:r>
            <a:endParaRPr lang="en-US" altLang="zh-CN" sz="1200" kern="100">
              <a:latin typeface="Calibri" panose="020F0502020204030204"/>
              <a:ea typeface="等线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cxnSp>
        <xdr:nvCxnSpPr>
          <xdr:cNvPr id="4" name="Straight Connector 9"/>
          <xdr:cNvCxnSpPr/>
        </xdr:nvCxnSpPr>
        <xdr:spPr>
          <a:xfrm flipV="1">
            <a:off x="183977" y="47887735"/>
            <a:ext cx="1470791" cy="13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346710</xdr:colOff>
      <xdr:row>23</xdr:row>
      <xdr:rowOff>7620</xdr:rowOff>
    </xdr:from>
    <xdr:to>
      <xdr:col>16</xdr:col>
      <xdr:colOff>698500</xdr:colOff>
      <xdr:row>24</xdr:row>
      <xdr:rowOff>100330</xdr:rowOff>
    </xdr:to>
    <xdr:grpSp>
      <xdr:nvGrpSpPr>
        <xdr:cNvPr id="5" name="Group 7"/>
        <xdr:cNvGrpSpPr/>
      </xdr:nvGrpSpPr>
      <xdr:grpSpPr>
        <a:xfrm>
          <a:off x="6396990" y="3848100"/>
          <a:ext cx="1776730" cy="275590"/>
          <a:chOff x="-96658" y="47904337"/>
          <a:chExt cx="1346808" cy="295180"/>
        </a:xfrm>
      </xdr:grpSpPr>
      <xdr:sp>
        <xdr:nvSpPr>
          <xdr:cNvPr id="6" name="TextBox 17"/>
          <xdr:cNvSpPr txBox="1"/>
        </xdr:nvSpPr>
        <xdr:spPr>
          <a:xfrm>
            <a:off x="-96658" y="47904337"/>
            <a:ext cx="1346808" cy="2951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b="1" kern="1200">
                <a:solidFill>
                  <a:srgbClr val="000000"/>
                </a:solidFill>
                <a:latin typeface="Calibri" panose="020F0502020204030204"/>
                <a:ea typeface="等线"/>
                <a:cs typeface="Times New Roman" panose="02020603050405020304" pitchFamily="12"/>
                <a:sym typeface="Times New Roman" panose="02020603050405020304" pitchFamily="12"/>
              </a:rPr>
              <a:t>           Approved By</a:t>
            </a:r>
            <a:endParaRPr lang="en-US" altLang="zh-CN" sz="1200" kern="100">
              <a:latin typeface="Calibri" panose="020F0502020204030204"/>
              <a:ea typeface="等线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cxnSp>
        <xdr:nvCxnSpPr>
          <xdr:cNvPr id="7" name="Straight Connector 9"/>
          <xdr:cNvCxnSpPr/>
        </xdr:nvCxnSpPr>
        <xdr:spPr>
          <a:xfrm>
            <a:off x="77833" y="47928822"/>
            <a:ext cx="1001458" cy="8162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403225</xdr:colOff>
      <xdr:row>23</xdr:row>
      <xdr:rowOff>12700</xdr:rowOff>
    </xdr:from>
    <xdr:to>
      <xdr:col>11</xdr:col>
      <xdr:colOff>34290</xdr:colOff>
      <xdr:row>24</xdr:row>
      <xdr:rowOff>120650</xdr:rowOff>
    </xdr:to>
    <xdr:grpSp>
      <xdr:nvGrpSpPr>
        <xdr:cNvPr id="8" name="Group 15"/>
        <xdr:cNvGrpSpPr/>
      </xdr:nvGrpSpPr>
      <xdr:grpSpPr>
        <a:xfrm>
          <a:off x="3794125" y="3853180"/>
          <a:ext cx="1429385" cy="290830"/>
          <a:chOff x="-759319" y="47831544"/>
          <a:chExt cx="2475616" cy="437158"/>
        </a:xfrm>
      </xdr:grpSpPr>
      <xdr:sp>
        <xdr:nvSpPr>
          <xdr:cNvPr id="9" name="TextBox 17"/>
          <xdr:cNvSpPr txBox="1"/>
        </xdr:nvSpPr>
        <xdr:spPr>
          <a:xfrm>
            <a:off x="-759319" y="47831544"/>
            <a:ext cx="2475616" cy="4371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b="1" kern="1200">
                <a:solidFill>
                  <a:srgbClr val="000000"/>
                </a:solidFill>
                <a:latin typeface="Calibri" panose="020F0502020204030204"/>
                <a:ea typeface="等线"/>
                <a:cs typeface="Times New Roman" panose="02020603050405020304" pitchFamily="12"/>
                <a:sym typeface="Times New Roman" panose="02020603050405020304" pitchFamily="12"/>
              </a:rPr>
              <a:t>           Checked By</a:t>
            </a:r>
            <a:endParaRPr lang="en-US" altLang="zh-CN" sz="1200" kern="100">
              <a:latin typeface="Calibri" panose="020F0502020204030204"/>
              <a:ea typeface="等线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cxnSp>
        <xdr:nvCxnSpPr>
          <xdr:cNvPr id="10" name="Straight Connector 17"/>
          <xdr:cNvCxnSpPr/>
        </xdr:nvCxnSpPr>
        <xdr:spPr>
          <a:xfrm>
            <a:off x="-541455" y="47835345"/>
            <a:ext cx="2229012" cy="11454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1524000</xdr:colOff>
      <xdr:row>36</xdr:row>
      <xdr:rowOff>30480</xdr:rowOff>
    </xdr:from>
    <xdr:to>
      <xdr:col>1</xdr:col>
      <xdr:colOff>403225</xdr:colOff>
      <xdr:row>37</xdr:row>
      <xdr:rowOff>141605</xdr:rowOff>
    </xdr:to>
    <xdr:grpSp>
      <xdr:nvGrpSpPr>
        <xdr:cNvPr id="2" name="Group 7"/>
        <xdr:cNvGrpSpPr/>
      </xdr:nvGrpSpPr>
      <xdr:grpSpPr>
        <a:xfrm>
          <a:off x="1524000" y="6774180"/>
          <a:ext cx="1538605" cy="294005"/>
          <a:chOff x="-960108" y="47895683"/>
          <a:chExt cx="2711857" cy="306663"/>
        </a:xfrm>
      </xdr:grpSpPr>
      <xdr:sp>
        <xdr:nvSpPr>
          <xdr:cNvPr id="3" name="TextBox 17"/>
          <xdr:cNvSpPr txBox="1"/>
        </xdr:nvSpPr>
        <xdr:spPr>
          <a:xfrm>
            <a:off x="-960108" y="47898995"/>
            <a:ext cx="2711857" cy="3033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b="1" kern="1200">
                <a:solidFill>
                  <a:srgbClr val="000000"/>
                </a:solidFill>
                <a:latin typeface="Calibri" panose="020F0502020204030204"/>
                <a:ea typeface="等线"/>
                <a:cs typeface="Times New Roman" panose="02020603050405020304" pitchFamily="12"/>
                <a:sym typeface="Times New Roman" panose="02020603050405020304" pitchFamily="12"/>
              </a:rPr>
              <a:t>           Prepared By</a:t>
            </a:r>
            <a:endParaRPr lang="en-US" altLang="zh-CN" sz="1200" kern="100">
              <a:latin typeface="Calibri" panose="020F0502020204030204"/>
              <a:ea typeface="等线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cxnSp>
        <xdr:nvCxnSpPr>
          <xdr:cNvPr id="4" name="Straight Connector 9"/>
          <xdr:cNvCxnSpPr/>
        </xdr:nvCxnSpPr>
        <xdr:spPr>
          <a:xfrm flipV="1">
            <a:off x="-267641" y="47895683"/>
            <a:ext cx="1470791" cy="13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744855</xdr:colOff>
      <xdr:row>36</xdr:row>
      <xdr:rowOff>15240</xdr:rowOff>
    </xdr:from>
    <xdr:to>
      <xdr:col>8</xdr:col>
      <xdr:colOff>1088390</xdr:colOff>
      <xdr:row>37</xdr:row>
      <xdr:rowOff>123190</xdr:rowOff>
    </xdr:to>
    <xdr:grpSp>
      <xdr:nvGrpSpPr>
        <xdr:cNvPr id="5" name="Group 7"/>
        <xdr:cNvGrpSpPr/>
      </xdr:nvGrpSpPr>
      <xdr:grpSpPr>
        <a:xfrm>
          <a:off x="5233035" y="6758940"/>
          <a:ext cx="1236345" cy="290830"/>
          <a:chOff x="-295618" y="47896175"/>
          <a:chExt cx="1545768" cy="311503"/>
        </a:xfrm>
      </xdr:grpSpPr>
      <xdr:sp>
        <xdr:nvSpPr>
          <xdr:cNvPr id="6" name="TextBox 17"/>
          <xdr:cNvSpPr txBox="1"/>
        </xdr:nvSpPr>
        <xdr:spPr>
          <a:xfrm>
            <a:off x="-295618" y="47896175"/>
            <a:ext cx="1545768" cy="311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b="1" kern="1200">
                <a:solidFill>
                  <a:srgbClr val="000000"/>
                </a:solidFill>
                <a:latin typeface="Calibri" panose="020F0502020204030204"/>
                <a:ea typeface="等线"/>
                <a:cs typeface="Times New Roman" panose="02020603050405020304" pitchFamily="12"/>
                <a:sym typeface="Times New Roman" panose="02020603050405020304" pitchFamily="12"/>
              </a:rPr>
              <a:t>           Approved By</a:t>
            </a:r>
            <a:endParaRPr lang="en-US" altLang="zh-CN" sz="1200" kern="100">
              <a:latin typeface="Calibri" panose="020F0502020204030204"/>
              <a:ea typeface="等线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cxnSp>
        <xdr:nvCxnSpPr>
          <xdr:cNvPr id="7" name="Straight Connector 9"/>
          <xdr:cNvCxnSpPr/>
        </xdr:nvCxnSpPr>
        <xdr:spPr>
          <a:xfrm>
            <a:off x="77833" y="47928822"/>
            <a:ext cx="1136688" cy="8162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60960</xdr:colOff>
      <xdr:row>36</xdr:row>
      <xdr:rowOff>27940</xdr:rowOff>
    </xdr:from>
    <xdr:to>
      <xdr:col>6</xdr:col>
      <xdr:colOff>557530</xdr:colOff>
      <xdr:row>37</xdr:row>
      <xdr:rowOff>135890</xdr:rowOff>
    </xdr:to>
    <xdr:grpSp>
      <xdr:nvGrpSpPr>
        <xdr:cNvPr id="8" name="Group 15"/>
        <xdr:cNvGrpSpPr/>
      </xdr:nvGrpSpPr>
      <xdr:grpSpPr>
        <a:xfrm>
          <a:off x="3543300" y="6771640"/>
          <a:ext cx="1502410" cy="290830"/>
          <a:chOff x="-759319" y="47831544"/>
          <a:chExt cx="3214906" cy="437158"/>
        </a:xfrm>
      </xdr:grpSpPr>
      <xdr:sp>
        <xdr:nvSpPr>
          <xdr:cNvPr id="9" name="TextBox 17"/>
          <xdr:cNvSpPr txBox="1"/>
        </xdr:nvSpPr>
        <xdr:spPr>
          <a:xfrm>
            <a:off x="-759319" y="47831544"/>
            <a:ext cx="3214906" cy="4371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b="1" kern="1200">
                <a:solidFill>
                  <a:srgbClr val="000000"/>
                </a:solidFill>
                <a:latin typeface="Calibri" panose="020F0502020204030204"/>
                <a:ea typeface="等线"/>
                <a:cs typeface="Times New Roman" panose="02020603050405020304" pitchFamily="12"/>
                <a:sym typeface="Times New Roman" panose="02020603050405020304" pitchFamily="12"/>
              </a:rPr>
              <a:t>           Checked By</a:t>
            </a:r>
            <a:endParaRPr lang="en-US" altLang="zh-CN" sz="1200" kern="100">
              <a:latin typeface="Calibri" panose="020F0502020204030204"/>
              <a:ea typeface="等线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cxnSp>
        <xdr:nvCxnSpPr>
          <xdr:cNvPr id="10" name="Straight Connector 17"/>
          <xdr:cNvCxnSpPr/>
        </xdr:nvCxnSpPr>
        <xdr:spPr>
          <a:xfrm>
            <a:off x="-294291" y="47835345"/>
            <a:ext cx="2229012" cy="11454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45</xdr:row>
      <xdr:rowOff>30480</xdr:rowOff>
    </xdr:from>
    <xdr:to>
      <xdr:col>7</xdr:col>
      <xdr:colOff>67945</xdr:colOff>
      <xdr:row>46</xdr:row>
      <xdr:rowOff>141605</xdr:rowOff>
    </xdr:to>
    <xdr:grpSp>
      <xdr:nvGrpSpPr>
        <xdr:cNvPr id="11" name="Group 7"/>
        <xdr:cNvGrpSpPr/>
      </xdr:nvGrpSpPr>
      <xdr:grpSpPr>
        <a:xfrm>
          <a:off x="2667000" y="6431280"/>
          <a:ext cx="1538605" cy="294005"/>
          <a:chOff x="-960108" y="47895683"/>
          <a:chExt cx="2711857" cy="306663"/>
        </a:xfrm>
      </xdr:grpSpPr>
      <xdr:sp>
        <xdr:nvSpPr>
          <xdr:cNvPr id="12" name="TextBox 17"/>
          <xdr:cNvSpPr txBox="1"/>
        </xdr:nvSpPr>
        <xdr:spPr>
          <a:xfrm>
            <a:off x="-960108" y="47898995"/>
            <a:ext cx="2711857" cy="3033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b="1" kern="1200">
                <a:solidFill>
                  <a:srgbClr val="000000"/>
                </a:solidFill>
                <a:latin typeface="Calibri" panose="020F0502020204030204"/>
                <a:ea typeface="等线"/>
                <a:cs typeface="Times New Roman" panose="02020603050405020304" pitchFamily="12"/>
                <a:sym typeface="Times New Roman" panose="02020603050405020304" pitchFamily="12"/>
              </a:rPr>
              <a:t>           Prepared By</a:t>
            </a:r>
            <a:endParaRPr lang="en-US" altLang="zh-CN" sz="1200" kern="100">
              <a:latin typeface="Calibri" panose="020F0502020204030204"/>
              <a:ea typeface="等线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cxnSp>
        <xdr:nvCxnSpPr>
          <xdr:cNvPr id="13" name="Straight Connector 9"/>
          <xdr:cNvCxnSpPr/>
        </xdr:nvCxnSpPr>
        <xdr:spPr>
          <a:xfrm flipV="1">
            <a:off x="-267641" y="47895683"/>
            <a:ext cx="1470791" cy="13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180975</xdr:colOff>
      <xdr:row>45</xdr:row>
      <xdr:rowOff>15240</xdr:rowOff>
    </xdr:from>
    <xdr:to>
      <xdr:col>18</xdr:col>
      <xdr:colOff>273050</xdr:colOff>
      <xdr:row>46</xdr:row>
      <xdr:rowOff>123190</xdr:rowOff>
    </xdr:to>
    <xdr:grpSp>
      <xdr:nvGrpSpPr>
        <xdr:cNvPr id="14" name="Group 7"/>
        <xdr:cNvGrpSpPr/>
      </xdr:nvGrpSpPr>
      <xdr:grpSpPr>
        <a:xfrm>
          <a:off x="6376035" y="6416040"/>
          <a:ext cx="1410335" cy="290830"/>
          <a:chOff x="-295618" y="47896175"/>
          <a:chExt cx="1545768" cy="311503"/>
        </a:xfrm>
      </xdr:grpSpPr>
      <xdr:sp>
        <xdr:nvSpPr>
          <xdr:cNvPr id="15" name="TextBox 17"/>
          <xdr:cNvSpPr txBox="1"/>
        </xdr:nvSpPr>
        <xdr:spPr>
          <a:xfrm>
            <a:off x="-295618" y="47896175"/>
            <a:ext cx="1545768" cy="3115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b="1" kern="1200">
                <a:solidFill>
                  <a:srgbClr val="000000"/>
                </a:solidFill>
                <a:latin typeface="Calibri" panose="020F0502020204030204"/>
                <a:ea typeface="等线"/>
                <a:cs typeface="Times New Roman" panose="02020603050405020304" pitchFamily="12"/>
                <a:sym typeface="Times New Roman" panose="02020603050405020304" pitchFamily="12"/>
              </a:rPr>
              <a:t>           Approved By</a:t>
            </a:r>
            <a:endParaRPr lang="en-US" altLang="zh-CN" sz="1200" kern="100">
              <a:latin typeface="Calibri" panose="020F0502020204030204"/>
              <a:ea typeface="等线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cxnSp>
        <xdr:nvCxnSpPr>
          <xdr:cNvPr id="16" name="Straight Connector 9"/>
          <xdr:cNvCxnSpPr/>
        </xdr:nvCxnSpPr>
        <xdr:spPr>
          <a:xfrm>
            <a:off x="77833" y="47928822"/>
            <a:ext cx="1136688" cy="8162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45</xdr:row>
      <xdr:rowOff>27940</xdr:rowOff>
    </xdr:from>
    <xdr:to>
      <xdr:col>13</xdr:col>
      <xdr:colOff>473710</xdr:colOff>
      <xdr:row>46</xdr:row>
      <xdr:rowOff>135890</xdr:rowOff>
    </xdr:to>
    <xdr:grpSp>
      <xdr:nvGrpSpPr>
        <xdr:cNvPr id="17" name="Group 15"/>
        <xdr:cNvGrpSpPr/>
      </xdr:nvGrpSpPr>
      <xdr:grpSpPr>
        <a:xfrm>
          <a:off x="4686300" y="6428740"/>
          <a:ext cx="1502410" cy="290830"/>
          <a:chOff x="-759319" y="47831544"/>
          <a:chExt cx="3214906" cy="437158"/>
        </a:xfrm>
      </xdr:grpSpPr>
      <xdr:sp>
        <xdr:nvSpPr>
          <xdr:cNvPr id="18" name="TextBox 17"/>
          <xdr:cNvSpPr txBox="1"/>
        </xdr:nvSpPr>
        <xdr:spPr>
          <a:xfrm>
            <a:off x="-759319" y="47831544"/>
            <a:ext cx="3214906" cy="4371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b="1" kern="1200">
                <a:solidFill>
                  <a:srgbClr val="000000"/>
                </a:solidFill>
                <a:latin typeface="Calibri" panose="020F0502020204030204"/>
                <a:ea typeface="等线"/>
                <a:cs typeface="Times New Roman" panose="02020603050405020304" pitchFamily="12"/>
                <a:sym typeface="Times New Roman" panose="02020603050405020304" pitchFamily="12"/>
              </a:rPr>
              <a:t>           Checked By</a:t>
            </a:r>
            <a:endParaRPr lang="en-US" altLang="zh-CN" sz="1200" kern="100">
              <a:latin typeface="Calibri" panose="020F0502020204030204"/>
              <a:ea typeface="等线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cxnSp>
        <xdr:nvCxnSpPr>
          <xdr:cNvPr id="19" name="Straight Connector 17"/>
          <xdr:cNvCxnSpPr/>
        </xdr:nvCxnSpPr>
        <xdr:spPr>
          <a:xfrm>
            <a:off x="-294291" y="47835345"/>
            <a:ext cx="2229012" cy="11454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orshed.alam\Dropbox\3.%20Sales%20Related%20work\Sales%20&amp;%20Collection\12.%20Dec-25\ZM%20Price\Dec%20-Net\All%20ZM%20Dec%20Net%20Pric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5">
          <cell r="L5" t="str">
            <v>ডিসেম্বর মাসের সমস্ত অফার সহ </v>
          </cell>
        </row>
        <row r="6">
          <cell r="L6" t="str">
            <v>Dealer Net Price Dec -25 </v>
          </cell>
        </row>
        <row r="6">
          <cell r="P6" t="str">
            <v>Making Charge</v>
          </cell>
        </row>
        <row r="7">
          <cell r="B7" t="str">
            <v>ERP
ID</v>
          </cell>
        </row>
        <row r="7">
          <cell r="D7" t="str">
            <v>PC</v>
          </cell>
          <cell r="E7" t="str">
            <v>CV</v>
          </cell>
          <cell r="F7" t="str">
            <v>ET
Reg</v>
          </cell>
          <cell r="G7" t="str">
            <v>ET
Premium</v>
          </cell>
          <cell r="H7" t="str">
            <v>Rickshaw</v>
          </cell>
          <cell r="I7" t="str">
            <v>IPS</v>
          </cell>
          <cell r="J7" t="str">
            <v>Solar</v>
          </cell>
          <cell r="K7" t="str">
            <v>Total QTY</v>
          </cell>
          <cell r="L7" t="str">
            <v>ET
Reg</v>
          </cell>
          <cell r="M7" t="str">
            <v>ET
Premium</v>
          </cell>
          <cell r="N7" t="str">
            <v>Rickshaw</v>
          </cell>
          <cell r="O7" t="str">
            <v>Rickshaw Small</v>
          </cell>
          <cell r="P7" t="str">
            <v>ET
Reg</v>
          </cell>
          <cell r="Q7" t="str">
            <v>ET
Premium</v>
          </cell>
        </row>
        <row r="8">
          <cell r="B8" t="str">
            <v>01359</v>
          </cell>
          <cell r="C8" t="str">
            <v>Monthly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00442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01312</v>
          </cell>
          <cell r="C10" t="str">
            <v>CONVERSION</v>
          </cell>
          <cell r="D10">
            <v>0</v>
          </cell>
          <cell r="E10">
            <v>0</v>
          </cell>
          <cell r="F10">
            <v>120</v>
          </cell>
          <cell r="G10">
            <v>0</v>
          </cell>
          <cell r="H10">
            <v>250</v>
          </cell>
          <cell r="I10">
            <v>0</v>
          </cell>
          <cell r="J10">
            <v>0</v>
          </cell>
          <cell r="K10">
            <v>370</v>
          </cell>
        </row>
        <row r="10">
          <cell r="P10">
            <v>5000</v>
          </cell>
        </row>
        <row r="11">
          <cell r="B11" t="str">
            <v>00424</v>
          </cell>
          <cell r="C11" t="str">
            <v>REGULAR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 t="str">
            <v>01605</v>
          </cell>
          <cell r="C12" t="str">
            <v>CASH</v>
          </cell>
          <cell r="D12">
            <v>3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8</v>
          </cell>
        </row>
        <row r="13">
          <cell r="B13" t="str">
            <v>01461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01486</v>
          </cell>
          <cell r="C14" t="str">
            <v>Monthly</v>
          </cell>
          <cell r="D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5</v>
          </cell>
        </row>
        <row r="15">
          <cell r="B15" t="str">
            <v>01550</v>
          </cell>
          <cell r="C15" t="str">
            <v>CONVERSION</v>
          </cell>
          <cell r="D15">
            <v>0</v>
          </cell>
          <cell r="E15">
            <v>0</v>
          </cell>
          <cell r="F15">
            <v>89</v>
          </cell>
          <cell r="G15">
            <v>0</v>
          </cell>
          <cell r="H15">
            <v>527</v>
          </cell>
          <cell r="I15">
            <v>0</v>
          </cell>
          <cell r="J15">
            <v>0</v>
          </cell>
          <cell r="K15">
            <v>616</v>
          </cell>
        </row>
        <row r="15">
          <cell r="P15">
            <v>4900</v>
          </cell>
        </row>
        <row r="16">
          <cell r="B16" t="str">
            <v>00457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00421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B18" t="str">
            <v>00419</v>
          </cell>
          <cell r="C18" t="str">
            <v>REGULAR</v>
          </cell>
          <cell r="D18">
            <v>0</v>
          </cell>
          <cell r="E18">
            <v>0</v>
          </cell>
          <cell r="F18">
            <v>27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27</v>
          </cell>
          <cell r="L18">
            <v>13500</v>
          </cell>
        </row>
        <row r="19">
          <cell r="B19" t="str">
            <v>00459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B20" t="str">
            <v>01437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 t="str">
            <v>00448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01100</v>
          </cell>
          <cell r="C22" t="str">
            <v>Monthly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B23" t="str">
            <v>00420</v>
          </cell>
          <cell r="C23" t="str">
            <v>REGULAR</v>
          </cell>
          <cell r="D23">
            <v>0</v>
          </cell>
          <cell r="E23">
            <v>0</v>
          </cell>
          <cell r="F23">
            <v>27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27</v>
          </cell>
          <cell r="L23">
            <v>13500</v>
          </cell>
        </row>
        <row r="24">
          <cell r="B24" t="str">
            <v>00428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00439</v>
          </cell>
          <cell r="C25" t="str">
            <v>REGULAR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00441</v>
          </cell>
          <cell r="C26" t="str">
            <v>REGULAR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19</v>
          </cell>
          <cell r="J26">
            <v>0</v>
          </cell>
          <cell r="K26">
            <v>19</v>
          </cell>
        </row>
        <row r="27">
          <cell r="B27" t="str">
            <v>00422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01170</v>
          </cell>
          <cell r="C28" t="str">
            <v>REGULAR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36</v>
          </cell>
          <cell r="I28">
            <v>0</v>
          </cell>
          <cell r="J28">
            <v>0</v>
          </cell>
          <cell r="K28">
            <v>36</v>
          </cell>
        </row>
        <row r="28">
          <cell r="N28">
            <v>10900</v>
          </cell>
        </row>
        <row r="29">
          <cell r="B29" t="str">
            <v>00445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00845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11</v>
          </cell>
          <cell r="J30">
            <v>0</v>
          </cell>
          <cell r="K30">
            <v>11</v>
          </cell>
        </row>
        <row r="31">
          <cell r="B31" t="str">
            <v>01326</v>
          </cell>
          <cell r="C31" t="str">
            <v>CONVERSION</v>
          </cell>
          <cell r="D31">
            <v>0</v>
          </cell>
          <cell r="E31">
            <v>0</v>
          </cell>
          <cell r="F31">
            <v>228</v>
          </cell>
          <cell r="G31">
            <v>10</v>
          </cell>
          <cell r="H31">
            <v>1260</v>
          </cell>
          <cell r="I31">
            <v>0</v>
          </cell>
          <cell r="J31">
            <v>0</v>
          </cell>
          <cell r="K31">
            <v>1498</v>
          </cell>
        </row>
        <row r="31">
          <cell r="P31">
            <v>5000</v>
          </cell>
        </row>
        <row r="32">
          <cell r="B32" t="str">
            <v>00988</v>
          </cell>
          <cell r="C32" t="str">
            <v>Monthly</v>
          </cell>
          <cell r="D32">
            <v>26</v>
          </cell>
          <cell r="E32">
            <v>9</v>
          </cell>
          <cell r="F32">
            <v>140</v>
          </cell>
          <cell r="G32">
            <v>0</v>
          </cell>
          <cell r="H32">
            <v>292</v>
          </cell>
          <cell r="I32">
            <v>22</v>
          </cell>
          <cell r="J32">
            <v>0</v>
          </cell>
          <cell r="K32">
            <v>489</v>
          </cell>
          <cell r="L32">
            <v>13400</v>
          </cell>
        </row>
        <row r="32">
          <cell r="N32">
            <v>10900</v>
          </cell>
        </row>
        <row r="33">
          <cell r="B33" t="str">
            <v>00453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B34" t="str">
            <v>00850</v>
          </cell>
          <cell r="C34" t="str">
            <v>CASH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>
            <v>0</v>
          </cell>
          <cell r="C35">
            <v>0</v>
          </cell>
          <cell r="D35">
            <v>34</v>
          </cell>
          <cell r="E35">
            <v>10</v>
          </cell>
          <cell r="F35">
            <v>631</v>
          </cell>
          <cell r="G35">
            <v>10</v>
          </cell>
          <cell r="H35">
            <v>2365</v>
          </cell>
          <cell r="I35">
            <v>56</v>
          </cell>
          <cell r="J35">
            <v>0</v>
          </cell>
          <cell r="K35">
            <v>3106</v>
          </cell>
        </row>
        <row r="36">
          <cell r="B36" t="str">
            <v>00474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B37" t="str">
            <v>01581</v>
          </cell>
          <cell r="C37">
            <v>0</v>
          </cell>
          <cell r="D37">
            <v>0</v>
          </cell>
          <cell r="E37">
            <v>0</v>
          </cell>
          <cell r="F37">
            <v>98</v>
          </cell>
          <cell r="G37">
            <v>0</v>
          </cell>
          <cell r="H37">
            <v>116</v>
          </cell>
          <cell r="I37">
            <v>0</v>
          </cell>
          <cell r="J37">
            <v>0</v>
          </cell>
          <cell r="K37">
            <v>214</v>
          </cell>
          <cell r="L37">
            <v>13300</v>
          </cell>
        </row>
        <row r="37">
          <cell r="N37">
            <v>10800</v>
          </cell>
        </row>
        <row r="38">
          <cell r="B38" t="str">
            <v>01448</v>
          </cell>
          <cell r="C38" t="str">
            <v>CASH</v>
          </cell>
          <cell r="D38">
            <v>0</v>
          </cell>
          <cell r="E38">
            <v>0</v>
          </cell>
          <cell r="F38">
            <v>78</v>
          </cell>
          <cell r="G38">
            <v>0</v>
          </cell>
          <cell r="H38">
            <v>13</v>
          </cell>
          <cell r="I38">
            <v>0</v>
          </cell>
          <cell r="J38">
            <v>0</v>
          </cell>
          <cell r="K38">
            <v>91</v>
          </cell>
          <cell r="L38">
            <v>13300</v>
          </cell>
        </row>
        <row r="38">
          <cell r="N38">
            <v>10800</v>
          </cell>
        </row>
        <row r="39">
          <cell r="B39" t="str">
            <v>00488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B40" t="str">
            <v>01420</v>
          </cell>
          <cell r="C40" t="str">
            <v>CASH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</row>
        <row r="41">
          <cell r="B41" t="str">
            <v>01368</v>
          </cell>
          <cell r="C41" t="str">
            <v>CASH</v>
          </cell>
          <cell r="D41">
            <v>0</v>
          </cell>
          <cell r="E41">
            <v>0</v>
          </cell>
          <cell r="F41">
            <v>46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46</v>
          </cell>
          <cell r="L41">
            <v>13300</v>
          </cell>
        </row>
        <row r="41">
          <cell r="N41">
            <v>10800</v>
          </cell>
        </row>
        <row r="42">
          <cell r="B42" t="str">
            <v>01441</v>
          </cell>
          <cell r="C42" t="str">
            <v>CASH</v>
          </cell>
          <cell r="D42">
            <v>0</v>
          </cell>
          <cell r="E42">
            <v>0</v>
          </cell>
          <cell r="F42">
            <v>23</v>
          </cell>
          <cell r="G42">
            <v>0</v>
          </cell>
          <cell r="H42">
            <v>36</v>
          </cell>
          <cell r="I42">
            <v>0</v>
          </cell>
          <cell r="J42">
            <v>0</v>
          </cell>
          <cell r="K42">
            <v>59</v>
          </cell>
          <cell r="L42">
            <v>13300</v>
          </cell>
        </row>
        <row r="42">
          <cell r="N42">
            <v>10800</v>
          </cell>
        </row>
        <row r="43">
          <cell r="B43" t="str">
            <v>01341</v>
          </cell>
          <cell r="C43" t="str">
            <v>CASH</v>
          </cell>
          <cell r="D43">
            <v>0</v>
          </cell>
          <cell r="E43">
            <v>0</v>
          </cell>
          <cell r="F43">
            <v>51</v>
          </cell>
          <cell r="G43">
            <v>0</v>
          </cell>
          <cell r="H43">
            <v>0</v>
          </cell>
          <cell r="I43">
            <v>0</v>
          </cell>
          <cell r="J43">
            <v>4</v>
          </cell>
          <cell r="K43">
            <v>55</v>
          </cell>
          <cell r="L43">
            <v>13300</v>
          </cell>
        </row>
        <row r="43">
          <cell r="N43">
            <v>10800</v>
          </cell>
        </row>
        <row r="44">
          <cell r="B44" t="str">
            <v>01356</v>
          </cell>
          <cell r="C44" t="str">
            <v>CASH</v>
          </cell>
          <cell r="D44">
            <v>0</v>
          </cell>
          <cell r="E44">
            <v>0</v>
          </cell>
          <cell r="F44">
            <v>55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55</v>
          </cell>
          <cell r="L44">
            <v>13300</v>
          </cell>
        </row>
        <row r="44">
          <cell r="N44">
            <v>10800</v>
          </cell>
        </row>
        <row r="45">
          <cell r="B45" t="str">
            <v>01542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B46" t="str">
            <v>00482</v>
          </cell>
          <cell r="C46" t="str">
            <v>CASH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B47" t="str">
            <v>01313</v>
          </cell>
          <cell r="C47">
            <v>0</v>
          </cell>
          <cell r="D47">
            <v>0</v>
          </cell>
          <cell r="E47">
            <v>0</v>
          </cell>
          <cell r="F47">
            <v>110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110</v>
          </cell>
        </row>
        <row r="47">
          <cell r="P47">
            <v>5300</v>
          </cell>
        </row>
        <row r="48">
          <cell r="B48" t="str">
            <v>00471</v>
          </cell>
          <cell r="C48" t="str">
            <v>REGULAR</v>
          </cell>
          <cell r="D48">
            <v>0</v>
          </cell>
          <cell r="E48">
            <v>0</v>
          </cell>
          <cell r="F48">
            <v>695</v>
          </cell>
          <cell r="G48">
            <v>8</v>
          </cell>
          <cell r="H48">
            <v>239</v>
          </cell>
          <cell r="I48">
            <v>0</v>
          </cell>
          <cell r="J48">
            <v>0</v>
          </cell>
          <cell r="K48">
            <v>942</v>
          </cell>
          <cell r="L48">
            <v>13450</v>
          </cell>
        </row>
        <row r="48">
          <cell r="N48">
            <v>11000</v>
          </cell>
        </row>
        <row r="49">
          <cell r="B49" t="str">
            <v>00842</v>
          </cell>
          <cell r="C49" t="str">
            <v>REGULAR</v>
          </cell>
          <cell r="D49">
            <v>0</v>
          </cell>
          <cell r="E49">
            <v>0</v>
          </cell>
          <cell r="F49">
            <v>145</v>
          </cell>
          <cell r="G49">
            <v>0</v>
          </cell>
          <cell r="H49">
            <v>88</v>
          </cell>
          <cell r="I49">
            <v>0</v>
          </cell>
          <cell r="J49">
            <v>0</v>
          </cell>
          <cell r="K49">
            <v>233</v>
          </cell>
          <cell r="L49">
            <v>13600</v>
          </cell>
        </row>
        <row r="49">
          <cell r="N49">
            <v>11100</v>
          </cell>
        </row>
        <row r="50">
          <cell r="B50" t="str">
            <v>01443</v>
          </cell>
          <cell r="C50" t="str">
            <v>CASH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13300</v>
          </cell>
        </row>
        <row r="50">
          <cell r="N50">
            <v>10800</v>
          </cell>
        </row>
        <row r="51">
          <cell r="B51" t="str">
            <v>01385</v>
          </cell>
          <cell r="C51" t="str">
            <v>CASH</v>
          </cell>
          <cell r="D51">
            <v>0</v>
          </cell>
          <cell r="E51">
            <v>0</v>
          </cell>
          <cell r="F51">
            <v>60</v>
          </cell>
          <cell r="G51">
            <v>0</v>
          </cell>
          <cell r="H51">
            <v>16</v>
          </cell>
          <cell r="I51">
            <v>0</v>
          </cell>
          <cell r="J51">
            <v>0</v>
          </cell>
          <cell r="K51">
            <v>76</v>
          </cell>
          <cell r="L51">
            <v>13300</v>
          </cell>
        </row>
        <row r="51">
          <cell r="N51">
            <v>10800</v>
          </cell>
        </row>
        <row r="52">
          <cell r="B52" t="str">
            <v>00487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B53" t="str">
            <v>01572</v>
          </cell>
          <cell r="C53" t="str">
            <v>CASH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20</v>
          </cell>
          <cell r="K53">
            <v>20</v>
          </cell>
        </row>
        <row r="54">
          <cell r="B54" t="str">
            <v>01342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1361</v>
          </cell>
          <cell r="G55">
            <v>8</v>
          </cell>
          <cell r="H55">
            <v>508</v>
          </cell>
          <cell r="I55">
            <v>0</v>
          </cell>
          <cell r="J55">
            <v>24</v>
          </cell>
          <cell r="K55">
            <v>1901</v>
          </cell>
        </row>
        <row r="56">
          <cell r="B56" t="str">
            <v>00328</v>
          </cell>
          <cell r="C56" t="str">
            <v>Monthly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</row>
        <row r="57">
          <cell r="B57" t="str">
            <v>01305</v>
          </cell>
          <cell r="C57" t="str">
            <v>Conver-Lead</v>
          </cell>
          <cell r="D57">
            <v>0</v>
          </cell>
          <cell r="E57">
            <v>0</v>
          </cell>
          <cell r="F57">
            <v>40</v>
          </cell>
          <cell r="G57">
            <v>0</v>
          </cell>
          <cell r="H57">
            <v>162</v>
          </cell>
          <cell r="I57">
            <v>0</v>
          </cell>
          <cell r="J57">
            <v>0</v>
          </cell>
          <cell r="K57">
            <v>202</v>
          </cell>
        </row>
        <row r="57">
          <cell r="P57">
            <v>5000</v>
          </cell>
        </row>
        <row r="58">
          <cell r="B58" t="str">
            <v>01401</v>
          </cell>
          <cell r="C58" t="str">
            <v>Monthly</v>
          </cell>
          <cell r="D58">
            <v>0</v>
          </cell>
          <cell r="E58">
            <v>0</v>
          </cell>
          <cell r="F58">
            <v>194</v>
          </cell>
          <cell r="G58">
            <v>0</v>
          </cell>
          <cell r="H58">
            <v>188</v>
          </cell>
          <cell r="I58">
            <v>0</v>
          </cell>
          <cell r="J58">
            <v>0</v>
          </cell>
          <cell r="K58">
            <v>382</v>
          </cell>
          <cell r="L58">
            <v>13100</v>
          </cell>
        </row>
        <row r="58">
          <cell r="N58">
            <v>10700</v>
          </cell>
        </row>
        <row r="59">
          <cell r="B59" t="str">
            <v>01262</v>
          </cell>
          <cell r="C59" t="str">
            <v>CASH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10</v>
          </cell>
          <cell r="J59">
            <v>0</v>
          </cell>
          <cell r="K59">
            <v>10</v>
          </cell>
        </row>
        <row r="60">
          <cell r="B60" t="str">
            <v>01444</v>
          </cell>
          <cell r="C60" t="str">
            <v>Conver-Lead</v>
          </cell>
          <cell r="D60">
            <v>0</v>
          </cell>
          <cell r="E60">
            <v>0</v>
          </cell>
          <cell r="F60">
            <v>253</v>
          </cell>
          <cell r="G60">
            <v>0</v>
          </cell>
          <cell r="H60">
            <v>105</v>
          </cell>
          <cell r="I60">
            <v>0</v>
          </cell>
          <cell r="J60">
            <v>0</v>
          </cell>
          <cell r="K60">
            <v>358</v>
          </cell>
        </row>
        <row r="60">
          <cell r="P60">
            <v>4700</v>
          </cell>
        </row>
        <row r="61">
          <cell r="B61" t="str">
            <v>01147</v>
          </cell>
          <cell r="C61" t="str">
            <v>CASH</v>
          </cell>
          <cell r="D61">
            <v>0</v>
          </cell>
          <cell r="E61">
            <v>0</v>
          </cell>
          <cell r="F61">
            <v>20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20</v>
          </cell>
          <cell r="L61">
            <v>13000</v>
          </cell>
        </row>
        <row r="62">
          <cell r="B62" t="str">
            <v>00348</v>
          </cell>
          <cell r="C62" t="str">
            <v>Monthly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01133</v>
          </cell>
          <cell r="C63" t="str">
            <v>CASH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</row>
        <row r="64">
          <cell r="B64" t="str">
            <v>00330</v>
          </cell>
          <cell r="C64" t="str">
            <v>REGULAR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</row>
        <row r="65">
          <cell r="B65" t="str">
            <v>01306</v>
          </cell>
          <cell r="C65" t="str">
            <v>CONVERSION</v>
          </cell>
          <cell r="D65">
            <v>0</v>
          </cell>
          <cell r="E65">
            <v>0</v>
          </cell>
          <cell r="F65">
            <v>25</v>
          </cell>
          <cell r="G65">
            <v>0</v>
          </cell>
          <cell r="H65">
            <v>148</v>
          </cell>
          <cell r="I65">
            <v>0</v>
          </cell>
          <cell r="J65">
            <v>0</v>
          </cell>
          <cell r="K65">
            <v>173</v>
          </cell>
        </row>
        <row r="65">
          <cell r="P65">
            <v>4900</v>
          </cell>
        </row>
        <row r="66">
          <cell r="B66" t="str">
            <v>00336</v>
          </cell>
          <cell r="C66" t="str">
            <v>REGULAR</v>
          </cell>
          <cell r="D66">
            <v>3</v>
          </cell>
          <cell r="E66">
            <v>0</v>
          </cell>
          <cell r="F66">
            <v>8</v>
          </cell>
          <cell r="G66">
            <v>0</v>
          </cell>
          <cell r="H66">
            <v>0</v>
          </cell>
          <cell r="I66">
            <v>2</v>
          </cell>
          <cell r="J66">
            <v>0</v>
          </cell>
          <cell r="K66">
            <v>13</v>
          </cell>
          <cell r="L66">
            <v>13200</v>
          </cell>
        </row>
        <row r="67">
          <cell r="B67" t="str">
            <v>00329</v>
          </cell>
          <cell r="C67" t="str">
            <v>Monthly</v>
          </cell>
          <cell r="D67">
            <v>0</v>
          </cell>
          <cell r="E67">
            <v>0</v>
          </cell>
          <cell r="F67">
            <v>24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24</v>
          </cell>
          <cell r="L67">
            <v>13200</v>
          </cell>
        </row>
        <row r="68">
          <cell r="B68" t="str">
            <v>00327</v>
          </cell>
          <cell r="C68" t="str">
            <v>REGULAR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B69" t="str">
            <v>00373</v>
          </cell>
          <cell r="C69" t="str">
            <v>Monthly</v>
          </cell>
          <cell r="D69">
            <v>0</v>
          </cell>
          <cell r="E69">
            <v>0</v>
          </cell>
          <cell r="F69">
            <v>24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24</v>
          </cell>
          <cell r="L69">
            <v>13000</v>
          </cell>
        </row>
        <row r="70">
          <cell r="B70" t="str">
            <v>00325</v>
          </cell>
          <cell r="C70" t="str">
            <v>REGULAR</v>
          </cell>
          <cell r="D70">
            <v>0</v>
          </cell>
          <cell r="E70">
            <v>0</v>
          </cell>
          <cell r="F70">
            <v>300</v>
          </cell>
          <cell r="G70">
            <v>0</v>
          </cell>
          <cell r="H70">
            <v>8</v>
          </cell>
          <cell r="I70">
            <v>0</v>
          </cell>
          <cell r="J70">
            <v>0</v>
          </cell>
          <cell r="K70">
            <v>308</v>
          </cell>
          <cell r="L70">
            <v>13200</v>
          </cell>
        </row>
        <row r="70">
          <cell r="N70">
            <v>10700</v>
          </cell>
        </row>
        <row r="71">
          <cell r="B71" t="str">
            <v>01106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B72" t="str">
            <v>01459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B73" t="str">
            <v>01481</v>
          </cell>
          <cell r="C73" t="str">
            <v>CONVERSION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148</v>
          </cell>
          <cell r="I73">
            <v>0</v>
          </cell>
          <cell r="J73">
            <v>0</v>
          </cell>
          <cell r="K73">
            <v>148</v>
          </cell>
        </row>
        <row r="74">
          <cell r="B74" t="str">
            <v>01102</v>
          </cell>
          <cell r="C74" t="str">
            <v>CASH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B75" t="str">
            <v>00343</v>
          </cell>
          <cell r="C75" t="str">
            <v>CASH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B76" t="str">
            <v>00224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00371</v>
          </cell>
          <cell r="C77" t="str">
            <v>CASH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16</v>
          </cell>
          <cell r="I77">
            <v>7</v>
          </cell>
          <cell r="J77">
            <v>0</v>
          </cell>
          <cell r="K77">
            <v>23</v>
          </cell>
        </row>
        <row r="77">
          <cell r="N77">
            <v>10600</v>
          </cell>
        </row>
        <row r="78">
          <cell r="B78" t="str">
            <v>00324</v>
          </cell>
          <cell r="C78" t="str">
            <v>REGULAR</v>
          </cell>
          <cell r="D78">
            <v>0</v>
          </cell>
          <cell r="E78">
            <v>0</v>
          </cell>
          <cell r="F78">
            <v>20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20</v>
          </cell>
          <cell r="L78">
            <v>13300</v>
          </cell>
        </row>
        <row r="78">
          <cell r="N78">
            <v>10800</v>
          </cell>
        </row>
        <row r="79">
          <cell r="B79" t="str">
            <v>00326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</row>
        <row r="80">
          <cell r="B80" t="str">
            <v>01568</v>
          </cell>
          <cell r="C80" t="str">
            <v>Conver-Lead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B81" t="str">
            <v>01400</v>
          </cell>
          <cell r="C81" t="str">
            <v>CASH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7</v>
          </cell>
          <cell r="J81">
            <v>0</v>
          </cell>
          <cell r="K81">
            <v>7</v>
          </cell>
        </row>
        <row r="82">
          <cell r="B82" t="str">
            <v>01380</v>
          </cell>
          <cell r="C82" t="str">
            <v>Monthly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</row>
        <row r="83">
          <cell r="B83" t="str">
            <v>00359</v>
          </cell>
          <cell r="C83" t="str">
            <v>CASH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</row>
        <row r="84">
          <cell r="B84" t="str">
            <v>01118</v>
          </cell>
          <cell r="C84" t="str">
            <v>REGULAR</v>
          </cell>
          <cell r="D84">
            <v>0</v>
          </cell>
          <cell r="E84">
            <v>0</v>
          </cell>
          <cell r="F84">
            <v>17</v>
          </cell>
          <cell r="G84">
            <v>27</v>
          </cell>
          <cell r="H84">
            <v>0</v>
          </cell>
          <cell r="I84">
            <v>10</v>
          </cell>
          <cell r="J84">
            <v>0</v>
          </cell>
          <cell r="K84">
            <v>54</v>
          </cell>
          <cell r="L84">
            <v>13000</v>
          </cell>
          <cell r="M84">
            <v>13800</v>
          </cell>
        </row>
        <row r="85">
          <cell r="B85" t="str">
            <v>01331</v>
          </cell>
          <cell r="C85" t="str">
            <v>CONVERSION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900</v>
          </cell>
          <cell r="I85">
            <v>0</v>
          </cell>
          <cell r="J85">
            <v>0</v>
          </cell>
          <cell r="K85">
            <v>900</v>
          </cell>
        </row>
        <row r="86">
          <cell r="B86" t="str">
            <v>01363</v>
          </cell>
          <cell r="C86" t="str">
            <v>CASH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7">
          <cell r="B87" t="str">
            <v>01353</v>
          </cell>
          <cell r="C87" t="str">
            <v>CONVERSION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370</v>
          </cell>
          <cell r="I87">
            <v>0</v>
          </cell>
          <cell r="J87">
            <v>0</v>
          </cell>
          <cell r="K87">
            <v>370</v>
          </cell>
        </row>
        <row r="88">
          <cell r="B88" t="str">
            <v>00366</v>
          </cell>
          <cell r="C88" t="str">
            <v>Monthly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</row>
        <row r="89">
          <cell r="B89" t="str">
            <v>01157</v>
          </cell>
          <cell r="C89" t="str">
            <v>Monthly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0">
          <cell r="B90">
            <v>0</v>
          </cell>
          <cell r="C90">
            <v>0</v>
          </cell>
          <cell r="D90">
            <v>3</v>
          </cell>
          <cell r="E90">
            <v>0</v>
          </cell>
          <cell r="F90">
            <v>925</v>
          </cell>
          <cell r="G90">
            <v>27</v>
          </cell>
          <cell r="H90">
            <v>2045</v>
          </cell>
          <cell r="I90">
            <v>36</v>
          </cell>
          <cell r="J90">
            <v>0</v>
          </cell>
          <cell r="K90">
            <v>3036</v>
          </cell>
        </row>
        <row r="91">
          <cell r="B91" t="str">
            <v>01466</v>
          </cell>
          <cell r="C91" t="str">
            <v>CASH</v>
          </cell>
          <cell r="D91">
            <v>0</v>
          </cell>
          <cell r="E91">
            <v>0</v>
          </cell>
          <cell r="F91">
            <v>5</v>
          </cell>
          <cell r="G91">
            <v>5</v>
          </cell>
          <cell r="H91">
            <v>12</v>
          </cell>
          <cell r="I91">
            <v>0</v>
          </cell>
          <cell r="J91">
            <v>0</v>
          </cell>
          <cell r="K91">
            <v>22</v>
          </cell>
          <cell r="L91">
            <v>13000</v>
          </cell>
          <cell r="M91">
            <v>13800</v>
          </cell>
          <cell r="N91">
            <v>10600</v>
          </cell>
        </row>
        <row r="92">
          <cell r="B92" t="str">
            <v>00270</v>
          </cell>
          <cell r="C92" t="str">
            <v>REGULAR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B93" t="str">
            <v>01477</v>
          </cell>
          <cell r="C93" t="str">
            <v>CASH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B94" t="str">
            <v>01450</v>
          </cell>
          <cell r="C94" t="str">
            <v>CASH</v>
          </cell>
          <cell r="D94">
            <v>0</v>
          </cell>
          <cell r="E94">
            <v>0</v>
          </cell>
          <cell r="F94">
            <v>35</v>
          </cell>
          <cell r="G94">
            <v>0</v>
          </cell>
          <cell r="H94">
            <v>74</v>
          </cell>
          <cell r="I94">
            <v>0</v>
          </cell>
          <cell r="J94">
            <v>0</v>
          </cell>
          <cell r="K94">
            <v>109</v>
          </cell>
          <cell r="L94">
            <v>13100</v>
          </cell>
        </row>
        <row r="94">
          <cell r="N94">
            <v>10600</v>
          </cell>
        </row>
        <row r="95">
          <cell r="B95" t="str">
            <v>01417</v>
          </cell>
          <cell r="C95" t="str">
            <v>CASH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B96" t="str">
            <v>01517</v>
          </cell>
          <cell r="C96" t="str">
            <v>Conver-Lead</v>
          </cell>
          <cell r="D96">
            <v>0</v>
          </cell>
          <cell r="E96">
            <v>0</v>
          </cell>
          <cell r="F96">
            <v>64</v>
          </cell>
          <cell r="G96">
            <v>0</v>
          </cell>
          <cell r="H96">
            <v>20</v>
          </cell>
          <cell r="I96">
            <v>0</v>
          </cell>
          <cell r="J96">
            <v>0</v>
          </cell>
          <cell r="K96">
            <v>84</v>
          </cell>
        </row>
        <row r="96">
          <cell r="P96">
            <v>5000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104</v>
          </cell>
          <cell r="G97">
            <v>5</v>
          </cell>
          <cell r="H97">
            <v>106</v>
          </cell>
          <cell r="I97">
            <v>0</v>
          </cell>
          <cell r="J97">
            <v>0</v>
          </cell>
          <cell r="K97">
            <v>215</v>
          </cell>
        </row>
        <row r="98">
          <cell r="B98" t="str">
            <v>01446</v>
          </cell>
          <cell r="C98" t="str">
            <v>CASH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B99" t="str">
            <v>01445</v>
          </cell>
          <cell r="C99" t="str">
            <v>CASH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B100" t="str">
            <v>01440</v>
          </cell>
          <cell r="C100" t="str">
            <v>CASH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B101" t="str">
            <v>00300</v>
          </cell>
          <cell r="C101" t="str">
            <v>CASH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</row>
        <row r="102">
          <cell r="B102" t="str">
            <v>01298</v>
          </cell>
          <cell r="C102" t="str">
            <v>CONVERSION</v>
          </cell>
          <cell r="D102">
            <v>0</v>
          </cell>
          <cell r="E102">
            <v>0</v>
          </cell>
          <cell r="F102">
            <v>340</v>
          </cell>
          <cell r="G102">
            <v>0</v>
          </cell>
          <cell r="H102">
            <v>621</v>
          </cell>
          <cell r="I102">
            <v>0</v>
          </cell>
          <cell r="J102">
            <v>0</v>
          </cell>
          <cell r="K102">
            <v>961</v>
          </cell>
        </row>
        <row r="102">
          <cell r="P102">
            <v>4800</v>
          </cell>
        </row>
        <row r="103">
          <cell r="B103" t="str">
            <v>00827</v>
          </cell>
          <cell r="C103" t="str">
            <v>CASH</v>
          </cell>
          <cell r="D103">
            <v>0</v>
          </cell>
          <cell r="E103">
            <v>0</v>
          </cell>
          <cell r="F103">
            <v>20</v>
          </cell>
          <cell r="G103">
            <v>0</v>
          </cell>
          <cell r="H103">
            <v>16</v>
          </cell>
          <cell r="I103">
            <v>0</v>
          </cell>
          <cell r="J103">
            <v>1</v>
          </cell>
          <cell r="K103">
            <v>37</v>
          </cell>
          <cell r="L103">
            <v>13000</v>
          </cell>
        </row>
        <row r="103">
          <cell r="N103">
            <v>10600</v>
          </cell>
        </row>
        <row r="104">
          <cell r="B104" t="str">
            <v>00315</v>
          </cell>
          <cell r="C104" t="str">
            <v>CASH</v>
          </cell>
          <cell r="D104">
            <v>0</v>
          </cell>
          <cell r="E104">
            <v>0</v>
          </cell>
          <cell r="F104">
            <v>20</v>
          </cell>
          <cell r="G104">
            <v>0</v>
          </cell>
          <cell r="H104">
            <v>424</v>
          </cell>
          <cell r="I104">
            <v>0</v>
          </cell>
          <cell r="J104">
            <v>0</v>
          </cell>
          <cell r="K104">
            <v>444</v>
          </cell>
          <cell r="L104">
            <v>13000</v>
          </cell>
        </row>
        <row r="104">
          <cell r="N104">
            <v>10000</v>
          </cell>
        </row>
        <row r="105">
          <cell r="B105" t="str">
            <v>00306</v>
          </cell>
          <cell r="C105" t="str">
            <v>CASH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 t="str">
            <v>00301</v>
          </cell>
          <cell r="C106" t="str">
            <v>CASH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 t="str">
            <v>01299</v>
          </cell>
          <cell r="C107" t="str">
            <v>CONVERSION</v>
          </cell>
          <cell r="D107">
            <v>0</v>
          </cell>
          <cell r="E107">
            <v>0</v>
          </cell>
          <cell r="F107">
            <v>260</v>
          </cell>
          <cell r="G107">
            <v>0</v>
          </cell>
          <cell r="H107">
            <v>369</v>
          </cell>
          <cell r="I107">
            <v>0</v>
          </cell>
          <cell r="J107">
            <v>0</v>
          </cell>
          <cell r="K107">
            <v>629</v>
          </cell>
        </row>
        <row r="107">
          <cell r="P107">
            <v>4800</v>
          </cell>
        </row>
        <row r="108">
          <cell r="B108" t="str">
            <v>00310</v>
          </cell>
          <cell r="C108" t="str">
            <v>CASH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 t="str">
            <v>00303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 t="str">
            <v>00312</v>
          </cell>
          <cell r="C110" t="str">
            <v>CASH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B111" t="str">
            <v>00304</v>
          </cell>
          <cell r="C111" t="str">
            <v>Monthly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B112" t="str">
            <v>01300</v>
          </cell>
          <cell r="C112" t="str">
            <v>CONVERSION</v>
          </cell>
          <cell r="D112">
            <v>0</v>
          </cell>
          <cell r="E112">
            <v>0</v>
          </cell>
          <cell r="F112">
            <v>30</v>
          </cell>
          <cell r="G112">
            <v>0</v>
          </cell>
          <cell r="H112">
            <v>72</v>
          </cell>
          <cell r="I112">
            <v>0</v>
          </cell>
          <cell r="J112">
            <v>0</v>
          </cell>
          <cell r="K112">
            <v>102</v>
          </cell>
        </row>
        <row r="112">
          <cell r="P112">
            <v>5000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670</v>
          </cell>
          <cell r="G113">
            <v>0</v>
          </cell>
          <cell r="H113">
            <v>1502</v>
          </cell>
          <cell r="I113">
            <v>0</v>
          </cell>
          <cell r="J113">
            <v>1</v>
          </cell>
          <cell r="K113">
            <v>2173</v>
          </cell>
        </row>
        <row r="114">
          <cell r="B114" t="str">
            <v>01112</v>
          </cell>
          <cell r="C114" t="str">
            <v>Monthly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84</v>
          </cell>
          <cell r="I114">
            <v>0</v>
          </cell>
          <cell r="J114">
            <v>0</v>
          </cell>
          <cell r="K114">
            <v>84</v>
          </cell>
        </row>
        <row r="114">
          <cell r="O114">
            <v>7800</v>
          </cell>
        </row>
        <row r="115">
          <cell r="B115" t="str">
            <v>01553</v>
          </cell>
          <cell r="C115" t="str">
            <v>CONVERSION</v>
          </cell>
          <cell r="D115">
            <v>0</v>
          </cell>
          <cell r="E115">
            <v>0</v>
          </cell>
          <cell r="F115">
            <v>262</v>
          </cell>
          <cell r="G115">
            <v>11</v>
          </cell>
          <cell r="H115">
            <v>52</v>
          </cell>
          <cell r="I115">
            <v>0</v>
          </cell>
          <cell r="J115">
            <v>0</v>
          </cell>
          <cell r="K115">
            <v>325</v>
          </cell>
        </row>
        <row r="115">
          <cell r="P115">
            <v>5000</v>
          </cell>
          <cell r="Q115">
            <v>5200</v>
          </cell>
        </row>
        <row r="116">
          <cell r="B116" t="str">
            <v>01580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</row>
        <row r="117">
          <cell r="B117" t="str">
            <v>01094</v>
          </cell>
          <cell r="C117" t="str">
            <v>CASH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B118" t="str">
            <v>00094</v>
          </cell>
          <cell r="C118" t="str">
            <v>Monthly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8</v>
          </cell>
          <cell r="I118">
            <v>0</v>
          </cell>
          <cell r="J118">
            <v>0</v>
          </cell>
          <cell r="K118">
            <v>8</v>
          </cell>
        </row>
        <row r="119">
          <cell r="B119" t="str">
            <v>01290</v>
          </cell>
          <cell r="C119" t="str">
            <v>CONVERSION</v>
          </cell>
          <cell r="D119">
            <v>0</v>
          </cell>
          <cell r="E119">
            <v>0</v>
          </cell>
          <cell r="F119">
            <v>3</v>
          </cell>
          <cell r="G119">
            <v>0</v>
          </cell>
          <cell r="H119">
            <v>28</v>
          </cell>
          <cell r="I119">
            <v>0</v>
          </cell>
          <cell r="J119">
            <v>0</v>
          </cell>
          <cell r="K119">
            <v>31</v>
          </cell>
        </row>
        <row r="119">
          <cell r="P119">
            <v>5000</v>
          </cell>
        </row>
        <row r="120">
          <cell r="B120" t="str">
            <v>01586</v>
          </cell>
          <cell r="C120" t="str">
            <v>Conver-Lead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</row>
        <row r="121">
          <cell r="B121" t="str">
            <v>00826</v>
          </cell>
          <cell r="C121" t="str">
            <v>Monthly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</row>
        <row r="122">
          <cell r="B122" t="str">
            <v>01549</v>
          </cell>
          <cell r="C122" t="str">
            <v>CONVERSION</v>
          </cell>
          <cell r="D122">
            <v>0</v>
          </cell>
          <cell r="E122">
            <v>0</v>
          </cell>
          <cell r="F122">
            <v>24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24</v>
          </cell>
        </row>
        <row r="122">
          <cell r="P122">
            <v>5000</v>
          </cell>
        </row>
        <row r="123">
          <cell r="B123" t="str">
            <v>00090</v>
          </cell>
          <cell r="C123" t="str">
            <v>CONVERSION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</row>
        <row r="124">
          <cell r="B124" t="str">
            <v>01289</v>
          </cell>
          <cell r="C124" t="str">
            <v>CONVERSION</v>
          </cell>
          <cell r="D124">
            <v>0</v>
          </cell>
          <cell r="E124">
            <v>0</v>
          </cell>
          <cell r="F124">
            <v>100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100</v>
          </cell>
        </row>
        <row r="124">
          <cell r="P124">
            <v>5000</v>
          </cell>
        </row>
        <row r="125">
          <cell r="B125" t="str">
            <v>00088</v>
          </cell>
          <cell r="C125" t="str">
            <v>REGULAR</v>
          </cell>
          <cell r="D125">
            <v>0</v>
          </cell>
          <cell r="E125">
            <v>0</v>
          </cell>
          <cell r="F125">
            <v>33</v>
          </cell>
          <cell r="G125">
            <v>0</v>
          </cell>
          <cell r="H125">
            <v>51</v>
          </cell>
          <cell r="I125">
            <v>0</v>
          </cell>
          <cell r="J125">
            <v>0</v>
          </cell>
          <cell r="K125">
            <v>84</v>
          </cell>
          <cell r="L125">
            <v>13425</v>
          </cell>
        </row>
        <row r="125">
          <cell r="N125">
            <v>11000</v>
          </cell>
        </row>
        <row r="126">
          <cell r="B126" t="str">
            <v>00183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B127" t="str">
            <v>01429</v>
          </cell>
          <cell r="C127" t="str">
            <v>Monthly</v>
          </cell>
          <cell r="D127">
            <v>0</v>
          </cell>
          <cell r="E127">
            <v>0</v>
          </cell>
          <cell r="F127">
            <v>10</v>
          </cell>
          <cell r="G127">
            <v>0</v>
          </cell>
          <cell r="H127">
            <v>24</v>
          </cell>
          <cell r="I127">
            <v>0</v>
          </cell>
          <cell r="J127">
            <v>0</v>
          </cell>
          <cell r="K127">
            <v>34</v>
          </cell>
          <cell r="L127">
            <v>13350</v>
          </cell>
        </row>
        <row r="127">
          <cell r="N127">
            <v>10900</v>
          </cell>
        </row>
        <row r="128">
          <cell r="B128" t="str">
            <v>00217</v>
          </cell>
          <cell r="C128" t="str">
            <v>CASH</v>
          </cell>
          <cell r="D128">
            <v>0</v>
          </cell>
          <cell r="E128">
            <v>0</v>
          </cell>
          <cell r="F128">
            <v>4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4</v>
          </cell>
        </row>
        <row r="129">
          <cell r="B129" t="str">
            <v>00331</v>
          </cell>
          <cell r="C129" t="str">
            <v>CONVERSION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13650</v>
          </cell>
        </row>
        <row r="130">
          <cell r="B130" t="str">
            <v>00091</v>
          </cell>
          <cell r="C130" t="str">
            <v>CASH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</row>
        <row r="131">
          <cell r="B131" t="str">
            <v>00333</v>
          </cell>
          <cell r="C131" t="str">
            <v>CONVERSION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</row>
        <row r="132">
          <cell r="B132" t="str">
            <v>01531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B133" t="str">
            <v>00087</v>
          </cell>
          <cell r="C133" t="str">
            <v>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15</v>
          </cell>
          <cell r="J133">
            <v>0</v>
          </cell>
          <cell r="K133">
            <v>15</v>
          </cell>
        </row>
        <row r="134">
          <cell r="B134" t="str">
            <v>01288</v>
          </cell>
          <cell r="C134" t="str">
            <v>CONVERSION</v>
          </cell>
          <cell r="D134">
            <v>0</v>
          </cell>
          <cell r="E134">
            <v>0</v>
          </cell>
          <cell r="F134">
            <v>180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180</v>
          </cell>
        </row>
        <row r="134">
          <cell r="P134">
            <v>5000</v>
          </cell>
        </row>
        <row r="135">
          <cell r="B135" t="str">
            <v>00089</v>
          </cell>
          <cell r="C135" t="str">
            <v>CASH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B136" t="str">
            <v>01467</v>
          </cell>
          <cell r="C136" t="str">
            <v>CASH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</row>
        <row r="137">
          <cell r="B137" t="str">
            <v>01153</v>
          </cell>
          <cell r="C137" t="str">
            <v>CASH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</row>
        <row r="138">
          <cell r="B138" t="str">
            <v>01335</v>
          </cell>
          <cell r="C138" t="str">
            <v>CONVERSION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120</v>
          </cell>
          <cell r="I138">
            <v>0</v>
          </cell>
          <cell r="J138">
            <v>0</v>
          </cell>
          <cell r="K138">
            <v>120</v>
          </cell>
        </row>
        <row r="139">
          <cell r="B139" t="str">
            <v>00093</v>
          </cell>
          <cell r="C139" t="str">
            <v>CASH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B140" t="str">
            <v>00085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B141" t="str">
            <v>01287</v>
          </cell>
          <cell r="C141" t="str">
            <v>CONVERSION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616</v>
          </cell>
          <cell r="G142">
            <v>11</v>
          </cell>
          <cell r="H142">
            <v>367</v>
          </cell>
          <cell r="I142">
            <v>15</v>
          </cell>
          <cell r="J142">
            <v>0</v>
          </cell>
          <cell r="K142">
            <v>1009</v>
          </cell>
        </row>
        <row r="143">
          <cell r="B143" t="str">
            <v>01371</v>
          </cell>
          <cell r="C143" t="str">
            <v>CASH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</row>
        <row r="144">
          <cell r="B144" t="str">
            <v>01088</v>
          </cell>
          <cell r="C144" t="str">
            <v>Monthly</v>
          </cell>
          <cell r="D144">
            <v>0</v>
          </cell>
          <cell r="E144">
            <v>0</v>
          </cell>
          <cell r="F144">
            <v>33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33</v>
          </cell>
          <cell r="L144">
            <v>13600</v>
          </cell>
        </row>
        <row r="145">
          <cell r="B145" t="str">
            <v>00817</v>
          </cell>
          <cell r="C145" t="str">
            <v>Monthly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</row>
        <row r="146">
          <cell r="B146" t="str">
            <v>01551</v>
          </cell>
          <cell r="C146" t="str">
            <v>CONVERSION</v>
          </cell>
          <cell r="D146">
            <v>0</v>
          </cell>
          <cell r="E146">
            <v>0</v>
          </cell>
          <cell r="F146">
            <v>344</v>
          </cell>
          <cell r="G146">
            <v>20</v>
          </cell>
          <cell r="H146">
            <v>160</v>
          </cell>
          <cell r="I146">
            <v>0</v>
          </cell>
          <cell r="J146">
            <v>0</v>
          </cell>
          <cell r="K146">
            <v>524</v>
          </cell>
        </row>
        <row r="146">
          <cell r="P146">
            <v>4900</v>
          </cell>
        </row>
        <row r="147">
          <cell r="B147" t="str">
            <v>00010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B148" t="str">
            <v>00279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49">
          <cell r="B149" t="str">
            <v>01098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</row>
        <row r="150">
          <cell r="B150" t="str">
            <v>00021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B151" t="str">
            <v>01478</v>
          </cell>
          <cell r="C151" t="str">
            <v>CONVERSION</v>
          </cell>
          <cell r="D151">
            <v>0</v>
          </cell>
          <cell r="E151">
            <v>0</v>
          </cell>
          <cell r="F151">
            <v>56</v>
          </cell>
          <cell r="G151">
            <v>0</v>
          </cell>
          <cell r="H151">
            <v>248</v>
          </cell>
          <cell r="I151">
            <v>0</v>
          </cell>
          <cell r="J151">
            <v>0</v>
          </cell>
          <cell r="K151">
            <v>304</v>
          </cell>
        </row>
        <row r="151">
          <cell r="P151">
            <v>4900</v>
          </cell>
        </row>
        <row r="152">
          <cell r="B152" t="str">
            <v>00050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</row>
        <row r="153">
          <cell r="B153" t="str">
            <v>00259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</row>
        <row r="154">
          <cell r="B154" t="str">
            <v>01521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</row>
        <row r="155">
          <cell r="B155" t="str">
            <v>01282</v>
          </cell>
          <cell r="C155" t="str">
            <v>CONVERSION</v>
          </cell>
          <cell r="D155">
            <v>0</v>
          </cell>
          <cell r="E155">
            <v>0</v>
          </cell>
          <cell r="F155">
            <v>265</v>
          </cell>
          <cell r="G155">
            <v>20</v>
          </cell>
          <cell r="H155">
            <v>346</v>
          </cell>
          <cell r="I155">
            <v>0</v>
          </cell>
          <cell r="J155">
            <v>0</v>
          </cell>
          <cell r="K155">
            <v>631</v>
          </cell>
        </row>
        <row r="155">
          <cell r="P155">
            <v>5000</v>
          </cell>
        </row>
        <row r="156">
          <cell r="B156" t="str">
            <v>00053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</row>
        <row r="157">
          <cell r="B157" t="str">
            <v>00025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B158" t="str">
            <v>00829</v>
          </cell>
          <cell r="C158" t="str">
            <v>CASH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</row>
        <row r="159">
          <cell r="B159" t="str">
            <v>01323</v>
          </cell>
          <cell r="C159">
            <v>0</v>
          </cell>
          <cell r="D159">
            <v>0</v>
          </cell>
          <cell r="E159">
            <v>0</v>
          </cell>
          <cell r="F159">
            <v>100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100</v>
          </cell>
        </row>
        <row r="159">
          <cell r="P159">
            <v>5000</v>
          </cell>
        </row>
        <row r="160">
          <cell r="B160" t="str">
            <v>00007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B161" t="str">
            <v>01286</v>
          </cell>
          <cell r="C161" t="str">
            <v>CONVERSION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</row>
        <row r="162">
          <cell r="B162" t="str">
            <v>00004</v>
          </cell>
          <cell r="C162" t="str">
            <v>Monthly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</row>
        <row r="163">
          <cell r="B163" t="str">
            <v>01270</v>
          </cell>
          <cell r="C163" t="str">
            <v>CASH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</row>
        <row r="164">
          <cell r="B164" t="str">
            <v>01519</v>
          </cell>
          <cell r="C164" t="str">
            <v>CONVERSION</v>
          </cell>
          <cell r="D164">
            <v>0</v>
          </cell>
          <cell r="E164">
            <v>0</v>
          </cell>
          <cell r="F164">
            <v>149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149</v>
          </cell>
        </row>
        <row r="164">
          <cell r="P164">
            <v>5000</v>
          </cell>
        </row>
        <row r="165">
          <cell r="B165" t="str">
            <v>01404</v>
          </cell>
          <cell r="C165" t="str">
            <v>Monthly</v>
          </cell>
          <cell r="D165">
            <v>0</v>
          </cell>
          <cell r="E165">
            <v>0</v>
          </cell>
          <cell r="F165">
            <v>36</v>
          </cell>
          <cell r="G165">
            <v>2</v>
          </cell>
          <cell r="H165">
            <v>20</v>
          </cell>
          <cell r="I165">
            <v>0</v>
          </cell>
          <cell r="J165">
            <v>0</v>
          </cell>
          <cell r="K165">
            <v>58</v>
          </cell>
          <cell r="L165">
            <v>13425</v>
          </cell>
        </row>
        <row r="165">
          <cell r="N165">
            <v>11000</v>
          </cell>
        </row>
        <row r="166">
          <cell r="B166" t="str">
            <v>00001</v>
          </cell>
          <cell r="C166" t="str">
            <v>Monthly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104</v>
          </cell>
          <cell r="I166">
            <v>0</v>
          </cell>
          <cell r="J166">
            <v>0</v>
          </cell>
          <cell r="K166">
            <v>104</v>
          </cell>
        </row>
        <row r="166">
          <cell r="O166">
            <v>7600</v>
          </cell>
        </row>
        <row r="167">
          <cell r="B167" t="str">
            <v>01596</v>
          </cell>
          <cell r="C167">
            <v>0</v>
          </cell>
          <cell r="D167">
            <v>0</v>
          </cell>
          <cell r="E167">
            <v>0</v>
          </cell>
          <cell r="F167">
            <v>236</v>
          </cell>
          <cell r="G167">
            <v>0</v>
          </cell>
          <cell r="H167">
            <v>12</v>
          </cell>
          <cell r="I167">
            <v>0</v>
          </cell>
          <cell r="J167">
            <v>0</v>
          </cell>
          <cell r="K167">
            <v>248</v>
          </cell>
        </row>
        <row r="168">
          <cell r="B168" t="str">
            <v>00047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B169" t="str">
            <v>01452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</row>
        <row r="170">
          <cell r="B170" t="str">
            <v>00051</v>
          </cell>
          <cell r="C170" t="str">
            <v>CASH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</row>
        <row r="171">
          <cell r="B171" t="str">
            <v>00005</v>
          </cell>
          <cell r="C171" t="str">
            <v>CASH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B172" t="str">
            <v>01554</v>
          </cell>
          <cell r="C172" t="str">
            <v>Conver-Lead</v>
          </cell>
          <cell r="D172">
            <v>0</v>
          </cell>
          <cell r="E172">
            <v>0</v>
          </cell>
          <cell r="F172">
            <v>65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65</v>
          </cell>
        </row>
        <row r="172">
          <cell r="P172">
            <v>5000</v>
          </cell>
        </row>
        <row r="173">
          <cell r="B173" t="str">
            <v>00029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</row>
        <row r="174">
          <cell r="B174" t="str">
            <v>01244</v>
          </cell>
          <cell r="C174" t="str">
            <v>Monthly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B175" t="str">
            <v>00003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</row>
        <row r="176">
          <cell r="B176" t="str">
            <v>00030</v>
          </cell>
          <cell r="C176" t="str">
            <v>Monthly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B177" t="str">
            <v>00002</v>
          </cell>
          <cell r="C177" t="str">
            <v>Monthly</v>
          </cell>
          <cell r="D177">
            <v>9</v>
          </cell>
          <cell r="E177">
            <v>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18</v>
          </cell>
        </row>
        <row r="178">
          <cell r="B178" t="str">
            <v>01557</v>
          </cell>
          <cell r="C178" t="str">
            <v>CONVERSION</v>
          </cell>
          <cell r="D178">
            <v>0</v>
          </cell>
          <cell r="E178">
            <v>0</v>
          </cell>
          <cell r="F178">
            <v>211</v>
          </cell>
          <cell r="G178">
            <v>15</v>
          </cell>
          <cell r="H178">
            <v>108</v>
          </cell>
          <cell r="I178">
            <v>0</v>
          </cell>
          <cell r="J178">
            <v>0</v>
          </cell>
          <cell r="K178">
            <v>334</v>
          </cell>
        </row>
        <row r="178">
          <cell r="P178">
            <v>5000</v>
          </cell>
        </row>
        <row r="179">
          <cell r="B179" t="str">
            <v>01593</v>
          </cell>
          <cell r="C179" t="str">
            <v>CONVERSION</v>
          </cell>
          <cell r="D179">
            <v>0</v>
          </cell>
          <cell r="E179">
            <v>0</v>
          </cell>
          <cell r="F179">
            <v>150</v>
          </cell>
          <cell r="G179">
            <v>10</v>
          </cell>
          <cell r="H179">
            <v>72</v>
          </cell>
          <cell r="I179">
            <v>0</v>
          </cell>
          <cell r="J179">
            <v>0</v>
          </cell>
          <cell r="K179">
            <v>232</v>
          </cell>
        </row>
        <row r="179">
          <cell r="P179">
            <v>5000</v>
          </cell>
        </row>
        <row r="180">
          <cell r="B180" t="str">
            <v>00042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B181" t="str">
            <v>01530</v>
          </cell>
          <cell r="C181" t="str">
            <v>CONVERSION</v>
          </cell>
          <cell r="D181">
            <v>0</v>
          </cell>
          <cell r="E181">
            <v>0</v>
          </cell>
          <cell r="F181">
            <v>260</v>
          </cell>
          <cell r="G181">
            <v>0</v>
          </cell>
          <cell r="H181">
            <v>4</v>
          </cell>
          <cell r="I181">
            <v>0</v>
          </cell>
          <cell r="J181">
            <v>0</v>
          </cell>
          <cell r="K181">
            <v>264</v>
          </cell>
        </row>
        <row r="181">
          <cell r="P181">
            <v>5000</v>
          </cell>
        </row>
        <row r="182">
          <cell r="B182" t="str">
            <v>01394</v>
          </cell>
          <cell r="C182" t="str">
            <v>CASH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3">
          <cell r="B183" t="str">
            <v>00116</v>
          </cell>
          <cell r="C183" t="str">
            <v>CASH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4">
          <cell r="B184" t="str">
            <v>00006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B185" t="str">
            <v>01469</v>
          </cell>
          <cell r="C185" t="str">
            <v>CASH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B186">
            <v>0</v>
          </cell>
          <cell r="C186">
            <v>0</v>
          </cell>
          <cell r="D186">
            <v>9</v>
          </cell>
          <cell r="E186">
            <v>9</v>
          </cell>
          <cell r="F186">
            <v>1905</v>
          </cell>
          <cell r="G186">
            <v>67</v>
          </cell>
          <cell r="H186">
            <v>1074</v>
          </cell>
          <cell r="I186">
            <v>0</v>
          </cell>
          <cell r="J186">
            <v>0</v>
          </cell>
          <cell r="K186">
            <v>3064</v>
          </cell>
        </row>
        <row r="187">
          <cell r="B187" t="str">
            <v>01442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B188" t="str">
            <v>01099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</row>
        <row r="189">
          <cell r="B189" t="str">
            <v>00818</v>
          </cell>
          <cell r="C189" t="str">
            <v>Monthly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B190" t="str">
            <v>01532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</row>
        <row r="191">
          <cell r="B191" t="str">
            <v>00180</v>
          </cell>
          <cell r="C191" t="str">
            <v>CASH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B192" t="str">
            <v>00179</v>
          </cell>
          <cell r="C192" t="str">
            <v>REGULAR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B193" t="str">
            <v>00182</v>
          </cell>
          <cell r="C193" t="str">
            <v>CASH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B194" t="str">
            <v>00184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</row>
        <row r="195">
          <cell r="B195" t="str">
            <v>01424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6">
          <cell r="B196" t="str">
            <v>01491</v>
          </cell>
          <cell r="C196" t="str">
            <v>CONVERSION</v>
          </cell>
          <cell r="D196">
            <v>0</v>
          </cell>
          <cell r="E196">
            <v>0</v>
          </cell>
          <cell r="F196">
            <v>75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75</v>
          </cell>
        </row>
        <row r="196">
          <cell r="P196">
            <v>5000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75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75</v>
          </cell>
        </row>
        <row r="198">
          <cell r="B198" t="str">
            <v>01122</v>
          </cell>
          <cell r="C198" t="str">
            <v>Monthly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B199" t="str">
            <v>01344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B200" t="str">
            <v>00816</v>
          </cell>
          <cell r="C200" t="str">
            <v>Monthly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</row>
        <row r="201">
          <cell r="B201" t="str">
            <v>01272</v>
          </cell>
          <cell r="C201" t="str">
            <v>CASH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B202" t="str">
            <v>00159</v>
          </cell>
          <cell r="C202" t="str">
            <v>Monthly</v>
          </cell>
          <cell r="D202">
            <v>0</v>
          </cell>
          <cell r="E202">
            <v>0</v>
          </cell>
          <cell r="F202">
            <v>61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61</v>
          </cell>
          <cell r="L202">
            <v>13100</v>
          </cell>
        </row>
        <row r="203">
          <cell r="B203" t="str">
            <v>00814</v>
          </cell>
          <cell r="C203" t="str">
            <v>CASH</v>
          </cell>
          <cell r="D203">
            <v>0</v>
          </cell>
          <cell r="E203">
            <v>0</v>
          </cell>
          <cell r="F203">
            <v>50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50</v>
          </cell>
          <cell r="L203">
            <v>13000</v>
          </cell>
        </row>
        <row r="204">
          <cell r="B204" t="str">
            <v>00138</v>
          </cell>
          <cell r="C204" t="str">
            <v>Monthly</v>
          </cell>
          <cell r="D204">
            <v>0</v>
          </cell>
          <cell r="E204">
            <v>0</v>
          </cell>
          <cell r="F204">
            <v>16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16</v>
          </cell>
          <cell r="L204">
            <v>13200</v>
          </cell>
        </row>
        <row r="205">
          <cell r="B205" t="str">
            <v>01398</v>
          </cell>
          <cell r="C205" t="str">
            <v>CASH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B206" t="str">
            <v>01130</v>
          </cell>
          <cell r="C206" t="str">
            <v>Monthly</v>
          </cell>
          <cell r="D206">
            <v>0</v>
          </cell>
          <cell r="E206">
            <v>0</v>
          </cell>
          <cell r="F206">
            <v>40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40</v>
          </cell>
          <cell r="L206">
            <v>13200</v>
          </cell>
        </row>
        <row r="207">
          <cell r="B207" t="str">
            <v>00823</v>
          </cell>
          <cell r="C207" t="str">
            <v>CASH</v>
          </cell>
          <cell r="D207">
            <v>0</v>
          </cell>
          <cell r="E207">
            <v>0</v>
          </cell>
          <cell r="F207">
            <v>16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16</v>
          </cell>
          <cell r="L207">
            <v>13000</v>
          </cell>
        </row>
        <row r="208">
          <cell r="B208" t="str">
            <v>01149</v>
          </cell>
          <cell r="C208" t="str">
            <v>CASH</v>
          </cell>
          <cell r="D208">
            <v>2</v>
          </cell>
          <cell r="E208">
            <v>0</v>
          </cell>
          <cell r="F208">
            <v>246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248</v>
          </cell>
          <cell r="L208">
            <v>13150</v>
          </cell>
        </row>
        <row r="209">
          <cell r="B209" t="str">
            <v>00334</v>
          </cell>
          <cell r="C209" t="str">
            <v>CASH</v>
          </cell>
          <cell r="D209">
            <v>2</v>
          </cell>
          <cell r="E209">
            <v>0</v>
          </cell>
          <cell r="F209">
            <v>102</v>
          </cell>
          <cell r="G209">
            <v>0</v>
          </cell>
          <cell r="H209">
            <v>64</v>
          </cell>
          <cell r="I209">
            <v>2</v>
          </cell>
          <cell r="J209">
            <v>0</v>
          </cell>
          <cell r="K209">
            <v>170</v>
          </cell>
          <cell r="L209">
            <v>13000</v>
          </cell>
        </row>
        <row r="209">
          <cell r="N209">
            <v>10500</v>
          </cell>
        </row>
        <row r="210">
          <cell r="B210" t="str">
            <v>00337</v>
          </cell>
          <cell r="C210" t="str">
            <v>CASH</v>
          </cell>
          <cell r="D210">
            <v>3</v>
          </cell>
          <cell r="E210">
            <v>5</v>
          </cell>
          <cell r="F210">
            <v>418</v>
          </cell>
          <cell r="G210">
            <v>0</v>
          </cell>
          <cell r="H210">
            <v>0</v>
          </cell>
          <cell r="I210">
            <v>5</v>
          </cell>
          <cell r="J210">
            <v>0</v>
          </cell>
          <cell r="K210">
            <v>431</v>
          </cell>
          <cell r="L210">
            <v>12800</v>
          </cell>
        </row>
        <row r="211">
          <cell r="B211" t="str">
            <v>01308</v>
          </cell>
          <cell r="C211" t="str">
            <v>CONVERSION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748</v>
          </cell>
          <cell r="I211">
            <v>0</v>
          </cell>
          <cell r="J211">
            <v>0</v>
          </cell>
          <cell r="K211">
            <v>748</v>
          </cell>
        </row>
        <row r="212">
          <cell r="B212" t="str">
            <v>00170</v>
          </cell>
          <cell r="C212" t="str">
            <v>CASH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</row>
        <row r="213">
          <cell r="B213" t="str">
            <v>00137</v>
          </cell>
          <cell r="C213" t="str">
            <v>Monthly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</row>
        <row r="214">
          <cell r="B214" t="str">
            <v>01152</v>
          </cell>
          <cell r="C214" t="str">
            <v>Monthly</v>
          </cell>
          <cell r="D214">
            <v>0</v>
          </cell>
          <cell r="E214">
            <v>0</v>
          </cell>
          <cell r="F214">
            <v>100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100</v>
          </cell>
          <cell r="L214">
            <v>13000</v>
          </cell>
        </row>
        <row r="214">
          <cell r="N214">
            <v>10800</v>
          </cell>
        </row>
        <row r="215">
          <cell r="B215" t="str">
            <v>01248</v>
          </cell>
          <cell r="C215" t="str">
            <v>CASH</v>
          </cell>
          <cell r="D215">
            <v>0</v>
          </cell>
          <cell r="E215">
            <v>0</v>
          </cell>
          <cell r="F215">
            <v>20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20</v>
          </cell>
          <cell r="L215">
            <v>13100</v>
          </cell>
        </row>
        <row r="216">
          <cell r="B216" t="str">
            <v>00345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</row>
        <row r="217">
          <cell r="B217" t="str">
            <v>01604</v>
          </cell>
          <cell r="C217" t="str">
            <v>Monthly</v>
          </cell>
          <cell r="D217">
            <v>2</v>
          </cell>
          <cell r="E217">
            <v>2</v>
          </cell>
          <cell r="F217">
            <v>9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13</v>
          </cell>
        </row>
        <row r="218">
          <cell r="B218" t="str">
            <v>00867</v>
          </cell>
          <cell r="C218" t="str">
            <v>Monthly</v>
          </cell>
          <cell r="D218">
            <v>0</v>
          </cell>
          <cell r="E218">
            <v>1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1</v>
          </cell>
        </row>
        <row r="219">
          <cell r="B219" t="str">
            <v>01113</v>
          </cell>
          <cell r="C219" t="str">
            <v>Monthly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0">
          <cell r="B220" t="str">
            <v>01261</v>
          </cell>
          <cell r="C220" t="str">
            <v>CASH</v>
          </cell>
          <cell r="D220">
            <v>0</v>
          </cell>
          <cell r="E220">
            <v>0</v>
          </cell>
          <cell r="F220">
            <v>28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28</v>
          </cell>
          <cell r="L220">
            <v>13100</v>
          </cell>
        </row>
        <row r="221">
          <cell r="B221" t="str">
            <v>01090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2">
          <cell r="B222" t="str">
            <v>01362</v>
          </cell>
          <cell r="C222" t="str">
            <v>CASH</v>
          </cell>
          <cell r="D222">
            <v>0</v>
          </cell>
          <cell r="E222">
            <v>0</v>
          </cell>
          <cell r="F222">
            <v>24</v>
          </cell>
          <cell r="G222">
            <v>0</v>
          </cell>
          <cell r="H222">
            <v>8</v>
          </cell>
          <cell r="I222">
            <v>0</v>
          </cell>
          <cell r="J222">
            <v>0</v>
          </cell>
          <cell r="K222">
            <v>32</v>
          </cell>
          <cell r="L222">
            <v>13100</v>
          </cell>
        </row>
        <row r="222">
          <cell r="N222">
            <v>10800</v>
          </cell>
        </row>
        <row r="223">
          <cell r="B223" t="str">
            <v>00367</v>
          </cell>
          <cell r="C223" t="str">
            <v>Monthly</v>
          </cell>
          <cell r="D223">
            <v>0</v>
          </cell>
          <cell r="E223">
            <v>0</v>
          </cell>
          <cell r="F223">
            <v>20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20</v>
          </cell>
          <cell r="L223">
            <v>13100</v>
          </cell>
        </row>
        <row r="224">
          <cell r="B224" t="str">
            <v>00847</v>
          </cell>
          <cell r="C224" t="str">
            <v>CASH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</row>
        <row r="225">
          <cell r="B225" t="str">
            <v>01123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</row>
        <row r="226">
          <cell r="B226" t="str">
            <v>00160</v>
          </cell>
          <cell r="C226" t="str">
            <v>Monthly</v>
          </cell>
          <cell r="D226">
            <v>0</v>
          </cell>
          <cell r="E226">
            <v>0</v>
          </cell>
          <cell r="F226">
            <v>38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38</v>
          </cell>
          <cell r="L226">
            <v>13200</v>
          </cell>
        </row>
        <row r="227">
          <cell r="B227" t="str">
            <v>01422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B228">
            <v>0</v>
          </cell>
          <cell r="C228">
            <v>0</v>
          </cell>
          <cell r="D228">
            <v>9</v>
          </cell>
          <cell r="E228">
            <v>8</v>
          </cell>
          <cell r="F228">
            <v>1188</v>
          </cell>
          <cell r="G228">
            <v>0</v>
          </cell>
          <cell r="H228">
            <v>820</v>
          </cell>
          <cell r="I228">
            <v>7</v>
          </cell>
          <cell r="J228">
            <v>0</v>
          </cell>
          <cell r="K228">
            <v>2032</v>
          </cell>
        </row>
        <row r="229">
          <cell r="B229" t="str">
            <v>00389</v>
          </cell>
          <cell r="C229" t="str">
            <v>CASH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13000</v>
          </cell>
        </row>
        <row r="229">
          <cell r="O229">
            <v>10800</v>
          </cell>
        </row>
        <row r="230">
          <cell r="B230" t="str">
            <v>00398</v>
          </cell>
          <cell r="C230" t="str">
            <v>Monthly</v>
          </cell>
          <cell r="D230">
            <v>0</v>
          </cell>
          <cell r="E230">
            <v>0</v>
          </cell>
          <cell r="F230">
            <v>190</v>
          </cell>
          <cell r="G230">
            <v>0</v>
          </cell>
          <cell r="H230">
            <v>136</v>
          </cell>
          <cell r="I230">
            <v>0</v>
          </cell>
          <cell r="J230">
            <v>0</v>
          </cell>
          <cell r="K230">
            <v>326</v>
          </cell>
          <cell r="L230">
            <v>13000</v>
          </cell>
        </row>
        <row r="230">
          <cell r="O230">
            <v>10700</v>
          </cell>
        </row>
        <row r="231">
          <cell r="B231" t="str">
            <v>00388</v>
          </cell>
          <cell r="C231" t="str">
            <v>REGULAR</v>
          </cell>
          <cell r="D231">
            <v>15</v>
          </cell>
          <cell r="E231">
            <v>2</v>
          </cell>
          <cell r="F231">
            <v>185</v>
          </cell>
          <cell r="G231">
            <v>0</v>
          </cell>
          <cell r="H231">
            <v>20</v>
          </cell>
          <cell r="I231">
            <v>0</v>
          </cell>
          <cell r="J231">
            <v>0</v>
          </cell>
          <cell r="K231">
            <v>222</v>
          </cell>
          <cell r="L231">
            <v>13200</v>
          </cell>
        </row>
        <row r="231">
          <cell r="O231">
            <v>10800</v>
          </cell>
        </row>
        <row r="232">
          <cell r="B232" t="str">
            <v>01104</v>
          </cell>
          <cell r="C232" t="str">
            <v>CASH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</row>
        <row r="233">
          <cell r="B233" t="str">
            <v>00392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</row>
        <row r="234">
          <cell r="B234" t="str">
            <v>01247</v>
          </cell>
          <cell r="C234" t="str">
            <v>Monthly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</row>
        <row r="235">
          <cell r="B235" t="str">
            <v>01279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B236" t="str">
            <v>01108</v>
          </cell>
          <cell r="C236" t="str">
            <v>CASH</v>
          </cell>
          <cell r="D236">
            <v>0</v>
          </cell>
          <cell r="E236">
            <v>0</v>
          </cell>
          <cell r="F236">
            <v>290</v>
          </cell>
          <cell r="G236">
            <v>0</v>
          </cell>
          <cell r="H236">
            <v>92</v>
          </cell>
          <cell r="I236">
            <v>0</v>
          </cell>
          <cell r="J236">
            <v>0</v>
          </cell>
          <cell r="K236">
            <v>382</v>
          </cell>
          <cell r="L236">
            <v>12900</v>
          </cell>
        </row>
        <row r="236">
          <cell r="O236">
            <v>10700</v>
          </cell>
        </row>
        <row r="237">
          <cell r="B237" t="str">
            <v>01423</v>
          </cell>
          <cell r="C237" t="str">
            <v>CONVERSION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8">
          <cell r="B238" t="str">
            <v>00400</v>
          </cell>
          <cell r="C238" t="str">
            <v>CASH</v>
          </cell>
          <cell r="D238">
            <v>9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9</v>
          </cell>
        </row>
        <row r="239">
          <cell r="B239" t="str">
            <v>01508</v>
          </cell>
          <cell r="C239" t="str">
            <v>CASH</v>
          </cell>
          <cell r="D239">
            <v>0</v>
          </cell>
          <cell r="E239">
            <v>0</v>
          </cell>
          <cell r="F239">
            <v>35</v>
          </cell>
          <cell r="G239">
            <v>0</v>
          </cell>
          <cell r="H239">
            <v>20</v>
          </cell>
          <cell r="I239">
            <v>0</v>
          </cell>
          <cell r="J239">
            <v>0</v>
          </cell>
          <cell r="K239">
            <v>55</v>
          </cell>
          <cell r="L239">
            <v>13000</v>
          </cell>
        </row>
        <row r="239">
          <cell r="O239">
            <v>10650</v>
          </cell>
        </row>
        <row r="240">
          <cell r="B240" t="str">
            <v>00410</v>
          </cell>
          <cell r="C240" t="str">
            <v>REGULAR</v>
          </cell>
          <cell r="D240">
            <v>0</v>
          </cell>
          <cell r="E240">
            <v>0</v>
          </cell>
          <cell r="F240">
            <v>10</v>
          </cell>
          <cell r="G240">
            <v>0</v>
          </cell>
          <cell r="H240">
            <v>20</v>
          </cell>
          <cell r="I240">
            <v>0</v>
          </cell>
          <cell r="J240">
            <v>0</v>
          </cell>
          <cell r="K240">
            <v>30</v>
          </cell>
          <cell r="L240">
            <v>13200</v>
          </cell>
        </row>
        <row r="240">
          <cell r="O240">
            <v>10800</v>
          </cell>
        </row>
        <row r="241">
          <cell r="B241" t="str">
            <v>00387</v>
          </cell>
          <cell r="C241" t="str">
            <v>Monthly</v>
          </cell>
          <cell r="D241">
            <v>64</v>
          </cell>
          <cell r="E241">
            <v>5</v>
          </cell>
          <cell r="F241">
            <v>310</v>
          </cell>
          <cell r="G241">
            <v>0</v>
          </cell>
          <cell r="H241">
            <v>0</v>
          </cell>
          <cell r="I241">
            <v>0</v>
          </cell>
          <cell r="J241">
            <v>10</v>
          </cell>
          <cell r="K241">
            <v>389</v>
          </cell>
          <cell r="L241">
            <v>13125</v>
          </cell>
        </row>
        <row r="242">
          <cell r="B242" t="str">
            <v>00390</v>
          </cell>
          <cell r="C242" t="str">
            <v>REGULAR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13200</v>
          </cell>
        </row>
        <row r="243">
          <cell r="B243" t="str">
            <v>00409</v>
          </cell>
          <cell r="C243" t="str">
            <v>REGULAR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</row>
        <row r="244">
          <cell r="B244" t="str">
            <v>01175</v>
          </cell>
          <cell r="C244" t="str">
            <v>CASH</v>
          </cell>
          <cell r="D244">
            <v>0</v>
          </cell>
          <cell r="E244">
            <v>0</v>
          </cell>
          <cell r="F244">
            <v>60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60</v>
          </cell>
          <cell r="L244">
            <v>13100</v>
          </cell>
        </row>
        <row r="244">
          <cell r="O244">
            <v>10800</v>
          </cell>
        </row>
        <row r="245">
          <cell r="B245">
            <v>0</v>
          </cell>
          <cell r="C245">
            <v>0</v>
          </cell>
          <cell r="D245">
            <v>88</v>
          </cell>
          <cell r="E245">
            <v>7</v>
          </cell>
          <cell r="F245">
            <v>1080</v>
          </cell>
          <cell r="G245">
            <v>0</v>
          </cell>
          <cell r="H245">
            <v>288</v>
          </cell>
          <cell r="I245">
            <v>0</v>
          </cell>
          <cell r="J245">
            <v>10</v>
          </cell>
          <cell r="K245">
            <v>1473</v>
          </cell>
        </row>
        <row r="246">
          <cell r="B246" t="str">
            <v>00140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B247" t="str">
            <v>00415</v>
          </cell>
          <cell r="C247" t="str">
            <v>Monthly</v>
          </cell>
          <cell r="D247">
            <v>0</v>
          </cell>
          <cell r="E247">
            <v>0</v>
          </cell>
          <cell r="F247">
            <v>20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20</v>
          </cell>
        </row>
        <row r="248">
          <cell r="B248" t="str">
            <v>00135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B249" t="str">
            <v>01292</v>
          </cell>
          <cell r="C249" t="str">
            <v>Conver-Lead</v>
          </cell>
          <cell r="D249">
            <v>0</v>
          </cell>
          <cell r="E249">
            <v>0</v>
          </cell>
          <cell r="F249">
            <v>125</v>
          </cell>
          <cell r="G249">
            <v>116</v>
          </cell>
          <cell r="H249">
            <v>0</v>
          </cell>
          <cell r="I249">
            <v>0</v>
          </cell>
          <cell r="J249">
            <v>0</v>
          </cell>
          <cell r="K249">
            <v>241</v>
          </cell>
        </row>
        <row r="249">
          <cell r="P249">
            <v>5200</v>
          </cell>
          <cell r="Q249">
            <v>5400</v>
          </cell>
        </row>
        <row r="250">
          <cell r="B250" t="str">
            <v>00165</v>
          </cell>
          <cell r="C250" t="str">
            <v>CASH</v>
          </cell>
          <cell r="D250">
            <v>0</v>
          </cell>
          <cell r="E250">
            <v>0</v>
          </cell>
          <cell r="F250">
            <v>6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6</v>
          </cell>
          <cell r="L250">
            <v>13300</v>
          </cell>
        </row>
        <row r="251">
          <cell r="B251" t="str">
            <v>01249</v>
          </cell>
          <cell r="C251">
            <v>0</v>
          </cell>
          <cell r="D251">
            <v>0</v>
          </cell>
          <cell r="E251">
            <v>0</v>
          </cell>
          <cell r="F251">
            <v>65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65</v>
          </cell>
          <cell r="L251">
            <v>13200</v>
          </cell>
        </row>
        <row r="252">
          <cell r="B252" t="str">
            <v>00162</v>
          </cell>
          <cell r="C252" t="str">
            <v>Monthly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B253" t="str">
            <v>01294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B254" t="str">
            <v>01085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B255" t="str">
            <v>00163</v>
          </cell>
          <cell r="C255" t="str">
            <v>CASH</v>
          </cell>
          <cell r="D255">
            <v>0</v>
          </cell>
          <cell r="E255">
            <v>0</v>
          </cell>
          <cell r="F255">
            <v>0</v>
          </cell>
          <cell r="G255">
            <v>4</v>
          </cell>
          <cell r="H255">
            <v>0</v>
          </cell>
          <cell r="I255">
            <v>0</v>
          </cell>
          <cell r="J255">
            <v>0</v>
          </cell>
          <cell r="K255">
            <v>4</v>
          </cell>
        </row>
        <row r="255">
          <cell r="M255">
            <v>13600</v>
          </cell>
        </row>
        <row r="256">
          <cell r="B256" t="str">
            <v>00133</v>
          </cell>
          <cell r="C256" t="str">
            <v>REGULAR</v>
          </cell>
          <cell r="D256">
            <v>7</v>
          </cell>
          <cell r="E256">
            <v>3</v>
          </cell>
          <cell r="F256">
            <v>45</v>
          </cell>
          <cell r="G256">
            <v>5</v>
          </cell>
          <cell r="H256">
            <v>0</v>
          </cell>
          <cell r="I256">
            <v>0</v>
          </cell>
          <cell r="J256">
            <v>3</v>
          </cell>
          <cell r="K256">
            <v>63</v>
          </cell>
          <cell r="L256">
            <v>13200</v>
          </cell>
        </row>
        <row r="257">
          <cell r="B257" t="str">
            <v>01474</v>
          </cell>
          <cell r="C257" t="str">
            <v>REGULAR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B258" t="str">
            <v>00143</v>
          </cell>
          <cell r="C258" t="str">
            <v>REGULAR</v>
          </cell>
          <cell r="D258">
            <v>0</v>
          </cell>
          <cell r="E258">
            <v>0</v>
          </cell>
          <cell r="F258">
            <v>4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4</v>
          </cell>
        </row>
        <row r="259">
          <cell r="B259" t="str">
            <v>01473</v>
          </cell>
          <cell r="C259" t="str">
            <v>CASH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B260" t="str">
            <v>01343</v>
          </cell>
          <cell r="C260" t="str">
            <v>Monthly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B261" t="str">
            <v>00141</v>
          </cell>
          <cell r="C261" t="str">
            <v>CASH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4</v>
          </cell>
          <cell r="J261">
            <v>0</v>
          </cell>
          <cell r="K261">
            <v>4</v>
          </cell>
        </row>
        <row r="262">
          <cell r="B262" t="str">
            <v>01451</v>
          </cell>
          <cell r="C262" t="str">
            <v>Conver-Lead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B263" t="str">
            <v>01489</v>
          </cell>
          <cell r="C263" t="str">
            <v>CASH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4">
          <cell r="B264" t="str">
            <v>01490</v>
          </cell>
          <cell r="C264" t="str">
            <v>REGULAR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B265" t="str">
            <v>01594</v>
          </cell>
          <cell r="C265" t="str">
            <v>Conver-Lead</v>
          </cell>
          <cell r="D265">
            <v>0</v>
          </cell>
          <cell r="E265">
            <v>0</v>
          </cell>
          <cell r="F265">
            <v>108</v>
          </cell>
          <cell r="G265">
            <v>23</v>
          </cell>
          <cell r="H265">
            <v>0</v>
          </cell>
          <cell r="I265">
            <v>0</v>
          </cell>
          <cell r="J265">
            <v>0</v>
          </cell>
          <cell r="K265">
            <v>131</v>
          </cell>
        </row>
        <row r="265">
          <cell r="P265">
            <v>5200</v>
          </cell>
          <cell r="Q265">
            <v>5400</v>
          </cell>
        </row>
        <row r="266">
          <cell r="B266" t="str">
            <v>01434</v>
          </cell>
          <cell r="C266" t="str">
            <v>CASH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</row>
        <row r="267">
          <cell r="B267" t="str">
            <v>01522</v>
          </cell>
          <cell r="C267" t="str">
            <v>Conver-Lead</v>
          </cell>
          <cell r="D267">
            <v>0</v>
          </cell>
          <cell r="E267">
            <v>0</v>
          </cell>
          <cell r="F267">
            <v>140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140</v>
          </cell>
        </row>
        <row r="267">
          <cell r="P267">
            <v>5200</v>
          </cell>
          <cell r="Q267">
            <v>5400</v>
          </cell>
        </row>
        <row r="268">
          <cell r="B268" t="str">
            <v>01433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</row>
        <row r="269">
          <cell r="B269" t="str">
            <v>01447</v>
          </cell>
          <cell r="C269" t="str">
            <v>CASH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</row>
        <row r="270">
          <cell r="B270" t="str">
            <v>00134</v>
          </cell>
          <cell r="C270" t="str">
            <v>Monthly</v>
          </cell>
          <cell r="D270">
            <v>0</v>
          </cell>
          <cell r="E270">
            <v>0</v>
          </cell>
          <cell r="F270">
            <v>117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117</v>
          </cell>
          <cell r="L270">
            <v>13150</v>
          </cell>
        </row>
        <row r="271">
          <cell r="B271" t="str">
            <v>01084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2">
          <cell r="B272" t="str">
            <v>01561</v>
          </cell>
          <cell r="C272" t="str">
            <v>CASH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</row>
        <row r="273">
          <cell r="B273" t="str">
            <v>00161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B274" t="str">
            <v>01471</v>
          </cell>
          <cell r="C274" t="str">
            <v>Conver-Lead</v>
          </cell>
          <cell r="D274">
            <v>0</v>
          </cell>
          <cell r="E274">
            <v>0</v>
          </cell>
          <cell r="F274">
            <v>63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63</v>
          </cell>
        </row>
        <row r="274">
          <cell r="P274">
            <v>5200</v>
          </cell>
          <cell r="Q274">
            <v>5400</v>
          </cell>
        </row>
        <row r="275">
          <cell r="B275" t="str">
            <v>01395</v>
          </cell>
          <cell r="C275" t="str">
            <v>CASH</v>
          </cell>
          <cell r="D275">
            <v>0</v>
          </cell>
          <cell r="E275">
            <v>1</v>
          </cell>
          <cell r="F275">
            <v>36</v>
          </cell>
          <cell r="G275">
            <v>15</v>
          </cell>
          <cell r="H275">
            <v>0</v>
          </cell>
          <cell r="I275">
            <v>0</v>
          </cell>
          <cell r="J275">
            <v>0</v>
          </cell>
          <cell r="K275">
            <v>52</v>
          </cell>
          <cell r="L275">
            <v>13100</v>
          </cell>
          <cell r="M275">
            <v>13600</v>
          </cell>
        </row>
        <row r="276">
          <cell r="B276" t="str">
            <v>00848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</row>
        <row r="277">
          <cell r="B277" t="str">
            <v>00146</v>
          </cell>
          <cell r="C277" t="str">
            <v>CASH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</row>
        <row r="278">
          <cell r="B278" t="str">
            <v>01544</v>
          </cell>
          <cell r="C278" t="str">
            <v>Conver-Lead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</row>
        <row r="279">
          <cell r="B279">
            <v>0</v>
          </cell>
        </row>
        <row r="279">
          <cell r="D279">
            <v>7</v>
          </cell>
          <cell r="E279">
            <v>4</v>
          </cell>
          <cell r="F279">
            <v>729</v>
          </cell>
          <cell r="G279">
            <v>163</v>
          </cell>
          <cell r="H279">
            <v>0</v>
          </cell>
          <cell r="I279">
            <v>4</v>
          </cell>
          <cell r="J279">
            <v>3</v>
          </cell>
          <cell r="K279">
            <v>910</v>
          </cell>
        </row>
        <row r="280">
          <cell r="B280" t="str">
            <v>00718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1">
          <cell r="B281" t="str">
            <v>00709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</row>
        <row r="282">
          <cell r="B282" t="str">
            <v>01513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</row>
        <row r="283">
          <cell r="B283" t="str">
            <v>01528</v>
          </cell>
          <cell r="C283" t="str">
            <v>CASH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</row>
        <row r="284">
          <cell r="B284" t="str">
            <v>01137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</row>
        <row r="285">
          <cell r="B285" t="str">
            <v>00710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</row>
        <row r="286">
          <cell r="B286" t="str">
            <v>01053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</row>
        <row r="287">
          <cell r="B287" t="str">
            <v>00703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</row>
        <row r="288">
          <cell r="B288" t="str">
            <v>01541</v>
          </cell>
          <cell r="C288" t="str">
            <v>REGULAR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</row>
        <row r="289">
          <cell r="B289" t="str">
            <v>00675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</row>
        <row r="290">
          <cell r="B290" t="str">
            <v>00719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</row>
        <row r="291">
          <cell r="B291" t="str">
            <v>00706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</row>
        <row r="292">
          <cell r="B292" t="str">
            <v>00625</v>
          </cell>
          <cell r="C292" t="str">
            <v>CASH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</row>
        <row r="293">
          <cell r="B293" t="str">
            <v>01583</v>
          </cell>
          <cell r="C293" t="str">
            <v>Conver-Lead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</row>
        <row r="294">
          <cell r="B294" t="str">
            <v>00728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</row>
        <row r="295">
          <cell r="B295" t="str">
            <v>00701</v>
          </cell>
          <cell r="C295" t="str">
            <v>Monthly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</row>
        <row r="296">
          <cell r="B296" t="str">
            <v>01345</v>
          </cell>
          <cell r="C296" t="str">
            <v>Conver-Lead</v>
          </cell>
          <cell r="D296">
            <v>0</v>
          </cell>
          <cell r="E296">
            <v>0</v>
          </cell>
          <cell r="F296">
            <v>25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25</v>
          </cell>
        </row>
        <row r="296">
          <cell r="P296">
            <v>5000</v>
          </cell>
        </row>
        <row r="297">
          <cell r="B297" t="str">
            <v>00708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B298" t="str">
            <v>00628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</row>
        <row r="299">
          <cell r="B299" t="str">
            <v>01068</v>
          </cell>
          <cell r="C299" t="str">
            <v>Monthly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</row>
        <row r="300">
          <cell r="B300" t="str">
            <v>01509</v>
          </cell>
          <cell r="C300" t="str">
            <v>Conver-Lead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</row>
        <row r="301">
          <cell r="B301" t="str">
            <v>00707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</row>
        <row r="302">
          <cell r="B302" t="str">
            <v>00649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</row>
        <row r="303">
          <cell r="B303" t="str">
            <v>01096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</row>
        <row r="304">
          <cell r="B304" t="str">
            <v>01101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</row>
        <row r="305">
          <cell r="B305" t="str">
            <v>01077</v>
          </cell>
          <cell r="C305" t="str">
            <v>REGULAR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</row>
        <row r="306">
          <cell r="B306" t="str">
            <v>01144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</row>
        <row r="307">
          <cell r="B307" t="str">
            <v>01458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</row>
        <row r="308">
          <cell r="B308" t="str">
            <v>01067</v>
          </cell>
          <cell r="C308" t="str">
            <v>Monthly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09">
          <cell r="B309" t="str">
            <v>01484</v>
          </cell>
          <cell r="C309" t="str">
            <v>Conver-Lead</v>
          </cell>
          <cell r="D309">
            <v>0</v>
          </cell>
          <cell r="E309">
            <v>0</v>
          </cell>
          <cell r="F309">
            <v>88</v>
          </cell>
          <cell r="G309">
            <v>30</v>
          </cell>
          <cell r="H309">
            <v>0</v>
          </cell>
          <cell r="I309">
            <v>0</v>
          </cell>
          <cell r="J309">
            <v>0</v>
          </cell>
          <cell r="K309">
            <v>118</v>
          </cell>
        </row>
        <row r="309">
          <cell r="P309">
            <v>5000</v>
          </cell>
          <cell r="Q309">
            <v>5400</v>
          </cell>
        </row>
        <row r="310">
          <cell r="B310" t="str">
            <v>00646</v>
          </cell>
          <cell r="C310" t="str">
            <v>REGULAR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</row>
        <row r="311">
          <cell r="B311" t="str">
            <v>01435</v>
          </cell>
          <cell r="C311" t="str">
            <v>Monthly</v>
          </cell>
          <cell r="D311">
            <v>0</v>
          </cell>
          <cell r="E311">
            <v>0</v>
          </cell>
          <cell r="F311">
            <v>10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10</v>
          </cell>
          <cell r="L311">
            <v>13000</v>
          </cell>
        </row>
        <row r="312">
          <cell r="B312" t="str">
            <v>01432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</row>
        <row r="313">
          <cell r="B313" t="str">
            <v>00704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</row>
        <row r="314">
          <cell r="B314" t="str">
            <v>01119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</row>
        <row r="315">
          <cell r="B315" t="str">
            <v>00702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B316" t="str">
            <v>01390</v>
          </cell>
          <cell r="C316" t="str">
            <v>CASH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</row>
        <row r="317">
          <cell r="B317" t="str">
            <v>01457</v>
          </cell>
          <cell r="C317" t="str">
            <v>Conver-Lead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B318" t="str">
            <v>00731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</row>
        <row r="319">
          <cell r="B319" t="str">
            <v>00665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123</v>
          </cell>
          <cell r="G320">
            <v>30</v>
          </cell>
          <cell r="H320">
            <v>0</v>
          </cell>
          <cell r="I320">
            <v>0</v>
          </cell>
          <cell r="J320">
            <v>0</v>
          </cell>
          <cell r="K320">
            <v>153</v>
          </cell>
        </row>
        <row r="321">
          <cell r="B321" t="str">
            <v>01250</v>
          </cell>
          <cell r="C321" t="str">
            <v>CASH</v>
          </cell>
          <cell r="D321">
            <v>0</v>
          </cell>
          <cell r="E321">
            <v>0</v>
          </cell>
          <cell r="F321">
            <v>15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15</v>
          </cell>
          <cell r="L321">
            <v>13000</v>
          </cell>
        </row>
        <row r="322">
          <cell r="B322" t="str">
            <v>00685</v>
          </cell>
          <cell r="C322" t="str">
            <v>CASH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B323" t="str">
            <v>00534</v>
          </cell>
          <cell r="C323" t="str">
            <v>REGULAR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</row>
        <row r="324">
          <cell r="B324" t="str">
            <v>01315</v>
          </cell>
          <cell r="C324" t="str">
            <v>Conver-Lead</v>
          </cell>
          <cell r="D324">
            <v>0</v>
          </cell>
          <cell r="E324">
            <v>0</v>
          </cell>
          <cell r="F324">
            <v>30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30</v>
          </cell>
        </row>
        <row r="324">
          <cell r="P324">
            <v>5200</v>
          </cell>
        </row>
        <row r="325">
          <cell r="B325" t="str">
            <v>01056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</row>
        <row r="326">
          <cell r="B326" t="str">
            <v>01487</v>
          </cell>
          <cell r="C326" t="str">
            <v>CASH</v>
          </cell>
          <cell r="D326">
            <v>0</v>
          </cell>
          <cell r="E326">
            <v>0</v>
          </cell>
          <cell r="F326">
            <v>25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25</v>
          </cell>
          <cell r="L326">
            <v>13000</v>
          </cell>
        </row>
        <row r="327">
          <cell r="B327" t="str">
            <v>01539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</row>
        <row r="328">
          <cell r="B328" t="str">
            <v>00535</v>
          </cell>
          <cell r="C328" t="str">
            <v>REGULAR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</row>
        <row r="329">
          <cell r="B329" t="str">
            <v>00661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</row>
        <row r="330">
          <cell r="B330" t="str">
            <v>01120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</row>
        <row r="331">
          <cell r="B331" t="str">
            <v>00834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</row>
        <row r="332">
          <cell r="B332" t="str">
            <v>00836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B333" t="str">
            <v>01606</v>
          </cell>
          <cell r="C333">
            <v>0</v>
          </cell>
          <cell r="D333">
            <v>0</v>
          </cell>
          <cell r="E333">
            <v>0</v>
          </cell>
          <cell r="F333">
            <v>40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40</v>
          </cell>
        </row>
        <row r="333">
          <cell r="P333">
            <v>5000</v>
          </cell>
        </row>
        <row r="334">
          <cell r="B334" t="str">
            <v>00544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</row>
        <row r="335">
          <cell r="B335" t="str">
            <v>00537</v>
          </cell>
          <cell r="C335" t="str">
            <v>CASH</v>
          </cell>
          <cell r="D335">
            <v>0</v>
          </cell>
          <cell r="E335">
            <v>0</v>
          </cell>
          <cell r="F335">
            <v>100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100</v>
          </cell>
          <cell r="L335">
            <v>12800</v>
          </cell>
        </row>
        <row r="336">
          <cell r="B336" t="str">
            <v>01367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</row>
        <row r="337">
          <cell r="B337" t="str">
            <v>00545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8">
          <cell r="B338" t="str">
            <v>00838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</row>
        <row r="339">
          <cell r="B339" t="str">
            <v>00536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</row>
        <row r="340">
          <cell r="B340" t="str">
            <v>01482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</row>
        <row r="341">
          <cell r="B341" t="str">
            <v>00546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</row>
        <row r="342">
          <cell r="B342" t="str">
            <v>00551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</row>
        <row r="343">
          <cell r="B343" t="str">
            <v>01057</v>
          </cell>
          <cell r="C343" t="str">
            <v>CASH</v>
          </cell>
          <cell r="D343">
            <v>0</v>
          </cell>
          <cell r="E343">
            <v>0</v>
          </cell>
          <cell r="F343">
            <v>15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15</v>
          </cell>
          <cell r="L343">
            <v>13400</v>
          </cell>
        </row>
        <row r="344">
          <cell r="B344" t="str">
            <v>01140</v>
          </cell>
          <cell r="C344" t="str">
            <v>CASH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</row>
        <row r="345">
          <cell r="B345" t="str">
            <v>01588</v>
          </cell>
          <cell r="C345">
            <v>0</v>
          </cell>
          <cell r="D345">
            <v>0</v>
          </cell>
          <cell r="E345">
            <v>0</v>
          </cell>
          <cell r="F345">
            <v>32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32</v>
          </cell>
          <cell r="L345">
            <v>12800</v>
          </cell>
        </row>
        <row r="346">
          <cell r="B346" t="str">
            <v>01589</v>
          </cell>
          <cell r="C346" t="str">
            <v>CONVERSION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</row>
        <row r="347">
          <cell r="B347" t="str">
            <v>00558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</row>
        <row r="348">
          <cell r="B348" t="str">
            <v>00621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257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257</v>
          </cell>
        </row>
        <row r="350">
          <cell r="B350" t="str">
            <v>00647</v>
          </cell>
          <cell r="C350">
            <v>0</v>
          </cell>
          <cell r="D350">
            <v>0</v>
          </cell>
          <cell r="E350">
            <v>8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8</v>
          </cell>
        </row>
        <row r="351">
          <cell r="B351" t="str">
            <v>00618</v>
          </cell>
          <cell r="C351">
            <v>0</v>
          </cell>
          <cell r="D351">
            <v>0</v>
          </cell>
          <cell r="E351">
            <v>0</v>
          </cell>
          <cell r="F351">
            <v>10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10</v>
          </cell>
          <cell r="L351">
            <v>13000</v>
          </cell>
        </row>
        <row r="352">
          <cell r="B352" t="str">
            <v>00617</v>
          </cell>
          <cell r="C352" t="str">
            <v>REGULAR</v>
          </cell>
          <cell r="D352">
            <v>0</v>
          </cell>
          <cell r="E352">
            <v>0</v>
          </cell>
          <cell r="F352">
            <v>20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20</v>
          </cell>
          <cell r="L352">
            <v>13600</v>
          </cell>
        </row>
        <row r="353">
          <cell r="B353" t="str">
            <v>01136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</row>
        <row r="354">
          <cell r="B354" t="str">
            <v>00674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</row>
        <row r="355">
          <cell r="B355" t="str">
            <v>00624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</row>
        <row r="356">
          <cell r="B356" t="str">
            <v>01358</v>
          </cell>
          <cell r="C356" t="str">
            <v>CASH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</row>
        <row r="357">
          <cell r="B357" t="str">
            <v>01536</v>
          </cell>
          <cell r="C357" t="str">
            <v>Conver-Lead</v>
          </cell>
          <cell r="D357">
            <v>0</v>
          </cell>
          <cell r="E357">
            <v>0</v>
          </cell>
          <cell r="F357">
            <v>52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52</v>
          </cell>
        </row>
        <row r="357">
          <cell r="P357">
            <v>5000</v>
          </cell>
        </row>
        <row r="358">
          <cell r="B358" t="str">
            <v>01134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</row>
        <row r="359">
          <cell r="B359" t="str">
            <v>00616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</row>
        <row r="360">
          <cell r="B360" t="str">
            <v>01599</v>
          </cell>
          <cell r="C360">
            <v>0</v>
          </cell>
          <cell r="D360">
            <v>0</v>
          </cell>
          <cell r="E360">
            <v>0</v>
          </cell>
          <cell r="F360">
            <v>101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101</v>
          </cell>
        </row>
        <row r="360">
          <cell r="P360">
            <v>5000</v>
          </cell>
        </row>
        <row r="361">
          <cell r="B361" t="str">
            <v>00835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</row>
        <row r="362">
          <cell r="B362" t="str">
            <v>00832</v>
          </cell>
          <cell r="C362" t="str">
            <v>CASH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</row>
        <row r="363">
          <cell r="B363" t="str">
            <v>01493</v>
          </cell>
          <cell r="C363" t="str">
            <v>CASH</v>
          </cell>
          <cell r="D363">
            <v>0</v>
          </cell>
          <cell r="E363">
            <v>0</v>
          </cell>
          <cell r="F363">
            <v>45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45</v>
          </cell>
          <cell r="L363">
            <v>13000</v>
          </cell>
        </row>
        <row r="364">
          <cell r="B364" t="str">
            <v>00622</v>
          </cell>
          <cell r="C364" t="str">
            <v>CASH</v>
          </cell>
          <cell r="D364">
            <v>0</v>
          </cell>
          <cell r="E364">
            <v>0</v>
          </cell>
          <cell r="F364">
            <v>60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60</v>
          </cell>
          <cell r="L364">
            <v>13000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8</v>
          </cell>
          <cell r="F365">
            <v>288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296</v>
          </cell>
        </row>
        <row r="366">
          <cell r="B366" t="str">
            <v>00519</v>
          </cell>
          <cell r="C366" t="str">
            <v>Monthly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28</v>
          </cell>
          <cell r="J366">
            <v>0</v>
          </cell>
          <cell r="K366">
            <v>28</v>
          </cell>
        </row>
        <row r="367">
          <cell r="B367" t="str">
            <v>00496</v>
          </cell>
          <cell r="C367" t="str">
            <v>Monthly</v>
          </cell>
          <cell r="D367">
            <v>0</v>
          </cell>
          <cell r="E367">
            <v>0</v>
          </cell>
          <cell r="F367">
            <v>148</v>
          </cell>
          <cell r="G367">
            <v>46</v>
          </cell>
          <cell r="H367">
            <v>28</v>
          </cell>
          <cell r="I367">
            <v>0</v>
          </cell>
          <cell r="J367">
            <v>0</v>
          </cell>
          <cell r="K367">
            <v>222</v>
          </cell>
          <cell r="L367">
            <v>12800</v>
          </cell>
          <cell r="M367">
            <v>13600</v>
          </cell>
          <cell r="N367">
            <v>10400</v>
          </cell>
        </row>
        <row r="368">
          <cell r="B368" t="str">
            <v>01468</v>
          </cell>
          <cell r="C368" t="str">
            <v>Conver-Lead</v>
          </cell>
          <cell r="D368">
            <v>0</v>
          </cell>
          <cell r="E368">
            <v>0</v>
          </cell>
          <cell r="F368">
            <v>350</v>
          </cell>
          <cell r="G368">
            <v>0</v>
          </cell>
          <cell r="H368">
            <v>196</v>
          </cell>
          <cell r="I368">
            <v>0</v>
          </cell>
          <cell r="J368">
            <v>0</v>
          </cell>
          <cell r="K368">
            <v>546</v>
          </cell>
        </row>
        <row r="368">
          <cell r="P368">
            <v>4800</v>
          </cell>
          <cell r="Q368">
            <v>4900</v>
          </cell>
        </row>
        <row r="369">
          <cell r="B369" t="str">
            <v>01026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</row>
        <row r="370">
          <cell r="B370" t="str">
            <v>01131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</row>
        <row r="371">
          <cell r="B371" t="str">
            <v>01497</v>
          </cell>
          <cell r="C371" t="str">
            <v>CONVERSION</v>
          </cell>
          <cell r="D371">
            <v>0</v>
          </cell>
          <cell r="E371">
            <v>0</v>
          </cell>
          <cell r="F371">
            <v>200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200</v>
          </cell>
        </row>
        <row r="371">
          <cell r="P371">
            <v>4850</v>
          </cell>
        </row>
        <row r="372">
          <cell r="B372" t="str">
            <v>00500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</row>
        <row r="373">
          <cell r="B373" t="str">
            <v>00498</v>
          </cell>
          <cell r="C373" t="str">
            <v>Monthly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</row>
        <row r="374">
          <cell r="B374" t="str">
            <v>00526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</row>
        <row r="375">
          <cell r="B375" t="str">
            <v>00502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</row>
        <row r="376">
          <cell r="B376" t="str">
            <v>01595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</row>
        <row r="377">
          <cell r="B377" t="str">
            <v>00501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</row>
        <row r="378">
          <cell r="B378" t="str">
            <v>01535</v>
          </cell>
          <cell r="C378" t="str">
            <v>CONVERSION</v>
          </cell>
          <cell r="D378">
            <v>0</v>
          </cell>
          <cell r="E378">
            <v>0</v>
          </cell>
          <cell r="F378">
            <v>100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100</v>
          </cell>
        </row>
        <row r="378">
          <cell r="P378">
            <v>4900</v>
          </cell>
        </row>
        <row r="379">
          <cell r="B379" t="str">
            <v>01600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8</v>
          </cell>
          <cell r="H379">
            <v>0</v>
          </cell>
          <cell r="I379">
            <v>0</v>
          </cell>
          <cell r="J379">
            <v>0</v>
          </cell>
          <cell r="K379">
            <v>8</v>
          </cell>
        </row>
        <row r="379">
          <cell r="Q379">
            <v>5200</v>
          </cell>
        </row>
        <row r="380">
          <cell r="B380" t="str">
            <v>01036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</row>
        <row r="381">
          <cell r="B381" t="str">
            <v>00843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</row>
        <row r="382">
          <cell r="B382" t="str">
            <v>01494</v>
          </cell>
          <cell r="C382" t="str">
            <v>CONVERSION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</row>
        <row r="383">
          <cell r="B383" t="str">
            <v>01252</v>
          </cell>
          <cell r="C383" t="str">
            <v>CASH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</row>
        <row r="384">
          <cell r="B384" t="str">
            <v>01545</v>
          </cell>
          <cell r="C384" t="str">
            <v>Conver-Lead</v>
          </cell>
          <cell r="D384">
            <v>0</v>
          </cell>
          <cell r="E384">
            <v>0</v>
          </cell>
          <cell r="F384">
            <v>46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46</v>
          </cell>
        </row>
        <row r="384">
          <cell r="P384">
            <v>5000</v>
          </cell>
        </row>
        <row r="385">
          <cell r="B385" t="str">
            <v>00495</v>
          </cell>
          <cell r="C385">
            <v>0</v>
          </cell>
          <cell r="D385">
            <v>0</v>
          </cell>
          <cell r="E385">
            <v>0</v>
          </cell>
          <cell r="F385">
            <v>8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8</v>
          </cell>
          <cell r="L385">
            <v>13500</v>
          </cell>
        </row>
        <row r="386">
          <cell r="B386" t="str">
            <v>00499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852</v>
          </cell>
          <cell r="G387">
            <v>54</v>
          </cell>
          <cell r="H387">
            <v>224</v>
          </cell>
          <cell r="I387">
            <v>28</v>
          </cell>
          <cell r="J387">
            <v>0</v>
          </cell>
          <cell r="K387">
            <v>1158</v>
          </cell>
        </row>
        <row r="388">
          <cell r="B388" t="str">
            <v>01267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</row>
        <row r="389">
          <cell r="B389" t="str">
            <v>01480</v>
          </cell>
          <cell r="C389" t="str">
            <v>CASH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</row>
        <row r="390">
          <cell r="B390" t="str">
            <v>01505</v>
          </cell>
          <cell r="C390" t="str">
            <v>CONVERSION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</row>
        <row r="390">
          <cell r="P390">
            <v>5100</v>
          </cell>
        </row>
        <row r="391">
          <cell r="B391" t="str">
            <v>01577</v>
          </cell>
          <cell r="C391" t="str">
            <v>CONVERSION</v>
          </cell>
          <cell r="D391">
            <v>0</v>
          </cell>
          <cell r="E391">
            <v>0</v>
          </cell>
          <cell r="F391">
            <v>50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50</v>
          </cell>
        </row>
        <row r="391">
          <cell r="P391">
            <v>5300</v>
          </cell>
        </row>
        <row r="392">
          <cell r="B392" t="str">
            <v>00581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</row>
        <row r="393">
          <cell r="B393" t="str">
            <v>01281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</row>
        <row r="394">
          <cell r="B394" t="str">
            <v>00590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</row>
        <row r="395">
          <cell r="B395" t="str">
            <v>01483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B396" t="str">
            <v>00615</v>
          </cell>
          <cell r="C396" t="str">
            <v>CASH</v>
          </cell>
          <cell r="D396">
            <v>0</v>
          </cell>
          <cell r="E396">
            <v>0</v>
          </cell>
          <cell r="F396">
            <v>140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140</v>
          </cell>
          <cell r="L396">
            <v>12500</v>
          </cell>
        </row>
        <row r="397">
          <cell r="B397" t="str">
            <v>00598</v>
          </cell>
          <cell r="C397" t="str">
            <v>CASH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</row>
        <row r="398">
          <cell r="B398" t="str">
            <v>01567</v>
          </cell>
          <cell r="C398" t="str">
            <v>CONVERSION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</row>
        <row r="399">
          <cell r="B399" t="str">
            <v>00602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B400" t="str">
            <v>01564</v>
          </cell>
          <cell r="C400" t="str">
            <v>CASH</v>
          </cell>
          <cell r="D400">
            <v>0</v>
          </cell>
          <cell r="E400">
            <v>0</v>
          </cell>
          <cell r="F400">
            <v>42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42</v>
          </cell>
          <cell r="L400">
            <v>13500</v>
          </cell>
        </row>
        <row r="401">
          <cell r="B401" t="str">
            <v>00601</v>
          </cell>
          <cell r="C401" t="str">
            <v>CASH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</row>
        <row r="402">
          <cell r="B402" t="str">
            <v>01520</v>
          </cell>
          <cell r="C402" t="str">
            <v>CONVERSION</v>
          </cell>
          <cell r="D402">
            <v>0</v>
          </cell>
          <cell r="E402">
            <v>0</v>
          </cell>
          <cell r="F402">
            <v>60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60</v>
          </cell>
        </row>
        <row r="402">
          <cell r="P402">
            <v>4700</v>
          </cell>
        </row>
        <row r="403">
          <cell r="B403" t="str">
            <v>01421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</row>
        <row r="404">
          <cell r="B404" t="str">
            <v>01499</v>
          </cell>
          <cell r="C404" t="str">
            <v>CASH</v>
          </cell>
          <cell r="D404">
            <v>0</v>
          </cell>
          <cell r="E404">
            <v>0</v>
          </cell>
          <cell r="F404">
            <v>2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2</v>
          </cell>
          <cell r="L404">
            <v>13650</v>
          </cell>
        </row>
        <row r="405">
          <cell r="B405" t="str">
            <v>01352</v>
          </cell>
          <cell r="C405" t="str">
            <v>Monthly</v>
          </cell>
          <cell r="D405">
            <v>0</v>
          </cell>
          <cell r="E405">
            <v>0</v>
          </cell>
          <cell r="F405">
            <v>60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60</v>
          </cell>
          <cell r="L405">
            <v>13100</v>
          </cell>
        </row>
        <row r="406">
          <cell r="B406" t="str">
            <v>00609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</row>
        <row r="407">
          <cell r="B407" t="str">
            <v>01405</v>
          </cell>
          <cell r="C407" t="str">
            <v>CASH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</row>
        <row r="408">
          <cell r="B408" t="str">
            <v>01576</v>
          </cell>
          <cell r="C408" t="str">
            <v>Conver-Lead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</row>
        <row r="409">
          <cell r="B409" t="str">
            <v>00599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</row>
        <row r="410">
          <cell r="B410" t="str">
            <v>01251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</row>
        <row r="411">
          <cell r="B411" t="str">
            <v>00603</v>
          </cell>
          <cell r="C411" t="str">
            <v>CASH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</row>
        <row r="412">
          <cell r="B412" t="str">
            <v>00600</v>
          </cell>
          <cell r="C412" t="str">
            <v>CASH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</row>
        <row r="413">
          <cell r="B413" t="str">
            <v>00610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354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354</v>
          </cell>
        </row>
        <row r="415">
          <cell r="B415" t="str">
            <v>01500</v>
          </cell>
          <cell r="C415" t="str">
            <v>Monthly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</row>
        <row r="416">
          <cell r="B416" t="str">
            <v>01525</v>
          </cell>
          <cell r="C416" t="str">
            <v>CONVERSION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</row>
        <row r="417">
          <cell r="B417" t="str">
            <v>01603</v>
          </cell>
          <cell r="C417">
            <v>0</v>
          </cell>
          <cell r="D417">
            <v>0</v>
          </cell>
          <cell r="E417">
            <v>0</v>
          </cell>
          <cell r="F417">
            <v>122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122</v>
          </cell>
        </row>
        <row r="417">
          <cell r="P417">
            <v>4800</v>
          </cell>
        </row>
        <row r="418">
          <cell r="B418" t="str">
            <v>00569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B419" t="str">
            <v>01507</v>
          </cell>
          <cell r="C419" t="str">
            <v>Conver-Lead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</row>
        <row r="419">
          <cell r="P419">
            <v>4900</v>
          </cell>
          <cell r="Q419">
            <v>5000</v>
          </cell>
        </row>
        <row r="420">
          <cell r="B420" t="str">
            <v>00562</v>
          </cell>
          <cell r="C420" t="str">
            <v>REGULAR</v>
          </cell>
          <cell r="D420">
            <v>0</v>
          </cell>
          <cell r="E420">
            <v>0</v>
          </cell>
          <cell r="F420">
            <v>206</v>
          </cell>
          <cell r="G420">
            <v>0</v>
          </cell>
          <cell r="H420">
            <v>70</v>
          </cell>
          <cell r="I420">
            <v>0</v>
          </cell>
          <cell r="J420">
            <v>0</v>
          </cell>
          <cell r="K420">
            <v>276</v>
          </cell>
          <cell r="L420">
            <v>13200</v>
          </cell>
        </row>
        <row r="420">
          <cell r="N420">
            <v>10700</v>
          </cell>
        </row>
        <row r="421">
          <cell r="B421" t="str">
            <v>01464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</row>
        <row r="422">
          <cell r="B422" t="str">
            <v>00820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</row>
        <row r="423">
          <cell r="B423" t="str">
            <v>01365</v>
          </cell>
          <cell r="C423" t="str">
            <v>CASH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</row>
        <row r="424">
          <cell r="B424" t="str">
            <v>00573</v>
          </cell>
          <cell r="C424" t="str">
            <v>REGULAR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</row>
        <row r="425">
          <cell r="B425" t="str">
            <v>01563</v>
          </cell>
          <cell r="C425" t="str">
            <v>Conver-Lead</v>
          </cell>
          <cell r="D425">
            <v>0</v>
          </cell>
          <cell r="E425">
            <v>0</v>
          </cell>
          <cell r="F425">
            <v>10</v>
          </cell>
          <cell r="G425">
            <v>0</v>
          </cell>
          <cell r="H425">
            <v>170</v>
          </cell>
          <cell r="I425">
            <v>0</v>
          </cell>
          <cell r="J425">
            <v>0</v>
          </cell>
          <cell r="K425">
            <v>180</v>
          </cell>
        </row>
        <row r="425">
          <cell r="P425">
            <v>4900</v>
          </cell>
        </row>
        <row r="426">
          <cell r="B426" t="str">
            <v>01139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</row>
        <row r="427">
          <cell r="B427" t="str">
            <v>01092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</row>
        <row r="428">
          <cell r="B428" t="str">
            <v>01407</v>
          </cell>
          <cell r="C428" t="str">
            <v>CASH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</row>
        <row r="429">
          <cell r="B429" t="str">
            <v>01138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</row>
        <row r="430">
          <cell r="B430" t="str">
            <v>01154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</row>
        <row r="431">
          <cell r="B431" t="str">
            <v>01159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</row>
        <row r="432">
          <cell r="B432" t="str">
            <v>01107</v>
          </cell>
          <cell r="C432" t="str">
            <v>REGULAR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</row>
        <row r="433">
          <cell r="B433" t="str">
            <v>01566</v>
          </cell>
          <cell r="C433" t="str">
            <v>Conver-Lead</v>
          </cell>
          <cell r="D433">
            <v>0</v>
          </cell>
          <cell r="E433">
            <v>0</v>
          </cell>
          <cell r="F433">
            <v>200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200</v>
          </cell>
        </row>
        <row r="433">
          <cell r="P433">
            <v>4850</v>
          </cell>
        </row>
        <row r="434">
          <cell r="B434" t="str">
            <v>00585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</row>
        <row r="435">
          <cell r="B435" t="str">
            <v>00567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B436" t="str">
            <v>00565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</row>
        <row r="437">
          <cell r="B437" t="str">
            <v>01516</v>
          </cell>
          <cell r="C437" t="str">
            <v>Monthly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</row>
        <row r="438">
          <cell r="B438" t="str">
            <v>00560</v>
          </cell>
          <cell r="C438" t="str">
            <v>REGULAR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</row>
        <row r="439">
          <cell r="B439" t="str">
            <v>00579</v>
          </cell>
          <cell r="C439" t="str">
            <v>Monthly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13300</v>
          </cell>
        </row>
        <row r="439">
          <cell r="N439">
            <v>10800</v>
          </cell>
        </row>
        <row r="440">
          <cell r="B440" t="str">
            <v>00588</v>
          </cell>
          <cell r="C440" t="str">
            <v>CASH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</row>
        <row r="441">
          <cell r="B441" t="str">
            <v>01552</v>
          </cell>
          <cell r="C441" t="str">
            <v>Conver-Lead</v>
          </cell>
          <cell r="D441">
            <v>0</v>
          </cell>
          <cell r="E441">
            <v>0</v>
          </cell>
          <cell r="F441">
            <v>55</v>
          </cell>
          <cell r="G441">
            <v>0</v>
          </cell>
          <cell r="H441">
            <v>72</v>
          </cell>
          <cell r="I441">
            <v>0</v>
          </cell>
          <cell r="J441">
            <v>0</v>
          </cell>
          <cell r="K441">
            <v>127</v>
          </cell>
        </row>
        <row r="441">
          <cell r="P441">
            <v>4900</v>
          </cell>
        </row>
        <row r="442">
          <cell r="B442" t="str">
            <v>01537</v>
          </cell>
          <cell r="C442" t="str">
            <v>CONVERSION</v>
          </cell>
          <cell r="D442">
            <v>0</v>
          </cell>
          <cell r="E442">
            <v>0</v>
          </cell>
          <cell r="F442">
            <v>25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25</v>
          </cell>
        </row>
        <row r="442">
          <cell r="P442">
            <v>5200</v>
          </cell>
        </row>
        <row r="443">
          <cell r="B443" t="str">
            <v>01590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</row>
        <row r="443">
          <cell r="P443">
            <v>4900</v>
          </cell>
        </row>
        <row r="444">
          <cell r="B444" t="str">
            <v>01263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</row>
        <row r="445">
          <cell r="B445" t="str">
            <v>01592</v>
          </cell>
          <cell r="C445" t="str">
            <v>Conver-Lead</v>
          </cell>
          <cell r="D445">
            <v>0</v>
          </cell>
          <cell r="E445">
            <v>0</v>
          </cell>
          <cell r="F445">
            <v>20</v>
          </cell>
          <cell r="G445">
            <v>0</v>
          </cell>
          <cell r="H445">
            <v>60</v>
          </cell>
          <cell r="I445">
            <v>0</v>
          </cell>
          <cell r="J445">
            <v>0</v>
          </cell>
          <cell r="K445">
            <v>80</v>
          </cell>
        </row>
        <row r="445">
          <cell r="P445">
            <v>4800</v>
          </cell>
        </row>
        <row r="446">
          <cell r="B446" t="str">
            <v>00561</v>
          </cell>
          <cell r="C446" t="str">
            <v>REGULAR</v>
          </cell>
          <cell r="D446">
            <v>2</v>
          </cell>
          <cell r="E446">
            <v>6</v>
          </cell>
          <cell r="F446">
            <v>90</v>
          </cell>
          <cell r="G446">
            <v>0</v>
          </cell>
          <cell r="H446">
            <v>65</v>
          </cell>
          <cell r="I446">
            <v>0</v>
          </cell>
          <cell r="J446">
            <v>0</v>
          </cell>
          <cell r="K446">
            <v>163</v>
          </cell>
          <cell r="L446">
            <v>13200</v>
          </cell>
          <cell r="M446">
            <v>13800</v>
          </cell>
          <cell r="N446">
            <v>10700</v>
          </cell>
        </row>
        <row r="447">
          <cell r="B447" t="str">
            <v>01040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</row>
        <row r="448">
          <cell r="B448" t="str">
            <v>01379</v>
          </cell>
          <cell r="C448" t="str">
            <v>CASH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52</v>
          </cell>
          <cell r="J448">
            <v>0</v>
          </cell>
          <cell r="K448">
            <v>52</v>
          </cell>
        </row>
        <row r="449">
          <cell r="B449" t="str">
            <v>00846</v>
          </cell>
          <cell r="C449" t="str">
            <v>REGULAR</v>
          </cell>
          <cell r="D449">
            <v>0</v>
          </cell>
          <cell r="E449">
            <v>0</v>
          </cell>
          <cell r="F449">
            <v>75</v>
          </cell>
          <cell r="G449">
            <v>0</v>
          </cell>
          <cell r="H449">
            <v>12</v>
          </cell>
          <cell r="I449">
            <v>0</v>
          </cell>
          <cell r="J449">
            <v>0</v>
          </cell>
          <cell r="K449">
            <v>87</v>
          </cell>
          <cell r="L449">
            <v>13300</v>
          </cell>
        </row>
        <row r="449">
          <cell r="N449">
            <v>10800</v>
          </cell>
        </row>
        <row r="450">
          <cell r="B450" t="str">
            <v>01110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</row>
        <row r="451">
          <cell r="B451" t="str">
            <v>01462</v>
          </cell>
          <cell r="C451" t="str">
            <v>Monthly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13300</v>
          </cell>
        </row>
        <row r="452">
          <cell r="B452" t="str">
            <v>01109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</row>
        <row r="453">
          <cell r="B453" t="str">
            <v>01086</v>
          </cell>
          <cell r="C453" t="str">
            <v>REGULAR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</row>
        <row r="454">
          <cell r="B454" t="str">
            <v>01087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</row>
        <row r="455">
          <cell r="B455" t="str">
            <v>00595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</row>
        <row r="456">
          <cell r="B456" t="str">
            <v>01501</v>
          </cell>
          <cell r="C456" t="str">
            <v>CASH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13300</v>
          </cell>
        </row>
        <row r="457">
          <cell r="B457" t="str">
            <v>01502</v>
          </cell>
          <cell r="C457" t="str">
            <v>Conver-Lead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</row>
        <row r="458">
          <cell r="B458" t="str">
            <v>00568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</row>
        <row r="459">
          <cell r="B459" t="str">
            <v>00563</v>
          </cell>
          <cell r="C459" t="str">
            <v>CASH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</row>
        <row r="460">
          <cell r="B460" t="str">
            <v>01573</v>
          </cell>
          <cell r="C460" t="str">
            <v>Monthly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</row>
        <row r="461">
          <cell r="B461">
            <v>0</v>
          </cell>
          <cell r="C461">
            <v>0</v>
          </cell>
          <cell r="D461">
            <v>2</v>
          </cell>
          <cell r="E461">
            <v>6</v>
          </cell>
          <cell r="F461">
            <v>803</v>
          </cell>
          <cell r="G461">
            <v>0</v>
          </cell>
          <cell r="H461">
            <v>449</v>
          </cell>
          <cell r="I461">
            <v>52</v>
          </cell>
          <cell r="J461">
            <v>0</v>
          </cell>
          <cell r="K461">
            <v>1312</v>
          </cell>
        </row>
        <row r="462">
          <cell r="B462" t="str">
            <v>01283</v>
          </cell>
          <cell r="C462" t="str">
            <v>Monthly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</row>
        <row r="463">
          <cell r="B463" t="str">
            <v>01354</v>
          </cell>
          <cell r="C463" t="str">
            <v>CONVERSION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</row>
        <row r="464">
          <cell r="B464" t="str">
            <v>01284</v>
          </cell>
          <cell r="C464" t="str">
            <v>Monthly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2</v>
          </cell>
          <cell r="J464">
            <v>16</v>
          </cell>
          <cell r="K464">
            <v>18</v>
          </cell>
        </row>
        <row r="465">
          <cell r="B465" t="str">
            <v>00756</v>
          </cell>
          <cell r="C465" t="str">
            <v>Monthly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</row>
        <row r="466">
          <cell r="B466" t="str">
            <v>01146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</row>
        <row r="467">
          <cell r="B467" t="str">
            <v>01439</v>
          </cell>
          <cell r="C467" t="str">
            <v>CONVERSION</v>
          </cell>
          <cell r="D467">
            <v>0</v>
          </cell>
          <cell r="E467">
            <v>0</v>
          </cell>
          <cell r="F467">
            <v>16</v>
          </cell>
          <cell r="G467">
            <v>5</v>
          </cell>
          <cell r="H467">
            <v>0</v>
          </cell>
          <cell r="I467">
            <v>0</v>
          </cell>
          <cell r="J467">
            <v>0</v>
          </cell>
          <cell r="K467">
            <v>21</v>
          </cell>
        </row>
        <row r="467">
          <cell r="P467">
            <v>5200</v>
          </cell>
          <cell r="Q467">
            <v>5400</v>
          </cell>
        </row>
        <row r="468">
          <cell r="B468" t="str">
            <v>00742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</row>
        <row r="469">
          <cell r="B469" t="str">
            <v>00744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</row>
        <row r="470">
          <cell r="B470" t="str">
            <v>01143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</row>
        <row r="471">
          <cell r="B471" t="str">
            <v>01428</v>
          </cell>
          <cell r="C471" t="str">
            <v>CONVERSION</v>
          </cell>
          <cell r="D471">
            <v>0</v>
          </cell>
          <cell r="E471">
            <v>0</v>
          </cell>
          <cell r="F471">
            <v>48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48</v>
          </cell>
        </row>
        <row r="471">
          <cell r="P471">
            <v>5100</v>
          </cell>
        </row>
        <row r="472">
          <cell r="B472" t="str">
            <v>01172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</row>
        <row r="473">
          <cell r="B473" t="str">
            <v>00753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</row>
        <row r="474">
          <cell r="B474" t="str">
            <v>00840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</row>
        <row r="475">
          <cell r="B475" t="str">
            <v>01325</v>
          </cell>
          <cell r="C475">
            <v>0</v>
          </cell>
          <cell r="D475">
            <v>0</v>
          </cell>
          <cell r="E475">
            <v>0</v>
          </cell>
          <cell r="F475">
            <v>10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10</v>
          </cell>
        </row>
        <row r="475">
          <cell r="P475">
            <v>5200</v>
          </cell>
        </row>
        <row r="476">
          <cell r="B476" t="str">
            <v>00749</v>
          </cell>
          <cell r="C476" t="str">
            <v>Monthly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2</v>
          </cell>
          <cell r="K476">
            <v>2</v>
          </cell>
        </row>
        <row r="477">
          <cell r="B477" t="str">
            <v>01438</v>
          </cell>
          <cell r="C477" t="str">
            <v>CONVERSION</v>
          </cell>
          <cell r="D477">
            <v>0</v>
          </cell>
          <cell r="E477">
            <v>0</v>
          </cell>
          <cell r="F477">
            <v>80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80</v>
          </cell>
        </row>
        <row r="477">
          <cell r="P477">
            <v>5100</v>
          </cell>
        </row>
        <row r="478">
          <cell r="B478" t="str">
            <v>00740</v>
          </cell>
          <cell r="C478" t="str">
            <v>REGULAR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2</v>
          </cell>
          <cell r="K478">
            <v>2</v>
          </cell>
        </row>
        <row r="479">
          <cell r="B479" t="str">
            <v>01320</v>
          </cell>
          <cell r="C479" t="str">
            <v>CONVERSION</v>
          </cell>
          <cell r="D479">
            <v>0</v>
          </cell>
          <cell r="E479">
            <v>0</v>
          </cell>
          <cell r="F479">
            <v>129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129</v>
          </cell>
        </row>
        <row r="479">
          <cell r="P479">
            <v>5100</v>
          </cell>
        </row>
        <row r="480">
          <cell r="B480" t="str">
            <v>01285</v>
          </cell>
          <cell r="C480" t="str">
            <v>Monthly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70</v>
          </cell>
          <cell r="K480">
            <v>70</v>
          </cell>
        </row>
        <row r="481">
          <cell r="B481" t="str">
            <v>01455</v>
          </cell>
          <cell r="C481" t="str">
            <v>CONVERSION</v>
          </cell>
          <cell r="D481">
            <v>0</v>
          </cell>
          <cell r="E481">
            <v>0</v>
          </cell>
          <cell r="F481">
            <v>25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25</v>
          </cell>
        </row>
        <row r="481">
          <cell r="P481">
            <v>5200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308</v>
          </cell>
          <cell r="G482">
            <v>5</v>
          </cell>
          <cell r="H482">
            <v>0</v>
          </cell>
          <cell r="I482">
            <v>2</v>
          </cell>
          <cell r="J482">
            <v>90</v>
          </cell>
          <cell r="K482">
            <v>405</v>
          </cell>
        </row>
        <row r="483">
          <cell r="B483" t="str">
            <v>01465</v>
          </cell>
          <cell r="C483" t="str">
            <v>CASH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1</v>
          </cell>
          <cell r="K483">
            <v>1</v>
          </cell>
        </row>
        <row r="484">
          <cell r="B484" t="str">
            <v>01454</v>
          </cell>
          <cell r="C484" t="str">
            <v>CONVERSION</v>
          </cell>
          <cell r="D484">
            <v>0</v>
          </cell>
          <cell r="E484">
            <v>0</v>
          </cell>
          <cell r="F484">
            <v>46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46</v>
          </cell>
        </row>
        <row r="484">
          <cell r="P484">
            <v>5200</v>
          </cell>
        </row>
        <row r="485">
          <cell r="B485" t="str">
            <v>01514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</row>
        <row r="486">
          <cell r="B486" t="str">
            <v>01515</v>
          </cell>
          <cell r="C486" t="str">
            <v>CONVERSION</v>
          </cell>
          <cell r="D486">
            <v>0</v>
          </cell>
          <cell r="E486">
            <v>0</v>
          </cell>
          <cell r="F486">
            <v>10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10</v>
          </cell>
        </row>
        <row r="486">
          <cell r="P486">
            <v>5300</v>
          </cell>
        </row>
        <row r="487">
          <cell r="B487" t="str">
            <v>01449</v>
          </cell>
          <cell r="C487" t="str">
            <v>CASH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</row>
        <row r="488">
          <cell r="B488" t="str">
            <v>01538</v>
          </cell>
          <cell r="C488" t="str">
            <v>Conversion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</row>
        <row r="489">
          <cell r="B489" t="str">
            <v>00663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</row>
        <row r="490">
          <cell r="B490" t="str">
            <v>01488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</row>
        <row r="491">
          <cell r="B491" t="str">
            <v>01585</v>
          </cell>
          <cell r="C491" t="str">
            <v>Conversion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</row>
        <row r="492">
          <cell r="B492" t="str">
            <v>01470</v>
          </cell>
          <cell r="C492" t="str">
            <v>Monthly</v>
          </cell>
          <cell r="D492">
            <v>0</v>
          </cell>
          <cell r="E492">
            <v>0</v>
          </cell>
          <cell r="F492">
            <v>80</v>
          </cell>
          <cell r="G492">
            <v>5</v>
          </cell>
          <cell r="H492">
            <v>56</v>
          </cell>
          <cell r="I492">
            <v>0</v>
          </cell>
          <cell r="J492">
            <v>0</v>
          </cell>
          <cell r="K492">
            <v>141</v>
          </cell>
          <cell r="L492">
            <v>13050</v>
          </cell>
          <cell r="M492">
            <v>13500</v>
          </cell>
          <cell r="N492">
            <v>10600</v>
          </cell>
        </row>
        <row r="493">
          <cell r="B493" t="str">
            <v>00788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</row>
        <row r="494">
          <cell r="B494" t="str">
            <v>01492</v>
          </cell>
          <cell r="C494" t="str">
            <v>CASH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</row>
        <row r="495">
          <cell r="B495" t="str">
            <v>01534</v>
          </cell>
          <cell r="C495" t="str">
            <v>Conversion</v>
          </cell>
          <cell r="D495">
            <v>0</v>
          </cell>
          <cell r="E495">
            <v>0</v>
          </cell>
          <cell r="F495">
            <v>60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60</v>
          </cell>
        </row>
        <row r="495">
          <cell r="P495">
            <v>5200</v>
          </cell>
        </row>
        <row r="496">
          <cell r="B496" t="str">
            <v>00662</v>
          </cell>
          <cell r="C496" t="str">
            <v>REGULAR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</row>
        <row r="497">
          <cell r="B497" t="str">
            <v>00681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</row>
        <row r="498">
          <cell r="B498" t="str">
            <v>01475</v>
          </cell>
          <cell r="C498" t="str">
            <v>CASH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</row>
        <row r="499">
          <cell r="B499" t="str">
            <v>00778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</row>
        <row r="500">
          <cell r="B500" t="str">
            <v>01460</v>
          </cell>
          <cell r="C500" t="str">
            <v>CONVERSION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</row>
        <row r="501">
          <cell r="B501" t="str">
            <v>00752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</row>
        <row r="502">
          <cell r="B502" t="str">
            <v>00739</v>
          </cell>
          <cell r="C502" t="str">
            <v>REGULAR</v>
          </cell>
          <cell r="D502">
            <v>0</v>
          </cell>
          <cell r="E502">
            <v>0</v>
          </cell>
          <cell r="F502">
            <v>31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31</v>
          </cell>
          <cell r="L502">
            <v>12800</v>
          </cell>
        </row>
        <row r="503">
          <cell r="B503" t="str">
            <v>01584</v>
          </cell>
          <cell r="C503" t="str">
            <v>Conver-Lead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</row>
        <row r="504">
          <cell r="B504" t="str">
            <v>01485</v>
          </cell>
          <cell r="C504" t="str">
            <v>CASH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3</v>
          </cell>
          <cell r="J504">
            <v>0</v>
          </cell>
          <cell r="K504">
            <v>3</v>
          </cell>
        </row>
        <row r="505">
          <cell r="B505" t="str">
            <v>01148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</row>
        <row r="506">
          <cell r="B506" t="str">
            <v>01463</v>
          </cell>
          <cell r="C506" t="str">
            <v>CASH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</row>
        <row r="507">
          <cell r="B507" t="str">
            <v>00678</v>
          </cell>
          <cell r="C507" t="str">
            <v>REGULAR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</row>
        <row r="508">
          <cell r="B508" t="str">
            <v>01533</v>
          </cell>
          <cell r="C508" t="str">
            <v>CONVERSION</v>
          </cell>
          <cell r="D508">
            <v>0</v>
          </cell>
          <cell r="E508">
            <v>0</v>
          </cell>
          <cell r="F508">
            <v>30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30</v>
          </cell>
        </row>
        <row r="508">
          <cell r="P508">
            <v>5200</v>
          </cell>
        </row>
        <row r="509">
          <cell r="B509" t="str">
            <v>01498</v>
          </cell>
          <cell r="C509" t="str">
            <v>CONVERSION</v>
          </cell>
          <cell r="D509">
            <v>0</v>
          </cell>
          <cell r="E509">
            <v>0</v>
          </cell>
          <cell r="F509">
            <v>1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1</v>
          </cell>
        </row>
        <row r="509">
          <cell r="P509">
            <v>5200</v>
          </cell>
        </row>
        <row r="510">
          <cell r="B510" t="str">
            <v>01078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</row>
        <row r="511">
          <cell r="B511" t="str">
            <v>01540</v>
          </cell>
          <cell r="C511" t="str">
            <v>Conversion</v>
          </cell>
          <cell r="D511">
            <v>0</v>
          </cell>
          <cell r="E511">
            <v>0</v>
          </cell>
          <cell r="F511">
            <v>10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10</v>
          </cell>
        </row>
        <row r="511">
          <cell r="P511">
            <v>5200</v>
          </cell>
        </row>
        <row r="512">
          <cell r="B512" t="str">
            <v>01079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</row>
        <row r="513">
          <cell r="C513">
            <v>0</v>
          </cell>
          <cell r="D513">
            <v>0</v>
          </cell>
          <cell r="E513">
            <v>0</v>
          </cell>
          <cell r="F513">
            <v>268</v>
          </cell>
          <cell r="G513">
            <v>5</v>
          </cell>
          <cell r="H513">
            <v>56</v>
          </cell>
          <cell r="I513">
            <v>3</v>
          </cell>
          <cell r="J513">
            <v>1</v>
          </cell>
          <cell r="K513">
            <v>333</v>
          </cell>
        </row>
        <row r="514">
          <cell r="B514" t="str">
            <v>01476</v>
          </cell>
          <cell r="C514" t="str">
            <v>CASH</v>
          </cell>
          <cell r="D514">
            <v>2</v>
          </cell>
          <cell r="E514">
            <v>1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3</v>
          </cell>
        </row>
        <row r="515">
          <cell r="B515" t="str">
            <v>01562</v>
          </cell>
          <cell r="C515" t="str">
            <v>Conversion</v>
          </cell>
          <cell r="D515">
            <v>0</v>
          </cell>
          <cell r="E515">
            <v>0</v>
          </cell>
          <cell r="F515">
            <v>35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35</v>
          </cell>
        </row>
        <row r="515">
          <cell r="P515">
            <v>5200</v>
          </cell>
        </row>
        <row r="516">
          <cell r="B516" t="str">
            <v>00794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</row>
        <row r="517">
          <cell r="B517" t="str">
            <v>01386</v>
          </cell>
          <cell r="C517" t="str">
            <v>REGULAR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8">
          <cell r="B518" t="str">
            <v>00787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</row>
        <row r="519">
          <cell r="B519" t="str">
            <v>01083</v>
          </cell>
          <cell r="C519" t="str">
            <v>REGULAR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</row>
        <row r="520">
          <cell r="B520" t="str">
            <v>01453</v>
          </cell>
          <cell r="C520" t="str">
            <v>CASH</v>
          </cell>
          <cell r="D520">
            <v>0</v>
          </cell>
          <cell r="E520">
            <v>0</v>
          </cell>
          <cell r="F520">
            <v>0</v>
          </cell>
          <cell r="G520">
            <v>5</v>
          </cell>
          <cell r="H520">
            <v>0</v>
          </cell>
          <cell r="I520">
            <v>0</v>
          </cell>
          <cell r="J520">
            <v>0</v>
          </cell>
          <cell r="K520">
            <v>5</v>
          </cell>
        </row>
        <row r="520">
          <cell r="M520">
            <v>13800</v>
          </cell>
        </row>
        <row r="521">
          <cell r="B521" t="str">
            <v>01496</v>
          </cell>
          <cell r="C521" t="str">
            <v>CONVERSION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</row>
        <row r="522">
          <cell r="B522" t="str">
            <v>00793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</row>
        <row r="523">
          <cell r="B523" t="str">
            <v>00782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</row>
        <row r="524">
          <cell r="B524" t="str">
            <v>00774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</row>
        <row r="525">
          <cell r="B525" t="str">
            <v>01391</v>
          </cell>
          <cell r="C525" t="str">
            <v>REGULAR</v>
          </cell>
          <cell r="D525">
            <v>0</v>
          </cell>
          <cell r="E525">
            <v>0</v>
          </cell>
          <cell r="F525">
            <v>16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16</v>
          </cell>
        </row>
        <row r="526">
          <cell r="B526" t="str">
            <v>01456</v>
          </cell>
          <cell r="C526" t="str">
            <v>Monthly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</row>
        <row r="527">
          <cell r="B527" t="str">
            <v>01558</v>
          </cell>
          <cell r="C527" t="str">
            <v>CONVERSION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</row>
        <row r="528">
          <cell r="B528" t="str">
            <v>00767</v>
          </cell>
          <cell r="C528" t="str">
            <v>REGULAR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</row>
        <row r="529">
          <cell r="B529" t="str">
            <v>00768</v>
          </cell>
          <cell r="C529" t="str">
            <v>REGULAR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</row>
        <row r="530">
          <cell r="B530" t="str">
            <v>01436</v>
          </cell>
          <cell r="C530" t="str">
            <v>Monthly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</row>
        <row r="531">
          <cell r="B531" t="str">
            <v>01543</v>
          </cell>
          <cell r="C531" t="str">
            <v>CASH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</row>
        <row r="532">
          <cell r="B532" t="str">
            <v>00776</v>
          </cell>
          <cell r="C532" t="str">
            <v>REGULAR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</row>
        <row r="533">
          <cell r="B533" t="str">
            <v>01547</v>
          </cell>
          <cell r="C533" t="str">
            <v>CONVERSION</v>
          </cell>
          <cell r="D533">
            <v>0</v>
          </cell>
          <cell r="E533">
            <v>0</v>
          </cell>
          <cell r="F533">
            <v>15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15</v>
          </cell>
        </row>
        <row r="533">
          <cell r="P533">
            <v>5200</v>
          </cell>
        </row>
        <row r="534">
          <cell r="B534" t="str">
            <v>01114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</row>
        <row r="535">
          <cell r="B535" t="str">
            <v>00833</v>
          </cell>
          <cell r="C535">
            <v>0</v>
          </cell>
          <cell r="D535">
            <v>0</v>
          </cell>
          <cell r="E535">
            <v>0</v>
          </cell>
          <cell r="F535">
            <v>5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5</v>
          </cell>
          <cell r="L535">
            <v>13900</v>
          </cell>
        </row>
        <row r="536">
          <cell r="B536" t="str">
            <v>01324</v>
          </cell>
          <cell r="C536" t="str">
            <v>CONVERSION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</row>
        <row r="537">
          <cell r="B537" t="str">
            <v>00745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</row>
        <row r="538">
          <cell r="B538" t="str">
            <v>00746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</row>
        <row r="539">
          <cell r="B539" t="str">
            <v>00743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</row>
        <row r="540">
          <cell r="B540" t="str">
            <v>00691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</row>
        <row r="541">
          <cell r="B541" t="str">
            <v>01511</v>
          </cell>
          <cell r="C541" t="str">
            <v>CONVERSION</v>
          </cell>
          <cell r="D541">
            <v>0</v>
          </cell>
          <cell r="E541">
            <v>0</v>
          </cell>
          <cell r="F541">
            <v>20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20</v>
          </cell>
        </row>
        <row r="541">
          <cell r="P541">
            <v>5200</v>
          </cell>
        </row>
        <row r="542">
          <cell r="B542" t="str">
            <v>01065</v>
          </cell>
          <cell r="C542" t="str">
            <v>REGULAR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</row>
        <row r="543">
          <cell r="B543" t="str">
            <v>01126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</row>
        <row r="544">
          <cell r="B544" t="str">
            <v>01495</v>
          </cell>
          <cell r="C544" t="str">
            <v>CASH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</row>
        <row r="545">
          <cell r="B545" t="str">
            <v>00741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</row>
        <row r="546">
          <cell r="B546" t="str">
            <v>00750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</row>
        <row r="547">
          <cell r="B547" t="str">
            <v>01095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</row>
        <row r="548">
          <cell r="B548" t="str">
            <v>00748</v>
          </cell>
          <cell r="C548" t="str">
            <v>REGULAR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</row>
        <row r="549">
          <cell r="B549" t="str">
            <v>01523</v>
          </cell>
          <cell r="C549" t="str">
            <v>CONVERSION</v>
          </cell>
          <cell r="D549">
            <v>0</v>
          </cell>
          <cell r="E549">
            <v>0</v>
          </cell>
          <cell r="F549">
            <v>31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31</v>
          </cell>
        </row>
        <row r="549">
          <cell r="P549">
            <v>5100</v>
          </cell>
        </row>
        <row r="550">
          <cell r="B550" t="str">
            <v>00765</v>
          </cell>
          <cell r="C550" t="str">
            <v>REGULAR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</row>
        <row r="551">
          <cell r="B551" t="str">
            <v>01503</v>
          </cell>
          <cell r="C551" t="str">
            <v>CASH</v>
          </cell>
          <cell r="D551">
            <v>0</v>
          </cell>
          <cell r="E551">
            <v>0</v>
          </cell>
          <cell r="F551">
            <v>19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19</v>
          </cell>
        </row>
        <row r="552">
          <cell r="B552" t="str">
            <v>01121</v>
          </cell>
          <cell r="C552" t="str">
            <v>CASH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</row>
        <row r="553">
          <cell r="B553" t="str">
            <v>00841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</row>
        <row r="554">
          <cell r="B554" t="str">
            <v>01569</v>
          </cell>
          <cell r="C554" t="str">
            <v>CONVERSION</v>
          </cell>
          <cell r="D554">
            <v>0</v>
          </cell>
          <cell r="E554">
            <v>0</v>
          </cell>
          <cell r="F554">
            <v>131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131</v>
          </cell>
        </row>
        <row r="554">
          <cell r="P554">
            <v>5100</v>
          </cell>
        </row>
        <row r="555">
          <cell r="B555" t="str">
            <v>01093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</row>
        <row r="556">
          <cell r="B556" t="str">
            <v>01548</v>
          </cell>
          <cell r="C556" t="str">
            <v>CONVERSION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</row>
        <row r="557">
          <cell r="B557" t="str">
            <v>01575</v>
          </cell>
          <cell r="C557">
            <v>0</v>
          </cell>
          <cell r="D557">
            <v>0</v>
          </cell>
          <cell r="E557">
            <v>0</v>
          </cell>
          <cell r="F557">
            <v>26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26</v>
          </cell>
        </row>
        <row r="557">
          <cell r="P557">
            <v>5200</v>
          </cell>
        </row>
        <row r="558">
          <cell r="B558" t="str">
            <v>01602</v>
          </cell>
          <cell r="C558">
            <v>0</v>
          </cell>
          <cell r="D558">
            <v>0</v>
          </cell>
          <cell r="E558">
            <v>0</v>
          </cell>
          <cell r="F558">
            <v>16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16</v>
          </cell>
        </row>
        <row r="558">
          <cell r="P558">
            <v>5200</v>
          </cell>
        </row>
        <row r="559">
          <cell r="B559" t="str">
            <v>01479</v>
          </cell>
          <cell r="C559" t="str">
            <v>CASH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</row>
        <row r="560">
          <cell r="B560" t="str">
            <v>01527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</row>
        <row r="561">
          <cell r="B561">
            <v>0</v>
          </cell>
        </row>
        <row r="561">
          <cell r="D561">
            <v>2</v>
          </cell>
          <cell r="E561">
            <v>1</v>
          </cell>
          <cell r="F561">
            <v>314</v>
          </cell>
          <cell r="G561">
            <v>5</v>
          </cell>
          <cell r="H561">
            <v>0</v>
          </cell>
          <cell r="I561">
            <v>0</v>
          </cell>
          <cell r="J561">
            <v>0</v>
          </cell>
          <cell r="K561">
            <v>322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25.6373958333" refreshedBy="morshed.alam" recordCount="783">
  <cacheSource type="worksheet">
    <worksheetSource ref="A8:AC791" sheet="Conversion Details"/>
  </cacheSource>
  <cacheFields count="29">
    <cacheField name="SL NO" numFmtId="0">
      <sharedItems containsSemiMixedTypes="0" containsString="0" containsNumber="1" containsInteger="1" minValue="0" maxValue="1477" count="783">
        <n v="6"/>
        <n v="9"/>
        <n v="11"/>
        <n v="12"/>
        <n v="13"/>
        <n v="14"/>
        <n v="17"/>
        <n v="20"/>
        <n v="21"/>
        <n v="22"/>
        <n v="23"/>
        <n v="24"/>
        <n v="25"/>
        <n v="26"/>
        <n v="28"/>
        <n v="33"/>
        <n v="36"/>
        <n v="38"/>
        <n v="41"/>
        <n v="44"/>
        <n v="46"/>
        <n v="47"/>
        <n v="51"/>
        <n v="55"/>
        <n v="56"/>
        <n v="58"/>
        <n v="60"/>
        <n v="62"/>
        <n v="63"/>
        <n v="64"/>
        <n v="66"/>
        <n v="67"/>
        <n v="72"/>
        <n v="73"/>
        <n v="74"/>
        <n v="85"/>
        <n v="86"/>
        <n v="87"/>
        <n v="88"/>
        <n v="89"/>
        <n v="91"/>
        <n v="93"/>
        <n v="94"/>
        <n v="95"/>
        <n v="96"/>
        <n v="103"/>
        <n v="106"/>
        <n v="108"/>
        <n v="109"/>
        <n v="110"/>
        <n v="113"/>
        <n v="114"/>
        <n v="115"/>
        <n v="122"/>
        <n v="123"/>
        <n v="124"/>
        <n v="125"/>
        <n v="127"/>
        <n v="128"/>
        <n v="129"/>
        <n v="130"/>
        <n v="132"/>
        <n v="133"/>
        <n v="134"/>
        <n v="135"/>
        <n v="136"/>
        <n v="137"/>
        <n v="138"/>
        <n v="140"/>
        <n v="143"/>
        <n v="145"/>
        <n v="147"/>
        <n v="148"/>
        <n v="150"/>
        <n v="151"/>
        <n v="153"/>
        <n v="154"/>
        <n v="155"/>
        <n v="198"/>
        <n v="203"/>
        <n v="213"/>
        <n v="214"/>
        <n v="215"/>
        <n v="216"/>
        <n v="217"/>
        <n v="218"/>
        <n v="230"/>
        <n v="232"/>
        <n v="237"/>
        <n v="238"/>
        <n v="239"/>
        <n v="243"/>
        <n v="244"/>
        <n v="245"/>
        <n v="246"/>
        <n v="259"/>
        <n v="260"/>
        <n v="261"/>
        <n v="262"/>
        <n v="263"/>
        <n v="265"/>
        <n v="266"/>
        <n v="269"/>
        <n v="270"/>
        <n v="271"/>
        <n v="272"/>
        <n v="273"/>
        <n v="275"/>
        <n v="276"/>
        <n v="277"/>
        <n v="278"/>
        <n v="279"/>
        <n v="280"/>
        <n v="283"/>
        <n v="284"/>
        <n v="285"/>
        <n v="286"/>
        <n v="287"/>
        <n v="288"/>
        <n v="289"/>
        <n v="294"/>
        <n v="295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3"/>
        <n v="317"/>
        <n v="318"/>
        <n v="327"/>
        <n v="328"/>
        <n v="329"/>
        <n v="330"/>
        <n v="332"/>
        <n v="333"/>
        <n v="334"/>
        <n v="335"/>
        <n v="336"/>
        <n v="337"/>
        <n v="338"/>
        <n v="339"/>
        <n v="341"/>
        <n v="342"/>
        <n v="343"/>
        <n v="344"/>
        <n v="345"/>
        <n v="346"/>
        <n v="350"/>
        <n v="351"/>
        <n v="352"/>
        <n v="353"/>
        <n v="354"/>
        <n v="355"/>
        <n v="356"/>
        <n v="357"/>
        <n v="358"/>
        <n v="359"/>
        <n v="362"/>
        <n v="363"/>
        <n v="364"/>
        <n v="365"/>
        <n v="376"/>
        <n v="377"/>
        <n v="378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4"/>
        <n v="407"/>
        <n v="409"/>
        <n v="410"/>
        <n v="411"/>
        <n v="412"/>
        <n v="413"/>
        <n v="414"/>
        <n v="417"/>
        <n v="418"/>
        <n v="419"/>
        <n v="424"/>
        <n v="425"/>
        <n v="426"/>
        <n v="427"/>
        <n v="428"/>
        <n v="429"/>
        <n v="430"/>
        <n v="431"/>
        <n v="432"/>
        <n v="433"/>
        <n v="434"/>
        <n v="440"/>
        <n v="441"/>
        <n v="442"/>
        <n v="443"/>
        <n v="444"/>
        <n v="445"/>
        <n v="446"/>
        <n v="449"/>
        <n v="450"/>
        <n v="451"/>
        <n v="454"/>
        <n v="466"/>
        <n v="474"/>
        <n v="475"/>
        <n v="477"/>
        <n v="478"/>
        <n v="479"/>
        <n v="480"/>
        <n v="481"/>
        <n v="482"/>
        <n v="483"/>
        <n v="486"/>
        <n v="487"/>
        <n v="488"/>
        <n v="489"/>
        <n v="490"/>
        <n v="491"/>
        <n v="494"/>
        <n v="495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3"/>
        <n v="527"/>
        <n v="528"/>
        <n v="529"/>
        <n v="530"/>
        <n v="531"/>
        <n v="539"/>
        <n v="544"/>
        <n v="545"/>
        <n v="546"/>
        <n v="547"/>
        <n v="548"/>
        <n v="549"/>
        <n v="550"/>
        <n v="555"/>
        <n v="556"/>
        <n v="557"/>
        <n v="560"/>
        <n v="561"/>
        <n v="562"/>
        <n v="563"/>
        <n v="564"/>
        <n v="567"/>
        <n v="569"/>
        <n v="570"/>
        <n v="571"/>
        <n v="572"/>
        <n v="573"/>
        <n v="574"/>
        <n v="576"/>
        <n v="577"/>
        <n v="578"/>
        <n v="579"/>
        <n v="580"/>
        <n v="581"/>
        <n v="582"/>
        <n v="583"/>
        <n v="584"/>
        <n v="585"/>
        <n v="598"/>
        <n v="605"/>
        <n v="609"/>
        <n v="610"/>
        <n v="611"/>
        <n v="614"/>
        <n v="615"/>
        <n v="616"/>
        <n v="617"/>
        <n v="622"/>
        <n v="623"/>
        <n v="628"/>
        <n v="629"/>
        <n v="630"/>
        <n v="631"/>
        <n v="633"/>
        <n v="634"/>
        <n v="635"/>
        <n v="637"/>
        <n v="638"/>
        <n v="639"/>
        <n v="640"/>
        <n v="641"/>
        <n v="642"/>
        <n v="644"/>
        <n v="645"/>
        <n v="646"/>
        <n v="647"/>
        <n v="648"/>
        <n v="649"/>
        <n v="680"/>
        <n v="681"/>
        <n v="682"/>
        <n v="685"/>
        <n v="693"/>
        <n v="694"/>
        <n v="696"/>
        <n v="697"/>
        <n v="698"/>
        <n v="699"/>
        <n v="701"/>
        <n v="702"/>
        <n v="703"/>
        <n v="704"/>
        <n v="705"/>
        <n v="706"/>
        <n v="708"/>
        <n v="709"/>
        <n v="710"/>
        <n v="711"/>
        <n v="712"/>
        <n v="714"/>
        <n v="715"/>
        <n v="716"/>
        <n v="717"/>
        <n v="718"/>
        <n v="719"/>
        <n v="720"/>
        <n v="721"/>
        <n v="722"/>
        <n v="723"/>
        <n v="724"/>
        <n v="725"/>
        <n v="727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63"/>
        <n v="764"/>
        <n v="765"/>
        <n v="766"/>
        <n v="767"/>
        <n v="768"/>
        <n v="769"/>
        <n v="770"/>
        <n v="771"/>
        <n v="772"/>
        <n v="773"/>
        <n v="775"/>
        <n v="777"/>
        <n v="778"/>
        <n v="779"/>
        <n v="780"/>
        <n v="790"/>
        <n v="791"/>
        <n v="792"/>
        <n v="794"/>
        <n v="795"/>
        <n v="796"/>
        <n v="797"/>
        <n v="798"/>
        <n v="799"/>
        <n v="801"/>
        <n v="802"/>
        <n v="814"/>
        <n v="815"/>
        <n v="816"/>
        <n v="817"/>
        <n v="818"/>
        <n v="819"/>
        <n v="820"/>
        <n v="830"/>
        <n v="831"/>
        <n v="832"/>
        <n v="834"/>
        <n v="835"/>
        <n v="836"/>
        <n v="844"/>
        <n v="845"/>
        <n v="846"/>
        <n v="847"/>
        <n v="848"/>
        <n v="849"/>
        <n v="850"/>
        <n v="853"/>
        <n v="854"/>
        <n v="855"/>
        <n v="856"/>
        <n v="857"/>
        <n v="858"/>
        <n v="859"/>
        <n v="860"/>
        <n v="861"/>
        <n v="864"/>
        <n v="865"/>
        <n v="866"/>
        <n v="867"/>
        <n v="868"/>
        <n v="869"/>
        <n v="871"/>
        <n v="872"/>
        <n v="876"/>
        <n v="877"/>
        <n v="878"/>
        <n v="879"/>
        <n v="880"/>
        <n v="881"/>
        <n v="882"/>
        <n v="883"/>
        <n v="885"/>
        <n v="886"/>
        <n v="887"/>
        <n v="888"/>
        <n v="889"/>
        <n v="890"/>
        <n v="891"/>
        <n v="892"/>
        <n v="900"/>
        <n v="901"/>
        <n v="909"/>
        <n v="910"/>
        <n v="911"/>
        <n v="912"/>
        <n v="913"/>
        <n v="914"/>
        <n v="915"/>
        <n v="916"/>
        <n v="917"/>
        <n v="918"/>
        <n v="919"/>
        <n v="922"/>
        <n v="923"/>
        <n v="924"/>
        <n v="927"/>
        <n v="928"/>
        <n v="929"/>
        <n v="930"/>
        <n v="931"/>
        <n v="932"/>
        <n v="933"/>
        <n v="939"/>
        <n v="940"/>
        <n v="941"/>
        <n v="942"/>
        <n v="943"/>
        <n v="954"/>
        <n v="955"/>
        <n v="956"/>
        <n v="957"/>
        <n v="958"/>
        <n v="959"/>
        <n v="960"/>
        <n v="961"/>
        <n v="962"/>
        <n v="963"/>
        <n v="966"/>
        <n v="967"/>
        <n v="968"/>
        <n v="975"/>
        <n v="976"/>
        <n v="988"/>
        <n v="989"/>
        <n v="990"/>
        <n v="991"/>
        <n v="993"/>
        <n v="994"/>
        <n v="995"/>
        <n v="996"/>
        <n v="997"/>
        <n v="998"/>
        <n v="999"/>
        <n v="1001"/>
        <n v="1002"/>
        <n v="1004"/>
        <n v="1005"/>
        <n v="1006"/>
        <n v="1007"/>
        <n v="1008"/>
        <n v="1010"/>
        <n v="1011"/>
        <n v="1012"/>
        <n v="1013"/>
        <n v="1015"/>
        <n v="1016"/>
        <n v="1017"/>
        <n v="1018"/>
        <n v="1019"/>
        <n v="1020"/>
        <n v="1021"/>
        <n v="1023"/>
        <n v="1024"/>
        <n v="1025"/>
        <n v="1026"/>
        <n v="1027"/>
        <n v="1030"/>
        <n v="1031"/>
        <n v="1032"/>
        <n v="1033"/>
        <n v="1034"/>
        <n v="1035"/>
        <n v="1037"/>
        <n v="1038"/>
        <n v="1039"/>
        <n v="1040"/>
        <n v="1041"/>
        <n v="1042"/>
        <n v="1043"/>
        <n v="1052"/>
        <n v="1053"/>
        <n v="1054"/>
        <n v="1056"/>
        <n v="1057"/>
        <n v="1058"/>
        <n v="1059"/>
        <n v="1060"/>
        <n v="1067"/>
        <n v="1068"/>
        <n v="1072"/>
        <n v="1073"/>
        <n v="1074"/>
        <n v="1075"/>
        <n v="1076"/>
        <n v="1077"/>
        <n v="1078"/>
        <n v="1079"/>
        <n v="1084"/>
        <n v="1085"/>
        <n v="1086"/>
        <n v="1087"/>
        <n v="1088"/>
        <n v="1089"/>
        <n v="1090"/>
        <n v="1091"/>
        <n v="1094"/>
        <n v="1099"/>
        <n v="1100"/>
        <n v="1102"/>
        <n v="1103"/>
        <n v="1104"/>
        <n v="1105"/>
        <n v="1106"/>
        <n v="1107"/>
        <n v="1109"/>
        <n v="1110"/>
        <n v="1112"/>
        <n v="1113"/>
        <n v="1114"/>
        <n v="1115"/>
        <n v="1116"/>
        <n v="1117"/>
        <n v="1118"/>
        <n v="1122"/>
        <n v="1123"/>
        <n v="1124"/>
        <n v="1125"/>
        <n v="1126"/>
        <n v="1127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7"/>
        <n v="1148"/>
        <n v="1149"/>
        <n v="1150"/>
        <n v="1151"/>
        <n v="1155"/>
        <n v="1156"/>
        <n v="1157"/>
        <n v="1158"/>
        <n v="1159"/>
        <n v="1160"/>
        <n v="1162"/>
        <n v="1163"/>
        <n v="1164"/>
        <n v="1165"/>
        <n v="1168"/>
        <n v="1170"/>
        <n v="1171"/>
        <n v="1174"/>
        <n v="1183"/>
        <n v="1185"/>
        <n v="1191"/>
        <n v="1194"/>
        <n v="1195"/>
        <n v="1197"/>
        <n v="1198"/>
        <n v="1199"/>
        <n v="1200"/>
        <n v="1201"/>
        <n v="1204"/>
        <n v="1205"/>
        <n v="1206"/>
        <n v="1208"/>
        <n v="1209"/>
        <n v="1220"/>
        <n v="1221"/>
        <n v="1222"/>
        <n v="1223"/>
        <n v="1227"/>
        <n v="1228"/>
        <n v="1229"/>
        <n v="1231"/>
        <n v="1232"/>
        <n v="1233"/>
        <n v="1234"/>
        <n v="1235"/>
        <n v="1236"/>
        <n v="1237"/>
        <n v="1238"/>
        <n v="1239"/>
        <n v="1244"/>
        <n v="1245"/>
        <n v="1247"/>
        <n v="1248"/>
        <n v="1249"/>
        <n v="1250"/>
        <n v="1251"/>
        <n v="1252"/>
        <n v="1254"/>
        <n v="1258"/>
        <n v="1260"/>
        <n v="1261"/>
        <n v="1263"/>
        <n v="1264"/>
        <n v="1265"/>
        <n v="1266"/>
        <n v="1267"/>
        <n v="1269"/>
        <n v="1271"/>
        <n v="1273"/>
        <n v="1274"/>
        <n v="1275"/>
        <n v="1276"/>
        <n v="1277"/>
        <n v="1278"/>
        <n v="1287"/>
        <n v="1288"/>
        <n v="1289"/>
        <n v="1293"/>
        <n v="1294"/>
        <n v="1295"/>
        <n v="1296"/>
        <n v="1299"/>
        <n v="1300"/>
        <n v="1301"/>
        <n v="1302"/>
        <n v="1303"/>
        <n v="1304"/>
        <n v="1305"/>
        <n v="1306"/>
        <n v="1308"/>
        <n v="1310"/>
        <n v="1316"/>
        <n v="1317"/>
        <n v="1318"/>
        <n v="1319"/>
        <n v="1325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7"/>
        <n v="1348"/>
        <n v="1349"/>
        <n v="1350"/>
        <n v="1351"/>
        <n v="1357"/>
        <n v="1358"/>
        <n v="1359"/>
        <n v="1363"/>
        <n v="1369"/>
        <n v="1370"/>
        <n v="1371"/>
        <n v="1372"/>
        <n v="1373"/>
        <n v="1374"/>
        <n v="1375"/>
        <n v="1378"/>
        <n v="1379"/>
        <n v="1380"/>
        <n v="1381"/>
        <n v="1382"/>
        <n v="1383"/>
        <n v="1384"/>
        <n v="1386"/>
        <n v="1387"/>
        <n v="1388"/>
        <n v="1389"/>
        <n v="1390"/>
        <n v="1391"/>
        <n v="1392"/>
        <n v="1393"/>
        <n v="1394"/>
        <n v="1399"/>
        <n v="1400"/>
        <n v="1401"/>
        <n v="1402"/>
        <n v="1406"/>
        <n v="1407"/>
        <n v="1408"/>
        <n v="1409"/>
        <n v="1411"/>
        <n v="1412"/>
        <n v="1415"/>
        <n v="1416"/>
        <n v="1418"/>
        <n v="1419"/>
        <n v="1420"/>
        <n v="1421"/>
        <n v="1422"/>
        <n v="1423"/>
        <n v="1424"/>
        <n v="1425"/>
        <n v="1441"/>
        <n v="1442"/>
        <n v="1443"/>
        <n v="1444"/>
        <n v="1445"/>
        <n v="1448"/>
        <n v="1449"/>
        <n v="1454"/>
        <n v="1455"/>
        <n v="1456"/>
        <n v="1457"/>
        <n v="1458"/>
        <n v="1459"/>
        <n v="1463"/>
        <n v="1474"/>
        <n v="1475"/>
        <n v="1476"/>
        <n v="1477"/>
      </sharedItems>
    </cacheField>
    <cacheField name="Origin" numFmtId="0">
      <sharedItems count="2">
        <s v="CBL"/>
        <s v="OEM"/>
      </sharedItems>
    </cacheField>
    <cacheField name="Customer Code" numFmtId="0">
      <sharedItems containsSemiMixedTypes="0" containsString="0" containsNumber="1" containsInteger="1" minValue="0" maxValue="1606" count="74">
        <n v="1478"/>
        <n v="1596"/>
        <n v="1551"/>
        <n v="1553"/>
        <n v="1335"/>
        <n v="1320"/>
        <n v="1438"/>
        <n v="1455"/>
        <n v="1325"/>
        <n v="1562"/>
        <n v="1523"/>
        <n v="1569"/>
        <n v="1533"/>
        <n v="1484"/>
        <n v="1345"/>
        <n v="1520"/>
        <n v="1299"/>
        <n v="1300"/>
        <n v="1292"/>
        <n v="1550"/>
        <n v="1326"/>
        <n v="1444"/>
        <n v="1468"/>
        <n v="1593"/>
        <n v="1557"/>
        <n v="1549"/>
        <n v="1594"/>
        <n v="1515"/>
        <n v="1563"/>
        <n v="1428"/>
        <n v="1517"/>
        <n v="1519"/>
        <n v="1491"/>
        <n v="1535"/>
        <n v="1353"/>
        <n v="1312"/>
        <n v="1454"/>
        <n v="1439"/>
        <n v="1497"/>
        <n v="1552"/>
        <n v="1331"/>
        <n v="1288"/>
        <n v="1308"/>
        <n v="1471"/>
        <n v="1522"/>
        <n v="1534"/>
        <n v="1575"/>
        <n v="1323"/>
        <n v="1282"/>
        <n v="1290"/>
        <n v="1566"/>
        <n v="1306"/>
        <n v="1602"/>
        <n v="1530"/>
        <n v="1554"/>
        <n v="1305"/>
        <n v="1577"/>
        <n v="1545"/>
        <n v="1599"/>
        <n v="1298"/>
        <n v="1315"/>
        <n v="1536"/>
        <n v="1540"/>
        <n v="1537"/>
        <n v="1313"/>
        <n v="1600"/>
        <n v="1603"/>
        <n v="1481"/>
        <n v="1606"/>
        <n v="1289"/>
        <n v="1547"/>
        <n v="1511"/>
        <n v="1592"/>
        <n v="1498"/>
      </sharedItems>
    </cacheField>
    <cacheField name="Customer Name" numFmtId="0">
      <sharedItems count="74">
        <s v="M/S Hemayetpur Battery House (C)"/>
        <s v="M/S Monir Auto &amp; Battery House (C)"/>
        <s v="M/S Anas Enterprise (C)"/>
        <s v="M/S Al - Mokka Enterprise (C)"/>
        <s v="M/S Shoshi Enterprise (C)"/>
        <s v="M/S Shopon Battery House (C)"/>
        <s v="M/S Shepon Motors (C)"/>
        <s v="M/S Souro Power Electric (C)"/>
        <s v="M/S Sardar Auto House (C)"/>
        <s v="M/S Al - Barakah Battery &amp; Auto Parts (C)"/>
        <s v="M/S S.K. Trading Corporation (C)"/>
        <s v="M/S Selim Battery House (C)"/>
        <s v="M/S S.M. Imran Battery House (C)"/>
        <s v="M/S Sadiq Enterprise (C)"/>
        <s v="M/S Lamia Battery (C)"/>
        <s v="M/S M.R. Enterprise- Dinajpur (C)"/>
        <s v="M/S L D Poribahan &amp; Trading (C)"/>
        <s v="M/S Supreme Auto (C)"/>
        <s v="M/S Babul Enterprise (C)"/>
        <s v="M/S Boalkhali Battery House (C)"/>
        <s v="M/S S.K. Enterprise (C)"/>
        <s v="M/S Anik Motors &amp; Battery (C)"/>
        <s v="M/S Bogura Auto Center (C)"/>
        <s v="M/S Simanto Battery House (C)"/>
        <s v="M/S Ripon Tyre and Battery (C)"/>
        <s v="M/S Gazipur Battery House (C)"/>
        <s v="M/S Sadia Enterprise (C)"/>
        <s v="M/S Afifa Traders (C)"/>
        <s v="M/S Bhai Bhai Auto Center (C)"/>
        <s v="M/S Molla Battery House (C)"/>
        <s v="M/S Satata Battery House (C)"/>
        <s v="M/S Modina Cycle Store (C)"/>
        <s v="M/S Sharif Battery House &amp; IPS Center (C)"/>
        <s v="M/S Salman Auto and Battery (C)"/>
        <s v="M/S Sajib Enterprise (C)"/>
        <s v="M/S Banskhali Enterprise-Joldi (C)"/>
        <s v="M/S Adib Alifa Auto &amp; Battery House (C)"/>
        <s v="M/S Islam Parts Store (C)"/>
        <s v="M/S Maa Auto Workshop &amp; Battery Center (C)"/>
        <s v="M/S New Mintu Motors (C)"/>
        <s v="M/S S.S. Enterprise-Norshingdi (C)"/>
        <s v="M/S S.B. Energy (C)"/>
        <s v="M/S Doyal Battery (C)"/>
        <s v="M/S Talukder Motors (C)"/>
        <s v="M/S Samar Auto (C)"/>
        <s v="M/S Jony Motors - Faridpur (C)"/>
        <s v="M/S Takdir Battery &amp; Autos (C)"/>
        <s v="M/S Lutfor Auto Battery House (C)"/>
        <s v="M/S Khan Battery Recycling (C)"/>
        <s v="M/S Arafat Enterprise (C)"/>
        <s v="M/S J. S Battery House (C)"/>
        <s v="M/S Khokon IPS &amp; Battery Center (C)"/>
        <s v="M/S Tanjila Enterprise (C)"/>
        <s v="M/S S. K. Battery House (C)"/>
        <s v="M/S New Dhaka Motors and Battery (C)"/>
        <s v="M/S A.P.L. Auto House (C)"/>
        <s v="M/S Bondhu Auto House (C)"/>
        <s v="M/S Sompa Cycle Store (C)"/>
        <s v="M/S Mohona Bike Center (C)"/>
        <s v="M/S Farhan Auto (C)"/>
        <s v="M/S Battery House - Pabna (C)"/>
        <s v="M/S Jhenaidah Bike Center  (C)"/>
        <s v="M/S Shamim Battery &amp; Tyre House (C)"/>
        <s v="M/S North Bengal Trading (C)"/>
        <s v="M/S Saiful Motors (C)"/>
        <s v="M/S Salman Auto and Battery-2 (C) ET Premium"/>
        <s v="M/S AISB Corporation (C)"/>
        <s v="M/S Mokka Motors-Cumilla (C)"/>
        <s v="M/S Nazrul Battery Ghor &amp; Auto Part  (C)"/>
        <s v="M/S Hasan Enterprise (C)"/>
        <s v="M/S Mahbub Motors-Patuakhali (C)"/>
        <s v="M/S New China Auto Traders (C)"/>
        <s v="M/S Rashed Traders (C)"/>
        <s v="M/S Sadia Auto Parts (C)"/>
      </sharedItems>
    </cacheField>
    <cacheField name="Pad Name" numFmtId="0">
      <sharedItems containsString="0" containsBlank="1" containsNonDate="0" count="1">
        <m/>
      </sharedItems>
    </cacheField>
    <cacheField name="Territory Name" numFmtId="0">
      <sharedItems count="17">
        <s v="Tangail Territory"/>
        <s v="Gazipur Territory"/>
        <s v="Bhola Territory"/>
        <s v="Barishal Territory"/>
        <s v="Jashore Territory"/>
        <s v="Khulna Territory"/>
        <s v="Dinajpur Territory"/>
        <s v="Noakhali Territory"/>
        <s v="Mymenshing Territory"/>
        <s v="Chattogram Territory"/>
        <s v="Cumilla Territory"/>
        <s v="Bagura Territory"/>
        <s v="Rangpur Territory"/>
        <s v="Narayangonj Territory"/>
        <s v="Hobigonj Territory"/>
        <s v="Rajshahi Territory"/>
        <s v="Cox's Bazar Territory"/>
      </sharedItems>
    </cacheField>
    <cacheField name="Division Name" numFmtId="0">
      <sharedItems count="10">
        <s v="Tangail Zone"/>
        <s v="Barishal Zone"/>
        <s v="Jashore Zone"/>
        <s v="Khulna Zone"/>
        <s v="Rangpur Zone"/>
        <s v="Cumilla Zone"/>
        <s v="Mymensingh Zone"/>
        <s v="Chattogram Zone"/>
        <s v="Bagura Zone"/>
        <s v="Sylhet Zone"/>
      </sharedItems>
    </cacheField>
    <cacheField name="National Name" numFmtId="0">
      <sharedItems count="2">
        <s v="National-1"/>
        <s v="National-2"/>
      </sharedItems>
    </cacheField>
    <cacheField name="Application Name" numFmtId="0">
      <sharedItems count="2">
        <s v="Rickshaw"/>
        <s v="ET"/>
      </sharedItems>
    </cacheField>
    <cacheField name="ERP Status" numFmtId="0">
      <sharedItems count="1">
        <s v="ERP-2"/>
      </sharedItems>
    </cacheField>
    <cacheField name="Warehouse" numFmtId="0">
      <sharedItems count="5">
        <s v="Dhaka"/>
        <s v="Jashore"/>
        <s v="Dinajpur"/>
        <s v="Rangpur"/>
        <s v="Cox's Bazar"/>
      </sharedItems>
    </cacheField>
    <cacheField name="Invoice No" numFmtId="0">
      <sharedItems containsSemiMixedTypes="0" containsString="0" containsNumber="1" containsInteger="1" minValue="0" maxValue="251201013" count="491">
        <n v="251200002"/>
        <n v="251200004"/>
        <n v="251200005"/>
        <n v="251200006"/>
        <n v="251200007"/>
        <n v="251200008"/>
        <n v="251200010"/>
        <n v="251200011"/>
        <n v="251200012"/>
        <n v="251200013"/>
        <n v="251200014"/>
        <n v="251200015"/>
        <n v="251200016"/>
        <n v="251200018"/>
        <n v="251200019"/>
        <n v="251200020"/>
        <n v="251200021"/>
        <n v="251200022"/>
        <n v="251200024"/>
        <n v="251200028"/>
        <n v="251200029"/>
        <n v="251200030"/>
        <n v="251200033"/>
        <n v="251200034"/>
        <n v="251200036"/>
        <n v="251200039"/>
        <n v="251200040"/>
        <n v="251200041"/>
        <n v="251200042"/>
        <n v="251200043"/>
        <n v="251200044"/>
        <n v="251200045"/>
        <n v="251200046"/>
        <n v="251200062"/>
        <n v="251200066"/>
        <n v="251200071"/>
        <n v="251200072"/>
        <n v="251200073"/>
        <n v="251200074"/>
        <n v="251200079"/>
        <n v="251200083"/>
        <n v="251200084"/>
        <n v="251200086"/>
        <n v="251200087"/>
        <n v="251200088"/>
        <n v="251200089"/>
        <n v="251200097"/>
        <n v="251200098"/>
        <n v="251200100"/>
        <n v="251200102"/>
        <n v="251200103"/>
        <n v="251200104"/>
        <n v="251200106"/>
        <n v="251200107"/>
        <n v="251200108"/>
        <n v="251200110"/>
        <n v="251200111"/>
        <n v="251200112"/>
        <n v="251200113"/>
        <n v="251200116"/>
        <n v="251200117"/>
        <n v="251200118"/>
        <n v="251200120"/>
        <n v="251200121"/>
        <n v="251200122"/>
        <n v="251200123"/>
        <n v="251200125"/>
        <n v="251200127"/>
        <n v="251200128"/>
        <n v="251200133"/>
        <n v="251200134"/>
        <n v="251200135"/>
        <n v="251200137"/>
        <n v="251200138"/>
        <n v="251200139"/>
        <n v="251200140"/>
        <n v="251200141"/>
        <n v="251200143"/>
        <n v="251200144"/>
        <n v="251200145"/>
        <n v="251200146"/>
        <n v="251200147"/>
        <n v="251200150"/>
        <n v="251200151"/>
        <n v="251200152"/>
        <n v="251200155"/>
        <n v="251200156"/>
        <n v="251200157"/>
        <n v="251200164"/>
        <n v="251200165"/>
        <n v="251200167"/>
        <n v="251200168"/>
        <n v="251200169"/>
        <n v="251200170"/>
        <n v="251200171"/>
        <n v="251200172"/>
        <n v="251200173"/>
        <n v="251200174"/>
        <n v="251200176"/>
        <n v="251200178"/>
        <n v="251200180"/>
        <n v="251200181"/>
        <n v="251200182"/>
        <n v="251200185"/>
        <n v="251200186"/>
        <n v="251200190"/>
        <n v="251200191"/>
        <n v="251200192"/>
        <n v="251200193"/>
        <n v="251200194"/>
        <n v="251200195"/>
        <n v="251200196"/>
        <n v="251200202"/>
        <n v="251200203"/>
        <n v="251200204"/>
        <n v="251200206"/>
        <n v="251200209"/>
        <n v="251200217"/>
        <n v="251200223"/>
        <n v="251200224"/>
        <n v="251200226"/>
        <n v="251200227"/>
        <n v="251200228"/>
        <n v="251200229"/>
        <n v="251200230"/>
        <n v="251200233"/>
        <n v="251200234"/>
        <n v="251200235"/>
        <n v="251200236"/>
        <n v="251200238"/>
        <n v="251200245"/>
        <n v="251200246"/>
        <n v="251200247"/>
        <n v="251200248"/>
        <n v="251200249"/>
        <n v="251200250"/>
        <n v="251200251"/>
        <n v="251200252"/>
        <n v="251200254"/>
        <n v="251200257"/>
        <n v="251200258"/>
        <n v="251200259"/>
        <n v="251200260"/>
        <n v="251200261"/>
        <n v="251200264"/>
        <n v="251200267"/>
        <n v="251200268"/>
        <n v="251200269"/>
        <n v="251200270"/>
        <n v="251200273"/>
        <n v="251200274"/>
        <n v="251200276"/>
        <n v="251200277"/>
        <n v="251200278"/>
        <n v="251200279"/>
        <n v="251200281"/>
        <n v="251200283"/>
        <n v="251200284"/>
        <n v="251200285"/>
        <n v="251200286"/>
        <n v="251200287"/>
        <n v="251200289"/>
        <n v="251200290"/>
        <n v="251200291"/>
        <n v="251200292"/>
        <n v="251200298"/>
        <n v="251200302"/>
        <n v="251200305"/>
        <n v="251200306"/>
        <n v="251200308"/>
        <n v="251200309"/>
        <n v="251200310"/>
        <n v="251200314"/>
        <n v="251200319"/>
        <n v="251200320"/>
        <n v="251200321"/>
        <n v="251200323"/>
        <n v="251200325"/>
        <n v="251200326"/>
        <n v="251200327"/>
        <n v="251200329"/>
        <n v="251200330"/>
        <n v="251200331"/>
        <n v="251200344"/>
        <n v="251200345"/>
        <n v="251200346"/>
        <n v="251200349"/>
        <n v="251200352"/>
        <n v="251200354"/>
        <n v="251200355"/>
        <n v="251200356"/>
        <n v="251200358"/>
        <n v="251200359"/>
        <n v="251200360"/>
        <n v="251200361"/>
        <n v="251200362"/>
        <n v="251200364"/>
        <n v="251200365"/>
        <n v="251200366"/>
        <n v="251200368"/>
        <n v="251200369"/>
        <n v="251200370"/>
        <n v="251200371"/>
        <n v="251200372"/>
        <n v="251200373"/>
        <n v="251200375"/>
        <n v="251200379"/>
        <n v="251200380"/>
        <n v="251200381"/>
        <n v="251200382"/>
        <n v="251200383"/>
        <n v="251200393"/>
        <n v="251200394"/>
        <n v="251200395"/>
        <n v="251200396"/>
        <n v="251200397"/>
        <n v="251200398"/>
        <n v="251200399"/>
        <n v="251200401"/>
        <n v="251200403"/>
        <n v="251200404"/>
        <n v="251200405"/>
        <n v="251200406"/>
        <n v="251200410"/>
        <n v="251200411"/>
        <n v="251200412"/>
        <n v="251200414"/>
        <n v="251200415"/>
        <n v="251200417"/>
        <n v="251200418"/>
        <n v="251200423"/>
        <n v="251200424"/>
        <n v="251200425"/>
        <n v="251200430"/>
        <n v="251200431"/>
        <n v="251200433"/>
        <n v="251200434"/>
        <n v="251200435"/>
        <n v="251200440"/>
        <n v="251200441"/>
        <n v="251200442"/>
        <n v="251200443"/>
        <n v="251200444"/>
        <n v="251200446"/>
        <n v="251200447"/>
        <n v="251200448"/>
        <n v="251200449"/>
        <n v="251200450"/>
        <n v="251200451"/>
        <n v="251200452"/>
        <n v="251200453"/>
        <n v="251200454"/>
        <n v="251200456"/>
        <n v="251200457"/>
        <n v="251200458"/>
        <n v="251200459"/>
        <n v="251200460"/>
        <n v="251200461"/>
        <n v="251200463"/>
        <n v="251200466"/>
        <n v="251200467"/>
        <n v="251200468"/>
        <n v="251200469"/>
        <n v="251200470"/>
        <n v="251200472"/>
        <n v="251200473"/>
        <n v="251200474"/>
        <n v="251200478"/>
        <n v="251200484"/>
        <n v="251200485"/>
        <n v="251200486"/>
        <n v="251200487"/>
        <n v="251200488"/>
        <n v="251200491"/>
        <n v="251200492"/>
        <n v="251200493"/>
        <n v="251200496"/>
        <n v="251200497"/>
        <n v="251200498"/>
        <n v="251200499"/>
        <n v="251200500"/>
        <n v="251200501"/>
        <n v="251200507"/>
        <n v="251200508"/>
        <n v="251200509"/>
        <n v="251200510"/>
        <n v="251200511"/>
        <n v="251200518"/>
        <n v="251200519"/>
        <n v="251200520"/>
        <n v="251200521"/>
        <n v="251200522"/>
        <n v="251200523"/>
        <n v="251200524"/>
        <n v="251200526"/>
        <n v="251200527"/>
        <n v="251200533"/>
        <n v="251200542"/>
        <n v="251200543"/>
        <n v="251200544"/>
        <n v="251200546"/>
        <n v="251200547"/>
        <n v="251200548"/>
        <n v="251200550"/>
        <n v="251200552"/>
        <n v="251200553"/>
        <n v="251200554"/>
        <n v="251200555"/>
        <n v="251200557"/>
        <n v="251200558"/>
        <n v="251200559"/>
        <n v="251200560"/>
        <n v="251200562"/>
        <n v="251200563"/>
        <n v="251200564"/>
        <n v="251200565"/>
        <n v="251200567"/>
        <n v="251200568"/>
        <n v="251200569"/>
        <n v="251200570"/>
        <n v="251200571"/>
        <n v="251200574"/>
        <n v="251200575"/>
        <n v="251200576"/>
        <n v="251200578"/>
        <n v="251200579"/>
        <n v="251200580"/>
        <n v="251200581"/>
        <n v="251200582"/>
        <n v="251200583"/>
        <n v="251200590"/>
        <n v="251200592"/>
        <n v="251200593"/>
        <n v="251200594"/>
        <n v="251200596"/>
        <n v="251200600"/>
        <n v="251200601"/>
        <n v="251200602"/>
        <n v="251200603"/>
        <n v="251200604"/>
        <n v="251200605"/>
        <n v="251200609"/>
        <n v="251200610"/>
        <n v="251200611"/>
        <n v="251200612"/>
        <n v="251200614"/>
        <n v="251200618"/>
        <n v="251200619"/>
        <n v="251200621"/>
        <n v="251200622"/>
        <n v="251200623"/>
        <n v="251200624"/>
        <n v="251200625"/>
        <n v="251200627"/>
        <n v="251200629"/>
        <n v="251200630"/>
        <n v="251200631"/>
        <n v="251200632"/>
        <n v="251200641"/>
        <n v="251200643"/>
        <n v="251200644"/>
        <n v="251200645"/>
        <n v="251200646"/>
        <n v="251200647"/>
        <n v="251200650"/>
        <n v="251200651"/>
        <n v="251200652"/>
        <n v="251200653"/>
        <n v="251200654"/>
        <n v="251200655"/>
        <n v="251200656"/>
        <n v="251200657"/>
        <n v="251200658"/>
        <n v="251200662"/>
        <n v="251200663"/>
        <n v="251200664"/>
        <n v="251200665"/>
        <n v="251200666"/>
        <n v="251200670"/>
        <n v="251200671"/>
        <n v="251200672"/>
        <n v="251200674"/>
        <n v="251200676"/>
        <n v="251200678"/>
        <n v="251200681"/>
        <n v="251200687"/>
        <n v="251200689"/>
        <n v="251200693"/>
        <n v="251200696"/>
        <n v="251200697"/>
        <n v="251200718"/>
        <n v="251200719"/>
        <n v="251200720"/>
        <n v="251200722"/>
        <n v="251200723"/>
        <n v="251200725"/>
        <n v="251200732"/>
        <n v="251200733"/>
        <n v="251200734"/>
        <n v="251200737"/>
        <n v="251200738"/>
        <n v="251200740"/>
        <n v="251200741"/>
        <n v="251200742"/>
        <n v="251200743"/>
        <n v="251200744"/>
        <n v="251200746"/>
        <n v="251200748"/>
        <n v="251200749"/>
        <n v="251200750"/>
        <n v="251200752"/>
        <n v="251200755"/>
        <n v="251200757"/>
        <n v="251200759"/>
        <n v="251200760"/>
        <n v="251200761"/>
        <n v="251200763"/>
        <n v="251200765"/>
        <n v="251200767"/>
        <n v="251200768"/>
        <n v="251200769"/>
        <n v="251200770"/>
        <n v="251200771"/>
        <n v="251200774"/>
        <n v="251200775"/>
        <n v="251200778"/>
        <n v="251200779"/>
        <n v="251200780"/>
        <n v="251200781"/>
        <n v="251200784"/>
        <n v="251200785"/>
        <n v="251200786"/>
        <n v="251200788"/>
        <n v="251200790"/>
        <n v="251200795"/>
        <n v="251200798"/>
        <n v="251200800"/>
        <n v="251200801"/>
        <n v="251200802"/>
        <n v="251200803"/>
        <n v="251200804"/>
        <n v="251200805"/>
        <n v="251200806"/>
        <n v="251200807"/>
        <n v="251200808"/>
        <n v="251200811"/>
        <n v="251200812"/>
        <n v="251200813"/>
        <n v="251200838"/>
        <n v="251200839"/>
        <n v="251200842"/>
        <n v="251200848"/>
        <n v="251200849"/>
        <n v="251200852"/>
        <n v="251200853"/>
        <n v="251200854"/>
        <n v="251200855"/>
        <n v="251200856"/>
        <n v="251200857"/>
        <n v="251200859"/>
        <n v="251200860"/>
        <n v="251200885"/>
        <n v="251200886"/>
        <n v="251200887"/>
        <n v="251200892"/>
        <n v="251200893"/>
        <n v="251200895"/>
        <n v="251200896"/>
        <n v="251200897"/>
        <n v="251200899"/>
        <n v="251200900"/>
        <n v="251200902"/>
        <n v="251200903"/>
        <n v="251200905"/>
        <n v="251200906"/>
        <n v="251200907"/>
        <n v="251200908"/>
        <n v="251200909"/>
        <n v="251200910"/>
        <n v="251200974"/>
        <n v="251200975"/>
        <n v="251200978"/>
        <n v="251200979"/>
        <n v="251200984"/>
        <n v="251200985"/>
        <n v="251200986"/>
        <n v="251200987"/>
        <n v="251200988"/>
        <n v="251200992"/>
        <n v="251201012"/>
        <n v="251201013"/>
      </sharedItems>
    </cacheField>
    <cacheField name="Invoice Date" numFmtId="15">
      <sharedItems containsSemiMixedTypes="0" containsString="0" containsNonDate="0" containsDate="1" minDate="2025-12-02T00:00:00" maxDate="2025-12-31T00:00:00" count="23">
        <d v="2025-12-02T00:00:00"/>
        <d v="2025-12-03T00:00:00"/>
        <d v="2025-12-04T00:00:00"/>
        <d v="2025-12-06T00:00:00"/>
        <d v="2025-12-07T00:00:00"/>
        <d v="2025-12-08T00:00:00"/>
        <d v="2025-12-09T00:00:00"/>
        <d v="2025-12-10T00:00:00"/>
        <d v="2025-12-11T00:00:00"/>
        <d v="2025-12-13T00:00:00"/>
        <d v="2025-12-14T00:00:00"/>
        <d v="2025-12-15T00:00:00"/>
        <d v="2025-12-16T00:00:00"/>
        <d v="2025-12-18T00:00:00"/>
        <d v="2025-12-20T00:00:00"/>
        <d v="2025-12-21T00:00:00"/>
        <d v="2025-12-22T00:00:00"/>
        <d v="2025-12-23T00:00:00"/>
        <d v="2025-12-24T00:00:00"/>
        <d v="2025-12-28T00:00:00"/>
        <d v="2025-12-29T00:00:00"/>
        <d v="2025-12-30T00:00:00"/>
        <d v="2025-12-31T00:00:00"/>
      </sharedItems>
    </cacheField>
    <cacheField name="Order Date" numFmtId="15">
      <sharedItems containsSemiMixedTypes="0" containsString="0" containsNonDate="0" containsDate="1" minDate="2025-12-02T00:00:00" maxDate="2025-12-31T00:00:00" count="23">
        <d v="2025-12-02T00:00:00"/>
        <d v="2025-12-03T00:00:00"/>
        <d v="2025-12-04T00:00:00"/>
        <d v="2025-12-06T00:00:00"/>
        <d v="2025-12-07T00:00:00"/>
        <d v="2025-12-08T00:00:00"/>
        <d v="2025-12-09T00:00:00"/>
        <d v="2025-12-10T00:00:00"/>
        <d v="2025-12-11T00:00:00"/>
        <d v="2025-12-13T00:00:00"/>
        <d v="2025-12-14T00:00:00"/>
        <d v="2025-12-15T00:00:00"/>
        <d v="2025-12-16T00:00:00"/>
        <d v="2025-12-18T00:00:00"/>
        <d v="2025-12-20T00:00:00"/>
        <d v="2025-12-21T00:00:00"/>
        <d v="2025-12-22T00:00:00"/>
        <d v="2025-12-23T00:00:00"/>
        <d v="2025-12-24T00:00:00"/>
        <d v="2025-12-28T00:00:00"/>
        <d v="2025-12-29T00:00:00"/>
        <d v="2025-12-30T00:00:00"/>
        <d v="2025-12-31T00:00:00"/>
      </sharedItems>
    </cacheField>
    <cacheField name="Product Code" numFmtId="0">
      <sharedItems count="49">
        <s v="L104GP064"/>
        <s v="L101GP131"/>
        <s v="L101AP132"/>
        <s v="L101BN223"/>
        <s v="L104VM149"/>
        <s v="L101VM216"/>
        <s v="L101TY136"/>
        <s v="L104ZR151"/>
        <s v="L104ZP117"/>
        <s v="L101AP209"/>
        <s v="L101KB214"/>
        <s v="L101BK200"/>
        <s v="L101KI141"/>
        <s v="L101DT220"/>
        <s v="L101GP212"/>
        <s v="L104MK140"/>
        <s v="L101GM130"/>
        <s v="L104CB089"/>
        <s v="L104RU161"/>
        <s v="L104PJ088"/>
        <s v="L101PJ140"/>
        <s v="L101ZR226"/>
        <s v="L101GT003"/>
        <s v="L101BK217"/>
        <s v="L101VM218"/>
        <s v="L101KI203"/>
        <s v="L101ZP204"/>
        <s v="L101CB224"/>
        <s v="L104TS164"/>
        <s v="L101SN202"/>
        <s v="L104BK139"/>
        <s v="L104AP152"/>
        <s v="L104TY168"/>
        <s v="L101SN134"/>
        <s v="L101KB201"/>
        <s v="L101BN222"/>
        <s v="L101ZP143"/>
        <s v="L104KI109"/>
        <s v="L101TY213"/>
        <s v="L104SJ143"/>
        <s v="L101CB139"/>
        <s v="L101TS230"/>
        <s v="L104GP097"/>
        <s v="L201PE236"/>
        <s v="L201KJ237"/>
        <s v="L101PJ219"/>
        <s v="L101ZT235"/>
        <s v="L104AP165"/>
        <s v="L101DT221"/>
      </sharedItems>
    </cacheField>
    <cacheField name="Product Name" numFmtId="0">
      <sharedItems count="49">
        <s v="TRB170 Gaston Plus"/>
        <s v="EV175T(H) Gaston Plus"/>
        <s v="EV180T(H) Alpha Plus"/>
        <s v="6DGA-230-A+(H.D) Easy Bike King"/>
        <s v="TRB210T Volt Master"/>
        <s v="EV230T Volt Master"/>
        <s v="6DGA-200(H) Typhoon"/>
        <s v="MISHUK-220 Z Power"/>
        <s v="MISHUK-220-A+ Zodiac Power"/>
        <s v="EV180T(H.D) Alpha Plus"/>
        <s v="6DGA-230A+(H.D) KB Power"/>
        <s v="EV-250T(H) Banskhali King"/>
        <s v="6DGA-225(H) Kingshuk Power"/>
        <s v="6DGA-225T Dimitris"/>
        <s v="EV175T(H.D) Gaston Plus"/>
        <s v="MODEL-400 Mishuk King"/>
        <s v="EV200T Gaston Premium"/>
        <s v="TRB-210 CBL2020"/>
        <s v="MISHUK-400T Power Run"/>
        <s v="TRB-200 Pongkhiraj"/>
        <s v="EV-210(H) Pongkhiraj"/>
        <s v="6DGA-225(H) Z Power"/>
        <s v="ET140T- L Gaston"/>
        <s v="EV-250T(H.D) Banskhali King"/>
        <s v="EV230T(H.D) Volt Master"/>
        <s v="6DGA-225(H.D) Kingshuk Power"/>
        <s v="6DGA-230A+(H.D) Zodiac Power"/>
        <s v="EV-220(H.D) CBL2020"/>
        <s v="TRB480 Target Plus"/>
        <s v="EV-250T(H.D) Sunrise Power"/>
        <s v="TRB-215T Banskhali King"/>
        <s v="TRB400 Alpha Plus"/>
        <s v="TRB400 Typhoon"/>
        <s v="EV-250T(H) Sunrise Power"/>
        <s v="6DGA-230A+(H) KB Power"/>
        <s v="6-DGA-230-A+ Easy Bike King"/>
        <s v="6DGA-230A+(H) Zodiac Power"/>
        <s v="MISHUK-220 Kingshuk Power"/>
        <s v="6DGA-200(H.D) Typhoon"/>
        <s v="CTC-440 SURJO"/>
        <s v="EV-220(H) CBL2020"/>
        <s v="EV-220(H.D) Target Plus"/>
        <s v="TRB-160 Gaston Plus"/>
        <s v="6DGA-200A+ Power Master"/>
        <s v="EV-220 Kim Jon"/>
        <s v="EV-210(H.D) Pongkhiraj"/>
        <s v="6DGA-230A+(H.D) Zodiac Power (ET04)"/>
        <s v="TRB-160 Alpha Plus"/>
        <s v="6DGA-225T(H.D) Dimitris"/>
      </sharedItems>
    </cacheField>
    <cacheField name="Unit TP" numFmtId="0">
      <sharedItems containsSemiMixedTypes="0" containsString="0" containsNumber="1" containsInteger="1" minValue="0" maxValue="5700" count="4">
        <n v="4500"/>
        <n v="5500"/>
        <n v="5700"/>
        <n v="3000"/>
      </sharedItems>
    </cacheField>
    <cacheField name="Invoice Qunatity" numFmtId="0">
      <sharedItems containsSemiMixedTypes="0" containsString="0" containsNumber="1" containsInteger="1" minValue="0" maxValue="210" count="54">
        <n v="40"/>
        <n v="4"/>
        <n v="34"/>
        <n v="7"/>
        <n v="10"/>
        <n v="8"/>
        <n v="20"/>
        <n v="45"/>
        <n v="25"/>
        <n v="5"/>
        <n v="120"/>
        <n v="80"/>
        <n v="70"/>
        <n v="30"/>
        <n v="16"/>
        <n v="32"/>
        <n v="28"/>
        <n v="12"/>
        <n v="26"/>
        <n v="1"/>
        <n v="15"/>
        <n v="50"/>
        <n v="116"/>
        <n v="24"/>
        <n v="6"/>
        <n v="3"/>
        <n v="48"/>
        <n v="60"/>
        <n v="9"/>
        <n v="36"/>
        <n v="13"/>
        <n v="2"/>
        <n v="52"/>
        <n v="11"/>
        <n v="17"/>
        <n v="150"/>
        <n v="210"/>
        <n v="22"/>
        <n v="14"/>
        <n v="100"/>
        <n v="58"/>
        <n v="68"/>
        <n v="125"/>
        <n v="72"/>
        <n v="23"/>
        <n v="56"/>
        <n v="19"/>
        <n v="44"/>
        <n v="200"/>
        <n v="18"/>
        <n v="35"/>
        <n v="107"/>
        <n v="21"/>
        <n v="39"/>
      </sharedItems>
    </cacheField>
    <cacheField name="Invoice Amount" numFmtId="0">
      <sharedItems containsSemiMixedTypes="0" containsString="0" containsNumber="1" containsInteger="1" minValue="0" maxValue="945000" count="91">
        <n v="180000"/>
        <n v="18000"/>
        <n v="187000"/>
        <n v="38500"/>
        <n v="55000"/>
        <n v="36000"/>
        <n v="90000"/>
        <n v="247500"/>
        <n v="110000"/>
        <n v="137500"/>
        <n v="27500"/>
        <n v="540000"/>
        <n v="440000"/>
        <n v="385000"/>
        <n v="171000"/>
        <n v="72000"/>
        <n v="144000"/>
        <n v="126000"/>
        <n v="54000"/>
        <n v="143000"/>
        <n v="4500"/>
        <n v="220000"/>
        <n v="57000"/>
        <n v="28500"/>
        <n v="5500"/>
        <n v="82500"/>
        <n v="44000"/>
        <n v="22000"/>
        <n v="275000"/>
        <n v="522000"/>
        <n v="108000"/>
        <n v="165000"/>
        <n v="33000"/>
        <n v="16500"/>
        <n v="360000"/>
        <n v="31500"/>
        <n v="66000"/>
        <n v="216000"/>
        <n v="45000"/>
        <n v="330000"/>
        <n v="135000"/>
        <n v="114000"/>
        <n v="88000"/>
        <n v="315000"/>
        <n v="49500"/>
        <n v="132000"/>
        <n v="154000"/>
        <n v="270000"/>
        <n v="225000"/>
        <n v="162000"/>
        <n v="71500"/>
        <n v="11000"/>
        <n v="85500"/>
        <n v="234000"/>
        <n v="60500"/>
        <n v="45600"/>
        <n v="96900"/>
        <n v="675000"/>
        <n v="102000"/>
        <n v="17100"/>
        <n v="5700"/>
        <n v="9000"/>
        <n v="945000"/>
        <n v="121000"/>
        <n v="198000"/>
        <n v="77000"/>
        <n v="450000"/>
        <n v="319000"/>
        <n v="306000"/>
        <n v="40500"/>
        <n v="687500"/>
        <n v="324000"/>
        <n v="103500"/>
        <n v="11400"/>
        <n v="15000"/>
        <n v="60000"/>
        <n v="252000"/>
        <n v="108300"/>
        <n v="900000"/>
        <n v="22800"/>
        <n v="112500"/>
        <n v="96000"/>
        <n v="99000"/>
        <n v="192500"/>
        <n v="550000"/>
        <n v="481500"/>
        <n v="58500"/>
        <n v="81000"/>
        <n v="120000"/>
        <n v="115500"/>
        <n v="214500"/>
      </sharedItems>
    </cacheField>
    <cacheField name="Return Qunatity" numFmtId="0">
      <sharedItems containsSemiMixedTypes="0" containsString="0" containsNumber="1" containsInteger="1" minValue="0" maxValue="0" count="1">
        <n v="0"/>
      </sharedItems>
    </cacheField>
    <cacheField name="Return Amount" numFmtId="0">
      <sharedItems containsSemiMixedTypes="0" containsString="0" containsNumber="1" containsInteger="1" minValue="0" maxValue="0" count="1">
        <n v="0"/>
      </sharedItems>
    </cacheField>
    <cacheField name="Actual Invoice Qunatity" numFmtId="0">
      <sharedItems containsSemiMixedTypes="0" containsString="0" containsNumber="1" containsInteger="1" minValue="0" maxValue="210" count="54">
        <n v="40"/>
        <n v="4"/>
        <n v="34"/>
        <n v="7"/>
        <n v="10"/>
        <n v="8"/>
        <n v="20"/>
        <n v="45"/>
        <n v="25"/>
        <n v="5"/>
        <n v="120"/>
        <n v="80"/>
        <n v="70"/>
        <n v="30"/>
        <n v="16"/>
        <n v="32"/>
        <n v="28"/>
        <n v="12"/>
        <n v="26"/>
        <n v="1"/>
        <n v="15"/>
        <n v="50"/>
        <n v="116"/>
        <n v="24"/>
        <n v="6"/>
        <n v="3"/>
        <n v="48"/>
        <n v="60"/>
        <n v="9"/>
        <n v="36"/>
        <n v="13"/>
        <n v="2"/>
        <n v="52"/>
        <n v="11"/>
        <n v="17"/>
        <n v="150"/>
        <n v="210"/>
        <n v="22"/>
        <n v="14"/>
        <n v="100"/>
        <n v="58"/>
        <n v="68"/>
        <n v="125"/>
        <n v="72"/>
        <n v="23"/>
        <n v="56"/>
        <n v="19"/>
        <n v="44"/>
        <n v="200"/>
        <n v="18"/>
        <n v="35"/>
        <n v="107"/>
        <n v="21"/>
        <n v="39"/>
      </sharedItems>
    </cacheField>
    <cacheField name="Actual Invoice Amount" numFmtId="0">
      <sharedItems containsSemiMixedTypes="0" containsString="0" containsNumber="1" containsInteger="1" minValue="0" maxValue="945000" count="91">
        <n v="180000"/>
        <n v="18000"/>
        <n v="187000"/>
        <n v="38500"/>
        <n v="55000"/>
        <n v="36000"/>
        <n v="90000"/>
        <n v="247500"/>
        <n v="110000"/>
        <n v="137500"/>
        <n v="27500"/>
        <n v="540000"/>
        <n v="440000"/>
        <n v="385000"/>
        <n v="171000"/>
        <n v="72000"/>
        <n v="144000"/>
        <n v="126000"/>
        <n v="54000"/>
        <n v="143000"/>
        <n v="4500"/>
        <n v="220000"/>
        <n v="57000"/>
        <n v="28500"/>
        <n v="5500"/>
        <n v="82500"/>
        <n v="44000"/>
        <n v="22000"/>
        <n v="275000"/>
        <n v="522000"/>
        <n v="108000"/>
        <n v="165000"/>
        <n v="33000"/>
        <n v="16500"/>
        <n v="360000"/>
        <n v="31500"/>
        <n v="66000"/>
        <n v="216000"/>
        <n v="45000"/>
        <n v="330000"/>
        <n v="135000"/>
        <n v="114000"/>
        <n v="88000"/>
        <n v="315000"/>
        <n v="49500"/>
        <n v="132000"/>
        <n v="154000"/>
        <n v="270000"/>
        <n v="225000"/>
        <n v="162000"/>
        <n v="71500"/>
        <n v="11000"/>
        <n v="85500"/>
        <n v="234000"/>
        <n v="60500"/>
        <n v="45600"/>
        <n v="96900"/>
        <n v="675000"/>
        <n v="102000"/>
        <n v="17100"/>
        <n v="5700"/>
        <n v="9000"/>
        <n v="945000"/>
        <n v="121000"/>
        <n v="198000"/>
        <n v="77000"/>
        <n v="450000"/>
        <n v="319000"/>
        <n v="306000"/>
        <n v="40500"/>
        <n v="687500"/>
        <n v="324000"/>
        <n v="103500"/>
        <n v="11400"/>
        <n v="15000"/>
        <n v="60000"/>
        <n v="252000"/>
        <n v="108300"/>
        <n v="900000"/>
        <n v="22800"/>
        <n v="112500"/>
        <n v="96000"/>
        <n v="99000"/>
        <n v="192500"/>
        <n v="550000"/>
        <n v="481500"/>
        <n v="58500"/>
        <n v="81000"/>
        <n v="120000"/>
        <n v="115500"/>
        <n v="214500"/>
      </sharedItems>
    </cacheField>
    <cacheField name="Monthly Incent" numFmtId="0">
      <sharedItems containsSemiMixedTypes="0" containsString="0" containsNumber="1" containsInteger="1" minValue="0" maxValue="1500" count="2">
        <n v="0"/>
        <n v="1500"/>
      </sharedItems>
    </cacheField>
    <cacheField name="Yearly Incent" numFmtId="0">
      <sharedItems containsSemiMixedTypes="0" containsString="0" containsNumber="1" containsInteger="1" minValue="0" maxValue="2000" count="2">
        <n v="0"/>
        <n v="2000"/>
      </sharedItems>
    </cacheField>
    <cacheField name="Payment Incent" numFmtId="0">
      <sharedItems containsSemiMixedTypes="0" containsString="0" containsNumber="1" containsInteger="1" minValue="0" maxValue="0" count="1">
        <n v="0"/>
      </sharedItems>
    </cacheField>
    <cacheField name="Invoice Discount" numFmtId="0">
      <sharedItems containsSemiMixedTypes="0" containsString="0" containsNumber="1" containsInteger="1" minValue="0" maxValue="0" count="1">
        <n v="0"/>
      </sharedItems>
    </cacheField>
    <cacheField name="GRF Incent" numFmtId="0">
      <sharedItems containsSemiMixedTypes="0" containsString="0" containsNumber="1" containsInteger="1" minValue="0" maxValue="0" count="1">
        <n v="0"/>
      </sharedItems>
    </cacheField>
    <cacheField name="Total Incent" numFmtId="0">
      <sharedItems containsSemiMixedTypes="0" containsString="0" containsNumber="1" containsInteger="1" minValue="0" maxValue="3500" count="2">
        <n v="0"/>
        <n v="35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27.6436226852" refreshedBy="morshed.alam" recordCount="694">
  <cacheSource type="worksheet">
    <worksheetSource ref="A8:AC702" sheet="with Out Conversion"/>
  </cacheSource>
  <cacheFields count="29">
    <cacheField name="SL NO" numFmtId="0">
      <sharedItems containsSemiMixedTypes="0" containsString="0" containsNumber="1" containsInteger="1" minValue="0" maxValue="1473" count="694">
        <n v="1"/>
        <n v="2"/>
        <n v="3"/>
        <n v="4"/>
        <n v="5"/>
        <n v="7"/>
        <n v="8"/>
        <n v="10"/>
        <n v="15"/>
        <n v="16"/>
        <n v="18"/>
        <n v="19"/>
        <n v="27"/>
        <n v="29"/>
        <n v="30"/>
        <n v="31"/>
        <n v="32"/>
        <n v="34"/>
        <n v="35"/>
        <n v="37"/>
        <n v="39"/>
        <n v="40"/>
        <n v="42"/>
        <n v="43"/>
        <n v="45"/>
        <n v="48"/>
        <n v="49"/>
        <n v="50"/>
        <n v="52"/>
        <n v="53"/>
        <n v="54"/>
        <n v="57"/>
        <n v="59"/>
        <n v="61"/>
        <n v="65"/>
        <n v="68"/>
        <n v="69"/>
        <n v="70"/>
        <n v="71"/>
        <n v="75"/>
        <n v="76"/>
        <n v="77"/>
        <n v="78"/>
        <n v="79"/>
        <n v="80"/>
        <n v="81"/>
        <n v="82"/>
        <n v="83"/>
        <n v="84"/>
        <n v="90"/>
        <n v="92"/>
        <n v="97"/>
        <n v="98"/>
        <n v="99"/>
        <n v="100"/>
        <n v="101"/>
        <n v="102"/>
        <n v="104"/>
        <n v="105"/>
        <n v="107"/>
        <n v="111"/>
        <n v="112"/>
        <n v="116"/>
        <n v="117"/>
        <n v="118"/>
        <n v="119"/>
        <n v="120"/>
        <n v="121"/>
        <n v="126"/>
        <n v="131"/>
        <n v="139"/>
        <n v="141"/>
        <n v="142"/>
        <n v="144"/>
        <n v="146"/>
        <n v="149"/>
        <n v="152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9"/>
        <n v="200"/>
        <n v="201"/>
        <n v="202"/>
        <n v="204"/>
        <n v="205"/>
        <n v="206"/>
        <n v="207"/>
        <n v="208"/>
        <n v="209"/>
        <n v="210"/>
        <n v="211"/>
        <n v="212"/>
        <n v="219"/>
        <n v="220"/>
        <n v="221"/>
        <n v="222"/>
        <n v="223"/>
        <n v="224"/>
        <n v="225"/>
        <n v="226"/>
        <n v="227"/>
        <n v="228"/>
        <n v="229"/>
        <n v="231"/>
        <n v="233"/>
        <n v="234"/>
        <n v="235"/>
        <n v="236"/>
        <n v="240"/>
        <n v="241"/>
        <n v="242"/>
        <n v="247"/>
        <n v="248"/>
        <n v="249"/>
        <n v="250"/>
        <n v="251"/>
        <n v="252"/>
        <n v="253"/>
        <n v="254"/>
        <n v="255"/>
        <n v="256"/>
        <n v="257"/>
        <n v="258"/>
        <n v="264"/>
        <n v="267"/>
        <n v="268"/>
        <n v="274"/>
        <n v="281"/>
        <n v="282"/>
        <n v="290"/>
        <n v="291"/>
        <n v="292"/>
        <n v="293"/>
        <n v="301"/>
        <n v="310"/>
        <n v="311"/>
        <n v="312"/>
        <n v="314"/>
        <n v="315"/>
        <n v="316"/>
        <n v="319"/>
        <n v="320"/>
        <n v="321"/>
        <n v="322"/>
        <n v="323"/>
        <n v="324"/>
        <n v="325"/>
        <n v="326"/>
        <n v="331"/>
        <n v="340"/>
        <n v="347"/>
        <n v="348"/>
        <n v="349"/>
        <n v="360"/>
        <n v="361"/>
        <n v="366"/>
        <n v="367"/>
        <n v="368"/>
        <n v="369"/>
        <n v="370"/>
        <n v="371"/>
        <n v="372"/>
        <n v="373"/>
        <n v="374"/>
        <n v="375"/>
        <n v="379"/>
        <n v="380"/>
        <n v="381"/>
        <n v="382"/>
        <n v="383"/>
        <n v="384"/>
        <n v="385"/>
        <n v="386"/>
        <n v="403"/>
        <n v="405"/>
        <n v="406"/>
        <n v="408"/>
        <n v="415"/>
        <n v="416"/>
        <n v="420"/>
        <n v="421"/>
        <n v="422"/>
        <n v="423"/>
        <n v="435"/>
        <n v="436"/>
        <n v="437"/>
        <n v="438"/>
        <n v="439"/>
        <n v="447"/>
        <n v="448"/>
        <n v="452"/>
        <n v="453"/>
        <n v="455"/>
        <n v="456"/>
        <n v="457"/>
        <n v="458"/>
        <n v="459"/>
        <n v="460"/>
        <n v="461"/>
        <n v="462"/>
        <n v="463"/>
        <n v="464"/>
        <n v="465"/>
        <n v="467"/>
        <n v="468"/>
        <n v="469"/>
        <n v="470"/>
        <n v="471"/>
        <n v="472"/>
        <n v="473"/>
        <n v="476"/>
        <n v="484"/>
        <n v="485"/>
        <n v="492"/>
        <n v="493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22"/>
        <n v="524"/>
        <n v="525"/>
        <n v="526"/>
        <n v="532"/>
        <n v="533"/>
        <n v="534"/>
        <n v="535"/>
        <n v="536"/>
        <n v="537"/>
        <n v="538"/>
        <n v="540"/>
        <n v="541"/>
        <n v="542"/>
        <n v="543"/>
        <n v="551"/>
        <n v="552"/>
        <n v="553"/>
        <n v="554"/>
        <n v="558"/>
        <n v="559"/>
        <n v="565"/>
        <n v="566"/>
        <n v="568"/>
        <n v="575"/>
        <n v="586"/>
        <n v="587"/>
        <n v="588"/>
        <n v="589"/>
        <n v="590"/>
        <n v="591"/>
        <n v="592"/>
        <n v="593"/>
        <n v="594"/>
        <n v="595"/>
        <n v="596"/>
        <n v="597"/>
        <n v="599"/>
        <n v="600"/>
        <n v="601"/>
        <n v="602"/>
        <n v="603"/>
        <n v="604"/>
        <n v="606"/>
        <n v="607"/>
        <n v="608"/>
        <n v="612"/>
        <n v="613"/>
        <n v="618"/>
        <n v="619"/>
        <n v="620"/>
        <n v="621"/>
        <n v="624"/>
        <n v="625"/>
        <n v="626"/>
        <n v="627"/>
        <n v="632"/>
        <n v="636"/>
        <n v="643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3"/>
        <n v="684"/>
        <n v="686"/>
        <n v="687"/>
        <n v="688"/>
        <n v="689"/>
        <n v="690"/>
        <n v="691"/>
        <n v="692"/>
        <n v="695"/>
        <n v="700"/>
        <n v="707"/>
        <n v="713"/>
        <n v="726"/>
        <n v="728"/>
        <n v="729"/>
        <n v="730"/>
        <n v="731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74"/>
        <n v="776"/>
        <n v="781"/>
        <n v="782"/>
        <n v="783"/>
        <n v="784"/>
        <n v="785"/>
        <n v="786"/>
        <n v="787"/>
        <n v="788"/>
        <n v="789"/>
        <n v="793"/>
        <n v="800"/>
        <n v="803"/>
        <n v="804"/>
        <n v="805"/>
        <n v="806"/>
        <n v="807"/>
        <n v="808"/>
        <n v="809"/>
        <n v="810"/>
        <n v="811"/>
        <n v="812"/>
        <n v="813"/>
        <n v="821"/>
        <n v="822"/>
        <n v="823"/>
        <n v="824"/>
        <n v="825"/>
        <n v="826"/>
        <n v="827"/>
        <n v="828"/>
        <n v="829"/>
        <n v="833"/>
        <n v="837"/>
        <n v="838"/>
        <n v="839"/>
        <n v="840"/>
        <n v="841"/>
        <n v="842"/>
        <n v="843"/>
        <n v="851"/>
        <n v="852"/>
        <n v="862"/>
        <n v="863"/>
        <n v="870"/>
        <n v="873"/>
        <n v="874"/>
        <n v="875"/>
        <n v="884"/>
        <n v="893"/>
        <n v="894"/>
        <n v="895"/>
        <n v="896"/>
        <n v="897"/>
        <n v="898"/>
        <n v="899"/>
        <n v="902"/>
        <n v="903"/>
        <n v="904"/>
        <n v="905"/>
        <n v="906"/>
        <n v="907"/>
        <n v="908"/>
        <n v="920"/>
        <n v="921"/>
        <n v="925"/>
        <n v="926"/>
        <n v="934"/>
        <n v="935"/>
        <n v="936"/>
        <n v="937"/>
        <n v="938"/>
        <n v="944"/>
        <n v="945"/>
        <n v="946"/>
        <n v="947"/>
        <n v="948"/>
        <n v="949"/>
        <n v="950"/>
        <n v="951"/>
        <n v="952"/>
        <n v="953"/>
        <n v="964"/>
        <n v="965"/>
        <n v="969"/>
        <n v="970"/>
        <n v="971"/>
        <n v="972"/>
        <n v="973"/>
        <n v="974"/>
        <n v="977"/>
        <n v="978"/>
        <n v="979"/>
        <n v="980"/>
        <n v="981"/>
        <n v="982"/>
        <n v="983"/>
        <n v="984"/>
        <n v="985"/>
        <n v="986"/>
        <n v="987"/>
        <n v="992"/>
        <n v="1000"/>
        <n v="1003"/>
        <n v="1009"/>
        <n v="1014"/>
        <n v="1022"/>
        <n v="1028"/>
        <n v="1029"/>
        <n v="1036"/>
        <n v="1044"/>
        <n v="1045"/>
        <n v="1046"/>
        <n v="1047"/>
        <n v="1048"/>
        <n v="1049"/>
        <n v="1050"/>
        <n v="1051"/>
        <n v="1055"/>
        <n v="1061"/>
        <n v="1062"/>
        <n v="1063"/>
        <n v="1064"/>
        <n v="1065"/>
        <n v="1066"/>
        <n v="1069"/>
        <n v="1070"/>
        <n v="1071"/>
        <n v="1080"/>
        <n v="1081"/>
        <n v="1082"/>
        <n v="1083"/>
        <n v="1092"/>
        <n v="1093"/>
        <n v="1095"/>
        <n v="1096"/>
        <n v="1097"/>
        <n v="1098"/>
        <n v="1101"/>
        <n v="1108"/>
        <n v="1111"/>
        <n v="1119"/>
        <n v="1120"/>
        <n v="1121"/>
        <n v="1128"/>
        <n v="1129"/>
        <n v="1130"/>
        <n v="1131"/>
        <n v="1144"/>
        <n v="1145"/>
        <n v="1146"/>
        <n v="1152"/>
        <n v="1153"/>
        <n v="1154"/>
        <n v="1161"/>
        <n v="1166"/>
        <n v="1167"/>
        <n v="1169"/>
        <n v="1172"/>
        <n v="1173"/>
        <n v="1175"/>
        <n v="1176"/>
        <n v="1177"/>
        <n v="1178"/>
        <n v="1179"/>
        <n v="1180"/>
        <n v="1181"/>
        <n v="1182"/>
        <n v="1184"/>
        <n v="1186"/>
        <n v="1187"/>
        <n v="1188"/>
        <n v="1189"/>
        <n v="1190"/>
        <n v="1192"/>
        <n v="1193"/>
        <n v="1196"/>
        <n v="1202"/>
        <n v="1203"/>
        <n v="1207"/>
        <n v="1210"/>
        <n v="1211"/>
        <n v="1212"/>
        <n v="1213"/>
        <n v="1214"/>
        <n v="1215"/>
        <n v="1216"/>
        <n v="1217"/>
        <n v="1218"/>
        <n v="1219"/>
        <n v="1224"/>
        <n v="1225"/>
        <n v="1226"/>
        <n v="1230"/>
        <n v="1240"/>
        <n v="1241"/>
        <n v="1242"/>
        <n v="1243"/>
        <n v="1246"/>
        <n v="1253"/>
        <n v="1255"/>
        <n v="1256"/>
        <n v="1257"/>
        <n v="1259"/>
        <n v="1262"/>
        <n v="1268"/>
        <n v="1270"/>
        <n v="1272"/>
        <n v="1279"/>
        <n v="1280"/>
        <n v="1281"/>
        <n v="1282"/>
        <n v="1283"/>
        <n v="1284"/>
        <n v="1285"/>
        <n v="1286"/>
        <n v="1290"/>
        <n v="1291"/>
        <n v="1292"/>
        <n v="1297"/>
        <n v="1298"/>
        <n v="1307"/>
        <n v="1309"/>
        <n v="1311"/>
        <n v="1312"/>
        <n v="1313"/>
        <n v="1314"/>
        <n v="1315"/>
        <n v="1320"/>
        <n v="1321"/>
        <n v="1322"/>
        <n v="1323"/>
        <n v="1324"/>
        <n v="1326"/>
        <n v="1342"/>
        <n v="1343"/>
        <n v="1344"/>
        <n v="1345"/>
        <n v="1346"/>
        <n v="1352"/>
        <n v="1353"/>
        <n v="1354"/>
        <n v="1355"/>
        <n v="1356"/>
        <n v="1360"/>
        <n v="1361"/>
        <n v="1362"/>
        <n v="1364"/>
        <n v="1365"/>
        <n v="1366"/>
        <n v="1367"/>
        <n v="1368"/>
        <n v="1376"/>
        <n v="1377"/>
        <n v="1385"/>
        <n v="1395"/>
        <n v="1396"/>
        <n v="1397"/>
        <n v="1398"/>
        <n v="1403"/>
        <n v="1404"/>
        <n v="1405"/>
        <n v="1410"/>
        <n v="1413"/>
        <n v="1414"/>
        <n v="1417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6"/>
        <n v="1447"/>
        <n v="1450"/>
        <n v="1451"/>
        <n v="1452"/>
        <n v="1453"/>
        <n v="1460"/>
        <n v="1461"/>
        <n v="1462"/>
        <n v="1464"/>
        <n v="1465"/>
        <n v="1466"/>
        <n v="1467"/>
        <n v="1468"/>
        <n v="1469"/>
        <n v="1470"/>
        <n v="1471"/>
        <n v="1472"/>
        <n v="1473"/>
      </sharedItems>
    </cacheField>
    <cacheField name="Origin" numFmtId="0">
      <sharedItems count="1">
        <s v="CBL"/>
      </sharedItems>
    </cacheField>
    <cacheField name="Customer Code" numFmtId="0">
      <sharedItems containsSemiMixedTypes="0" containsString="0" containsNumber="1" containsInteger="1" minValue="0" maxValue="1605" count="116">
        <n v="1088"/>
        <n v="537"/>
        <n v="1147"/>
        <n v="1"/>
        <n v="160"/>
        <n v="749"/>
        <n v="1152"/>
        <n v="1248"/>
        <n v="333"/>
        <n v="165"/>
        <n v="1284"/>
        <n v="1503"/>
        <n v="1508"/>
        <n v="1170"/>
        <n v="615"/>
        <n v="1057"/>
        <n v="217"/>
        <n v="441"/>
        <n v="1249"/>
        <n v="315"/>
        <n v="823"/>
        <n v="827"/>
        <n v="134"/>
        <n v="1149"/>
        <n v="618"/>
        <n v="337"/>
        <n v="1493"/>
        <n v="420"/>
        <n v="988"/>
        <n v="141"/>
        <n v="1356"/>
        <n v="496"/>
        <n v="495"/>
        <n v="400"/>
        <n v="471"/>
        <n v="647"/>
        <n v="159"/>
        <n v="1499"/>
        <n v="1130"/>
        <n v="334"/>
        <n v="1368"/>
        <n v="1341"/>
        <n v="1441"/>
        <n v="1581"/>
        <n v="415"/>
        <n v="1108"/>
        <n v="617"/>
        <n v="410"/>
        <n v="388"/>
        <n v="1175"/>
        <n v="739"/>
        <n v="833"/>
        <n v="1487"/>
        <n v="1379"/>
        <n v="814"/>
        <n v="1352"/>
        <n v="846"/>
        <n v="1429"/>
        <n v="30"/>
        <n v="1112"/>
        <n v="1466"/>
        <n v="94"/>
        <n v="1404"/>
        <n v="1448"/>
        <n v="419"/>
        <n v="562"/>
        <n v="387"/>
        <n v="1401"/>
        <n v="1465"/>
        <n v="622"/>
        <n v="88"/>
        <n v="1355"/>
        <n v="1470"/>
        <n v="1395"/>
        <n v="1118"/>
        <n v="1485"/>
        <n v="740"/>
        <n v="842"/>
        <n v="367"/>
        <n v="2"/>
        <n v="1450"/>
        <n v="1572"/>
        <n v="1400"/>
        <n v="336"/>
        <n v="398"/>
        <n v="1391"/>
        <n v="1588"/>
        <n v="867"/>
        <n v="1362"/>
        <n v="1385"/>
        <n v="133"/>
        <n v="845"/>
        <n v="1250"/>
        <n v="325"/>
        <n v="519"/>
        <n v="138"/>
        <n v="1261"/>
        <n v="1476"/>
        <n v="1564"/>
        <n v="1604"/>
        <n v="373"/>
        <n v="1285"/>
        <n v="1132"/>
        <n v="1453"/>
        <n v="1605"/>
        <n v="329"/>
        <n v="1435"/>
        <n v="1486"/>
        <n v="143"/>
        <n v="87"/>
        <n v="561"/>
        <n v="163"/>
        <n v="371"/>
        <n v="324"/>
        <n v="1262"/>
        <n v="330"/>
      </sharedItems>
    </cacheField>
    <cacheField name="Customer Name" numFmtId="0">
      <sharedItems count="116">
        <s v="M/S Ananna Battery &amp; Tyre"/>
        <s v="M/S Oreya Enterprise"/>
        <s v="M/S Bondhu Motors"/>
        <s v="M/S Monir Auto &amp; Battery House"/>
        <s v="M/S Tanim Traders and Battery House"/>
        <s v="M/S Shepon Motors"/>
        <s v="M/S Mashpi Battery &amp; Auto"/>
        <s v="M/S Nasir Motors"/>
        <s v="M/S Rifat Enterprise"/>
        <s v="M/S Bhai Bhai Traders-Kendua"/>
        <s v="M/S Awlad Electronics"/>
        <s v="M/S Sagorika Motors"/>
        <s v="M/S Oppo Parts &amp; Battery House"/>
        <s v="M/S Pagla Mama Auto Parts"/>
        <s v="M/S Gausia Mill Store"/>
        <s v="M/S S.K. Motors - Kushtia"/>
        <s v="M/S Master Motor's"/>
        <s v="M/S Modina Battery House"/>
        <s v="M/S Bang Mia Traders"/>
        <s v="M/S Hazi Automobiles &amp; Service Centre"/>
        <s v="M/S Bhai Bhai Cycle Mart"/>
        <s v="M/S Hazi Auto &amp; Solar"/>
        <s v="M/S Snigdha Battery"/>
        <s v="M/S Bondhu Auto and CNG Workshop"/>
        <s v="M/S Bamondi Battery House"/>
        <s v="M/S Doyal Battery"/>
        <s v="M/S Shikdar Auto House"/>
        <s v="M/S Kalam Auto Motor Parts And Battery House"/>
        <s v="M/S Sangu Battery House"/>
        <s v="M/S Nazrul Mike &amp; Battery"/>
        <s v="M/S Mohi Enterprise"/>
        <s v="M/S Anamika Auto Rickshow"/>
        <s v="M/S Sony Autos"/>
        <s v="M/S New Viddut Battery Hosue"/>
        <s v="M/S Setu Cycle Mart"/>
        <s v="M/S Al - Amin Battery House"/>
        <s v="M/S Al Baraka Enterprise"/>
        <s v="M/S Mithila Auto Show Room"/>
        <s v="M/S B.P Battery House"/>
        <s v="M/S Comilla Traders"/>
        <s v="M/S Hafiz Battery House"/>
        <s v="M/S Kalam Enterprise"/>
        <s v="M/S Hira Motors-Chokoria"/>
        <s v="M/S Arman Battery House"/>
        <s v="M/S B.R.S.  Sowra Bidduyt "/>
        <s v="M/S Minara Traders"/>
        <s v="M/S Bonna Enterprise"/>
        <s v="M/S Rafi Battery House"/>
        <s v="M/S Fateha Battery"/>
        <s v="M/S Tanvir Battery House"/>
        <s v="M/S Nirapad Motors"/>
        <s v="M/S Manir Battery Charging Station"/>
        <s v="M/S Chapai Auto Battery House"/>
        <s v="M/S Roni Battery"/>
        <s v="M/S Al Madina Enterprise"/>
        <s v="M/S Nobodhara Corporation"/>
        <s v="M/S S S Trading"/>
        <s v="M/S Mahtab Engineering Workshop"/>
        <s v="M/S Rashed Enterprise"/>
        <s v="M/S Al - Mokka Enterprise"/>
        <s v="M/S Allahar Dan Battery"/>
        <s v="M/S Arafat Enterprise"/>
        <s v="M/S Modina Enterprise - Savar"/>
        <s v="M/S Bismillah Motors-Hinla"/>
        <s v="M/S Ekata Motors"/>
        <s v="M/S Atik Auto"/>
        <s v="M/S Rumi Battery House"/>
        <s v="M/S Anas Battery &amp; Auto House"/>
        <s v="M/S Adib Alifa Auto &amp; Battery House"/>
        <s v="M/S Shuvo Enterprise"/>
        <s v="M/S Ma Tyre &amp; Battery  Shop"/>
        <s v="Md. Moazzem Hossain D.M"/>
        <s v="M/S Farhan Battery &amp; Auto Parts"/>
        <s v="M/S Tamim Enterprise"/>
        <s v="M/S S.S. Enterprise-Norshingdi"/>
        <s v="M/S Nirob Motors &amp; Battery"/>
        <s v="M/S Shopon Battery House"/>
        <s v="M/S Shah Mojidia Motor Parts"/>
        <s v="M/S Siam Motors"/>
        <s v="M/S Ripon Tyre and Battery"/>
        <s v="M/S Samir Battery And Tyre"/>
        <s v="M/S Ukhiya Motors"/>
        <s v="M/S Rajapur IPS &amp; Battery House"/>
        <s v="M/S Laksam Battery House"/>
        <s v="M/S City Auto"/>
        <s v="M/S Islam Auto House"/>
        <s v="M/S Shahadat Auto Repairing Workshop"/>
        <s v="M/S Raisa Radia  Battery House"/>
        <s v="M/S Shahjalal Traders"/>
        <s v="M/S Sohan Motors"/>
        <s v="M/S Ira Motors"/>
        <s v="M/S S.K. Enterprise"/>
        <s v="M/S Aminul Battery House"/>
        <s v="M/S Mayer Doya Auto Parts-Laksam"/>
        <s v="M/S Raju Battery"/>
        <s v="M/S Amir Auto House"/>
        <s v="M/S Sawda Auto and Battery"/>
        <s v="M/S Al - Barakah Battery &amp; Auto Parts"/>
        <s v="M/S M R Enterprise- Setabganj"/>
        <s v="M/S Oithi Motors"/>
        <s v="M/S Mayer Doya Auto Parts-Feni"/>
        <s v="M/S Souro Power Electric"/>
        <s v="Mr. Rezaul Karim, Honorable Chairman Sir"/>
        <s v="M/S Bhai Bhai Battery And Motors"/>
        <s v="M/S Banyan Distribution House"/>
        <s v="M/S Lalmai Machineries &amp; Parts"/>
        <s v="M/S Shekh Enterprise - Khulna"/>
        <s v="M/S Boalkhali Battery House"/>
        <s v="M/S Jogotbondhu Battery &amp; Eng. Workshop"/>
        <s v="M/S S.B. Energy"/>
        <s v="M/S Rakin Auto Parts"/>
        <s v="M/S Bondhu Battery &amp; Auto"/>
        <s v="M/S Payar Auto Electric Works"/>
        <s v="M/S Power Battery"/>
        <s v="M/S Anik Motors &amp; Battery"/>
        <s v="M/S Khokon IPS &amp; Battery Center"/>
      </sharedItems>
    </cacheField>
    <cacheField name="Pad Name" numFmtId="0">
      <sharedItems count="116">
        <s v="01088"/>
        <s v="00537"/>
        <s v="01147"/>
        <s v="00001"/>
        <s v="00160"/>
        <s v="00749"/>
        <s v="01152"/>
        <s v="01248"/>
        <s v="00333"/>
        <s v="00165"/>
        <s v="01284"/>
        <s v="01503"/>
        <s v="01508"/>
        <s v="01170"/>
        <s v="00615"/>
        <s v="01057"/>
        <s v="00217"/>
        <s v="00441"/>
        <s v="01249"/>
        <s v="00315"/>
        <s v="00823"/>
        <s v="00827"/>
        <s v="00134"/>
        <s v="01149"/>
        <s v="00618"/>
        <s v="00337"/>
        <s v="01493"/>
        <s v="00420"/>
        <s v="00988"/>
        <s v="00141"/>
        <s v="01356"/>
        <s v="00496"/>
        <s v="00495"/>
        <s v="00400"/>
        <s v="00471"/>
        <s v="00647"/>
        <s v="00159"/>
        <s v="01499"/>
        <s v="01130"/>
        <s v="00334"/>
        <s v="01368"/>
        <s v="01341"/>
        <s v="01441"/>
        <s v="01581"/>
        <s v="00415"/>
        <s v="01108"/>
        <s v="00617"/>
        <s v="00410"/>
        <s v="00388"/>
        <s v="01175"/>
        <s v="00739"/>
        <s v="00833"/>
        <s v="01487"/>
        <s v="01379"/>
        <s v="00814"/>
        <s v="01352"/>
        <s v="00846"/>
        <s v="01429"/>
        <s v="00030"/>
        <s v="01112"/>
        <s v="01466"/>
        <s v="00094"/>
        <s v="01404"/>
        <s v="01448"/>
        <s v="00419"/>
        <s v="00562"/>
        <s v="00387"/>
        <s v="01401"/>
        <s v="01465"/>
        <s v="00622"/>
        <s v="00088"/>
        <s v="01355"/>
        <s v="01470"/>
        <s v="01395"/>
        <s v="01118"/>
        <s v="01485"/>
        <s v="00740"/>
        <s v="00842"/>
        <s v="00367"/>
        <s v="00002"/>
        <s v="01450"/>
        <s v="01572"/>
        <s v="01400"/>
        <s v="00336"/>
        <s v="00398"/>
        <s v="01391"/>
        <s v="01588"/>
        <s v="00867"/>
        <s v="01362"/>
        <s v="01385"/>
        <s v="00133"/>
        <s v="00845"/>
        <s v="01250"/>
        <s v="00325"/>
        <s v="00519"/>
        <s v="00138"/>
        <s v="01261"/>
        <s v="01476"/>
        <s v="01564"/>
        <s v="01604"/>
        <s v="00373"/>
        <s v="01285"/>
        <s v="01132"/>
        <s v="01453"/>
        <s v="01605"/>
        <s v="00329"/>
        <s v="01435"/>
        <s v="01486"/>
        <s v="00143"/>
        <s v="00087"/>
        <s v="00561"/>
        <s v="00163"/>
        <s v="00371"/>
        <s v="00324"/>
        <s v="01262"/>
        <s v="00330"/>
      </sharedItems>
    </cacheField>
    <cacheField name="Territory Name" numFmtId="0">
      <sharedItems count="19">
        <s v="Tangail Territory"/>
        <s v="Rajshahi Territory"/>
        <s v="Cumilla Territory"/>
        <s v="Hobigonj Territory"/>
        <s v="Bhola Territory"/>
        <s v="Gazipur Territory"/>
        <s v="Mymenshing Territory"/>
        <s v="Retail Territory OWN"/>
        <s v="Chattogram Territory"/>
        <s v="Dinajpur Territory"/>
        <s v="Jashore Territory"/>
        <s v="Noakhali Territory"/>
        <s v="Bagura Territory"/>
        <s v="Sylhet Territory"/>
        <s v="Cox's Bazar Territory"/>
        <s v="Barishal Territory"/>
        <s v="Rangpur Territory"/>
        <s v="Narayangonj Territory"/>
        <s v="Khulna Territory"/>
      </sharedItems>
    </cacheField>
    <cacheField name="Division Name" numFmtId="0">
      <sharedItems count="11">
        <s v="Tangail Zone"/>
        <s v="Bagura Zone"/>
        <s v="Cumilla Zone"/>
        <s v="Sylhet Zone"/>
        <s v="Barishal Zone"/>
        <s v="Mymensingh Zone"/>
        <s v="Retail Zone OWN"/>
        <s v="Chattogram Zone"/>
        <s v="Rangpur Zone"/>
        <s v="Jashore Zone"/>
        <s v="Khulna Zone"/>
      </sharedItems>
    </cacheField>
    <cacheField name="National Name" numFmtId="0">
      <sharedItems count="3">
        <s v="National-1"/>
        <s v="National-2"/>
        <s v="National-Retail OWN"/>
      </sharedItems>
    </cacheField>
    <cacheField name="Application Name" numFmtId="0">
      <sharedItems count="7">
        <s v="ET"/>
        <s v="Rickshaw"/>
        <s v="Solar"/>
        <s v="Water"/>
        <s v="IPS"/>
        <s v="PC"/>
        <s v="CV"/>
      </sharedItems>
    </cacheField>
    <cacheField name="ERP Status" numFmtId="0">
      <sharedItems count="2">
        <s v="ERP-2"/>
        <s v="ERP-1"/>
      </sharedItems>
    </cacheField>
    <cacheField name="Warehouse" numFmtId="0">
      <sharedItems count="5">
        <s v="Dhaka"/>
        <s v="Rangpur"/>
        <s v="Jashore"/>
        <s v="Dinajpur"/>
        <s v="Cox's Bazar"/>
      </sharedItems>
    </cacheField>
    <cacheField name="Invoice No" numFmtId="0">
      <sharedItems containsSemiMixedTypes="0" containsString="0" containsNumber="1" containsInteger="1" minValue="0" maxValue="251201011" count="421">
        <n v="251200001"/>
        <n v="251200002"/>
        <n v="251200003"/>
        <n v="251200004"/>
        <n v="251200005"/>
        <n v="251200006"/>
        <n v="251200007"/>
        <n v="251200008"/>
        <n v="251200009"/>
        <n v="251200010"/>
        <n v="251200011"/>
        <n v="251200012"/>
        <n v="251200013"/>
        <n v="251200014"/>
        <n v="251200015"/>
        <n v="251200016"/>
        <n v="251200017"/>
        <n v="251200018"/>
        <n v="251200019"/>
        <n v="251200020"/>
        <n v="251200021"/>
        <n v="251200022"/>
        <n v="251200023"/>
        <n v="251200024"/>
        <n v="251200025"/>
        <n v="251200026"/>
        <n v="251200027"/>
        <n v="251200028"/>
        <n v="251200029"/>
        <n v="251200030"/>
        <n v="251200031"/>
        <n v="251200032"/>
        <n v="251200033"/>
        <n v="251200034"/>
        <n v="251200035"/>
        <n v="251200036"/>
        <n v="251200037"/>
        <n v="251200038"/>
        <n v="251200039"/>
        <n v="251200040"/>
        <n v="251200041"/>
        <n v="251200042"/>
        <n v="251200043"/>
        <n v="251200044"/>
        <n v="251200045"/>
        <n v="251200046"/>
        <n v="251200047"/>
        <n v="251200048"/>
        <n v="251200049"/>
        <n v="251200050"/>
        <n v="251200051"/>
        <n v="251200052"/>
        <n v="251200053"/>
        <n v="251200054"/>
        <n v="251200055"/>
        <n v="251200056"/>
        <n v="251200057"/>
        <n v="251200058"/>
        <n v="251200059"/>
        <n v="251200060"/>
        <n v="251200061"/>
        <n v="251200063"/>
        <n v="251200064"/>
        <n v="251200065"/>
        <n v="251200067"/>
        <n v="251200068"/>
        <n v="251200069"/>
        <n v="251200070"/>
        <n v="251200075"/>
        <n v="251200076"/>
        <n v="251200077"/>
        <n v="251200078"/>
        <n v="251200079"/>
        <n v="251200080"/>
        <n v="251200081"/>
        <n v="251200082"/>
        <n v="251200085"/>
        <n v="251200090"/>
        <n v="251200091"/>
        <n v="251200092"/>
        <n v="251200093"/>
        <n v="251200094"/>
        <n v="251200095"/>
        <n v="251200096"/>
        <n v="251200099"/>
        <n v="251200101"/>
        <n v="251200105"/>
        <n v="251200109"/>
        <n v="251200114"/>
        <n v="251200115"/>
        <n v="251200119"/>
        <n v="251200124"/>
        <n v="251200126"/>
        <n v="251200129"/>
        <n v="251200130"/>
        <n v="251200131"/>
        <n v="251200132"/>
        <n v="251200136"/>
        <n v="251200142"/>
        <n v="251200148"/>
        <n v="251200149"/>
        <n v="251200153"/>
        <n v="251200154"/>
        <n v="251200158"/>
        <n v="251200159"/>
        <n v="251200160"/>
        <n v="251200161"/>
        <n v="251200162"/>
        <n v="251200163"/>
        <n v="251200166"/>
        <n v="251200175"/>
        <n v="251200177"/>
        <n v="251200179"/>
        <n v="251200183"/>
        <n v="251200184"/>
        <n v="251200187"/>
        <n v="251200188"/>
        <n v="251200189"/>
        <n v="251200197"/>
        <n v="251200198"/>
        <n v="251200199"/>
        <n v="251200200"/>
        <n v="251200201"/>
        <n v="251200205"/>
        <n v="251200207"/>
        <n v="251200208"/>
        <n v="251200210"/>
        <n v="251200211"/>
        <n v="251200212"/>
        <n v="251200213"/>
        <n v="251200214"/>
        <n v="251200215"/>
        <n v="251200216"/>
        <n v="251200218"/>
        <n v="251200219"/>
        <n v="251200220"/>
        <n v="251200221"/>
        <n v="251200222"/>
        <n v="251200225"/>
        <n v="251200231"/>
        <n v="251200232"/>
        <n v="251200237"/>
        <n v="251200239"/>
        <n v="251200240"/>
        <n v="251200241"/>
        <n v="251200242"/>
        <n v="251200243"/>
        <n v="251200244"/>
        <n v="251200253"/>
        <n v="251200255"/>
        <n v="251200256"/>
        <n v="251200262"/>
        <n v="251200263"/>
        <n v="251200265"/>
        <n v="251200266"/>
        <n v="251200271"/>
        <n v="251200272"/>
        <n v="251200275"/>
        <n v="251200280"/>
        <n v="251200282"/>
        <n v="251200288"/>
        <n v="251200293"/>
        <n v="251200294"/>
        <n v="251200295"/>
        <n v="251200296"/>
        <n v="251200297"/>
        <n v="251200299"/>
        <n v="251200300"/>
        <n v="251200301"/>
        <n v="251200303"/>
        <n v="251200304"/>
        <n v="251200307"/>
        <n v="251200311"/>
        <n v="251200312"/>
        <n v="251200313"/>
        <n v="251200315"/>
        <n v="251200316"/>
        <n v="251200317"/>
        <n v="251200318"/>
        <n v="251200322"/>
        <n v="251200324"/>
        <n v="251200328"/>
        <n v="251200332"/>
        <n v="251200333"/>
        <n v="251200334"/>
        <n v="251200335"/>
        <n v="251200336"/>
        <n v="251200337"/>
        <n v="251200338"/>
        <n v="251200339"/>
        <n v="251200340"/>
        <n v="251200341"/>
        <n v="251200342"/>
        <n v="251200343"/>
        <n v="251200347"/>
        <n v="251200348"/>
        <n v="251200350"/>
        <n v="251200351"/>
        <n v="251200353"/>
        <n v="251200357"/>
        <n v="251200363"/>
        <n v="251200367"/>
        <n v="251200374"/>
        <n v="251200376"/>
        <n v="251200377"/>
        <n v="251200378"/>
        <n v="251200384"/>
        <n v="251200385"/>
        <n v="251200386"/>
        <n v="251200387"/>
        <n v="251200388"/>
        <n v="251200389"/>
        <n v="251200390"/>
        <n v="251200391"/>
        <n v="251200392"/>
        <n v="251200400"/>
        <n v="251200402"/>
        <n v="251200407"/>
        <n v="251200408"/>
        <n v="251200409"/>
        <n v="251200413"/>
        <n v="251200416"/>
        <n v="251200419"/>
        <n v="251200420"/>
        <n v="251200421"/>
        <n v="251200422"/>
        <n v="251200426"/>
        <n v="251200427"/>
        <n v="251200428"/>
        <n v="251200429"/>
        <n v="251200432"/>
        <n v="251200436"/>
        <n v="251200438"/>
        <n v="251200439"/>
        <n v="251200445"/>
        <n v="251200455"/>
        <n v="251200462"/>
        <n v="251200464"/>
        <n v="251200465"/>
        <n v="251200471"/>
        <n v="251200475"/>
        <n v="251200476"/>
        <n v="251200477"/>
        <n v="251200479"/>
        <n v="251200480"/>
        <n v="251200481"/>
        <n v="251200482"/>
        <n v="251200483"/>
        <n v="251200489"/>
        <n v="251200490"/>
        <n v="251200494"/>
        <n v="251200495"/>
        <n v="251200502"/>
        <n v="251200503"/>
        <n v="251200504"/>
        <n v="251200505"/>
        <n v="251200506"/>
        <n v="251200512"/>
        <n v="251200513"/>
        <n v="251200514"/>
        <n v="251200515"/>
        <n v="251200516"/>
        <n v="251200517"/>
        <n v="251200525"/>
        <n v="251200528"/>
        <n v="251200529"/>
        <n v="251200530"/>
        <n v="251200531"/>
        <n v="251200532"/>
        <n v="251200534"/>
        <n v="251200535"/>
        <n v="251200536"/>
        <n v="251200537"/>
        <n v="251200538"/>
        <n v="251200539"/>
        <n v="251200540"/>
        <n v="251200541"/>
        <n v="251200545"/>
        <n v="251200549"/>
        <n v="251200551"/>
        <n v="251200556"/>
        <n v="251200561"/>
        <n v="251200566"/>
        <n v="251200572"/>
        <n v="251200573"/>
        <n v="251200577"/>
        <n v="251200584"/>
        <n v="251200585"/>
        <n v="251200586"/>
        <n v="251200587"/>
        <n v="251200588"/>
        <n v="251200589"/>
        <n v="251200591"/>
        <n v="251200595"/>
        <n v="251200597"/>
        <n v="251200598"/>
        <n v="251200599"/>
        <n v="251200606"/>
        <n v="251200607"/>
        <n v="251200608"/>
        <n v="251200613"/>
        <n v="251200615"/>
        <n v="251200616"/>
        <n v="251200617"/>
        <n v="251200620"/>
        <n v="251200626"/>
        <n v="251200628"/>
        <n v="251200642"/>
        <n v="251200648"/>
        <n v="251200649"/>
        <n v="251200659"/>
        <n v="251200660"/>
        <n v="251200661"/>
        <n v="251200667"/>
        <n v="251200668"/>
        <n v="251200669"/>
        <n v="251200673"/>
        <n v="251200675"/>
        <n v="251200677"/>
        <n v="251200679"/>
        <n v="251200680"/>
        <n v="251200682"/>
        <n v="251200683"/>
        <n v="251200684"/>
        <n v="251200685"/>
        <n v="251200686"/>
        <n v="251200688"/>
        <n v="251200690"/>
        <n v="251200691"/>
        <n v="251200692"/>
        <n v="251200694"/>
        <n v="251200695"/>
        <n v="251200698"/>
        <n v="251200721"/>
        <n v="251200724"/>
        <n v="251200726"/>
        <n v="251200727"/>
        <n v="251200728"/>
        <n v="251200729"/>
        <n v="251200730"/>
        <n v="251200731"/>
        <n v="251200735"/>
        <n v="251200736"/>
        <n v="251200739"/>
        <n v="251200745"/>
        <n v="251200747"/>
        <n v="251200751"/>
        <n v="251200753"/>
        <n v="251200754"/>
        <n v="251200756"/>
        <n v="251200758"/>
        <n v="251200762"/>
        <n v="251200764"/>
        <n v="251200766"/>
        <n v="251200772"/>
        <n v="251200773"/>
        <n v="251200776"/>
        <n v="251200777"/>
        <n v="251200782"/>
        <n v="251200783"/>
        <n v="251200787"/>
        <n v="251200789"/>
        <n v="251200791"/>
        <n v="251200792"/>
        <n v="251200793"/>
        <n v="251200794"/>
        <n v="251200796"/>
        <n v="251200797"/>
        <n v="251200799"/>
        <n v="251200809"/>
        <n v="251200810"/>
        <n v="251200814"/>
        <n v="251200819"/>
        <n v="251200820"/>
        <n v="251200821"/>
        <n v="251200837"/>
        <n v="251200840"/>
        <n v="251200841"/>
        <n v="251200843"/>
        <n v="251200844"/>
        <n v="251200845"/>
        <n v="251200846"/>
        <n v="251200847"/>
        <n v="251200850"/>
        <n v="251200851"/>
        <n v="251200858"/>
        <n v="251200888"/>
        <n v="251200889"/>
        <n v="251200890"/>
        <n v="251200891"/>
        <n v="251200894"/>
        <n v="251200898"/>
        <n v="251200901"/>
        <n v="251200904"/>
        <n v="251200912"/>
        <n v="251200913"/>
        <n v="251200914"/>
        <n v="251200915"/>
        <n v="251200916"/>
        <n v="251200917"/>
        <n v="251200918"/>
        <n v="251200919"/>
        <n v="251200920"/>
        <n v="251200921"/>
        <n v="251200922"/>
        <n v="251200976"/>
        <n v="251200977"/>
        <n v="251200980"/>
        <n v="251200981"/>
        <n v="251200982"/>
        <n v="251200983"/>
        <n v="251200989"/>
        <n v="251200990"/>
        <n v="251200991"/>
        <n v="251200993"/>
        <n v="251200994"/>
        <n v="251200995"/>
        <n v="251200996"/>
        <n v="251200997"/>
        <n v="251201010"/>
        <n v="251201011"/>
      </sharedItems>
    </cacheField>
    <cacheField name="Invoice Date" numFmtId="15">
      <sharedItems containsSemiMixedTypes="0" containsString="0" containsNonDate="0" containsDate="1" minDate="2025-12-02T00:00:00" maxDate="2025-12-31T00:00:00" count="23">
        <d v="2025-12-02T00:00:00"/>
        <d v="2025-12-03T00:00:00"/>
        <d v="2025-12-04T00:00:00"/>
        <d v="2025-12-07T00:00:00"/>
        <d v="2025-12-08T00:00:00"/>
        <d v="2025-12-09T00:00:00"/>
        <d v="2025-12-11T00:00:00"/>
        <d v="2025-12-13T00:00:00"/>
        <d v="2025-12-14T00:00:00"/>
        <d v="2025-12-15T00:00:00"/>
        <d v="2025-12-16T00:00:00"/>
        <d v="2025-12-18T00:00:00"/>
        <d v="2025-12-20T00:00:00"/>
        <d v="2025-12-22T00:00:00"/>
        <d v="2025-12-23T00:00:00"/>
        <d v="2025-12-24T00:00:00"/>
        <d v="2025-12-28T00:00:00"/>
        <d v="2025-12-29T00:00:00"/>
        <d v="2025-12-30T00:00:00"/>
        <d v="2025-12-31T00:00:00"/>
        <d v="2025-12-06T00:00:00"/>
        <d v="2025-12-10T00:00:00"/>
        <d v="2025-12-21T00:00:00"/>
      </sharedItems>
    </cacheField>
    <cacheField name="Order Date" numFmtId="15">
      <sharedItems containsSemiMixedTypes="0" containsString="0" containsNonDate="0" containsDate="1" minDate="2025-12-02T00:00:00" maxDate="2025-12-31T00:00:00" count="23">
        <d v="2025-12-02T00:00:00"/>
        <d v="2025-12-03T00:00:00"/>
        <d v="2025-12-04T00:00:00"/>
        <d v="2025-12-07T00:00:00"/>
        <d v="2025-12-08T00:00:00"/>
        <d v="2025-12-09T00:00:00"/>
        <d v="2025-12-11T00:00:00"/>
        <d v="2025-12-13T00:00:00"/>
        <d v="2025-12-14T00:00:00"/>
        <d v="2025-12-15T00:00:00"/>
        <d v="2025-12-16T00:00:00"/>
        <d v="2025-12-18T00:00:00"/>
        <d v="2025-12-20T00:00:00"/>
        <d v="2025-12-22T00:00:00"/>
        <d v="2025-12-23T00:00:00"/>
        <d v="2025-12-24T00:00:00"/>
        <d v="2025-12-28T00:00:00"/>
        <d v="2025-12-29T00:00:00"/>
        <d v="2025-12-30T00:00:00"/>
        <d v="2025-12-31T00:00:00"/>
        <d v="2025-12-06T00:00:00"/>
        <d v="2025-12-10T00:00:00"/>
        <d v="2025-12-21T00:00:00"/>
      </sharedItems>
    </cacheField>
    <cacheField name="Product Code" numFmtId="0">
      <sharedItems count="57">
        <s v="L101PJ140"/>
        <s v="L101GP131"/>
        <s v="L101CB139"/>
        <s v="L104ZR162"/>
        <s v="L101SN134"/>
        <s v="L102GT002"/>
        <s v="L101AP132"/>
        <s v="L101TY136"/>
        <s v="L116CP001"/>
        <s v="L101BK217"/>
        <s v="L104GP064"/>
        <s v="L104KI109"/>
        <s v="L104ZP117"/>
        <s v="L104MK140"/>
        <s v="L101GT003"/>
        <s v="L101KI141"/>
        <s v="L101DT220"/>
        <s v="L105GM016"/>
        <s v="L105GM017"/>
        <s v="L101ZR226"/>
        <s v="L104TS164"/>
        <s v="L101VM216"/>
        <s v="L101KB201"/>
        <s v="L101DT221"/>
        <s v="L101KI203"/>
        <s v="L105GP001"/>
        <s v="L106GT003"/>
        <s v="L106GT002"/>
        <s v="L106GT012"/>
        <s v="L103GT008"/>
        <s v="L103GT009"/>
        <s v="L101GM130"/>
        <s v="L101ZR232"/>
        <s v="L103GT007"/>
        <s v="L101BN223"/>
        <s v="L105GP002"/>
        <s v="L104CB089"/>
        <s v="L101GP212"/>
        <s v="L101TS227"/>
        <s v="L104PJ088"/>
        <s v="L101BN222"/>
        <s v="L102GT033"/>
        <s v="L101ZP143"/>
        <s v="L104AP165"/>
        <s v="L104VM149"/>
        <s v="L104ZR151"/>
        <s v="L102GT004"/>
        <s v="L104AP152"/>
        <s v="L103GT010"/>
        <s v="L102GT001"/>
        <s v="L102GT003"/>
        <s v="L101AP209"/>
        <s v="L101VM218"/>
        <s v="L104TY168"/>
        <s v="L101CB224"/>
        <s v="L102GT007"/>
        <s v="L104TU146"/>
      </sharedItems>
    </cacheField>
    <cacheField name="Product Name" numFmtId="0">
      <sharedItems count="57">
        <s v="EV-210(H) Pongkhiraj"/>
        <s v="EV175T(H) Gaston Plus"/>
        <s v="EV-220(H) CBL2020"/>
        <s v="TRB-190 Z Power"/>
        <s v="EV-250T(H) Sunrise Power"/>
        <s v="GSB30 Gaston"/>
        <s v="EV180T(H) Alpha Plus"/>
        <s v="6DGA-200(H) Typhoon"/>
        <s v="DM WATER (5L) Confidence Plus"/>
        <s v="EV-250T(H.D) Banskhali King"/>
        <s v="TRB170 Gaston Plus"/>
        <s v="MISHUK-220 Kingshuk Power"/>
        <s v="MISHUK-220-A+ Zodiac Power"/>
        <s v="MODEL-400 Mishuk King"/>
        <s v="ET140T- L Gaston"/>
        <s v="6DGA-225(H) Kingshuk Power"/>
        <s v="6DGA-225T Dimitris"/>
        <s v="SPB165T Gaston Premium"/>
        <s v="SPB200T Gaston Premium"/>
        <s v="6DGA-225(H) Z Power"/>
        <s v="TRB480 Target Plus"/>
        <s v="EV230T Volt Master"/>
        <s v="6DGA-230A+(H) KB Power"/>
        <s v="6DGA-225T(H.D) Dimitris"/>
        <s v="6DGA-225(H.D) Kingshuk Power"/>
        <s v="TTB165 Gaston Plus"/>
        <s v="NS60L Gaston"/>
        <s v="NS40ZL Gaston"/>
        <s v="NX120-7 Gaston"/>
        <s v="CCV21 Gaston"/>
        <s v="CCV27 Gaston"/>
        <s v="EV200T Gaston Premium"/>
        <s v="6DGA-225(H.D) Z Power"/>
        <s v="CCV17 Gaston"/>
        <s v="6DGA-230-A+(H.D) Easy Bike King"/>
        <s v="TTB200 Gaston Plus"/>
        <s v="TRB-210 CBL2020"/>
        <s v="EV175T(H.D) Gaston Plus"/>
        <s v="EV-220 Target Plus"/>
        <s v="TRB-200 Pongkhiraj"/>
        <s v="6-DGA-230-A+ Easy Bike King"/>
        <s v="GSB100(1) Gaston"/>
        <s v="6DGA-230A+(H) Zodiac Power"/>
        <s v="TRB-160 Alpha Plus"/>
        <s v="TRB210T Volt Master"/>
        <s v="MISHUK-220 Z Power"/>
        <s v="GSB60 Gaston"/>
        <s v="TRB400 Alpha Plus"/>
        <s v="CCV29 Gaston"/>
        <s v="GSB20 Gaston"/>
        <s v="GSB40 Gaston"/>
        <s v="EV180T(H.D) Alpha Plus"/>
        <s v="EV230T(H.D) Volt Master"/>
        <s v="TRB400 Typhoon"/>
        <s v="EV-220(H.D) CBL2020"/>
        <s v="GSB130 Gaston"/>
        <s v="6TSN-1650 Tuffan"/>
      </sharedItems>
    </cacheField>
    <cacheField name="Unit TP" numFmtId="0">
      <sharedItems containsSemiMixedTypes="0" containsString="0" containsNumber="1" containsInteger="1" minValue="0" maxValue="30930" count="44">
        <n v="14250"/>
        <n v="8500"/>
        <n v="4452"/>
        <n v="72"/>
        <n v="13200"/>
        <n v="10900"/>
        <n v="11700"/>
        <n v="13400"/>
        <n v="19427"/>
        <n v="23802"/>
        <n v="27674"/>
        <n v="13350"/>
        <n v="6213"/>
        <n v="4486"/>
        <n v="10432"/>
        <n v="13684"/>
        <n v="17156"/>
        <n v="15050"/>
        <n v="13000"/>
        <n v="10800"/>
        <n v="10982"/>
        <n v="30930"/>
        <n v="21750"/>
        <n v="12700"/>
        <n v="12780"/>
        <n v="13300"/>
        <n v="8700"/>
        <n v="10003"/>
        <n v="17550"/>
        <n v="8632"/>
        <n v="18880"/>
        <n v="4040"/>
        <n v="3388"/>
        <n v="5866"/>
        <n v="3750"/>
        <n v="68"/>
        <n v="13849"/>
        <n v="6415"/>
        <n v="7928"/>
        <n v="13600"/>
        <n v="26500"/>
        <n v="18102"/>
        <n v="12900"/>
        <n v="70"/>
      </sharedItems>
    </cacheField>
    <cacheField name="Invoice Qunatity" numFmtId="0">
      <sharedItems containsSemiMixedTypes="0" containsString="0" containsNumber="1" containsInteger="1" minValue="0" maxValue="1000" count="47">
        <n v="10"/>
        <n v="30"/>
        <n v="13"/>
        <n v="20"/>
        <n v="84"/>
        <n v="2"/>
        <n v="5"/>
        <n v="300"/>
        <n v="1"/>
        <n v="18"/>
        <n v="12"/>
        <n v="4"/>
        <n v="9"/>
        <n v="25"/>
        <n v="15"/>
        <n v="3"/>
        <n v="110"/>
        <n v="8"/>
        <n v="6"/>
        <n v="60"/>
        <n v="40"/>
        <n v="48"/>
        <n v="32"/>
        <n v="17"/>
        <n v="7"/>
        <n v="16"/>
        <n v="50"/>
        <n v="200"/>
        <n v="100"/>
        <n v="500"/>
        <n v="120"/>
        <n v="65"/>
        <n v="28"/>
        <n v="24"/>
        <n v="80"/>
        <n v="36"/>
        <n v="35"/>
        <n v="33"/>
        <n v="175"/>
        <n v="150"/>
        <n v="14"/>
        <n v="52"/>
        <n v="97"/>
        <n v="68"/>
        <n v="1000"/>
        <n v="400"/>
        <n v="90"/>
      </sharedItems>
    </cacheField>
    <cacheField name="Invoice Amount" numFmtId="0">
      <sharedItems containsSemiMixedTypes="0" containsString="0" containsNumber="1" containsInteger="1" minValue="0" maxValue="2493750" count="170">
        <n v="142500"/>
        <n v="427500"/>
        <n v="185250"/>
        <n v="285000"/>
        <n v="714000"/>
        <n v="8904"/>
        <n v="71250"/>
        <n v="21600"/>
        <n v="14250"/>
        <n v="44520"/>
        <n v="66000"/>
        <n v="218000"/>
        <n v="210600"/>
        <n v="140400"/>
        <n v="46800"/>
        <n v="23400"/>
        <n v="268000"/>
        <n v="134000"/>
        <n v="128250"/>
        <n v="356250"/>
        <n v="213750"/>
        <n v="57000"/>
        <n v="58281"/>
        <n v="47604"/>
        <n v="1287000"/>
        <n v="171000"/>
        <n v="28500"/>
        <n v="114000"/>
        <n v="67000"/>
        <n v="93600"/>
        <n v="155416"/>
        <n v="142812"/>
        <n v="110696"/>
        <n v="133500"/>
        <n v="855000"/>
        <n v="468000"/>
        <n v="24852"/>
        <n v="17944"/>
        <n v="10432"/>
        <n v="561600"/>
        <n v="456000"/>
        <n v="13684"/>
        <n v="34312"/>
        <n v="120400"/>
        <n v="198900"/>
        <n v="35100"/>
        <n v="52000"/>
        <n v="42750"/>
        <n v="99750"/>
        <n v="86400"/>
        <n v="234000"/>
        <n v="27368"/>
        <n v="10982"/>
        <n v="228000"/>
        <n v="30930"/>
        <n v="585000"/>
        <n v="1087500"/>
        <n v="712500"/>
        <n v="14400"/>
        <n v="75250"/>
        <n v="7200"/>
        <n v="256500"/>
        <n v="36000"/>
        <n v="127000"/>
        <n v="1404000"/>
        <n v="926250"/>
        <n v="327600"/>
        <n v="117000"/>
        <n v="44860"/>
        <n v="374400"/>
        <n v="342000"/>
        <n v="12426"/>
        <n v="12780"/>
        <n v="170000"/>
        <n v="52800"/>
        <n v="175500"/>
        <n v="66500"/>
        <n v="133000"/>
        <n v="58500"/>
        <n v="119010"/>
        <n v="8972"/>
        <n v="570000"/>
        <n v="104400"/>
        <n v="10003"/>
        <n v="17264"/>
        <n v="11700"/>
        <n v="1140000"/>
        <n v="31065"/>
        <n v="21964"/>
        <n v="20864"/>
        <n v="56640"/>
        <n v="52160"/>
        <n v="2880"/>
        <n v="61860"/>
        <n v="104320"/>
        <n v="204000"/>
        <n v="20200"/>
        <n v="23716"/>
        <n v="17598"/>
        <n v="6213"/>
        <n v="37500"/>
        <n v="238000"/>
        <n v="34000"/>
        <n v="421200"/>
        <n v="216000"/>
        <n v="13200"/>
        <n v="37760"/>
        <n v="95208"/>
        <n v="13849"/>
        <n v="92400"/>
        <n v="702000"/>
        <n v="498750"/>
        <n v="187200"/>
        <n v="199500"/>
        <n v="470250"/>
        <n v="13356"/>
        <n v="32946"/>
        <n v="30100"/>
        <n v="2493750"/>
        <n v="54910"/>
        <n v="129600"/>
        <n v="26400"/>
        <n v="25896"/>
        <n v="25660"/>
        <n v="178080"/>
        <n v="7500"/>
        <n v="43160"/>
        <n v="107664"/>
        <n v="37278"/>
        <n v="22430"/>
        <n v="239400"/>
        <n v="172800"/>
        <n v="399000"/>
        <n v="15000"/>
        <n v="39640"/>
        <n v="21750"/>
        <n v="12830"/>
        <n v="51320"/>
        <n v="31296"/>
        <n v="280800"/>
        <n v="13458"/>
        <n v="2137500"/>
        <n v="81600"/>
        <n v="240800"/>
        <n v="81900"/>
        <n v="190416"/>
        <n v="238020"/>
        <n v="43928"/>
        <n v="17156"/>
        <n v="387436"/>
        <n v="154650"/>
        <n v="60200"/>
        <n v="122400"/>
        <n v="608400"/>
        <n v="135450"/>
        <n v="1382250"/>
        <n v="150500"/>
        <n v="53000"/>
        <n v="969000"/>
        <n v="152100"/>
        <n v="18102"/>
        <n v="129000"/>
        <n v="64500"/>
        <n v="70000"/>
        <n v="28000"/>
        <n v="26500"/>
        <n v="23802"/>
        <n v="20400"/>
        <n v="27200"/>
        <n v="1282500"/>
      </sharedItems>
    </cacheField>
    <cacheField name="Return Qunatity" numFmtId="0">
      <sharedItems containsSemiMixedTypes="0" containsString="0" containsNumber="1" containsInteger="1" minValue="0" maxValue="9" count="2">
        <n v="0"/>
        <n v="9"/>
      </sharedItems>
    </cacheField>
    <cacheField name="Return Amount" numFmtId="0">
      <sharedItems containsSemiMixedTypes="0" containsString="0" containsNumber="1" containsInteger="1" minValue="0" maxValue="105300" count="2">
        <n v="0"/>
        <n v="105300"/>
      </sharedItems>
    </cacheField>
    <cacheField name="Actual Invoice Qunatity" numFmtId="0">
      <sharedItems containsSemiMixedTypes="0" containsString="0" containsNumber="1" containsInteger="1" minValue="0" maxValue="1000" count="47">
        <n v="10"/>
        <n v="30"/>
        <n v="13"/>
        <n v="20"/>
        <n v="84"/>
        <n v="2"/>
        <n v="5"/>
        <n v="300"/>
        <n v="1"/>
        <n v="18"/>
        <n v="12"/>
        <n v="4"/>
        <n v="9"/>
        <n v="25"/>
        <n v="15"/>
        <n v="3"/>
        <n v="110"/>
        <n v="8"/>
        <n v="6"/>
        <n v="60"/>
        <n v="40"/>
        <n v="48"/>
        <n v="32"/>
        <n v="17"/>
        <n v="7"/>
        <n v="16"/>
        <n v="50"/>
        <n v="200"/>
        <n v="100"/>
        <n v="500"/>
        <n v="120"/>
        <n v="65"/>
        <n v="28"/>
        <n v="24"/>
        <n v="80"/>
        <n v="36"/>
        <n v="35"/>
        <n v="33"/>
        <n v="175"/>
        <n v="150"/>
        <n v="14"/>
        <n v="52"/>
        <n v="97"/>
        <n v="68"/>
        <n v="1000"/>
        <n v="400"/>
        <n v="90"/>
      </sharedItems>
    </cacheField>
    <cacheField name="Actual Invoice Amount" numFmtId="0">
      <sharedItems containsSemiMixedTypes="0" containsString="0" containsNumber="1" containsInteger="1" minValue="0" maxValue="2493750" count="170">
        <n v="142500"/>
        <n v="427500"/>
        <n v="185250"/>
        <n v="285000"/>
        <n v="714000"/>
        <n v="8904"/>
        <n v="71250"/>
        <n v="21600"/>
        <n v="14250"/>
        <n v="44520"/>
        <n v="66000"/>
        <n v="218000"/>
        <n v="210600"/>
        <n v="140400"/>
        <n v="46800"/>
        <n v="23400"/>
        <n v="268000"/>
        <n v="134000"/>
        <n v="128250"/>
        <n v="356250"/>
        <n v="213750"/>
        <n v="57000"/>
        <n v="58281"/>
        <n v="47604"/>
        <n v="1287000"/>
        <n v="171000"/>
        <n v="28500"/>
        <n v="114000"/>
        <n v="67000"/>
        <n v="93600"/>
        <n v="155416"/>
        <n v="142812"/>
        <n v="110696"/>
        <n v="133500"/>
        <n v="855000"/>
        <n v="468000"/>
        <n v="24852"/>
        <n v="17944"/>
        <n v="10432"/>
        <n v="561600"/>
        <n v="456000"/>
        <n v="13684"/>
        <n v="34312"/>
        <n v="120400"/>
        <n v="198900"/>
        <n v="35100"/>
        <n v="52000"/>
        <n v="42750"/>
        <n v="99750"/>
        <n v="86400"/>
        <n v="234000"/>
        <n v="27368"/>
        <n v="10982"/>
        <n v="228000"/>
        <n v="30930"/>
        <n v="585000"/>
        <n v="1087500"/>
        <n v="712500"/>
        <n v="14400"/>
        <n v="75250"/>
        <n v="7200"/>
        <n v="256500"/>
        <n v="36000"/>
        <n v="127000"/>
        <n v="1404000"/>
        <n v="926250"/>
        <n v="327600"/>
        <n v="117000"/>
        <n v="44860"/>
        <n v="374400"/>
        <n v="342000"/>
        <n v="12426"/>
        <n v="12780"/>
        <n v="170000"/>
        <n v="52800"/>
        <n v="175500"/>
        <n v="66500"/>
        <n v="133000"/>
        <n v="58500"/>
        <n v="119010"/>
        <n v="8972"/>
        <n v="570000"/>
        <n v="104400"/>
        <n v="10003"/>
        <n v="17264"/>
        <n v="11700"/>
        <n v="1140000"/>
        <n v="31065"/>
        <n v="21964"/>
        <n v="20864"/>
        <n v="56640"/>
        <n v="52160"/>
        <n v="2880"/>
        <n v="61860"/>
        <n v="104320"/>
        <n v="204000"/>
        <n v="20200"/>
        <n v="23716"/>
        <n v="17598"/>
        <n v="6213"/>
        <n v="37500"/>
        <n v="238000"/>
        <n v="34000"/>
        <n v="421200"/>
        <n v="216000"/>
        <n v="13200"/>
        <n v="37760"/>
        <n v="95208"/>
        <n v="13849"/>
        <n v="92400"/>
        <n v="702000"/>
        <n v="498750"/>
        <n v="187200"/>
        <n v="199500"/>
        <n v="470250"/>
        <n v="13356"/>
        <n v="32946"/>
        <n v="30100"/>
        <n v="2493750"/>
        <n v="54910"/>
        <n v="129600"/>
        <n v="26400"/>
        <n v="25896"/>
        <n v="25660"/>
        <n v="178080"/>
        <n v="7500"/>
        <n v="43160"/>
        <n v="107664"/>
        <n v="37278"/>
        <n v="22430"/>
        <n v="239400"/>
        <n v="172800"/>
        <n v="399000"/>
        <n v="15000"/>
        <n v="39640"/>
        <n v="21750"/>
        <n v="12830"/>
        <n v="51320"/>
        <n v="31296"/>
        <n v="280800"/>
        <n v="13458"/>
        <n v="2137500"/>
        <n v="81600"/>
        <n v="240800"/>
        <n v="81900"/>
        <n v="190416"/>
        <n v="238020"/>
        <n v="43928"/>
        <n v="17156"/>
        <n v="387436"/>
        <n v="154650"/>
        <n v="60200"/>
        <n v="122400"/>
        <n v="608400"/>
        <n v="135450"/>
        <n v="1382250"/>
        <n v="150500"/>
        <n v="53000"/>
        <n v="969000"/>
        <n v="152100"/>
        <n v="18102"/>
        <n v="129000"/>
        <n v="64500"/>
        <n v="70000"/>
        <n v="28000"/>
        <n v="26500"/>
        <n v="23802"/>
        <n v="20400"/>
        <n v="27200"/>
        <n v="1282500"/>
      </sharedItems>
    </cacheField>
    <cacheField name="Monthly Incent" numFmtId="0">
      <sharedItems containsSemiMixedTypes="0" containsString="0" containsNumber="1" containsInteger="1" minValue="0" maxValue="26250" count="49">
        <n v="0"/>
        <n v="4500"/>
        <n v="1500"/>
        <n v="3000"/>
        <n v="750"/>
        <n v="150"/>
        <n v="2700"/>
        <n v="1800"/>
        <n v="300"/>
        <n v="1350"/>
        <n v="2250"/>
        <n v="600"/>
        <n v="1167"/>
        <n v="952"/>
        <n v="1200"/>
        <n v="3112"/>
        <n v="2856"/>
        <n v="3320"/>
        <n v="9000"/>
        <n v="4800"/>
        <n v="2550"/>
        <n v="450"/>
        <n v="1050"/>
        <n v="928"/>
        <n v="7500"/>
        <n v="9750"/>
        <n v="4200"/>
        <n v="3600"/>
        <n v="6000"/>
        <n v="2380"/>
        <n v="12000"/>
        <n v="1856"/>
        <n v="3750"/>
        <n v="5400"/>
        <n v="1904"/>
        <n v="2400"/>
        <n v="4950"/>
        <n v="26250"/>
        <n v="22500"/>
        <n v="3808"/>
        <n v="4760"/>
        <n v="11620"/>
        <n v="4640"/>
        <n v="7800"/>
        <n v="14550"/>
        <n v="10200"/>
        <n v="1950"/>
        <n v="476"/>
        <n v="13500"/>
      </sharedItems>
    </cacheField>
    <cacheField name="Yearly Incent" numFmtId="0">
      <sharedItems containsSemiMixedTypes="0" containsString="0" containsNumber="1" containsInteger="1" minValue="0" maxValue="35000" count="71">
        <n v="0"/>
        <n v="6000"/>
        <n v="2000"/>
        <n v="4000"/>
        <n v="178"/>
        <n v="1000"/>
        <n v="200"/>
        <n v="890"/>
        <n v="2700"/>
        <n v="1800"/>
        <n v="300"/>
        <n v="3000"/>
        <n v="800"/>
        <n v="1167"/>
        <n v="952"/>
        <n v="2400"/>
        <n v="400"/>
        <n v="1200"/>
        <n v="3112"/>
        <n v="2856"/>
        <n v="4428"/>
        <n v="12000"/>
        <n v="1600"/>
        <n v="6400"/>
        <n v="2550"/>
        <n v="450"/>
        <n v="600"/>
        <n v="1400"/>
        <n v="1237"/>
        <n v="10000"/>
        <n v="3600"/>
        <n v="13000"/>
        <n v="4200"/>
        <n v="1500"/>
        <n v="4800"/>
        <n v="2250"/>
        <n v="750"/>
        <n v="2380"/>
        <n v="8000"/>
        <n v="346"/>
        <n v="16000"/>
        <n v="2474"/>
        <n v="5000"/>
        <n v="5400"/>
        <n v="1904"/>
        <n v="9000"/>
        <n v="6600"/>
        <n v="267"/>
        <n v="35000"/>
        <n v="3200"/>
        <n v="519"/>
        <n v="512"/>
        <n v="3560"/>
        <n v="150"/>
        <n v="865"/>
        <n v="256"/>
        <n v="1024"/>
        <n v="30000"/>
        <n v="1050"/>
        <n v="3808"/>
        <n v="4760"/>
        <n v="15498"/>
        <n v="6185"/>
        <n v="7800"/>
        <n v="7500"/>
        <n v="19400"/>
        <n v="13600"/>
        <n v="1950"/>
        <n v="362"/>
        <n v="476"/>
        <n v="18000"/>
      </sharedItems>
    </cacheField>
    <cacheField name="Payment Incent" numFmtId="0">
      <sharedItems containsSemiMixedTypes="0" containsString="0" containsNumber="1" containsInteger="1" minValue="0" maxValue="10000" count="28">
        <n v="0"/>
        <n v="446"/>
        <n v="2230"/>
        <n v="3000"/>
        <n v="2000"/>
        <n v="8000"/>
        <n v="6000"/>
        <n v="2212"/>
        <n v="619"/>
        <n v="5000"/>
        <n v="864"/>
        <n v="1238"/>
        <n v="1880"/>
        <n v="4000"/>
        <n v="669"/>
        <n v="1296"/>
        <n v="1284"/>
        <n v="8920"/>
        <n v="376"/>
        <n v="2160"/>
        <n v="752"/>
        <n v="642"/>
        <n v="2568"/>
        <n v="10000"/>
        <n v="7742"/>
        <n v="3095"/>
        <n v="905"/>
        <n v="1000"/>
      </sharedItems>
    </cacheField>
    <cacheField name="Invoice Discount" numFmtId="0">
      <sharedItems containsSemiMixedTypes="0" containsString="0" containsNumber="1" containsInteger="1" minValue="0" maxValue="19376" count="6">
        <n v="0"/>
        <n v="5536"/>
        <n v="1547"/>
        <n v="3094"/>
        <n v="19376"/>
        <n v="7735"/>
      </sharedItems>
    </cacheField>
    <cacheField name="GRF Incent" numFmtId="0">
      <sharedItems containsSemiMixedTypes="0" containsString="0" containsNumber="1" containsInteger="1" minValue="0" maxValue="4000" count="11">
        <n v="0"/>
        <n v="200"/>
        <n v="1000"/>
        <n v="300"/>
        <n v="800"/>
        <n v="600"/>
        <n v="400"/>
        <n v="100"/>
        <n v="500"/>
        <n v="4000"/>
        <n v="1400"/>
      </sharedItems>
    </cacheField>
    <cacheField name="Total Incent" numFmtId="0">
      <sharedItems containsSemiMixedTypes="0" containsString="0" containsNumber="1" containsInteger="1" minValue="0" maxValue="61250" count="79">
        <n v="0"/>
        <n v="10500"/>
        <n v="3500"/>
        <n v="7000"/>
        <n v="824"/>
        <n v="1750"/>
        <n v="350"/>
        <n v="4120"/>
        <n v="5400"/>
        <n v="3600"/>
        <n v="600"/>
        <n v="3150"/>
        <n v="5250"/>
        <n v="1400"/>
        <n v="5634"/>
        <n v="4104"/>
        <n v="4200"/>
        <n v="700"/>
        <n v="2400"/>
        <n v="15024"/>
        <n v="12312"/>
        <n v="15896"/>
        <n v="21000"/>
        <n v="2800"/>
        <n v="11200"/>
        <n v="5100"/>
        <n v="900"/>
        <n v="1050"/>
        <n v="2450"/>
        <n v="6000"/>
        <n v="4431"/>
        <n v="17500"/>
        <n v="6300"/>
        <n v="1200"/>
        <n v="22750"/>
        <n v="8400"/>
        <n v="3000"/>
        <n v="9600"/>
        <n v="12000"/>
        <n v="4500"/>
        <n v="1500"/>
        <n v="10260"/>
        <n v="14000"/>
        <n v="1410"/>
        <n v="28000"/>
        <n v="8862"/>
        <n v="8750"/>
        <n v="3630"/>
        <n v="10800"/>
        <n v="8208"/>
        <n v="18000"/>
        <n v="4800"/>
        <n v="11550"/>
        <n v="1236"/>
        <n v="61250"/>
        <n v="5600"/>
        <n v="2115"/>
        <n v="2196"/>
        <n v="16480"/>
        <n v="726"/>
        <n v="3525"/>
        <n v="1452"/>
        <n v="1098"/>
        <n v="4392"/>
        <n v="7200"/>
        <n v="52500"/>
        <n v="2100"/>
        <n v="16416"/>
        <n v="20520"/>
        <n v="55636"/>
        <n v="22155"/>
        <n v="15600"/>
        <n v="15000"/>
        <n v="33950"/>
        <n v="23800"/>
        <n v="3900"/>
        <n v="1367"/>
        <n v="2052"/>
        <n v="3150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29.617974537" refreshedBy="morshed.alam" recordCount="297">
  <cacheSource type="worksheet">
    <worksheetSource ref="A1:A1" sheet="Sheet1"/>
  </cacheSource>
  <cacheFields count="3">
    <cacheField name="D" numFmtId="0">
      <sharedItems count="184">
        <s v="M/S Anamika Auto Rickshow"/>
        <s v="M/S Sony Autos"/>
        <s v="M/S Bhai Bhai Battery And Motors"/>
        <s v="M/S Farhan Battery &amp; Auto Parts"/>
        <s v="M/S Manir Battery Charging Station"/>
        <s v="M/S Nirapad Motors"/>
        <s v="M/S Ekata Motors"/>
        <s v="M/S Kalam Auto Motor Parts And Battery House"/>
        <s v="M/S Pagla Mama Auto Parts"/>
        <s v="M/S Sangu Battery House"/>
        <s v="M/S Bismillah Motors-Hinla"/>
        <s v="M/S Hafiz Battery House"/>
        <s v="M/S Hira Motors-Chokoria"/>
        <s v="M/S Kalam Enterprise"/>
        <s v="M/S Setu Cycle Mart"/>
        <s v="M/S Shah Mojidia Motor Parts"/>
        <s v="M/S Sohan Motors"/>
        <s v="M/S Anas Battery &amp; Auto House"/>
        <s v="M/S Bondhu Motors"/>
        <s v="M/S Laksam Battery House"/>
        <s v="M/S Lalmai Machineries &amp; Parts"/>
        <s v="M/S Mayer Doya Auto Parts-Feni"/>
        <s v="M/S Mayer Doya Auto Parts-Laksam"/>
        <s v="M/S Payar Auto Electric Works"/>
        <s v="M/S Power Battery"/>
        <s v="M/S S.S. Enterprise-Norshingdi"/>
        <s v="M/S Gausia Mill Store"/>
        <s v="M/S M R Enterprise- Setabganj"/>
        <s v="M/S Mithila Auto Show Room"/>
        <s v="M/S Nobodhara Corporation"/>
        <s v="M/S Al - Mokka Enterprise"/>
        <s v="M/S Arafat Enterprise"/>
        <s v="M/S Ma Tyre &amp; Battery  Shop"/>
        <s v="M/S Mahtab Engineering Workshop"/>
        <s v="M/S Master Motor's"/>
        <s v="M/S Al Baraka Enterprise"/>
        <s v="M/S Al Madina Enterprise"/>
        <s v="M/S Amir Auto House"/>
        <s v="M/S B.P Battery House"/>
        <s v="M/S Bhai Bhai Cycle Mart"/>
        <s v="M/S Bondhu Auto and CNG Workshop"/>
        <s v="M/S Comilla Traders"/>
        <s v="M/S Doyal Battery"/>
        <s v="M/S Mashpi Battery &amp; Auto"/>
        <s v="M/S Nasir Motors"/>
        <s v="M/S Oithi Motors"/>
        <s v="M/S Sawda Auto and Battery"/>
        <s v="M/S Shahjalal Traders"/>
        <s v="M/S Siam Motors"/>
        <s v="M/S Tanim Traders and Battery House"/>
        <s v="M/S Bamondi Battery House"/>
        <s v="M/S Bonna Enterprise"/>
        <s v="M/S S.K. Motors - Kushtia"/>
        <s v="M/S Shikdar Auto House"/>
        <s v="M/S Shuvo Enterprise"/>
        <s v="M/S Shekh Enterprise - Khulna"/>
        <s v="M/S Bang Mia Traders"/>
        <s v="M/S Bhai Bhai Traders-Kendua"/>
        <s v="M/S Bondhu Battery &amp; Auto"/>
        <s v="M/S Ira Motors"/>
        <s v="M/S Jogotbondhu Battery &amp; Eng. Workshop"/>
        <s v="M/S Snigdha Battery"/>
        <s v="M/S Allahar Dan Battery"/>
        <s v="M/S Samir Battery And Tyre"/>
        <s v="M/S Hazi Auto &amp; Solar"/>
        <s v="M/S Hazi Automobiles &amp; Service Centre"/>
        <s v="M/S Aminul Battery House"/>
        <s v="M/S Chapai Auto Battery House"/>
        <s v="M/S Oreya Enterprise"/>
        <s v="M/S Shahadat Auto Repairing Workshop"/>
        <s v="M/S Atik Auto"/>
        <s v="M/S Rakin Auto Parts"/>
        <s v="M/S S S Trading"/>
        <s v="M/S Arman Battery House"/>
        <s v="M/S Islam Auto House"/>
        <s v="M/S Mohi Enterprise"/>
        <s v="M/S Oppo Parts &amp; Battery House"/>
        <s v="M/S Sagorika Motors"/>
        <s v="M/S Tamim Enterprise"/>
        <s v="Md. Moazzem Hossain D.M"/>
        <s v="M/S B.R.S.  Sowra Bidduyt "/>
        <s v="M/S City Auto"/>
        <s v="M/S Fateha Battery"/>
        <s v="M/S Minara Traders"/>
        <s v="M/S Rafi Battery House"/>
        <s v="M/S Rumi Battery House"/>
        <s v="M/S Tanvir Battery House"/>
        <s v="M/S Ananna Battery &amp; Tyre"/>
        <s v="M/S Modina Enterprise - Savar"/>
        <s v="M/S Monir Auto &amp; Battery House"/>
        <s v="M/S Bogura Auto Center (C)"/>
        <s v="M/S Maa Auto Workshop &amp; Battery Center (C)"/>
        <s v="M/S Salman Auto and Battery (C)"/>
        <s v="M/S Salman Auto and Battery-2 (C) ET Premium"/>
        <s v="M/S Sompa Cycle Store (C)"/>
        <s v="M/S Adib Alifa Auto &amp; Battery House (C)"/>
        <s v="M/S Al - Barakah Battery &amp; Auto Parts (C)"/>
        <s v="M/S Mahbub Motors-Patuakhali (C)"/>
        <s v="M/S New China Auto Traders (C)"/>
        <s v="M/S S.K. Trading Corporation (C)"/>
        <s v="M/S Selim Battery House (C)"/>
        <s v="M/S Takdir Battery &amp; Autos (C)"/>
        <s v="M/S Tanjila Enterprise (C)"/>
        <s v="M/S Islam Parts Store (C)"/>
        <s v="M/S Molla Battery House (C)"/>
        <s v="M/S Sardar Auto House (C)"/>
        <s v="M/S Shepon Motors (C)"/>
        <s v="M/S Shopon Battery House (C)"/>
        <s v="M/S Souro Power Electric (C)"/>
        <s v="M/S Banskhali Enterprise-Joldi (C)"/>
        <s v="M/S Boalkhali Battery House (C)"/>
        <s v="M/S S.K. Enterprise (C)"/>
        <s v="M/S Saiful Motors (C)"/>
        <s v="M/S A.P.L. Auto House (C)"/>
        <s v="M/S Anik Motors &amp; Battery (C)"/>
        <s v="M/S Khokon IPS &amp; Battery Center (C)"/>
        <s v="M/S Mokka Motors-Cumilla (C)"/>
        <s v="M/S S.S. Enterprise-Norshingdi (C)"/>
        <s v="M/S Sajib Enterprise (C)"/>
        <s v="M/S Bondhu Auto House (C)"/>
        <s v="M/S M.R. Enterprise- Dinajpur (C)"/>
        <s v="M/S Al - Mokka Enterprise (C)"/>
        <s v="M/S Arafat Enterprise (C)"/>
        <s v="M/S Gazipur Battery House (C)"/>
        <s v="M/S Hasan Enterprise (C)"/>
        <s v="M/S Lutfor Auto Battery House (C)"/>
        <s v="M/S S.B. Energy (C)"/>
        <s v="M/S Shoshi Enterprise (C)"/>
        <s v="M/S Doyal Battery (C)"/>
        <s v="M/S Afifa Traders (C)"/>
        <s v="M/S Jhenaidah Bike Center  (C)"/>
        <s v="M/S Jony Motors - Faridpur (C)"/>
        <s v="M/S Mohona Bike Center (C)"/>
        <s v="M/S S.M. Imran Battery House (C)"/>
        <s v="M/S Sadia Auto Parts (C)"/>
        <s v="M/S Shamim Battery &amp; Tyre House (C)"/>
        <s v="M/S Lamia Battery (C)"/>
        <s v="M/S Sadiq Enterprise (C)"/>
        <s v="M/S Babul Enterprise (C)"/>
        <s v="M/S Sadia Enterprise (C)"/>
        <s v="M/S Samar Auto (C)"/>
        <s v="M/S Talukder Motors (C)"/>
        <s v="M/S Satata Battery House (C)"/>
        <s v="M/S Farhan Auto (C)"/>
        <s v="M/S L D Poribahan &amp; Trading (C)"/>
        <s v="M/S Supreme Auto (C)"/>
        <s v="M/S Battery House - Pabna (C)"/>
        <s v="M/S Nazrul Battery Ghor &amp; Auto Part  (C)"/>
        <s v="M/S AISB Corporation (C)"/>
        <s v="M/S Bhai Bhai Auto Center (C)"/>
        <s v="M/S J. S Battery House (C)"/>
        <s v="M/S New Mintu Motors (C)"/>
        <s v="M/S North Bengal Trading (C)"/>
        <s v="M/S Rashed Traders (C)"/>
        <s v="M/S Anas Enterprise (C)"/>
        <s v="M/S Hemayetpur Battery House (C)"/>
        <s v="M/S Khan Battery Recycling (C)"/>
        <s v="M/S Modina Cycle Store (C)"/>
        <s v="M/S Monir Auto &amp; Battery House (C)"/>
        <s v="M/S New Dhaka Motors and Battery (C)"/>
        <s v="M/S Ripon Tyre and Battery (C)"/>
        <s v="M/S S. K. Battery House (C)"/>
        <s v="M/S Sharif Battery House &amp; IPS Center (C)"/>
        <s v="M/S Simanto Battery House (C)"/>
        <s v="M/S Awlad Electronics"/>
        <s v="M/S Shepon Motors"/>
        <s v="M/S Shopon Battery House"/>
        <s v="M/S Souro Power Electric"/>
        <s v="M/S Raju Battery"/>
        <s v="M/S Banyan Distribution House"/>
        <s v="M/S Modina Battery House"/>
        <s v="M/S S.K. Enterprise"/>
        <s v="M/S Anik Motors &amp; Battery"/>
        <s v="M/S Rajapur IPS &amp; Battery House"/>
        <s v="M/S S.B. Energy"/>
        <s v="M/S Nazrul Mike &amp; Battery"/>
        <s v="M/S Nirob Motors &amp; Battery"/>
        <s v="M/S Roni Battery"/>
        <s v="M/S Raisa Radia  Battery House"/>
        <s v="M/S Al - Amin Battery House"/>
        <s v="M/S Al - Barakah Battery &amp; Auto Parts"/>
        <s v="M/S Boalkhali Battery House"/>
        <s v="M/S New Viddut Battery Hosue"/>
        <s v="M/S Ripon Tyre and Battery"/>
      </sharedItems>
    </cacheField>
    <cacheField name="ID" numFmtId="0">
      <sharedItems count="184">
        <s v="00496"/>
        <s v="00495"/>
        <s v="01453"/>
        <s v="01470"/>
        <s v="00833"/>
        <s v="00739"/>
        <s v="00419"/>
        <s v="00420"/>
        <s v="01170"/>
        <s v="00988"/>
        <s v="01448"/>
        <s v="01368"/>
        <s v="01441"/>
        <s v="01341"/>
        <s v="00471"/>
        <s v="00842"/>
        <s v="01385"/>
        <s v="01401"/>
        <s v="01147"/>
        <s v="00336"/>
        <s v="00329"/>
        <s v="00373"/>
        <s v="00325"/>
        <s v="00371"/>
        <s v="00324"/>
        <s v="01118"/>
        <s v="00615"/>
        <s v="01564"/>
        <s v="01499"/>
        <s v="01352"/>
        <s v="01112"/>
        <s v="00094"/>
        <s v="00088"/>
        <s v="01429"/>
        <s v="00217"/>
        <s v="00159"/>
        <s v="00814"/>
        <s v="00138"/>
        <s v="01130"/>
        <s v="00823"/>
        <s v="01149"/>
        <s v="00334"/>
        <s v="00337"/>
        <s v="01152"/>
        <s v="01248"/>
        <s v="01604"/>
        <s v="01261"/>
        <s v="01362"/>
        <s v="00367"/>
        <s v="00160"/>
        <s v="00618"/>
        <s v="00617"/>
        <s v="01057"/>
        <s v="01493"/>
        <s v="00622"/>
        <s v="01435"/>
        <s v="01249"/>
        <s v="00165"/>
        <s v="00163"/>
        <s v="00133"/>
        <s v="00143"/>
        <s v="00134"/>
        <s v="01466"/>
        <s v="01450"/>
        <s v="00827"/>
        <s v="00315"/>
        <s v="01250"/>
        <s v="01487"/>
        <s v="00537"/>
        <s v="01588"/>
        <s v="00562"/>
        <s v="00561"/>
        <s v="00846"/>
        <s v="01581"/>
        <s v="01391"/>
        <s v="01356"/>
        <s v="01508"/>
        <s v="01503"/>
        <s v="01395"/>
        <s v="01355"/>
        <s v="00415"/>
        <s v="00398"/>
        <s v="00388"/>
        <s v="01108"/>
        <s v="00410"/>
        <s v="00387"/>
        <s v="01175"/>
        <s v="01088"/>
        <s v="01404"/>
        <s v="00001"/>
        <s v="01468"/>
        <s v="01497"/>
        <s v="01535"/>
        <s v="01600"/>
        <s v="01545"/>
        <s v="01454"/>
        <s v="01562"/>
        <s v="01547"/>
        <s v="01511"/>
        <s v="01523"/>
        <s v="01569"/>
        <s v="01575"/>
        <s v="01602"/>
        <s v="01439"/>
        <s v="01428"/>
        <s v="01325"/>
        <s v="01438"/>
        <s v="01320"/>
        <s v="01455"/>
        <s v="01312"/>
        <s v="01550"/>
        <s v="01326"/>
        <s v="01313"/>
        <s v="01305"/>
        <s v="01444"/>
        <s v="01306"/>
        <s v="01481"/>
        <s v="01331"/>
        <s v="01353"/>
        <s v="01577"/>
        <s v="01520"/>
        <s v="01553"/>
        <s v="01290"/>
        <s v="01549"/>
        <s v="01289"/>
        <s v="01323"/>
        <s v="01288"/>
        <s v="01335"/>
        <s v="01308"/>
        <s v="01515"/>
        <s v="01536"/>
        <s v="01534"/>
        <s v="01599"/>
        <s v="01533"/>
        <s v="01498"/>
        <s v="01540"/>
        <s v="01345"/>
        <s v="01484"/>
        <s v="01292"/>
        <s v="01594"/>
        <s v="01522"/>
        <s v="01471"/>
        <s v="01517"/>
        <s v="01298"/>
        <s v="01299"/>
        <s v="01300"/>
        <s v="01315"/>
        <s v="01606"/>
        <s v="01603"/>
        <s v="01563"/>
        <s v="01566"/>
        <s v="01552"/>
        <s v="01537"/>
        <s v="01592"/>
        <s v="01551"/>
        <s v="01478"/>
        <s v="01282"/>
        <s v="01519"/>
        <s v="01596"/>
        <s v="01554"/>
        <s v="01557"/>
        <s v="01530"/>
        <s v="01491"/>
        <s v="01593"/>
        <s v="01284"/>
        <s v="00749"/>
        <s v="00740"/>
        <s v="01285"/>
        <s v="00519"/>
        <s v="01605"/>
        <s v="00441"/>
        <s v="00845"/>
        <s v="01262"/>
        <s v="01400"/>
        <s v="00087"/>
        <s v="00141"/>
        <s v="01485"/>
        <s v="01379"/>
        <s v="00867"/>
        <s v="00647"/>
        <s v="01476"/>
        <s v="01486"/>
        <s v="00400"/>
        <s v="00002"/>
      </sharedItems>
    </cacheField>
    <cacheField name="TK" numFmtId="0">
      <sharedItems containsSemiMixedTypes="0" containsString="0" containsNumber="1" minValue="0" maxValue="751000" count="226">
        <n v="113050"/>
        <n v="4800"/>
        <n v="3000"/>
        <n v="67025"/>
        <n v="1750"/>
        <n v="10850"/>
        <n v="9450"/>
        <n v="10800"/>
        <n v="190300"/>
        <n v="53300"/>
        <n v="27600"/>
        <n v="31800"/>
        <n v="30600"/>
        <n v="317750"/>
        <n v="77150"/>
        <n v="44000"/>
        <n v="177050"/>
        <n v="12000"/>
        <n v="2800"/>
        <n v="12600"/>
        <n v="107400"/>
        <n v="8000"/>
        <n v="7000"/>
        <n v="15400"/>
        <n v="84000"/>
        <n v="25200"/>
        <n v="1200"/>
        <n v="31500"/>
        <n v="33600"/>
        <n v="0"/>
        <n v="26850"/>
        <n v="14850"/>
        <n v="2400"/>
        <n v="32025"/>
        <n v="30000"/>
        <n v="8400"/>
        <n v="21000"/>
        <n v="9600"/>
        <n v="147600"/>
        <n v="93200"/>
        <n v="250800"/>
        <n v="52500"/>
        <n v="4725"/>
        <n v="16800"/>
        <n v="18400"/>
        <n v="10500"/>
        <n v="19950"/>
        <n v="6000"/>
        <n v="9000"/>
        <n v="27000"/>
        <n v="36000"/>
        <n v="5250"/>
        <n v="39000"/>
        <n v="3600"/>
        <n v="17500"/>
        <n v="1400"/>
        <n v="61425"/>
        <n v="58000"/>
        <n v="20000"/>
        <n v="224000"/>
        <n v="15000"/>
        <n v="60000"/>
        <n v="19200"/>
        <n v="93100"/>
        <n v="51000"/>
        <n v="29850"/>
        <n v="154150"/>
        <n v="70750"/>
        <n v="220000"/>
        <n v="9500"/>
        <n v="162750"/>
        <n v="17325"/>
        <n v="27950"/>
        <n v="41600"/>
        <n v="204650"/>
        <n v="3250"/>
        <n v="98325"/>
        <n v="34100"/>
        <n v="18000"/>
        <n v="162300"/>
        <n v="32500"/>
        <n v="16100"/>
        <n v="22450"/>
        <n v="17850"/>
        <n v="411950"/>
        <n v="69900"/>
        <n v="27400"/>
        <n v="234050"/>
        <n v="13000"/>
        <n v="5600"/>
        <n v="17400"/>
        <n v="215600"/>
        <n v="39600"/>
        <n v="161000"/>
        <n v="6300"/>
        <n v="37500"/>
        <n v="36075"/>
        <n v="13350"/>
        <n v="38125"/>
        <n v="10400"/>
        <n v="123000"/>
        <n v="111100"/>
        <n v="355300"/>
        <n v="72500"/>
        <n v="11000"/>
        <n v="16400"/>
        <n v="12500"/>
        <n v="6500"/>
        <n v="3750"/>
        <n v="29250"/>
        <n v="7250"/>
        <n v="2100"/>
        <n v="3400"/>
        <n v="37000"/>
        <n v="67275"/>
        <n v="13700"/>
        <n v="63650"/>
        <n v="22600"/>
        <n v="521800"/>
        <n v="9750"/>
        <n v="16250"/>
        <n v="85000"/>
        <n v="27200"/>
        <n v="193200"/>
        <n v="99500"/>
        <n v="52200"/>
        <n v="19000"/>
        <n v="4500"/>
        <n v="219350"/>
        <n v="141500"/>
        <n v="263500"/>
        <n v="186000"/>
        <n v="33000"/>
        <n v="4125"/>
        <n v="52000"/>
        <n v="319850"/>
        <n v="130000"/>
        <n v="45600"/>
        <n v="23000"/>
        <n v="13800"/>
        <n v="12400"/>
        <n v="52400"/>
        <n v="7800"/>
        <n v="7300"/>
        <n v="32000"/>
        <n v="51600"/>
        <n v="7500"/>
        <n v="185000"/>
        <n v="369600"/>
        <n v="751000"/>
        <n v="22000"/>
        <n v="101000"/>
        <n v="286400"/>
        <n v="103800"/>
        <n v="103600"/>
        <n v="540000"/>
        <n v="259000"/>
        <n v="10000"/>
        <n v="48000"/>
        <n v="164700"/>
        <n v="15500"/>
        <n v="50000"/>
        <n v="90000"/>
        <n v="448800"/>
        <n v="2000"/>
        <n v="26000"/>
        <n v="50500"/>
        <n v="300"/>
        <n v="65000"/>
        <n v="95500"/>
        <n v="43900"/>
        <n v="42000"/>
        <n v="18900"/>
        <n v="672700"/>
        <n v="440300"/>
        <n v="85400"/>
        <n v="108000"/>
        <n v="76200"/>
        <n v="56000"/>
        <n v="314400"/>
        <n v="182400"/>
        <n v="315500"/>
        <n v="74500"/>
        <n v="124000"/>
        <n v="167000"/>
        <n v="132000"/>
        <n v="116000"/>
        <n v="8396.65"/>
        <n v="823.28"/>
        <n v="1408.48"/>
        <n v="31994.83"/>
        <n v="1450"/>
        <n v="1234.92"/>
        <n v="1367.14"/>
        <n v="3625"/>
        <n v="184132"/>
        <n v="8860.4"/>
        <n v="24464"/>
        <n v="80013"/>
        <n v="58878"/>
        <n v="117756"/>
        <n v="51520"/>
        <n v="4104.16"/>
        <n v="33264"/>
        <n v="47520"/>
        <n v="30781.2"/>
        <n v="10260.4"/>
        <n v="15897.44"/>
        <n v="4300"/>
        <n v="162400"/>
        <n v="3177.852215423"/>
        <n v="46427.3984585013"/>
        <n v="3520.003510148"/>
        <n v="1615.560188136"/>
        <n v="10943.2452188414"/>
        <n v="4022.668109982"/>
        <n v="1428.074974775"/>
        <n v="16289.9553771965"/>
        <n v="9588.933141365"/>
        <n v="11885.5379212206"/>
        <n v="2594.593135207"/>
        <n v="2916.29540108"/>
        <n v="16592.0646632938"/>
        <n v="6920.268405176"/>
        <n v="67164.2677701748"/>
        <n v="29832.800775488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8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0"/>
    <x v="0"/>
    <x v="0"/>
    <x v="0"/>
    <x v="0"/>
    <x v="0"/>
    <x v="0"/>
    <x v="1"/>
    <x v="0"/>
    <x v="0"/>
    <x v="0"/>
    <x v="0"/>
    <x v="0"/>
    <x v="1"/>
    <x v="1"/>
    <x v="0"/>
    <x v="0"/>
    <x v="1"/>
    <x v="1"/>
    <x v="0"/>
    <x v="0"/>
    <x v="0"/>
    <x v="0"/>
    <x v="0"/>
    <x v="0"/>
  </r>
  <r>
    <x v="2"/>
    <x v="0"/>
    <x v="1"/>
    <x v="1"/>
    <x v="0"/>
    <x v="0"/>
    <x v="0"/>
    <x v="0"/>
    <x v="1"/>
    <x v="0"/>
    <x v="0"/>
    <x v="1"/>
    <x v="0"/>
    <x v="0"/>
    <x v="1"/>
    <x v="1"/>
    <x v="1"/>
    <x v="2"/>
    <x v="2"/>
    <x v="0"/>
    <x v="0"/>
    <x v="2"/>
    <x v="2"/>
    <x v="0"/>
    <x v="0"/>
    <x v="0"/>
    <x v="0"/>
    <x v="0"/>
    <x v="0"/>
  </r>
  <r>
    <x v="3"/>
    <x v="0"/>
    <x v="1"/>
    <x v="1"/>
    <x v="0"/>
    <x v="0"/>
    <x v="0"/>
    <x v="0"/>
    <x v="1"/>
    <x v="0"/>
    <x v="0"/>
    <x v="1"/>
    <x v="0"/>
    <x v="0"/>
    <x v="2"/>
    <x v="2"/>
    <x v="1"/>
    <x v="3"/>
    <x v="3"/>
    <x v="0"/>
    <x v="0"/>
    <x v="3"/>
    <x v="3"/>
    <x v="0"/>
    <x v="0"/>
    <x v="0"/>
    <x v="0"/>
    <x v="0"/>
    <x v="0"/>
  </r>
  <r>
    <x v="4"/>
    <x v="0"/>
    <x v="1"/>
    <x v="1"/>
    <x v="0"/>
    <x v="0"/>
    <x v="0"/>
    <x v="0"/>
    <x v="1"/>
    <x v="0"/>
    <x v="0"/>
    <x v="1"/>
    <x v="0"/>
    <x v="0"/>
    <x v="3"/>
    <x v="3"/>
    <x v="1"/>
    <x v="4"/>
    <x v="4"/>
    <x v="0"/>
    <x v="0"/>
    <x v="4"/>
    <x v="4"/>
    <x v="0"/>
    <x v="0"/>
    <x v="0"/>
    <x v="0"/>
    <x v="0"/>
    <x v="0"/>
  </r>
  <r>
    <x v="5"/>
    <x v="0"/>
    <x v="2"/>
    <x v="2"/>
    <x v="0"/>
    <x v="0"/>
    <x v="0"/>
    <x v="0"/>
    <x v="0"/>
    <x v="0"/>
    <x v="0"/>
    <x v="2"/>
    <x v="0"/>
    <x v="0"/>
    <x v="0"/>
    <x v="0"/>
    <x v="0"/>
    <x v="5"/>
    <x v="5"/>
    <x v="0"/>
    <x v="0"/>
    <x v="5"/>
    <x v="5"/>
    <x v="0"/>
    <x v="0"/>
    <x v="0"/>
    <x v="0"/>
    <x v="0"/>
    <x v="0"/>
  </r>
  <r>
    <x v="6"/>
    <x v="0"/>
    <x v="2"/>
    <x v="2"/>
    <x v="0"/>
    <x v="0"/>
    <x v="0"/>
    <x v="0"/>
    <x v="0"/>
    <x v="0"/>
    <x v="0"/>
    <x v="2"/>
    <x v="0"/>
    <x v="0"/>
    <x v="4"/>
    <x v="4"/>
    <x v="0"/>
    <x v="5"/>
    <x v="5"/>
    <x v="0"/>
    <x v="0"/>
    <x v="5"/>
    <x v="5"/>
    <x v="0"/>
    <x v="0"/>
    <x v="0"/>
    <x v="0"/>
    <x v="0"/>
    <x v="0"/>
  </r>
  <r>
    <x v="7"/>
    <x v="0"/>
    <x v="3"/>
    <x v="3"/>
    <x v="0"/>
    <x v="1"/>
    <x v="0"/>
    <x v="0"/>
    <x v="0"/>
    <x v="0"/>
    <x v="0"/>
    <x v="3"/>
    <x v="0"/>
    <x v="0"/>
    <x v="0"/>
    <x v="0"/>
    <x v="0"/>
    <x v="6"/>
    <x v="6"/>
    <x v="0"/>
    <x v="0"/>
    <x v="6"/>
    <x v="6"/>
    <x v="0"/>
    <x v="0"/>
    <x v="0"/>
    <x v="0"/>
    <x v="0"/>
    <x v="0"/>
  </r>
  <r>
    <x v="8"/>
    <x v="0"/>
    <x v="3"/>
    <x v="3"/>
    <x v="0"/>
    <x v="1"/>
    <x v="0"/>
    <x v="0"/>
    <x v="1"/>
    <x v="0"/>
    <x v="0"/>
    <x v="3"/>
    <x v="0"/>
    <x v="0"/>
    <x v="1"/>
    <x v="1"/>
    <x v="1"/>
    <x v="7"/>
    <x v="7"/>
    <x v="0"/>
    <x v="0"/>
    <x v="7"/>
    <x v="7"/>
    <x v="0"/>
    <x v="0"/>
    <x v="0"/>
    <x v="0"/>
    <x v="0"/>
    <x v="0"/>
  </r>
  <r>
    <x v="9"/>
    <x v="0"/>
    <x v="3"/>
    <x v="3"/>
    <x v="0"/>
    <x v="1"/>
    <x v="0"/>
    <x v="0"/>
    <x v="1"/>
    <x v="0"/>
    <x v="0"/>
    <x v="3"/>
    <x v="0"/>
    <x v="0"/>
    <x v="5"/>
    <x v="5"/>
    <x v="1"/>
    <x v="6"/>
    <x v="8"/>
    <x v="0"/>
    <x v="0"/>
    <x v="6"/>
    <x v="8"/>
    <x v="0"/>
    <x v="0"/>
    <x v="0"/>
    <x v="0"/>
    <x v="0"/>
    <x v="0"/>
  </r>
  <r>
    <x v="10"/>
    <x v="0"/>
    <x v="3"/>
    <x v="3"/>
    <x v="0"/>
    <x v="1"/>
    <x v="0"/>
    <x v="0"/>
    <x v="1"/>
    <x v="0"/>
    <x v="0"/>
    <x v="3"/>
    <x v="0"/>
    <x v="0"/>
    <x v="6"/>
    <x v="6"/>
    <x v="1"/>
    <x v="4"/>
    <x v="4"/>
    <x v="0"/>
    <x v="0"/>
    <x v="4"/>
    <x v="4"/>
    <x v="0"/>
    <x v="0"/>
    <x v="0"/>
    <x v="0"/>
    <x v="0"/>
    <x v="0"/>
  </r>
  <r>
    <x v="11"/>
    <x v="0"/>
    <x v="3"/>
    <x v="3"/>
    <x v="0"/>
    <x v="1"/>
    <x v="0"/>
    <x v="0"/>
    <x v="1"/>
    <x v="0"/>
    <x v="0"/>
    <x v="3"/>
    <x v="0"/>
    <x v="0"/>
    <x v="2"/>
    <x v="2"/>
    <x v="1"/>
    <x v="4"/>
    <x v="4"/>
    <x v="0"/>
    <x v="0"/>
    <x v="4"/>
    <x v="4"/>
    <x v="0"/>
    <x v="0"/>
    <x v="0"/>
    <x v="0"/>
    <x v="0"/>
    <x v="0"/>
  </r>
  <r>
    <x v="12"/>
    <x v="0"/>
    <x v="4"/>
    <x v="4"/>
    <x v="0"/>
    <x v="1"/>
    <x v="0"/>
    <x v="0"/>
    <x v="0"/>
    <x v="0"/>
    <x v="0"/>
    <x v="4"/>
    <x v="0"/>
    <x v="0"/>
    <x v="7"/>
    <x v="7"/>
    <x v="0"/>
    <x v="0"/>
    <x v="0"/>
    <x v="0"/>
    <x v="0"/>
    <x v="0"/>
    <x v="0"/>
    <x v="0"/>
    <x v="0"/>
    <x v="0"/>
    <x v="0"/>
    <x v="0"/>
    <x v="0"/>
  </r>
  <r>
    <x v="13"/>
    <x v="0"/>
    <x v="4"/>
    <x v="4"/>
    <x v="0"/>
    <x v="1"/>
    <x v="0"/>
    <x v="0"/>
    <x v="0"/>
    <x v="0"/>
    <x v="0"/>
    <x v="4"/>
    <x v="0"/>
    <x v="0"/>
    <x v="8"/>
    <x v="8"/>
    <x v="0"/>
    <x v="6"/>
    <x v="6"/>
    <x v="0"/>
    <x v="0"/>
    <x v="6"/>
    <x v="6"/>
    <x v="0"/>
    <x v="0"/>
    <x v="0"/>
    <x v="0"/>
    <x v="0"/>
    <x v="0"/>
  </r>
  <r>
    <x v="14"/>
    <x v="0"/>
    <x v="5"/>
    <x v="5"/>
    <x v="0"/>
    <x v="2"/>
    <x v="1"/>
    <x v="1"/>
    <x v="1"/>
    <x v="0"/>
    <x v="1"/>
    <x v="5"/>
    <x v="0"/>
    <x v="0"/>
    <x v="9"/>
    <x v="9"/>
    <x v="1"/>
    <x v="8"/>
    <x v="9"/>
    <x v="0"/>
    <x v="0"/>
    <x v="8"/>
    <x v="9"/>
    <x v="0"/>
    <x v="0"/>
    <x v="0"/>
    <x v="0"/>
    <x v="0"/>
    <x v="0"/>
  </r>
  <r>
    <x v="15"/>
    <x v="0"/>
    <x v="6"/>
    <x v="6"/>
    <x v="0"/>
    <x v="2"/>
    <x v="1"/>
    <x v="1"/>
    <x v="1"/>
    <x v="0"/>
    <x v="1"/>
    <x v="6"/>
    <x v="0"/>
    <x v="0"/>
    <x v="10"/>
    <x v="10"/>
    <x v="1"/>
    <x v="6"/>
    <x v="8"/>
    <x v="0"/>
    <x v="0"/>
    <x v="6"/>
    <x v="8"/>
    <x v="0"/>
    <x v="0"/>
    <x v="0"/>
    <x v="0"/>
    <x v="0"/>
    <x v="0"/>
  </r>
  <r>
    <x v="16"/>
    <x v="0"/>
    <x v="7"/>
    <x v="7"/>
    <x v="0"/>
    <x v="2"/>
    <x v="1"/>
    <x v="1"/>
    <x v="1"/>
    <x v="0"/>
    <x v="1"/>
    <x v="7"/>
    <x v="0"/>
    <x v="0"/>
    <x v="3"/>
    <x v="3"/>
    <x v="1"/>
    <x v="4"/>
    <x v="4"/>
    <x v="0"/>
    <x v="0"/>
    <x v="4"/>
    <x v="4"/>
    <x v="0"/>
    <x v="0"/>
    <x v="0"/>
    <x v="0"/>
    <x v="0"/>
    <x v="0"/>
  </r>
  <r>
    <x v="17"/>
    <x v="0"/>
    <x v="8"/>
    <x v="8"/>
    <x v="0"/>
    <x v="2"/>
    <x v="1"/>
    <x v="1"/>
    <x v="1"/>
    <x v="0"/>
    <x v="1"/>
    <x v="8"/>
    <x v="0"/>
    <x v="0"/>
    <x v="10"/>
    <x v="10"/>
    <x v="1"/>
    <x v="4"/>
    <x v="4"/>
    <x v="0"/>
    <x v="0"/>
    <x v="4"/>
    <x v="4"/>
    <x v="0"/>
    <x v="0"/>
    <x v="0"/>
    <x v="0"/>
    <x v="0"/>
    <x v="0"/>
  </r>
  <r>
    <x v="18"/>
    <x v="0"/>
    <x v="9"/>
    <x v="9"/>
    <x v="0"/>
    <x v="3"/>
    <x v="1"/>
    <x v="1"/>
    <x v="1"/>
    <x v="0"/>
    <x v="1"/>
    <x v="9"/>
    <x v="0"/>
    <x v="0"/>
    <x v="10"/>
    <x v="10"/>
    <x v="1"/>
    <x v="4"/>
    <x v="4"/>
    <x v="0"/>
    <x v="0"/>
    <x v="4"/>
    <x v="4"/>
    <x v="0"/>
    <x v="0"/>
    <x v="0"/>
    <x v="0"/>
    <x v="0"/>
    <x v="0"/>
  </r>
  <r>
    <x v="19"/>
    <x v="0"/>
    <x v="10"/>
    <x v="10"/>
    <x v="0"/>
    <x v="3"/>
    <x v="1"/>
    <x v="1"/>
    <x v="1"/>
    <x v="0"/>
    <x v="1"/>
    <x v="10"/>
    <x v="0"/>
    <x v="0"/>
    <x v="11"/>
    <x v="11"/>
    <x v="1"/>
    <x v="9"/>
    <x v="10"/>
    <x v="0"/>
    <x v="0"/>
    <x v="9"/>
    <x v="10"/>
    <x v="0"/>
    <x v="0"/>
    <x v="0"/>
    <x v="0"/>
    <x v="0"/>
    <x v="0"/>
  </r>
  <r>
    <x v="20"/>
    <x v="0"/>
    <x v="11"/>
    <x v="11"/>
    <x v="0"/>
    <x v="3"/>
    <x v="1"/>
    <x v="1"/>
    <x v="1"/>
    <x v="0"/>
    <x v="1"/>
    <x v="11"/>
    <x v="0"/>
    <x v="0"/>
    <x v="12"/>
    <x v="12"/>
    <x v="1"/>
    <x v="9"/>
    <x v="10"/>
    <x v="0"/>
    <x v="0"/>
    <x v="9"/>
    <x v="10"/>
    <x v="0"/>
    <x v="0"/>
    <x v="0"/>
    <x v="0"/>
    <x v="0"/>
    <x v="0"/>
  </r>
  <r>
    <x v="21"/>
    <x v="0"/>
    <x v="11"/>
    <x v="11"/>
    <x v="0"/>
    <x v="3"/>
    <x v="1"/>
    <x v="1"/>
    <x v="1"/>
    <x v="0"/>
    <x v="1"/>
    <x v="11"/>
    <x v="0"/>
    <x v="0"/>
    <x v="13"/>
    <x v="13"/>
    <x v="1"/>
    <x v="9"/>
    <x v="10"/>
    <x v="0"/>
    <x v="0"/>
    <x v="9"/>
    <x v="10"/>
    <x v="0"/>
    <x v="0"/>
    <x v="0"/>
    <x v="0"/>
    <x v="0"/>
    <x v="0"/>
  </r>
  <r>
    <x v="22"/>
    <x v="0"/>
    <x v="12"/>
    <x v="12"/>
    <x v="0"/>
    <x v="4"/>
    <x v="2"/>
    <x v="1"/>
    <x v="1"/>
    <x v="0"/>
    <x v="1"/>
    <x v="12"/>
    <x v="0"/>
    <x v="0"/>
    <x v="14"/>
    <x v="14"/>
    <x v="1"/>
    <x v="4"/>
    <x v="4"/>
    <x v="0"/>
    <x v="0"/>
    <x v="4"/>
    <x v="4"/>
    <x v="0"/>
    <x v="0"/>
    <x v="0"/>
    <x v="0"/>
    <x v="0"/>
    <x v="0"/>
  </r>
  <r>
    <x v="23"/>
    <x v="0"/>
    <x v="13"/>
    <x v="13"/>
    <x v="0"/>
    <x v="5"/>
    <x v="3"/>
    <x v="1"/>
    <x v="1"/>
    <x v="0"/>
    <x v="1"/>
    <x v="13"/>
    <x v="0"/>
    <x v="0"/>
    <x v="12"/>
    <x v="12"/>
    <x v="1"/>
    <x v="9"/>
    <x v="10"/>
    <x v="0"/>
    <x v="0"/>
    <x v="9"/>
    <x v="10"/>
    <x v="0"/>
    <x v="0"/>
    <x v="0"/>
    <x v="0"/>
    <x v="0"/>
    <x v="0"/>
  </r>
  <r>
    <x v="24"/>
    <x v="0"/>
    <x v="13"/>
    <x v="13"/>
    <x v="0"/>
    <x v="5"/>
    <x v="3"/>
    <x v="1"/>
    <x v="1"/>
    <x v="0"/>
    <x v="1"/>
    <x v="13"/>
    <x v="0"/>
    <x v="0"/>
    <x v="1"/>
    <x v="1"/>
    <x v="1"/>
    <x v="9"/>
    <x v="10"/>
    <x v="0"/>
    <x v="0"/>
    <x v="9"/>
    <x v="10"/>
    <x v="0"/>
    <x v="0"/>
    <x v="0"/>
    <x v="0"/>
    <x v="0"/>
    <x v="0"/>
  </r>
  <r>
    <x v="25"/>
    <x v="0"/>
    <x v="14"/>
    <x v="14"/>
    <x v="0"/>
    <x v="5"/>
    <x v="3"/>
    <x v="1"/>
    <x v="1"/>
    <x v="0"/>
    <x v="1"/>
    <x v="14"/>
    <x v="0"/>
    <x v="0"/>
    <x v="1"/>
    <x v="1"/>
    <x v="1"/>
    <x v="4"/>
    <x v="4"/>
    <x v="0"/>
    <x v="0"/>
    <x v="4"/>
    <x v="4"/>
    <x v="0"/>
    <x v="0"/>
    <x v="0"/>
    <x v="0"/>
    <x v="0"/>
    <x v="0"/>
  </r>
  <r>
    <x v="26"/>
    <x v="0"/>
    <x v="15"/>
    <x v="15"/>
    <x v="0"/>
    <x v="6"/>
    <x v="4"/>
    <x v="1"/>
    <x v="1"/>
    <x v="0"/>
    <x v="2"/>
    <x v="15"/>
    <x v="0"/>
    <x v="0"/>
    <x v="2"/>
    <x v="2"/>
    <x v="1"/>
    <x v="6"/>
    <x v="8"/>
    <x v="0"/>
    <x v="0"/>
    <x v="6"/>
    <x v="8"/>
    <x v="0"/>
    <x v="0"/>
    <x v="0"/>
    <x v="0"/>
    <x v="0"/>
    <x v="0"/>
  </r>
  <r>
    <x v="27"/>
    <x v="0"/>
    <x v="16"/>
    <x v="16"/>
    <x v="0"/>
    <x v="7"/>
    <x v="5"/>
    <x v="0"/>
    <x v="0"/>
    <x v="0"/>
    <x v="0"/>
    <x v="16"/>
    <x v="0"/>
    <x v="0"/>
    <x v="0"/>
    <x v="0"/>
    <x v="0"/>
    <x v="10"/>
    <x v="11"/>
    <x v="0"/>
    <x v="0"/>
    <x v="10"/>
    <x v="11"/>
    <x v="0"/>
    <x v="0"/>
    <x v="0"/>
    <x v="0"/>
    <x v="0"/>
    <x v="0"/>
  </r>
  <r>
    <x v="28"/>
    <x v="0"/>
    <x v="16"/>
    <x v="16"/>
    <x v="0"/>
    <x v="7"/>
    <x v="5"/>
    <x v="0"/>
    <x v="1"/>
    <x v="0"/>
    <x v="0"/>
    <x v="16"/>
    <x v="0"/>
    <x v="0"/>
    <x v="1"/>
    <x v="1"/>
    <x v="1"/>
    <x v="11"/>
    <x v="12"/>
    <x v="0"/>
    <x v="0"/>
    <x v="11"/>
    <x v="12"/>
    <x v="0"/>
    <x v="0"/>
    <x v="0"/>
    <x v="0"/>
    <x v="0"/>
    <x v="0"/>
  </r>
  <r>
    <x v="29"/>
    <x v="0"/>
    <x v="16"/>
    <x v="16"/>
    <x v="0"/>
    <x v="7"/>
    <x v="5"/>
    <x v="0"/>
    <x v="0"/>
    <x v="0"/>
    <x v="0"/>
    <x v="16"/>
    <x v="0"/>
    <x v="0"/>
    <x v="15"/>
    <x v="15"/>
    <x v="0"/>
    <x v="6"/>
    <x v="6"/>
    <x v="0"/>
    <x v="0"/>
    <x v="6"/>
    <x v="6"/>
    <x v="0"/>
    <x v="0"/>
    <x v="0"/>
    <x v="0"/>
    <x v="0"/>
    <x v="0"/>
  </r>
  <r>
    <x v="30"/>
    <x v="0"/>
    <x v="17"/>
    <x v="17"/>
    <x v="0"/>
    <x v="7"/>
    <x v="5"/>
    <x v="0"/>
    <x v="1"/>
    <x v="0"/>
    <x v="0"/>
    <x v="17"/>
    <x v="0"/>
    <x v="0"/>
    <x v="1"/>
    <x v="1"/>
    <x v="1"/>
    <x v="4"/>
    <x v="4"/>
    <x v="0"/>
    <x v="0"/>
    <x v="4"/>
    <x v="4"/>
    <x v="0"/>
    <x v="0"/>
    <x v="0"/>
    <x v="0"/>
    <x v="0"/>
    <x v="0"/>
  </r>
  <r>
    <x v="31"/>
    <x v="0"/>
    <x v="17"/>
    <x v="17"/>
    <x v="0"/>
    <x v="7"/>
    <x v="5"/>
    <x v="0"/>
    <x v="0"/>
    <x v="0"/>
    <x v="0"/>
    <x v="17"/>
    <x v="0"/>
    <x v="0"/>
    <x v="0"/>
    <x v="0"/>
    <x v="0"/>
    <x v="6"/>
    <x v="6"/>
    <x v="0"/>
    <x v="0"/>
    <x v="6"/>
    <x v="6"/>
    <x v="0"/>
    <x v="0"/>
    <x v="0"/>
    <x v="0"/>
    <x v="0"/>
    <x v="0"/>
  </r>
  <r>
    <x v="32"/>
    <x v="0"/>
    <x v="18"/>
    <x v="18"/>
    <x v="0"/>
    <x v="8"/>
    <x v="6"/>
    <x v="0"/>
    <x v="1"/>
    <x v="0"/>
    <x v="0"/>
    <x v="18"/>
    <x v="0"/>
    <x v="0"/>
    <x v="14"/>
    <x v="14"/>
    <x v="1"/>
    <x v="6"/>
    <x v="8"/>
    <x v="0"/>
    <x v="0"/>
    <x v="6"/>
    <x v="8"/>
    <x v="0"/>
    <x v="0"/>
    <x v="0"/>
    <x v="0"/>
    <x v="0"/>
    <x v="0"/>
  </r>
  <r>
    <x v="33"/>
    <x v="0"/>
    <x v="18"/>
    <x v="18"/>
    <x v="0"/>
    <x v="8"/>
    <x v="6"/>
    <x v="0"/>
    <x v="1"/>
    <x v="0"/>
    <x v="0"/>
    <x v="18"/>
    <x v="0"/>
    <x v="0"/>
    <x v="1"/>
    <x v="1"/>
    <x v="1"/>
    <x v="12"/>
    <x v="13"/>
    <x v="0"/>
    <x v="0"/>
    <x v="12"/>
    <x v="13"/>
    <x v="0"/>
    <x v="0"/>
    <x v="0"/>
    <x v="0"/>
    <x v="0"/>
    <x v="0"/>
  </r>
  <r>
    <x v="34"/>
    <x v="0"/>
    <x v="18"/>
    <x v="18"/>
    <x v="0"/>
    <x v="8"/>
    <x v="6"/>
    <x v="0"/>
    <x v="1"/>
    <x v="0"/>
    <x v="0"/>
    <x v="18"/>
    <x v="0"/>
    <x v="0"/>
    <x v="16"/>
    <x v="16"/>
    <x v="2"/>
    <x v="13"/>
    <x v="14"/>
    <x v="0"/>
    <x v="0"/>
    <x v="13"/>
    <x v="14"/>
    <x v="0"/>
    <x v="0"/>
    <x v="0"/>
    <x v="0"/>
    <x v="0"/>
    <x v="0"/>
  </r>
  <r>
    <x v="35"/>
    <x v="0"/>
    <x v="19"/>
    <x v="19"/>
    <x v="0"/>
    <x v="9"/>
    <x v="7"/>
    <x v="0"/>
    <x v="0"/>
    <x v="0"/>
    <x v="0"/>
    <x v="19"/>
    <x v="0"/>
    <x v="0"/>
    <x v="17"/>
    <x v="17"/>
    <x v="0"/>
    <x v="14"/>
    <x v="15"/>
    <x v="0"/>
    <x v="0"/>
    <x v="14"/>
    <x v="15"/>
    <x v="0"/>
    <x v="0"/>
    <x v="0"/>
    <x v="0"/>
    <x v="0"/>
    <x v="0"/>
  </r>
  <r>
    <x v="36"/>
    <x v="0"/>
    <x v="19"/>
    <x v="19"/>
    <x v="0"/>
    <x v="9"/>
    <x v="7"/>
    <x v="0"/>
    <x v="0"/>
    <x v="0"/>
    <x v="0"/>
    <x v="19"/>
    <x v="0"/>
    <x v="0"/>
    <x v="0"/>
    <x v="0"/>
    <x v="0"/>
    <x v="15"/>
    <x v="16"/>
    <x v="0"/>
    <x v="0"/>
    <x v="15"/>
    <x v="16"/>
    <x v="0"/>
    <x v="0"/>
    <x v="0"/>
    <x v="0"/>
    <x v="0"/>
    <x v="0"/>
  </r>
  <r>
    <x v="37"/>
    <x v="0"/>
    <x v="20"/>
    <x v="20"/>
    <x v="0"/>
    <x v="9"/>
    <x v="7"/>
    <x v="0"/>
    <x v="0"/>
    <x v="0"/>
    <x v="0"/>
    <x v="20"/>
    <x v="0"/>
    <x v="0"/>
    <x v="0"/>
    <x v="0"/>
    <x v="0"/>
    <x v="16"/>
    <x v="17"/>
    <x v="0"/>
    <x v="0"/>
    <x v="16"/>
    <x v="17"/>
    <x v="0"/>
    <x v="0"/>
    <x v="0"/>
    <x v="0"/>
    <x v="0"/>
    <x v="0"/>
  </r>
  <r>
    <x v="38"/>
    <x v="0"/>
    <x v="20"/>
    <x v="20"/>
    <x v="0"/>
    <x v="9"/>
    <x v="7"/>
    <x v="0"/>
    <x v="0"/>
    <x v="0"/>
    <x v="0"/>
    <x v="20"/>
    <x v="0"/>
    <x v="0"/>
    <x v="15"/>
    <x v="15"/>
    <x v="0"/>
    <x v="17"/>
    <x v="18"/>
    <x v="0"/>
    <x v="0"/>
    <x v="17"/>
    <x v="18"/>
    <x v="0"/>
    <x v="0"/>
    <x v="0"/>
    <x v="0"/>
    <x v="0"/>
    <x v="0"/>
  </r>
  <r>
    <x v="39"/>
    <x v="0"/>
    <x v="20"/>
    <x v="20"/>
    <x v="0"/>
    <x v="9"/>
    <x v="7"/>
    <x v="0"/>
    <x v="1"/>
    <x v="0"/>
    <x v="0"/>
    <x v="20"/>
    <x v="0"/>
    <x v="0"/>
    <x v="1"/>
    <x v="1"/>
    <x v="1"/>
    <x v="6"/>
    <x v="8"/>
    <x v="0"/>
    <x v="0"/>
    <x v="6"/>
    <x v="8"/>
    <x v="0"/>
    <x v="0"/>
    <x v="0"/>
    <x v="0"/>
    <x v="0"/>
    <x v="0"/>
  </r>
  <r>
    <x v="40"/>
    <x v="0"/>
    <x v="20"/>
    <x v="20"/>
    <x v="0"/>
    <x v="9"/>
    <x v="7"/>
    <x v="0"/>
    <x v="0"/>
    <x v="0"/>
    <x v="0"/>
    <x v="20"/>
    <x v="0"/>
    <x v="0"/>
    <x v="18"/>
    <x v="18"/>
    <x v="0"/>
    <x v="6"/>
    <x v="6"/>
    <x v="0"/>
    <x v="0"/>
    <x v="6"/>
    <x v="6"/>
    <x v="0"/>
    <x v="0"/>
    <x v="0"/>
    <x v="0"/>
    <x v="0"/>
    <x v="0"/>
  </r>
  <r>
    <x v="41"/>
    <x v="0"/>
    <x v="19"/>
    <x v="19"/>
    <x v="0"/>
    <x v="9"/>
    <x v="7"/>
    <x v="0"/>
    <x v="1"/>
    <x v="0"/>
    <x v="0"/>
    <x v="21"/>
    <x v="0"/>
    <x v="0"/>
    <x v="2"/>
    <x v="2"/>
    <x v="1"/>
    <x v="6"/>
    <x v="8"/>
    <x v="0"/>
    <x v="0"/>
    <x v="6"/>
    <x v="8"/>
    <x v="0"/>
    <x v="0"/>
    <x v="0"/>
    <x v="0"/>
    <x v="0"/>
    <x v="0"/>
  </r>
  <r>
    <x v="42"/>
    <x v="0"/>
    <x v="19"/>
    <x v="19"/>
    <x v="0"/>
    <x v="9"/>
    <x v="7"/>
    <x v="0"/>
    <x v="0"/>
    <x v="0"/>
    <x v="0"/>
    <x v="21"/>
    <x v="0"/>
    <x v="0"/>
    <x v="0"/>
    <x v="0"/>
    <x v="0"/>
    <x v="5"/>
    <x v="5"/>
    <x v="0"/>
    <x v="0"/>
    <x v="5"/>
    <x v="5"/>
    <x v="0"/>
    <x v="0"/>
    <x v="0"/>
    <x v="0"/>
    <x v="0"/>
    <x v="0"/>
  </r>
  <r>
    <x v="43"/>
    <x v="0"/>
    <x v="19"/>
    <x v="19"/>
    <x v="0"/>
    <x v="9"/>
    <x v="7"/>
    <x v="0"/>
    <x v="1"/>
    <x v="0"/>
    <x v="0"/>
    <x v="21"/>
    <x v="0"/>
    <x v="0"/>
    <x v="1"/>
    <x v="1"/>
    <x v="1"/>
    <x v="4"/>
    <x v="4"/>
    <x v="0"/>
    <x v="0"/>
    <x v="4"/>
    <x v="4"/>
    <x v="0"/>
    <x v="0"/>
    <x v="0"/>
    <x v="0"/>
    <x v="0"/>
    <x v="0"/>
  </r>
  <r>
    <x v="44"/>
    <x v="0"/>
    <x v="19"/>
    <x v="19"/>
    <x v="0"/>
    <x v="9"/>
    <x v="7"/>
    <x v="0"/>
    <x v="1"/>
    <x v="0"/>
    <x v="0"/>
    <x v="21"/>
    <x v="0"/>
    <x v="0"/>
    <x v="6"/>
    <x v="6"/>
    <x v="1"/>
    <x v="4"/>
    <x v="4"/>
    <x v="0"/>
    <x v="0"/>
    <x v="4"/>
    <x v="4"/>
    <x v="0"/>
    <x v="0"/>
    <x v="0"/>
    <x v="0"/>
    <x v="0"/>
    <x v="0"/>
  </r>
  <r>
    <x v="45"/>
    <x v="0"/>
    <x v="20"/>
    <x v="20"/>
    <x v="0"/>
    <x v="9"/>
    <x v="7"/>
    <x v="0"/>
    <x v="0"/>
    <x v="0"/>
    <x v="0"/>
    <x v="22"/>
    <x v="0"/>
    <x v="0"/>
    <x v="0"/>
    <x v="0"/>
    <x v="0"/>
    <x v="17"/>
    <x v="18"/>
    <x v="0"/>
    <x v="0"/>
    <x v="17"/>
    <x v="18"/>
    <x v="0"/>
    <x v="0"/>
    <x v="0"/>
    <x v="0"/>
    <x v="0"/>
    <x v="0"/>
  </r>
  <r>
    <x v="46"/>
    <x v="0"/>
    <x v="20"/>
    <x v="20"/>
    <x v="0"/>
    <x v="9"/>
    <x v="7"/>
    <x v="0"/>
    <x v="0"/>
    <x v="0"/>
    <x v="0"/>
    <x v="22"/>
    <x v="0"/>
    <x v="0"/>
    <x v="19"/>
    <x v="19"/>
    <x v="0"/>
    <x v="5"/>
    <x v="5"/>
    <x v="0"/>
    <x v="0"/>
    <x v="5"/>
    <x v="5"/>
    <x v="0"/>
    <x v="0"/>
    <x v="0"/>
    <x v="0"/>
    <x v="0"/>
    <x v="0"/>
  </r>
  <r>
    <x v="47"/>
    <x v="0"/>
    <x v="21"/>
    <x v="21"/>
    <x v="0"/>
    <x v="10"/>
    <x v="5"/>
    <x v="0"/>
    <x v="1"/>
    <x v="0"/>
    <x v="0"/>
    <x v="23"/>
    <x v="0"/>
    <x v="0"/>
    <x v="1"/>
    <x v="1"/>
    <x v="1"/>
    <x v="18"/>
    <x v="19"/>
    <x v="0"/>
    <x v="0"/>
    <x v="18"/>
    <x v="19"/>
    <x v="0"/>
    <x v="0"/>
    <x v="0"/>
    <x v="0"/>
    <x v="0"/>
    <x v="0"/>
  </r>
  <r>
    <x v="48"/>
    <x v="0"/>
    <x v="21"/>
    <x v="21"/>
    <x v="0"/>
    <x v="10"/>
    <x v="5"/>
    <x v="0"/>
    <x v="0"/>
    <x v="0"/>
    <x v="0"/>
    <x v="23"/>
    <x v="0"/>
    <x v="0"/>
    <x v="0"/>
    <x v="0"/>
    <x v="0"/>
    <x v="19"/>
    <x v="20"/>
    <x v="0"/>
    <x v="0"/>
    <x v="19"/>
    <x v="20"/>
    <x v="0"/>
    <x v="0"/>
    <x v="0"/>
    <x v="0"/>
    <x v="0"/>
    <x v="0"/>
  </r>
  <r>
    <x v="49"/>
    <x v="0"/>
    <x v="21"/>
    <x v="21"/>
    <x v="0"/>
    <x v="10"/>
    <x v="5"/>
    <x v="0"/>
    <x v="1"/>
    <x v="0"/>
    <x v="0"/>
    <x v="23"/>
    <x v="0"/>
    <x v="0"/>
    <x v="6"/>
    <x v="6"/>
    <x v="1"/>
    <x v="9"/>
    <x v="10"/>
    <x v="0"/>
    <x v="0"/>
    <x v="9"/>
    <x v="10"/>
    <x v="0"/>
    <x v="0"/>
    <x v="0"/>
    <x v="0"/>
    <x v="0"/>
    <x v="0"/>
  </r>
  <r>
    <x v="50"/>
    <x v="0"/>
    <x v="22"/>
    <x v="22"/>
    <x v="0"/>
    <x v="11"/>
    <x v="8"/>
    <x v="1"/>
    <x v="1"/>
    <x v="0"/>
    <x v="3"/>
    <x v="24"/>
    <x v="0"/>
    <x v="0"/>
    <x v="13"/>
    <x v="13"/>
    <x v="1"/>
    <x v="0"/>
    <x v="21"/>
    <x v="0"/>
    <x v="0"/>
    <x v="0"/>
    <x v="21"/>
    <x v="0"/>
    <x v="0"/>
    <x v="0"/>
    <x v="0"/>
    <x v="0"/>
    <x v="0"/>
  </r>
  <r>
    <x v="51"/>
    <x v="0"/>
    <x v="22"/>
    <x v="22"/>
    <x v="0"/>
    <x v="11"/>
    <x v="8"/>
    <x v="1"/>
    <x v="1"/>
    <x v="0"/>
    <x v="3"/>
    <x v="24"/>
    <x v="0"/>
    <x v="0"/>
    <x v="1"/>
    <x v="1"/>
    <x v="1"/>
    <x v="0"/>
    <x v="21"/>
    <x v="0"/>
    <x v="0"/>
    <x v="0"/>
    <x v="21"/>
    <x v="0"/>
    <x v="0"/>
    <x v="0"/>
    <x v="0"/>
    <x v="0"/>
    <x v="0"/>
  </r>
  <r>
    <x v="52"/>
    <x v="0"/>
    <x v="22"/>
    <x v="22"/>
    <x v="0"/>
    <x v="11"/>
    <x v="8"/>
    <x v="1"/>
    <x v="1"/>
    <x v="0"/>
    <x v="3"/>
    <x v="24"/>
    <x v="0"/>
    <x v="0"/>
    <x v="6"/>
    <x v="6"/>
    <x v="1"/>
    <x v="0"/>
    <x v="21"/>
    <x v="0"/>
    <x v="0"/>
    <x v="0"/>
    <x v="21"/>
    <x v="0"/>
    <x v="0"/>
    <x v="0"/>
    <x v="0"/>
    <x v="0"/>
    <x v="0"/>
  </r>
  <r>
    <x v="53"/>
    <x v="0"/>
    <x v="23"/>
    <x v="23"/>
    <x v="0"/>
    <x v="0"/>
    <x v="0"/>
    <x v="0"/>
    <x v="1"/>
    <x v="0"/>
    <x v="0"/>
    <x v="25"/>
    <x v="0"/>
    <x v="0"/>
    <x v="6"/>
    <x v="6"/>
    <x v="1"/>
    <x v="4"/>
    <x v="4"/>
    <x v="0"/>
    <x v="0"/>
    <x v="4"/>
    <x v="4"/>
    <x v="0"/>
    <x v="0"/>
    <x v="0"/>
    <x v="0"/>
    <x v="0"/>
    <x v="0"/>
  </r>
  <r>
    <x v="54"/>
    <x v="0"/>
    <x v="23"/>
    <x v="23"/>
    <x v="0"/>
    <x v="0"/>
    <x v="0"/>
    <x v="0"/>
    <x v="0"/>
    <x v="0"/>
    <x v="0"/>
    <x v="25"/>
    <x v="0"/>
    <x v="0"/>
    <x v="0"/>
    <x v="0"/>
    <x v="0"/>
    <x v="17"/>
    <x v="18"/>
    <x v="0"/>
    <x v="0"/>
    <x v="17"/>
    <x v="18"/>
    <x v="0"/>
    <x v="0"/>
    <x v="0"/>
    <x v="0"/>
    <x v="0"/>
    <x v="0"/>
  </r>
  <r>
    <x v="55"/>
    <x v="0"/>
    <x v="23"/>
    <x v="23"/>
    <x v="0"/>
    <x v="0"/>
    <x v="0"/>
    <x v="0"/>
    <x v="0"/>
    <x v="0"/>
    <x v="0"/>
    <x v="25"/>
    <x v="0"/>
    <x v="0"/>
    <x v="19"/>
    <x v="19"/>
    <x v="0"/>
    <x v="17"/>
    <x v="18"/>
    <x v="0"/>
    <x v="0"/>
    <x v="17"/>
    <x v="18"/>
    <x v="0"/>
    <x v="0"/>
    <x v="0"/>
    <x v="0"/>
    <x v="0"/>
    <x v="0"/>
  </r>
  <r>
    <x v="56"/>
    <x v="0"/>
    <x v="23"/>
    <x v="23"/>
    <x v="0"/>
    <x v="0"/>
    <x v="0"/>
    <x v="0"/>
    <x v="1"/>
    <x v="0"/>
    <x v="0"/>
    <x v="25"/>
    <x v="0"/>
    <x v="0"/>
    <x v="2"/>
    <x v="2"/>
    <x v="1"/>
    <x v="6"/>
    <x v="8"/>
    <x v="0"/>
    <x v="0"/>
    <x v="6"/>
    <x v="8"/>
    <x v="0"/>
    <x v="0"/>
    <x v="0"/>
    <x v="0"/>
    <x v="0"/>
    <x v="0"/>
  </r>
  <r>
    <x v="57"/>
    <x v="0"/>
    <x v="23"/>
    <x v="23"/>
    <x v="0"/>
    <x v="0"/>
    <x v="0"/>
    <x v="0"/>
    <x v="1"/>
    <x v="0"/>
    <x v="0"/>
    <x v="25"/>
    <x v="0"/>
    <x v="0"/>
    <x v="16"/>
    <x v="16"/>
    <x v="2"/>
    <x v="4"/>
    <x v="22"/>
    <x v="0"/>
    <x v="0"/>
    <x v="4"/>
    <x v="22"/>
    <x v="0"/>
    <x v="0"/>
    <x v="0"/>
    <x v="0"/>
    <x v="0"/>
    <x v="0"/>
  </r>
  <r>
    <x v="58"/>
    <x v="0"/>
    <x v="23"/>
    <x v="23"/>
    <x v="0"/>
    <x v="0"/>
    <x v="0"/>
    <x v="0"/>
    <x v="1"/>
    <x v="0"/>
    <x v="0"/>
    <x v="25"/>
    <x v="0"/>
    <x v="0"/>
    <x v="1"/>
    <x v="1"/>
    <x v="1"/>
    <x v="6"/>
    <x v="8"/>
    <x v="0"/>
    <x v="0"/>
    <x v="6"/>
    <x v="8"/>
    <x v="0"/>
    <x v="0"/>
    <x v="0"/>
    <x v="0"/>
    <x v="0"/>
    <x v="0"/>
  </r>
  <r>
    <x v="59"/>
    <x v="0"/>
    <x v="23"/>
    <x v="23"/>
    <x v="0"/>
    <x v="0"/>
    <x v="0"/>
    <x v="0"/>
    <x v="1"/>
    <x v="0"/>
    <x v="0"/>
    <x v="25"/>
    <x v="0"/>
    <x v="0"/>
    <x v="13"/>
    <x v="13"/>
    <x v="1"/>
    <x v="4"/>
    <x v="4"/>
    <x v="0"/>
    <x v="0"/>
    <x v="4"/>
    <x v="4"/>
    <x v="0"/>
    <x v="0"/>
    <x v="0"/>
    <x v="0"/>
    <x v="0"/>
    <x v="0"/>
  </r>
  <r>
    <x v="60"/>
    <x v="0"/>
    <x v="24"/>
    <x v="24"/>
    <x v="0"/>
    <x v="0"/>
    <x v="0"/>
    <x v="0"/>
    <x v="0"/>
    <x v="0"/>
    <x v="0"/>
    <x v="26"/>
    <x v="1"/>
    <x v="1"/>
    <x v="4"/>
    <x v="4"/>
    <x v="0"/>
    <x v="5"/>
    <x v="5"/>
    <x v="0"/>
    <x v="0"/>
    <x v="5"/>
    <x v="5"/>
    <x v="0"/>
    <x v="0"/>
    <x v="0"/>
    <x v="0"/>
    <x v="0"/>
    <x v="0"/>
  </r>
  <r>
    <x v="61"/>
    <x v="0"/>
    <x v="24"/>
    <x v="24"/>
    <x v="0"/>
    <x v="0"/>
    <x v="0"/>
    <x v="0"/>
    <x v="1"/>
    <x v="0"/>
    <x v="0"/>
    <x v="26"/>
    <x v="1"/>
    <x v="1"/>
    <x v="16"/>
    <x v="16"/>
    <x v="2"/>
    <x v="9"/>
    <x v="23"/>
    <x v="0"/>
    <x v="0"/>
    <x v="9"/>
    <x v="23"/>
    <x v="0"/>
    <x v="0"/>
    <x v="0"/>
    <x v="0"/>
    <x v="0"/>
    <x v="0"/>
  </r>
  <r>
    <x v="62"/>
    <x v="0"/>
    <x v="24"/>
    <x v="24"/>
    <x v="0"/>
    <x v="0"/>
    <x v="0"/>
    <x v="0"/>
    <x v="1"/>
    <x v="0"/>
    <x v="0"/>
    <x v="26"/>
    <x v="1"/>
    <x v="1"/>
    <x v="20"/>
    <x v="20"/>
    <x v="1"/>
    <x v="4"/>
    <x v="4"/>
    <x v="0"/>
    <x v="0"/>
    <x v="4"/>
    <x v="4"/>
    <x v="0"/>
    <x v="0"/>
    <x v="0"/>
    <x v="0"/>
    <x v="0"/>
    <x v="0"/>
  </r>
  <r>
    <x v="63"/>
    <x v="0"/>
    <x v="24"/>
    <x v="24"/>
    <x v="0"/>
    <x v="0"/>
    <x v="0"/>
    <x v="0"/>
    <x v="0"/>
    <x v="0"/>
    <x v="0"/>
    <x v="26"/>
    <x v="1"/>
    <x v="1"/>
    <x v="7"/>
    <x v="7"/>
    <x v="0"/>
    <x v="17"/>
    <x v="18"/>
    <x v="0"/>
    <x v="0"/>
    <x v="17"/>
    <x v="18"/>
    <x v="0"/>
    <x v="0"/>
    <x v="0"/>
    <x v="0"/>
    <x v="0"/>
    <x v="0"/>
  </r>
  <r>
    <x v="64"/>
    <x v="0"/>
    <x v="24"/>
    <x v="24"/>
    <x v="0"/>
    <x v="0"/>
    <x v="0"/>
    <x v="0"/>
    <x v="1"/>
    <x v="0"/>
    <x v="0"/>
    <x v="26"/>
    <x v="1"/>
    <x v="1"/>
    <x v="21"/>
    <x v="21"/>
    <x v="1"/>
    <x v="9"/>
    <x v="10"/>
    <x v="0"/>
    <x v="0"/>
    <x v="9"/>
    <x v="10"/>
    <x v="0"/>
    <x v="0"/>
    <x v="0"/>
    <x v="0"/>
    <x v="0"/>
    <x v="0"/>
  </r>
  <r>
    <x v="65"/>
    <x v="0"/>
    <x v="24"/>
    <x v="24"/>
    <x v="0"/>
    <x v="0"/>
    <x v="0"/>
    <x v="0"/>
    <x v="1"/>
    <x v="0"/>
    <x v="0"/>
    <x v="26"/>
    <x v="1"/>
    <x v="1"/>
    <x v="1"/>
    <x v="1"/>
    <x v="1"/>
    <x v="8"/>
    <x v="9"/>
    <x v="0"/>
    <x v="0"/>
    <x v="8"/>
    <x v="9"/>
    <x v="0"/>
    <x v="0"/>
    <x v="0"/>
    <x v="0"/>
    <x v="0"/>
    <x v="0"/>
  </r>
  <r>
    <x v="66"/>
    <x v="0"/>
    <x v="24"/>
    <x v="24"/>
    <x v="0"/>
    <x v="0"/>
    <x v="0"/>
    <x v="0"/>
    <x v="1"/>
    <x v="0"/>
    <x v="0"/>
    <x v="26"/>
    <x v="1"/>
    <x v="1"/>
    <x v="13"/>
    <x v="13"/>
    <x v="1"/>
    <x v="9"/>
    <x v="10"/>
    <x v="0"/>
    <x v="0"/>
    <x v="9"/>
    <x v="10"/>
    <x v="0"/>
    <x v="0"/>
    <x v="0"/>
    <x v="0"/>
    <x v="0"/>
    <x v="0"/>
  </r>
  <r>
    <x v="67"/>
    <x v="0"/>
    <x v="24"/>
    <x v="24"/>
    <x v="0"/>
    <x v="0"/>
    <x v="0"/>
    <x v="0"/>
    <x v="1"/>
    <x v="0"/>
    <x v="0"/>
    <x v="26"/>
    <x v="1"/>
    <x v="1"/>
    <x v="2"/>
    <x v="2"/>
    <x v="1"/>
    <x v="4"/>
    <x v="4"/>
    <x v="0"/>
    <x v="0"/>
    <x v="4"/>
    <x v="4"/>
    <x v="0"/>
    <x v="0"/>
    <x v="0"/>
    <x v="0"/>
    <x v="0"/>
    <x v="0"/>
  </r>
  <r>
    <x v="68"/>
    <x v="0"/>
    <x v="2"/>
    <x v="2"/>
    <x v="0"/>
    <x v="0"/>
    <x v="0"/>
    <x v="0"/>
    <x v="1"/>
    <x v="0"/>
    <x v="0"/>
    <x v="27"/>
    <x v="1"/>
    <x v="1"/>
    <x v="5"/>
    <x v="5"/>
    <x v="1"/>
    <x v="4"/>
    <x v="4"/>
    <x v="0"/>
    <x v="0"/>
    <x v="4"/>
    <x v="4"/>
    <x v="0"/>
    <x v="0"/>
    <x v="0"/>
    <x v="0"/>
    <x v="0"/>
    <x v="0"/>
  </r>
  <r>
    <x v="69"/>
    <x v="0"/>
    <x v="25"/>
    <x v="25"/>
    <x v="0"/>
    <x v="1"/>
    <x v="0"/>
    <x v="0"/>
    <x v="1"/>
    <x v="0"/>
    <x v="0"/>
    <x v="28"/>
    <x v="1"/>
    <x v="1"/>
    <x v="1"/>
    <x v="1"/>
    <x v="1"/>
    <x v="9"/>
    <x v="10"/>
    <x v="0"/>
    <x v="0"/>
    <x v="9"/>
    <x v="10"/>
    <x v="0"/>
    <x v="0"/>
    <x v="0"/>
    <x v="0"/>
    <x v="0"/>
    <x v="0"/>
  </r>
  <r>
    <x v="70"/>
    <x v="0"/>
    <x v="3"/>
    <x v="3"/>
    <x v="0"/>
    <x v="1"/>
    <x v="0"/>
    <x v="0"/>
    <x v="1"/>
    <x v="0"/>
    <x v="0"/>
    <x v="29"/>
    <x v="1"/>
    <x v="1"/>
    <x v="1"/>
    <x v="1"/>
    <x v="1"/>
    <x v="4"/>
    <x v="4"/>
    <x v="0"/>
    <x v="0"/>
    <x v="4"/>
    <x v="4"/>
    <x v="0"/>
    <x v="0"/>
    <x v="0"/>
    <x v="0"/>
    <x v="0"/>
    <x v="0"/>
  </r>
  <r>
    <x v="71"/>
    <x v="0"/>
    <x v="26"/>
    <x v="26"/>
    <x v="0"/>
    <x v="8"/>
    <x v="6"/>
    <x v="0"/>
    <x v="1"/>
    <x v="0"/>
    <x v="0"/>
    <x v="30"/>
    <x v="1"/>
    <x v="1"/>
    <x v="22"/>
    <x v="22"/>
    <x v="1"/>
    <x v="19"/>
    <x v="24"/>
    <x v="0"/>
    <x v="0"/>
    <x v="19"/>
    <x v="24"/>
    <x v="0"/>
    <x v="0"/>
    <x v="0"/>
    <x v="0"/>
    <x v="0"/>
    <x v="0"/>
  </r>
  <r>
    <x v="72"/>
    <x v="0"/>
    <x v="26"/>
    <x v="26"/>
    <x v="0"/>
    <x v="8"/>
    <x v="6"/>
    <x v="0"/>
    <x v="1"/>
    <x v="0"/>
    <x v="0"/>
    <x v="30"/>
    <x v="1"/>
    <x v="1"/>
    <x v="2"/>
    <x v="2"/>
    <x v="1"/>
    <x v="9"/>
    <x v="10"/>
    <x v="0"/>
    <x v="0"/>
    <x v="9"/>
    <x v="10"/>
    <x v="0"/>
    <x v="0"/>
    <x v="0"/>
    <x v="0"/>
    <x v="0"/>
    <x v="0"/>
  </r>
  <r>
    <x v="73"/>
    <x v="0"/>
    <x v="18"/>
    <x v="18"/>
    <x v="0"/>
    <x v="8"/>
    <x v="6"/>
    <x v="0"/>
    <x v="1"/>
    <x v="0"/>
    <x v="0"/>
    <x v="31"/>
    <x v="1"/>
    <x v="1"/>
    <x v="16"/>
    <x v="16"/>
    <x v="2"/>
    <x v="4"/>
    <x v="22"/>
    <x v="0"/>
    <x v="0"/>
    <x v="4"/>
    <x v="22"/>
    <x v="0"/>
    <x v="0"/>
    <x v="0"/>
    <x v="0"/>
    <x v="0"/>
    <x v="0"/>
  </r>
  <r>
    <x v="74"/>
    <x v="0"/>
    <x v="18"/>
    <x v="18"/>
    <x v="0"/>
    <x v="8"/>
    <x v="6"/>
    <x v="0"/>
    <x v="1"/>
    <x v="0"/>
    <x v="0"/>
    <x v="31"/>
    <x v="1"/>
    <x v="1"/>
    <x v="1"/>
    <x v="1"/>
    <x v="1"/>
    <x v="6"/>
    <x v="8"/>
    <x v="0"/>
    <x v="0"/>
    <x v="6"/>
    <x v="8"/>
    <x v="0"/>
    <x v="0"/>
    <x v="0"/>
    <x v="0"/>
    <x v="0"/>
    <x v="0"/>
  </r>
  <r>
    <x v="75"/>
    <x v="0"/>
    <x v="20"/>
    <x v="20"/>
    <x v="0"/>
    <x v="9"/>
    <x v="7"/>
    <x v="0"/>
    <x v="0"/>
    <x v="0"/>
    <x v="0"/>
    <x v="32"/>
    <x v="1"/>
    <x v="1"/>
    <x v="17"/>
    <x v="17"/>
    <x v="0"/>
    <x v="5"/>
    <x v="5"/>
    <x v="0"/>
    <x v="0"/>
    <x v="5"/>
    <x v="5"/>
    <x v="0"/>
    <x v="0"/>
    <x v="0"/>
    <x v="0"/>
    <x v="0"/>
    <x v="0"/>
  </r>
  <r>
    <x v="76"/>
    <x v="0"/>
    <x v="20"/>
    <x v="20"/>
    <x v="0"/>
    <x v="9"/>
    <x v="7"/>
    <x v="0"/>
    <x v="1"/>
    <x v="0"/>
    <x v="0"/>
    <x v="32"/>
    <x v="1"/>
    <x v="1"/>
    <x v="16"/>
    <x v="16"/>
    <x v="2"/>
    <x v="9"/>
    <x v="23"/>
    <x v="0"/>
    <x v="0"/>
    <x v="9"/>
    <x v="23"/>
    <x v="0"/>
    <x v="0"/>
    <x v="0"/>
    <x v="0"/>
    <x v="0"/>
    <x v="0"/>
  </r>
  <r>
    <x v="77"/>
    <x v="0"/>
    <x v="20"/>
    <x v="20"/>
    <x v="0"/>
    <x v="9"/>
    <x v="7"/>
    <x v="0"/>
    <x v="1"/>
    <x v="0"/>
    <x v="0"/>
    <x v="32"/>
    <x v="1"/>
    <x v="1"/>
    <x v="1"/>
    <x v="1"/>
    <x v="1"/>
    <x v="4"/>
    <x v="4"/>
    <x v="0"/>
    <x v="0"/>
    <x v="4"/>
    <x v="4"/>
    <x v="0"/>
    <x v="0"/>
    <x v="0"/>
    <x v="0"/>
    <x v="0"/>
    <x v="0"/>
  </r>
  <r>
    <x v="78"/>
    <x v="0"/>
    <x v="27"/>
    <x v="27"/>
    <x v="0"/>
    <x v="4"/>
    <x v="2"/>
    <x v="1"/>
    <x v="1"/>
    <x v="0"/>
    <x v="1"/>
    <x v="33"/>
    <x v="1"/>
    <x v="1"/>
    <x v="23"/>
    <x v="23"/>
    <x v="1"/>
    <x v="9"/>
    <x v="10"/>
    <x v="0"/>
    <x v="0"/>
    <x v="9"/>
    <x v="10"/>
    <x v="0"/>
    <x v="0"/>
    <x v="0"/>
    <x v="0"/>
    <x v="0"/>
    <x v="0"/>
  </r>
  <r>
    <x v="79"/>
    <x v="0"/>
    <x v="28"/>
    <x v="28"/>
    <x v="0"/>
    <x v="12"/>
    <x v="4"/>
    <x v="1"/>
    <x v="0"/>
    <x v="0"/>
    <x v="3"/>
    <x v="34"/>
    <x v="1"/>
    <x v="1"/>
    <x v="15"/>
    <x v="15"/>
    <x v="0"/>
    <x v="6"/>
    <x v="6"/>
    <x v="0"/>
    <x v="0"/>
    <x v="6"/>
    <x v="6"/>
    <x v="0"/>
    <x v="0"/>
    <x v="0"/>
    <x v="0"/>
    <x v="0"/>
    <x v="0"/>
  </r>
  <r>
    <x v="80"/>
    <x v="0"/>
    <x v="5"/>
    <x v="5"/>
    <x v="0"/>
    <x v="2"/>
    <x v="1"/>
    <x v="1"/>
    <x v="1"/>
    <x v="0"/>
    <x v="1"/>
    <x v="35"/>
    <x v="1"/>
    <x v="1"/>
    <x v="24"/>
    <x v="24"/>
    <x v="1"/>
    <x v="4"/>
    <x v="4"/>
    <x v="0"/>
    <x v="0"/>
    <x v="4"/>
    <x v="4"/>
    <x v="0"/>
    <x v="0"/>
    <x v="0"/>
    <x v="0"/>
    <x v="0"/>
    <x v="0"/>
  </r>
  <r>
    <x v="81"/>
    <x v="0"/>
    <x v="5"/>
    <x v="5"/>
    <x v="0"/>
    <x v="2"/>
    <x v="1"/>
    <x v="1"/>
    <x v="1"/>
    <x v="0"/>
    <x v="1"/>
    <x v="35"/>
    <x v="1"/>
    <x v="1"/>
    <x v="14"/>
    <x v="14"/>
    <x v="1"/>
    <x v="4"/>
    <x v="4"/>
    <x v="0"/>
    <x v="0"/>
    <x v="4"/>
    <x v="4"/>
    <x v="0"/>
    <x v="0"/>
    <x v="0"/>
    <x v="0"/>
    <x v="0"/>
    <x v="0"/>
  </r>
  <r>
    <x v="82"/>
    <x v="0"/>
    <x v="5"/>
    <x v="5"/>
    <x v="0"/>
    <x v="2"/>
    <x v="1"/>
    <x v="1"/>
    <x v="1"/>
    <x v="0"/>
    <x v="1"/>
    <x v="35"/>
    <x v="1"/>
    <x v="1"/>
    <x v="25"/>
    <x v="25"/>
    <x v="1"/>
    <x v="20"/>
    <x v="25"/>
    <x v="0"/>
    <x v="0"/>
    <x v="20"/>
    <x v="25"/>
    <x v="0"/>
    <x v="0"/>
    <x v="0"/>
    <x v="0"/>
    <x v="0"/>
    <x v="0"/>
  </r>
  <r>
    <x v="83"/>
    <x v="0"/>
    <x v="5"/>
    <x v="5"/>
    <x v="0"/>
    <x v="2"/>
    <x v="1"/>
    <x v="1"/>
    <x v="1"/>
    <x v="0"/>
    <x v="1"/>
    <x v="36"/>
    <x v="1"/>
    <x v="1"/>
    <x v="26"/>
    <x v="26"/>
    <x v="1"/>
    <x v="20"/>
    <x v="25"/>
    <x v="0"/>
    <x v="0"/>
    <x v="20"/>
    <x v="25"/>
    <x v="0"/>
    <x v="0"/>
    <x v="0"/>
    <x v="0"/>
    <x v="0"/>
    <x v="0"/>
  </r>
  <r>
    <x v="84"/>
    <x v="0"/>
    <x v="29"/>
    <x v="29"/>
    <x v="0"/>
    <x v="2"/>
    <x v="1"/>
    <x v="1"/>
    <x v="1"/>
    <x v="0"/>
    <x v="1"/>
    <x v="37"/>
    <x v="1"/>
    <x v="1"/>
    <x v="23"/>
    <x v="23"/>
    <x v="1"/>
    <x v="5"/>
    <x v="26"/>
    <x v="0"/>
    <x v="0"/>
    <x v="5"/>
    <x v="26"/>
    <x v="0"/>
    <x v="0"/>
    <x v="0"/>
    <x v="0"/>
    <x v="0"/>
    <x v="0"/>
  </r>
  <r>
    <x v="85"/>
    <x v="0"/>
    <x v="29"/>
    <x v="29"/>
    <x v="0"/>
    <x v="2"/>
    <x v="1"/>
    <x v="1"/>
    <x v="1"/>
    <x v="0"/>
    <x v="1"/>
    <x v="38"/>
    <x v="1"/>
    <x v="1"/>
    <x v="27"/>
    <x v="27"/>
    <x v="1"/>
    <x v="1"/>
    <x v="27"/>
    <x v="0"/>
    <x v="0"/>
    <x v="1"/>
    <x v="27"/>
    <x v="0"/>
    <x v="0"/>
    <x v="0"/>
    <x v="0"/>
    <x v="0"/>
    <x v="0"/>
  </r>
  <r>
    <x v="86"/>
    <x v="0"/>
    <x v="30"/>
    <x v="30"/>
    <x v="0"/>
    <x v="13"/>
    <x v="5"/>
    <x v="0"/>
    <x v="1"/>
    <x v="0"/>
    <x v="0"/>
    <x v="39"/>
    <x v="2"/>
    <x v="2"/>
    <x v="1"/>
    <x v="1"/>
    <x v="1"/>
    <x v="6"/>
    <x v="8"/>
    <x v="0"/>
    <x v="0"/>
    <x v="6"/>
    <x v="8"/>
    <x v="0"/>
    <x v="0"/>
    <x v="0"/>
    <x v="0"/>
    <x v="0"/>
    <x v="0"/>
  </r>
  <r>
    <x v="87"/>
    <x v="0"/>
    <x v="30"/>
    <x v="30"/>
    <x v="0"/>
    <x v="13"/>
    <x v="5"/>
    <x v="0"/>
    <x v="0"/>
    <x v="0"/>
    <x v="0"/>
    <x v="39"/>
    <x v="2"/>
    <x v="2"/>
    <x v="0"/>
    <x v="0"/>
    <x v="0"/>
    <x v="6"/>
    <x v="6"/>
    <x v="0"/>
    <x v="0"/>
    <x v="6"/>
    <x v="6"/>
    <x v="0"/>
    <x v="0"/>
    <x v="0"/>
    <x v="0"/>
    <x v="0"/>
    <x v="0"/>
  </r>
  <r>
    <x v="88"/>
    <x v="0"/>
    <x v="31"/>
    <x v="31"/>
    <x v="0"/>
    <x v="0"/>
    <x v="0"/>
    <x v="0"/>
    <x v="1"/>
    <x v="0"/>
    <x v="0"/>
    <x v="40"/>
    <x v="2"/>
    <x v="2"/>
    <x v="5"/>
    <x v="5"/>
    <x v="1"/>
    <x v="4"/>
    <x v="4"/>
    <x v="0"/>
    <x v="0"/>
    <x v="4"/>
    <x v="4"/>
    <x v="0"/>
    <x v="0"/>
    <x v="0"/>
    <x v="0"/>
    <x v="0"/>
    <x v="0"/>
  </r>
  <r>
    <x v="89"/>
    <x v="0"/>
    <x v="31"/>
    <x v="31"/>
    <x v="0"/>
    <x v="0"/>
    <x v="0"/>
    <x v="0"/>
    <x v="1"/>
    <x v="0"/>
    <x v="0"/>
    <x v="40"/>
    <x v="2"/>
    <x v="2"/>
    <x v="1"/>
    <x v="1"/>
    <x v="1"/>
    <x v="4"/>
    <x v="4"/>
    <x v="0"/>
    <x v="0"/>
    <x v="4"/>
    <x v="4"/>
    <x v="0"/>
    <x v="0"/>
    <x v="0"/>
    <x v="0"/>
    <x v="0"/>
    <x v="0"/>
  </r>
  <r>
    <x v="90"/>
    <x v="0"/>
    <x v="24"/>
    <x v="24"/>
    <x v="0"/>
    <x v="0"/>
    <x v="0"/>
    <x v="0"/>
    <x v="0"/>
    <x v="0"/>
    <x v="0"/>
    <x v="41"/>
    <x v="2"/>
    <x v="2"/>
    <x v="0"/>
    <x v="0"/>
    <x v="0"/>
    <x v="0"/>
    <x v="0"/>
    <x v="0"/>
    <x v="0"/>
    <x v="0"/>
    <x v="0"/>
    <x v="0"/>
    <x v="0"/>
    <x v="0"/>
    <x v="0"/>
    <x v="0"/>
    <x v="0"/>
  </r>
  <r>
    <x v="91"/>
    <x v="0"/>
    <x v="0"/>
    <x v="0"/>
    <x v="0"/>
    <x v="0"/>
    <x v="0"/>
    <x v="0"/>
    <x v="0"/>
    <x v="0"/>
    <x v="0"/>
    <x v="42"/>
    <x v="2"/>
    <x v="2"/>
    <x v="8"/>
    <x v="8"/>
    <x v="0"/>
    <x v="5"/>
    <x v="5"/>
    <x v="0"/>
    <x v="0"/>
    <x v="5"/>
    <x v="5"/>
    <x v="0"/>
    <x v="0"/>
    <x v="0"/>
    <x v="0"/>
    <x v="0"/>
    <x v="0"/>
  </r>
  <r>
    <x v="92"/>
    <x v="0"/>
    <x v="32"/>
    <x v="32"/>
    <x v="0"/>
    <x v="0"/>
    <x v="0"/>
    <x v="0"/>
    <x v="1"/>
    <x v="0"/>
    <x v="0"/>
    <x v="43"/>
    <x v="2"/>
    <x v="2"/>
    <x v="1"/>
    <x v="1"/>
    <x v="1"/>
    <x v="8"/>
    <x v="9"/>
    <x v="0"/>
    <x v="0"/>
    <x v="8"/>
    <x v="9"/>
    <x v="0"/>
    <x v="0"/>
    <x v="0"/>
    <x v="0"/>
    <x v="0"/>
    <x v="0"/>
  </r>
  <r>
    <x v="93"/>
    <x v="0"/>
    <x v="2"/>
    <x v="2"/>
    <x v="0"/>
    <x v="0"/>
    <x v="0"/>
    <x v="0"/>
    <x v="0"/>
    <x v="0"/>
    <x v="0"/>
    <x v="44"/>
    <x v="2"/>
    <x v="2"/>
    <x v="4"/>
    <x v="4"/>
    <x v="0"/>
    <x v="5"/>
    <x v="5"/>
    <x v="0"/>
    <x v="0"/>
    <x v="5"/>
    <x v="5"/>
    <x v="0"/>
    <x v="0"/>
    <x v="0"/>
    <x v="0"/>
    <x v="0"/>
    <x v="0"/>
  </r>
  <r>
    <x v="94"/>
    <x v="0"/>
    <x v="33"/>
    <x v="33"/>
    <x v="0"/>
    <x v="11"/>
    <x v="8"/>
    <x v="1"/>
    <x v="1"/>
    <x v="0"/>
    <x v="3"/>
    <x v="45"/>
    <x v="2"/>
    <x v="2"/>
    <x v="1"/>
    <x v="1"/>
    <x v="1"/>
    <x v="21"/>
    <x v="28"/>
    <x v="0"/>
    <x v="0"/>
    <x v="21"/>
    <x v="28"/>
    <x v="0"/>
    <x v="0"/>
    <x v="0"/>
    <x v="0"/>
    <x v="0"/>
    <x v="0"/>
  </r>
  <r>
    <x v="95"/>
    <x v="0"/>
    <x v="34"/>
    <x v="34"/>
    <x v="0"/>
    <x v="10"/>
    <x v="5"/>
    <x v="0"/>
    <x v="0"/>
    <x v="0"/>
    <x v="0"/>
    <x v="46"/>
    <x v="2"/>
    <x v="2"/>
    <x v="8"/>
    <x v="8"/>
    <x v="0"/>
    <x v="17"/>
    <x v="18"/>
    <x v="0"/>
    <x v="0"/>
    <x v="17"/>
    <x v="18"/>
    <x v="0"/>
    <x v="0"/>
    <x v="0"/>
    <x v="0"/>
    <x v="0"/>
    <x v="0"/>
  </r>
  <r>
    <x v="96"/>
    <x v="0"/>
    <x v="34"/>
    <x v="34"/>
    <x v="0"/>
    <x v="10"/>
    <x v="5"/>
    <x v="0"/>
    <x v="0"/>
    <x v="0"/>
    <x v="0"/>
    <x v="46"/>
    <x v="2"/>
    <x v="2"/>
    <x v="17"/>
    <x v="17"/>
    <x v="0"/>
    <x v="5"/>
    <x v="5"/>
    <x v="0"/>
    <x v="0"/>
    <x v="5"/>
    <x v="5"/>
    <x v="0"/>
    <x v="0"/>
    <x v="0"/>
    <x v="0"/>
    <x v="0"/>
    <x v="0"/>
  </r>
  <r>
    <x v="97"/>
    <x v="0"/>
    <x v="34"/>
    <x v="34"/>
    <x v="0"/>
    <x v="10"/>
    <x v="5"/>
    <x v="0"/>
    <x v="0"/>
    <x v="0"/>
    <x v="0"/>
    <x v="46"/>
    <x v="2"/>
    <x v="2"/>
    <x v="28"/>
    <x v="28"/>
    <x v="0"/>
    <x v="22"/>
    <x v="29"/>
    <x v="0"/>
    <x v="0"/>
    <x v="22"/>
    <x v="29"/>
    <x v="0"/>
    <x v="0"/>
    <x v="0"/>
    <x v="0"/>
    <x v="0"/>
    <x v="0"/>
  </r>
  <r>
    <x v="98"/>
    <x v="0"/>
    <x v="21"/>
    <x v="21"/>
    <x v="0"/>
    <x v="10"/>
    <x v="5"/>
    <x v="0"/>
    <x v="1"/>
    <x v="0"/>
    <x v="0"/>
    <x v="47"/>
    <x v="2"/>
    <x v="2"/>
    <x v="1"/>
    <x v="1"/>
    <x v="1"/>
    <x v="1"/>
    <x v="27"/>
    <x v="0"/>
    <x v="0"/>
    <x v="1"/>
    <x v="27"/>
    <x v="0"/>
    <x v="0"/>
    <x v="0"/>
    <x v="0"/>
    <x v="0"/>
    <x v="0"/>
  </r>
  <r>
    <x v="99"/>
    <x v="0"/>
    <x v="21"/>
    <x v="21"/>
    <x v="0"/>
    <x v="10"/>
    <x v="5"/>
    <x v="0"/>
    <x v="0"/>
    <x v="0"/>
    <x v="0"/>
    <x v="47"/>
    <x v="2"/>
    <x v="2"/>
    <x v="0"/>
    <x v="0"/>
    <x v="0"/>
    <x v="6"/>
    <x v="6"/>
    <x v="0"/>
    <x v="0"/>
    <x v="6"/>
    <x v="6"/>
    <x v="0"/>
    <x v="0"/>
    <x v="0"/>
    <x v="0"/>
    <x v="0"/>
    <x v="0"/>
  </r>
  <r>
    <x v="100"/>
    <x v="0"/>
    <x v="24"/>
    <x v="24"/>
    <x v="0"/>
    <x v="0"/>
    <x v="0"/>
    <x v="0"/>
    <x v="1"/>
    <x v="0"/>
    <x v="0"/>
    <x v="48"/>
    <x v="2"/>
    <x v="2"/>
    <x v="6"/>
    <x v="6"/>
    <x v="1"/>
    <x v="19"/>
    <x v="24"/>
    <x v="0"/>
    <x v="0"/>
    <x v="19"/>
    <x v="24"/>
    <x v="0"/>
    <x v="0"/>
    <x v="0"/>
    <x v="0"/>
    <x v="0"/>
    <x v="0"/>
  </r>
  <r>
    <x v="101"/>
    <x v="0"/>
    <x v="24"/>
    <x v="24"/>
    <x v="0"/>
    <x v="0"/>
    <x v="0"/>
    <x v="0"/>
    <x v="1"/>
    <x v="0"/>
    <x v="0"/>
    <x v="48"/>
    <x v="2"/>
    <x v="2"/>
    <x v="29"/>
    <x v="29"/>
    <x v="1"/>
    <x v="9"/>
    <x v="10"/>
    <x v="0"/>
    <x v="0"/>
    <x v="9"/>
    <x v="10"/>
    <x v="0"/>
    <x v="0"/>
    <x v="0"/>
    <x v="0"/>
    <x v="0"/>
    <x v="0"/>
  </r>
  <r>
    <x v="102"/>
    <x v="0"/>
    <x v="19"/>
    <x v="19"/>
    <x v="0"/>
    <x v="9"/>
    <x v="7"/>
    <x v="0"/>
    <x v="0"/>
    <x v="0"/>
    <x v="0"/>
    <x v="49"/>
    <x v="2"/>
    <x v="2"/>
    <x v="19"/>
    <x v="19"/>
    <x v="0"/>
    <x v="5"/>
    <x v="5"/>
    <x v="0"/>
    <x v="0"/>
    <x v="5"/>
    <x v="5"/>
    <x v="0"/>
    <x v="0"/>
    <x v="0"/>
    <x v="0"/>
    <x v="0"/>
    <x v="0"/>
  </r>
  <r>
    <x v="103"/>
    <x v="0"/>
    <x v="19"/>
    <x v="19"/>
    <x v="0"/>
    <x v="9"/>
    <x v="7"/>
    <x v="0"/>
    <x v="0"/>
    <x v="0"/>
    <x v="0"/>
    <x v="50"/>
    <x v="2"/>
    <x v="2"/>
    <x v="0"/>
    <x v="0"/>
    <x v="0"/>
    <x v="6"/>
    <x v="6"/>
    <x v="0"/>
    <x v="0"/>
    <x v="6"/>
    <x v="6"/>
    <x v="0"/>
    <x v="0"/>
    <x v="0"/>
    <x v="0"/>
    <x v="0"/>
    <x v="0"/>
  </r>
  <r>
    <x v="104"/>
    <x v="0"/>
    <x v="19"/>
    <x v="19"/>
    <x v="0"/>
    <x v="9"/>
    <x v="7"/>
    <x v="0"/>
    <x v="1"/>
    <x v="0"/>
    <x v="0"/>
    <x v="50"/>
    <x v="2"/>
    <x v="2"/>
    <x v="1"/>
    <x v="1"/>
    <x v="1"/>
    <x v="19"/>
    <x v="24"/>
    <x v="0"/>
    <x v="0"/>
    <x v="19"/>
    <x v="24"/>
    <x v="0"/>
    <x v="0"/>
    <x v="0"/>
    <x v="0"/>
    <x v="0"/>
    <x v="0"/>
  </r>
  <r>
    <x v="105"/>
    <x v="0"/>
    <x v="20"/>
    <x v="20"/>
    <x v="0"/>
    <x v="9"/>
    <x v="7"/>
    <x v="0"/>
    <x v="1"/>
    <x v="0"/>
    <x v="0"/>
    <x v="51"/>
    <x v="2"/>
    <x v="2"/>
    <x v="1"/>
    <x v="1"/>
    <x v="1"/>
    <x v="4"/>
    <x v="4"/>
    <x v="0"/>
    <x v="0"/>
    <x v="4"/>
    <x v="4"/>
    <x v="0"/>
    <x v="0"/>
    <x v="0"/>
    <x v="0"/>
    <x v="0"/>
    <x v="0"/>
  </r>
  <r>
    <x v="106"/>
    <x v="0"/>
    <x v="20"/>
    <x v="20"/>
    <x v="0"/>
    <x v="9"/>
    <x v="7"/>
    <x v="0"/>
    <x v="0"/>
    <x v="0"/>
    <x v="0"/>
    <x v="51"/>
    <x v="2"/>
    <x v="2"/>
    <x v="0"/>
    <x v="0"/>
    <x v="0"/>
    <x v="23"/>
    <x v="30"/>
    <x v="0"/>
    <x v="0"/>
    <x v="23"/>
    <x v="30"/>
    <x v="0"/>
    <x v="0"/>
    <x v="0"/>
    <x v="0"/>
    <x v="0"/>
    <x v="0"/>
  </r>
  <r>
    <x v="107"/>
    <x v="0"/>
    <x v="35"/>
    <x v="35"/>
    <x v="0"/>
    <x v="9"/>
    <x v="7"/>
    <x v="0"/>
    <x v="1"/>
    <x v="0"/>
    <x v="0"/>
    <x v="52"/>
    <x v="2"/>
    <x v="2"/>
    <x v="11"/>
    <x v="11"/>
    <x v="1"/>
    <x v="13"/>
    <x v="31"/>
    <x v="0"/>
    <x v="0"/>
    <x v="13"/>
    <x v="31"/>
    <x v="0"/>
    <x v="0"/>
    <x v="0"/>
    <x v="0"/>
    <x v="0"/>
    <x v="0"/>
  </r>
  <r>
    <x v="108"/>
    <x v="0"/>
    <x v="35"/>
    <x v="35"/>
    <x v="0"/>
    <x v="9"/>
    <x v="7"/>
    <x v="0"/>
    <x v="0"/>
    <x v="0"/>
    <x v="0"/>
    <x v="52"/>
    <x v="2"/>
    <x v="2"/>
    <x v="30"/>
    <x v="30"/>
    <x v="0"/>
    <x v="6"/>
    <x v="6"/>
    <x v="0"/>
    <x v="0"/>
    <x v="6"/>
    <x v="6"/>
    <x v="0"/>
    <x v="0"/>
    <x v="0"/>
    <x v="0"/>
    <x v="0"/>
    <x v="0"/>
  </r>
  <r>
    <x v="109"/>
    <x v="0"/>
    <x v="35"/>
    <x v="35"/>
    <x v="0"/>
    <x v="9"/>
    <x v="7"/>
    <x v="0"/>
    <x v="0"/>
    <x v="0"/>
    <x v="0"/>
    <x v="52"/>
    <x v="2"/>
    <x v="2"/>
    <x v="8"/>
    <x v="8"/>
    <x v="0"/>
    <x v="17"/>
    <x v="18"/>
    <x v="0"/>
    <x v="0"/>
    <x v="17"/>
    <x v="18"/>
    <x v="0"/>
    <x v="0"/>
    <x v="0"/>
    <x v="0"/>
    <x v="0"/>
    <x v="0"/>
  </r>
  <r>
    <x v="110"/>
    <x v="0"/>
    <x v="36"/>
    <x v="36"/>
    <x v="0"/>
    <x v="3"/>
    <x v="1"/>
    <x v="1"/>
    <x v="1"/>
    <x v="0"/>
    <x v="1"/>
    <x v="53"/>
    <x v="2"/>
    <x v="2"/>
    <x v="12"/>
    <x v="12"/>
    <x v="1"/>
    <x v="9"/>
    <x v="10"/>
    <x v="0"/>
    <x v="0"/>
    <x v="9"/>
    <x v="10"/>
    <x v="0"/>
    <x v="0"/>
    <x v="0"/>
    <x v="0"/>
    <x v="0"/>
    <x v="0"/>
  </r>
  <r>
    <x v="111"/>
    <x v="0"/>
    <x v="36"/>
    <x v="36"/>
    <x v="0"/>
    <x v="3"/>
    <x v="1"/>
    <x v="1"/>
    <x v="1"/>
    <x v="0"/>
    <x v="1"/>
    <x v="53"/>
    <x v="2"/>
    <x v="2"/>
    <x v="6"/>
    <x v="6"/>
    <x v="1"/>
    <x v="9"/>
    <x v="10"/>
    <x v="0"/>
    <x v="0"/>
    <x v="9"/>
    <x v="10"/>
    <x v="0"/>
    <x v="0"/>
    <x v="0"/>
    <x v="0"/>
    <x v="0"/>
    <x v="0"/>
  </r>
  <r>
    <x v="112"/>
    <x v="0"/>
    <x v="37"/>
    <x v="37"/>
    <x v="0"/>
    <x v="2"/>
    <x v="1"/>
    <x v="1"/>
    <x v="1"/>
    <x v="0"/>
    <x v="1"/>
    <x v="54"/>
    <x v="2"/>
    <x v="2"/>
    <x v="25"/>
    <x v="25"/>
    <x v="1"/>
    <x v="24"/>
    <x v="32"/>
    <x v="0"/>
    <x v="0"/>
    <x v="24"/>
    <x v="32"/>
    <x v="0"/>
    <x v="0"/>
    <x v="0"/>
    <x v="0"/>
    <x v="0"/>
    <x v="0"/>
  </r>
  <r>
    <x v="113"/>
    <x v="0"/>
    <x v="22"/>
    <x v="22"/>
    <x v="0"/>
    <x v="11"/>
    <x v="8"/>
    <x v="1"/>
    <x v="1"/>
    <x v="0"/>
    <x v="3"/>
    <x v="55"/>
    <x v="2"/>
    <x v="2"/>
    <x v="9"/>
    <x v="9"/>
    <x v="1"/>
    <x v="21"/>
    <x v="28"/>
    <x v="0"/>
    <x v="0"/>
    <x v="21"/>
    <x v="28"/>
    <x v="0"/>
    <x v="0"/>
    <x v="0"/>
    <x v="0"/>
    <x v="0"/>
    <x v="0"/>
  </r>
  <r>
    <x v="114"/>
    <x v="0"/>
    <x v="38"/>
    <x v="38"/>
    <x v="0"/>
    <x v="11"/>
    <x v="8"/>
    <x v="1"/>
    <x v="1"/>
    <x v="0"/>
    <x v="3"/>
    <x v="56"/>
    <x v="2"/>
    <x v="2"/>
    <x v="14"/>
    <x v="14"/>
    <x v="1"/>
    <x v="13"/>
    <x v="31"/>
    <x v="0"/>
    <x v="0"/>
    <x v="13"/>
    <x v="31"/>
    <x v="0"/>
    <x v="0"/>
    <x v="0"/>
    <x v="0"/>
    <x v="0"/>
    <x v="0"/>
  </r>
  <r>
    <x v="115"/>
    <x v="0"/>
    <x v="38"/>
    <x v="38"/>
    <x v="0"/>
    <x v="11"/>
    <x v="8"/>
    <x v="1"/>
    <x v="1"/>
    <x v="0"/>
    <x v="3"/>
    <x v="56"/>
    <x v="2"/>
    <x v="2"/>
    <x v="3"/>
    <x v="3"/>
    <x v="1"/>
    <x v="6"/>
    <x v="8"/>
    <x v="0"/>
    <x v="0"/>
    <x v="6"/>
    <x v="8"/>
    <x v="0"/>
    <x v="0"/>
    <x v="0"/>
    <x v="0"/>
    <x v="0"/>
    <x v="0"/>
  </r>
  <r>
    <x v="116"/>
    <x v="0"/>
    <x v="38"/>
    <x v="38"/>
    <x v="0"/>
    <x v="11"/>
    <x v="8"/>
    <x v="1"/>
    <x v="1"/>
    <x v="0"/>
    <x v="3"/>
    <x v="56"/>
    <x v="2"/>
    <x v="2"/>
    <x v="1"/>
    <x v="1"/>
    <x v="1"/>
    <x v="4"/>
    <x v="4"/>
    <x v="0"/>
    <x v="0"/>
    <x v="4"/>
    <x v="4"/>
    <x v="0"/>
    <x v="0"/>
    <x v="0"/>
    <x v="0"/>
    <x v="0"/>
    <x v="0"/>
  </r>
  <r>
    <x v="117"/>
    <x v="0"/>
    <x v="39"/>
    <x v="39"/>
    <x v="0"/>
    <x v="12"/>
    <x v="4"/>
    <x v="1"/>
    <x v="1"/>
    <x v="0"/>
    <x v="3"/>
    <x v="57"/>
    <x v="2"/>
    <x v="2"/>
    <x v="1"/>
    <x v="1"/>
    <x v="1"/>
    <x v="6"/>
    <x v="8"/>
    <x v="0"/>
    <x v="0"/>
    <x v="6"/>
    <x v="8"/>
    <x v="0"/>
    <x v="0"/>
    <x v="0"/>
    <x v="0"/>
    <x v="0"/>
    <x v="0"/>
  </r>
  <r>
    <x v="118"/>
    <x v="0"/>
    <x v="39"/>
    <x v="39"/>
    <x v="0"/>
    <x v="12"/>
    <x v="4"/>
    <x v="1"/>
    <x v="0"/>
    <x v="0"/>
    <x v="3"/>
    <x v="57"/>
    <x v="2"/>
    <x v="2"/>
    <x v="0"/>
    <x v="0"/>
    <x v="0"/>
    <x v="6"/>
    <x v="6"/>
    <x v="0"/>
    <x v="0"/>
    <x v="6"/>
    <x v="6"/>
    <x v="0"/>
    <x v="0"/>
    <x v="0"/>
    <x v="0"/>
    <x v="0"/>
    <x v="0"/>
  </r>
  <r>
    <x v="119"/>
    <x v="0"/>
    <x v="39"/>
    <x v="39"/>
    <x v="0"/>
    <x v="12"/>
    <x v="4"/>
    <x v="1"/>
    <x v="0"/>
    <x v="0"/>
    <x v="3"/>
    <x v="58"/>
    <x v="2"/>
    <x v="2"/>
    <x v="0"/>
    <x v="0"/>
    <x v="0"/>
    <x v="17"/>
    <x v="18"/>
    <x v="0"/>
    <x v="0"/>
    <x v="17"/>
    <x v="18"/>
    <x v="0"/>
    <x v="0"/>
    <x v="0"/>
    <x v="0"/>
    <x v="0"/>
    <x v="0"/>
  </r>
  <r>
    <x v="120"/>
    <x v="0"/>
    <x v="1"/>
    <x v="1"/>
    <x v="0"/>
    <x v="0"/>
    <x v="0"/>
    <x v="0"/>
    <x v="1"/>
    <x v="0"/>
    <x v="0"/>
    <x v="59"/>
    <x v="2"/>
    <x v="2"/>
    <x v="24"/>
    <x v="24"/>
    <x v="1"/>
    <x v="13"/>
    <x v="31"/>
    <x v="0"/>
    <x v="0"/>
    <x v="13"/>
    <x v="31"/>
    <x v="0"/>
    <x v="0"/>
    <x v="0"/>
    <x v="0"/>
    <x v="0"/>
    <x v="0"/>
  </r>
  <r>
    <x v="121"/>
    <x v="0"/>
    <x v="1"/>
    <x v="1"/>
    <x v="0"/>
    <x v="0"/>
    <x v="0"/>
    <x v="0"/>
    <x v="1"/>
    <x v="0"/>
    <x v="0"/>
    <x v="59"/>
    <x v="2"/>
    <x v="2"/>
    <x v="29"/>
    <x v="29"/>
    <x v="1"/>
    <x v="25"/>
    <x v="33"/>
    <x v="0"/>
    <x v="0"/>
    <x v="25"/>
    <x v="33"/>
    <x v="0"/>
    <x v="0"/>
    <x v="0"/>
    <x v="0"/>
    <x v="0"/>
    <x v="0"/>
  </r>
  <r>
    <x v="122"/>
    <x v="0"/>
    <x v="40"/>
    <x v="40"/>
    <x v="0"/>
    <x v="10"/>
    <x v="5"/>
    <x v="0"/>
    <x v="0"/>
    <x v="0"/>
    <x v="0"/>
    <x v="60"/>
    <x v="2"/>
    <x v="2"/>
    <x v="19"/>
    <x v="19"/>
    <x v="0"/>
    <x v="19"/>
    <x v="20"/>
    <x v="0"/>
    <x v="0"/>
    <x v="19"/>
    <x v="20"/>
    <x v="0"/>
    <x v="0"/>
    <x v="0"/>
    <x v="0"/>
    <x v="0"/>
    <x v="0"/>
  </r>
  <r>
    <x v="123"/>
    <x v="0"/>
    <x v="40"/>
    <x v="40"/>
    <x v="0"/>
    <x v="10"/>
    <x v="5"/>
    <x v="0"/>
    <x v="0"/>
    <x v="0"/>
    <x v="0"/>
    <x v="61"/>
    <x v="2"/>
    <x v="2"/>
    <x v="31"/>
    <x v="31"/>
    <x v="0"/>
    <x v="11"/>
    <x v="34"/>
    <x v="0"/>
    <x v="0"/>
    <x v="11"/>
    <x v="34"/>
    <x v="0"/>
    <x v="0"/>
    <x v="0"/>
    <x v="0"/>
    <x v="0"/>
    <x v="0"/>
  </r>
  <r>
    <x v="124"/>
    <x v="0"/>
    <x v="40"/>
    <x v="40"/>
    <x v="0"/>
    <x v="10"/>
    <x v="5"/>
    <x v="0"/>
    <x v="0"/>
    <x v="0"/>
    <x v="0"/>
    <x v="61"/>
    <x v="2"/>
    <x v="2"/>
    <x v="19"/>
    <x v="19"/>
    <x v="0"/>
    <x v="3"/>
    <x v="35"/>
    <x v="0"/>
    <x v="0"/>
    <x v="3"/>
    <x v="35"/>
    <x v="0"/>
    <x v="0"/>
    <x v="0"/>
    <x v="0"/>
    <x v="0"/>
    <x v="0"/>
  </r>
  <r>
    <x v="125"/>
    <x v="0"/>
    <x v="40"/>
    <x v="40"/>
    <x v="0"/>
    <x v="10"/>
    <x v="5"/>
    <x v="0"/>
    <x v="0"/>
    <x v="0"/>
    <x v="0"/>
    <x v="61"/>
    <x v="2"/>
    <x v="2"/>
    <x v="32"/>
    <x v="32"/>
    <x v="0"/>
    <x v="6"/>
    <x v="6"/>
    <x v="0"/>
    <x v="0"/>
    <x v="6"/>
    <x v="6"/>
    <x v="0"/>
    <x v="0"/>
    <x v="0"/>
    <x v="0"/>
    <x v="0"/>
    <x v="0"/>
  </r>
  <r>
    <x v="126"/>
    <x v="0"/>
    <x v="40"/>
    <x v="40"/>
    <x v="0"/>
    <x v="10"/>
    <x v="5"/>
    <x v="0"/>
    <x v="0"/>
    <x v="0"/>
    <x v="0"/>
    <x v="61"/>
    <x v="2"/>
    <x v="2"/>
    <x v="0"/>
    <x v="0"/>
    <x v="0"/>
    <x v="0"/>
    <x v="0"/>
    <x v="0"/>
    <x v="0"/>
    <x v="0"/>
    <x v="0"/>
    <x v="0"/>
    <x v="0"/>
    <x v="0"/>
    <x v="0"/>
    <x v="0"/>
    <x v="0"/>
  </r>
  <r>
    <x v="127"/>
    <x v="0"/>
    <x v="31"/>
    <x v="31"/>
    <x v="0"/>
    <x v="0"/>
    <x v="0"/>
    <x v="0"/>
    <x v="1"/>
    <x v="0"/>
    <x v="0"/>
    <x v="62"/>
    <x v="3"/>
    <x v="3"/>
    <x v="1"/>
    <x v="1"/>
    <x v="1"/>
    <x v="17"/>
    <x v="36"/>
    <x v="0"/>
    <x v="0"/>
    <x v="17"/>
    <x v="36"/>
    <x v="0"/>
    <x v="0"/>
    <x v="0"/>
    <x v="0"/>
    <x v="0"/>
    <x v="0"/>
  </r>
  <r>
    <x v="128"/>
    <x v="0"/>
    <x v="2"/>
    <x v="2"/>
    <x v="0"/>
    <x v="0"/>
    <x v="0"/>
    <x v="0"/>
    <x v="1"/>
    <x v="0"/>
    <x v="0"/>
    <x v="63"/>
    <x v="3"/>
    <x v="3"/>
    <x v="1"/>
    <x v="1"/>
    <x v="1"/>
    <x v="17"/>
    <x v="36"/>
    <x v="0"/>
    <x v="0"/>
    <x v="17"/>
    <x v="36"/>
    <x v="0"/>
    <x v="0"/>
    <x v="0"/>
    <x v="0"/>
    <x v="0"/>
    <x v="0"/>
  </r>
  <r>
    <x v="129"/>
    <x v="0"/>
    <x v="2"/>
    <x v="2"/>
    <x v="0"/>
    <x v="0"/>
    <x v="0"/>
    <x v="0"/>
    <x v="0"/>
    <x v="0"/>
    <x v="0"/>
    <x v="63"/>
    <x v="3"/>
    <x v="3"/>
    <x v="4"/>
    <x v="4"/>
    <x v="0"/>
    <x v="5"/>
    <x v="5"/>
    <x v="0"/>
    <x v="0"/>
    <x v="5"/>
    <x v="5"/>
    <x v="0"/>
    <x v="0"/>
    <x v="0"/>
    <x v="0"/>
    <x v="0"/>
    <x v="0"/>
  </r>
  <r>
    <x v="130"/>
    <x v="0"/>
    <x v="2"/>
    <x v="2"/>
    <x v="0"/>
    <x v="0"/>
    <x v="0"/>
    <x v="0"/>
    <x v="1"/>
    <x v="0"/>
    <x v="0"/>
    <x v="63"/>
    <x v="3"/>
    <x v="3"/>
    <x v="5"/>
    <x v="5"/>
    <x v="1"/>
    <x v="1"/>
    <x v="27"/>
    <x v="0"/>
    <x v="0"/>
    <x v="1"/>
    <x v="27"/>
    <x v="0"/>
    <x v="0"/>
    <x v="0"/>
    <x v="0"/>
    <x v="0"/>
    <x v="0"/>
  </r>
  <r>
    <x v="131"/>
    <x v="0"/>
    <x v="2"/>
    <x v="2"/>
    <x v="0"/>
    <x v="0"/>
    <x v="0"/>
    <x v="0"/>
    <x v="0"/>
    <x v="0"/>
    <x v="0"/>
    <x v="64"/>
    <x v="3"/>
    <x v="3"/>
    <x v="0"/>
    <x v="0"/>
    <x v="0"/>
    <x v="6"/>
    <x v="6"/>
    <x v="0"/>
    <x v="0"/>
    <x v="6"/>
    <x v="6"/>
    <x v="0"/>
    <x v="0"/>
    <x v="0"/>
    <x v="0"/>
    <x v="0"/>
    <x v="0"/>
  </r>
  <r>
    <x v="132"/>
    <x v="0"/>
    <x v="41"/>
    <x v="41"/>
    <x v="0"/>
    <x v="1"/>
    <x v="0"/>
    <x v="0"/>
    <x v="1"/>
    <x v="0"/>
    <x v="0"/>
    <x v="65"/>
    <x v="3"/>
    <x v="3"/>
    <x v="13"/>
    <x v="13"/>
    <x v="1"/>
    <x v="4"/>
    <x v="4"/>
    <x v="0"/>
    <x v="0"/>
    <x v="4"/>
    <x v="4"/>
    <x v="0"/>
    <x v="0"/>
    <x v="0"/>
    <x v="0"/>
    <x v="0"/>
    <x v="0"/>
  </r>
  <r>
    <x v="133"/>
    <x v="0"/>
    <x v="41"/>
    <x v="41"/>
    <x v="0"/>
    <x v="1"/>
    <x v="0"/>
    <x v="0"/>
    <x v="1"/>
    <x v="0"/>
    <x v="0"/>
    <x v="65"/>
    <x v="3"/>
    <x v="3"/>
    <x v="2"/>
    <x v="2"/>
    <x v="1"/>
    <x v="4"/>
    <x v="4"/>
    <x v="0"/>
    <x v="0"/>
    <x v="4"/>
    <x v="4"/>
    <x v="0"/>
    <x v="0"/>
    <x v="0"/>
    <x v="0"/>
    <x v="0"/>
    <x v="0"/>
  </r>
  <r>
    <x v="134"/>
    <x v="0"/>
    <x v="41"/>
    <x v="41"/>
    <x v="0"/>
    <x v="1"/>
    <x v="0"/>
    <x v="0"/>
    <x v="1"/>
    <x v="0"/>
    <x v="0"/>
    <x v="65"/>
    <x v="3"/>
    <x v="3"/>
    <x v="1"/>
    <x v="1"/>
    <x v="1"/>
    <x v="4"/>
    <x v="4"/>
    <x v="0"/>
    <x v="0"/>
    <x v="4"/>
    <x v="4"/>
    <x v="0"/>
    <x v="0"/>
    <x v="0"/>
    <x v="0"/>
    <x v="0"/>
    <x v="0"/>
  </r>
  <r>
    <x v="135"/>
    <x v="0"/>
    <x v="21"/>
    <x v="21"/>
    <x v="0"/>
    <x v="10"/>
    <x v="5"/>
    <x v="0"/>
    <x v="0"/>
    <x v="0"/>
    <x v="0"/>
    <x v="66"/>
    <x v="3"/>
    <x v="3"/>
    <x v="0"/>
    <x v="0"/>
    <x v="0"/>
    <x v="6"/>
    <x v="6"/>
    <x v="0"/>
    <x v="0"/>
    <x v="6"/>
    <x v="6"/>
    <x v="0"/>
    <x v="0"/>
    <x v="0"/>
    <x v="0"/>
    <x v="0"/>
    <x v="0"/>
  </r>
  <r>
    <x v="136"/>
    <x v="0"/>
    <x v="40"/>
    <x v="40"/>
    <x v="0"/>
    <x v="10"/>
    <x v="5"/>
    <x v="0"/>
    <x v="0"/>
    <x v="0"/>
    <x v="0"/>
    <x v="67"/>
    <x v="3"/>
    <x v="3"/>
    <x v="0"/>
    <x v="0"/>
    <x v="0"/>
    <x v="0"/>
    <x v="0"/>
    <x v="0"/>
    <x v="0"/>
    <x v="0"/>
    <x v="0"/>
    <x v="0"/>
    <x v="0"/>
    <x v="0"/>
    <x v="0"/>
    <x v="0"/>
    <x v="0"/>
  </r>
  <r>
    <x v="137"/>
    <x v="0"/>
    <x v="42"/>
    <x v="42"/>
    <x v="0"/>
    <x v="14"/>
    <x v="9"/>
    <x v="0"/>
    <x v="0"/>
    <x v="0"/>
    <x v="0"/>
    <x v="68"/>
    <x v="3"/>
    <x v="3"/>
    <x v="0"/>
    <x v="0"/>
    <x v="0"/>
    <x v="17"/>
    <x v="18"/>
    <x v="0"/>
    <x v="0"/>
    <x v="17"/>
    <x v="18"/>
    <x v="0"/>
    <x v="0"/>
    <x v="0"/>
    <x v="0"/>
    <x v="0"/>
    <x v="0"/>
  </r>
  <r>
    <x v="138"/>
    <x v="0"/>
    <x v="18"/>
    <x v="18"/>
    <x v="0"/>
    <x v="8"/>
    <x v="6"/>
    <x v="0"/>
    <x v="1"/>
    <x v="0"/>
    <x v="0"/>
    <x v="69"/>
    <x v="3"/>
    <x v="3"/>
    <x v="16"/>
    <x v="16"/>
    <x v="2"/>
    <x v="9"/>
    <x v="23"/>
    <x v="0"/>
    <x v="0"/>
    <x v="9"/>
    <x v="23"/>
    <x v="0"/>
    <x v="0"/>
    <x v="0"/>
    <x v="0"/>
    <x v="0"/>
    <x v="0"/>
  </r>
  <r>
    <x v="139"/>
    <x v="0"/>
    <x v="43"/>
    <x v="43"/>
    <x v="0"/>
    <x v="8"/>
    <x v="6"/>
    <x v="0"/>
    <x v="1"/>
    <x v="0"/>
    <x v="0"/>
    <x v="70"/>
    <x v="3"/>
    <x v="3"/>
    <x v="33"/>
    <x v="33"/>
    <x v="1"/>
    <x v="4"/>
    <x v="4"/>
    <x v="0"/>
    <x v="0"/>
    <x v="4"/>
    <x v="4"/>
    <x v="0"/>
    <x v="0"/>
    <x v="0"/>
    <x v="0"/>
    <x v="0"/>
    <x v="0"/>
  </r>
  <r>
    <x v="140"/>
    <x v="0"/>
    <x v="44"/>
    <x v="44"/>
    <x v="0"/>
    <x v="8"/>
    <x v="6"/>
    <x v="0"/>
    <x v="1"/>
    <x v="0"/>
    <x v="0"/>
    <x v="71"/>
    <x v="3"/>
    <x v="3"/>
    <x v="29"/>
    <x v="29"/>
    <x v="1"/>
    <x v="6"/>
    <x v="8"/>
    <x v="0"/>
    <x v="0"/>
    <x v="6"/>
    <x v="8"/>
    <x v="0"/>
    <x v="0"/>
    <x v="0"/>
    <x v="0"/>
    <x v="0"/>
    <x v="0"/>
  </r>
  <r>
    <x v="141"/>
    <x v="0"/>
    <x v="44"/>
    <x v="44"/>
    <x v="0"/>
    <x v="8"/>
    <x v="6"/>
    <x v="0"/>
    <x v="1"/>
    <x v="0"/>
    <x v="0"/>
    <x v="71"/>
    <x v="3"/>
    <x v="3"/>
    <x v="20"/>
    <x v="20"/>
    <x v="1"/>
    <x v="4"/>
    <x v="4"/>
    <x v="0"/>
    <x v="0"/>
    <x v="4"/>
    <x v="4"/>
    <x v="0"/>
    <x v="0"/>
    <x v="0"/>
    <x v="0"/>
    <x v="0"/>
    <x v="0"/>
  </r>
  <r>
    <x v="142"/>
    <x v="0"/>
    <x v="20"/>
    <x v="20"/>
    <x v="0"/>
    <x v="9"/>
    <x v="7"/>
    <x v="0"/>
    <x v="0"/>
    <x v="0"/>
    <x v="0"/>
    <x v="72"/>
    <x v="3"/>
    <x v="3"/>
    <x v="0"/>
    <x v="0"/>
    <x v="0"/>
    <x v="17"/>
    <x v="18"/>
    <x v="0"/>
    <x v="0"/>
    <x v="17"/>
    <x v="18"/>
    <x v="0"/>
    <x v="0"/>
    <x v="0"/>
    <x v="0"/>
    <x v="0"/>
    <x v="0"/>
  </r>
  <r>
    <x v="143"/>
    <x v="0"/>
    <x v="20"/>
    <x v="20"/>
    <x v="0"/>
    <x v="9"/>
    <x v="7"/>
    <x v="0"/>
    <x v="1"/>
    <x v="0"/>
    <x v="0"/>
    <x v="73"/>
    <x v="3"/>
    <x v="3"/>
    <x v="1"/>
    <x v="1"/>
    <x v="1"/>
    <x v="5"/>
    <x v="26"/>
    <x v="0"/>
    <x v="0"/>
    <x v="5"/>
    <x v="26"/>
    <x v="0"/>
    <x v="0"/>
    <x v="0"/>
    <x v="0"/>
    <x v="0"/>
    <x v="0"/>
  </r>
  <r>
    <x v="144"/>
    <x v="0"/>
    <x v="20"/>
    <x v="20"/>
    <x v="0"/>
    <x v="9"/>
    <x v="7"/>
    <x v="0"/>
    <x v="1"/>
    <x v="0"/>
    <x v="0"/>
    <x v="73"/>
    <x v="3"/>
    <x v="3"/>
    <x v="16"/>
    <x v="16"/>
    <x v="2"/>
    <x v="9"/>
    <x v="23"/>
    <x v="0"/>
    <x v="0"/>
    <x v="9"/>
    <x v="23"/>
    <x v="0"/>
    <x v="0"/>
    <x v="0"/>
    <x v="0"/>
    <x v="0"/>
    <x v="0"/>
  </r>
  <r>
    <x v="145"/>
    <x v="0"/>
    <x v="20"/>
    <x v="20"/>
    <x v="0"/>
    <x v="9"/>
    <x v="7"/>
    <x v="0"/>
    <x v="0"/>
    <x v="0"/>
    <x v="0"/>
    <x v="73"/>
    <x v="3"/>
    <x v="3"/>
    <x v="18"/>
    <x v="18"/>
    <x v="0"/>
    <x v="17"/>
    <x v="18"/>
    <x v="0"/>
    <x v="0"/>
    <x v="17"/>
    <x v="18"/>
    <x v="0"/>
    <x v="0"/>
    <x v="0"/>
    <x v="0"/>
    <x v="0"/>
    <x v="0"/>
  </r>
  <r>
    <x v="146"/>
    <x v="0"/>
    <x v="19"/>
    <x v="19"/>
    <x v="0"/>
    <x v="9"/>
    <x v="7"/>
    <x v="0"/>
    <x v="0"/>
    <x v="0"/>
    <x v="0"/>
    <x v="74"/>
    <x v="3"/>
    <x v="3"/>
    <x v="0"/>
    <x v="0"/>
    <x v="0"/>
    <x v="14"/>
    <x v="15"/>
    <x v="0"/>
    <x v="0"/>
    <x v="14"/>
    <x v="15"/>
    <x v="0"/>
    <x v="0"/>
    <x v="0"/>
    <x v="0"/>
    <x v="0"/>
    <x v="0"/>
  </r>
  <r>
    <x v="147"/>
    <x v="0"/>
    <x v="20"/>
    <x v="20"/>
    <x v="0"/>
    <x v="9"/>
    <x v="7"/>
    <x v="0"/>
    <x v="0"/>
    <x v="0"/>
    <x v="0"/>
    <x v="75"/>
    <x v="3"/>
    <x v="3"/>
    <x v="0"/>
    <x v="0"/>
    <x v="0"/>
    <x v="6"/>
    <x v="6"/>
    <x v="0"/>
    <x v="0"/>
    <x v="6"/>
    <x v="6"/>
    <x v="0"/>
    <x v="0"/>
    <x v="0"/>
    <x v="0"/>
    <x v="0"/>
    <x v="0"/>
  </r>
  <r>
    <x v="148"/>
    <x v="0"/>
    <x v="20"/>
    <x v="20"/>
    <x v="0"/>
    <x v="9"/>
    <x v="7"/>
    <x v="0"/>
    <x v="0"/>
    <x v="0"/>
    <x v="0"/>
    <x v="75"/>
    <x v="3"/>
    <x v="3"/>
    <x v="18"/>
    <x v="18"/>
    <x v="0"/>
    <x v="17"/>
    <x v="18"/>
    <x v="0"/>
    <x v="0"/>
    <x v="17"/>
    <x v="18"/>
    <x v="0"/>
    <x v="0"/>
    <x v="0"/>
    <x v="0"/>
    <x v="0"/>
    <x v="0"/>
  </r>
  <r>
    <x v="149"/>
    <x v="0"/>
    <x v="35"/>
    <x v="35"/>
    <x v="0"/>
    <x v="9"/>
    <x v="7"/>
    <x v="0"/>
    <x v="0"/>
    <x v="0"/>
    <x v="0"/>
    <x v="76"/>
    <x v="3"/>
    <x v="3"/>
    <x v="8"/>
    <x v="8"/>
    <x v="0"/>
    <x v="5"/>
    <x v="5"/>
    <x v="0"/>
    <x v="0"/>
    <x v="5"/>
    <x v="5"/>
    <x v="0"/>
    <x v="0"/>
    <x v="0"/>
    <x v="0"/>
    <x v="0"/>
    <x v="0"/>
  </r>
  <r>
    <x v="150"/>
    <x v="0"/>
    <x v="45"/>
    <x v="45"/>
    <x v="0"/>
    <x v="4"/>
    <x v="2"/>
    <x v="1"/>
    <x v="1"/>
    <x v="0"/>
    <x v="1"/>
    <x v="77"/>
    <x v="3"/>
    <x v="3"/>
    <x v="34"/>
    <x v="34"/>
    <x v="1"/>
    <x v="9"/>
    <x v="10"/>
    <x v="0"/>
    <x v="0"/>
    <x v="9"/>
    <x v="10"/>
    <x v="0"/>
    <x v="0"/>
    <x v="0"/>
    <x v="0"/>
    <x v="0"/>
    <x v="0"/>
  </r>
  <r>
    <x v="151"/>
    <x v="0"/>
    <x v="46"/>
    <x v="46"/>
    <x v="0"/>
    <x v="3"/>
    <x v="1"/>
    <x v="1"/>
    <x v="1"/>
    <x v="0"/>
    <x v="1"/>
    <x v="78"/>
    <x v="3"/>
    <x v="3"/>
    <x v="35"/>
    <x v="35"/>
    <x v="1"/>
    <x v="9"/>
    <x v="10"/>
    <x v="0"/>
    <x v="0"/>
    <x v="9"/>
    <x v="10"/>
    <x v="0"/>
    <x v="0"/>
    <x v="0"/>
    <x v="0"/>
    <x v="0"/>
    <x v="0"/>
  </r>
  <r>
    <x v="152"/>
    <x v="0"/>
    <x v="10"/>
    <x v="10"/>
    <x v="0"/>
    <x v="3"/>
    <x v="1"/>
    <x v="1"/>
    <x v="1"/>
    <x v="0"/>
    <x v="1"/>
    <x v="79"/>
    <x v="3"/>
    <x v="3"/>
    <x v="35"/>
    <x v="35"/>
    <x v="1"/>
    <x v="9"/>
    <x v="10"/>
    <x v="0"/>
    <x v="0"/>
    <x v="9"/>
    <x v="10"/>
    <x v="0"/>
    <x v="0"/>
    <x v="0"/>
    <x v="0"/>
    <x v="0"/>
    <x v="0"/>
  </r>
  <r>
    <x v="153"/>
    <x v="0"/>
    <x v="13"/>
    <x v="13"/>
    <x v="0"/>
    <x v="5"/>
    <x v="3"/>
    <x v="1"/>
    <x v="1"/>
    <x v="0"/>
    <x v="1"/>
    <x v="80"/>
    <x v="3"/>
    <x v="3"/>
    <x v="1"/>
    <x v="1"/>
    <x v="1"/>
    <x v="4"/>
    <x v="4"/>
    <x v="0"/>
    <x v="0"/>
    <x v="4"/>
    <x v="4"/>
    <x v="0"/>
    <x v="0"/>
    <x v="0"/>
    <x v="0"/>
    <x v="0"/>
    <x v="0"/>
  </r>
  <r>
    <x v="154"/>
    <x v="0"/>
    <x v="13"/>
    <x v="13"/>
    <x v="0"/>
    <x v="5"/>
    <x v="3"/>
    <x v="1"/>
    <x v="1"/>
    <x v="0"/>
    <x v="1"/>
    <x v="80"/>
    <x v="3"/>
    <x v="3"/>
    <x v="14"/>
    <x v="14"/>
    <x v="1"/>
    <x v="9"/>
    <x v="10"/>
    <x v="0"/>
    <x v="0"/>
    <x v="9"/>
    <x v="10"/>
    <x v="0"/>
    <x v="0"/>
    <x v="0"/>
    <x v="0"/>
    <x v="0"/>
    <x v="0"/>
  </r>
  <r>
    <x v="155"/>
    <x v="0"/>
    <x v="14"/>
    <x v="14"/>
    <x v="0"/>
    <x v="5"/>
    <x v="3"/>
    <x v="1"/>
    <x v="1"/>
    <x v="0"/>
    <x v="1"/>
    <x v="81"/>
    <x v="3"/>
    <x v="3"/>
    <x v="14"/>
    <x v="14"/>
    <x v="1"/>
    <x v="20"/>
    <x v="25"/>
    <x v="0"/>
    <x v="0"/>
    <x v="20"/>
    <x v="25"/>
    <x v="0"/>
    <x v="0"/>
    <x v="0"/>
    <x v="0"/>
    <x v="0"/>
    <x v="0"/>
  </r>
  <r>
    <x v="156"/>
    <x v="0"/>
    <x v="47"/>
    <x v="47"/>
    <x v="0"/>
    <x v="1"/>
    <x v="0"/>
    <x v="0"/>
    <x v="1"/>
    <x v="0"/>
    <x v="0"/>
    <x v="82"/>
    <x v="4"/>
    <x v="4"/>
    <x v="5"/>
    <x v="5"/>
    <x v="1"/>
    <x v="6"/>
    <x v="8"/>
    <x v="0"/>
    <x v="0"/>
    <x v="6"/>
    <x v="8"/>
    <x v="0"/>
    <x v="0"/>
    <x v="0"/>
    <x v="0"/>
    <x v="0"/>
    <x v="0"/>
  </r>
  <r>
    <x v="157"/>
    <x v="0"/>
    <x v="47"/>
    <x v="47"/>
    <x v="0"/>
    <x v="1"/>
    <x v="0"/>
    <x v="0"/>
    <x v="1"/>
    <x v="0"/>
    <x v="0"/>
    <x v="82"/>
    <x v="4"/>
    <x v="4"/>
    <x v="2"/>
    <x v="2"/>
    <x v="1"/>
    <x v="20"/>
    <x v="25"/>
    <x v="0"/>
    <x v="0"/>
    <x v="20"/>
    <x v="25"/>
    <x v="0"/>
    <x v="0"/>
    <x v="0"/>
    <x v="0"/>
    <x v="0"/>
    <x v="0"/>
  </r>
  <r>
    <x v="158"/>
    <x v="0"/>
    <x v="47"/>
    <x v="47"/>
    <x v="0"/>
    <x v="1"/>
    <x v="0"/>
    <x v="0"/>
    <x v="1"/>
    <x v="0"/>
    <x v="0"/>
    <x v="82"/>
    <x v="4"/>
    <x v="4"/>
    <x v="1"/>
    <x v="1"/>
    <x v="1"/>
    <x v="21"/>
    <x v="28"/>
    <x v="0"/>
    <x v="0"/>
    <x v="21"/>
    <x v="28"/>
    <x v="0"/>
    <x v="0"/>
    <x v="0"/>
    <x v="0"/>
    <x v="0"/>
    <x v="0"/>
  </r>
  <r>
    <x v="159"/>
    <x v="0"/>
    <x v="47"/>
    <x v="47"/>
    <x v="0"/>
    <x v="1"/>
    <x v="0"/>
    <x v="0"/>
    <x v="1"/>
    <x v="0"/>
    <x v="0"/>
    <x v="82"/>
    <x v="4"/>
    <x v="4"/>
    <x v="20"/>
    <x v="20"/>
    <x v="1"/>
    <x v="9"/>
    <x v="10"/>
    <x v="0"/>
    <x v="0"/>
    <x v="9"/>
    <x v="10"/>
    <x v="0"/>
    <x v="0"/>
    <x v="0"/>
    <x v="0"/>
    <x v="0"/>
    <x v="0"/>
  </r>
  <r>
    <x v="160"/>
    <x v="0"/>
    <x v="47"/>
    <x v="47"/>
    <x v="0"/>
    <x v="1"/>
    <x v="0"/>
    <x v="0"/>
    <x v="1"/>
    <x v="0"/>
    <x v="0"/>
    <x v="82"/>
    <x v="4"/>
    <x v="4"/>
    <x v="36"/>
    <x v="36"/>
    <x v="1"/>
    <x v="4"/>
    <x v="4"/>
    <x v="0"/>
    <x v="0"/>
    <x v="4"/>
    <x v="4"/>
    <x v="0"/>
    <x v="0"/>
    <x v="0"/>
    <x v="0"/>
    <x v="0"/>
    <x v="0"/>
  </r>
  <r>
    <x v="161"/>
    <x v="0"/>
    <x v="48"/>
    <x v="48"/>
    <x v="0"/>
    <x v="0"/>
    <x v="0"/>
    <x v="0"/>
    <x v="0"/>
    <x v="0"/>
    <x v="0"/>
    <x v="83"/>
    <x v="4"/>
    <x v="4"/>
    <x v="15"/>
    <x v="15"/>
    <x v="0"/>
    <x v="26"/>
    <x v="37"/>
    <x v="0"/>
    <x v="0"/>
    <x v="26"/>
    <x v="37"/>
    <x v="0"/>
    <x v="0"/>
    <x v="0"/>
    <x v="0"/>
    <x v="0"/>
    <x v="0"/>
  </r>
  <r>
    <x v="162"/>
    <x v="0"/>
    <x v="48"/>
    <x v="48"/>
    <x v="0"/>
    <x v="0"/>
    <x v="0"/>
    <x v="0"/>
    <x v="1"/>
    <x v="0"/>
    <x v="0"/>
    <x v="83"/>
    <x v="4"/>
    <x v="4"/>
    <x v="34"/>
    <x v="34"/>
    <x v="1"/>
    <x v="4"/>
    <x v="4"/>
    <x v="0"/>
    <x v="0"/>
    <x v="4"/>
    <x v="4"/>
    <x v="0"/>
    <x v="0"/>
    <x v="0"/>
    <x v="0"/>
    <x v="0"/>
    <x v="0"/>
  </r>
  <r>
    <x v="163"/>
    <x v="0"/>
    <x v="48"/>
    <x v="48"/>
    <x v="0"/>
    <x v="0"/>
    <x v="0"/>
    <x v="0"/>
    <x v="1"/>
    <x v="0"/>
    <x v="0"/>
    <x v="83"/>
    <x v="4"/>
    <x v="4"/>
    <x v="35"/>
    <x v="35"/>
    <x v="1"/>
    <x v="4"/>
    <x v="4"/>
    <x v="0"/>
    <x v="0"/>
    <x v="4"/>
    <x v="4"/>
    <x v="0"/>
    <x v="0"/>
    <x v="0"/>
    <x v="0"/>
    <x v="0"/>
    <x v="0"/>
  </r>
  <r>
    <x v="164"/>
    <x v="0"/>
    <x v="24"/>
    <x v="24"/>
    <x v="0"/>
    <x v="0"/>
    <x v="0"/>
    <x v="0"/>
    <x v="1"/>
    <x v="0"/>
    <x v="0"/>
    <x v="84"/>
    <x v="4"/>
    <x v="4"/>
    <x v="1"/>
    <x v="1"/>
    <x v="1"/>
    <x v="6"/>
    <x v="8"/>
    <x v="0"/>
    <x v="0"/>
    <x v="6"/>
    <x v="8"/>
    <x v="0"/>
    <x v="0"/>
    <x v="0"/>
    <x v="0"/>
    <x v="0"/>
    <x v="0"/>
  </r>
  <r>
    <x v="165"/>
    <x v="0"/>
    <x v="24"/>
    <x v="24"/>
    <x v="0"/>
    <x v="0"/>
    <x v="0"/>
    <x v="0"/>
    <x v="0"/>
    <x v="0"/>
    <x v="0"/>
    <x v="84"/>
    <x v="4"/>
    <x v="4"/>
    <x v="0"/>
    <x v="0"/>
    <x v="0"/>
    <x v="6"/>
    <x v="6"/>
    <x v="0"/>
    <x v="0"/>
    <x v="6"/>
    <x v="6"/>
    <x v="0"/>
    <x v="0"/>
    <x v="0"/>
    <x v="0"/>
    <x v="0"/>
    <x v="0"/>
  </r>
  <r>
    <x v="166"/>
    <x v="0"/>
    <x v="41"/>
    <x v="41"/>
    <x v="0"/>
    <x v="1"/>
    <x v="0"/>
    <x v="0"/>
    <x v="1"/>
    <x v="0"/>
    <x v="0"/>
    <x v="85"/>
    <x v="4"/>
    <x v="4"/>
    <x v="1"/>
    <x v="1"/>
    <x v="1"/>
    <x v="6"/>
    <x v="8"/>
    <x v="0"/>
    <x v="0"/>
    <x v="6"/>
    <x v="8"/>
    <x v="0"/>
    <x v="0"/>
    <x v="0"/>
    <x v="0"/>
    <x v="0"/>
    <x v="0"/>
  </r>
  <r>
    <x v="167"/>
    <x v="0"/>
    <x v="25"/>
    <x v="25"/>
    <x v="0"/>
    <x v="1"/>
    <x v="0"/>
    <x v="0"/>
    <x v="1"/>
    <x v="0"/>
    <x v="0"/>
    <x v="86"/>
    <x v="4"/>
    <x v="4"/>
    <x v="21"/>
    <x v="21"/>
    <x v="1"/>
    <x v="9"/>
    <x v="10"/>
    <x v="0"/>
    <x v="0"/>
    <x v="9"/>
    <x v="10"/>
    <x v="0"/>
    <x v="0"/>
    <x v="0"/>
    <x v="0"/>
    <x v="0"/>
    <x v="0"/>
  </r>
  <r>
    <x v="168"/>
    <x v="0"/>
    <x v="49"/>
    <x v="49"/>
    <x v="0"/>
    <x v="1"/>
    <x v="0"/>
    <x v="0"/>
    <x v="0"/>
    <x v="0"/>
    <x v="0"/>
    <x v="87"/>
    <x v="4"/>
    <x v="4"/>
    <x v="19"/>
    <x v="19"/>
    <x v="0"/>
    <x v="5"/>
    <x v="5"/>
    <x v="0"/>
    <x v="0"/>
    <x v="5"/>
    <x v="5"/>
    <x v="0"/>
    <x v="0"/>
    <x v="0"/>
    <x v="0"/>
    <x v="0"/>
    <x v="0"/>
  </r>
  <r>
    <x v="169"/>
    <x v="0"/>
    <x v="49"/>
    <x v="49"/>
    <x v="0"/>
    <x v="1"/>
    <x v="0"/>
    <x v="0"/>
    <x v="0"/>
    <x v="0"/>
    <x v="0"/>
    <x v="87"/>
    <x v="4"/>
    <x v="4"/>
    <x v="17"/>
    <x v="17"/>
    <x v="0"/>
    <x v="5"/>
    <x v="5"/>
    <x v="0"/>
    <x v="0"/>
    <x v="5"/>
    <x v="5"/>
    <x v="0"/>
    <x v="0"/>
    <x v="0"/>
    <x v="0"/>
    <x v="0"/>
    <x v="0"/>
  </r>
  <r>
    <x v="170"/>
    <x v="0"/>
    <x v="20"/>
    <x v="20"/>
    <x v="0"/>
    <x v="9"/>
    <x v="7"/>
    <x v="0"/>
    <x v="0"/>
    <x v="0"/>
    <x v="0"/>
    <x v="88"/>
    <x v="4"/>
    <x v="4"/>
    <x v="19"/>
    <x v="19"/>
    <x v="0"/>
    <x v="1"/>
    <x v="1"/>
    <x v="0"/>
    <x v="0"/>
    <x v="1"/>
    <x v="1"/>
    <x v="0"/>
    <x v="0"/>
    <x v="0"/>
    <x v="0"/>
    <x v="0"/>
    <x v="0"/>
  </r>
  <r>
    <x v="171"/>
    <x v="0"/>
    <x v="20"/>
    <x v="20"/>
    <x v="0"/>
    <x v="9"/>
    <x v="7"/>
    <x v="0"/>
    <x v="0"/>
    <x v="0"/>
    <x v="0"/>
    <x v="89"/>
    <x v="4"/>
    <x v="4"/>
    <x v="18"/>
    <x v="18"/>
    <x v="0"/>
    <x v="5"/>
    <x v="5"/>
    <x v="0"/>
    <x v="0"/>
    <x v="5"/>
    <x v="5"/>
    <x v="0"/>
    <x v="0"/>
    <x v="0"/>
    <x v="0"/>
    <x v="0"/>
    <x v="0"/>
  </r>
  <r>
    <x v="172"/>
    <x v="0"/>
    <x v="20"/>
    <x v="20"/>
    <x v="0"/>
    <x v="9"/>
    <x v="7"/>
    <x v="0"/>
    <x v="0"/>
    <x v="0"/>
    <x v="0"/>
    <x v="89"/>
    <x v="4"/>
    <x v="4"/>
    <x v="0"/>
    <x v="0"/>
    <x v="0"/>
    <x v="11"/>
    <x v="34"/>
    <x v="0"/>
    <x v="0"/>
    <x v="11"/>
    <x v="34"/>
    <x v="0"/>
    <x v="0"/>
    <x v="0"/>
    <x v="0"/>
    <x v="0"/>
    <x v="0"/>
  </r>
  <r>
    <x v="173"/>
    <x v="0"/>
    <x v="20"/>
    <x v="20"/>
    <x v="0"/>
    <x v="9"/>
    <x v="7"/>
    <x v="0"/>
    <x v="0"/>
    <x v="0"/>
    <x v="0"/>
    <x v="90"/>
    <x v="4"/>
    <x v="4"/>
    <x v="17"/>
    <x v="17"/>
    <x v="0"/>
    <x v="1"/>
    <x v="1"/>
    <x v="0"/>
    <x v="0"/>
    <x v="1"/>
    <x v="1"/>
    <x v="0"/>
    <x v="0"/>
    <x v="0"/>
    <x v="0"/>
    <x v="0"/>
    <x v="0"/>
  </r>
  <r>
    <x v="174"/>
    <x v="0"/>
    <x v="20"/>
    <x v="20"/>
    <x v="0"/>
    <x v="9"/>
    <x v="7"/>
    <x v="0"/>
    <x v="1"/>
    <x v="0"/>
    <x v="0"/>
    <x v="90"/>
    <x v="4"/>
    <x v="4"/>
    <x v="1"/>
    <x v="1"/>
    <x v="1"/>
    <x v="6"/>
    <x v="8"/>
    <x v="0"/>
    <x v="0"/>
    <x v="6"/>
    <x v="8"/>
    <x v="0"/>
    <x v="0"/>
    <x v="0"/>
    <x v="0"/>
    <x v="0"/>
    <x v="0"/>
  </r>
  <r>
    <x v="175"/>
    <x v="0"/>
    <x v="20"/>
    <x v="20"/>
    <x v="0"/>
    <x v="9"/>
    <x v="7"/>
    <x v="0"/>
    <x v="0"/>
    <x v="0"/>
    <x v="0"/>
    <x v="90"/>
    <x v="4"/>
    <x v="4"/>
    <x v="0"/>
    <x v="0"/>
    <x v="0"/>
    <x v="0"/>
    <x v="0"/>
    <x v="0"/>
    <x v="0"/>
    <x v="0"/>
    <x v="0"/>
    <x v="0"/>
    <x v="0"/>
    <x v="0"/>
    <x v="0"/>
    <x v="0"/>
    <x v="0"/>
  </r>
  <r>
    <x v="176"/>
    <x v="0"/>
    <x v="20"/>
    <x v="20"/>
    <x v="0"/>
    <x v="9"/>
    <x v="7"/>
    <x v="0"/>
    <x v="0"/>
    <x v="0"/>
    <x v="0"/>
    <x v="90"/>
    <x v="4"/>
    <x v="4"/>
    <x v="18"/>
    <x v="18"/>
    <x v="0"/>
    <x v="17"/>
    <x v="18"/>
    <x v="0"/>
    <x v="0"/>
    <x v="17"/>
    <x v="18"/>
    <x v="0"/>
    <x v="0"/>
    <x v="0"/>
    <x v="0"/>
    <x v="0"/>
    <x v="0"/>
  </r>
  <r>
    <x v="177"/>
    <x v="0"/>
    <x v="19"/>
    <x v="19"/>
    <x v="0"/>
    <x v="9"/>
    <x v="7"/>
    <x v="0"/>
    <x v="0"/>
    <x v="0"/>
    <x v="0"/>
    <x v="91"/>
    <x v="4"/>
    <x v="4"/>
    <x v="17"/>
    <x v="17"/>
    <x v="0"/>
    <x v="1"/>
    <x v="1"/>
    <x v="0"/>
    <x v="0"/>
    <x v="1"/>
    <x v="1"/>
    <x v="0"/>
    <x v="0"/>
    <x v="0"/>
    <x v="0"/>
    <x v="0"/>
    <x v="0"/>
  </r>
  <r>
    <x v="178"/>
    <x v="0"/>
    <x v="19"/>
    <x v="19"/>
    <x v="0"/>
    <x v="9"/>
    <x v="7"/>
    <x v="0"/>
    <x v="0"/>
    <x v="0"/>
    <x v="0"/>
    <x v="91"/>
    <x v="4"/>
    <x v="4"/>
    <x v="0"/>
    <x v="0"/>
    <x v="0"/>
    <x v="0"/>
    <x v="0"/>
    <x v="0"/>
    <x v="0"/>
    <x v="0"/>
    <x v="0"/>
    <x v="0"/>
    <x v="0"/>
    <x v="0"/>
    <x v="0"/>
    <x v="0"/>
    <x v="0"/>
  </r>
  <r>
    <x v="179"/>
    <x v="0"/>
    <x v="19"/>
    <x v="19"/>
    <x v="0"/>
    <x v="9"/>
    <x v="7"/>
    <x v="0"/>
    <x v="1"/>
    <x v="0"/>
    <x v="0"/>
    <x v="91"/>
    <x v="4"/>
    <x v="4"/>
    <x v="1"/>
    <x v="1"/>
    <x v="1"/>
    <x v="19"/>
    <x v="24"/>
    <x v="0"/>
    <x v="0"/>
    <x v="19"/>
    <x v="24"/>
    <x v="0"/>
    <x v="0"/>
    <x v="0"/>
    <x v="0"/>
    <x v="0"/>
    <x v="0"/>
  </r>
  <r>
    <x v="180"/>
    <x v="0"/>
    <x v="19"/>
    <x v="19"/>
    <x v="0"/>
    <x v="9"/>
    <x v="7"/>
    <x v="0"/>
    <x v="0"/>
    <x v="0"/>
    <x v="0"/>
    <x v="91"/>
    <x v="4"/>
    <x v="4"/>
    <x v="19"/>
    <x v="19"/>
    <x v="0"/>
    <x v="5"/>
    <x v="5"/>
    <x v="0"/>
    <x v="0"/>
    <x v="5"/>
    <x v="5"/>
    <x v="0"/>
    <x v="0"/>
    <x v="0"/>
    <x v="0"/>
    <x v="0"/>
    <x v="0"/>
  </r>
  <r>
    <x v="181"/>
    <x v="0"/>
    <x v="35"/>
    <x v="35"/>
    <x v="0"/>
    <x v="9"/>
    <x v="7"/>
    <x v="0"/>
    <x v="0"/>
    <x v="0"/>
    <x v="0"/>
    <x v="92"/>
    <x v="4"/>
    <x v="4"/>
    <x v="8"/>
    <x v="8"/>
    <x v="0"/>
    <x v="4"/>
    <x v="38"/>
    <x v="0"/>
    <x v="0"/>
    <x v="4"/>
    <x v="38"/>
    <x v="0"/>
    <x v="0"/>
    <x v="0"/>
    <x v="0"/>
    <x v="0"/>
    <x v="0"/>
  </r>
  <r>
    <x v="182"/>
    <x v="0"/>
    <x v="35"/>
    <x v="35"/>
    <x v="0"/>
    <x v="9"/>
    <x v="7"/>
    <x v="0"/>
    <x v="1"/>
    <x v="0"/>
    <x v="0"/>
    <x v="92"/>
    <x v="4"/>
    <x v="4"/>
    <x v="11"/>
    <x v="11"/>
    <x v="1"/>
    <x v="13"/>
    <x v="31"/>
    <x v="0"/>
    <x v="0"/>
    <x v="13"/>
    <x v="31"/>
    <x v="0"/>
    <x v="0"/>
    <x v="0"/>
    <x v="0"/>
    <x v="0"/>
    <x v="0"/>
  </r>
  <r>
    <x v="183"/>
    <x v="0"/>
    <x v="20"/>
    <x v="20"/>
    <x v="0"/>
    <x v="9"/>
    <x v="7"/>
    <x v="0"/>
    <x v="0"/>
    <x v="0"/>
    <x v="0"/>
    <x v="93"/>
    <x v="4"/>
    <x v="4"/>
    <x v="0"/>
    <x v="0"/>
    <x v="0"/>
    <x v="15"/>
    <x v="16"/>
    <x v="0"/>
    <x v="0"/>
    <x v="15"/>
    <x v="16"/>
    <x v="0"/>
    <x v="0"/>
    <x v="0"/>
    <x v="0"/>
    <x v="0"/>
    <x v="0"/>
  </r>
  <r>
    <x v="184"/>
    <x v="0"/>
    <x v="11"/>
    <x v="11"/>
    <x v="0"/>
    <x v="3"/>
    <x v="1"/>
    <x v="1"/>
    <x v="1"/>
    <x v="0"/>
    <x v="1"/>
    <x v="94"/>
    <x v="4"/>
    <x v="4"/>
    <x v="2"/>
    <x v="2"/>
    <x v="1"/>
    <x v="4"/>
    <x v="4"/>
    <x v="0"/>
    <x v="0"/>
    <x v="4"/>
    <x v="4"/>
    <x v="0"/>
    <x v="0"/>
    <x v="0"/>
    <x v="0"/>
    <x v="0"/>
    <x v="0"/>
  </r>
  <r>
    <x v="185"/>
    <x v="0"/>
    <x v="11"/>
    <x v="11"/>
    <x v="0"/>
    <x v="3"/>
    <x v="1"/>
    <x v="1"/>
    <x v="1"/>
    <x v="0"/>
    <x v="1"/>
    <x v="94"/>
    <x v="4"/>
    <x v="4"/>
    <x v="13"/>
    <x v="13"/>
    <x v="1"/>
    <x v="27"/>
    <x v="39"/>
    <x v="0"/>
    <x v="0"/>
    <x v="27"/>
    <x v="39"/>
    <x v="0"/>
    <x v="0"/>
    <x v="0"/>
    <x v="0"/>
    <x v="0"/>
    <x v="0"/>
  </r>
  <r>
    <x v="186"/>
    <x v="0"/>
    <x v="45"/>
    <x v="45"/>
    <x v="0"/>
    <x v="4"/>
    <x v="2"/>
    <x v="1"/>
    <x v="1"/>
    <x v="0"/>
    <x v="1"/>
    <x v="95"/>
    <x v="4"/>
    <x v="4"/>
    <x v="24"/>
    <x v="24"/>
    <x v="1"/>
    <x v="9"/>
    <x v="10"/>
    <x v="0"/>
    <x v="0"/>
    <x v="9"/>
    <x v="10"/>
    <x v="0"/>
    <x v="0"/>
    <x v="0"/>
    <x v="0"/>
    <x v="0"/>
    <x v="0"/>
  </r>
  <r>
    <x v="187"/>
    <x v="0"/>
    <x v="46"/>
    <x v="46"/>
    <x v="0"/>
    <x v="3"/>
    <x v="1"/>
    <x v="1"/>
    <x v="1"/>
    <x v="0"/>
    <x v="1"/>
    <x v="96"/>
    <x v="4"/>
    <x v="4"/>
    <x v="33"/>
    <x v="33"/>
    <x v="1"/>
    <x v="9"/>
    <x v="10"/>
    <x v="0"/>
    <x v="0"/>
    <x v="9"/>
    <x v="10"/>
    <x v="0"/>
    <x v="0"/>
    <x v="0"/>
    <x v="0"/>
    <x v="0"/>
    <x v="0"/>
  </r>
  <r>
    <x v="188"/>
    <x v="0"/>
    <x v="10"/>
    <x v="10"/>
    <x v="0"/>
    <x v="3"/>
    <x v="1"/>
    <x v="1"/>
    <x v="1"/>
    <x v="0"/>
    <x v="1"/>
    <x v="97"/>
    <x v="4"/>
    <x v="4"/>
    <x v="36"/>
    <x v="36"/>
    <x v="1"/>
    <x v="4"/>
    <x v="4"/>
    <x v="0"/>
    <x v="0"/>
    <x v="4"/>
    <x v="4"/>
    <x v="0"/>
    <x v="0"/>
    <x v="0"/>
    <x v="0"/>
    <x v="0"/>
    <x v="0"/>
  </r>
  <r>
    <x v="189"/>
    <x v="0"/>
    <x v="29"/>
    <x v="29"/>
    <x v="0"/>
    <x v="2"/>
    <x v="1"/>
    <x v="1"/>
    <x v="1"/>
    <x v="0"/>
    <x v="1"/>
    <x v="98"/>
    <x v="4"/>
    <x v="4"/>
    <x v="25"/>
    <x v="25"/>
    <x v="1"/>
    <x v="9"/>
    <x v="10"/>
    <x v="0"/>
    <x v="0"/>
    <x v="9"/>
    <x v="10"/>
    <x v="0"/>
    <x v="0"/>
    <x v="0"/>
    <x v="0"/>
    <x v="0"/>
    <x v="0"/>
  </r>
  <r>
    <x v="190"/>
    <x v="0"/>
    <x v="13"/>
    <x v="13"/>
    <x v="0"/>
    <x v="5"/>
    <x v="3"/>
    <x v="1"/>
    <x v="1"/>
    <x v="0"/>
    <x v="1"/>
    <x v="99"/>
    <x v="4"/>
    <x v="4"/>
    <x v="21"/>
    <x v="21"/>
    <x v="1"/>
    <x v="9"/>
    <x v="10"/>
    <x v="0"/>
    <x v="0"/>
    <x v="9"/>
    <x v="10"/>
    <x v="0"/>
    <x v="0"/>
    <x v="0"/>
    <x v="0"/>
    <x v="0"/>
    <x v="0"/>
  </r>
  <r>
    <x v="191"/>
    <x v="0"/>
    <x v="43"/>
    <x v="43"/>
    <x v="0"/>
    <x v="8"/>
    <x v="6"/>
    <x v="0"/>
    <x v="1"/>
    <x v="0"/>
    <x v="0"/>
    <x v="100"/>
    <x v="4"/>
    <x v="4"/>
    <x v="33"/>
    <x v="33"/>
    <x v="1"/>
    <x v="4"/>
    <x v="4"/>
    <x v="0"/>
    <x v="0"/>
    <x v="4"/>
    <x v="4"/>
    <x v="0"/>
    <x v="0"/>
    <x v="0"/>
    <x v="0"/>
    <x v="0"/>
    <x v="0"/>
  </r>
  <r>
    <x v="192"/>
    <x v="0"/>
    <x v="2"/>
    <x v="2"/>
    <x v="0"/>
    <x v="0"/>
    <x v="0"/>
    <x v="0"/>
    <x v="1"/>
    <x v="0"/>
    <x v="0"/>
    <x v="101"/>
    <x v="4"/>
    <x v="4"/>
    <x v="35"/>
    <x v="35"/>
    <x v="1"/>
    <x v="9"/>
    <x v="10"/>
    <x v="0"/>
    <x v="0"/>
    <x v="9"/>
    <x v="10"/>
    <x v="0"/>
    <x v="0"/>
    <x v="0"/>
    <x v="0"/>
    <x v="0"/>
    <x v="0"/>
  </r>
  <r>
    <x v="193"/>
    <x v="0"/>
    <x v="2"/>
    <x v="2"/>
    <x v="0"/>
    <x v="0"/>
    <x v="0"/>
    <x v="0"/>
    <x v="1"/>
    <x v="0"/>
    <x v="0"/>
    <x v="101"/>
    <x v="4"/>
    <x v="4"/>
    <x v="5"/>
    <x v="5"/>
    <x v="1"/>
    <x v="20"/>
    <x v="25"/>
    <x v="0"/>
    <x v="0"/>
    <x v="20"/>
    <x v="25"/>
    <x v="0"/>
    <x v="0"/>
    <x v="0"/>
    <x v="0"/>
    <x v="0"/>
    <x v="0"/>
  </r>
  <r>
    <x v="194"/>
    <x v="0"/>
    <x v="2"/>
    <x v="2"/>
    <x v="0"/>
    <x v="0"/>
    <x v="0"/>
    <x v="0"/>
    <x v="1"/>
    <x v="0"/>
    <x v="0"/>
    <x v="101"/>
    <x v="4"/>
    <x v="4"/>
    <x v="33"/>
    <x v="33"/>
    <x v="1"/>
    <x v="9"/>
    <x v="10"/>
    <x v="0"/>
    <x v="0"/>
    <x v="9"/>
    <x v="10"/>
    <x v="0"/>
    <x v="0"/>
    <x v="0"/>
    <x v="0"/>
    <x v="0"/>
    <x v="0"/>
  </r>
  <r>
    <x v="195"/>
    <x v="0"/>
    <x v="40"/>
    <x v="40"/>
    <x v="0"/>
    <x v="10"/>
    <x v="5"/>
    <x v="0"/>
    <x v="0"/>
    <x v="0"/>
    <x v="0"/>
    <x v="102"/>
    <x v="4"/>
    <x v="4"/>
    <x v="32"/>
    <x v="32"/>
    <x v="0"/>
    <x v="26"/>
    <x v="37"/>
    <x v="0"/>
    <x v="0"/>
    <x v="26"/>
    <x v="37"/>
    <x v="0"/>
    <x v="0"/>
    <x v="0"/>
    <x v="0"/>
    <x v="0"/>
    <x v="0"/>
  </r>
  <r>
    <x v="196"/>
    <x v="0"/>
    <x v="40"/>
    <x v="40"/>
    <x v="0"/>
    <x v="10"/>
    <x v="5"/>
    <x v="0"/>
    <x v="0"/>
    <x v="0"/>
    <x v="0"/>
    <x v="102"/>
    <x v="4"/>
    <x v="4"/>
    <x v="0"/>
    <x v="0"/>
    <x v="0"/>
    <x v="10"/>
    <x v="11"/>
    <x v="0"/>
    <x v="0"/>
    <x v="10"/>
    <x v="11"/>
    <x v="0"/>
    <x v="0"/>
    <x v="0"/>
    <x v="0"/>
    <x v="0"/>
    <x v="0"/>
  </r>
  <r>
    <x v="197"/>
    <x v="0"/>
    <x v="17"/>
    <x v="17"/>
    <x v="0"/>
    <x v="7"/>
    <x v="5"/>
    <x v="0"/>
    <x v="0"/>
    <x v="0"/>
    <x v="0"/>
    <x v="103"/>
    <x v="4"/>
    <x v="4"/>
    <x v="0"/>
    <x v="0"/>
    <x v="0"/>
    <x v="6"/>
    <x v="6"/>
    <x v="0"/>
    <x v="0"/>
    <x v="6"/>
    <x v="6"/>
    <x v="0"/>
    <x v="0"/>
    <x v="0"/>
    <x v="0"/>
    <x v="0"/>
    <x v="0"/>
  </r>
  <r>
    <x v="198"/>
    <x v="0"/>
    <x v="42"/>
    <x v="42"/>
    <x v="0"/>
    <x v="14"/>
    <x v="9"/>
    <x v="0"/>
    <x v="0"/>
    <x v="0"/>
    <x v="0"/>
    <x v="104"/>
    <x v="4"/>
    <x v="4"/>
    <x v="19"/>
    <x v="19"/>
    <x v="0"/>
    <x v="5"/>
    <x v="5"/>
    <x v="0"/>
    <x v="0"/>
    <x v="5"/>
    <x v="5"/>
    <x v="0"/>
    <x v="0"/>
    <x v="0"/>
    <x v="0"/>
    <x v="0"/>
    <x v="0"/>
  </r>
  <r>
    <x v="199"/>
    <x v="0"/>
    <x v="42"/>
    <x v="42"/>
    <x v="0"/>
    <x v="14"/>
    <x v="9"/>
    <x v="0"/>
    <x v="0"/>
    <x v="0"/>
    <x v="0"/>
    <x v="104"/>
    <x v="4"/>
    <x v="4"/>
    <x v="0"/>
    <x v="0"/>
    <x v="0"/>
    <x v="14"/>
    <x v="15"/>
    <x v="0"/>
    <x v="0"/>
    <x v="14"/>
    <x v="15"/>
    <x v="0"/>
    <x v="0"/>
    <x v="0"/>
    <x v="0"/>
    <x v="0"/>
    <x v="0"/>
  </r>
  <r>
    <x v="200"/>
    <x v="0"/>
    <x v="50"/>
    <x v="50"/>
    <x v="0"/>
    <x v="12"/>
    <x v="4"/>
    <x v="1"/>
    <x v="1"/>
    <x v="0"/>
    <x v="3"/>
    <x v="105"/>
    <x v="4"/>
    <x v="4"/>
    <x v="14"/>
    <x v="14"/>
    <x v="1"/>
    <x v="4"/>
    <x v="4"/>
    <x v="0"/>
    <x v="0"/>
    <x v="4"/>
    <x v="4"/>
    <x v="0"/>
    <x v="0"/>
    <x v="0"/>
    <x v="0"/>
    <x v="0"/>
    <x v="0"/>
  </r>
  <r>
    <x v="201"/>
    <x v="0"/>
    <x v="13"/>
    <x v="13"/>
    <x v="0"/>
    <x v="5"/>
    <x v="3"/>
    <x v="1"/>
    <x v="1"/>
    <x v="0"/>
    <x v="1"/>
    <x v="106"/>
    <x v="4"/>
    <x v="4"/>
    <x v="1"/>
    <x v="1"/>
    <x v="1"/>
    <x v="9"/>
    <x v="10"/>
    <x v="0"/>
    <x v="0"/>
    <x v="9"/>
    <x v="10"/>
    <x v="0"/>
    <x v="0"/>
    <x v="0"/>
    <x v="0"/>
    <x v="0"/>
    <x v="0"/>
  </r>
  <r>
    <x v="202"/>
    <x v="0"/>
    <x v="38"/>
    <x v="38"/>
    <x v="0"/>
    <x v="11"/>
    <x v="8"/>
    <x v="1"/>
    <x v="1"/>
    <x v="0"/>
    <x v="3"/>
    <x v="107"/>
    <x v="4"/>
    <x v="4"/>
    <x v="1"/>
    <x v="1"/>
    <x v="1"/>
    <x v="17"/>
    <x v="36"/>
    <x v="0"/>
    <x v="0"/>
    <x v="17"/>
    <x v="36"/>
    <x v="0"/>
    <x v="0"/>
    <x v="0"/>
    <x v="0"/>
    <x v="0"/>
    <x v="0"/>
  </r>
  <r>
    <x v="203"/>
    <x v="0"/>
    <x v="48"/>
    <x v="48"/>
    <x v="0"/>
    <x v="0"/>
    <x v="0"/>
    <x v="0"/>
    <x v="0"/>
    <x v="0"/>
    <x v="0"/>
    <x v="108"/>
    <x v="4"/>
    <x v="4"/>
    <x v="15"/>
    <x v="15"/>
    <x v="0"/>
    <x v="13"/>
    <x v="40"/>
    <x v="0"/>
    <x v="0"/>
    <x v="13"/>
    <x v="40"/>
    <x v="0"/>
    <x v="0"/>
    <x v="0"/>
    <x v="0"/>
    <x v="0"/>
    <x v="0"/>
  </r>
  <r>
    <x v="204"/>
    <x v="0"/>
    <x v="48"/>
    <x v="48"/>
    <x v="0"/>
    <x v="0"/>
    <x v="0"/>
    <x v="0"/>
    <x v="1"/>
    <x v="0"/>
    <x v="0"/>
    <x v="109"/>
    <x v="4"/>
    <x v="4"/>
    <x v="16"/>
    <x v="16"/>
    <x v="2"/>
    <x v="6"/>
    <x v="41"/>
    <x v="0"/>
    <x v="0"/>
    <x v="6"/>
    <x v="41"/>
    <x v="0"/>
    <x v="0"/>
    <x v="0"/>
    <x v="0"/>
    <x v="0"/>
    <x v="0"/>
  </r>
  <r>
    <x v="205"/>
    <x v="0"/>
    <x v="48"/>
    <x v="48"/>
    <x v="0"/>
    <x v="0"/>
    <x v="0"/>
    <x v="0"/>
    <x v="1"/>
    <x v="0"/>
    <x v="0"/>
    <x v="109"/>
    <x v="4"/>
    <x v="4"/>
    <x v="1"/>
    <x v="1"/>
    <x v="1"/>
    <x v="13"/>
    <x v="31"/>
    <x v="0"/>
    <x v="0"/>
    <x v="13"/>
    <x v="31"/>
    <x v="0"/>
    <x v="0"/>
    <x v="0"/>
    <x v="0"/>
    <x v="0"/>
    <x v="0"/>
  </r>
  <r>
    <x v="206"/>
    <x v="0"/>
    <x v="48"/>
    <x v="48"/>
    <x v="0"/>
    <x v="0"/>
    <x v="0"/>
    <x v="0"/>
    <x v="1"/>
    <x v="0"/>
    <x v="0"/>
    <x v="109"/>
    <x v="4"/>
    <x v="4"/>
    <x v="3"/>
    <x v="3"/>
    <x v="1"/>
    <x v="8"/>
    <x v="9"/>
    <x v="0"/>
    <x v="0"/>
    <x v="8"/>
    <x v="9"/>
    <x v="0"/>
    <x v="0"/>
    <x v="0"/>
    <x v="0"/>
    <x v="0"/>
    <x v="0"/>
  </r>
  <r>
    <x v="207"/>
    <x v="0"/>
    <x v="48"/>
    <x v="48"/>
    <x v="0"/>
    <x v="0"/>
    <x v="0"/>
    <x v="0"/>
    <x v="1"/>
    <x v="0"/>
    <x v="0"/>
    <x v="109"/>
    <x v="4"/>
    <x v="4"/>
    <x v="35"/>
    <x v="35"/>
    <x v="1"/>
    <x v="14"/>
    <x v="42"/>
    <x v="0"/>
    <x v="0"/>
    <x v="14"/>
    <x v="42"/>
    <x v="0"/>
    <x v="0"/>
    <x v="0"/>
    <x v="0"/>
    <x v="0"/>
    <x v="0"/>
  </r>
  <r>
    <x v="208"/>
    <x v="0"/>
    <x v="48"/>
    <x v="48"/>
    <x v="0"/>
    <x v="0"/>
    <x v="0"/>
    <x v="0"/>
    <x v="0"/>
    <x v="0"/>
    <x v="0"/>
    <x v="109"/>
    <x v="4"/>
    <x v="4"/>
    <x v="15"/>
    <x v="15"/>
    <x v="0"/>
    <x v="12"/>
    <x v="43"/>
    <x v="0"/>
    <x v="0"/>
    <x v="12"/>
    <x v="43"/>
    <x v="0"/>
    <x v="0"/>
    <x v="0"/>
    <x v="0"/>
    <x v="0"/>
    <x v="0"/>
  </r>
  <r>
    <x v="209"/>
    <x v="0"/>
    <x v="48"/>
    <x v="48"/>
    <x v="0"/>
    <x v="0"/>
    <x v="0"/>
    <x v="0"/>
    <x v="1"/>
    <x v="0"/>
    <x v="0"/>
    <x v="110"/>
    <x v="4"/>
    <x v="4"/>
    <x v="35"/>
    <x v="35"/>
    <x v="1"/>
    <x v="28"/>
    <x v="44"/>
    <x v="0"/>
    <x v="0"/>
    <x v="28"/>
    <x v="44"/>
    <x v="0"/>
    <x v="0"/>
    <x v="0"/>
    <x v="0"/>
    <x v="0"/>
    <x v="0"/>
  </r>
  <r>
    <x v="210"/>
    <x v="0"/>
    <x v="49"/>
    <x v="49"/>
    <x v="0"/>
    <x v="1"/>
    <x v="0"/>
    <x v="0"/>
    <x v="0"/>
    <x v="0"/>
    <x v="0"/>
    <x v="111"/>
    <x v="4"/>
    <x v="4"/>
    <x v="0"/>
    <x v="0"/>
    <x v="0"/>
    <x v="17"/>
    <x v="18"/>
    <x v="0"/>
    <x v="0"/>
    <x v="17"/>
    <x v="18"/>
    <x v="0"/>
    <x v="0"/>
    <x v="0"/>
    <x v="0"/>
    <x v="0"/>
    <x v="0"/>
  </r>
  <r>
    <x v="211"/>
    <x v="0"/>
    <x v="2"/>
    <x v="2"/>
    <x v="0"/>
    <x v="0"/>
    <x v="0"/>
    <x v="0"/>
    <x v="1"/>
    <x v="0"/>
    <x v="0"/>
    <x v="112"/>
    <x v="5"/>
    <x v="5"/>
    <x v="1"/>
    <x v="1"/>
    <x v="1"/>
    <x v="23"/>
    <x v="45"/>
    <x v="0"/>
    <x v="0"/>
    <x v="23"/>
    <x v="45"/>
    <x v="0"/>
    <x v="0"/>
    <x v="0"/>
    <x v="0"/>
    <x v="0"/>
    <x v="0"/>
  </r>
  <r>
    <x v="212"/>
    <x v="0"/>
    <x v="31"/>
    <x v="31"/>
    <x v="0"/>
    <x v="0"/>
    <x v="0"/>
    <x v="0"/>
    <x v="1"/>
    <x v="0"/>
    <x v="0"/>
    <x v="113"/>
    <x v="5"/>
    <x v="5"/>
    <x v="5"/>
    <x v="5"/>
    <x v="1"/>
    <x v="5"/>
    <x v="26"/>
    <x v="0"/>
    <x v="0"/>
    <x v="5"/>
    <x v="26"/>
    <x v="0"/>
    <x v="0"/>
    <x v="0"/>
    <x v="0"/>
    <x v="0"/>
    <x v="0"/>
  </r>
  <r>
    <x v="213"/>
    <x v="0"/>
    <x v="51"/>
    <x v="51"/>
    <x v="0"/>
    <x v="10"/>
    <x v="5"/>
    <x v="0"/>
    <x v="0"/>
    <x v="0"/>
    <x v="0"/>
    <x v="114"/>
    <x v="5"/>
    <x v="5"/>
    <x v="17"/>
    <x v="17"/>
    <x v="0"/>
    <x v="1"/>
    <x v="1"/>
    <x v="0"/>
    <x v="0"/>
    <x v="1"/>
    <x v="1"/>
    <x v="0"/>
    <x v="0"/>
    <x v="0"/>
    <x v="0"/>
    <x v="0"/>
    <x v="0"/>
  </r>
  <r>
    <x v="214"/>
    <x v="0"/>
    <x v="51"/>
    <x v="51"/>
    <x v="0"/>
    <x v="10"/>
    <x v="5"/>
    <x v="0"/>
    <x v="0"/>
    <x v="0"/>
    <x v="0"/>
    <x v="114"/>
    <x v="5"/>
    <x v="5"/>
    <x v="0"/>
    <x v="0"/>
    <x v="0"/>
    <x v="6"/>
    <x v="6"/>
    <x v="0"/>
    <x v="0"/>
    <x v="6"/>
    <x v="6"/>
    <x v="0"/>
    <x v="0"/>
    <x v="0"/>
    <x v="0"/>
    <x v="0"/>
    <x v="0"/>
  </r>
  <r>
    <x v="215"/>
    <x v="0"/>
    <x v="51"/>
    <x v="51"/>
    <x v="0"/>
    <x v="10"/>
    <x v="5"/>
    <x v="0"/>
    <x v="1"/>
    <x v="0"/>
    <x v="0"/>
    <x v="114"/>
    <x v="5"/>
    <x v="5"/>
    <x v="6"/>
    <x v="6"/>
    <x v="1"/>
    <x v="4"/>
    <x v="4"/>
    <x v="0"/>
    <x v="0"/>
    <x v="4"/>
    <x v="4"/>
    <x v="0"/>
    <x v="0"/>
    <x v="0"/>
    <x v="0"/>
    <x v="0"/>
    <x v="0"/>
  </r>
  <r>
    <x v="216"/>
    <x v="0"/>
    <x v="51"/>
    <x v="51"/>
    <x v="0"/>
    <x v="10"/>
    <x v="5"/>
    <x v="0"/>
    <x v="0"/>
    <x v="0"/>
    <x v="0"/>
    <x v="114"/>
    <x v="5"/>
    <x v="5"/>
    <x v="37"/>
    <x v="37"/>
    <x v="0"/>
    <x v="1"/>
    <x v="1"/>
    <x v="0"/>
    <x v="0"/>
    <x v="1"/>
    <x v="1"/>
    <x v="0"/>
    <x v="0"/>
    <x v="0"/>
    <x v="0"/>
    <x v="0"/>
    <x v="0"/>
  </r>
  <r>
    <x v="217"/>
    <x v="0"/>
    <x v="51"/>
    <x v="51"/>
    <x v="0"/>
    <x v="10"/>
    <x v="5"/>
    <x v="0"/>
    <x v="0"/>
    <x v="0"/>
    <x v="0"/>
    <x v="114"/>
    <x v="5"/>
    <x v="5"/>
    <x v="19"/>
    <x v="19"/>
    <x v="0"/>
    <x v="17"/>
    <x v="18"/>
    <x v="0"/>
    <x v="0"/>
    <x v="17"/>
    <x v="18"/>
    <x v="0"/>
    <x v="0"/>
    <x v="0"/>
    <x v="0"/>
    <x v="0"/>
    <x v="0"/>
  </r>
  <r>
    <x v="218"/>
    <x v="0"/>
    <x v="20"/>
    <x v="20"/>
    <x v="0"/>
    <x v="9"/>
    <x v="7"/>
    <x v="0"/>
    <x v="0"/>
    <x v="0"/>
    <x v="0"/>
    <x v="115"/>
    <x v="5"/>
    <x v="5"/>
    <x v="17"/>
    <x v="17"/>
    <x v="0"/>
    <x v="5"/>
    <x v="5"/>
    <x v="0"/>
    <x v="0"/>
    <x v="5"/>
    <x v="5"/>
    <x v="0"/>
    <x v="0"/>
    <x v="0"/>
    <x v="0"/>
    <x v="0"/>
    <x v="0"/>
  </r>
  <r>
    <x v="219"/>
    <x v="0"/>
    <x v="20"/>
    <x v="20"/>
    <x v="0"/>
    <x v="9"/>
    <x v="7"/>
    <x v="0"/>
    <x v="0"/>
    <x v="0"/>
    <x v="0"/>
    <x v="115"/>
    <x v="5"/>
    <x v="5"/>
    <x v="19"/>
    <x v="19"/>
    <x v="0"/>
    <x v="5"/>
    <x v="5"/>
    <x v="0"/>
    <x v="0"/>
    <x v="5"/>
    <x v="5"/>
    <x v="0"/>
    <x v="0"/>
    <x v="0"/>
    <x v="0"/>
    <x v="0"/>
    <x v="0"/>
  </r>
  <r>
    <x v="220"/>
    <x v="0"/>
    <x v="20"/>
    <x v="20"/>
    <x v="0"/>
    <x v="9"/>
    <x v="7"/>
    <x v="0"/>
    <x v="0"/>
    <x v="0"/>
    <x v="0"/>
    <x v="115"/>
    <x v="5"/>
    <x v="5"/>
    <x v="0"/>
    <x v="0"/>
    <x v="0"/>
    <x v="6"/>
    <x v="6"/>
    <x v="0"/>
    <x v="0"/>
    <x v="6"/>
    <x v="6"/>
    <x v="0"/>
    <x v="0"/>
    <x v="0"/>
    <x v="0"/>
    <x v="0"/>
    <x v="0"/>
  </r>
  <r>
    <x v="221"/>
    <x v="0"/>
    <x v="43"/>
    <x v="43"/>
    <x v="0"/>
    <x v="8"/>
    <x v="6"/>
    <x v="0"/>
    <x v="1"/>
    <x v="0"/>
    <x v="0"/>
    <x v="116"/>
    <x v="5"/>
    <x v="5"/>
    <x v="33"/>
    <x v="33"/>
    <x v="1"/>
    <x v="9"/>
    <x v="10"/>
    <x v="0"/>
    <x v="0"/>
    <x v="9"/>
    <x v="10"/>
    <x v="0"/>
    <x v="0"/>
    <x v="0"/>
    <x v="0"/>
    <x v="0"/>
    <x v="0"/>
  </r>
  <r>
    <x v="222"/>
    <x v="0"/>
    <x v="52"/>
    <x v="52"/>
    <x v="0"/>
    <x v="3"/>
    <x v="1"/>
    <x v="1"/>
    <x v="1"/>
    <x v="0"/>
    <x v="1"/>
    <x v="117"/>
    <x v="5"/>
    <x v="5"/>
    <x v="1"/>
    <x v="1"/>
    <x v="1"/>
    <x v="1"/>
    <x v="27"/>
    <x v="0"/>
    <x v="0"/>
    <x v="1"/>
    <x v="27"/>
    <x v="0"/>
    <x v="0"/>
    <x v="0"/>
    <x v="0"/>
    <x v="0"/>
    <x v="0"/>
  </r>
  <r>
    <x v="223"/>
    <x v="0"/>
    <x v="21"/>
    <x v="21"/>
    <x v="0"/>
    <x v="10"/>
    <x v="5"/>
    <x v="0"/>
    <x v="1"/>
    <x v="0"/>
    <x v="0"/>
    <x v="118"/>
    <x v="5"/>
    <x v="5"/>
    <x v="6"/>
    <x v="6"/>
    <x v="1"/>
    <x v="19"/>
    <x v="24"/>
    <x v="0"/>
    <x v="0"/>
    <x v="19"/>
    <x v="24"/>
    <x v="0"/>
    <x v="0"/>
    <x v="0"/>
    <x v="0"/>
    <x v="0"/>
    <x v="0"/>
  </r>
  <r>
    <x v="224"/>
    <x v="0"/>
    <x v="21"/>
    <x v="21"/>
    <x v="0"/>
    <x v="10"/>
    <x v="5"/>
    <x v="0"/>
    <x v="1"/>
    <x v="0"/>
    <x v="0"/>
    <x v="119"/>
    <x v="5"/>
    <x v="5"/>
    <x v="6"/>
    <x v="6"/>
    <x v="1"/>
    <x v="28"/>
    <x v="44"/>
    <x v="0"/>
    <x v="0"/>
    <x v="28"/>
    <x v="44"/>
    <x v="0"/>
    <x v="0"/>
    <x v="0"/>
    <x v="0"/>
    <x v="0"/>
    <x v="0"/>
  </r>
  <r>
    <x v="225"/>
    <x v="0"/>
    <x v="48"/>
    <x v="48"/>
    <x v="0"/>
    <x v="0"/>
    <x v="0"/>
    <x v="0"/>
    <x v="0"/>
    <x v="0"/>
    <x v="0"/>
    <x v="120"/>
    <x v="5"/>
    <x v="5"/>
    <x v="15"/>
    <x v="15"/>
    <x v="0"/>
    <x v="5"/>
    <x v="5"/>
    <x v="0"/>
    <x v="0"/>
    <x v="5"/>
    <x v="5"/>
    <x v="0"/>
    <x v="0"/>
    <x v="0"/>
    <x v="0"/>
    <x v="0"/>
    <x v="0"/>
  </r>
  <r>
    <x v="226"/>
    <x v="0"/>
    <x v="48"/>
    <x v="48"/>
    <x v="0"/>
    <x v="0"/>
    <x v="0"/>
    <x v="0"/>
    <x v="1"/>
    <x v="0"/>
    <x v="0"/>
    <x v="121"/>
    <x v="5"/>
    <x v="5"/>
    <x v="34"/>
    <x v="34"/>
    <x v="1"/>
    <x v="6"/>
    <x v="8"/>
    <x v="0"/>
    <x v="0"/>
    <x v="6"/>
    <x v="8"/>
    <x v="0"/>
    <x v="0"/>
    <x v="0"/>
    <x v="0"/>
    <x v="0"/>
    <x v="0"/>
  </r>
  <r>
    <x v="227"/>
    <x v="0"/>
    <x v="48"/>
    <x v="48"/>
    <x v="0"/>
    <x v="0"/>
    <x v="0"/>
    <x v="0"/>
    <x v="1"/>
    <x v="0"/>
    <x v="0"/>
    <x v="121"/>
    <x v="5"/>
    <x v="5"/>
    <x v="35"/>
    <x v="35"/>
    <x v="1"/>
    <x v="4"/>
    <x v="4"/>
    <x v="0"/>
    <x v="0"/>
    <x v="4"/>
    <x v="4"/>
    <x v="0"/>
    <x v="0"/>
    <x v="0"/>
    <x v="0"/>
    <x v="0"/>
    <x v="0"/>
  </r>
  <r>
    <x v="228"/>
    <x v="0"/>
    <x v="53"/>
    <x v="53"/>
    <x v="0"/>
    <x v="0"/>
    <x v="0"/>
    <x v="0"/>
    <x v="1"/>
    <x v="0"/>
    <x v="0"/>
    <x v="122"/>
    <x v="5"/>
    <x v="5"/>
    <x v="38"/>
    <x v="38"/>
    <x v="1"/>
    <x v="4"/>
    <x v="4"/>
    <x v="0"/>
    <x v="0"/>
    <x v="4"/>
    <x v="4"/>
    <x v="0"/>
    <x v="0"/>
    <x v="0"/>
    <x v="0"/>
    <x v="0"/>
    <x v="0"/>
  </r>
  <r>
    <x v="229"/>
    <x v="0"/>
    <x v="53"/>
    <x v="53"/>
    <x v="0"/>
    <x v="0"/>
    <x v="0"/>
    <x v="0"/>
    <x v="1"/>
    <x v="0"/>
    <x v="0"/>
    <x v="122"/>
    <x v="5"/>
    <x v="5"/>
    <x v="10"/>
    <x v="10"/>
    <x v="1"/>
    <x v="16"/>
    <x v="46"/>
    <x v="0"/>
    <x v="0"/>
    <x v="16"/>
    <x v="46"/>
    <x v="0"/>
    <x v="0"/>
    <x v="0"/>
    <x v="0"/>
    <x v="0"/>
    <x v="0"/>
  </r>
  <r>
    <x v="230"/>
    <x v="0"/>
    <x v="53"/>
    <x v="53"/>
    <x v="0"/>
    <x v="0"/>
    <x v="0"/>
    <x v="0"/>
    <x v="1"/>
    <x v="0"/>
    <x v="0"/>
    <x v="123"/>
    <x v="5"/>
    <x v="5"/>
    <x v="10"/>
    <x v="10"/>
    <x v="1"/>
    <x v="4"/>
    <x v="4"/>
    <x v="0"/>
    <x v="0"/>
    <x v="4"/>
    <x v="4"/>
    <x v="0"/>
    <x v="0"/>
    <x v="0"/>
    <x v="0"/>
    <x v="0"/>
    <x v="0"/>
  </r>
  <r>
    <x v="231"/>
    <x v="0"/>
    <x v="53"/>
    <x v="53"/>
    <x v="0"/>
    <x v="0"/>
    <x v="0"/>
    <x v="0"/>
    <x v="1"/>
    <x v="0"/>
    <x v="0"/>
    <x v="124"/>
    <x v="5"/>
    <x v="5"/>
    <x v="10"/>
    <x v="10"/>
    <x v="1"/>
    <x v="17"/>
    <x v="36"/>
    <x v="0"/>
    <x v="0"/>
    <x v="17"/>
    <x v="36"/>
    <x v="0"/>
    <x v="0"/>
    <x v="0"/>
    <x v="0"/>
    <x v="0"/>
    <x v="0"/>
  </r>
  <r>
    <x v="232"/>
    <x v="0"/>
    <x v="3"/>
    <x v="3"/>
    <x v="0"/>
    <x v="1"/>
    <x v="0"/>
    <x v="0"/>
    <x v="1"/>
    <x v="0"/>
    <x v="0"/>
    <x v="125"/>
    <x v="6"/>
    <x v="6"/>
    <x v="1"/>
    <x v="1"/>
    <x v="1"/>
    <x v="6"/>
    <x v="8"/>
    <x v="0"/>
    <x v="0"/>
    <x v="6"/>
    <x v="8"/>
    <x v="0"/>
    <x v="0"/>
    <x v="0"/>
    <x v="0"/>
    <x v="0"/>
    <x v="0"/>
  </r>
  <r>
    <x v="233"/>
    <x v="0"/>
    <x v="3"/>
    <x v="3"/>
    <x v="0"/>
    <x v="1"/>
    <x v="0"/>
    <x v="0"/>
    <x v="0"/>
    <x v="0"/>
    <x v="0"/>
    <x v="125"/>
    <x v="6"/>
    <x v="6"/>
    <x v="0"/>
    <x v="0"/>
    <x v="0"/>
    <x v="17"/>
    <x v="18"/>
    <x v="0"/>
    <x v="0"/>
    <x v="17"/>
    <x v="18"/>
    <x v="0"/>
    <x v="0"/>
    <x v="0"/>
    <x v="0"/>
    <x v="0"/>
    <x v="0"/>
  </r>
  <r>
    <x v="234"/>
    <x v="0"/>
    <x v="41"/>
    <x v="41"/>
    <x v="0"/>
    <x v="1"/>
    <x v="0"/>
    <x v="0"/>
    <x v="1"/>
    <x v="0"/>
    <x v="0"/>
    <x v="126"/>
    <x v="6"/>
    <x v="6"/>
    <x v="5"/>
    <x v="5"/>
    <x v="1"/>
    <x v="9"/>
    <x v="10"/>
    <x v="0"/>
    <x v="0"/>
    <x v="9"/>
    <x v="10"/>
    <x v="0"/>
    <x v="0"/>
    <x v="0"/>
    <x v="0"/>
    <x v="0"/>
    <x v="0"/>
  </r>
  <r>
    <x v="235"/>
    <x v="0"/>
    <x v="20"/>
    <x v="20"/>
    <x v="0"/>
    <x v="9"/>
    <x v="7"/>
    <x v="0"/>
    <x v="1"/>
    <x v="0"/>
    <x v="0"/>
    <x v="127"/>
    <x v="6"/>
    <x v="6"/>
    <x v="1"/>
    <x v="1"/>
    <x v="1"/>
    <x v="20"/>
    <x v="25"/>
    <x v="0"/>
    <x v="0"/>
    <x v="20"/>
    <x v="25"/>
    <x v="0"/>
    <x v="0"/>
    <x v="0"/>
    <x v="0"/>
    <x v="0"/>
    <x v="0"/>
  </r>
  <r>
    <x v="236"/>
    <x v="0"/>
    <x v="20"/>
    <x v="20"/>
    <x v="0"/>
    <x v="9"/>
    <x v="7"/>
    <x v="0"/>
    <x v="0"/>
    <x v="0"/>
    <x v="0"/>
    <x v="127"/>
    <x v="6"/>
    <x v="6"/>
    <x v="17"/>
    <x v="17"/>
    <x v="0"/>
    <x v="5"/>
    <x v="5"/>
    <x v="0"/>
    <x v="0"/>
    <x v="5"/>
    <x v="5"/>
    <x v="0"/>
    <x v="0"/>
    <x v="0"/>
    <x v="0"/>
    <x v="0"/>
    <x v="0"/>
  </r>
  <r>
    <x v="237"/>
    <x v="0"/>
    <x v="35"/>
    <x v="35"/>
    <x v="0"/>
    <x v="9"/>
    <x v="7"/>
    <x v="0"/>
    <x v="0"/>
    <x v="0"/>
    <x v="0"/>
    <x v="128"/>
    <x v="6"/>
    <x v="6"/>
    <x v="8"/>
    <x v="8"/>
    <x v="0"/>
    <x v="5"/>
    <x v="5"/>
    <x v="0"/>
    <x v="0"/>
    <x v="5"/>
    <x v="5"/>
    <x v="0"/>
    <x v="0"/>
    <x v="0"/>
    <x v="0"/>
    <x v="0"/>
    <x v="0"/>
  </r>
  <r>
    <x v="238"/>
    <x v="0"/>
    <x v="44"/>
    <x v="44"/>
    <x v="0"/>
    <x v="8"/>
    <x v="6"/>
    <x v="0"/>
    <x v="1"/>
    <x v="0"/>
    <x v="0"/>
    <x v="129"/>
    <x v="6"/>
    <x v="6"/>
    <x v="20"/>
    <x v="20"/>
    <x v="1"/>
    <x v="4"/>
    <x v="4"/>
    <x v="0"/>
    <x v="0"/>
    <x v="4"/>
    <x v="4"/>
    <x v="0"/>
    <x v="0"/>
    <x v="0"/>
    <x v="0"/>
    <x v="0"/>
    <x v="0"/>
  </r>
  <r>
    <x v="239"/>
    <x v="0"/>
    <x v="44"/>
    <x v="44"/>
    <x v="0"/>
    <x v="8"/>
    <x v="6"/>
    <x v="0"/>
    <x v="1"/>
    <x v="0"/>
    <x v="0"/>
    <x v="129"/>
    <x v="6"/>
    <x v="6"/>
    <x v="33"/>
    <x v="33"/>
    <x v="1"/>
    <x v="9"/>
    <x v="10"/>
    <x v="0"/>
    <x v="0"/>
    <x v="9"/>
    <x v="10"/>
    <x v="0"/>
    <x v="0"/>
    <x v="0"/>
    <x v="0"/>
    <x v="0"/>
    <x v="0"/>
  </r>
  <r>
    <x v="240"/>
    <x v="0"/>
    <x v="42"/>
    <x v="42"/>
    <x v="0"/>
    <x v="14"/>
    <x v="9"/>
    <x v="0"/>
    <x v="0"/>
    <x v="0"/>
    <x v="0"/>
    <x v="130"/>
    <x v="6"/>
    <x v="6"/>
    <x v="0"/>
    <x v="0"/>
    <x v="0"/>
    <x v="27"/>
    <x v="47"/>
    <x v="0"/>
    <x v="0"/>
    <x v="27"/>
    <x v="47"/>
    <x v="0"/>
    <x v="0"/>
    <x v="0"/>
    <x v="0"/>
    <x v="0"/>
    <x v="0"/>
  </r>
  <r>
    <x v="241"/>
    <x v="0"/>
    <x v="53"/>
    <x v="53"/>
    <x v="0"/>
    <x v="0"/>
    <x v="0"/>
    <x v="0"/>
    <x v="1"/>
    <x v="0"/>
    <x v="0"/>
    <x v="131"/>
    <x v="6"/>
    <x v="6"/>
    <x v="6"/>
    <x v="6"/>
    <x v="1"/>
    <x v="9"/>
    <x v="10"/>
    <x v="0"/>
    <x v="0"/>
    <x v="9"/>
    <x v="10"/>
    <x v="0"/>
    <x v="0"/>
    <x v="0"/>
    <x v="0"/>
    <x v="0"/>
    <x v="0"/>
  </r>
  <r>
    <x v="242"/>
    <x v="0"/>
    <x v="54"/>
    <x v="54"/>
    <x v="0"/>
    <x v="0"/>
    <x v="0"/>
    <x v="0"/>
    <x v="1"/>
    <x v="0"/>
    <x v="0"/>
    <x v="132"/>
    <x v="6"/>
    <x v="6"/>
    <x v="1"/>
    <x v="1"/>
    <x v="1"/>
    <x v="4"/>
    <x v="4"/>
    <x v="0"/>
    <x v="0"/>
    <x v="4"/>
    <x v="4"/>
    <x v="0"/>
    <x v="0"/>
    <x v="0"/>
    <x v="0"/>
    <x v="0"/>
    <x v="0"/>
  </r>
  <r>
    <x v="243"/>
    <x v="0"/>
    <x v="54"/>
    <x v="54"/>
    <x v="0"/>
    <x v="0"/>
    <x v="0"/>
    <x v="0"/>
    <x v="1"/>
    <x v="0"/>
    <x v="0"/>
    <x v="133"/>
    <x v="6"/>
    <x v="6"/>
    <x v="35"/>
    <x v="35"/>
    <x v="1"/>
    <x v="4"/>
    <x v="4"/>
    <x v="0"/>
    <x v="0"/>
    <x v="4"/>
    <x v="4"/>
    <x v="0"/>
    <x v="0"/>
    <x v="0"/>
    <x v="0"/>
    <x v="0"/>
    <x v="0"/>
  </r>
  <r>
    <x v="244"/>
    <x v="0"/>
    <x v="0"/>
    <x v="0"/>
    <x v="0"/>
    <x v="0"/>
    <x v="0"/>
    <x v="0"/>
    <x v="0"/>
    <x v="0"/>
    <x v="0"/>
    <x v="134"/>
    <x v="6"/>
    <x v="6"/>
    <x v="0"/>
    <x v="0"/>
    <x v="0"/>
    <x v="16"/>
    <x v="17"/>
    <x v="0"/>
    <x v="0"/>
    <x v="16"/>
    <x v="17"/>
    <x v="0"/>
    <x v="0"/>
    <x v="0"/>
    <x v="0"/>
    <x v="0"/>
    <x v="0"/>
  </r>
  <r>
    <x v="245"/>
    <x v="0"/>
    <x v="31"/>
    <x v="31"/>
    <x v="0"/>
    <x v="0"/>
    <x v="0"/>
    <x v="0"/>
    <x v="1"/>
    <x v="0"/>
    <x v="0"/>
    <x v="135"/>
    <x v="6"/>
    <x v="6"/>
    <x v="5"/>
    <x v="5"/>
    <x v="1"/>
    <x v="5"/>
    <x v="26"/>
    <x v="0"/>
    <x v="0"/>
    <x v="5"/>
    <x v="26"/>
    <x v="0"/>
    <x v="0"/>
    <x v="0"/>
    <x v="0"/>
    <x v="0"/>
    <x v="0"/>
  </r>
  <r>
    <x v="246"/>
    <x v="0"/>
    <x v="55"/>
    <x v="55"/>
    <x v="0"/>
    <x v="10"/>
    <x v="5"/>
    <x v="0"/>
    <x v="0"/>
    <x v="0"/>
    <x v="0"/>
    <x v="136"/>
    <x v="6"/>
    <x v="6"/>
    <x v="0"/>
    <x v="0"/>
    <x v="0"/>
    <x v="0"/>
    <x v="0"/>
    <x v="0"/>
    <x v="0"/>
    <x v="0"/>
    <x v="0"/>
    <x v="0"/>
    <x v="0"/>
    <x v="0"/>
    <x v="0"/>
    <x v="0"/>
    <x v="0"/>
  </r>
  <r>
    <x v="247"/>
    <x v="0"/>
    <x v="55"/>
    <x v="55"/>
    <x v="0"/>
    <x v="10"/>
    <x v="5"/>
    <x v="0"/>
    <x v="1"/>
    <x v="0"/>
    <x v="0"/>
    <x v="136"/>
    <x v="6"/>
    <x v="6"/>
    <x v="1"/>
    <x v="1"/>
    <x v="1"/>
    <x v="0"/>
    <x v="21"/>
    <x v="0"/>
    <x v="0"/>
    <x v="0"/>
    <x v="21"/>
    <x v="0"/>
    <x v="0"/>
    <x v="0"/>
    <x v="0"/>
    <x v="0"/>
    <x v="0"/>
  </r>
  <r>
    <x v="248"/>
    <x v="0"/>
    <x v="55"/>
    <x v="55"/>
    <x v="0"/>
    <x v="10"/>
    <x v="5"/>
    <x v="0"/>
    <x v="0"/>
    <x v="0"/>
    <x v="0"/>
    <x v="136"/>
    <x v="6"/>
    <x v="6"/>
    <x v="39"/>
    <x v="39"/>
    <x v="0"/>
    <x v="21"/>
    <x v="48"/>
    <x v="0"/>
    <x v="0"/>
    <x v="21"/>
    <x v="48"/>
    <x v="0"/>
    <x v="0"/>
    <x v="0"/>
    <x v="0"/>
    <x v="0"/>
    <x v="0"/>
  </r>
  <r>
    <x v="249"/>
    <x v="0"/>
    <x v="40"/>
    <x v="40"/>
    <x v="0"/>
    <x v="10"/>
    <x v="5"/>
    <x v="0"/>
    <x v="0"/>
    <x v="0"/>
    <x v="0"/>
    <x v="137"/>
    <x v="6"/>
    <x v="6"/>
    <x v="17"/>
    <x v="17"/>
    <x v="0"/>
    <x v="6"/>
    <x v="6"/>
    <x v="0"/>
    <x v="0"/>
    <x v="6"/>
    <x v="6"/>
    <x v="0"/>
    <x v="0"/>
    <x v="0"/>
    <x v="0"/>
    <x v="0"/>
    <x v="0"/>
  </r>
  <r>
    <x v="250"/>
    <x v="0"/>
    <x v="40"/>
    <x v="40"/>
    <x v="0"/>
    <x v="10"/>
    <x v="5"/>
    <x v="0"/>
    <x v="0"/>
    <x v="0"/>
    <x v="0"/>
    <x v="137"/>
    <x v="6"/>
    <x v="6"/>
    <x v="4"/>
    <x v="4"/>
    <x v="0"/>
    <x v="17"/>
    <x v="18"/>
    <x v="0"/>
    <x v="0"/>
    <x v="17"/>
    <x v="18"/>
    <x v="0"/>
    <x v="0"/>
    <x v="0"/>
    <x v="0"/>
    <x v="0"/>
    <x v="0"/>
  </r>
  <r>
    <x v="251"/>
    <x v="0"/>
    <x v="40"/>
    <x v="40"/>
    <x v="0"/>
    <x v="10"/>
    <x v="5"/>
    <x v="0"/>
    <x v="0"/>
    <x v="0"/>
    <x v="0"/>
    <x v="137"/>
    <x v="6"/>
    <x v="6"/>
    <x v="0"/>
    <x v="0"/>
    <x v="0"/>
    <x v="15"/>
    <x v="16"/>
    <x v="0"/>
    <x v="0"/>
    <x v="15"/>
    <x v="16"/>
    <x v="0"/>
    <x v="0"/>
    <x v="0"/>
    <x v="0"/>
    <x v="0"/>
    <x v="0"/>
  </r>
  <r>
    <x v="252"/>
    <x v="0"/>
    <x v="40"/>
    <x v="40"/>
    <x v="0"/>
    <x v="10"/>
    <x v="5"/>
    <x v="0"/>
    <x v="0"/>
    <x v="0"/>
    <x v="0"/>
    <x v="137"/>
    <x v="6"/>
    <x v="6"/>
    <x v="32"/>
    <x v="32"/>
    <x v="0"/>
    <x v="29"/>
    <x v="49"/>
    <x v="0"/>
    <x v="0"/>
    <x v="29"/>
    <x v="49"/>
    <x v="0"/>
    <x v="0"/>
    <x v="0"/>
    <x v="0"/>
    <x v="0"/>
    <x v="0"/>
  </r>
  <r>
    <x v="253"/>
    <x v="0"/>
    <x v="45"/>
    <x v="45"/>
    <x v="0"/>
    <x v="4"/>
    <x v="2"/>
    <x v="1"/>
    <x v="1"/>
    <x v="0"/>
    <x v="1"/>
    <x v="138"/>
    <x v="6"/>
    <x v="6"/>
    <x v="10"/>
    <x v="10"/>
    <x v="1"/>
    <x v="9"/>
    <x v="10"/>
    <x v="0"/>
    <x v="0"/>
    <x v="9"/>
    <x v="10"/>
    <x v="0"/>
    <x v="0"/>
    <x v="0"/>
    <x v="0"/>
    <x v="0"/>
    <x v="0"/>
  </r>
  <r>
    <x v="254"/>
    <x v="0"/>
    <x v="37"/>
    <x v="37"/>
    <x v="0"/>
    <x v="2"/>
    <x v="1"/>
    <x v="1"/>
    <x v="1"/>
    <x v="0"/>
    <x v="1"/>
    <x v="139"/>
    <x v="6"/>
    <x v="6"/>
    <x v="16"/>
    <x v="16"/>
    <x v="2"/>
    <x v="9"/>
    <x v="23"/>
    <x v="0"/>
    <x v="0"/>
    <x v="9"/>
    <x v="23"/>
    <x v="0"/>
    <x v="0"/>
    <x v="0"/>
    <x v="0"/>
    <x v="0"/>
    <x v="0"/>
  </r>
  <r>
    <x v="255"/>
    <x v="0"/>
    <x v="56"/>
    <x v="56"/>
    <x v="0"/>
    <x v="6"/>
    <x v="4"/>
    <x v="1"/>
    <x v="1"/>
    <x v="0"/>
    <x v="2"/>
    <x v="140"/>
    <x v="6"/>
    <x v="6"/>
    <x v="29"/>
    <x v="29"/>
    <x v="1"/>
    <x v="8"/>
    <x v="9"/>
    <x v="0"/>
    <x v="0"/>
    <x v="8"/>
    <x v="9"/>
    <x v="0"/>
    <x v="0"/>
    <x v="0"/>
    <x v="0"/>
    <x v="0"/>
    <x v="0"/>
  </r>
  <r>
    <x v="256"/>
    <x v="0"/>
    <x v="28"/>
    <x v="28"/>
    <x v="0"/>
    <x v="12"/>
    <x v="4"/>
    <x v="1"/>
    <x v="0"/>
    <x v="0"/>
    <x v="3"/>
    <x v="141"/>
    <x v="6"/>
    <x v="6"/>
    <x v="0"/>
    <x v="0"/>
    <x v="0"/>
    <x v="12"/>
    <x v="43"/>
    <x v="0"/>
    <x v="0"/>
    <x v="12"/>
    <x v="43"/>
    <x v="0"/>
    <x v="0"/>
    <x v="0"/>
    <x v="0"/>
    <x v="0"/>
    <x v="0"/>
  </r>
  <r>
    <x v="257"/>
    <x v="0"/>
    <x v="57"/>
    <x v="57"/>
    <x v="0"/>
    <x v="11"/>
    <x v="8"/>
    <x v="1"/>
    <x v="1"/>
    <x v="0"/>
    <x v="3"/>
    <x v="142"/>
    <x v="6"/>
    <x v="6"/>
    <x v="35"/>
    <x v="35"/>
    <x v="1"/>
    <x v="4"/>
    <x v="4"/>
    <x v="0"/>
    <x v="0"/>
    <x v="4"/>
    <x v="4"/>
    <x v="0"/>
    <x v="0"/>
    <x v="0"/>
    <x v="0"/>
    <x v="0"/>
    <x v="0"/>
  </r>
  <r>
    <x v="258"/>
    <x v="0"/>
    <x v="46"/>
    <x v="46"/>
    <x v="0"/>
    <x v="3"/>
    <x v="1"/>
    <x v="1"/>
    <x v="1"/>
    <x v="0"/>
    <x v="1"/>
    <x v="143"/>
    <x v="6"/>
    <x v="6"/>
    <x v="35"/>
    <x v="35"/>
    <x v="1"/>
    <x v="4"/>
    <x v="4"/>
    <x v="0"/>
    <x v="0"/>
    <x v="4"/>
    <x v="4"/>
    <x v="0"/>
    <x v="0"/>
    <x v="0"/>
    <x v="0"/>
    <x v="0"/>
    <x v="0"/>
  </r>
  <r>
    <x v="259"/>
    <x v="0"/>
    <x v="4"/>
    <x v="4"/>
    <x v="0"/>
    <x v="1"/>
    <x v="0"/>
    <x v="0"/>
    <x v="0"/>
    <x v="0"/>
    <x v="0"/>
    <x v="144"/>
    <x v="6"/>
    <x v="6"/>
    <x v="0"/>
    <x v="0"/>
    <x v="0"/>
    <x v="17"/>
    <x v="18"/>
    <x v="0"/>
    <x v="0"/>
    <x v="17"/>
    <x v="18"/>
    <x v="0"/>
    <x v="0"/>
    <x v="0"/>
    <x v="0"/>
    <x v="0"/>
    <x v="0"/>
  </r>
  <r>
    <x v="260"/>
    <x v="0"/>
    <x v="35"/>
    <x v="35"/>
    <x v="0"/>
    <x v="9"/>
    <x v="7"/>
    <x v="0"/>
    <x v="0"/>
    <x v="0"/>
    <x v="0"/>
    <x v="145"/>
    <x v="6"/>
    <x v="6"/>
    <x v="30"/>
    <x v="30"/>
    <x v="0"/>
    <x v="6"/>
    <x v="6"/>
    <x v="0"/>
    <x v="0"/>
    <x v="6"/>
    <x v="6"/>
    <x v="0"/>
    <x v="0"/>
    <x v="0"/>
    <x v="0"/>
    <x v="0"/>
    <x v="0"/>
  </r>
  <r>
    <x v="261"/>
    <x v="0"/>
    <x v="35"/>
    <x v="35"/>
    <x v="0"/>
    <x v="9"/>
    <x v="7"/>
    <x v="0"/>
    <x v="0"/>
    <x v="0"/>
    <x v="0"/>
    <x v="145"/>
    <x v="6"/>
    <x v="6"/>
    <x v="8"/>
    <x v="8"/>
    <x v="0"/>
    <x v="5"/>
    <x v="5"/>
    <x v="0"/>
    <x v="0"/>
    <x v="5"/>
    <x v="5"/>
    <x v="0"/>
    <x v="0"/>
    <x v="0"/>
    <x v="0"/>
    <x v="0"/>
    <x v="0"/>
  </r>
  <r>
    <x v="262"/>
    <x v="0"/>
    <x v="23"/>
    <x v="23"/>
    <x v="0"/>
    <x v="0"/>
    <x v="0"/>
    <x v="0"/>
    <x v="1"/>
    <x v="0"/>
    <x v="0"/>
    <x v="146"/>
    <x v="7"/>
    <x v="7"/>
    <x v="20"/>
    <x v="20"/>
    <x v="1"/>
    <x v="4"/>
    <x v="4"/>
    <x v="0"/>
    <x v="0"/>
    <x v="4"/>
    <x v="4"/>
    <x v="0"/>
    <x v="0"/>
    <x v="0"/>
    <x v="0"/>
    <x v="0"/>
    <x v="0"/>
  </r>
  <r>
    <x v="263"/>
    <x v="0"/>
    <x v="23"/>
    <x v="23"/>
    <x v="0"/>
    <x v="0"/>
    <x v="0"/>
    <x v="0"/>
    <x v="1"/>
    <x v="0"/>
    <x v="0"/>
    <x v="146"/>
    <x v="7"/>
    <x v="7"/>
    <x v="1"/>
    <x v="1"/>
    <x v="1"/>
    <x v="4"/>
    <x v="4"/>
    <x v="0"/>
    <x v="0"/>
    <x v="4"/>
    <x v="4"/>
    <x v="0"/>
    <x v="0"/>
    <x v="0"/>
    <x v="0"/>
    <x v="0"/>
    <x v="0"/>
  </r>
  <r>
    <x v="264"/>
    <x v="0"/>
    <x v="23"/>
    <x v="23"/>
    <x v="0"/>
    <x v="0"/>
    <x v="0"/>
    <x v="0"/>
    <x v="0"/>
    <x v="0"/>
    <x v="0"/>
    <x v="146"/>
    <x v="7"/>
    <x v="7"/>
    <x v="7"/>
    <x v="7"/>
    <x v="0"/>
    <x v="5"/>
    <x v="5"/>
    <x v="0"/>
    <x v="0"/>
    <x v="5"/>
    <x v="5"/>
    <x v="0"/>
    <x v="0"/>
    <x v="0"/>
    <x v="0"/>
    <x v="0"/>
    <x v="0"/>
  </r>
  <r>
    <x v="265"/>
    <x v="0"/>
    <x v="53"/>
    <x v="53"/>
    <x v="0"/>
    <x v="0"/>
    <x v="0"/>
    <x v="0"/>
    <x v="1"/>
    <x v="0"/>
    <x v="0"/>
    <x v="147"/>
    <x v="7"/>
    <x v="7"/>
    <x v="34"/>
    <x v="34"/>
    <x v="1"/>
    <x v="4"/>
    <x v="4"/>
    <x v="0"/>
    <x v="0"/>
    <x v="4"/>
    <x v="4"/>
    <x v="0"/>
    <x v="0"/>
    <x v="0"/>
    <x v="0"/>
    <x v="0"/>
    <x v="0"/>
  </r>
  <r>
    <x v="266"/>
    <x v="0"/>
    <x v="2"/>
    <x v="2"/>
    <x v="0"/>
    <x v="0"/>
    <x v="0"/>
    <x v="0"/>
    <x v="1"/>
    <x v="0"/>
    <x v="0"/>
    <x v="148"/>
    <x v="7"/>
    <x v="7"/>
    <x v="1"/>
    <x v="1"/>
    <x v="1"/>
    <x v="6"/>
    <x v="8"/>
    <x v="0"/>
    <x v="0"/>
    <x v="6"/>
    <x v="8"/>
    <x v="0"/>
    <x v="0"/>
    <x v="0"/>
    <x v="0"/>
    <x v="0"/>
    <x v="0"/>
  </r>
  <r>
    <x v="267"/>
    <x v="0"/>
    <x v="17"/>
    <x v="17"/>
    <x v="0"/>
    <x v="7"/>
    <x v="5"/>
    <x v="0"/>
    <x v="1"/>
    <x v="0"/>
    <x v="0"/>
    <x v="149"/>
    <x v="7"/>
    <x v="7"/>
    <x v="1"/>
    <x v="1"/>
    <x v="1"/>
    <x v="6"/>
    <x v="8"/>
    <x v="0"/>
    <x v="0"/>
    <x v="6"/>
    <x v="8"/>
    <x v="0"/>
    <x v="0"/>
    <x v="0"/>
    <x v="0"/>
    <x v="0"/>
    <x v="0"/>
  </r>
  <r>
    <x v="268"/>
    <x v="0"/>
    <x v="20"/>
    <x v="20"/>
    <x v="0"/>
    <x v="9"/>
    <x v="7"/>
    <x v="0"/>
    <x v="0"/>
    <x v="0"/>
    <x v="0"/>
    <x v="150"/>
    <x v="7"/>
    <x v="7"/>
    <x v="0"/>
    <x v="0"/>
    <x v="0"/>
    <x v="17"/>
    <x v="18"/>
    <x v="0"/>
    <x v="0"/>
    <x v="17"/>
    <x v="18"/>
    <x v="0"/>
    <x v="0"/>
    <x v="0"/>
    <x v="0"/>
    <x v="0"/>
    <x v="0"/>
  </r>
  <r>
    <x v="269"/>
    <x v="0"/>
    <x v="20"/>
    <x v="20"/>
    <x v="0"/>
    <x v="9"/>
    <x v="7"/>
    <x v="0"/>
    <x v="1"/>
    <x v="0"/>
    <x v="0"/>
    <x v="150"/>
    <x v="7"/>
    <x v="7"/>
    <x v="1"/>
    <x v="1"/>
    <x v="1"/>
    <x v="20"/>
    <x v="25"/>
    <x v="0"/>
    <x v="0"/>
    <x v="20"/>
    <x v="25"/>
    <x v="0"/>
    <x v="0"/>
    <x v="0"/>
    <x v="0"/>
    <x v="0"/>
    <x v="0"/>
  </r>
  <r>
    <x v="270"/>
    <x v="0"/>
    <x v="35"/>
    <x v="35"/>
    <x v="0"/>
    <x v="9"/>
    <x v="7"/>
    <x v="0"/>
    <x v="1"/>
    <x v="0"/>
    <x v="0"/>
    <x v="151"/>
    <x v="7"/>
    <x v="7"/>
    <x v="11"/>
    <x v="11"/>
    <x v="1"/>
    <x v="6"/>
    <x v="8"/>
    <x v="0"/>
    <x v="0"/>
    <x v="6"/>
    <x v="8"/>
    <x v="0"/>
    <x v="0"/>
    <x v="0"/>
    <x v="0"/>
    <x v="0"/>
    <x v="0"/>
  </r>
  <r>
    <x v="271"/>
    <x v="0"/>
    <x v="35"/>
    <x v="35"/>
    <x v="0"/>
    <x v="9"/>
    <x v="7"/>
    <x v="0"/>
    <x v="0"/>
    <x v="0"/>
    <x v="0"/>
    <x v="151"/>
    <x v="7"/>
    <x v="7"/>
    <x v="8"/>
    <x v="8"/>
    <x v="0"/>
    <x v="5"/>
    <x v="5"/>
    <x v="0"/>
    <x v="0"/>
    <x v="5"/>
    <x v="5"/>
    <x v="0"/>
    <x v="0"/>
    <x v="0"/>
    <x v="0"/>
    <x v="0"/>
    <x v="0"/>
  </r>
  <r>
    <x v="272"/>
    <x v="0"/>
    <x v="44"/>
    <x v="44"/>
    <x v="0"/>
    <x v="8"/>
    <x v="6"/>
    <x v="0"/>
    <x v="1"/>
    <x v="0"/>
    <x v="0"/>
    <x v="152"/>
    <x v="7"/>
    <x v="7"/>
    <x v="33"/>
    <x v="33"/>
    <x v="1"/>
    <x v="4"/>
    <x v="4"/>
    <x v="0"/>
    <x v="0"/>
    <x v="4"/>
    <x v="4"/>
    <x v="0"/>
    <x v="0"/>
    <x v="0"/>
    <x v="0"/>
    <x v="0"/>
    <x v="0"/>
  </r>
  <r>
    <x v="273"/>
    <x v="0"/>
    <x v="21"/>
    <x v="21"/>
    <x v="0"/>
    <x v="10"/>
    <x v="5"/>
    <x v="0"/>
    <x v="1"/>
    <x v="0"/>
    <x v="0"/>
    <x v="153"/>
    <x v="7"/>
    <x v="7"/>
    <x v="1"/>
    <x v="1"/>
    <x v="1"/>
    <x v="17"/>
    <x v="36"/>
    <x v="0"/>
    <x v="0"/>
    <x v="17"/>
    <x v="36"/>
    <x v="0"/>
    <x v="0"/>
    <x v="0"/>
    <x v="0"/>
    <x v="0"/>
    <x v="0"/>
  </r>
  <r>
    <x v="274"/>
    <x v="0"/>
    <x v="55"/>
    <x v="55"/>
    <x v="0"/>
    <x v="10"/>
    <x v="5"/>
    <x v="0"/>
    <x v="0"/>
    <x v="0"/>
    <x v="0"/>
    <x v="154"/>
    <x v="7"/>
    <x v="7"/>
    <x v="0"/>
    <x v="0"/>
    <x v="0"/>
    <x v="6"/>
    <x v="6"/>
    <x v="0"/>
    <x v="0"/>
    <x v="6"/>
    <x v="6"/>
    <x v="0"/>
    <x v="0"/>
    <x v="0"/>
    <x v="0"/>
    <x v="0"/>
    <x v="0"/>
  </r>
  <r>
    <x v="275"/>
    <x v="0"/>
    <x v="58"/>
    <x v="58"/>
    <x v="0"/>
    <x v="4"/>
    <x v="2"/>
    <x v="1"/>
    <x v="1"/>
    <x v="0"/>
    <x v="1"/>
    <x v="155"/>
    <x v="7"/>
    <x v="7"/>
    <x v="25"/>
    <x v="25"/>
    <x v="1"/>
    <x v="21"/>
    <x v="28"/>
    <x v="0"/>
    <x v="0"/>
    <x v="21"/>
    <x v="28"/>
    <x v="0"/>
    <x v="0"/>
    <x v="0"/>
    <x v="0"/>
    <x v="0"/>
    <x v="0"/>
  </r>
  <r>
    <x v="276"/>
    <x v="0"/>
    <x v="50"/>
    <x v="50"/>
    <x v="0"/>
    <x v="12"/>
    <x v="4"/>
    <x v="1"/>
    <x v="1"/>
    <x v="0"/>
    <x v="3"/>
    <x v="156"/>
    <x v="7"/>
    <x v="7"/>
    <x v="9"/>
    <x v="9"/>
    <x v="1"/>
    <x v="4"/>
    <x v="4"/>
    <x v="0"/>
    <x v="0"/>
    <x v="4"/>
    <x v="4"/>
    <x v="0"/>
    <x v="0"/>
    <x v="0"/>
    <x v="0"/>
    <x v="0"/>
    <x v="0"/>
  </r>
  <r>
    <x v="277"/>
    <x v="0"/>
    <x v="50"/>
    <x v="50"/>
    <x v="0"/>
    <x v="12"/>
    <x v="4"/>
    <x v="1"/>
    <x v="1"/>
    <x v="0"/>
    <x v="3"/>
    <x v="156"/>
    <x v="7"/>
    <x v="7"/>
    <x v="14"/>
    <x v="14"/>
    <x v="1"/>
    <x v="0"/>
    <x v="21"/>
    <x v="0"/>
    <x v="0"/>
    <x v="0"/>
    <x v="21"/>
    <x v="0"/>
    <x v="0"/>
    <x v="0"/>
    <x v="0"/>
    <x v="0"/>
    <x v="0"/>
  </r>
  <r>
    <x v="278"/>
    <x v="0"/>
    <x v="28"/>
    <x v="28"/>
    <x v="0"/>
    <x v="12"/>
    <x v="4"/>
    <x v="1"/>
    <x v="0"/>
    <x v="0"/>
    <x v="3"/>
    <x v="157"/>
    <x v="7"/>
    <x v="7"/>
    <x v="0"/>
    <x v="0"/>
    <x v="0"/>
    <x v="13"/>
    <x v="40"/>
    <x v="0"/>
    <x v="0"/>
    <x v="13"/>
    <x v="40"/>
    <x v="0"/>
    <x v="0"/>
    <x v="0"/>
    <x v="0"/>
    <x v="0"/>
    <x v="0"/>
  </r>
  <r>
    <x v="279"/>
    <x v="0"/>
    <x v="53"/>
    <x v="53"/>
    <x v="0"/>
    <x v="0"/>
    <x v="0"/>
    <x v="0"/>
    <x v="1"/>
    <x v="0"/>
    <x v="0"/>
    <x v="158"/>
    <x v="8"/>
    <x v="8"/>
    <x v="38"/>
    <x v="38"/>
    <x v="1"/>
    <x v="9"/>
    <x v="10"/>
    <x v="0"/>
    <x v="0"/>
    <x v="9"/>
    <x v="10"/>
    <x v="0"/>
    <x v="0"/>
    <x v="0"/>
    <x v="0"/>
    <x v="0"/>
    <x v="0"/>
  </r>
  <r>
    <x v="280"/>
    <x v="0"/>
    <x v="0"/>
    <x v="0"/>
    <x v="0"/>
    <x v="0"/>
    <x v="0"/>
    <x v="0"/>
    <x v="0"/>
    <x v="0"/>
    <x v="0"/>
    <x v="159"/>
    <x v="8"/>
    <x v="8"/>
    <x v="0"/>
    <x v="0"/>
    <x v="0"/>
    <x v="6"/>
    <x v="6"/>
    <x v="0"/>
    <x v="0"/>
    <x v="6"/>
    <x v="6"/>
    <x v="0"/>
    <x v="0"/>
    <x v="0"/>
    <x v="0"/>
    <x v="0"/>
    <x v="0"/>
  </r>
  <r>
    <x v="281"/>
    <x v="0"/>
    <x v="31"/>
    <x v="31"/>
    <x v="0"/>
    <x v="0"/>
    <x v="0"/>
    <x v="0"/>
    <x v="1"/>
    <x v="0"/>
    <x v="0"/>
    <x v="160"/>
    <x v="8"/>
    <x v="8"/>
    <x v="1"/>
    <x v="1"/>
    <x v="1"/>
    <x v="17"/>
    <x v="36"/>
    <x v="0"/>
    <x v="0"/>
    <x v="17"/>
    <x v="36"/>
    <x v="0"/>
    <x v="0"/>
    <x v="0"/>
    <x v="0"/>
    <x v="0"/>
    <x v="0"/>
  </r>
  <r>
    <x v="282"/>
    <x v="0"/>
    <x v="3"/>
    <x v="3"/>
    <x v="0"/>
    <x v="1"/>
    <x v="0"/>
    <x v="0"/>
    <x v="0"/>
    <x v="0"/>
    <x v="0"/>
    <x v="161"/>
    <x v="8"/>
    <x v="8"/>
    <x v="0"/>
    <x v="0"/>
    <x v="0"/>
    <x v="5"/>
    <x v="5"/>
    <x v="0"/>
    <x v="0"/>
    <x v="5"/>
    <x v="5"/>
    <x v="0"/>
    <x v="0"/>
    <x v="0"/>
    <x v="0"/>
    <x v="0"/>
    <x v="0"/>
  </r>
  <r>
    <x v="283"/>
    <x v="0"/>
    <x v="3"/>
    <x v="3"/>
    <x v="0"/>
    <x v="1"/>
    <x v="0"/>
    <x v="0"/>
    <x v="1"/>
    <x v="0"/>
    <x v="0"/>
    <x v="161"/>
    <x v="8"/>
    <x v="8"/>
    <x v="5"/>
    <x v="5"/>
    <x v="1"/>
    <x v="4"/>
    <x v="4"/>
    <x v="0"/>
    <x v="0"/>
    <x v="4"/>
    <x v="4"/>
    <x v="0"/>
    <x v="0"/>
    <x v="0"/>
    <x v="0"/>
    <x v="0"/>
    <x v="0"/>
  </r>
  <r>
    <x v="284"/>
    <x v="0"/>
    <x v="3"/>
    <x v="3"/>
    <x v="0"/>
    <x v="1"/>
    <x v="0"/>
    <x v="0"/>
    <x v="1"/>
    <x v="0"/>
    <x v="0"/>
    <x v="161"/>
    <x v="8"/>
    <x v="8"/>
    <x v="1"/>
    <x v="1"/>
    <x v="1"/>
    <x v="4"/>
    <x v="4"/>
    <x v="0"/>
    <x v="0"/>
    <x v="4"/>
    <x v="4"/>
    <x v="0"/>
    <x v="0"/>
    <x v="0"/>
    <x v="0"/>
    <x v="0"/>
    <x v="0"/>
  </r>
  <r>
    <x v="285"/>
    <x v="0"/>
    <x v="41"/>
    <x v="41"/>
    <x v="0"/>
    <x v="1"/>
    <x v="0"/>
    <x v="0"/>
    <x v="1"/>
    <x v="0"/>
    <x v="0"/>
    <x v="162"/>
    <x v="8"/>
    <x v="8"/>
    <x v="5"/>
    <x v="5"/>
    <x v="1"/>
    <x v="4"/>
    <x v="4"/>
    <x v="0"/>
    <x v="0"/>
    <x v="4"/>
    <x v="4"/>
    <x v="0"/>
    <x v="0"/>
    <x v="0"/>
    <x v="0"/>
    <x v="0"/>
    <x v="0"/>
  </r>
  <r>
    <x v="286"/>
    <x v="0"/>
    <x v="41"/>
    <x v="41"/>
    <x v="0"/>
    <x v="1"/>
    <x v="0"/>
    <x v="0"/>
    <x v="1"/>
    <x v="0"/>
    <x v="0"/>
    <x v="163"/>
    <x v="8"/>
    <x v="8"/>
    <x v="1"/>
    <x v="1"/>
    <x v="1"/>
    <x v="4"/>
    <x v="4"/>
    <x v="0"/>
    <x v="0"/>
    <x v="4"/>
    <x v="4"/>
    <x v="0"/>
    <x v="0"/>
    <x v="0"/>
    <x v="0"/>
    <x v="0"/>
    <x v="0"/>
  </r>
  <r>
    <x v="287"/>
    <x v="0"/>
    <x v="41"/>
    <x v="41"/>
    <x v="0"/>
    <x v="1"/>
    <x v="0"/>
    <x v="0"/>
    <x v="1"/>
    <x v="0"/>
    <x v="0"/>
    <x v="163"/>
    <x v="8"/>
    <x v="8"/>
    <x v="13"/>
    <x v="13"/>
    <x v="1"/>
    <x v="9"/>
    <x v="10"/>
    <x v="0"/>
    <x v="0"/>
    <x v="9"/>
    <x v="10"/>
    <x v="0"/>
    <x v="0"/>
    <x v="0"/>
    <x v="0"/>
    <x v="0"/>
    <x v="0"/>
  </r>
  <r>
    <x v="288"/>
    <x v="0"/>
    <x v="59"/>
    <x v="59"/>
    <x v="0"/>
    <x v="7"/>
    <x v="5"/>
    <x v="0"/>
    <x v="0"/>
    <x v="0"/>
    <x v="0"/>
    <x v="164"/>
    <x v="8"/>
    <x v="8"/>
    <x v="0"/>
    <x v="0"/>
    <x v="0"/>
    <x v="10"/>
    <x v="11"/>
    <x v="0"/>
    <x v="0"/>
    <x v="10"/>
    <x v="11"/>
    <x v="0"/>
    <x v="0"/>
    <x v="0"/>
    <x v="0"/>
    <x v="0"/>
    <x v="0"/>
  </r>
  <r>
    <x v="289"/>
    <x v="0"/>
    <x v="59"/>
    <x v="59"/>
    <x v="0"/>
    <x v="7"/>
    <x v="5"/>
    <x v="0"/>
    <x v="1"/>
    <x v="0"/>
    <x v="0"/>
    <x v="164"/>
    <x v="8"/>
    <x v="8"/>
    <x v="40"/>
    <x v="40"/>
    <x v="1"/>
    <x v="13"/>
    <x v="31"/>
    <x v="0"/>
    <x v="0"/>
    <x v="13"/>
    <x v="31"/>
    <x v="0"/>
    <x v="0"/>
    <x v="0"/>
    <x v="0"/>
    <x v="0"/>
    <x v="0"/>
  </r>
  <r>
    <x v="290"/>
    <x v="0"/>
    <x v="59"/>
    <x v="59"/>
    <x v="0"/>
    <x v="7"/>
    <x v="5"/>
    <x v="0"/>
    <x v="0"/>
    <x v="0"/>
    <x v="0"/>
    <x v="164"/>
    <x v="8"/>
    <x v="8"/>
    <x v="17"/>
    <x v="17"/>
    <x v="0"/>
    <x v="0"/>
    <x v="0"/>
    <x v="0"/>
    <x v="0"/>
    <x v="0"/>
    <x v="0"/>
    <x v="0"/>
    <x v="0"/>
    <x v="0"/>
    <x v="0"/>
    <x v="0"/>
    <x v="0"/>
  </r>
  <r>
    <x v="291"/>
    <x v="0"/>
    <x v="59"/>
    <x v="59"/>
    <x v="0"/>
    <x v="7"/>
    <x v="5"/>
    <x v="0"/>
    <x v="1"/>
    <x v="0"/>
    <x v="0"/>
    <x v="164"/>
    <x v="8"/>
    <x v="8"/>
    <x v="1"/>
    <x v="1"/>
    <x v="1"/>
    <x v="21"/>
    <x v="28"/>
    <x v="0"/>
    <x v="0"/>
    <x v="21"/>
    <x v="28"/>
    <x v="0"/>
    <x v="0"/>
    <x v="0"/>
    <x v="0"/>
    <x v="0"/>
    <x v="0"/>
  </r>
  <r>
    <x v="292"/>
    <x v="0"/>
    <x v="2"/>
    <x v="2"/>
    <x v="0"/>
    <x v="0"/>
    <x v="0"/>
    <x v="0"/>
    <x v="1"/>
    <x v="0"/>
    <x v="0"/>
    <x v="165"/>
    <x v="8"/>
    <x v="8"/>
    <x v="5"/>
    <x v="5"/>
    <x v="1"/>
    <x v="30"/>
    <x v="50"/>
    <x v="0"/>
    <x v="0"/>
    <x v="30"/>
    <x v="50"/>
    <x v="0"/>
    <x v="0"/>
    <x v="0"/>
    <x v="0"/>
    <x v="0"/>
    <x v="0"/>
  </r>
  <r>
    <x v="293"/>
    <x v="0"/>
    <x v="55"/>
    <x v="55"/>
    <x v="0"/>
    <x v="10"/>
    <x v="5"/>
    <x v="0"/>
    <x v="0"/>
    <x v="0"/>
    <x v="0"/>
    <x v="166"/>
    <x v="8"/>
    <x v="8"/>
    <x v="0"/>
    <x v="0"/>
    <x v="0"/>
    <x v="15"/>
    <x v="16"/>
    <x v="0"/>
    <x v="0"/>
    <x v="15"/>
    <x v="16"/>
    <x v="0"/>
    <x v="0"/>
    <x v="0"/>
    <x v="0"/>
    <x v="0"/>
    <x v="0"/>
  </r>
  <r>
    <x v="294"/>
    <x v="0"/>
    <x v="20"/>
    <x v="20"/>
    <x v="0"/>
    <x v="9"/>
    <x v="7"/>
    <x v="0"/>
    <x v="0"/>
    <x v="0"/>
    <x v="0"/>
    <x v="167"/>
    <x v="8"/>
    <x v="8"/>
    <x v="0"/>
    <x v="0"/>
    <x v="0"/>
    <x v="17"/>
    <x v="18"/>
    <x v="0"/>
    <x v="0"/>
    <x v="17"/>
    <x v="18"/>
    <x v="0"/>
    <x v="0"/>
    <x v="0"/>
    <x v="0"/>
    <x v="0"/>
    <x v="0"/>
  </r>
  <r>
    <x v="295"/>
    <x v="0"/>
    <x v="20"/>
    <x v="20"/>
    <x v="0"/>
    <x v="9"/>
    <x v="7"/>
    <x v="0"/>
    <x v="1"/>
    <x v="0"/>
    <x v="0"/>
    <x v="167"/>
    <x v="8"/>
    <x v="8"/>
    <x v="1"/>
    <x v="1"/>
    <x v="1"/>
    <x v="20"/>
    <x v="25"/>
    <x v="0"/>
    <x v="0"/>
    <x v="20"/>
    <x v="25"/>
    <x v="0"/>
    <x v="0"/>
    <x v="0"/>
    <x v="0"/>
    <x v="0"/>
    <x v="0"/>
  </r>
  <r>
    <x v="296"/>
    <x v="0"/>
    <x v="19"/>
    <x v="19"/>
    <x v="0"/>
    <x v="9"/>
    <x v="7"/>
    <x v="0"/>
    <x v="0"/>
    <x v="0"/>
    <x v="0"/>
    <x v="168"/>
    <x v="8"/>
    <x v="8"/>
    <x v="0"/>
    <x v="0"/>
    <x v="0"/>
    <x v="16"/>
    <x v="17"/>
    <x v="0"/>
    <x v="0"/>
    <x v="16"/>
    <x v="17"/>
    <x v="0"/>
    <x v="0"/>
    <x v="0"/>
    <x v="0"/>
    <x v="0"/>
    <x v="0"/>
  </r>
  <r>
    <x v="297"/>
    <x v="0"/>
    <x v="35"/>
    <x v="35"/>
    <x v="0"/>
    <x v="9"/>
    <x v="7"/>
    <x v="0"/>
    <x v="0"/>
    <x v="0"/>
    <x v="0"/>
    <x v="169"/>
    <x v="8"/>
    <x v="8"/>
    <x v="30"/>
    <x v="30"/>
    <x v="0"/>
    <x v="6"/>
    <x v="6"/>
    <x v="0"/>
    <x v="0"/>
    <x v="6"/>
    <x v="6"/>
    <x v="0"/>
    <x v="0"/>
    <x v="0"/>
    <x v="0"/>
    <x v="0"/>
    <x v="0"/>
  </r>
  <r>
    <x v="298"/>
    <x v="0"/>
    <x v="35"/>
    <x v="35"/>
    <x v="0"/>
    <x v="9"/>
    <x v="7"/>
    <x v="0"/>
    <x v="0"/>
    <x v="0"/>
    <x v="0"/>
    <x v="169"/>
    <x v="8"/>
    <x v="8"/>
    <x v="8"/>
    <x v="8"/>
    <x v="0"/>
    <x v="5"/>
    <x v="5"/>
    <x v="0"/>
    <x v="0"/>
    <x v="5"/>
    <x v="5"/>
    <x v="0"/>
    <x v="0"/>
    <x v="0"/>
    <x v="0"/>
    <x v="0"/>
    <x v="0"/>
  </r>
  <r>
    <x v="299"/>
    <x v="0"/>
    <x v="5"/>
    <x v="5"/>
    <x v="0"/>
    <x v="2"/>
    <x v="1"/>
    <x v="1"/>
    <x v="1"/>
    <x v="0"/>
    <x v="1"/>
    <x v="170"/>
    <x v="8"/>
    <x v="8"/>
    <x v="41"/>
    <x v="41"/>
    <x v="1"/>
    <x v="4"/>
    <x v="4"/>
    <x v="0"/>
    <x v="0"/>
    <x v="4"/>
    <x v="4"/>
    <x v="0"/>
    <x v="0"/>
    <x v="0"/>
    <x v="0"/>
    <x v="0"/>
    <x v="0"/>
  </r>
  <r>
    <x v="300"/>
    <x v="0"/>
    <x v="6"/>
    <x v="6"/>
    <x v="0"/>
    <x v="2"/>
    <x v="1"/>
    <x v="1"/>
    <x v="1"/>
    <x v="0"/>
    <x v="1"/>
    <x v="171"/>
    <x v="8"/>
    <x v="8"/>
    <x v="3"/>
    <x v="3"/>
    <x v="1"/>
    <x v="4"/>
    <x v="4"/>
    <x v="0"/>
    <x v="0"/>
    <x v="4"/>
    <x v="4"/>
    <x v="0"/>
    <x v="0"/>
    <x v="0"/>
    <x v="0"/>
    <x v="0"/>
    <x v="0"/>
  </r>
  <r>
    <x v="301"/>
    <x v="0"/>
    <x v="12"/>
    <x v="12"/>
    <x v="0"/>
    <x v="4"/>
    <x v="2"/>
    <x v="1"/>
    <x v="1"/>
    <x v="0"/>
    <x v="1"/>
    <x v="172"/>
    <x v="8"/>
    <x v="8"/>
    <x v="14"/>
    <x v="14"/>
    <x v="1"/>
    <x v="9"/>
    <x v="10"/>
    <x v="0"/>
    <x v="0"/>
    <x v="9"/>
    <x v="10"/>
    <x v="0"/>
    <x v="0"/>
    <x v="0"/>
    <x v="0"/>
    <x v="0"/>
    <x v="0"/>
  </r>
  <r>
    <x v="302"/>
    <x v="0"/>
    <x v="12"/>
    <x v="12"/>
    <x v="0"/>
    <x v="4"/>
    <x v="2"/>
    <x v="1"/>
    <x v="1"/>
    <x v="0"/>
    <x v="1"/>
    <x v="172"/>
    <x v="8"/>
    <x v="8"/>
    <x v="1"/>
    <x v="1"/>
    <x v="1"/>
    <x v="9"/>
    <x v="10"/>
    <x v="0"/>
    <x v="0"/>
    <x v="9"/>
    <x v="10"/>
    <x v="0"/>
    <x v="0"/>
    <x v="0"/>
    <x v="0"/>
    <x v="0"/>
    <x v="0"/>
  </r>
  <r>
    <x v="303"/>
    <x v="0"/>
    <x v="3"/>
    <x v="3"/>
    <x v="0"/>
    <x v="1"/>
    <x v="0"/>
    <x v="0"/>
    <x v="0"/>
    <x v="0"/>
    <x v="0"/>
    <x v="173"/>
    <x v="8"/>
    <x v="8"/>
    <x v="0"/>
    <x v="0"/>
    <x v="0"/>
    <x v="17"/>
    <x v="18"/>
    <x v="0"/>
    <x v="0"/>
    <x v="17"/>
    <x v="18"/>
    <x v="0"/>
    <x v="0"/>
    <x v="0"/>
    <x v="0"/>
    <x v="0"/>
    <x v="0"/>
  </r>
  <r>
    <x v="304"/>
    <x v="0"/>
    <x v="3"/>
    <x v="3"/>
    <x v="0"/>
    <x v="1"/>
    <x v="0"/>
    <x v="0"/>
    <x v="1"/>
    <x v="0"/>
    <x v="0"/>
    <x v="173"/>
    <x v="8"/>
    <x v="8"/>
    <x v="1"/>
    <x v="1"/>
    <x v="1"/>
    <x v="6"/>
    <x v="8"/>
    <x v="0"/>
    <x v="0"/>
    <x v="6"/>
    <x v="8"/>
    <x v="0"/>
    <x v="0"/>
    <x v="0"/>
    <x v="0"/>
    <x v="0"/>
    <x v="0"/>
  </r>
  <r>
    <x v="305"/>
    <x v="0"/>
    <x v="49"/>
    <x v="49"/>
    <x v="0"/>
    <x v="1"/>
    <x v="0"/>
    <x v="0"/>
    <x v="1"/>
    <x v="0"/>
    <x v="0"/>
    <x v="174"/>
    <x v="8"/>
    <x v="8"/>
    <x v="20"/>
    <x v="20"/>
    <x v="1"/>
    <x v="25"/>
    <x v="33"/>
    <x v="0"/>
    <x v="0"/>
    <x v="25"/>
    <x v="33"/>
    <x v="0"/>
    <x v="0"/>
    <x v="0"/>
    <x v="0"/>
    <x v="0"/>
    <x v="0"/>
  </r>
  <r>
    <x v="306"/>
    <x v="0"/>
    <x v="30"/>
    <x v="30"/>
    <x v="0"/>
    <x v="13"/>
    <x v="5"/>
    <x v="0"/>
    <x v="1"/>
    <x v="0"/>
    <x v="0"/>
    <x v="175"/>
    <x v="8"/>
    <x v="8"/>
    <x v="1"/>
    <x v="1"/>
    <x v="1"/>
    <x v="23"/>
    <x v="45"/>
    <x v="0"/>
    <x v="0"/>
    <x v="23"/>
    <x v="45"/>
    <x v="0"/>
    <x v="0"/>
    <x v="0"/>
    <x v="0"/>
    <x v="0"/>
    <x v="0"/>
  </r>
  <r>
    <x v="307"/>
    <x v="0"/>
    <x v="32"/>
    <x v="32"/>
    <x v="0"/>
    <x v="0"/>
    <x v="0"/>
    <x v="0"/>
    <x v="1"/>
    <x v="0"/>
    <x v="0"/>
    <x v="176"/>
    <x v="8"/>
    <x v="8"/>
    <x v="40"/>
    <x v="40"/>
    <x v="1"/>
    <x v="1"/>
    <x v="27"/>
    <x v="0"/>
    <x v="0"/>
    <x v="1"/>
    <x v="27"/>
    <x v="0"/>
    <x v="0"/>
    <x v="0"/>
    <x v="0"/>
    <x v="0"/>
    <x v="0"/>
  </r>
  <r>
    <x v="308"/>
    <x v="0"/>
    <x v="32"/>
    <x v="32"/>
    <x v="0"/>
    <x v="0"/>
    <x v="0"/>
    <x v="0"/>
    <x v="1"/>
    <x v="0"/>
    <x v="0"/>
    <x v="176"/>
    <x v="8"/>
    <x v="8"/>
    <x v="6"/>
    <x v="6"/>
    <x v="1"/>
    <x v="5"/>
    <x v="26"/>
    <x v="0"/>
    <x v="0"/>
    <x v="5"/>
    <x v="26"/>
    <x v="0"/>
    <x v="0"/>
    <x v="0"/>
    <x v="0"/>
    <x v="0"/>
    <x v="0"/>
  </r>
  <r>
    <x v="309"/>
    <x v="0"/>
    <x v="32"/>
    <x v="32"/>
    <x v="0"/>
    <x v="0"/>
    <x v="0"/>
    <x v="0"/>
    <x v="1"/>
    <x v="0"/>
    <x v="0"/>
    <x v="176"/>
    <x v="8"/>
    <x v="8"/>
    <x v="1"/>
    <x v="1"/>
    <x v="1"/>
    <x v="30"/>
    <x v="50"/>
    <x v="0"/>
    <x v="0"/>
    <x v="30"/>
    <x v="50"/>
    <x v="0"/>
    <x v="0"/>
    <x v="0"/>
    <x v="0"/>
    <x v="0"/>
    <x v="0"/>
  </r>
  <r>
    <x v="310"/>
    <x v="0"/>
    <x v="4"/>
    <x v="4"/>
    <x v="0"/>
    <x v="1"/>
    <x v="0"/>
    <x v="0"/>
    <x v="0"/>
    <x v="0"/>
    <x v="0"/>
    <x v="177"/>
    <x v="9"/>
    <x v="9"/>
    <x v="0"/>
    <x v="0"/>
    <x v="0"/>
    <x v="6"/>
    <x v="6"/>
    <x v="0"/>
    <x v="0"/>
    <x v="6"/>
    <x v="6"/>
    <x v="0"/>
    <x v="0"/>
    <x v="0"/>
    <x v="0"/>
    <x v="0"/>
    <x v="0"/>
  </r>
  <r>
    <x v="311"/>
    <x v="0"/>
    <x v="53"/>
    <x v="53"/>
    <x v="0"/>
    <x v="0"/>
    <x v="0"/>
    <x v="0"/>
    <x v="1"/>
    <x v="0"/>
    <x v="0"/>
    <x v="178"/>
    <x v="9"/>
    <x v="9"/>
    <x v="10"/>
    <x v="10"/>
    <x v="1"/>
    <x v="6"/>
    <x v="8"/>
    <x v="0"/>
    <x v="0"/>
    <x v="6"/>
    <x v="8"/>
    <x v="0"/>
    <x v="0"/>
    <x v="0"/>
    <x v="0"/>
    <x v="0"/>
    <x v="0"/>
  </r>
  <r>
    <x v="312"/>
    <x v="0"/>
    <x v="53"/>
    <x v="53"/>
    <x v="0"/>
    <x v="0"/>
    <x v="0"/>
    <x v="0"/>
    <x v="1"/>
    <x v="0"/>
    <x v="0"/>
    <x v="178"/>
    <x v="9"/>
    <x v="9"/>
    <x v="38"/>
    <x v="38"/>
    <x v="1"/>
    <x v="6"/>
    <x v="8"/>
    <x v="0"/>
    <x v="0"/>
    <x v="6"/>
    <x v="8"/>
    <x v="0"/>
    <x v="0"/>
    <x v="0"/>
    <x v="0"/>
    <x v="0"/>
    <x v="0"/>
  </r>
  <r>
    <x v="313"/>
    <x v="0"/>
    <x v="2"/>
    <x v="2"/>
    <x v="0"/>
    <x v="0"/>
    <x v="0"/>
    <x v="0"/>
    <x v="1"/>
    <x v="0"/>
    <x v="0"/>
    <x v="179"/>
    <x v="9"/>
    <x v="9"/>
    <x v="33"/>
    <x v="33"/>
    <x v="1"/>
    <x v="5"/>
    <x v="26"/>
    <x v="0"/>
    <x v="0"/>
    <x v="5"/>
    <x v="26"/>
    <x v="0"/>
    <x v="0"/>
    <x v="0"/>
    <x v="0"/>
    <x v="0"/>
    <x v="0"/>
  </r>
  <r>
    <x v="314"/>
    <x v="0"/>
    <x v="2"/>
    <x v="2"/>
    <x v="0"/>
    <x v="0"/>
    <x v="0"/>
    <x v="0"/>
    <x v="0"/>
    <x v="0"/>
    <x v="0"/>
    <x v="179"/>
    <x v="9"/>
    <x v="9"/>
    <x v="0"/>
    <x v="0"/>
    <x v="0"/>
    <x v="17"/>
    <x v="18"/>
    <x v="0"/>
    <x v="0"/>
    <x v="17"/>
    <x v="18"/>
    <x v="0"/>
    <x v="0"/>
    <x v="0"/>
    <x v="0"/>
    <x v="0"/>
    <x v="0"/>
  </r>
  <r>
    <x v="315"/>
    <x v="0"/>
    <x v="2"/>
    <x v="2"/>
    <x v="0"/>
    <x v="0"/>
    <x v="0"/>
    <x v="0"/>
    <x v="1"/>
    <x v="0"/>
    <x v="0"/>
    <x v="179"/>
    <x v="9"/>
    <x v="9"/>
    <x v="36"/>
    <x v="36"/>
    <x v="1"/>
    <x v="17"/>
    <x v="36"/>
    <x v="0"/>
    <x v="0"/>
    <x v="17"/>
    <x v="36"/>
    <x v="0"/>
    <x v="0"/>
    <x v="0"/>
    <x v="0"/>
    <x v="0"/>
    <x v="0"/>
  </r>
  <r>
    <x v="316"/>
    <x v="0"/>
    <x v="1"/>
    <x v="1"/>
    <x v="0"/>
    <x v="0"/>
    <x v="0"/>
    <x v="0"/>
    <x v="1"/>
    <x v="0"/>
    <x v="0"/>
    <x v="180"/>
    <x v="9"/>
    <x v="9"/>
    <x v="33"/>
    <x v="33"/>
    <x v="1"/>
    <x v="31"/>
    <x v="51"/>
    <x v="0"/>
    <x v="0"/>
    <x v="31"/>
    <x v="51"/>
    <x v="0"/>
    <x v="0"/>
    <x v="0"/>
    <x v="0"/>
    <x v="0"/>
    <x v="0"/>
  </r>
  <r>
    <x v="317"/>
    <x v="0"/>
    <x v="1"/>
    <x v="1"/>
    <x v="0"/>
    <x v="0"/>
    <x v="0"/>
    <x v="0"/>
    <x v="1"/>
    <x v="0"/>
    <x v="0"/>
    <x v="180"/>
    <x v="9"/>
    <x v="9"/>
    <x v="3"/>
    <x v="3"/>
    <x v="1"/>
    <x v="4"/>
    <x v="4"/>
    <x v="0"/>
    <x v="0"/>
    <x v="4"/>
    <x v="4"/>
    <x v="0"/>
    <x v="0"/>
    <x v="0"/>
    <x v="0"/>
    <x v="0"/>
    <x v="0"/>
  </r>
  <r>
    <x v="318"/>
    <x v="0"/>
    <x v="23"/>
    <x v="23"/>
    <x v="0"/>
    <x v="0"/>
    <x v="0"/>
    <x v="0"/>
    <x v="1"/>
    <x v="0"/>
    <x v="0"/>
    <x v="181"/>
    <x v="9"/>
    <x v="9"/>
    <x v="1"/>
    <x v="1"/>
    <x v="1"/>
    <x v="4"/>
    <x v="4"/>
    <x v="0"/>
    <x v="0"/>
    <x v="4"/>
    <x v="4"/>
    <x v="0"/>
    <x v="0"/>
    <x v="0"/>
    <x v="0"/>
    <x v="0"/>
    <x v="0"/>
  </r>
  <r>
    <x v="319"/>
    <x v="0"/>
    <x v="23"/>
    <x v="23"/>
    <x v="0"/>
    <x v="0"/>
    <x v="0"/>
    <x v="0"/>
    <x v="1"/>
    <x v="0"/>
    <x v="0"/>
    <x v="181"/>
    <x v="9"/>
    <x v="9"/>
    <x v="13"/>
    <x v="13"/>
    <x v="1"/>
    <x v="4"/>
    <x v="4"/>
    <x v="0"/>
    <x v="0"/>
    <x v="4"/>
    <x v="4"/>
    <x v="0"/>
    <x v="0"/>
    <x v="0"/>
    <x v="0"/>
    <x v="0"/>
    <x v="0"/>
  </r>
  <r>
    <x v="320"/>
    <x v="0"/>
    <x v="23"/>
    <x v="23"/>
    <x v="0"/>
    <x v="0"/>
    <x v="0"/>
    <x v="0"/>
    <x v="1"/>
    <x v="0"/>
    <x v="0"/>
    <x v="181"/>
    <x v="9"/>
    <x v="9"/>
    <x v="20"/>
    <x v="20"/>
    <x v="1"/>
    <x v="4"/>
    <x v="4"/>
    <x v="0"/>
    <x v="0"/>
    <x v="4"/>
    <x v="4"/>
    <x v="0"/>
    <x v="0"/>
    <x v="0"/>
    <x v="0"/>
    <x v="0"/>
    <x v="0"/>
  </r>
  <r>
    <x v="321"/>
    <x v="0"/>
    <x v="24"/>
    <x v="24"/>
    <x v="0"/>
    <x v="0"/>
    <x v="0"/>
    <x v="0"/>
    <x v="1"/>
    <x v="0"/>
    <x v="0"/>
    <x v="182"/>
    <x v="9"/>
    <x v="9"/>
    <x v="1"/>
    <x v="1"/>
    <x v="1"/>
    <x v="20"/>
    <x v="25"/>
    <x v="0"/>
    <x v="0"/>
    <x v="20"/>
    <x v="25"/>
    <x v="0"/>
    <x v="0"/>
    <x v="0"/>
    <x v="0"/>
    <x v="0"/>
    <x v="0"/>
  </r>
  <r>
    <x v="322"/>
    <x v="0"/>
    <x v="21"/>
    <x v="21"/>
    <x v="0"/>
    <x v="10"/>
    <x v="5"/>
    <x v="0"/>
    <x v="1"/>
    <x v="0"/>
    <x v="0"/>
    <x v="183"/>
    <x v="9"/>
    <x v="9"/>
    <x v="5"/>
    <x v="5"/>
    <x v="1"/>
    <x v="1"/>
    <x v="27"/>
    <x v="0"/>
    <x v="0"/>
    <x v="1"/>
    <x v="27"/>
    <x v="0"/>
    <x v="0"/>
    <x v="0"/>
    <x v="0"/>
    <x v="0"/>
    <x v="0"/>
  </r>
  <r>
    <x v="323"/>
    <x v="0"/>
    <x v="55"/>
    <x v="55"/>
    <x v="0"/>
    <x v="10"/>
    <x v="5"/>
    <x v="0"/>
    <x v="0"/>
    <x v="0"/>
    <x v="0"/>
    <x v="184"/>
    <x v="9"/>
    <x v="9"/>
    <x v="0"/>
    <x v="0"/>
    <x v="0"/>
    <x v="6"/>
    <x v="6"/>
    <x v="0"/>
    <x v="0"/>
    <x v="6"/>
    <x v="6"/>
    <x v="0"/>
    <x v="0"/>
    <x v="0"/>
    <x v="0"/>
    <x v="0"/>
    <x v="0"/>
  </r>
  <r>
    <x v="324"/>
    <x v="0"/>
    <x v="51"/>
    <x v="51"/>
    <x v="0"/>
    <x v="10"/>
    <x v="5"/>
    <x v="0"/>
    <x v="0"/>
    <x v="0"/>
    <x v="0"/>
    <x v="185"/>
    <x v="9"/>
    <x v="9"/>
    <x v="19"/>
    <x v="19"/>
    <x v="0"/>
    <x v="6"/>
    <x v="6"/>
    <x v="0"/>
    <x v="0"/>
    <x v="6"/>
    <x v="6"/>
    <x v="0"/>
    <x v="0"/>
    <x v="0"/>
    <x v="0"/>
    <x v="0"/>
    <x v="0"/>
  </r>
  <r>
    <x v="325"/>
    <x v="0"/>
    <x v="20"/>
    <x v="20"/>
    <x v="0"/>
    <x v="9"/>
    <x v="7"/>
    <x v="0"/>
    <x v="1"/>
    <x v="0"/>
    <x v="0"/>
    <x v="186"/>
    <x v="9"/>
    <x v="9"/>
    <x v="1"/>
    <x v="1"/>
    <x v="1"/>
    <x v="20"/>
    <x v="25"/>
    <x v="0"/>
    <x v="0"/>
    <x v="20"/>
    <x v="25"/>
    <x v="0"/>
    <x v="0"/>
    <x v="0"/>
    <x v="0"/>
    <x v="0"/>
    <x v="0"/>
  </r>
  <r>
    <x v="326"/>
    <x v="0"/>
    <x v="19"/>
    <x v="19"/>
    <x v="0"/>
    <x v="9"/>
    <x v="7"/>
    <x v="0"/>
    <x v="0"/>
    <x v="0"/>
    <x v="0"/>
    <x v="187"/>
    <x v="9"/>
    <x v="9"/>
    <x v="0"/>
    <x v="0"/>
    <x v="0"/>
    <x v="17"/>
    <x v="18"/>
    <x v="0"/>
    <x v="0"/>
    <x v="17"/>
    <x v="18"/>
    <x v="0"/>
    <x v="0"/>
    <x v="0"/>
    <x v="0"/>
    <x v="0"/>
    <x v="0"/>
  </r>
  <r>
    <x v="327"/>
    <x v="0"/>
    <x v="19"/>
    <x v="19"/>
    <x v="0"/>
    <x v="9"/>
    <x v="7"/>
    <x v="0"/>
    <x v="0"/>
    <x v="0"/>
    <x v="0"/>
    <x v="187"/>
    <x v="9"/>
    <x v="9"/>
    <x v="17"/>
    <x v="17"/>
    <x v="0"/>
    <x v="5"/>
    <x v="5"/>
    <x v="0"/>
    <x v="0"/>
    <x v="5"/>
    <x v="5"/>
    <x v="0"/>
    <x v="0"/>
    <x v="0"/>
    <x v="0"/>
    <x v="0"/>
    <x v="0"/>
  </r>
  <r>
    <x v="328"/>
    <x v="0"/>
    <x v="19"/>
    <x v="19"/>
    <x v="0"/>
    <x v="9"/>
    <x v="7"/>
    <x v="0"/>
    <x v="0"/>
    <x v="0"/>
    <x v="0"/>
    <x v="188"/>
    <x v="9"/>
    <x v="9"/>
    <x v="19"/>
    <x v="19"/>
    <x v="0"/>
    <x v="17"/>
    <x v="18"/>
    <x v="0"/>
    <x v="0"/>
    <x v="17"/>
    <x v="18"/>
    <x v="0"/>
    <x v="0"/>
    <x v="0"/>
    <x v="0"/>
    <x v="0"/>
    <x v="0"/>
  </r>
  <r>
    <x v="329"/>
    <x v="0"/>
    <x v="48"/>
    <x v="48"/>
    <x v="0"/>
    <x v="0"/>
    <x v="0"/>
    <x v="0"/>
    <x v="1"/>
    <x v="0"/>
    <x v="0"/>
    <x v="189"/>
    <x v="9"/>
    <x v="9"/>
    <x v="3"/>
    <x v="3"/>
    <x v="1"/>
    <x v="4"/>
    <x v="4"/>
    <x v="0"/>
    <x v="0"/>
    <x v="4"/>
    <x v="4"/>
    <x v="0"/>
    <x v="0"/>
    <x v="0"/>
    <x v="0"/>
    <x v="0"/>
    <x v="0"/>
  </r>
  <r>
    <x v="330"/>
    <x v="0"/>
    <x v="2"/>
    <x v="2"/>
    <x v="0"/>
    <x v="0"/>
    <x v="0"/>
    <x v="0"/>
    <x v="1"/>
    <x v="0"/>
    <x v="0"/>
    <x v="190"/>
    <x v="9"/>
    <x v="9"/>
    <x v="5"/>
    <x v="5"/>
    <x v="1"/>
    <x v="4"/>
    <x v="4"/>
    <x v="0"/>
    <x v="0"/>
    <x v="4"/>
    <x v="4"/>
    <x v="0"/>
    <x v="0"/>
    <x v="0"/>
    <x v="0"/>
    <x v="0"/>
    <x v="0"/>
  </r>
  <r>
    <x v="331"/>
    <x v="0"/>
    <x v="2"/>
    <x v="2"/>
    <x v="0"/>
    <x v="0"/>
    <x v="0"/>
    <x v="0"/>
    <x v="1"/>
    <x v="0"/>
    <x v="0"/>
    <x v="190"/>
    <x v="9"/>
    <x v="9"/>
    <x v="35"/>
    <x v="35"/>
    <x v="1"/>
    <x v="9"/>
    <x v="10"/>
    <x v="0"/>
    <x v="0"/>
    <x v="9"/>
    <x v="10"/>
    <x v="0"/>
    <x v="0"/>
    <x v="0"/>
    <x v="0"/>
    <x v="0"/>
    <x v="0"/>
  </r>
  <r>
    <x v="332"/>
    <x v="0"/>
    <x v="45"/>
    <x v="45"/>
    <x v="0"/>
    <x v="4"/>
    <x v="2"/>
    <x v="1"/>
    <x v="1"/>
    <x v="0"/>
    <x v="1"/>
    <x v="191"/>
    <x v="9"/>
    <x v="9"/>
    <x v="34"/>
    <x v="34"/>
    <x v="1"/>
    <x v="9"/>
    <x v="10"/>
    <x v="0"/>
    <x v="0"/>
    <x v="9"/>
    <x v="10"/>
    <x v="0"/>
    <x v="0"/>
    <x v="0"/>
    <x v="0"/>
    <x v="0"/>
    <x v="0"/>
  </r>
  <r>
    <x v="333"/>
    <x v="0"/>
    <x v="36"/>
    <x v="36"/>
    <x v="0"/>
    <x v="3"/>
    <x v="1"/>
    <x v="1"/>
    <x v="1"/>
    <x v="0"/>
    <x v="1"/>
    <x v="192"/>
    <x v="9"/>
    <x v="9"/>
    <x v="36"/>
    <x v="36"/>
    <x v="1"/>
    <x v="4"/>
    <x v="4"/>
    <x v="0"/>
    <x v="0"/>
    <x v="4"/>
    <x v="4"/>
    <x v="0"/>
    <x v="0"/>
    <x v="0"/>
    <x v="0"/>
    <x v="0"/>
    <x v="0"/>
  </r>
  <r>
    <x v="334"/>
    <x v="0"/>
    <x v="37"/>
    <x v="37"/>
    <x v="0"/>
    <x v="2"/>
    <x v="1"/>
    <x v="1"/>
    <x v="1"/>
    <x v="0"/>
    <x v="1"/>
    <x v="193"/>
    <x v="9"/>
    <x v="9"/>
    <x v="25"/>
    <x v="25"/>
    <x v="1"/>
    <x v="9"/>
    <x v="10"/>
    <x v="0"/>
    <x v="0"/>
    <x v="9"/>
    <x v="10"/>
    <x v="0"/>
    <x v="0"/>
    <x v="0"/>
    <x v="0"/>
    <x v="0"/>
    <x v="0"/>
  </r>
  <r>
    <x v="335"/>
    <x v="0"/>
    <x v="13"/>
    <x v="13"/>
    <x v="0"/>
    <x v="5"/>
    <x v="3"/>
    <x v="1"/>
    <x v="1"/>
    <x v="0"/>
    <x v="1"/>
    <x v="194"/>
    <x v="9"/>
    <x v="9"/>
    <x v="1"/>
    <x v="1"/>
    <x v="1"/>
    <x v="9"/>
    <x v="10"/>
    <x v="0"/>
    <x v="0"/>
    <x v="9"/>
    <x v="10"/>
    <x v="0"/>
    <x v="0"/>
    <x v="0"/>
    <x v="0"/>
    <x v="0"/>
    <x v="0"/>
  </r>
  <r>
    <x v="336"/>
    <x v="0"/>
    <x v="13"/>
    <x v="13"/>
    <x v="0"/>
    <x v="5"/>
    <x v="3"/>
    <x v="1"/>
    <x v="1"/>
    <x v="0"/>
    <x v="1"/>
    <x v="194"/>
    <x v="9"/>
    <x v="9"/>
    <x v="12"/>
    <x v="12"/>
    <x v="1"/>
    <x v="4"/>
    <x v="4"/>
    <x v="0"/>
    <x v="0"/>
    <x v="4"/>
    <x v="4"/>
    <x v="0"/>
    <x v="0"/>
    <x v="0"/>
    <x v="0"/>
    <x v="0"/>
    <x v="0"/>
  </r>
  <r>
    <x v="337"/>
    <x v="0"/>
    <x v="60"/>
    <x v="60"/>
    <x v="0"/>
    <x v="15"/>
    <x v="8"/>
    <x v="1"/>
    <x v="1"/>
    <x v="0"/>
    <x v="3"/>
    <x v="195"/>
    <x v="9"/>
    <x v="9"/>
    <x v="1"/>
    <x v="1"/>
    <x v="1"/>
    <x v="20"/>
    <x v="25"/>
    <x v="0"/>
    <x v="0"/>
    <x v="20"/>
    <x v="25"/>
    <x v="0"/>
    <x v="0"/>
    <x v="0"/>
    <x v="0"/>
    <x v="0"/>
    <x v="0"/>
  </r>
  <r>
    <x v="338"/>
    <x v="0"/>
    <x v="61"/>
    <x v="61"/>
    <x v="0"/>
    <x v="4"/>
    <x v="2"/>
    <x v="1"/>
    <x v="1"/>
    <x v="0"/>
    <x v="1"/>
    <x v="196"/>
    <x v="9"/>
    <x v="9"/>
    <x v="24"/>
    <x v="24"/>
    <x v="1"/>
    <x v="20"/>
    <x v="25"/>
    <x v="0"/>
    <x v="0"/>
    <x v="20"/>
    <x v="25"/>
    <x v="0"/>
    <x v="0"/>
    <x v="0"/>
    <x v="0"/>
    <x v="0"/>
    <x v="0"/>
  </r>
  <r>
    <x v="339"/>
    <x v="0"/>
    <x v="42"/>
    <x v="42"/>
    <x v="0"/>
    <x v="14"/>
    <x v="9"/>
    <x v="0"/>
    <x v="0"/>
    <x v="0"/>
    <x v="0"/>
    <x v="197"/>
    <x v="9"/>
    <x v="9"/>
    <x v="4"/>
    <x v="4"/>
    <x v="0"/>
    <x v="17"/>
    <x v="18"/>
    <x v="0"/>
    <x v="0"/>
    <x v="17"/>
    <x v="18"/>
    <x v="0"/>
    <x v="0"/>
    <x v="0"/>
    <x v="0"/>
    <x v="0"/>
    <x v="0"/>
  </r>
  <r>
    <x v="340"/>
    <x v="0"/>
    <x v="42"/>
    <x v="42"/>
    <x v="0"/>
    <x v="14"/>
    <x v="9"/>
    <x v="0"/>
    <x v="0"/>
    <x v="0"/>
    <x v="0"/>
    <x v="197"/>
    <x v="9"/>
    <x v="9"/>
    <x v="0"/>
    <x v="0"/>
    <x v="0"/>
    <x v="10"/>
    <x v="11"/>
    <x v="0"/>
    <x v="0"/>
    <x v="10"/>
    <x v="11"/>
    <x v="0"/>
    <x v="0"/>
    <x v="0"/>
    <x v="0"/>
    <x v="0"/>
    <x v="0"/>
  </r>
  <r>
    <x v="341"/>
    <x v="0"/>
    <x v="42"/>
    <x v="42"/>
    <x v="0"/>
    <x v="14"/>
    <x v="9"/>
    <x v="0"/>
    <x v="0"/>
    <x v="0"/>
    <x v="0"/>
    <x v="197"/>
    <x v="9"/>
    <x v="9"/>
    <x v="19"/>
    <x v="19"/>
    <x v="0"/>
    <x v="17"/>
    <x v="18"/>
    <x v="0"/>
    <x v="0"/>
    <x v="17"/>
    <x v="18"/>
    <x v="0"/>
    <x v="0"/>
    <x v="0"/>
    <x v="0"/>
    <x v="0"/>
    <x v="0"/>
  </r>
  <r>
    <x v="342"/>
    <x v="0"/>
    <x v="42"/>
    <x v="42"/>
    <x v="0"/>
    <x v="14"/>
    <x v="9"/>
    <x v="0"/>
    <x v="0"/>
    <x v="0"/>
    <x v="0"/>
    <x v="198"/>
    <x v="9"/>
    <x v="9"/>
    <x v="19"/>
    <x v="19"/>
    <x v="0"/>
    <x v="1"/>
    <x v="1"/>
    <x v="0"/>
    <x v="0"/>
    <x v="1"/>
    <x v="1"/>
    <x v="0"/>
    <x v="0"/>
    <x v="0"/>
    <x v="0"/>
    <x v="0"/>
    <x v="0"/>
  </r>
  <r>
    <x v="343"/>
    <x v="0"/>
    <x v="4"/>
    <x v="4"/>
    <x v="0"/>
    <x v="1"/>
    <x v="0"/>
    <x v="0"/>
    <x v="0"/>
    <x v="0"/>
    <x v="0"/>
    <x v="199"/>
    <x v="9"/>
    <x v="9"/>
    <x v="0"/>
    <x v="0"/>
    <x v="0"/>
    <x v="5"/>
    <x v="5"/>
    <x v="0"/>
    <x v="0"/>
    <x v="5"/>
    <x v="5"/>
    <x v="0"/>
    <x v="0"/>
    <x v="0"/>
    <x v="0"/>
    <x v="0"/>
    <x v="0"/>
  </r>
  <r>
    <x v="344"/>
    <x v="0"/>
    <x v="48"/>
    <x v="48"/>
    <x v="0"/>
    <x v="0"/>
    <x v="0"/>
    <x v="0"/>
    <x v="1"/>
    <x v="0"/>
    <x v="0"/>
    <x v="200"/>
    <x v="10"/>
    <x v="10"/>
    <x v="35"/>
    <x v="35"/>
    <x v="1"/>
    <x v="6"/>
    <x v="8"/>
    <x v="0"/>
    <x v="0"/>
    <x v="6"/>
    <x v="8"/>
    <x v="0"/>
    <x v="0"/>
    <x v="0"/>
    <x v="0"/>
    <x v="0"/>
    <x v="0"/>
  </r>
  <r>
    <x v="345"/>
    <x v="0"/>
    <x v="48"/>
    <x v="48"/>
    <x v="0"/>
    <x v="0"/>
    <x v="0"/>
    <x v="0"/>
    <x v="1"/>
    <x v="0"/>
    <x v="0"/>
    <x v="200"/>
    <x v="10"/>
    <x v="10"/>
    <x v="10"/>
    <x v="10"/>
    <x v="1"/>
    <x v="4"/>
    <x v="4"/>
    <x v="0"/>
    <x v="0"/>
    <x v="4"/>
    <x v="4"/>
    <x v="0"/>
    <x v="0"/>
    <x v="0"/>
    <x v="0"/>
    <x v="0"/>
    <x v="0"/>
  </r>
  <r>
    <x v="346"/>
    <x v="0"/>
    <x v="31"/>
    <x v="31"/>
    <x v="0"/>
    <x v="0"/>
    <x v="0"/>
    <x v="0"/>
    <x v="1"/>
    <x v="0"/>
    <x v="0"/>
    <x v="201"/>
    <x v="10"/>
    <x v="10"/>
    <x v="5"/>
    <x v="5"/>
    <x v="1"/>
    <x v="20"/>
    <x v="25"/>
    <x v="0"/>
    <x v="0"/>
    <x v="20"/>
    <x v="25"/>
    <x v="0"/>
    <x v="0"/>
    <x v="0"/>
    <x v="0"/>
    <x v="0"/>
    <x v="0"/>
  </r>
  <r>
    <x v="347"/>
    <x v="0"/>
    <x v="2"/>
    <x v="2"/>
    <x v="0"/>
    <x v="0"/>
    <x v="0"/>
    <x v="0"/>
    <x v="1"/>
    <x v="0"/>
    <x v="0"/>
    <x v="202"/>
    <x v="10"/>
    <x v="10"/>
    <x v="1"/>
    <x v="1"/>
    <x v="1"/>
    <x v="16"/>
    <x v="46"/>
    <x v="0"/>
    <x v="0"/>
    <x v="16"/>
    <x v="46"/>
    <x v="0"/>
    <x v="0"/>
    <x v="0"/>
    <x v="0"/>
    <x v="0"/>
    <x v="0"/>
  </r>
  <r>
    <x v="348"/>
    <x v="0"/>
    <x v="2"/>
    <x v="2"/>
    <x v="0"/>
    <x v="0"/>
    <x v="0"/>
    <x v="0"/>
    <x v="0"/>
    <x v="0"/>
    <x v="0"/>
    <x v="202"/>
    <x v="10"/>
    <x v="10"/>
    <x v="0"/>
    <x v="0"/>
    <x v="0"/>
    <x v="17"/>
    <x v="18"/>
    <x v="0"/>
    <x v="0"/>
    <x v="17"/>
    <x v="18"/>
    <x v="0"/>
    <x v="0"/>
    <x v="0"/>
    <x v="0"/>
    <x v="0"/>
    <x v="0"/>
  </r>
  <r>
    <x v="349"/>
    <x v="0"/>
    <x v="24"/>
    <x v="24"/>
    <x v="0"/>
    <x v="0"/>
    <x v="0"/>
    <x v="0"/>
    <x v="1"/>
    <x v="0"/>
    <x v="0"/>
    <x v="203"/>
    <x v="10"/>
    <x v="10"/>
    <x v="1"/>
    <x v="1"/>
    <x v="1"/>
    <x v="6"/>
    <x v="8"/>
    <x v="0"/>
    <x v="0"/>
    <x v="6"/>
    <x v="8"/>
    <x v="0"/>
    <x v="0"/>
    <x v="0"/>
    <x v="0"/>
    <x v="0"/>
    <x v="0"/>
  </r>
  <r>
    <x v="350"/>
    <x v="0"/>
    <x v="24"/>
    <x v="24"/>
    <x v="0"/>
    <x v="0"/>
    <x v="0"/>
    <x v="0"/>
    <x v="1"/>
    <x v="0"/>
    <x v="0"/>
    <x v="203"/>
    <x v="10"/>
    <x v="10"/>
    <x v="13"/>
    <x v="13"/>
    <x v="1"/>
    <x v="9"/>
    <x v="10"/>
    <x v="0"/>
    <x v="0"/>
    <x v="9"/>
    <x v="10"/>
    <x v="0"/>
    <x v="0"/>
    <x v="0"/>
    <x v="0"/>
    <x v="0"/>
    <x v="0"/>
  </r>
  <r>
    <x v="351"/>
    <x v="0"/>
    <x v="24"/>
    <x v="24"/>
    <x v="0"/>
    <x v="0"/>
    <x v="0"/>
    <x v="0"/>
    <x v="1"/>
    <x v="0"/>
    <x v="0"/>
    <x v="203"/>
    <x v="10"/>
    <x v="10"/>
    <x v="6"/>
    <x v="6"/>
    <x v="1"/>
    <x v="9"/>
    <x v="10"/>
    <x v="0"/>
    <x v="0"/>
    <x v="9"/>
    <x v="10"/>
    <x v="0"/>
    <x v="0"/>
    <x v="0"/>
    <x v="0"/>
    <x v="0"/>
    <x v="0"/>
  </r>
  <r>
    <x v="352"/>
    <x v="0"/>
    <x v="24"/>
    <x v="24"/>
    <x v="0"/>
    <x v="0"/>
    <x v="0"/>
    <x v="0"/>
    <x v="0"/>
    <x v="0"/>
    <x v="0"/>
    <x v="203"/>
    <x v="10"/>
    <x v="10"/>
    <x v="7"/>
    <x v="7"/>
    <x v="0"/>
    <x v="14"/>
    <x v="15"/>
    <x v="0"/>
    <x v="0"/>
    <x v="14"/>
    <x v="15"/>
    <x v="0"/>
    <x v="0"/>
    <x v="0"/>
    <x v="0"/>
    <x v="0"/>
    <x v="0"/>
  </r>
  <r>
    <x v="353"/>
    <x v="0"/>
    <x v="24"/>
    <x v="24"/>
    <x v="0"/>
    <x v="0"/>
    <x v="0"/>
    <x v="0"/>
    <x v="1"/>
    <x v="0"/>
    <x v="0"/>
    <x v="203"/>
    <x v="10"/>
    <x v="10"/>
    <x v="20"/>
    <x v="20"/>
    <x v="1"/>
    <x v="4"/>
    <x v="4"/>
    <x v="0"/>
    <x v="0"/>
    <x v="4"/>
    <x v="4"/>
    <x v="0"/>
    <x v="0"/>
    <x v="0"/>
    <x v="0"/>
    <x v="0"/>
    <x v="0"/>
  </r>
  <r>
    <x v="354"/>
    <x v="0"/>
    <x v="24"/>
    <x v="24"/>
    <x v="0"/>
    <x v="0"/>
    <x v="0"/>
    <x v="0"/>
    <x v="1"/>
    <x v="0"/>
    <x v="0"/>
    <x v="204"/>
    <x v="10"/>
    <x v="10"/>
    <x v="6"/>
    <x v="6"/>
    <x v="1"/>
    <x v="9"/>
    <x v="10"/>
    <x v="0"/>
    <x v="0"/>
    <x v="9"/>
    <x v="10"/>
    <x v="0"/>
    <x v="0"/>
    <x v="0"/>
    <x v="0"/>
    <x v="0"/>
    <x v="0"/>
  </r>
  <r>
    <x v="355"/>
    <x v="0"/>
    <x v="18"/>
    <x v="18"/>
    <x v="0"/>
    <x v="8"/>
    <x v="6"/>
    <x v="0"/>
    <x v="1"/>
    <x v="0"/>
    <x v="0"/>
    <x v="205"/>
    <x v="10"/>
    <x v="10"/>
    <x v="16"/>
    <x v="16"/>
    <x v="2"/>
    <x v="20"/>
    <x v="52"/>
    <x v="0"/>
    <x v="0"/>
    <x v="20"/>
    <x v="52"/>
    <x v="0"/>
    <x v="0"/>
    <x v="0"/>
    <x v="0"/>
    <x v="0"/>
    <x v="0"/>
  </r>
  <r>
    <x v="356"/>
    <x v="0"/>
    <x v="20"/>
    <x v="20"/>
    <x v="0"/>
    <x v="9"/>
    <x v="7"/>
    <x v="0"/>
    <x v="1"/>
    <x v="0"/>
    <x v="0"/>
    <x v="206"/>
    <x v="10"/>
    <x v="10"/>
    <x v="1"/>
    <x v="1"/>
    <x v="1"/>
    <x v="6"/>
    <x v="8"/>
    <x v="0"/>
    <x v="0"/>
    <x v="6"/>
    <x v="8"/>
    <x v="0"/>
    <x v="0"/>
    <x v="0"/>
    <x v="0"/>
    <x v="0"/>
    <x v="0"/>
  </r>
  <r>
    <x v="357"/>
    <x v="0"/>
    <x v="20"/>
    <x v="20"/>
    <x v="0"/>
    <x v="9"/>
    <x v="7"/>
    <x v="0"/>
    <x v="0"/>
    <x v="0"/>
    <x v="0"/>
    <x v="206"/>
    <x v="10"/>
    <x v="10"/>
    <x v="18"/>
    <x v="18"/>
    <x v="0"/>
    <x v="6"/>
    <x v="6"/>
    <x v="0"/>
    <x v="0"/>
    <x v="6"/>
    <x v="6"/>
    <x v="0"/>
    <x v="0"/>
    <x v="0"/>
    <x v="0"/>
    <x v="0"/>
    <x v="0"/>
  </r>
  <r>
    <x v="358"/>
    <x v="0"/>
    <x v="19"/>
    <x v="19"/>
    <x v="0"/>
    <x v="9"/>
    <x v="7"/>
    <x v="0"/>
    <x v="0"/>
    <x v="0"/>
    <x v="0"/>
    <x v="207"/>
    <x v="10"/>
    <x v="10"/>
    <x v="37"/>
    <x v="37"/>
    <x v="0"/>
    <x v="1"/>
    <x v="1"/>
    <x v="0"/>
    <x v="0"/>
    <x v="1"/>
    <x v="1"/>
    <x v="0"/>
    <x v="0"/>
    <x v="0"/>
    <x v="0"/>
    <x v="0"/>
    <x v="0"/>
  </r>
  <r>
    <x v="359"/>
    <x v="0"/>
    <x v="19"/>
    <x v="19"/>
    <x v="0"/>
    <x v="9"/>
    <x v="7"/>
    <x v="0"/>
    <x v="0"/>
    <x v="0"/>
    <x v="0"/>
    <x v="207"/>
    <x v="10"/>
    <x v="10"/>
    <x v="0"/>
    <x v="0"/>
    <x v="0"/>
    <x v="3"/>
    <x v="35"/>
    <x v="0"/>
    <x v="0"/>
    <x v="3"/>
    <x v="35"/>
    <x v="0"/>
    <x v="0"/>
    <x v="0"/>
    <x v="0"/>
    <x v="0"/>
    <x v="0"/>
  </r>
  <r>
    <x v="360"/>
    <x v="0"/>
    <x v="19"/>
    <x v="19"/>
    <x v="0"/>
    <x v="9"/>
    <x v="7"/>
    <x v="0"/>
    <x v="0"/>
    <x v="0"/>
    <x v="0"/>
    <x v="208"/>
    <x v="10"/>
    <x v="10"/>
    <x v="0"/>
    <x v="0"/>
    <x v="0"/>
    <x v="23"/>
    <x v="30"/>
    <x v="0"/>
    <x v="0"/>
    <x v="23"/>
    <x v="30"/>
    <x v="0"/>
    <x v="0"/>
    <x v="0"/>
    <x v="0"/>
    <x v="0"/>
    <x v="0"/>
  </r>
  <r>
    <x v="361"/>
    <x v="0"/>
    <x v="19"/>
    <x v="19"/>
    <x v="0"/>
    <x v="9"/>
    <x v="7"/>
    <x v="0"/>
    <x v="0"/>
    <x v="0"/>
    <x v="0"/>
    <x v="208"/>
    <x v="10"/>
    <x v="10"/>
    <x v="19"/>
    <x v="19"/>
    <x v="0"/>
    <x v="1"/>
    <x v="1"/>
    <x v="0"/>
    <x v="0"/>
    <x v="1"/>
    <x v="1"/>
    <x v="0"/>
    <x v="0"/>
    <x v="0"/>
    <x v="0"/>
    <x v="0"/>
    <x v="0"/>
  </r>
  <r>
    <x v="362"/>
    <x v="0"/>
    <x v="19"/>
    <x v="19"/>
    <x v="0"/>
    <x v="9"/>
    <x v="7"/>
    <x v="0"/>
    <x v="0"/>
    <x v="0"/>
    <x v="0"/>
    <x v="208"/>
    <x v="10"/>
    <x v="10"/>
    <x v="17"/>
    <x v="17"/>
    <x v="0"/>
    <x v="1"/>
    <x v="1"/>
    <x v="0"/>
    <x v="0"/>
    <x v="1"/>
    <x v="1"/>
    <x v="0"/>
    <x v="0"/>
    <x v="0"/>
    <x v="0"/>
    <x v="0"/>
    <x v="0"/>
  </r>
  <r>
    <x v="363"/>
    <x v="0"/>
    <x v="20"/>
    <x v="20"/>
    <x v="0"/>
    <x v="9"/>
    <x v="7"/>
    <x v="0"/>
    <x v="0"/>
    <x v="0"/>
    <x v="0"/>
    <x v="209"/>
    <x v="10"/>
    <x v="10"/>
    <x v="0"/>
    <x v="0"/>
    <x v="0"/>
    <x v="14"/>
    <x v="15"/>
    <x v="0"/>
    <x v="0"/>
    <x v="14"/>
    <x v="15"/>
    <x v="0"/>
    <x v="0"/>
    <x v="0"/>
    <x v="0"/>
    <x v="0"/>
    <x v="0"/>
  </r>
  <r>
    <x v="364"/>
    <x v="0"/>
    <x v="20"/>
    <x v="20"/>
    <x v="0"/>
    <x v="9"/>
    <x v="7"/>
    <x v="0"/>
    <x v="0"/>
    <x v="0"/>
    <x v="0"/>
    <x v="209"/>
    <x v="10"/>
    <x v="10"/>
    <x v="19"/>
    <x v="19"/>
    <x v="0"/>
    <x v="1"/>
    <x v="1"/>
    <x v="0"/>
    <x v="0"/>
    <x v="1"/>
    <x v="1"/>
    <x v="0"/>
    <x v="0"/>
    <x v="0"/>
    <x v="0"/>
    <x v="0"/>
    <x v="0"/>
  </r>
  <r>
    <x v="365"/>
    <x v="0"/>
    <x v="20"/>
    <x v="20"/>
    <x v="0"/>
    <x v="9"/>
    <x v="7"/>
    <x v="0"/>
    <x v="0"/>
    <x v="0"/>
    <x v="0"/>
    <x v="209"/>
    <x v="10"/>
    <x v="10"/>
    <x v="17"/>
    <x v="17"/>
    <x v="0"/>
    <x v="1"/>
    <x v="1"/>
    <x v="0"/>
    <x v="0"/>
    <x v="1"/>
    <x v="1"/>
    <x v="0"/>
    <x v="0"/>
    <x v="0"/>
    <x v="0"/>
    <x v="0"/>
    <x v="0"/>
  </r>
  <r>
    <x v="366"/>
    <x v="0"/>
    <x v="20"/>
    <x v="20"/>
    <x v="0"/>
    <x v="9"/>
    <x v="7"/>
    <x v="0"/>
    <x v="0"/>
    <x v="0"/>
    <x v="0"/>
    <x v="209"/>
    <x v="10"/>
    <x v="10"/>
    <x v="18"/>
    <x v="18"/>
    <x v="0"/>
    <x v="23"/>
    <x v="30"/>
    <x v="0"/>
    <x v="0"/>
    <x v="23"/>
    <x v="30"/>
    <x v="0"/>
    <x v="0"/>
    <x v="0"/>
    <x v="0"/>
    <x v="0"/>
    <x v="0"/>
  </r>
  <r>
    <x v="367"/>
    <x v="0"/>
    <x v="20"/>
    <x v="20"/>
    <x v="0"/>
    <x v="9"/>
    <x v="7"/>
    <x v="0"/>
    <x v="1"/>
    <x v="0"/>
    <x v="0"/>
    <x v="209"/>
    <x v="10"/>
    <x v="10"/>
    <x v="1"/>
    <x v="1"/>
    <x v="1"/>
    <x v="4"/>
    <x v="4"/>
    <x v="0"/>
    <x v="0"/>
    <x v="4"/>
    <x v="4"/>
    <x v="0"/>
    <x v="0"/>
    <x v="0"/>
    <x v="0"/>
    <x v="0"/>
    <x v="0"/>
  </r>
  <r>
    <x v="368"/>
    <x v="0"/>
    <x v="35"/>
    <x v="35"/>
    <x v="0"/>
    <x v="9"/>
    <x v="7"/>
    <x v="0"/>
    <x v="0"/>
    <x v="0"/>
    <x v="0"/>
    <x v="210"/>
    <x v="10"/>
    <x v="10"/>
    <x v="30"/>
    <x v="30"/>
    <x v="0"/>
    <x v="6"/>
    <x v="6"/>
    <x v="0"/>
    <x v="0"/>
    <x v="6"/>
    <x v="6"/>
    <x v="0"/>
    <x v="0"/>
    <x v="0"/>
    <x v="0"/>
    <x v="0"/>
    <x v="0"/>
  </r>
  <r>
    <x v="369"/>
    <x v="0"/>
    <x v="51"/>
    <x v="51"/>
    <x v="0"/>
    <x v="10"/>
    <x v="5"/>
    <x v="0"/>
    <x v="0"/>
    <x v="0"/>
    <x v="0"/>
    <x v="211"/>
    <x v="10"/>
    <x v="10"/>
    <x v="0"/>
    <x v="0"/>
    <x v="0"/>
    <x v="15"/>
    <x v="16"/>
    <x v="0"/>
    <x v="0"/>
    <x v="15"/>
    <x v="16"/>
    <x v="0"/>
    <x v="0"/>
    <x v="0"/>
    <x v="0"/>
    <x v="0"/>
    <x v="0"/>
  </r>
  <r>
    <x v="370"/>
    <x v="0"/>
    <x v="51"/>
    <x v="51"/>
    <x v="0"/>
    <x v="10"/>
    <x v="5"/>
    <x v="0"/>
    <x v="0"/>
    <x v="0"/>
    <x v="0"/>
    <x v="211"/>
    <x v="10"/>
    <x v="10"/>
    <x v="19"/>
    <x v="19"/>
    <x v="0"/>
    <x v="5"/>
    <x v="5"/>
    <x v="0"/>
    <x v="0"/>
    <x v="5"/>
    <x v="5"/>
    <x v="0"/>
    <x v="0"/>
    <x v="0"/>
    <x v="0"/>
    <x v="0"/>
    <x v="0"/>
  </r>
  <r>
    <x v="371"/>
    <x v="0"/>
    <x v="40"/>
    <x v="40"/>
    <x v="0"/>
    <x v="10"/>
    <x v="5"/>
    <x v="0"/>
    <x v="0"/>
    <x v="0"/>
    <x v="0"/>
    <x v="212"/>
    <x v="10"/>
    <x v="10"/>
    <x v="31"/>
    <x v="31"/>
    <x v="0"/>
    <x v="32"/>
    <x v="53"/>
    <x v="0"/>
    <x v="0"/>
    <x v="32"/>
    <x v="53"/>
    <x v="0"/>
    <x v="0"/>
    <x v="0"/>
    <x v="0"/>
    <x v="0"/>
    <x v="0"/>
  </r>
  <r>
    <x v="372"/>
    <x v="0"/>
    <x v="40"/>
    <x v="40"/>
    <x v="0"/>
    <x v="10"/>
    <x v="5"/>
    <x v="0"/>
    <x v="0"/>
    <x v="0"/>
    <x v="0"/>
    <x v="212"/>
    <x v="10"/>
    <x v="10"/>
    <x v="32"/>
    <x v="32"/>
    <x v="0"/>
    <x v="32"/>
    <x v="53"/>
    <x v="0"/>
    <x v="0"/>
    <x v="32"/>
    <x v="53"/>
    <x v="0"/>
    <x v="0"/>
    <x v="0"/>
    <x v="0"/>
    <x v="0"/>
    <x v="0"/>
  </r>
  <r>
    <x v="373"/>
    <x v="0"/>
    <x v="40"/>
    <x v="40"/>
    <x v="0"/>
    <x v="10"/>
    <x v="5"/>
    <x v="0"/>
    <x v="0"/>
    <x v="0"/>
    <x v="0"/>
    <x v="212"/>
    <x v="10"/>
    <x v="10"/>
    <x v="0"/>
    <x v="0"/>
    <x v="0"/>
    <x v="26"/>
    <x v="37"/>
    <x v="0"/>
    <x v="0"/>
    <x v="26"/>
    <x v="37"/>
    <x v="0"/>
    <x v="0"/>
    <x v="0"/>
    <x v="0"/>
    <x v="0"/>
    <x v="0"/>
  </r>
  <r>
    <x v="374"/>
    <x v="0"/>
    <x v="48"/>
    <x v="48"/>
    <x v="0"/>
    <x v="0"/>
    <x v="0"/>
    <x v="0"/>
    <x v="1"/>
    <x v="0"/>
    <x v="0"/>
    <x v="213"/>
    <x v="10"/>
    <x v="10"/>
    <x v="3"/>
    <x v="3"/>
    <x v="1"/>
    <x v="4"/>
    <x v="4"/>
    <x v="0"/>
    <x v="0"/>
    <x v="4"/>
    <x v="4"/>
    <x v="0"/>
    <x v="0"/>
    <x v="0"/>
    <x v="0"/>
    <x v="0"/>
    <x v="0"/>
  </r>
  <r>
    <x v="375"/>
    <x v="0"/>
    <x v="42"/>
    <x v="42"/>
    <x v="0"/>
    <x v="14"/>
    <x v="9"/>
    <x v="0"/>
    <x v="0"/>
    <x v="0"/>
    <x v="0"/>
    <x v="214"/>
    <x v="10"/>
    <x v="10"/>
    <x v="4"/>
    <x v="4"/>
    <x v="0"/>
    <x v="17"/>
    <x v="18"/>
    <x v="0"/>
    <x v="0"/>
    <x v="17"/>
    <x v="18"/>
    <x v="0"/>
    <x v="0"/>
    <x v="0"/>
    <x v="0"/>
    <x v="0"/>
    <x v="0"/>
  </r>
  <r>
    <x v="376"/>
    <x v="0"/>
    <x v="45"/>
    <x v="45"/>
    <x v="0"/>
    <x v="4"/>
    <x v="2"/>
    <x v="1"/>
    <x v="1"/>
    <x v="0"/>
    <x v="1"/>
    <x v="215"/>
    <x v="10"/>
    <x v="10"/>
    <x v="24"/>
    <x v="24"/>
    <x v="1"/>
    <x v="4"/>
    <x v="4"/>
    <x v="0"/>
    <x v="0"/>
    <x v="4"/>
    <x v="4"/>
    <x v="0"/>
    <x v="0"/>
    <x v="0"/>
    <x v="0"/>
    <x v="0"/>
    <x v="0"/>
  </r>
  <r>
    <x v="377"/>
    <x v="0"/>
    <x v="45"/>
    <x v="45"/>
    <x v="0"/>
    <x v="4"/>
    <x v="2"/>
    <x v="1"/>
    <x v="1"/>
    <x v="0"/>
    <x v="1"/>
    <x v="215"/>
    <x v="10"/>
    <x v="10"/>
    <x v="10"/>
    <x v="10"/>
    <x v="1"/>
    <x v="4"/>
    <x v="4"/>
    <x v="0"/>
    <x v="0"/>
    <x v="4"/>
    <x v="4"/>
    <x v="0"/>
    <x v="0"/>
    <x v="0"/>
    <x v="0"/>
    <x v="0"/>
    <x v="0"/>
  </r>
  <r>
    <x v="378"/>
    <x v="0"/>
    <x v="27"/>
    <x v="27"/>
    <x v="0"/>
    <x v="4"/>
    <x v="2"/>
    <x v="1"/>
    <x v="1"/>
    <x v="0"/>
    <x v="1"/>
    <x v="216"/>
    <x v="10"/>
    <x v="10"/>
    <x v="23"/>
    <x v="23"/>
    <x v="1"/>
    <x v="9"/>
    <x v="10"/>
    <x v="0"/>
    <x v="0"/>
    <x v="9"/>
    <x v="10"/>
    <x v="0"/>
    <x v="0"/>
    <x v="0"/>
    <x v="0"/>
    <x v="0"/>
    <x v="0"/>
  </r>
  <r>
    <x v="379"/>
    <x v="0"/>
    <x v="62"/>
    <x v="62"/>
    <x v="0"/>
    <x v="4"/>
    <x v="2"/>
    <x v="1"/>
    <x v="1"/>
    <x v="0"/>
    <x v="1"/>
    <x v="217"/>
    <x v="10"/>
    <x v="10"/>
    <x v="14"/>
    <x v="14"/>
    <x v="1"/>
    <x v="4"/>
    <x v="4"/>
    <x v="0"/>
    <x v="0"/>
    <x v="4"/>
    <x v="4"/>
    <x v="0"/>
    <x v="0"/>
    <x v="0"/>
    <x v="0"/>
    <x v="0"/>
    <x v="0"/>
  </r>
  <r>
    <x v="380"/>
    <x v="0"/>
    <x v="9"/>
    <x v="9"/>
    <x v="0"/>
    <x v="3"/>
    <x v="1"/>
    <x v="1"/>
    <x v="1"/>
    <x v="0"/>
    <x v="1"/>
    <x v="218"/>
    <x v="10"/>
    <x v="10"/>
    <x v="24"/>
    <x v="24"/>
    <x v="1"/>
    <x v="9"/>
    <x v="10"/>
    <x v="0"/>
    <x v="0"/>
    <x v="9"/>
    <x v="10"/>
    <x v="0"/>
    <x v="0"/>
    <x v="0"/>
    <x v="0"/>
    <x v="0"/>
    <x v="0"/>
  </r>
  <r>
    <x v="381"/>
    <x v="0"/>
    <x v="29"/>
    <x v="29"/>
    <x v="0"/>
    <x v="2"/>
    <x v="1"/>
    <x v="1"/>
    <x v="1"/>
    <x v="0"/>
    <x v="1"/>
    <x v="219"/>
    <x v="10"/>
    <x v="10"/>
    <x v="12"/>
    <x v="12"/>
    <x v="1"/>
    <x v="9"/>
    <x v="10"/>
    <x v="0"/>
    <x v="0"/>
    <x v="9"/>
    <x v="10"/>
    <x v="0"/>
    <x v="0"/>
    <x v="0"/>
    <x v="0"/>
    <x v="0"/>
    <x v="0"/>
  </r>
  <r>
    <x v="382"/>
    <x v="0"/>
    <x v="63"/>
    <x v="63"/>
    <x v="0"/>
    <x v="12"/>
    <x v="4"/>
    <x v="1"/>
    <x v="1"/>
    <x v="0"/>
    <x v="3"/>
    <x v="220"/>
    <x v="10"/>
    <x v="10"/>
    <x v="29"/>
    <x v="29"/>
    <x v="1"/>
    <x v="20"/>
    <x v="25"/>
    <x v="0"/>
    <x v="0"/>
    <x v="20"/>
    <x v="25"/>
    <x v="0"/>
    <x v="0"/>
    <x v="0"/>
    <x v="0"/>
    <x v="0"/>
    <x v="0"/>
  </r>
  <r>
    <x v="383"/>
    <x v="0"/>
    <x v="15"/>
    <x v="15"/>
    <x v="0"/>
    <x v="6"/>
    <x v="4"/>
    <x v="1"/>
    <x v="1"/>
    <x v="0"/>
    <x v="2"/>
    <x v="221"/>
    <x v="10"/>
    <x v="10"/>
    <x v="2"/>
    <x v="2"/>
    <x v="1"/>
    <x v="4"/>
    <x v="4"/>
    <x v="0"/>
    <x v="0"/>
    <x v="4"/>
    <x v="4"/>
    <x v="0"/>
    <x v="0"/>
    <x v="0"/>
    <x v="0"/>
    <x v="0"/>
    <x v="0"/>
  </r>
  <r>
    <x v="384"/>
    <x v="0"/>
    <x v="57"/>
    <x v="57"/>
    <x v="0"/>
    <x v="11"/>
    <x v="8"/>
    <x v="1"/>
    <x v="1"/>
    <x v="0"/>
    <x v="3"/>
    <x v="222"/>
    <x v="10"/>
    <x v="10"/>
    <x v="35"/>
    <x v="35"/>
    <x v="1"/>
    <x v="5"/>
    <x v="26"/>
    <x v="0"/>
    <x v="0"/>
    <x v="5"/>
    <x v="26"/>
    <x v="0"/>
    <x v="0"/>
    <x v="0"/>
    <x v="0"/>
    <x v="0"/>
    <x v="0"/>
  </r>
  <r>
    <x v="385"/>
    <x v="0"/>
    <x v="2"/>
    <x v="2"/>
    <x v="0"/>
    <x v="0"/>
    <x v="0"/>
    <x v="0"/>
    <x v="1"/>
    <x v="0"/>
    <x v="0"/>
    <x v="223"/>
    <x v="10"/>
    <x v="10"/>
    <x v="16"/>
    <x v="16"/>
    <x v="2"/>
    <x v="4"/>
    <x v="22"/>
    <x v="0"/>
    <x v="0"/>
    <x v="4"/>
    <x v="22"/>
    <x v="0"/>
    <x v="0"/>
    <x v="0"/>
    <x v="0"/>
    <x v="0"/>
    <x v="0"/>
  </r>
  <r>
    <x v="386"/>
    <x v="0"/>
    <x v="2"/>
    <x v="2"/>
    <x v="0"/>
    <x v="0"/>
    <x v="0"/>
    <x v="0"/>
    <x v="1"/>
    <x v="0"/>
    <x v="0"/>
    <x v="224"/>
    <x v="10"/>
    <x v="10"/>
    <x v="16"/>
    <x v="16"/>
    <x v="2"/>
    <x v="9"/>
    <x v="23"/>
    <x v="0"/>
    <x v="0"/>
    <x v="9"/>
    <x v="23"/>
    <x v="0"/>
    <x v="0"/>
    <x v="0"/>
    <x v="0"/>
    <x v="0"/>
    <x v="0"/>
  </r>
  <r>
    <x v="387"/>
    <x v="0"/>
    <x v="2"/>
    <x v="2"/>
    <x v="0"/>
    <x v="0"/>
    <x v="0"/>
    <x v="0"/>
    <x v="1"/>
    <x v="0"/>
    <x v="0"/>
    <x v="225"/>
    <x v="10"/>
    <x v="10"/>
    <x v="16"/>
    <x v="16"/>
    <x v="2"/>
    <x v="9"/>
    <x v="23"/>
    <x v="0"/>
    <x v="0"/>
    <x v="9"/>
    <x v="23"/>
    <x v="0"/>
    <x v="0"/>
    <x v="0"/>
    <x v="0"/>
    <x v="0"/>
    <x v="0"/>
  </r>
  <r>
    <x v="388"/>
    <x v="0"/>
    <x v="41"/>
    <x v="41"/>
    <x v="0"/>
    <x v="1"/>
    <x v="0"/>
    <x v="0"/>
    <x v="1"/>
    <x v="0"/>
    <x v="0"/>
    <x v="226"/>
    <x v="11"/>
    <x v="11"/>
    <x v="1"/>
    <x v="1"/>
    <x v="1"/>
    <x v="4"/>
    <x v="4"/>
    <x v="0"/>
    <x v="0"/>
    <x v="4"/>
    <x v="4"/>
    <x v="0"/>
    <x v="0"/>
    <x v="0"/>
    <x v="0"/>
    <x v="0"/>
    <x v="0"/>
  </r>
  <r>
    <x v="389"/>
    <x v="0"/>
    <x v="41"/>
    <x v="41"/>
    <x v="0"/>
    <x v="1"/>
    <x v="0"/>
    <x v="0"/>
    <x v="1"/>
    <x v="0"/>
    <x v="0"/>
    <x v="226"/>
    <x v="11"/>
    <x v="11"/>
    <x v="5"/>
    <x v="5"/>
    <x v="1"/>
    <x v="4"/>
    <x v="4"/>
    <x v="0"/>
    <x v="0"/>
    <x v="4"/>
    <x v="4"/>
    <x v="0"/>
    <x v="0"/>
    <x v="0"/>
    <x v="0"/>
    <x v="0"/>
    <x v="0"/>
  </r>
  <r>
    <x v="390"/>
    <x v="0"/>
    <x v="23"/>
    <x v="23"/>
    <x v="0"/>
    <x v="0"/>
    <x v="0"/>
    <x v="0"/>
    <x v="1"/>
    <x v="0"/>
    <x v="0"/>
    <x v="227"/>
    <x v="11"/>
    <x v="11"/>
    <x v="1"/>
    <x v="1"/>
    <x v="1"/>
    <x v="4"/>
    <x v="4"/>
    <x v="0"/>
    <x v="0"/>
    <x v="4"/>
    <x v="4"/>
    <x v="0"/>
    <x v="0"/>
    <x v="0"/>
    <x v="0"/>
    <x v="0"/>
    <x v="0"/>
  </r>
  <r>
    <x v="391"/>
    <x v="0"/>
    <x v="23"/>
    <x v="23"/>
    <x v="0"/>
    <x v="0"/>
    <x v="0"/>
    <x v="0"/>
    <x v="0"/>
    <x v="0"/>
    <x v="0"/>
    <x v="227"/>
    <x v="11"/>
    <x v="11"/>
    <x v="0"/>
    <x v="0"/>
    <x v="0"/>
    <x v="17"/>
    <x v="18"/>
    <x v="0"/>
    <x v="0"/>
    <x v="17"/>
    <x v="18"/>
    <x v="0"/>
    <x v="0"/>
    <x v="0"/>
    <x v="0"/>
    <x v="0"/>
    <x v="0"/>
  </r>
  <r>
    <x v="392"/>
    <x v="0"/>
    <x v="23"/>
    <x v="23"/>
    <x v="0"/>
    <x v="0"/>
    <x v="0"/>
    <x v="0"/>
    <x v="1"/>
    <x v="0"/>
    <x v="0"/>
    <x v="227"/>
    <x v="11"/>
    <x v="11"/>
    <x v="2"/>
    <x v="2"/>
    <x v="1"/>
    <x v="4"/>
    <x v="4"/>
    <x v="0"/>
    <x v="0"/>
    <x v="4"/>
    <x v="4"/>
    <x v="0"/>
    <x v="0"/>
    <x v="0"/>
    <x v="0"/>
    <x v="0"/>
    <x v="0"/>
  </r>
  <r>
    <x v="393"/>
    <x v="0"/>
    <x v="23"/>
    <x v="23"/>
    <x v="0"/>
    <x v="0"/>
    <x v="0"/>
    <x v="0"/>
    <x v="1"/>
    <x v="0"/>
    <x v="0"/>
    <x v="227"/>
    <x v="11"/>
    <x v="11"/>
    <x v="20"/>
    <x v="20"/>
    <x v="1"/>
    <x v="4"/>
    <x v="4"/>
    <x v="0"/>
    <x v="0"/>
    <x v="4"/>
    <x v="4"/>
    <x v="0"/>
    <x v="0"/>
    <x v="0"/>
    <x v="0"/>
    <x v="0"/>
    <x v="0"/>
  </r>
  <r>
    <x v="394"/>
    <x v="0"/>
    <x v="31"/>
    <x v="31"/>
    <x v="0"/>
    <x v="0"/>
    <x v="0"/>
    <x v="0"/>
    <x v="1"/>
    <x v="0"/>
    <x v="0"/>
    <x v="228"/>
    <x v="11"/>
    <x v="11"/>
    <x v="5"/>
    <x v="5"/>
    <x v="1"/>
    <x v="5"/>
    <x v="26"/>
    <x v="0"/>
    <x v="0"/>
    <x v="5"/>
    <x v="26"/>
    <x v="0"/>
    <x v="0"/>
    <x v="0"/>
    <x v="0"/>
    <x v="0"/>
    <x v="0"/>
  </r>
  <r>
    <x v="395"/>
    <x v="0"/>
    <x v="2"/>
    <x v="2"/>
    <x v="0"/>
    <x v="0"/>
    <x v="0"/>
    <x v="0"/>
    <x v="1"/>
    <x v="0"/>
    <x v="0"/>
    <x v="229"/>
    <x v="11"/>
    <x v="11"/>
    <x v="36"/>
    <x v="36"/>
    <x v="1"/>
    <x v="5"/>
    <x v="26"/>
    <x v="0"/>
    <x v="0"/>
    <x v="5"/>
    <x v="26"/>
    <x v="0"/>
    <x v="0"/>
    <x v="0"/>
    <x v="0"/>
    <x v="0"/>
    <x v="0"/>
  </r>
  <r>
    <x v="396"/>
    <x v="0"/>
    <x v="26"/>
    <x v="26"/>
    <x v="0"/>
    <x v="8"/>
    <x v="6"/>
    <x v="0"/>
    <x v="1"/>
    <x v="0"/>
    <x v="0"/>
    <x v="230"/>
    <x v="11"/>
    <x v="11"/>
    <x v="35"/>
    <x v="35"/>
    <x v="1"/>
    <x v="9"/>
    <x v="10"/>
    <x v="0"/>
    <x v="0"/>
    <x v="9"/>
    <x v="10"/>
    <x v="0"/>
    <x v="0"/>
    <x v="0"/>
    <x v="0"/>
    <x v="0"/>
    <x v="0"/>
  </r>
  <r>
    <x v="397"/>
    <x v="0"/>
    <x v="26"/>
    <x v="26"/>
    <x v="0"/>
    <x v="8"/>
    <x v="6"/>
    <x v="0"/>
    <x v="1"/>
    <x v="0"/>
    <x v="0"/>
    <x v="230"/>
    <x v="11"/>
    <x v="11"/>
    <x v="20"/>
    <x v="20"/>
    <x v="1"/>
    <x v="33"/>
    <x v="54"/>
    <x v="0"/>
    <x v="0"/>
    <x v="33"/>
    <x v="54"/>
    <x v="0"/>
    <x v="0"/>
    <x v="0"/>
    <x v="0"/>
    <x v="0"/>
    <x v="0"/>
  </r>
  <r>
    <x v="398"/>
    <x v="0"/>
    <x v="26"/>
    <x v="26"/>
    <x v="0"/>
    <x v="8"/>
    <x v="6"/>
    <x v="0"/>
    <x v="1"/>
    <x v="0"/>
    <x v="0"/>
    <x v="230"/>
    <x v="11"/>
    <x v="11"/>
    <x v="34"/>
    <x v="34"/>
    <x v="1"/>
    <x v="20"/>
    <x v="25"/>
    <x v="0"/>
    <x v="0"/>
    <x v="20"/>
    <x v="25"/>
    <x v="0"/>
    <x v="0"/>
    <x v="0"/>
    <x v="0"/>
    <x v="0"/>
    <x v="0"/>
  </r>
  <r>
    <x v="399"/>
    <x v="0"/>
    <x v="26"/>
    <x v="26"/>
    <x v="0"/>
    <x v="8"/>
    <x v="6"/>
    <x v="0"/>
    <x v="1"/>
    <x v="0"/>
    <x v="0"/>
    <x v="230"/>
    <x v="11"/>
    <x v="11"/>
    <x v="1"/>
    <x v="1"/>
    <x v="1"/>
    <x v="3"/>
    <x v="3"/>
    <x v="0"/>
    <x v="0"/>
    <x v="3"/>
    <x v="3"/>
    <x v="0"/>
    <x v="0"/>
    <x v="0"/>
    <x v="0"/>
    <x v="0"/>
    <x v="0"/>
  </r>
  <r>
    <x v="400"/>
    <x v="0"/>
    <x v="26"/>
    <x v="26"/>
    <x v="0"/>
    <x v="8"/>
    <x v="6"/>
    <x v="0"/>
    <x v="1"/>
    <x v="0"/>
    <x v="0"/>
    <x v="230"/>
    <x v="11"/>
    <x v="11"/>
    <x v="16"/>
    <x v="16"/>
    <x v="2"/>
    <x v="5"/>
    <x v="55"/>
    <x v="0"/>
    <x v="0"/>
    <x v="5"/>
    <x v="55"/>
    <x v="0"/>
    <x v="0"/>
    <x v="0"/>
    <x v="0"/>
    <x v="0"/>
    <x v="0"/>
  </r>
  <r>
    <x v="401"/>
    <x v="0"/>
    <x v="43"/>
    <x v="43"/>
    <x v="0"/>
    <x v="8"/>
    <x v="6"/>
    <x v="0"/>
    <x v="1"/>
    <x v="0"/>
    <x v="0"/>
    <x v="231"/>
    <x v="11"/>
    <x v="11"/>
    <x v="33"/>
    <x v="33"/>
    <x v="1"/>
    <x v="4"/>
    <x v="4"/>
    <x v="0"/>
    <x v="0"/>
    <x v="4"/>
    <x v="4"/>
    <x v="0"/>
    <x v="0"/>
    <x v="0"/>
    <x v="0"/>
    <x v="0"/>
    <x v="0"/>
  </r>
  <r>
    <x v="402"/>
    <x v="0"/>
    <x v="18"/>
    <x v="18"/>
    <x v="0"/>
    <x v="8"/>
    <x v="6"/>
    <x v="0"/>
    <x v="1"/>
    <x v="0"/>
    <x v="0"/>
    <x v="232"/>
    <x v="11"/>
    <x v="11"/>
    <x v="16"/>
    <x v="16"/>
    <x v="2"/>
    <x v="34"/>
    <x v="56"/>
    <x v="0"/>
    <x v="0"/>
    <x v="34"/>
    <x v="56"/>
    <x v="0"/>
    <x v="0"/>
    <x v="0"/>
    <x v="0"/>
    <x v="0"/>
    <x v="0"/>
  </r>
  <r>
    <x v="403"/>
    <x v="0"/>
    <x v="64"/>
    <x v="64"/>
    <x v="0"/>
    <x v="16"/>
    <x v="7"/>
    <x v="0"/>
    <x v="1"/>
    <x v="0"/>
    <x v="4"/>
    <x v="233"/>
    <x v="11"/>
    <x v="11"/>
    <x v="5"/>
    <x v="5"/>
    <x v="1"/>
    <x v="9"/>
    <x v="10"/>
    <x v="0"/>
    <x v="0"/>
    <x v="9"/>
    <x v="10"/>
    <x v="0"/>
    <x v="0"/>
    <x v="0"/>
    <x v="0"/>
    <x v="0"/>
    <x v="0"/>
  </r>
  <r>
    <x v="404"/>
    <x v="0"/>
    <x v="59"/>
    <x v="59"/>
    <x v="0"/>
    <x v="7"/>
    <x v="5"/>
    <x v="0"/>
    <x v="1"/>
    <x v="0"/>
    <x v="0"/>
    <x v="234"/>
    <x v="11"/>
    <x v="11"/>
    <x v="1"/>
    <x v="1"/>
    <x v="1"/>
    <x v="21"/>
    <x v="28"/>
    <x v="0"/>
    <x v="0"/>
    <x v="21"/>
    <x v="28"/>
    <x v="0"/>
    <x v="0"/>
    <x v="0"/>
    <x v="0"/>
    <x v="0"/>
    <x v="0"/>
  </r>
  <r>
    <x v="405"/>
    <x v="0"/>
    <x v="59"/>
    <x v="59"/>
    <x v="0"/>
    <x v="7"/>
    <x v="5"/>
    <x v="0"/>
    <x v="0"/>
    <x v="0"/>
    <x v="0"/>
    <x v="234"/>
    <x v="11"/>
    <x v="11"/>
    <x v="0"/>
    <x v="0"/>
    <x v="0"/>
    <x v="35"/>
    <x v="57"/>
    <x v="0"/>
    <x v="0"/>
    <x v="35"/>
    <x v="57"/>
    <x v="0"/>
    <x v="0"/>
    <x v="0"/>
    <x v="0"/>
    <x v="0"/>
    <x v="0"/>
  </r>
  <r>
    <x v="406"/>
    <x v="0"/>
    <x v="54"/>
    <x v="54"/>
    <x v="0"/>
    <x v="0"/>
    <x v="0"/>
    <x v="0"/>
    <x v="1"/>
    <x v="0"/>
    <x v="0"/>
    <x v="235"/>
    <x v="11"/>
    <x v="11"/>
    <x v="1"/>
    <x v="1"/>
    <x v="1"/>
    <x v="4"/>
    <x v="4"/>
    <x v="0"/>
    <x v="0"/>
    <x v="4"/>
    <x v="4"/>
    <x v="0"/>
    <x v="0"/>
    <x v="0"/>
    <x v="0"/>
    <x v="0"/>
    <x v="0"/>
  </r>
  <r>
    <x v="407"/>
    <x v="0"/>
    <x v="2"/>
    <x v="2"/>
    <x v="0"/>
    <x v="0"/>
    <x v="0"/>
    <x v="0"/>
    <x v="1"/>
    <x v="0"/>
    <x v="0"/>
    <x v="236"/>
    <x v="11"/>
    <x v="11"/>
    <x v="35"/>
    <x v="35"/>
    <x v="1"/>
    <x v="4"/>
    <x v="4"/>
    <x v="0"/>
    <x v="0"/>
    <x v="4"/>
    <x v="4"/>
    <x v="0"/>
    <x v="0"/>
    <x v="0"/>
    <x v="0"/>
    <x v="0"/>
    <x v="0"/>
  </r>
  <r>
    <x v="408"/>
    <x v="0"/>
    <x v="48"/>
    <x v="48"/>
    <x v="0"/>
    <x v="0"/>
    <x v="0"/>
    <x v="0"/>
    <x v="1"/>
    <x v="0"/>
    <x v="0"/>
    <x v="237"/>
    <x v="11"/>
    <x v="11"/>
    <x v="35"/>
    <x v="35"/>
    <x v="1"/>
    <x v="4"/>
    <x v="4"/>
    <x v="0"/>
    <x v="0"/>
    <x v="4"/>
    <x v="4"/>
    <x v="0"/>
    <x v="0"/>
    <x v="0"/>
    <x v="0"/>
    <x v="0"/>
    <x v="0"/>
  </r>
  <r>
    <x v="409"/>
    <x v="0"/>
    <x v="20"/>
    <x v="20"/>
    <x v="0"/>
    <x v="9"/>
    <x v="7"/>
    <x v="0"/>
    <x v="1"/>
    <x v="0"/>
    <x v="0"/>
    <x v="238"/>
    <x v="11"/>
    <x v="11"/>
    <x v="1"/>
    <x v="1"/>
    <x v="1"/>
    <x v="6"/>
    <x v="8"/>
    <x v="0"/>
    <x v="0"/>
    <x v="6"/>
    <x v="8"/>
    <x v="0"/>
    <x v="0"/>
    <x v="0"/>
    <x v="0"/>
    <x v="0"/>
    <x v="0"/>
  </r>
  <r>
    <x v="410"/>
    <x v="0"/>
    <x v="20"/>
    <x v="20"/>
    <x v="0"/>
    <x v="9"/>
    <x v="7"/>
    <x v="0"/>
    <x v="0"/>
    <x v="0"/>
    <x v="0"/>
    <x v="238"/>
    <x v="11"/>
    <x v="11"/>
    <x v="0"/>
    <x v="0"/>
    <x v="0"/>
    <x v="17"/>
    <x v="18"/>
    <x v="0"/>
    <x v="0"/>
    <x v="17"/>
    <x v="18"/>
    <x v="0"/>
    <x v="0"/>
    <x v="0"/>
    <x v="0"/>
    <x v="0"/>
    <x v="0"/>
  </r>
  <r>
    <x v="411"/>
    <x v="0"/>
    <x v="19"/>
    <x v="19"/>
    <x v="0"/>
    <x v="9"/>
    <x v="7"/>
    <x v="0"/>
    <x v="0"/>
    <x v="0"/>
    <x v="0"/>
    <x v="239"/>
    <x v="11"/>
    <x v="11"/>
    <x v="37"/>
    <x v="37"/>
    <x v="0"/>
    <x v="5"/>
    <x v="5"/>
    <x v="0"/>
    <x v="0"/>
    <x v="5"/>
    <x v="5"/>
    <x v="0"/>
    <x v="0"/>
    <x v="0"/>
    <x v="0"/>
    <x v="0"/>
    <x v="0"/>
  </r>
  <r>
    <x v="412"/>
    <x v="0"/>
    <x v="19"/>
    <x v="19"/>
    <x v="0"/>
    <x v="9"/>
    <x v="7"/>
    <x v="0"/>
    <x v="0"/>
    <x v="0"/>
    <x v="0"/>
    <x v="240"/>
    <x v="11"/>
    <x v="11"/>
    <x v="0"/>
    <x v="0"/>
    <x v="0"/>
    <x v="6"/>
    <x v="6"/>
    <x v="0"/>
    <x v="0"/>
    <x v="6"/>
    <x v="6"/>
    <x v="0"/>
    <x v="0"/>
    <x v="0"/>
    <x v="0"/>
    <x v="0"/>
    <x v="0"/>
  </r>
  <r>
    <x v="413"/>
    <x v="0"/>
    <x v="20"/>
    <x v="20"/>
    <x v="0"/>
    <x v="9"/>
    <x v="7"/>
    <x v="0"/>
    <x v="0"/>
    <x v="0"/>
    <x v="0"/>
    <x v="241"/>
    <x v="11"/>
    <x v="11"/>
    <x v="0"/>
    <x v="0"/>
    <x v="0"/>
    <x v="5"/>
    <x v="5"/>
    <x v="0"/>
    <x v="0"/>
    <x v="5"/>
    <x v="5"/>
    <x v="0"/>
    <x v="0"/>
    <x v="0"/>
    <x v="0"/>
    <x v="0"/>
    <x v="0"/>
  </r>
  <r>
    <x v="414"/>
    <x v="0"/>
    <x v="20"/>
    <x v="20"/>
    <x v="0"/>
    <x v="9"/>
    <x v="7"/>
    <x v="0"/>
    <x v="0"/>
    <x v="0"/>
    <x v="0"/>
    <x v="241"/>
    <x v="11"/>
    <x v="11"/>
    <x v="17"/>
    <x v="17"/>
    <x v="0"/>
    <x v="1"/>
    <x v="1"/>
    <x v="0"/>
    <x v="0"/>
    <x v="1"/>
    <x v="1"/>
    <x v="0"/>
    <x v="0"/>
    <x v="0"/>
    <x v="0"/>
    <x v="0"/>
    <x v="0"/>
  </r>
  <r>
    <x v="415"/>
    <x v="0"/>
    <x v="35"/>
    <x v="35"/>
    <x v="0"/>
    <x v="9"/>
    <x v="7"/>
    <x v="0"/>
    <x v="1"/>
    <x v="0"/>
    <x v="0"/>
    <x v="242"/>
    <x v="11"/>
    <x v="11"/>
    <x v="11"/>
    <x v="11"/>
    <x v="1"/>
    <x v="6"/>
    <x v="8"/>
    <x v="0"/>
    <x v="0"/>
    <x v="6"/>
    <x v="8"/>
    <x v="0"/>
    <x v="0"/>
    <x v="0"/>
    <x v="0"/>
    <x v="0"/>
    <x v="0"/>
  </r>
  <r>
    <x v="416"/>
    <x v="0"/>
    <x v="5"/>
    <x v="5"/>
    <x v="0"/>
    <x v="2"/>
    <x v="1"/>
    <x v="1"/>
    <x v="1"/>
    <x v="0"/>
    <x v="1"/>
    <x v="243"/>
    <x v="11"/>
    <x v="11"/>
    <x v="41"/>
    <x v="41"/>
    <x v="1"/>
    <x v="9"/>
    <x v="10"/>
    <x v="0"/>
    <x v="0"/>
    <x v="9"/>
    <x v="10"/>
    <x v="0"/>
    <x v="0"/>
    <x v="0"/>
    <x v="0"/>
    <x v="0"/>
    <x v="0"/>
  </r>
  <r>
    <x v="417"/>
    <x v="0"/>
    <x v="60"/>
    <x v="60"/>
    <x v="0"/>
    <x v="15"/>
    <x v="8"/>
    <x v="1"/>
    <x v="1"/>
    <x v="0"/>
    <x v="3"/>
    <x v="244"/>
    <x v="11"/>
    <x v="11"/>
    <x v="24"/>
    <x v="24"/>
    <x v="1"/>
    <x v="9"/>
    <x v="10"/>
    <x v="0"/>
    <x v="0"/>
    <x v="9"/>
    <x v="10"/>
    <x v="0"/>
    <x v="0"/>
    <x v="0"/>
    <x v="0"/>
    <x v="0"/>
    <x v="0"/>
  </r>
  <r>
    <x v="418"/>
    <x v="0"/>
    <x v="61"/>
    <x v="61"/>
    <x v="0"/>
    <x v="4"/>
    <x v="2"/>
    <x v="1"/>
    <x v="1"/>
    <x v="0"/>
    <x v="1"/>
    <x v="245"/>
    <x v="11"/>
    <x v="11"/>
    <x v="24"/>
    <x v="24"/>
    <x v="1"/>
    <x v="20"/>
    <x v="25"/>
    <x v="0"/>
    <x v="0"/>
    <x v="20"/>
    <x v="25"/>
    <x v="0"/>
    <x v="0"/>
    <x v="0"/>
    <x v="0"/>
    <x v="0"/>
    <x v="0"/>
  </r>
  <r>
    <x v="419"/>
    <x v="0"/>
    <x v="13"/>
    <x v="13"/>
    <x v="0"/>
    <x v="5"/>
    <x v="3"/>
    <x v="1"/>
    <x v="1"/>
    <x v="0"/>
    <x v="1"/>
    <x v="246"/>
    <x v="11"/>
    <x v="11"/>
    <x v="16"/>
    <x v="16"/>
    <x v="2"/>
    <x v="20"/>
    <x v="52"/>
    <x v="0"/>
    <x v="0"/>
    <x v="20"/>
    <x v="52"/>
    <x v="0"/>
    <x v="0"/>
    <x v="0"/>
    <x v="0"/>
    <x v="0"/>
    <x v="0"/>
  </r>
  <r>
    <x v="420"/>
    <x v="0"/>
    <x v="13"/>
    <x v="13"/>
    <x v="0"/>
    <x v="5"/>
    <x v="3"/>
    <x v="1"/>
    <x v="1"/>
    <x v="0"/>
    <x v="1"/>
    <x v="247"/>
    <x v="11"/>
    <x v="11"/>
    <x v="1"/>
    <x v="1"/>
    <x v="1"/>
    <x v="9"/>
    <x v="10"/>
    <x v="0"/>
    <x v="0"/>
    <x v="9"/>
    <x v="10"/>
    <x v="0"/>
    <x v="0"/>
    <x v="0"/>
    <x v="0"/>
    <x v="0"/>
    <x v="0"/>
  </r>
  <r>
    <x v="421"/>
    <x v="0"/>
    <x v="13"/>
    <x v="13"/>
    <x v="0"/>
    <x v="5"/>
    <x v="3"/>
    <x v="1"/>
    <x v="1"/>
    <x v="0"/>
    <x v="1"/>
    <x v="248"/>
    <x v="11"/>
    <x v="11"/>
    <x v="1"/>
    <x v="1"/>
    <x v="1"/>
    <x v="9"/>
    <x v="10"/>
    <x v="0"/>
    <x v="0"/>
    <x v="9"/>
    <x v="10"/>
    <x v="0"/>
    <x v="0"/>
    <x v="0"/>
    <x v="0"/>
    <x v="0"/>
    <x v="0"/>
  </r>
  <r>
    <x v="422"/>
    <x v="0"/>
    <x v="22"/>
    <x v="22"/>
    <x v="0"/>
    <x v="11"/>
    <x v="8"/>
    <x v="1"/>
    <x v="0"/>
    <x v="0"/>
    <x v="3"/>
    <x v="249"/>
    <x v="11"/>
    <x v="11"/>
    <x v="42"/>
    <x v="42"/>
    <x v="3"/>
    <x v="2"/>
    <x v="58"/>
    <x v="0"/>
    <x v="0"/>
    <x v="2"/>
    <x v="58"/>
    <x v="0"/>
    <x v="0"/>
    <x v="0"/>
    <x v="0"/>
    <x v="0"/>
    <x v="0"/>
  </r>
  <r>
    <x v="423"/>
    <x v="0"/>
    <x v="65"/>
    <x v="65"/>
    <x v="0"/>
    <x v="11"/>
    <x v="8"/>
    <x v="1"/>
    <x v="1"/>
    <x v="0"/>
    <x v="3"/>
    <x v="250"/>
    <x v="11"/>
    <x v="11"/>
    <x v="16"/>
    <x v="16"/>
    <x v="2"/>
    <x v="9"/>
    <x v="23"/>
    <x v="0"/>
    <x v="0"/>
    <x v="9"/>
    <x v="23"/>
    <x v="0"/>
    <x v="0"/>
    <x v="0"/>
    <x v="0"/>
    <x v="0"/>
    <x v="0"/>
  </r>
  <r>
    <x v="424"/>
    <x v="0"/>
    <x v="65"/>
    <x v="65"/>
    <x v="0"/>
    <x v="11"/>
    <x v="8"/>
    <x v="1"/>
    <x v="1"/>
    <x v="0"/>
    <x v="3"/>
    <x v="251"/>
    <x v="11"/>
    <x v="11"/>
    <x v="16"/>
    <x v="16"/>
    <x v="2"/>
    <x v="25"/>
    <x v="59"/>
    <x v="0"/>
    <x v="0"/>
    <x v="25"/>
    <x v="59"/>
    <x v="0"/>
    <x v="0"/>
    <x v="0"/>
    <x v="0"/>
    <x v="0"/>
    <x v="0"/>
  </r>
  <r>
    <x v="425"/>
    <x v="1"/>
    <x v="66"/>
    <x v="66"/>
    <x v="0"/>
    <x v="12"/>
    <x v="4"/>
    <x v="1"/>
    <x v="1"/>
    <x v="0"/>
    <x v="3"/>
    <x v="252"/>
    <x v="11"/>
    <x v="11"/>
    <x v="43"/>
    <x v="43"/>
    <x v="1"/>
    <x v="4"/>
    <x v="4"/>
    <x v="0"/>
    <x v="0"/>
    <x v="4"/>
    <x v="4"/>
    <x v="0"/>
    <x v="0"/>
    <x v="0"/>
    <x v="0"/>
    <x v="0"/>
    <x v="0"/>
  </r>
  <r>
    <x v="426"/>
    <x v="1"/>
    <x v="66"/>
    <x v="66"/>
    <x v="0"/>
    <x v="12"/>
    <x v="4"/>
    <x v="1"/>
    <x v="1"/>
    <x v="0"/>
    <x v="3"/>
    <x v="253"/>
    <x v="11"/>
    <x v="11"/>
    <x v="43"/>
    <x v="43"/>
    <x v="1"/>
    <x v="4"/>
    <x v="4"/>
    <x v="0"/>
    <x v="0"/>
    <x v="4"/>
    <x v="4"/>
    <x v="0"/>
    <x v="0"/>
    <x v="0"/>
    <x v="0"/>
    <x v="0"/>
    <x v="0"/>
  </r>
  <r>
    <x v="427"/>
    <x v="1"/>
    <x v="66"/>
    <x v="66"/>
    <x v="0"/>
    <x v="12"/>
    <x v="4"/>
    <x v="1"/>
    <x v="1"/>
    <x v="0"/>
    <x v="3"/>
    <x v="254"/>
    <x v="11"/>
    <x v="11"/>
    <x v="44"/>
    <x v="44"/>
    <x v="1"/>
    <x v="0"/>
    <x v="21"/>
    <x v="0"/>
    <x v="0"/>
    <x v="0"/>
    <x v="21"/>
    <x v="0"/>
    <x v="0"/>
    <x v="0"/>
    <x v="0"/>
    <x v="0"/>
    <x v="0"/>
  </r>
  <r>
    <x v="428"/>
    <x v="1"/>
    <x v="66"/>
    <x v="66"/>
    <x v="0"/>
    <x v="12"/>
    <x v="4"/>
    <x v="1"/>
    <x v="1"/>
    <x v="0"/>
    <x v="3"/>
    <x v="255"/>
    <x v="11"/>
    <x v="11"/>
    <x v="43"/>
    <x v="43"/>
    <x v="1"/>
    <x v="6"/>
    <x v="8"/>
    <x v="0"/>
    <x v="0"/>
    <x v="6"/>
    <x v="8"/>
    <x v="0"/>
    <x v="0"/>
    <x v="0"/>
    <x v="0"/>
    <x v="0"/>
    <x v="0"/>
  </r>
  <r>
    <x v="429"/>
    <x v="1"/>
    <x v="66"/>
    <x v="66"/>
    <x v="0"/>
    <x v="12"/>
    <x v="4"/>
    <x v="1"/>
    <x v="1"/>
    <x v="0"/>
    <x v="3"/>
    <x v="256"/>
    <x v="11"/>
    <x v="11"/>
    <x v="43"/>
    <x v="43"/>
    <x v="1"/>
    <x v="4"/>
    <x v="4"/>
    <x v="0"/>
    <x v="0"/>
    <x v="4"/>
    <x v="4"/>
    <x v="0"/>
    <x v="0"/>
    <x v="0"/>
    <x v="0"/>
    <x v="0"/>
    <x v="0"/>
  </r>
  <r>
    <x v="430"/>
    <x v="1"/>
    <x v="66"/>
    <x v="66"/>
    <x v="0"/>
    <x v="12"/>
    <x v="4"/>
    <x v="1"/>
    <x v="1"/>
    <x v="0"/>
    <x v="3"/>
    <x v="257"/>
    <x v="11"/>
    <x v="11"/>
    <x v="44"/>
    <x v="44"/>
    <x v="1"/>
    <x v="4"/>
    <x v="4"/>
    <x v="0"/>
    <x v="0"/>
    <x v="4"/>
    <x v="4"/>
    <x v="0"/>
    <x v="0"/>
    <x v="0"/>
    <x v="0"/>
    <x v="0"/>
    <x v="0"/>
  </r>
  <r>
    <x v="431"/>
    <x v="0"/>
    <x v="53"/>
    <x v="53"/>
    <x v="0"/>
    <x v="0"/>
    <x v="0"/>
    <x v="0"/>
    <x v="1"/>
    <x v="0"/>
    <x v="0"/>
    <x v="258"/>
    <x v="11"/>
    <x v="11"/>
    <x v="38"/>
    <x v="38"/>
    <x v="1"/>
    <x v="4"/>
    <x v="4"/>
    <x v="0"/>
    <x v="0"/>
    <x v="4"/>
    <x v="4"/>
    <x v="0"/>
    <x v="0"/>
    <x v="0"/>
    <x v="0"/>
    <x v="0"/>
    <x v="0"/>
  </r>
  <r>
    <x v="432"/>
    <x v="0"/>
    <x v="53"/>
    <x v="53"/>
    <x v="0"/>
    <x v="0"/>
    <x v="0"/>
    <x v="0"/>
    <x v="1"/>
    <x v="0"/>
    <x v="0"/>
    <x v="258"/>
    <x v="11"/>
    <x v="11"/>
    <x v="10"/>
    <x v="10"/>
    <x v="1"/>
    <x v="13"/>
    <x v="31"/>
    <x v="0"/>
    <x v="0"/>
    <x v="13"/>
    <x v="31"/>
    <x v="0"/>
    <x v="0"/>
    <x v="0"/>
    <x v="0"/>
    <x v="0"/>
    <x v="0"/>
  </r>
  <r>
    <x v="433"/>
    <x v="0"/>
    <x v="1"/>
    <x v="1"/>
    <x v="0"/>
    <x v="0"/>
    <x v="0"/>
    <x v="0"/>
    <x v="1"/>
    <x v="0"/>
    <x v="0"/>
    <x v="259"/>
    <x v="12"/>
    <x v="12"/>
    <x v="24"/>
    <x v="24"/>
    <x v="1"/>
    <x v="6"/>
    <x v="8"/>
    <x v="0"/>
    <x v="0"/>
    <x v="6"/>
    <x v="8"/>
    <x v="0"/>
    <x v="0"/>
    <x v="0"/>
    <x v="0"/>
    <x v="0"/>
    <x v="0"/>
  </r>
  <r>
    <x v="434"/>
    <x v="0"/>
    <x v="1"/>
    <x v="1"/>
    <x v="0"/>
    <x v="0"/>
    <x v="0"/>
    <x v="0"/>
    <x v="0"/>
    <x v="0"/>
    <x v="0"/>
    <x v="259"/>
    <x v="12"/>
    <x v="12"/>
    <x v="0"/>
    <x v="0"/>
    <x v="0"/>
    <x v="1"/>
    <x v="1"/>
    <x v="0"/>
    <x v="0"/>
    <x v="1"/>
    <x v="1"/>
    <x v="0"/>
    <x v="0"/>
    <x v="0"/>
    <x v="0"/>
    <x v="0"/>
    <x v="0"/>
  </r>
  <r>
    <x v="435"/>
    <x v="0"/>
    <x v="24"/>
    <x v="24"/>
    <x v="0"/>
    <x v="0"/>
    <x v="0"/>
    <x v="0"/>
    <x v="1"/>
    <x v="0"/>
    <x v="0"/>
    <x v="260"/>
    <x v="12"/>
    <x v="12"/>
    <x v="6"/>
    <x v="6"/>
    <x v="1"/>
    <x v="9"/>
    <x v="10"/>
    <x v="0"/>
    <x v="0"/>
    <x v="9"/>
    <x v="10"/>
    <x v="0"/>
    <x v="0"/>
    <x v="0"/>
    <x v="0"/>
    <x v="0"/>
    <x v="0"/>
  </r>
  <r>
    <x v="436"/>
    <x v="0"/>
    <x v="24"/>
    <x v="24"/>
    <x v="0"/>
    <x v="0"/>
    <x v="0"/>
    <x v="0"/>
    <x v="0"/>
    <x v="0"/>
    <x v="0"/>
    <x v="260"/>
    <x v="12"/>
    <x v="12"/>
    <x v="7"/>
    <x v="7"/>
    <x v="0"/>
    <x v="17"/>
    <x v="18"/>
    <x v="0"/>
    <x v="0"/>
    <x v="17"/>
    <x v="18"/>
    <x v="0"/>
    <x v="0"/>
    <x v="0"/>
    <x v="0"/>
    <x v="0"/>
    <x v="0"/>
  </r>
  <r>
    <x v="437"/>
    <x v="0"/>
    <x v="23"/>
    <x v="23"/>
    <x v="0"/>
    <x v="0"/>
    <x v="0"/>
    <x v="0"/>
    <x v="0"/>
    <x v="0"/>
    <x v="0"/>
    <x v="261"/>
    <x v="12"/>
    <x v="12"/>
    <x v="7"/>
    <x v="7"/>
    <x v="0"/>
    <x v="5"/>
    <x v="5"/>
    <x v="0"/>
    <x v="0"/>
    <x v="5"/>
    <x v="5"/>
    <x v="0"/>
    <x v="0"/>
    <x v="0"/>
    <x v="0"/>
    <x v="0"/>
    <x v="0"/>
  </r>
  <r>
    <x v="438"/>
    <x v="0"/>
    <x v="0"/>
    <x v="0"/>
    <x v="0"/>
    <x v="0"/>
    <x v="0"/>
    <x v="0"/>
    <x v="0"/>
    <x v="0"/>
    <x v="0"/>
    <x v="262"/>
    <x v="12"/>
    <x v="12"/>
    <x v="0"/>
    <x v="0"/>
    <x v="0"/>
    <x v="5"/>
    <x v="5"/>
    <x v="0"/>
    <x v="0"/>
    <x v="5"/>
    <x v="5"/>
    <x v="0"/>
    <x v="0"/>
    <x v="0"/>
    <x v="0"/>
    <x v="0"/>
    <x v="0"/>
  </r>
  <r>
    <x v="439"/>
    <x v="0"/>
    <x v="0"/>
    <x v="0"/>
    <x v="0"/>
    <x v="0"/>
    <x v="0"/>
    <x v="0"/>
    <x v="1"/>
    <x v="0"/>
    <x v="0"/>
    <x v="262"/>
    <x v="12"/>
    <x v="12"/>
    <x v="1"/>
    <x v="1"/>
    <x v="1"/>
    <x v="14"/>
    <x v="42"/>
    <x v="0"/>
    <x v="0"/>
    <x v="14"/>
    <x v="42"/>
    <x v="0"/>
    <x v="0"/>
    <x v="0"/>
    <x v="0"/>
    <x v="0"/>
    <x v="0"/>
  </r>
  <r>
    <x v="440"/>
    <x v="0"/>
    <x v="2"/>
    <x v="2"/>
    <x v="0"/>
    <x v="0"/>
    <x v="0"/>
    <x v="0"/>
    <x v="1"/>
    <x v="0"/>
    <x v="0"/>
    <x v="263"/>
    <x v="12"/>
    <x v="12"/>
    <x v="1"/>
    <x v="1"/>
    <x v="1"/>
    <x v="17"/>
    <x v="36"/>
    <x v="0"/>
    <x v="0"/>
    <x v="17"/>
    <x v="36"/>
    <x v="0"/>
    <x v="0"/>
    <x v="0"/>
    <x v="0"/>
    <x v="0"/>
    <x v="0"/>
  </r>
  <r>
    <x v="441"/>
    <x v="0"/>
    <x v="3"/>
    <x v="3"/>
    <x v="0"/>
    <x v="1"/>
    <x v="0"/>
    <x v="0"/>
    <x v="1"/>
    <x v="0"/>
    <x v="0"/>
    <x v="264"/>
    <x v="12"/>
    <x v="12"/>
    <x v="1"/>
    <x v="1"/>
    <x v="1"/>
    <x v="4"/>
    <x v="4"/>
    <x v="0"/>
    <x v="0"/>
    <x v="4"/>
    <x v="4"/>
    <x v="0"/>
    <x v="0"/>
    <x v="0"/>
    <x v="0"/>
    <x v="0"/>
    <x v="0"/>
  </r>
  <r>
    <x v="442"/>
    <x v="0"/>
    <x v="3"/>
    <x v="3"/>
    <x v="0"/>
    <x v="1"/>
    <x v="0"/>
    <x v="0"/>
    <x v="1"/>
    <x v="0"/>
    <x v="0"/>
    <x v="264"/>
    <x v="12"/>
    <x v="12"/>
    <x v="16"/>
    <x v="16"/>
    <x v="2"/>
    <x v="19"/>
    <x v="60"/>
    <x v="0"/>
    <x v="0"/>
    <x v="19"/>
    <x v="60"/>
    <x v="0"/>
    <x v="0"/>
    <x v="0"/>
    <x v="0"/>
    <x v="0"/>
    <x v="0"/>
  </r>
  <r>
    <x v="443"/>
    <x v="0"/>
    <x v="3"/>
    <x v="3"/>
    <x v="0"/>
    <x v="1"/>
    <x v="0"/>
    <x v="0"/>
    <x v="1"/>
    <x v="0"/>
    <x v="0"/>
    <x v="264"/>
    <x v="12"/>
    <x v="12"/>
    <x v="5"/>
    <x v="5"/>
    <x v="1"/>
    <x v="9"/>
    <x v="10"/>
    <x v="0"/>
    <x v="0"/>
    <x v="9"/>
    <x v="10"/>
    <x v="0"/>
    <x v="0"/>
    <x v="0"/>
    <x v="0"/>
    <x v="0"/>
    <x v="0"/>
  </r>
  <r>
    <x v="444"/>
    <x v="0"/>
    <x v="41"/>
    <x v="41"/>
    <x v="0"/>
    <x v="1"/>
    <x v="0"/>
    <x v="0"/>
    <x v="1"/>
    <x v="0"/>
    <x v="0"/>
    <x v="265"/>
    <x v="12"/>
    <x v="12"/>
    <x v="1"/>
    <x v="1"/>
    <x v="1"/>
    <x v="6"/>
    <x v="8"/>
    <x v="0"/>
    <x v="0"/>
    <x v="6"/>
    <x v="8"/>
    <x v="0"/>
    <x v="0"/>
    <x v="0"/>
    <x v="0"/>
    <x v="0"/>
    <x v="0"/>
  </r>
  <r>
    <x v="445"/>
    <x v="0"/>
    <x v="42"/>
    <x v="42"/>
    <x v="0"/>
    <x v="14"/>
    <x v="9"/>
    <x v="0"/>
    <x v="0"/>
    <x v="0"/>
    <x v="0"/>
    <x v="266"/>
    <x v="12"/>
    <x v="12"/>
    <x v="4"/>
    <x v="4"/>
    <x v="0"/>
    <x v="5"/>
    <x v="5"/>
    <x v="0"/>
    <x v="0"/>
    <x v="5"/>
    <x v="5"/>
    <x v="0"/>
    <x v="0"/>
    <x v="0"/>
    <x v="0"/>
    <x v="0"/>
    <x v="0"/>
  </r>
  <r>
    <x v="446"/>
    <x v="0"/>
    <x v="42"/>
    <x v="42"/>
    <x v="0"/>
    <x v="14"/>
    <x v="9"/>
    <x v="0"/>
    <x v="0"/>
    <x v="0"/>
    <x v="0"/>
    <x v="266"/>
    <x v="12"/>
    <x v="12"/>
    <x v="19"/>
    <x v="19"/>
    <x v="0"/>
    <x v="17"/>
    <x v="18"/>
    <x v="0"/>
    <x v="0"/>
    <x v="17"/>
    <x v="18"/>
    <x v="0"/>
    <x v="0"/>
    <x v="0"/>
    <x v="0"/>
    <x v="0"/>
    <x v="0"/>
  </r>
  <r>
    <x v="447"/>
    <x v="0"/>
    <x v="42"/>
    <x v="42"/>
    <x v="0"/>
    <x v="14"/>
    <x v="9"/>
    <x v="0"/>
    <x v="0"/>
    <x v="0"/>
    <x v="0"/>
    <x v="266"/>
    <x v="12"/>
    <x v="12"/>
    <x v="15"/>
    <x v="15"/>
    <x v="0"/>
    <x v="31"/>
    <x v="61"/>
    <x v="0"/>
    <x v="0"/>
    <x v="31"/>
    <x v="61"/>
    <x v="0"/>
    <x v="0"/>
    <x v="0"/>
    <x v="0"/>
    <x v="0"/>
    <x v="0"/>
  </r>
  <r>
    <x v="448"/>
    <x v="0"/>
    <x v="42"/>
    <x v="42"/>
    <x v="0"/>
    <x v="14"/>
    <x v="9"/>
    <x v="0"/>
    <x v="0"/>
    <x v="0"/>
    <x v="0"/>
    <x v="266"/>
    <x v="12"/>
    <x v="12"/>
    <x v="0"/>
    <x v="0"/>
    <x v="0"/>
    <x v="36"/>
    <x v="62"/>
    <x v="0"/>
    <x v="0"/>
    <x v="36"/>
    <x v="62"/>
    <x v="0"/>
    <x v="0"/>
    <x v="0"/>
    <x v="0"/>
    <x v="0"/>
    <x v="0"/>
  </r>
  <r>
    <x v="449"/>
    <x v="0"/>
    <x v="64"/>
    <x v="64"/>
    <x v="0"/>
    <x v="16"/>
    <x v="7"/>
    <x v="0"/>
    <x v="1"/>
    <x v="0"/>
    <x v="4"/>
    <x v="267"/>
    <x v="12"/>
    <x v="12"/>
    <x v="33"/>
    <x v="33"/>
    <x v="1"/>
    <x v="3"/>
    <x v="3"/>
    <x v="0"/>
    <x v="0"/>
    <x v="3"/>
    <x v="3"/>
    <x v="0"/>
    <x v="0"/>
    <x v="0"/>
    <x v="0"/>
    <x v="0"/>
    <x v="0"/>
  </r>
  <r>
    <x v="450"/>
    <x v="0"/>
    <x v="64"/>
    <x v="64"/>
    <x v="0"/>
    <x v="16"/>
    <x v="7"/>
    <x v="0"/>
    <x v="1"/>
    <x v="0"/>
    <x v="4"/>
    <x v="267"/>
    <x v="12"/>
    <x v="12"/>
    <x v="5"/>
    <x v="5"/>
    <x v="1"/>
    <x v="13"/>
    <x v="31"/>
    <x v="0"/>
    <x v="0"/>
    <x v="13"/>
    <x v="31"/>
    <x v="0"/>
    <x v="0"/>
    <x v="0"/>
    <x v="0"/>
    <x v="0"/>
    <x v="0"/>
  </r>
  <r>
    <x v="451"/>
    <x v="0"/>
    <x v="19"/>
    <x v="19"/>
    <x v="0"/>
    <x v="9"/>
    <x v="7"/>
    <x v="0"/>
    <x v="0"/>
    <x v="0"/>
    <x v="0"/>
    <x v="268"/>
    <x v="12"/>
    <x v="12"/>
    <x v="0"/>
    <x v="0"/>
    <x v="0"/>
    <x v="23"/>
    <x v="30"/>
    <x v="0"/>
    <x v="0"/>
    <x v="23"/>
    <x v="30"/>
    <x v="0"/>
    <x v="0"/>
    <x v="0"/>
    <x v="0"/>
    <x v="0"/>
    <x v="0"/>
  </r>
  <r>
    <x v="452"/>
    <x v="0"/>
    <x v="19"/>
    <x v="19"/>
    <x v="0"/>
    <x v="9"/>
    <x v="7"/>
    <x v="0"/>
    <x v="0"/>
    <x v="0"/>
    <x v="0"/>
    <x v="268"/>
    <x v="12"/>
    <x v="12"/>
    <x v="17"/>
    <x v="17"/>
    <x v="0"/>
    <x v="5"/>
    <x v="5"/>
    <x v="0"/>
    <x v="0"/>
    <x v="5"/>
    <x v="5"/>
    <x v="0"/>
    <x v="0"/>
    <x v="0"/>
    <x v="0"/>
    <x v="0"/>
    <x v="0"/>
  </r>
  <r>
    <x v="453"/>
    <x v="0"/>
    <x v="19"/>
    <x v="19"/>
    <x v="0"/>
    <x v="9"/>
    <x v="7"/>
    <x v="0"/>
    <x v="0"/>
    <x v="0"/>
    <x v="0"/>
    <x v="268"/>
    <x v="12"/>
    <x v="12"/>
    <x v="19"/>
    <x v="19"/>
    <x v="0"/>
    <x v="5"/>
    <x v="5"/>
    <x v="0"/>
    <x v="0"/>
    <x v="5"/>
    <x v="5"/>
    <x v="0"/>
    <x v="0"/>
    <x v="0"/>
    <x v="0"/>
    <x v="0"/>
    <x v="0"/>
  </r>
  <r>
    <x v="454"/>
    <x v="0"/>
    <x v="20"/>
    <x v="20"/>
    <x v="0"/>
    <x v="9"/>
    <x v="7"/>
    <x v="0"/>
    <x v="0"/>
    <x v="0"/>
    <x v="0"/>
    <x v="269"/>
    <x v="12"/>
    <x v="12"/>
    <x v="0"/>
    <x v="0"/>
    <x v="0"/>
    <x v="26"/>
    <x v="37"/>
    <x v="0"/>
    <x v="0"/>
    <x v="26"/>
    <x v="37"/>
    <x v="0"/>
    <x v="0"/>
    <x v="0"/>
    <x v="0"/>
    <x v="0"/>
    <x v="0"/>
  </r>
  <r>
    <x v="455"/>
    <x v="0"/>
    <x v="20"/>
    <x v="20"/>
    <x v="0"/>
    <x v="9"/>
    <x v="7"/>
    <x v="0"/>
    <x v="0"/>
    <x v="0"/>
    <x v="0"/>
    <x v="269"/>
    <x v="12"/>
    <x v="12"/>
    <x v="18"/>
    <x v="18"/>
    <x v="0"/>
    <x v="17"/>
    <x v="18"/>
    <x v="0"/>
    <x v="0"/>
    <x v="17"/>
    <x v="18"/>
    <x v="0"/>
    <x v="0"/>
    <x v="0"/>
    <x v="0"/>
    <x v="0"/>
    <x v="0"/>
  </r>
  <r>
    <x v="456"/>
    <x v="0"/>
    <x v="20"/>
    <x v="20"/>
    <x v="0"/>
    <x v="9"/>
    <x v="7"/>
    <x v="0"/>
    <x v="0"/>
    <x v="0"/>
    <x v="0"/>
    <x v="269"/>
    <x v="12"/>
    <x v="12"/>
    <x v="19"/>
    <x v="19"/>
    <x v="0"/>
    <x v="1"/>
    <x v="1"/>
    <x v="0"/>
    <x v="0"/>
    <x v="1"/>
    <x v="1"/>
    <x v="0"/>
    <x v="0"/>
    <x v="0"/>
    <x v="0"/>
    <x v="0"/>
    <x v="0"/>
  </r>
  <r>
    <x v="457"/>
    <x v="0"/>
    <x v="20"/>
    <x v="20"/>
    <x v="0"/>
    <x v="9"/>
    <x v="7"/>
    <x v="0"/>
    <x v="1"/>
    <x v="0"/>
    <x v="0"/>
    <x v="269"/>
    <x v="12"/>
    <x v="12"/>
    <x v="1"/>
    <x v="1"/>
    <x v="1"/>
    <x v="6"/>
    <x v="8"/>
    <x v="0"/>
    <x v="0"/>
    <x v="6"/>
    <x v="8"/>
    <x v="0"/>
    <x v="0"/>
    <x v="0"/>
    <x v="0"/>
    <x v="0"/>
    <x v="0"/>
  </r>
  <r>
    <x v="458"/>
    <x v="0"/>
    <x v="19"/>
    <x v="19"/>
    <x v="0"/>
    <x v="9"/>
    <x v="7"/>
    <x v="0"/>
    <x v="0"/>
    <x v="0"/>
    <x v="0"/>
    <x v="270"/>
    <x v="12"/>
    <x v="12"/>
    <x v="0"/>
    <x v="0"/>
    <x v="0"/>
    <x v="14"/>
    <x v="15"/>
    <x v="0"/>
    <x v="0"/>
    <x v="14"/>
    <x v="15"/>
    <x v="0"/>
    <x v="0"/>
    <x v="0"/>
    <x v="0"/>
    <x v="0"/>
    <x v="0"/>
  </r>
  <r>
    <x v="459"/>
    <x v="0"/>
    <x v="26"/>
    <x v="26"/>
    <x v="0"/>
    <x v="8"/>
    <x v="6"/>
    <x v="0"/>
    <x v="1"/>
    <x v="0"/>
    <x v="0"/>
    <x v="271"/>
    <x v="12"/>
    <x v="12"/>
    <x v="21"/>
    <x v="21"/>
    <x v="1"/>
    <x v="9"/>
    <x v="10"/>
    <x v="0"/>
    <x v="0"/>
    <x v="9"/>
    <x v="10"/>
    <x v="0"/>
    <x v="0"/>
    <x v="0"/>
    <x v="0"/>
    <x v="0"/>
    <x v="0"/>
  </r>
  <r>
    <x v="460"/>
    <x v="0"/>
    <x v="44"/>
    <x v="44"/>
    <x v="0"/>
    <x v="8"/>
    <x v="6"/>
    <x v="0"/>
    <x v="1"/>
    <x v="0"/>
    <x v="0"/>
    <x v="272"/>
    <x v="12"/>
    <x v="12"/>
    <x v="33"/>
    <x v="33"/>
    <x v="1"/>
    <x v="4"/>
    <x v="4"/>
    <x v="0"/>
    <x v="0"/>
    <x v="4"/>
    <x v="4"/>
    <x v="0"/>
    <x v="0"/>
    <x v="0"/>
    <x v="0"/>
    <x v="0"/>
    <x v="0"/>
  </r>
  <r>
    <x v="461"/>
    <x v="0"/>
    <x v="44"/>
    <x v="44"/>
    <x v="0"/>
    <x v="8"/>
    <x v="6"/>
    <x v="0"/>
    <x v="1"/>
    <x v="0"/>
    <x v="0"/>
    <x v="272"/>
    <x v="12"/>
    <x v="12"/>
    <x v="20"/>
    <x v="20"/>
    <x v="1"/>
    <x v="4"/>
    <x v="4"/>
    <x v="0"/>
    <x v="0"/>
    <x v="4"/>
    <x v="4"/>
    <x v="0"/>
    <x v="0"/>
    <x v="0"/>
    <x v="0"/>
    <x v="0"/>
    <x v="0"/>
  </r>
  <r>
    <x v="462"/>
    <x v="0"/>
    <x v="22"/>
    <x v="22"/>
    <x v="0"/>
    <x v="11"/>
    <x v="8"/>
    <x v="1"/>
    <x v="1"/>
    <x v="0"/>
    <x v="3"/>
    <x v="273"/>
    <x v="12"/>
    <x v="12"/>
    <x v="1"/>
    <x v="1"/>
    <x v="1"/>
    <x v="27"/>
    <x v="39"/>
    <x v="0"/>
    <x v="0"/>
    <x v="27"/>
    <x v="39"/>
    <x v="0"/>
    <x v="0"/>
    <x v="0"/>
    <x v="0"/>
    <x v="0"/>
    <x v="0"/>
  </r>
  <r>
    <x v="463"/>
    <x v="0"/>
    <x v="63"/>
    <x v="63"/>
    <x v="0"/>
    <x v="12"/>
    <x v="4"/>
    <x v="1"/>
    <x v="1"/>
    <x v="0"/>
    <x v="3"/>
    <x v="274"/>
    <x v="12"/>
    <x v="12"/>
    <x v="29"/>
    <x v="29"/>
    <x v="1"/>
    <x v="4"/>
    <x v="4"/>
    <x v="0"/>
    <x v="0"/>
    <x v="4"/>
    <x v="4"/>
    <x v="0"/>
    <x v="0"/>
    <x v="0"/>
    <x v="0"/>
    <x v="0"/>
    <x v="0"/>
  </r>
  <r>
    <x v="464"/>
    <x v="0"/>
    <x v="50"/>
    <x v="50"/>
    <x v="0"/>
    <x v="12"/>
    <x v="4"/>
    <x v="1"/>
    <x v="1"/>
    <x v="0"/>
    <x v="3"/>
    <x v="275"/>
    <x v="12"/>
    <x v="12"/>
    <x v="3"/>
    <x v="3"/>
    <x v="1"/>
    <x v="20"/>
    <x v="25"/>
    <x v="0"/>
    <x v="0"/>
    <x v="20"/>
    <x v="25"/>
    <x v="0"/>
    <x v="0"/>
    <x v="0"/>
    <x v="0"/>
    <x v="0"/>
    <x v="0"/>
  </r>
  <r>
    <x v="465"/>
    <x v="0"/>
    <x v="52"/>
    <x v="52"/>
    <x v="0"/>
    <x v="3"/>
    <x v="1"/>
    <x v="1"/>
    <x v="1"/>
    <x v="0"/>
    <x v="1"/>
    <x v="276"/>
    <x v="12"/>
    <x v="12"/>
    <x v="23"/>
    <x v="23"/>
    <x v="1"/>
    <x v="5"/>
    <x v="26"/>
    <x v="0"/>
    <x v="0"/>
    <x v="5"/>
    <x v="26"/>
    <x v="0"/>
    <x v="0"/>
    <x v="0"/>
    <x v="0"/>
    <x v="0"/>
    <x v="0"/>
  </r>
  <r>
    <x v="466"/>
    <x v="0"/>
    <x v="52"/>
    <x v="52"/>
    <x v="0"/>
    <x v="3"/>
    <x v="1"/>
    <x v="1"/>
    <x v="1"/>
    <x v="0"/>
    <x v="1"/>
    <x v="276"/>
    <x v="12"/>
    <x v="12"/>
    <x v="45"/>
    <x v="45"/>
    <x v="1"/>
    <x v="1"/>
    <x v="27"/>
    <x v="0"/>
    <x v="0"/>
    <x v="1"/>
    <x v="27"/>
    <x v="0"/>
    <x v="0"/>
    <x v="0"/>
    <x v="0"/>
    <x v="0"/>
    <x v="0"/>
  </r>
  <r>
    <x v="467"/>
    <x v="0"/>
    <x v="9"/>
    <x v="9"/>
    <x v="0"/>
    <x v="3"/>
    <x v="1"/>
    <x v="1"/>
    <x v="1"/>
    <x v="0"/>
    <x v="1"/>
    <x v="277"/>
    <x v="12"/>
    <x v="12"/>
    <x v="1"/>
    <x v="1"/>
    <x v="1"/>
    <x v="9"/>
    <x v="10"/>
    <x v="0"/>
    <x v="0"/>
    <x v="9"/>
    <x v="10"/>
    <x v="0"/>
    <x v="0"/>
    <x v="0"/>
    <x v="0"/>
    <x v="0"/>
    <x v="0"/>
  </r>
  <r>
    <x v="468"/>
    <x v="0"/>
    <x v="5"/>
    <x v="5"/>
    <x v="0"/>
    <x v="2"/>
    <x v="1"/>
    <x v="1"/>
    <x v="1"/>
    <x v="0"/>
    <x v="1"/>
    <x v="278"/>
    <x v="12"/>
    <x v="12"/>
    <x v="41"/>
    <x v="41"/>
    <x v="1"/>
    <x v="9"/>
    <x v="10"/>
    <x v="0"/>
    <x v="0"/>
    <x v="9"/>
    <x v="10"/>
    <x v="0"/>
    <x v="0"/>
    <x v="0"/>
    <x v="0"/>
    <x v="0"/>
    <x v="0"/>
  </r>
  <r>
    <x v="469"/>
    <x v="0"/>
    <x v="29"/>
    <x v="29"/>
    <x v="0"/>
    <x v="2"/>
    <x v="1"/>
    <x v="1"/>
    <x v="1"/>
    <x v="0"/>
    <x v="1"/>
    <x v="279"/>
    <x v="12"/>
    <x v="12"/>
    <x v="3"/>
    <x v="3"/>
    <x v="1"/>
    <x v="9"/>
    <x v="10"/>
    <x v="0"/>
    <x v="0"/>
    <x v="9"/>
    <x v="10"/>
    <x v="0"/>
    <x v="0"/>
    <x v="0"/>
    <x v="0"/>
    <x v="0"/>
    <x v="0"/>
  </r>
  <r>
    <x v="470"/>
    <x v="0"/>
    <x v="29"/>
    <x v="29"/>
    <x v="0"/>
    <x v="2"/>
    <x v="1"/>
    <x v="1"/>
    <x v="1"/>
    <x v="0"/>
    <x v="1"/>
    <x v="280"/>
    <x v="12"/>
    <x v="12"/>
    <x v="25"/>
    <x v="25"/>
    <x v="1"/>
    <x v="9"/>
    <x v="10"/>
    <x v="0"/>
    <x v="0"/>
    <x v="9"/>
    <x v="10"/>
    <x v="0"/>
    <x v="0"/>
    <x v="0"/>
    <x v="0"/>
    <x v="0"/>
    <x v="0"/>
  </r>
  <r>
    <x v="471"/>
    <x v="0"/>
    <x v="37"/>
    <x v="37"/>
    <x v="0"/>
    <x v="2"/>
    <x v="1"/>
    <x v="1"/>
    <x v="1"/>
    <x v="0"/>
    <x v="1"/>
    <x v="281"/>
    <x v="12"/>
    <x v="12"/>
    <x v="14"/>
    <x v="14"/>
    <x v="1"/>
    <x v="9"/>
    <x v="10"/>
    <x v="0"/>
    <x v="0"/>
    <x v="9"/>
    <x v="10"/>
    <x v="0"/>
    <x v="0"/>
    <x v="0"/>
    <x v="0"/>
    <x v="0"/>
    <x v="0"/>
  </r>
  <r>
    <x v="472"/>
    <x v="0"/>
    <x v="61"/>
    <x v="61"/>
    <x v="0"/>
    <x v="4"/>
    <x v="2"/>
    <x v="1"/>
    <x v="1"/>
    <x v="0"/>
    <x v="1"/>
    <x v="282"/>
    <x v="12"/>
    <x v="12"/>
    <x v="24"/>
    <x v="24"/>
    <x v="1"/>
    <x v="37"/>
    <x v="63"/>
    <x v="0"/>
    <x v="0"/>
    <x v="37"/>
    <x v="63"/>
    <x v="0"/>
    <x v="0"/>
    <x v="0"/>
    <x v="0"/>
    <x v="0"/>
    <x v="0"/>
  </r>
  <r>
    <x v="473"/>
    <x v="0"/>
    <x v="13"/>
    <x v="13"/>
    <x v="0"/>
    <x v="5"/>
    <x v="3"/>
    <x v="1"/>
    <x v="1"/>
    <x v="0"/>
    <x v="1"/>
    <x v="283"/>
    <x v="12"/>
    <x v="12"/>
    <x v="29"/>
    <x v="29"/>
    <x v="1"/>
    <x v="30"/>
    <x v="50"/>
    <x v="0"/>
    <x v="0"/>
    <x v="30"/>
    <x v="50"/>
    <x v="0"/>
    <x v="0"/>
    <x v="0"/>
    <x v="0"/>
    <x v="0"/>
    <x v="0"/>
  </r>
  <r>
    <x v="474"/>
    <x v="0"/>
    <x v="53"/>
    <x v="53"/>
    <x v="0"/>
    <x v="0"/>
    <x v="0"/>
    <x v="0"/>
    <x v="1"/>
    <x v="0"/>
    <x v="0"/>
    <x v="284"/>
    <x v="12"/>
    <x v="12"/>
    <x v="10"/>
    <x v="10"/>
    <x v="1"/>
    <x v="29"/>
    <x v="64"/>
    <x v="0"/>
    <x v="0"/>
    <x v="29"/>
    <x v="64"/>
    <x v="0"/>
    <x v="0"/>
    <x v="0"/>
    <x v="0"/>
    <x v="0"/>
    <x v="0"/>
  </r>
  <r>
    <x v="475"/>
    <x v="0"/>
    <x v="53"/>
    <x v="53"/>
    <x v="0"/>
    <x v="0"/>
    <x v="0"/>
    <x v="0"/>
    <x v="1"/>
    <x v="0"/>
    <x v="0"/>
    <x v="285"/>
    <x v="12"/>
    <x v="12"/>
    <x v="10"/>
    <x v="10"/>
    <x v="1"/>
    <x v="38"/>
    <x v="65"/>
    <x v="0"/>
    <x v="0"/>
    <x v="38"/>
    <x v="65"/>
    <x v="0"/>
    <x v="0"/>
    <x v="0"/>
    <x v="0"/>
    <x v="0"/>
    <x v="0"/>
  </r>
  <r>
    <x v="476"/>
    <x v="0"/>
    <x v="29"/>
    <x v="29"/>
    <x v="0"/>
    <x v="2"/>
    <x v="1"/>
    <x v="1"/>
    <x v="1"/>
    <x v="0"/>
    <x v="1"/>
    <x v="286"/>
    <x v="12"/>
    <x v="12"/>
    <x v="3"/>
    <x v="3"/>
    <x v="1"/>
    <x v="9"/>
    <x v="10"/>
    <x v="0"/>
    <x v="0"/>
    <x v="9"/>
    <x v="10"/>
    <x v="0"/>
    <x v="0"/>
    <x v="0"/>
    <x v="0"/>
    <x v="0"/>
    <x v="0"/>
  </r>
  <r>
    <x v="477"/>
    <x v="0"/>
    <x v="5"/>
    <x v="5"/>
    <x v="0"/>
    <x v="2"/>
    <x v="1"/>
    <x v="1"/>
    <x v="1"/>
    <x v="0"/>
    <x v="1"/>
    <x v="287"/>
    <x v="12"/>
    <x v="12"/>
    <x v="46"/>
    <x v="46"/>
    <x v="1"/>
    <x v="38"/>
    <x v="65"/>
    <x v="0"/>
    <x v="0"/>
    <x v="38"/>
    <x v="65"/>
    <x v="0"/>
    <x v="0"/>
    <x v="0"/>
    <x v="0"/>
    <x v="0"/>
    <x v="0"/>
  </r>
  <r>
    <x v="478"/>
    <x v="0"/>
    <x v="3"/>
    <x v="3"/>
    <x v="0"/>
    <x v="1"/>
    <x v="0"/>
    <x v="0"/>
    <x v="1"/>
    <x v="0"/>
    <x v="0"/>
    <x v="288"/>
    <x v="13"/>
    <x v="13"/>
    <x v="5"/>
    <x v="5"/>
    <x v="1"/>
    <x v="17"/>
    <x v="36"/>
    <x v="0"/>
    <x v="0"/>
    <x v="17"/>
    <x v="36"/>
    <x v="0"/>
    <x v="0"/>
    <x v="0"/>
    <x v="0"/>
    <x v="0"/>
    <x v="0"/>
  </r>
  <r>
    <x v="479"/>
    <x v="0"/>
    <x v="41"/>
    <x v="41"/>
    <x v="0"/>
    <x v="1"/>
    <x v="0"/>
    <x v="0"/>
    <x v="1"/>
    <x v="0"/>
    <x v="0"/>
    <x v="289"/>
    <x v="13"/>
    <x v="13"/>
    <x v="1"/>
    <x v="1"/>
    <x v="1"/>
    <x v="4"/>
    <x v="4"/>
    <x v="0"/>
    <x v="0"/>
    <x v="4"/>
    <x v="4"/>
    <x v="0"/>
    <x v="0"/>
    <x v="0"/>
    <x v="0"/>
    <x v="0"/>
    <x v="0"/>
  </r>
  <r>
    <x v="480"/>
    <x v="0"/>
    <x v="41"/>
    <x v="41"/>
    <x v="0"/>
    <x v="1"/>
    <x v="0"/>
    <x v="0"/>
    <x v="1"/>
    <x v="0"/>
    <x v="0"/>
    <x v="289"/>
    <x v="13"/>
    <x v="13"/>
    <x v="35"/>
    <x v="35"/>
    <x v="1"/>
    <x v="4"/>
    <x v="4"/>
    <x v="0"/>
    <x v="0"/>
    <x v="4"/>
    <x v="4"/>
    <x v="0"/>
    <x v="0"/>
    <x v="0"/>
    <x v="0"/>
    <x v="0"/>
    <x v="0"/>
  </r>
  <r>
    <x v="481"/>
    <x v="0"/>
    <x v="54"/>
    <x v="54"/>
    <x v="0"/>
    <x v="0"/>
    <x v="0"/>
    <x v="0"/>
    <x v="1"/>
    <x v="0"/>
    <x v="0"/>
    <x v="290"/>
    <x v="13"/>
    <x v="13"/>
    <x v="34"/>
    <x v="34"/>
    <x v="1"/>
    <x v="25"/>
    <x v="33"/>
    <x v="0"/>
    <x v="0"/>
    <x v="25"/>
    <x v="33"/>
    <x v="0"/>
    <x v="0"/>
    <x v="0"/>
    <x v="0"/>
    <x v="0"/>
    <x v="0"/>
  </r>
  <r>
    <x v="482"/>
    <x v="0"/>
    <x v="54"/>
    <x v="54"/>
    <x v="0"/>
    <x v="0"/>
    <x v="0"/>
    <x v="0"/>
    <x v="1"/>
    <x v="0"/>
    <x v="0"/>
    <x v="291"/>
    <x v="13"/>
    <x v="13"/>
    <x v="5"/>
    <x v="5"/>
    <x v="1"/>
    <x v="31"/>
    <x v="51"/>
    <x v="0"/>
    <x v="0"/>
    <x v="31"/>
    <x v="51"/>
    <x v="0"/>
    <x v="0"/>
    <x v="0"/>
    <x v="0"/>
    <x v="0"/>
    <x v="0"/>
  </r>
  <r>
    <x v="483"/>
    <x v="0"/>
    <x v="54"/>
    <x v="54"/>
    <x v="0"/>
    <x v="0"/>
    <x v="0"/>
    <x v="0"/>
    <x v="1"/>
    <x v="0"/>
    <x v="0"/>
    <x v="291"/>
    <x v="13"/>
    <x v="13"/>
    <x v="1"/>
    <x v="1"/>
    <x v="1"/>
    <x v="4"/>
    <x v="4"/>
    <x v="0"/>
    <x v="0"/>
    <x v="4"/>
    <x v="4"/>
    <x v="0"/>
    <x v="0"/>
    <x v="0"/>
    <x v="0"/>
    <x v="0"/>
    <x v="0"/>
  </r>
  <r>
    <x v="484"/>
    <x v="0"/>
    <x v="0"/>
    <x v="0"/>
    <x v="0"/>
    <x v="0"/>
    <x v="0"/>
    <x v="0"/>
    <x v="0"/>
    <x v="0"/>
    <x v="0"/>
    <x v="292"/>
    <x v="13"/>
    <x v="13"/>
    <x v="0"/>
    <x v="0"/>
    <x v="0"/>
    <x v="0"/>
    <x v="0"/>
    <x v="0"/>
    <x v="0"/>
    <x v="0"/>
    <x v="0"/>
    <x v="0"/>
    <x v="0"/>
    <x v="0"/>
    <x v="0"/>
    <x v="0"/>
    <x v="0"/>
  </r>
  <r>
    <x v="485"/>
    <x v="0"/>
    <x v="21"/>
    <x v="21"/>
    <x v="0"/>
    <x v="10"/>
    <x v="5"/>
    <x v="0"/>
    <x v="1"/>
    <x v="0"/>
    <x v="0"/>
    <x v="293"/>
    <x v="13"/>
    <x v="13"/>
    <x v="1"/>
    <x v="1"/>
    <x v="1"/>
    <x v="6"/>
    <x v="8"/>
    <x v="0"/>
    <x v="0"/>
    <x v="6"/>
    <x v="8"/>
    <x v="0"/>
    <x v="0"/>
    <x v="0"/>
    <x v="0"/>
    <x v="0"/>
    <x v="0"/>
  </r>
  <r>
    <x v="486"/>
    <x v="0"/>
    <x v="21"/>
    <x v="21"/>
    <x v="0"/>
    <x v="10"/>
    <x v="5"/>
    <x v="0"/>
    <x v="0"/>
    <x v="0"/>
    <x v="0"/>
    <x v="293"/>
    <x v="13"/>
    <x v="13"/>
    <x v="0"/>
    <x v="0"/>
    <x v="0"/>
    <x v="5"/>
    <x v="5"/>
    <x v="0"/>
    <x v="0"/>
    <x v="5"/>
    <x v="5"/>
    <x v="0"/>
    <x v="0"/>
    <x v="0"/>
    <x v="0"/>
    <x v="0"/>
    <x v="0"/>
  </r>
  <r>
    <x v="487"/>
    <x v="0"/>
    <x v="67"/>
    <x v="67"/>
    <x v="0"/>
    <x v="10"/>
    <x v="5"/>
    <x v="0"/>
    <x v="0"/>
    <x v="0"/>
    <x v="0"/>
    <x v="294"/>
    <x v="13"/>
    <x v="13"/>
    <x v="0"/>
    <x v="0"/>
    <x v="0"/>
    <x v="11"/>
    <x v="34"/>
    <x v="0"/>
    <x v="0"/>
    <x v="11"/>
    <x v="34"/>
    <x v="0"/>
    <x v="0"/>
    <x v="0"/>
    <x v="0"/>
    <x v="0"/>
    <x v="0"/>
  </r>
  <r>
    <x v="488"/>
    <x v="0"/>
    <x v="16"/>
    <x v="16"/>
    <x v="0"/>
    <x v="7"/>
    <x v="5"/>
    <x v="0"/>
    <x v="0"/>
    <x v="0"/>
    <x v="0"/>
    <x v="295"/>
    <x v="13"/>
    <x v="13"/>
    <x v="0"/>
    <x v="0"/>
    <x v="0"/>
    <x v="39"/>
    <x v="66"/>
    <x v="0"/>
    <x v="0"/>
    <x v="39"/>
    <x v="66"/>
    <x v="0"/>
    <x v="0"/>
    <x v="0"/>
    <x v="0"/>
    <x v="0"/>
    <x v="0"/>
  </r>
  <r>
    <x v="489"/>
    <x v="0"/>
    <x v="16"/>
    <x v="16"/>
    <x v="0"/>
    <x v="7"/>
    <x v="5"/>
    <x v="0"/>
    <x v="1"/>
    <x v="0"/>
    <x v="0"/>
    <x v="295"/>
    <x v="13"/>
    <x v="13"/>
    <x v="1"/>
    <x v="1"/>
    <x v="1"/>
    <x v="11"/>
    <x v="12"/>
    <x v="0"/>
    <x v="0"/>
    <x v="11"/>
    <x v="12"/>
    <x v="0"/>
    <x v="0"/>
    <x v="0"/>
    <x v="0"/>
    <x v="0"/>
    <x v="0"/>
  </r>
  <r>
    <x v="490"/>
    <x v="0"/>
    <x v="64"/>
    <x v="64"/>
    <x v="0"/>
    <x v="16"/>
    <x v="7"/>
    <x v="0"/>
    <x v="1"/>
    <x v="0"/>
    <x v="4"/>
    <x v="296"/>
    <x v="13"/>
    <x v="13"/>
    <x v="33"/>
    <x v="33"/>
    <x v="1"/>
    <x v="4"/>
    <x v="4"/>
    <x v="0"/>
    <x v="0"/>
    <x v="4"/>
    <x v="4"/>
    <x v="0"/>
    <x v="0"/>
    <x v="0"/>
    <x v="0"/>
    <x v="0"/>
    <x v="0"/>
  </r>
  <r>
    <x v="491"/>
    <x v="0"/>
    <x v="64"/>
    <x v="64"/>
    <x v="0"/>
    <x v="16"/>
    <x v="7"/>
    <x v="0"/>
    <x v="1"/>
    <x v="0"/>
    <x v="4"/>
    <x v="296"/>
    <x v="13"/>
    <x v="13"/>
    <x v="5"/>
    <x v="5"/>
    <x v="1"/>
    <x v="40"/>
    <x v="67"/>
    <x v="0"/>
    <x v="0"/>
    <x v="40"/>
    <x v="67"/>
    <x v="0"/>
    <x v="0"/>
    <x v="0"/>
    <x v="0"/>
    <x v="0"/>
    <x v="0"/>
  </r>
  <r>
    <x v="492"/>
    <x v="0"/>
    <x v="44"/>
    <x v="44"/>
    <x v="0"/>
    <x v="8"/>
    <x v="6"/>
    <x v="0"/>
    <x v="1"/>
    <x v="0"/>
    <x v="0"/>
    <x v="297"/>
    <x v="13"/>
    <x v="13"/>
    <x v="33"/>
    <x v="33"/>
    <x v="1"/>
    <x v="6"/>
    <x v="8"/>
    <x v="0"/>
    <x v="0"/>
    <x v="6"/>
    <x v="8"/>
    <x v="0"/>
    <x v="0"/>
    <x v="0"/>
    <x v="0"/>
    <x v="0"/>
    <x v="0"/>
  </r>
  <r>
    <x v="493"/>
    <x v="0"/>
    <x v="44"/>
    <x v="44"/>
    <x v="0"/>
    <x v="8"/>
    <x v="6"/>
    <x v="0"/>
    <x v="1"/>
    <x v="0"/>
    <x v="0"/>
    <x v="297"/>
    <x v="13"/>
    <x v="13"/>
    <x v="20"/>
    <x v="20"/>
    <x v="1"/>
    <x v="9"/>
    <x v="10"/>
    <x v="0"/>
    <x v="0"/>
    <x v="9"/>
    <x v="10"/>
    <x v="0"/>
    <x v="0"/>
    <x v="0"/>
    <x v="0"/>
    <x v="0"/>
    <x v="0"/>
  </r>
  <r>
    <x v="494"/>
    <x v="0"/>
    <x v="18"/>
    <x v="18"/>
    <x v="0"/>
    <x v="8"/>
    <x v="6"/>
    <x v="0"/>
    <x v="1"/>
    <x v="0"/>
    <x v="0"/>
    <x v="298"/>
    <x v="13"/>
    <x v="13"/>
    <x v="16"/>
    <x v="16"/>
    <x v="2"/>
    <x v="4"/>
    <x v="22"/>
    <x v="0"/>
    <x v="0"/>
    <x v="4"/>
    <x v="22"/>
    <x v="0"/>
    <x v="0"/>
    <x v="0"/>
    <x v="0"/>
    <x v="0"/>
    <x v="0"/>
  </r>
  <r>
    <x v="495"/>
    <x v="0"/>
    <x v="18"/>
    <x v="18"/>
    <x v="0"/>
    <x v="8"/>
    <x v="6"/>
    <x v="0"/>
    <x v="1"/>
    <x v="0"/>
    <x v="0"/>
    <x v="299"/>
    <x v="13"/>
    <x v="13"/>
    <x v="14"/>
    <x v="14"/>
    <x v="1"/>
    <x v="20"/>
    <x v="25"/>
    <x v="0"/>
    <x v="0"/>
    <x v="20"/>
    <x v="25"/>
    <x v="0"/>
    <x v="0"/>
    <x v="0"/>
    <x v="0"/>
    <x v="0"/>
    <x v="0"/>
  </r>
  <r>
    <x v="496"/>
    <x v="0"/>
    <x v="26"/>
    <x v="26"/>
    <x v="0"/>
    <x v="8"/>
    <x v="6"/>
    <x v="0"/>
    <x v="1"/>
    <x v="0"/>
    <x v="0"/>
    <x v="300"/>
    <x v="13"/>
    <x v="13"/>
    <x v="20"/>
    <x v="20"/>
    <x v="1"/>
    <x v="38"/>
    <x v="65"/>
    <x v="0"/>
    <x v="0"/>
    <x v="38"/>
    <x v="65"/>
    <x v="0"/>
    <x v="0"/>
    <x v="0"/>
    <x v="0"/>
    <x v="0"/>
    <x v="0"/>
  </r>
  <r>
    <x v="497"/>
    <x v="0"/>
    <x v="20"/>
    <x v="20"/>
    <x v="0"/>
    <x v="9"/>
    <x v="7"/>
    <x v="0"/>
    <x v="0"/>
    <x v="0"/>
    <x v="0"/>
    <x v="301"/>
    <x v="13"/>
    <x v="13"/>
    <x v="17"/>
    <x v="17"/>
    <x v="0"/>
    <x v="1"/>
    <x v="1"/>
    <x v="0"/>
    <x v="0"/>
    <x v="1"/>
    <x v="1"/>
    <x v="0"/>
    <x v="0"/>
    <x v="0"/>
    <x v="0"/>
    <x v="0"/>
    <x v="0"/>
  </r>
  <r>
    <x v="498"/>
    <x v="0"/>
    <x v="20"/>
    <x v="20"/>
    <x v="0"/>
    <x v="9"/>
    <x v="7"/>
    <x v="0"/>
    <x v="0"/>
    <x v="0"/>
    <x v="0"/>
    <x v="301"/>
    <x v="13"/>
    <x v="13"/>
    <x v="0"/>
    <x v="0"/>
    <x v="0"/>
    <x v="0"/>
    <x v="0"/>
    <x v="0"/>
    <x v="0"/>
    <x v="0"/>
    <x v="0"/>
    <x v="0"/>
    <x v="0"/>
    <x v="0"/>
    <x v="0"/>
    <x v="0"/>
    <x v="0"/>
  </r>
  <r>
    <x v="499"/>
    <x v="0"/>
    <x v="20"/>
    <x v="20"/>
    <x v="0"/>
    <x v="9"/>
    <x v="7"/>
    <x v="0"/>
    <x v="0"/>
    <x v="0"/>
    <x v="0"/>
    <x v="301"/>
    <x v="13"/>
    <x v="13"/>
    <x v="19"/>
    <x v="19"/>
    <x v="0"/>
    <x v="5"/>
    <x v="5"/>
    <x v="0"/>
    <x v="0"/>
    <x v="5"/>
    <x v="5"/>
    <x v="0"/>
    <x v="0"/>
    <x v="0"/>
    <x v="0"/>
    <x v="0"/>
    <x v="0"/>
  </r>
  <r>
    <x v="500"/>
    <x v="0"/>
    <x v="20"/>
    <x v="20"/>
    <x v="0"/>
    <x v="9"/>
    <x v="7"/>
    <x v="0"/>
    <x v="0"/>
    <x v="0"/>
    <x v="0"/>
    <x v="302"/>
    <x v="13"/>
    <x v="13"/>
    <x v="19"/>
    <x v="19"/>
    <x v="0"/>
    <x v="1"/>
    <x v="1"/>
    <x v="0"/>
    <x v="0"/>
    <x v="1"/>
    <x v="1"/>
    <x v="0"/>
    <x v="0"/>
    <x v="0"/>
    <x v="0"/>
    <x v="0"/>
    <x v="0"/>
  </r>
  <r>
    <x v="501"/>
    <x v="0"/>
    <x v="20"/>
    <x v="20"/>
    <x v="0"/>
    <x v="9"/>
    <x v="7"/>
    <x v="0"/>
    <x v="0"/>
    <x v="0"/>
    <x v="0"/>
    <x v="302"/>
    <x v="13"/>
    <x v="13"/>
    <x v="0"/>
    <x v="0"/>
    <x v="0"/>
    <x v="0"/>
    <x v="0"/>
    <x v="0"/>
    <x v="0"/>
    <x v="0"/>
    <x v="0"/>
    <x v="0"/>
    <x v="0"/>
    <x v="0"/>
    <x v="0"/>
    <x v="0"/>
    <x v="0"/>
  </r>
  <r>
    <x v="502"/>
    <x v="0"/>
    <x v="20"/>
    <x v="20"/>
    <x v="0"/>
    <x v="9"/>
    <x v="7"/>
    <x v="0"/>
    <x v="0"/>
    <x v="0"/>
    <x v="0"/>
    <x v="302"/>
    <x v="13"/>
    <x v="13"/>
    <x v="17"/>
    <x v="17"/>
    <x v="0"/>
    <x v="1"/>
    <x v="1"/>
    <x v="0"/>
    <x v="0"/>
    <x v="1"/>
    <x v="1"/>
    <x v="0"/>
    <x v="0"/>
    <x v="0"/>
    <x v="0"/>
    <x v="0"/>
    <x v="0"/>
  </r>
  <r>
    <x v="503"/>
    <x v="0"/>
    <x v="35"/>
    <x v="35"/>
    <x v="0"/>
    <x v="9"/>
    <x v="7"/>
    <x v="0"/>
    <x v="1"/>
    <x v="0"/>
    <x v="0"/>
    <x v="303"/>
    <x v="13"/>
    <x v="13"/>
    <x v="11"/>
    <x v="11"/>
    <x v="1"/>
    <x v="6"/>
    <x v="8"/>
    <x v="0"/>
    <x v="0"/>
    <x v="6"/>
    <x v="8"/>
    <x v="0"/>
    <x v="0"/>
    <x v="0"/>
    <x v="0"/>
    <x v="0"/>
    <x v="0"/>
  </r>
  <r>
    <x v="504"/>
    <x v="0"/>
    <x v="35"/>
    <x v="35"/>
    <x v="0"/>
    <x v="9"/>
    <x v="7"/>
    <x v="0"/>
    <x v="0"/>
    <x v="0"/>
    <x v="0"/>
    <x v="303"/>
    <x v="13"/>
    <x v="13"/>
    <x v="8"/>
    <x v="8"/>
    <x v="0"/>
    <x v="1"/>
    <x v="1"/>
    <x v="0"/>
    <x v="0"/>
    <x v="1"/>
    <x v="1"/>
    <x v="0"/>
    <x v="0"/>
    <x v="0"/>
    <x v="0"/>
    <x v="0"/>
    <x v="0"/>
  </r>
  <r>
    <x v="505"/>
    <x v="0"/>
    <x v="9"/>
    <x v="9"/>
    <x v="0"/>
    <x v="3"/>
    <x v="1"/>
    <x v="1"/>
    <x v="1"/>
    <x v="0"/>
    <x v="1"/>
    <x v="304"/>
    <x v="13"/>
    <x v="13"/>
    <x v="24"/>
    <x v="24"/>
    <x v="1"/>
    <x v="9"/>
    <x v="10"/>
    <x v="0"/>
    <x v="0"/>
    <x v="9"/>
    <x v="10"/>
    <x v="0"/>
    <x v="0"/>
    <x v="0"/>
    <x v="0"/>
    <x v="0"/>
    <x v="0"/>
  </r>
  <r>
    <x v="506"/>
    <x v="0"/>
    <x v="7"/>
    <x v="7"/>
    <x v="0"/>
    <x v="2"/>
    <x v="1"/>
    <x v="1"/>
    <x v="1"/>
    <x v="0"/>
    <x v="1"/>
    <x v="305"/>
    <x v="13"/>
    <x v="13"/>
    <x v="3"/>
    <x v="3"/>
    <x v="1"/>
    <x v="9"/>
    <x v="10"/>
    <x v="0"/>
    <x v="0"/>
    <x v="9"/>
    <x v="10"/>
    <x v="0"/>
    <x v="0"/>
    <x v="0"/>
    <x v="0"/>
    <x v="0"/>
    <x v="0"/>
  </r>
  <r>
    <x v="507"/>
    <x v="0"/>
    <x v="13"/>
    <x v="13"/>
    <x v="0"/>
    <x v="5"/>
    <x v="3"/>
    <x v="1"/>
    <x v="1"/>
    <x v="0"/>
    <x v="1"/>
    <x v="306"/>
    <x v="13"/>
    <x v="13"/>
    <x v="13"/>
    <x v="13"/>
    <x v="1"/>
    <x v="9"/>
    <x v="10"/>
    <x v="0"/>
    <x v="0"/>
    <x v="9"/>
    <x v="10"/>
    <x v="0"/>
    <x v="0"/>
    <x v="0"/>
    <x v="0"/>
    <x v="0"/>
    <x v="0"/>
  </r>
  <r>
    <x v="508"/>
    <x v="0"/>
    <x v="22"/>
    <x v="22"/>
    <x v="0"/>
    <x v="11"/>
    <x v="8"/>
    <x v="1"/>
    <x v="1"/>
    <x v="0"/>
    <x v="3"/>
    <x v="307"/>
    <x v="13"/>
    <x v="13"/>
    <x v="13"/>
    <x v="13"/>
    <x v="1"/>
    <x v="0"/>
    <x v="21"/>
    <x v="0"/>
    <x v="0"/>
    <x v="0"/>
    <x v="21"/>
    <x v="0"/>
    <x v="0"/>
    <x v="0"/>
    <x v="0"/>
    <x v="0"/>
    <x v="0"/>
  </r>
  <r>
    <x v="509"/>
    <x v="0"/>
    <x v="22"/>
    <x v="22"/>
    <x v="0"/>
    <x v="11"/>
    <x v="8"/>
    <x v="1"/>
    <x v="0"/>
    <x v="0"/>
    <x v="3"/>
    <x v="307"/>
    <x v="13"/>
    <x v="13"/>
    <x v="28"/>
    <x v="28"/>
    <x v="0"/>
    <x v="17"/>
    <x v="18"/>
    <x v="0"/>
    <x v="0"/>
    <x v="17"/>
    <x v="18"/>
    <x v="0"/>
    <x v="0"/>
    <x v="0"/>
    <x v="0"/>
    <x v="0"/>
    <x v="0"/>
  </r>
  <r>
    <x v="510"/>
    <x v="0"/>
    <x v="4"/>
    <x v="4"/>
    <x v="0"/>
    <x v="1"/>
    <x v="0"/>
    <x v="0"/>
    <x v="0"/>
    <x v="0"/>
    <x v="0"/>
    <x v="308"/>
    <x v="13"/>
    <x v="13"/>
    <x v="8"/>
    <x v="8"/>
    <x v="0"/>
    <x v="6"/>
    <x v="6"/>
    <x v="0"/>
    <x v="0"/>
    <x v="6"/>
    <x v="6"/>
    <x v="0"/>
    <x v="0"/>
    <x v="0"/>
    <x v="0"/>
    <x v="0"/>
    <x v="0"/>
  </r>
  <r>
    <x v="511"/>
    <x v="0"/>
    <x v="30"/>
    <x v="30"/>
    <x v="0"/>
    <x v="13"/>
    <x v="5"/>
    <x v="0"/>
    <x v="1"/>
    <x v="0"/>
    <x v="0"/>
    <x v="309"/>
    <x v="13"/>
    <x v="13"/>
    <x v="1"/>
    <x v="1"/>
    <x v="1"/>
    <x v="6"/>
    <x v="8"/>
    <x v="0"/>
    <x v="0"/>
    <x v="6"/>
    <x v="8"/>
    <x v="0"/>
    <x v="0"/>
    <x v="0"/>
    <x v="0"/>
    <x v="0"/>
    <x v="0"/>
  </r>
  <r>
    <x v="512"/>
    <x v="0"/>
    <x v="67"/>
    <x v="67"/>
    <x v="0"/>
    <x v="10"/>
    <x v="5"/>
    <x v="0"/>
    <x v="0"/>
    <x v="0"/>
    <x v="0"/>
    <x v="310"/>
    <x v="13"/>
    <x v="13"/>
    <x v="0"/>
    <x v="0"/>
    <x v="0"/>
    <x v="41"/>
    <x v="68"/>
    <x v="0"/>
    <x v="0"/>
    <x v="41"/>
    <x v="68"/>
    <x v="0"/>
    <x v="0"/>
    <x v="0"/>
    <x v="0"/>
    <x v="0"/>
    <x v="0"/>
  </r>
  <r>
    <x v="513"/>
    <x v="0"/>
    <x v="16"/>
    <x v="16"/>
    <x v="0"/>
    <x v="7"/>
    <x v="5"/>
    <x v="0"/>
    <x v="0"/>
    <x v="0"/>
    <x v="0"/>
    <x v="311"/>
    <x v="13"/>
    <x v="13"/>
    <x v="15"/>
    <x v="15"/>
    <x v="0"/>
    <x v="28"/>
    <x v="69"/>
    <x v="0"/>
    <x v="0"/>
    <x v="28"/>
    <x v="69"/>
    <x v="0"/>
    <x v="0"/>
    <x v="0"/>
    <x v="0"/>
    <x v="0"/>
    <x v="0"/>
  </r>
  <r>
    <x v="514"/>
    <x v="0"/>
    <x v="25"/>
    <x v="25"/>
    <x v="0"/>
    <x v="1"/>
    <x v="0"/>
    <x v="0"/>
    <x v="1"/>
    <x v="0"/>
    <x v="0"/>
    <x v="312"/>
    <x v="14"/>
    <x v="14"/>
    <x v="13"/>
    <x v="13"/>
    <x v="1"/>
    <x v="9"/>
    <x v="10"/>
    <x v="0"/>
    <x v="0"/>
    <x v="9"/>
    <x v="10"/>
    <x v="0"/>
    <x v="0"/>
    <x v="0"/>
    <x v="0"/>
    <x v="0"/>
    <x v="0"/>
  </r>
  <r>
    <x v="515"/>
    <x v="0"/>
    <x v="48"/>
    <x v="48"/>
    <x v="0"/>
    <x v="0"/>
    <x v="0"/>
    <x v="0"/>
    <x v="1"/>
    <x v="0"/>
    <x v="0"/>
    <x v="313"/>
    <x v="14"/>
    <x v="14"/>
    <x v="35"/>
    <x v="35"/>
    <x v="1"/>
    <x v="8"/>
    <x v="9"/>
    <x v="0"/>
    <x v="0"/>
    <x v="8"/>
    <x v="9"/>
    <x v="0"/>
    <x v="0"/>
    <x v="0"/>
    <x v="0"/>
    <x v="0"/>
    <x v="0"/>
  </r>
  <r>
    <x v="516"/>
    <x v="0"/>
    <x v="48"/>
    <x v="48"/>
    <x v="0"/>
    <x v="0"/>
    <x v="0"/>
    <x v="0"/>
    <x v="1"/>
    <x v="0"/>
    <x v="0"/>
    <x v="313"/>
    <x v="14"/>
    <x v="14"/>
    <x v="1"/>
    <x v="1"/>
    <x v="1"/>
    <x v="6"/>
    <x v="8"/>
    <x v="0"/>
    <x v="0"/>
    <x v="6"/>
    <x v="8"/>
    <x v="0"/>
    <x v="0"/>
    <x v="0"/>
    <x v="0"/>
    <x v="0"/>
    <x v="0"/>
  </r>
  <r>
    <x v="517"/>
    <x v="0"/>
    <x v="48"/>
    <x v="48"/>
    <x v="0"/>
    <x v="0"/>
    <x v="0"/>
    <x v="0"/>
    <x v="0"/>
    <x v="0"/>
    <x v="0"/>
    <x v="313"/>
    <x v="14"/>
    <x v="14"/>
    <x v="0"/>
    <x v="0"/>
    <x v="0"/>
    <x v="0"/>
    <x v="0"/>
    <x v="0"/>
    <x v="0"/>
    <x v="0"/>
    <x v="0"/>
    <x v="0"/>
    <x v="0"/>
    <x v="0"/>
    <x v="0"/>
    <x v="0"/>
    <x v="0"/>
  </r>
  <r>
    <x v="518"/>
    <x v="0"/>
    <x v="2"/>
    <x v="2"/>
    <x v="0"/>
    <x v="0"/>
    <x v="0"/>
    <x v="0"/>
    <x v="0"/>
    <x v="0"/>
    <x v="0"/>
    <x v="314"/>
    <x v="14"/>
    <x v="14"/>
    <x v="0"/>
    <x v="0"/>
    <x v="0"/>
    <x v="6"/>
    <x v="6"/>
    <x v="0"/>
    <x v="0"/>
    <x v="6"/>
    <x v="6"/>
    <x v="0"/>
    <x v="0"/>
    <x v="0"/>
    <x v="0"/>
    <x v="0"/>
    <x v="0"/>
  </r>
  <r>
    <x v="519"/>
    <x v="0"/>
    <x v="0"/>
    <x v="0"/>
    <x v="0"/>
    <x v="0"/>
    <x v="0"/>
    <x v="0"/>
    <x v="0"/>
    <x v="0"/>
    <x v="0"/>
    <x v="315"/>
    <x v="14"/>
    <x v="14"/>
    <x v="0"/>
    <x v="0"/>
    <x v="0"/>
    <x v="6"/>
    <x v="6"/>
    <x v="0"/>
    <x v="0"/>
    <x v="6"/>
    <x v="6"/>
    <x v="0"/>
    <x v="0"/>
    <x v="0"/>
    <x v="0"/>
    <x v="0"/>
    <x v="0"/>
  </r>
  <r>
    <x v="520"/>
    <x v="0"/>
    <x v="0"/>
    <x v="0"/>
    <x v="0"/>
    <x v="0"/>
    <x v="0"/>
    <x v="0"/>
    <x v="1"/>
    <x v="0"/>
    <x v="0"/>
    <x v="315"/>
    <x v="14"/>
    <x v="14"/>
    <x v="5"/>
    <x v="5"/>
    <x v="1"/>
    <x v="6"/>
    <x v="8"/>
    <x v="0"/>
    <x v="0"/>
    <x v="6"/>
    <x v="8"/>
    <x v="0"/>
    <x v="0"/>
    <x v="0"/>
    <x v="0"/>
    <x v="0"/>
    <x v="0"/>
  </r>
  <r>
    <x v="521"/>
    <x v="0"/>
    <x v="5"/>
    <x v="5"/>
    <x v="0"/>
    <x v="2"/>
    <x v="1"/>
    <x v="1"/>
    <x v="1"/>
    <x v="0"/>
    <x v="1"/>
    <x v="316"/>
    <x v="14"/>
    <x v="14"/>
    <x v="46"/>
    <x v="46"/>
    <x v="1"/>
    <x v="4"/>
    <x v="4"/>
    <x v="0"/>
    <x v="0"/>
    <x v="4"/>
    <x v="4"/>
    <x v="0"/>
    <x v="0"/>
    <x v="0"/>
    <x v="0"/>
    <x v="0"/>
    <x v="0"/>
  </r>
  <r>
    <x v="522"/>
    <x v="0"/>
    <x v="5"/>
    <x v="5"/>
    <x v="0"/>
    <x v="2"/>
    <x v="1"/>
    <x v="1"/>
    <x v="1"/>
    <x v="0"/>
    <x v="1"/>
    <x v="317"/>
    <x v="14"/>
    <x v="14"/>
    <x v="33"/>
    <x v="33"/>
    <x v="1"/>
    <x v="4"/>
    <x v="4"/>
    <x v="0"/>
    <x v="0"/>
    <x v="4"/>
    <x v="4"/>
    <x v="0"/>
    <x v="0"/>
    <x v="0"/>
    <x v="0"/>
    <x v="0"/>
    <x v="0"/>
  </r>
  <r>
    <x v="523"/>
    <x v="0"/>
    <x v="6"/>
    <x v="6"/>
    <x v="0"/>
    <x v="2"/>
    <x v="1"/>
    <x v="1"/>
    <x v="1"/>
    <x v="0"/>
    <x v="1"/>
    <x v="318"/>
    <x v="14"/>
    <x v="14"/>
    <x v="10"/>
    <x v="10"/>
    <x v="1"/>
    <x v="4"/>
    <x v="4"/>
    <x v="0"/>
    <x v="0"/>
    <x v="4"/>
    <x v="4"/>
    <x v="0"/>
    <x v="0"/>
    <x v="0"/>
    <x v="0"/>
    <x v="0"/>
    <x v="0"/>
  </r>
  <r>
    <x v="524"/>
    <x v="0"/>
    <x v="29"/>
    <x v="29"/>
    <x v="0"/>
    <x v="2"/>
    <x v="1"/>
    <x v="1"/>
    <x v="1"/>
    <x v="0"/>
    <x v="1"/>
    <x v="319"/>
    <x v="14"/>
    <x v="14"/>
    <x v="3"/>
    <x v="3"/>
    <x v="1"/>
    <x v="9"/>
    <x v="10"/>
    <x v="0"/>
    <x v="0"/>
    <x v="9"/>
    <x v="10"/>
    <x v="0"/>
    <x v="0"/>
    <x v="0"/>
    <x v="0"/>
    <x v="0"/>
    <x v="0"/>
  </r>
  <r>
    <x v="525"/>
    <x v="0"/>
    <x v="29"/>
    <x v="29"/>
    <x v="0"/>
    <x v="2"/>
    <x v="1"/>
    <x v="1"/>
    <x v="1"/>
    <x v="0"/>
    <x v="1"/>
    <x v="320"/>
    <x v="14"/>
    <x v="14"/>
    <x v="20"/>
    <x v="20"/>
    <x v="1"/>
    <x v="19"/>
    <x v="24"/>
    <x v="0"/>
    <x v="0"/>
    <x v="19"/>
    <x v="24"/>
    <x v="0"/>
    <x v="0"/>
    <x v="0"/>
    <x v="0"/>
    <x v="0"/>
    <x v="0"/>
  </r>
  <r>
    <x v="526"/>
    <x v="0"/>
    <x v="12"/>
    <x v="12"/>
    <x v="0"/>
    <x v="4"/>
    <x v="2"/>
    <x v="1"/>
    <x v="1"/>
    <x v="0"/>
    <x v="1"/>
    <x v="321"/>
    <x v="14"/>
    <x v="14"/>
    <x v="14"/>
    <x v="14"/>
    <x v="1"/>
    <x v="4"/>
    <x v="4"/>
    <x v="0"/>
    <x v="0"/>
    <x v="4"/>
    <x v="4"/>
    <x v="0"/>
    <x v="0"/>
    <x v="0"/>
    <x v="0"/>
    <x v="0"/>
    <x v="0"/>
  </r>
  <r>
    <x v="527"/>
    <x v="0"/>
    <x v="36"/>
    <x v="36"/>
    <x v="0"/>
    <x v="3"/>
    <x v="1"/>
    <x v="1"/>
    <x v="1"/>
    <x v="0"/>
    <x v="1"/>
    <x v="322"/>
    <x v="14"/>
    <x v="14"/>
    <x v="6"/>
    <x v="6"/>
    <x v="1"/>
    <x v="31"/>
    <x v="51"/>
    <x v="0"/>
    <x v="0"/>
    <x v="31"/>
    <x v="51"/>
    <x v="0"/>
    <x v="0"/>
    <x v="0"/>
    <x v="0"/>
    <x v="0"/>
    <x v="0"/>
  </r>
  <r>
    <x v="528"/>
    <x v="0"/>
    <x v="36"/>
    <x v="36"/>
    <x v="0"/>
    <x v="3"/>
    <x v="1"/>
    <x v="1"/>
    <x v="1"/>
    <x v="0"/>
    <x v="1"/>
    <x v="322"/>
    <x v="14"/>
    <x v="14"/>
    <x v="1"/>
    <x v="1"/>
    <x v="1"/>
    <x v="19"/>
    <x v="24"/>
    <x v="0"/>
    <x v="0"/>
    <x v="19"/>
    <x v="24"/>
    <x v="0"/>
    <x v="0"/>
    <x v="0"/>
    <x v="0"/>
    <x v="0"/>
    <x v="0"/>
  </r>
  <r>
    <x v="529"/>
    <x v="0"/>
    <x v="36"/>
    <x v="36"/>
    <x v="0"/>
    <x v="3"/>
    <x v="1"/>
    <x v="1"/>
    <x v="1"/>
    <x v="0"/>
    <x v="1"/>
    <x v="322"/>
    <x v="14"/>
    <x v="14"/>
    <x v="33"/>
    <x v="33"/>
    <x v="1"/>
    <x v="25"/>
    <x v="33"/>
    <x v="0"/>
    <x v="0"/>
    <x v="25"/>
    <x v="33"/>
    <x v="0"/>
    <x v="0"/>
    <x v="0"/>
    <x v="0"/>
    <x v="0"/>
    <x v="0"/>
  </r>
  <r>
    <x v="530"/>
    <x v="0"/>
    <x v="68"/>
    <x v="68"/>
    <x v="0"/>
    <x v="15"/>
    <x v="8"/>
    <x v="1"/>
    <x v="1"/>
    <x v="0"/>
    <x v="3"/>
    <x v="323"/>
    <x v="14"/>
    <x v="14"/>
    <x v="1"/>
    <x v="1"/>
    <x v="1"/>
    <x v="4"/>
    <x v="4"/>
    <x v="0"/>
    <x v="0"/>
    <x v="4"/>
    <x v="4"/>
    <x v="1"/>
    <x v="1"/>
    <x v="0"/>
    <x v="0"/>
    <x v="0"/>
    <x v="1"/>
  </r>
  <r>
    <x v="531"/>
    <x v="0"/>
    <x v="68"/>
    <x v="68"/>
    <x v="0"/>
    <x v="15"/>
    <x v="8"/>
    <x v="1"/>
    <x v="1"/>
    <x v="0"/>
    <x v="3"/>
    <x v="323"/>
    <x v="14"/>
    <x v="14"/>
    <x v="9"/>
    <x v="9"/>
    <x v="1"/>
    <x v="4"/>
    <x v="4"/>
    <x v="0"/>
    <x v="0"/>
    <x v="4"/>
    <x v="4"/>
    <x v="0"/>
    <x v="0"/>
    <x v="0"/>
    <x v="0"/>
    <x v="0"/>
    <x v="0"/>
  </r>
  <r>
    <x v="532"/>
    <x v="0"/>
    <x v="57"/>
    <x v="57"/>
    <x v="0"/>
    <x v="11"/>
    <x v="8"/>
    <x v="1"/>
    <x v="1"/>
    <x v="0"/>
    <x v="3"/>
    <x v="324"/>
    <x v="14"/>
    <x v="14"/>
    <x v="35"/>
    <x v="35"/>
    <x v="1"/>
    <x v="6"/>
    <x v="8"/>
    <x v="0"/>
    <x v="0"/>
    <x v="6"/>
    <x v="8"/>
    <x v="0"/>
    <x v="0"/>
    <x v="0"/>
    <x v="0"/>
    <x v="0"/>
    <x v="0"/>
  </r>
  <r>
    <x v="533"/>
    <x v="0"/>
    <x v="50"/>
    <x v="50"/>
    <x v="0"/>
    <x v="12"/>
    <x v="4"/>
    <x v="1"/>
    <x v="1"/>
    <x v="0"/>
    <x v="3"/>
    <x v="325"/>
    <x v="14"/>
    <x v="14"/>
    <x v="14"/>
    <x v="14"/>
    <x v="1"/>
    <x v="21"/>
    <x v="28"/>
    <x v="0"/>
    <x v="0"/>
    <x v="21"/>
    <x v="28"/>
    <x v="0"/>
    <x v="0"/>
    <x v="0"/>
    <x v="0"/>
    <x v="0"/>
    <x v="0"/>
  </r>
  <r>
    <x v="534"/>
    <x v="0"/>
    <x v="50"/>
    <x v="50"/>
    <x v="0"/>
    <x v="12"/>
    <x v="4"/>
    <x v="1"/>
    <x v="1"/>
    <x v="0"/>
    <x v="3"/>
    <x v="325"/>
    <x v="14"/>
    <x v="14"/>
    <x v="9"/>
    <x v="9"/>
    <x v="1"/>
    <x v="13"/>
    <x v="31"/>
    <x v="0"/>
    <x v="0"/>
    <x v="13"/>
    <x v="31"/>
    <x v="0"/>
    <x v="0"/>
    <x v="0"/>
    <x v="0"/>
    <x v="0"/>
    <x v="0"/>
  </r>
  <r>
    <x v="535"/>
    <x v="0"/>
    <x v="13"/>
    <x v="13"/>
    <x v="0"/>
    <x v="5"/>
    <x v="3"/>
    <x v="1"/>
    <x v="1"/>
    <x v="0"/>
    <x v="1"/>
    <x v="326"/>
    <x v="14"/>
    <x v="14"/>
    <x v="21"/>
    <x v="21"/>
    <x v="1"/>
    <x v="9"/>
    <x v="10"/>
    <x v="0"/>
    <x v="0"/>
    <x v="9"/>
    <x v="10"/>
    <x v="0"/>
    <x v="0"/>
    <x v="0"/>
    <x v="0"/>
    <x v="0"/>
    <x v="0"/>
  </r>
  <r>
    <x v="536"/>
    <x v="1"/>
    <x v="66"/>
    <x v="66"/>
    <x v="0"/>
    <x v="12"/>
    <x v="4"/>
    <x v="1"/>
    <x v="1"/>
    <x v="0"/>
    <x v="3"/>
    <x v="327"/>
    <x v="14"/>
    <x v="14"/>
    <x v="43"/>
    <x v="43"/>
    <x v="1"/>
    <x v="4"/>
    <x v="4"/>
    <x v="0"/>
    <x v="0"/>
    <x v="4"/>
    <x v="4"/>
    <x v="0"/>
    <x v="0"/>
    <x v="0"/>
    <x v="0"/>
    <x v="0"/>
    <x v="0"/>
  </r>
  <r>
    <x v="537"/>
    <x v="1"/>
    <x v="66"/>
    <x v="66"/>
    <x v="0"/>
    <x v="12"/>
    <x v="4"/>
    <x v="1"/>
    <x v="1"/>
    <x v="0"/>
    <x v="3"/>
    <x v="328"/>
    <x v="14"/>
    <x v="14"/>
    <x v="44"/>
    <x v="44"/>
    <x v="1"/>
    <x v="4"/>
    <x v="4"/>
    <x v="0"/>
    <x v="0"/>
    <x v="4"/>
    <x v="4"/>
    <x v="0"/>
    <x v="0"/>
    <x v="0"/>
    <x v="0"/>
    <x v="0"/>
    <x v="0"/>
  </r>
  <r>
    <x v="538"/>
    <x v="0"/>
    <x v="13"/>
    <x v="13"/>
    <x v="0"/>
    <x v="5"/>
    <x v="3"/>
    <x v="1"/>
    <x v="1"/>
    <x v="0"/>
    <x v="1"/>
    <x v="329"/>
    <x v="14"/>
    <x v="14"/>
    <x v="1"/>
    <x v="1"/>
    <x v="1"/>
    <x v="9"/>
    <x v="10"/>
    <x v="0"/>
    <x v="0"/>
    <x v="9"/>
    <x v="10"/>
    <x v="0"/>
    <x v="0"/>
    <x v="0"/>
    <x v="0"/>
    <x v="0"/>
    <x v="0"/>
  </r>
  <r>
    <x v="539"/>
    <x v="0"/>
    <x v="21"/>
    <x v="21"/>
    <x v="0"/>
    <x v="10"/>
    <x v="5"/>
    <x v="0"/>
    <x v="1"/>
    <x v="0"/>
    <x v="0"/>
    <x v="330"/>
    <x v="14"/>
    <x v="14"/>
    <x v="1"/>
    <x v="1"/>
    <x v="1"/>
    <x v="42"/>
    <x v="70"/>
    <x v="0"/>
    <x v="0"/>
    <x v="42"/>
    <x v="70"/>
    <x v="0"/>
    <x v="0"/>
    <x v="0"/>
    <x v="0"/>
    <x v="0"/>
    <x v="0"/>
  </r>
  <r>
    <x v="540"/>
    <x v="0"/>
    <x v="21"/>
    <x v="21"/>
    <x v="0"/>
    <x v="10"/>
    <x v="5"/>
    <x v="0"/>
    <x v="1"/>
    <x v="0"/>
    <x v="0"/>
    <x v="330"/>
    <x v="14"/>
    <x v="14"/>
    <x v="20"/>
    <x v="20"/>
    <x v="1"/>
    <x v="4"/>
    <x v="4"/>
    <x v="0"/>
    <x v="0"/>
    <x v="4"/>
    <x v="4"/>
    <x v="0"/>
    <x v="0"/>
    <x v="0"/>
    <x v="0"/>
    <x v="0"/>
    <x v="0"/>
  </r>
  <r>
    <x v="541"/>
    <x v="0"/>
    <x v="21"/>
    <x v="21"/>
    <x v="0"/>
    <x v="10"/>
    <x v="5"/>
    <x v="0"/>
    <x v="1"/>
    <x v="0"/>
    <x v="0"/>
    <x v="330"/>
    <x v="14"/>
    <x v="14"/>
    <x v="2"/>
    <x v="2"/>
    <x v="1"/>
    <x v="20"/>
    <x v="25"/>
    <x v="0"/>
    <x v="0"/>
    <x v="20"/>
    <x v="25"/>
    <x v="0"/>
    <x v="0"/>
    <x v="0"/>
    <x v="0"/>
    <x v="0"/>
    <x v="0"/>
  </r>
  <r>
    <x v="542"/>
    <x v="0"/>
    <x v="40"/>
    <x v="40"/>
    <x v="0"/>
    <x v="10"/>
    <x v="5"/>
    <x v="0"/>
    <x v="0"/>
    <x v="0"/>
    <x v="0"/>
    <x v="331"/>
    <x v="14"/>
    <x v="14"/>
    <x v="0"/>
    <x v="0"/>
    <x v="0"/>
    <x v="14"/>
    <x v="15"/>
    <x v="0"/>
    <x v="0"/>
    <x v="14"/>
    <x v="15"/>
    <x v="0"/>
    <x v="0"/>
    <x v="0"/>
    <x v="0"/>
    <x v="0"/>
    <x v="0"/>
  </r>
  <r>
    <x v="543"/>
    <x v="0"/>
    <x v="20"/>
    <x v="20"/>
    <x v="0"/>
    <x v="9"/>
    <x v="7"/>
    <x v="0"/>
    <x v="0"/>
    <x v="0"/>
    <x v="0"/>
    <x v="332"/>
    <x v="14"/>
    <x v="14"/>
    <x v="19"/>
    <x v="19"/>
    <x v="0"/>
    <x v="5"/>
    <x v="5"/>
    <x v="0"/>
    <x v="0"/>
    <x v="5"/>
    <x v="5"/>
    <x v="0"/>
    <x v="0"/>
    <x v="0"/>
    <x v="0"/>
    <x v="0"/>
    <x v="0"/>
  </r>
  <r>
    <x v="544"/>
    <x v="0"/>
    <x v="20"/>
    <x v="20"/>
    <x v="0"/>
    <x v="9"/>
    <x v="7"/>
    <x v="0"/>
    <x v="0"/>
    <x v="0"/>
    <x v="0"/>
    <x v="332"/>
    <x v="14"/>
    <x v="14"/>
    <x v="0"/>
    <x v="0"/>
    <x v="0"/>
    <x v="43"/>
    <x v="71"/>
    <x v="0"/>
    <x v="0"/>
    <x v="43"/>
    <x v="71"/>
    <x v="0"/>
    <x v="0"/>
    <x v="0"/>
    <x v="0"/>
    <x v="0"/>
    <x v="0"/>
  </r>
  <r>
    <x v="545"/>
    <x v="0"/>
    <x v="20"/>
    <x v="20"/>
    <x v="0"/>
    <x v="9"/>
    <x v="7"/>
    <x v="0"/>
    <x v="0"/>
    <x v="0"/>
    <x v="0"/>
    <x v="333"/>
    <x v="14"/>
    <x v="14"/>
    <x v="0"/>
    <x v="0"/>
    <x v="0"/>
    <x v="6"/>
    <x v="6"/>
    <x v="0"/>
    <x v="0"/>
    <x v="6"/>
    <x v="6"/>
    <x v="0"/>
    <x v="0"/>
    <x v="0"/>
    <x v="0"/>
    <x v="0"/>
    <x v="0"/>
  </r>
  <r>
    <x v="546"/>
    <x v="0"/>
    <x v="20"/>
    <x v="20"/>
    <x v="0"/>
    <x v="9"/>
    <x v="7"/>
    <x v="0"/>
    <x v="0"/>
    <x v="0"/>
    <x v="0"/>
    <x v="333"/>
    <x v="14"/>
    <x v="14"/>
    <x v="19"/>
    <x v="19"/>
    <x v="0"/>
    <x v="5"/>
    <x v="5"/>
    <x v="0"/>
    <x v="0"/>
    <x v="5"/>
    <x v="5"/>
    <x v="0"/>
    <x v="0"/>
    <x v="0"/>
    <x v="0"/>
    <x v="0"/>
    <x v="0"/>
  </r>
  <r>
    <x v="547"/>
    <x v="0"/>
    <x v="19"/>
    <x v="19"/>
    <x v="0"/>
    <x v="9"/>
    <x v="7"/>
    <x v="0"/>
    <x v="0"/>
    <x v="0"/>
    <x v="0"/>
    <x v="334"/>
    <x v="14"/>
    <x v="14"/>
    <x v="37"/>
    <x v="37"/>
    <x v="0"/>
    <x v="1"/>
    <x v="1"/>
    <x v="0"/>
    <x v="0"/>
    <x v="1"/>
    <x v="1"/>
    <x v="0"/>
    <x v="0"/>
    <x v="0"/>
    <x v="0"/>
    <x v="0"/>
    <x v="0"/>
  </r>
  <r>
    <x v="548"/>
    <x v="0"/>
    <x v="19"/>
    <x v="19"/>
    <x v="0"/>
    <x v="9"/>
    <x v="7"/>
    <x v="0"/>
    <x v="0"/>
    <x v="0"/>
    <x v="0"/>
    <x v="334"/>
    <x v="14"/>
    <x v="14"/>
    <x v="0"/>
    <x v="0"/>
    <x v="0"/>
    <x v="5"/>
    <x v="5"/>
    <x v="0"/>
    <x v="0"/>
    <x v="5"/>
    <x v="5"/>
    <x v="0"/>
    <x v="0"/>
    <x v="0"/>
    <x v="0"/>
    <x v="0"/>
    <x v="0"/>
  </r>
  <r>
    <x v="549"/>
    <x v="0"/>
    <x v="3"/>
    <x v="3"/>
    <x v="0"/>
    <x v="1"/>
    <x v="0"/>
    <x v="0"/>
    <x v="1"/>
    <x v="0"/>
    <x v="0"/>
    <x v="335"/>
    <x v="15"/>
    <x v="15"/>
    <x v="16"/>
    <x v="16"/>
    <x v="2"/>
    <x v="9"/>
    <x v="23"/>
    <x v="0"/>
    <x v="0"/>
    <x v="9"/>
    <x v="23"/>
    <x v="0"/>
    <x v="0"/>
    <x v="0"/>
    <x v="0"/>
    <x v="0"/>
    <x v="0"/>
  </r>
  <r>
    <x v="550"/>
    <x v="0"/>
    <x v="3"/>
    <x v="3"/>
    <x v="0"/>
    <x v="1"/>
    <x v="0"/>
    <x v="0"/>
    <x v="1"/>
    <x v="0"/>
    <x v="0"/>
    <x v="335"/>
    <x v="15"/>
    <x v="15"/>
    <x v="6"/>
    <x v="6"/>
    <x v="1"/>
    <x v="9"/>
    <x v="10"/>
    <x v="0"/>
    <x v="0"/>
    <x v="9"/>
    <x v="10"/>
    <x v="0"/>
    <x v="0"/>
    <x v="0"/>
    <x v="0"/>
    <x v="0"/>
    <x v="0"/>
  </r>
  <r>
    <x v="551"/>
    <x v="0"/>
    <x v="3"/>
    <x v="3"/>
    <x v="0"/>
    <x v="1"/>
    <x v="0"/>
    <x v="0"/>
    <x v="1"/>
    <x v="0"/>
    <x v="0"/>
    <x v="335"/>
    <x v="15"/>
    <x v="15"/>
    <x v="1"/>
    <x v="1"/>
    <x v="1"/>
    <x v="4"/>
    <x v="4"/>
    <x v="0"/>
    <x v="0"/>
    <x v="4"/>
    <x v="4"/>
    <x v="0"/>
    <x v="0"/>
    <x v="0"/>
    <x v="0"/>
    <x v="0"/>
    <x v="0"/>
  </r>
  <r>
    <x v="552"/>
    <x v="0"/>
    <x v="69"/>
    <x v="69"/>
    <x v="0"/>
    <x v="1"/>
    <x v="0"/>
    <x v="0"/>
    <x v="1"/>
    <x v="0"/>
    <x v="0"/>
    <x v="336"/>
    <x v="15"/>
    <x v="15"/>
    <x v="29"/>
    <x v="29"/>
    <x v="1"/>
    <x v="13"/>
    <x v="31"/>
    <x v="0"/>
    <x v="0"/>
    <x v="13"/>
    <x v="31"/>
    <x v="0"/>
    <x v="0"/>
    <x v="0"/>
    <x v="0"/>
    <x v="0"/>
    <x v="0"/>
  </r>
  <r>
    <x v="553"/>
    <x v="0"/>
    <x v="1"/>
    <x v="1"/>
    <x v="0"/>
    <x v="0"/>
    <x v="0"/>
    <x v="0"/>
    <x v="0"/>
    <x v="0"/>
    <x v="0"/>
    <x v="337"/>
    <x v="15"/>
    <x v="15"/>
    <x v="0"/>
    <x v="0"/>
    <x v="0"/>
    <x v="1"/>
    <x v="1"/>
    <x v="0"/>
    <x v="0"/>
    <x v="1"/>
    <x v="1"/>
    <x v="0"/>
    <x v="0"/>
    <x v="0"/>
    <x v="0"/>
    <x v="0"/>
    <x v="0"/>
  </r>
  <r>
    <x v="554"/>
    <x v="0"/>
    <x v="0"/>
    <x v="0"/>
    <x v="0"/>
    <x v="0"/>
    <x v="0"/>
    <x v="0"/>
    <x v="0"/>
    <x v="0"/>
    <x v="0"/>
    <x v="338"/>
    <x v="15"/>
    <x v="15"/>
    <x v="0"/>
    <x v="0"/>
    <x v="0"/>
    <x v="0"/>
    <x v="0"/>
    <x v="0"/>
    <x v="0"/>
    <x v="0"/>
    <x v="0"/>
    <x v="0"/>
    <x v="0"/>
    <x v="0"/>
    <x v="0"/>
    <x v="0"/>
    <x v="0"/>
  </r>
  <r>
    <x v="555"/>
    <x v="0"/>
    <x v="31"/>
    <x v="31"/>
    <x v="0"/>
    <x v="0"/>
    <x v="0"/>
    <x v="0"/>
    <x v="1"/>
    <x v="0"/>
    <x v="0"/>
    <x v="339"/>
    <x v="15"/>
    <x v="15"/>
    <x v="1"/>
    <x v="1"/>
    <x v="1"/>
    <x v="16"/>
    <x v="46"/>
    <x v="0"/>
    <x v="0"/>
    <x v="16"/>
    <x v="46"/>
    <x v="0"/>
    <x v="0"/>
    <x v="0"/>
    <x v="0"/>
    <x v="0"/>
    <x v="0"/>
  </r>
  <r>
    <x v="556"/>
    <x v="0"/>
    <x v="17"/>
    <x v="17"/>
    <x v="0"/>
    <x v="7"/>
    <x v="5"/>
    <x v="0"/>
    <x v="0"/>
    <x v="0"/>
    <x v="0"/>
    <x v="340"/>
    <x v="15"/>
    <x v="15"/>
    <x v="0"/>
    <x v="0"/>
    <x v="0"/>
    <x v="14"/>
    <x v="15"/>
    <x v="0"/>
    <x v="0"/>
    <x v="14"/>
    <x v="15"/>
    <x v="0"/>
    <x v="0"/>
    <x v="0"/>
    <x v="0"/>
    <x v="0"/>
    <x v="0"/>
  </r>
  <r>
    <x v="557"/>
    <x v="0"/>
    <x v="19"/>
    <x v="19"/>
    <x v="0"/>
    <x v="9"/>
    <x v="7"/>
    <x v="0"/>
    <x v="0"/>
    <x v="0"/>
    <x v="0"/>
    <x v="341"/>
    <x v="15"/>
    <x v="15"/>
    <x v="19"/>
    <x v="19"/>
    <x v="0"/>
    <x v="5"/>
    <x v="5"/>
    <x v="0"/>
    <x v="0"/>
    <x v="5"/>
    <x v="5"/>
    <x v="0"/>
    <x v="0"/>
    <x v="0"/>
    <x v="0"/>
    <x v="0"/>
    <x v="0"/>
  </r>
  <r>
    <x v="558"/>
    <x v="0"/>
    <x v="19"/>
    <x v="19"/>
    <x v="0"/>
    <x v="9"/>
    <x v="7"/>
    <x v="0"/>
    <x v="0"/>
    <x v="0"/>
    <x v="0"/>
    <x v="341"/>
    <x v="15"/>
    <x v="15"/>
    <x v="0"/>
    <x v="0"/>
    <x v="0"/>
    <x v="23"/>
    <x v="30"/>
    <x v="0"/>
    <x v="0"/>
    <x v="23"/>
    <x v="30"/>
    <x v="0"/>
    <x v="0"/>
    <x v="0"/>
    <x v="0"/>
    <x v="0"/>
    <x v="0"/>
  </r>
  <r>
    <x v="559"/>
    <x v="0"/>
    <x v="20"/>
    <x v="20"/>
    <x v="0"/>
    <x v="9"/>
    <x v="7"/>
    <x v="0"/>
    <x v="0"/>
    <x v="0"/>
    <x v="0"/>
    <x v="342"/>
    <x v="15"/>
    <x v="15"/>
    <x v="0"/>
    <x v="0"/>
    <x v="0"/>
    <x v="10"/>
    <x v="11"/>
    <x v="0"/>
    <x v="0"/>
    <x v="10"/>
    <x v="11"/>
    <x v="0"/>
    <x v="0"/>
    <x v="0"/>
    <x v="0"/>
    <x v="0"/>
    <x v="0"/>
  </r>
  <r>
    <x v="560"/>
    <x v="0"/>
    <x v="35"/>
    <x v="35"/>
    <x v="0"/>
    <x v="9"/>
    <x v="7"/>
    <x v="0"/>
    <x v="0"/>
    <x v="0"/>
    <x v="0"/>
    <x v="343"/>
    <x v="15"/>
    <x v="15"/>
    <x v="30"/>
    <x v="30"/>
    <x v="0"/>
    <x v="6"/>
    <x v="6"/>
    <x v="0"/>
    <x v="0"/>
    <x v="6"/>
    <x v="6"/>
    <x v="0"/>
    <x v="0"/>
    <x v="0"/>
    <x v="0"/>
    <x v="0"/>
    <x v="0"/>
  </r>
  <r>
    <x v="561"/>
    <x v="0"/>
    <x v="19"/>
    <x v="19"/>
    <x v="0"/>
    <x v="9"/>
    <x v="7"/>
    <x v="0"/>
    <x v="1"/>
    <x v="0"/>
    <x v="0"/>
    <x v="344"/>
    <x v="15"/>
    <x v="15"/>
    <x v="13"/>
    <x v="13"/>
    <x v="1"/>
    <x v="9"/>
    <x v="10"/>
    <x v="0"/>
    <x v="0"/>
    <x v="9"/>
    <x v="10"/>
    <x v="0"/>
    <x v="0"/>
    <x v="0"/>
    <x v="0"/>
    <x v="0"/>
    <x v="0"/>
  </r>
  <r>
    <x v="562"/>
    <x v="0"/>
    <x v="19"/>
    <x v="19"/>
    <x v="0"/>
    <x v="9"/>
    <x v="7"/>
    <x v="0"/>
    <x v="0"/>
    <x v="0"/>
    <x v="0"/>
    <x v="344"/>
    <x v="15"/>
    <x v="15"/>
    <x v="37"/>
    <x v="37"/>
    <x v="0"/>
    <x v="1"/>
    <x v="1"/>
    <x v="0"/>
    <x v="0"/>
    <x v="1"/>
    <x v="1"/>
    <x v="0"/>
    <x v="0"/>
    <x v="0"/>
    <x v="0"/>
    <x v="0"/>
    <x v="0"/>
  </r>
  <r>
    <x v="563"/>
    <x v="0"/>
    <x v="19"/>
    <x v="19"/>
    <x v="0"/>
    <x v="9"/>
    <x v="7"/>
    <x v="0"/>
    <x v="0"/>
    <x v="0"/>
    <x v="0"/>
    <x v="344"/>
    <x v="15"/>
    <x v="15"/>
    <x v="19"/>
    <x v="19"/>
    <x v="0"/>
    <x v="5"/>
    <x v="5"/>
    <x v="0"/>
    <x v="0"/>
    <x v="5"/>
    <x v="5"/>
    <x v="0"/>
    <x v="0"/>
    <x v="0"/>
    <x v="0"/>
    <x v="0"/>
    <x v="0"/>
  </r>
  <r>
    <x v="564"/>
    <x v="0"/>
    <x v="19"/>
    <x v="19"/>
    <x v="0"/>
    <x v="9"/>
    <x v="7"/>
    <x v="0"/>
    <x v="0"/>
    <x v="0"/>
    <x v="0"/>
    <x v="344"/>
    <x v="15"/>
    <x v="15"/>
    <x v="0"/>
    <x v="0"/>
    <x v="0"/>
    <x v="44"/>
    <x v="72"/>
    <x v="0"/>
    <x v="0"/>
    <x v="44"/>
    <x v="72"/>
    <x v="0"/>
    <x v="0"/>
    <x v="0"/>
    <x v="0"/>
    <x v="0"/>
    <x v="0"/>
  </r>
  <r>
    <x v="565"/>
    <x v="0"/>
    <x v="18"/>
    <x v="18"/>
    <x v="0"/>
    <x v="8"/>
    <x v="6"/>
    <x v="0"/>
    <x v="1"/>
    <x v="0"/>
    <x v="0"/>
    <x v="345"/>
    <x v="15"/>
    <x v="15"/>
    <x v="16"/>
    <x v="16"/>
    <x v="2"/>
    <x v="4"/>
    <x v="22"/>
    <x v="0"/>
    <x v="0"/>
    <x v="4"/>
    <x v="22"/>
    <x v="0"/>
    <x v="0"/>
    <x v="0"/>
    <x v="0"/>
    <x v="0"/>
    <x v="0"/>
  </r>
  <r>
    <x v="566"/>
    <x v="0"/>
    <x v="40"/>
    <x v="40"/>
    <x v="0"/>
    <x v="10"/>
    <x v="5"/>
    <x v="0"/>
    <x v="0"/>
    <x v="0"/>
    <x v="0"/>
    <x v="346"/>
    <x v="15"/>
    <x v="15"/>
    <x v="31"/>
    <x v="31"/>
    <x v="0"/>
    <x v="39"/>
    <x v="66"/>
    <x v="0"/>
    <x v="0"/>
    <x v="39"/>
    <x v="66"/>
    <x v="0"/>
    <x v="0"/>
    <x v="0"/>
    <x v="0"/>
    <x v="0"/>
    <x v="0"/>
  </r>
  <r>
    <x v="567"/>
    <x v="0"/>
    <x v="40"/>
    <x v="40"/>
    <x v="0"/>
    <x v="10"/>
    <x v="5"/>
    <x v="0"/>
    <x v="0"/>
    <x v="0"/>
    <x v="0"/>
    <x v="347"/>
    <x v="15"/>
    <x v="15"/>
    <x v="19"/>
    <x v="19"/>
    <x v="0"/>
    <x v="17"/>
    <x v="18"/>
    <x v="0"/>
    <x v="0"/>
    <x v="17"/>
    <x v="18"/>
    <x v="0"/>
    <x v="0"/>
    <x v="0"/>
    <x v="0"/>
    <x v="0"/>
    <x v="0"/>
  </r>
  <r>
    <x v="568"/>
    <x v="0"/>
    <x v="9"/>
    <x v="9"/>
    <x v="0"/>
    <x v="3"/>
    <x v="1"/>
    <x v="1"/>
    <x v="1"/>
    <x v="0"/>
    <x v="1"/>
    <x v="348"/>
    <x v="15"/>
    <x v="15"/>
    <x v="10"/>
    <x v="10"/>
    <x v="1"/>
    <x v="9"/>
    <x v="10"/>
    <x v="0"/>
    <x v="0"/>
    <x v="9"/>
    <x v="10"/>
    <x v="0"/>
    <x v="0"/>
    <x v="0"/>
    <x v="0"/>
    <x v="0"/>
    <x v="0"/>
  </r>
  <r>
    <x v="569"/>
    <x v="0"/>
    <x v="46"/>
    <x v="46"/>
    <x v="0"/>
    <x v="3"/>
    <x v="1"/>
    <x v="1"/>
    <x v="1"/>
    <x v="0"/>
    <x v="1"/>
    <x v="349"/>
    <x v="15"/>
    <x v="15"/>
    <x v="33"/>
    <x v="33"/>
    <x v="1"/>
    <x v="9"/>
    <x v="10"/>
    <x v="0"/>
    <x v="0"/>
    <x v="9"/>
    <x v="10"/>
    <x v="0"/>
    <x v="0"/>
    <x v="0"/>
    <x v="0"/>
    <x v="0"/>
    <x v="0"/>
  </r>
  <r>
    <x v="570"/>
    <x v="0"/>
    <x v="46"/>
    <x v="46"/>
    <x v="0"/>
    <x v="3"/>
    <x v="1"/>
    <x v="1"/>
    <x v="1"/>
    <x v="0"/>
    <x v="1"/>
    <x v="349"/>
    <x v="15"/>
    <x v="15"/>
    <x v="35"/>
    <x v="35"/>
    <x v="1"/>
    <x v="19"/>
    <x v="24"/>
    <x v="0"/>
    <x v="0"/>
    <x v="19"/>
    <x v="24"/>
    <x v="0"/>
    <x v="0"/>
    <x v="0"/>
    <x v="0"/>
    <x v="0"/>
    <x v="0"/>
  </r>
  <r>
    <x v="571"/>
    <x v="0"/>
    <x v="6"/>
    <x v="6"/>
    <x v="0"/>
    <x v="2"/>
    <x v="1"/>
    <x v="1"/>
    <x v="1"/>
    <x v="0"/>
    <x v="1"/>
    <x v="350"/>
    <x v="15"/>
    <x v="15"/>
    <x v="10"/>
    <x v="10"/>
    <x v="1"/>
    <x v="4"/>
    <x v="4"/>
    <x v="0"/>
    <x v="0"/>
    <x v="4"/>
    <x v="4"/>
    <x v="0"/>
    <x v="0"/>
    <x v="0"/>
    <x v="0"/>
    <x v="0"/>
    <x v="0"/>
  </r>
  <r>
    <x v="572"/>
    <x v="0"/>
    <x v="60"/>
    <x v="60"/>
    <x v="0"/>
    <x v="15"/>
    <x v="8"/>
    <x v="1"/>
    <x v="1"/>
    <x v="0"/>
    <x v="3"/>
    <x v="351"/>
    <x v="15"/>
    <x v="15"/>
    <x v="24"/>
    <x v="24"/>
    <x v="1"/>
    <x v="4"/>
    <x v="4"/>
    <x v="0"/>
    <x v="0"/>
    <x v="4"/>
    <x v="4"/>
    <x v="0"/>
    <x v="0"/>
    <x v="0"/>
    <x v="0"/>
    <x v="0"/>
    <x v="0"/>
  </r>
  <r>
    <x v="573"/>
    <x v="0"/>
    <x v="13"/>
    <x v="13"/>
    <x v="0"/>
    <x v="5"/>
    <x v="3"/>
    <x v="1"/>
    <x v="1"/>
    <x v="0"/>
    <x v="1"/>
    <x v="352"/>
    <x v="15"/>
    <x v="15"/>
    <x v="16"/>
    <x v="16"/>
    <x v="2"/>
    <x v="31"/>
    <x v="73"/>
    <x v="0"/>
    <x v="0"/>
    <x v="31"/>
    <x v="73"/>
    <x v="0"/>
    <x v="0"/>
    <x v="0"/>
    <x v="0"/>
    <x v="0"/>
    <x v="0"/>
  </r>
  <r>
    <x v="574"/>
    <x v="0"/>
    <x v="15"/>
    <x v="15"/>
    <x v="0"/>
    <x v="6"/>
    <x v="4"/>
    <x v="1"/>
    <x v="1"/>
    <x v="0"/>
    <x v="2"/>
    <x v="353"/>
    <x v="15"/>
    <x v="15"/>
    <x v="9"/>
    <x v="9"/>
    <x v="1"/>
    <x v="4"/>
    <x v="4"/>
    <x v="0"/>
    <x v="0"/>
    <x v="4"/>
    <x v="4"/>
    <x v="0"/>
    <x v="0"/>
    <x v="0"/>
    <x v="0"/>
    <x v="0"/>
    <x v="0"/>
  </r>
  <r>
    <x v="575"/>
    <x v="0"/>
    <x v="15"/>
    <x v="15"/>
    <x v="0"/>
    <x v="6"/>
    <x v="4"/>
    <x v="1"/>
    <x v="1"/>
    <x v="0"/>
    <x v="2"/>
    <x v="353"/>
    <x v="15"/>
    <x v="15"/>
    <x v="2"/>
    <x v="2"/>
    <x v="1"/>
    <x v="4"/>
    <x v="4"/>
    <x v="0"/>
    <x v="0"/>
    <x v="4"/>
    <x v="4"/>
    <x v="0"/>
    <x v="0"/>
    <x v="0"/>
    <x v="0"/>
    <x v="0"/>
    <x v="0"/>
  </r>
  <r>
    <x v="576"/>
    <x v="0"/>
    <x v="22"/>
    <x v="22"/>
    <x v="0"/>
    <x v="11"/>
    <x v="8"/>
    <x v="1"/>
    <x v="0"/>
    <x v="0"/>
    <x v="3"/>
    <x v="354"/>
    <x v="15"/>
    <x v="15"/>
    <x v="42"/>
    <x v="42"/>
    <x v="3"/>
    <x v="9"/>
    <x v="74"/>
    <x v="0"/>
    <x v="0"/>
    <x v="9"/>
    <x v="74"/>
    <x v="0"/>
    <x v="0"/>
    <x v="0"/>
    <x v="0"/>
    <x v="0"/>
    <x v="0"/>
  </r>
  <r>
    <x v="577"/>
    <x v="0"/>
    <x v="22"/>
    <x v="22"/>
    <x v="0"/>
    <x v="11"/>
    <x v="8"/>
    <x v="1"/>
    <x v="0"/>
    <x v="0"/>
    <x v="3"/>
    <x v="354"/>
    <x v="15"/>
    <x v="15"/>
    <x v="47"/>
    <x v="47"/>
    <x v="3"/>
    <x v="6"/>
    <x v="75"/>
    <x v="0"/>
    <x v="0"/>
    <x v="6"/>
    <x v="75"/>
    <x v="0"/>
    <x v="0"/>
    <x v="0"/>
    <x v="0"/>
    <x v="0"/>
    <x v="0"/>
  </r>
  <r>
    <x v="578"/>
    <x v="0"/>
    <x v="50"/>
    <x v="50"/>
    <x v="0"/>
    <x v="12"/>
    <x v="4"/>
    <x v="1"/>
    <x v="1"/>
    <x v="0"/>
    <x v="3"/>
    <x v="355"/>
    <x v="15"/>
    <x v="15"/>
    <x v="14"/>
    <x v="14"/>
    <x v="1"/>
    <x v="4"/>
    <x v="4"/>
    <x v="0"/>
    <x v="0"/>
    <x v="4"/>
    <x v="4"/>
    <x v="0"/>
    <x v="0"/>
    <x v="0"/>
    <x v="0"/>
    <x v="0"/>
    <x v="0"/>
  </r>
  <r>
    <x v="579"/>
    <x v="0"/>
    <x v="50"/>
    <x v="50"/>
    <x v="0"/>
    <x v="12"/>
    <x v="4"/>
    <x v="1"/>
    <x v="1"/>
    <x v="0"/>
    <x v="3"/>
    <x v="355"/>
    <x v="15"/>
    <x v="15"/>
    <x v="3"/>
    <x v="3"/>
    <x v="1"/>
    <x v="13"/>
    <x v="31"/>
    <x v="0"/>
    <x v="0"/>
    <x v="13"/>
    <x v="31"/>
    <x v="0"/>
    <x v="0"/>
    <x v="0"/>
    <x v="0"/>
    <x v="0"/>
    <x v="0"/>
  </r>
  <r>
    <x v="580"/>
    <x v="0"/>
    <x v="28"/>
    <x v="28"/>
    <x v="0"/>
    <x v="12"/>
    <x v="4"/>
    <x v="1"/>
    <x v="1"/>
    <x v="0"/>
    <x v="3"/>
    <x v="356"/>
    <x v="15"/>
    <x v="15"/>
    <x v="48"/>
    <x v="48"/>
    <x v="1"/>
    <x v="4"/>
    <x v="4"/>
    <x v="0"/>
    <x v="0"/>
    <x v="4"/>
    <x v="4"/>
    <x v="0"/>
    <x v="0"/>
    <x v="0"/>
    <x v="0"/>
    <x v="0"/>
    <x v="0"/>
  </r>
  <r>
    <x v="581"/>
    <x v="0"/>
    <x v="17"/>
    <x v="17"/>
    <x v="0"/>
    <x v="7"/>
    <x v="5"/>
    <x v="0"/>
    <x v="0"/>
    <x v="0"/>
    <x v="0"/>
    <x v="357"/>
    <x v="15"/>
    <x v="15"/>
    <x v="0"/>
    <x v="0"/>
    <x v="0"/>
    <x v="14"/>
    <x v="15"/>
    <x v="0"/>
    <x v="0"/>
    <x v="14"/>
    <x v="15"/>
    <x v="0"/>
    <x v="0"/>
    <x v="0"/>
    <x v="0"/>
    <x v="0"/>
    <x v="0"/>
  </r>
  <r>
    <x v="582"/>
    <x v="0"/>
    <x v="3"/>
    <x v="3"/>
    <x v="0"/>
    <x v="1"/>
    <x v="0"/>
    <x v="0"/>
    <x v="1"/>
    <x v="0"/>
    <x v="0"/>
    <x v="358"/>
    <x v="16"/>
    <x v="16"/>
    <x v="5"/>
    <x v="5"/>
    <x v="1"/>
    <x v="6"/>
    <x v="8"/>
    <x v="0"/>
    <x v="0"/>
    <x v="6"/>
    <x v="8"/>
    <x v="0"/>
    <x v="0"/>
    <x v="0"/>
    <x v="0"/>
    <x v="0"/>
    <x v="0"/>
  </r>
  <r>
    <x v="583"/>
    <x v="0"/>
    <x v="59"/>
    <x v="59"/>
    <x v="0"/>
    <x v="7"/>
    <x v="5"/>
    <x v="0"/>
    <x v="0"/>
    <x v="0"/>
    <x v="0"/>
    <x v="359"/>
    <x v="16"/>
    <x v="16"/>
    <x v="17"/>
    <x v="17"/>
    <x v="0"/>
    <x v="17"/>
    <x v="18"/>
    <x v="0"/>
    <x v="0"/>
    <x v="17"/>
    <x v="18"/>
    <x v="0"/>
    <x v="0"/>
    <x v="0"/>
    <x v="0"/>
    <x v="0"/>
    <x v="0"/>
  </r>
  <r>
    <x v="584"/>
    <x v="0"/>
    <x v="59"/>
    <x v="59"/>
    <x v="0"/>
    <x v="7"/>
    <x v="5"/>
    <x v="0"/>
    <x v="1"/>
    <x v="0"/>
    <x v="0"/>
    <x v="359"/>
    <x v="16"/>
    <x v="16"/>
    <x v="40"/>
    <x v="40"/>
    <x v="1"/>
    <x v="20"/>
    <x v="25"/>
    <x v="0"/>
    <x v="0"/>
    <x v="20"/>
    <x v="25"/>
    <x v="0"/>
    <x v="0"/>
    <x v="0"/>
    <x v="0"/>
    <x v="0"/>
    <x v="0"/>
  </r>
  <r>
    <x v="585"/>
    <x v="1"/>
    <x v="66"/>
    <x v="66"/>
    <x v="0"/>
    <x v="12"/>
    <x v="4"/>
    <x v="1"/>
    <x v="1"/>
    <x v="0"/>
    <x v="3"/>
    <x v="360"/>
    <x v="16"/>
    <x v="16"/>
    <x v="43"/>
    <x v="43"/>
    <x v="1"/>
    <x v="31"/>
    <x v="51"/>
    <x v="0"/>
    <x v="0"/>
    <x v="31"/>
    <x v="51"/>
    <x v="0"/>
    <x v="0"/>
    <x v="0"/>
    <x v="0"/>
    <x v="0"/>
    <x v="0"/>
  </r>
  <r>
    <x v="586"/>
    <x v="0"/>
    <x v="11"/>
    <x v="11"/>
    <x v="0"/>
    <x v="3"/>
    <x v="1"/>
    <x v="1"/>
    <x v="1"/>
    <x v="0"/>
    <x v="1"/>
    <x v="361"/>
    <x v="16"/>
    <x v="16"/>
    <x v="13"/>
    <x v="13"/>
    <x v="1"/>
    <x v="21"/>
    <x v="28"/>
    <x v="0"/>
    <x v="0"/>
    <x v="21"/>
    <x v="28"/>
    <x v="0"/>
    <x v="0"/>
    <x v="0"/>
    <x v="0"/>
    <x v="0"/>
    <x v="0"/>
  </r>
  <r>
    <x v="587"/>
    <x v="0"/>
    <x v="6"/>
    <x v="6"/>
    <x v="0"/>
    <x v="2"/>
    <x v="1"/>
    <x v="1"/>
    <x v="1"/>
    <x v="0"/>
    <x v="1"/>
    <x v="362"/>
    <x v="16"/>
    <x v="16"/>
    <x v="10"/>
    <x v="10"/>
    <x v="1"/>
    <x v="6"/>
    <x v="8"/>
    <x v="0"/>
    <x v="0"/>
    <x v="6"/>
    <x v="8"/>
    <x v="0"/>
    <x v="0"/>
    <x v="0"/>
    <x v="0"/>
    <x v="0"/>
    <x v="0"/>
  </r>
  <r>
    <x v="588"/>
    <x v="0"/>
    <x v="45"/>
    <x v="45"/>
    <x v="0"/>
    <x v="4"/>
    <x v="2"/>
    <x v="1"/>
    <x v="1"/>
    <x v="0"/>
    <x v="1"/>
    <x v="363"/>
    <x v="16"/>
    <x v="16"/>
    <x v="34"/>
    <x v="34"/>
    <x v="1"/>
    <x v="9"/>
    <x v="10"/>
    <x v="0"/>
    <x v="0"/>
    <x v="9"/>
    <x v="10"/>
    <x v="0"/>
    <x v="0"/>
    <x v="0"/>
    <x v="0"/>
    <x v="0"/>
    <x v="0"/>
  </r>
  <r>
    <x v="589"/>
    <x v="0"/>
    <x v="1"/>
    <x v="1"/>
    <x v="0"/>
    <x v="0"/>
    <x v="0"/>
    <x v="0"/>
    <x v="1"/>
    <x v="0"/>
    <x v="0"/>
    <x v="364"/>
    <x v="16"/>
    <x v="16"/>
    <x v="24"/>
    <x v="24"/>
    <x v="1"/>
    <x v="6"/>
    <x v="8"/>
    <x v="0"/>
    <x v="0"/>
    <x v="6"/>
    <x v="8"/>
    <x v="0"/>
    <x v="0"/>
    <x v="0"/>
    <x v="0"/>
    <x v="0"/>
    <x v="0"/>
  </r>
  <r>
    <x v="590"/>
    <x v="0"/>
    <x v="1"/>
    <x v="1"/>
    <x v="0"/>
    <x v="0"/>
    <x v="0"/>
    <x v="0"/>
    <x v="1"/>
    <x v="0"/>
    <x v="0"/>
    <x v="364"/>
    <x v="16"/>
    <x v="16"/>
    <x v="3"/>
    <x v="3"/>
    <x v="1"/>
    <x v="9"/>
    <x v="10"/>
    <x v="0"/>
    <x v="0"/>
    <x v="9"/>
    <x v="10"/>
    <x v="0"/>
    <x v="0"/>
    <x v="0"/>
    <x v="0"/>
    <x v="0"/>
    <x v="0"/>
  </r>
  <r>
    <x v="591"/>
    <x v="0"/>
    <x v="1"/>
    <x v="1"/>
    <x v="0"/>
    <x v="0"/>
    <x v="0"/>
    <x v="0"/>
    <x v="1"/>
    <x v="0"/>
    <x v="0"/>
    <x v="365"/>
    <x v="16"/>
    <x v="16"/>
    <x v="1"/>
    <x v="1"/>
    <x v="1"/>
    <x v="20"/>
    <x v="25"/>
    <x v="0"/>
    <x v="0"/>
    <x v="20"/>
    <x v="25"/>
    <x v="0"/>
    <x v="0"/>
    <x v="0"/>
    <x v="0"/>
    <x v="0"/>
    <x v="0"/>
  </r>
  <r>
    <x v="592"/>
    <x v="0"/>
    <x v="20"/>
    <x v="20"/>
    <x v="0"/>
    <x v="9"/>
    <x v="7"/>
    <x v="0"/>
    <x v="0"/>
    <x v="0"/>
    <x v="0"/>
    <x v="366"/>
    <x v="16"/>
    <x v="16"/>
    <x v="18"/>
    <x v="18"/>
    <x v="0"/>
    <x v="16"/>
    <x v="17"/>
    <x v="0"/>
    <x v="0"/>
    <x v="16"/>
    <x v="17"/>
    <x v="0"/>
    <x v="0"/>
    <x v="0"/>
    <x v="0"/>
    <x v="0"/>
    <x v="0"/>
  </r>
  <r>
    <x v="593"/>
    <x v="0"/>
    <x v="35"/>
    <x v="35"/>
    <x v="0"/>
    <x v="9"/>
    <x v="7"/>
    <x v="0"/>
    <x v="0"/>
    <x v="0"/>
    <x v="0"/>
    <x v="367"/>
    <x v="16"/>
    <x v="16"/>
    <x v="30"/>
    <x v="30"/>
    <x v="0"/>
    <x v="0"/>
    <x v="0"/>
    <x v="0"/>
    <x v="0"/>
    <x v="0"/>
    <x v="0"/>
    <x v="0"/>
    <x v="0"/>
    <x v="0"/>
    <x v="0"/>
    <x v="0"/>
    <x v="0"/>
  </r>
  <r>
    <x v="594"/>
    <x v="0"/>
    <x v="20"/>
    <x v="20"/>
    <x v="0"/>
    <x v="9"/>
    <x v="7"/>
    <x v="0"/>
    <x v="0"/>
    <x v="0"/>
    <x v="0"/>
    <x v="368"/>
    <x v="16"/>
    <x v="16"/>
    <x v="18"/>
    <x v="18"/>
    <x v="0"/>
    <x v="23"/>
    <x v="30"/>
    <x v="0"/>
    <x v="0"/>
    <x v="23"/>
    <x v="30"/>
    <x v="0"/>
    <x v="0"/>
    <x v="0"/>
    <x v="0"/>
    <x v="0"/>
    <x v="0"/>
  </r>
  <r>
    <x v="595"/>
    <x v="0"/>
    <x v="19"/>
    <x v="19"/>
    <x v="0"/>
    <x v="9"/>
    <x v="7"/>
    <x v="0"/>
    <x v="0"/>
    <x v="0"/>
    <x v="0"/>
    <x v="369"/>
    <x v="16"/>
    <x v="16"/>
    <x v="0"/>
    <x v="0"/>
    <x v="0"/>
    <x v="19"/>
    <x v="20"/>
    <x v="0"/>
    <x v="0"/>
    <x v="19"/>
    <x v="20"/>
    <x v="0"/>
    <x v="0"/>
    <x v="0"/>
    <x v="0"/>
    <x v="0"/>
    <x v="0"/>
  </r>
  <r>
    <x v="596"/>
    <x v="0"/>
    <x v="19"/>
    <x v="19"/>
    <x v="0"/>
    <x v="9"/>
    <x v="7"/>
    <x v="0"/>
    <x v="1"/>
    <x v="0"/>
    <x v="0"/>
    <x v="369"/>
    <x v="16"/>
    <x v="16"/>
    <x v="6"/>
    <x v="6"/>
    <x v="1"/>
    <x v="3"/>
    <x v="3"/>
    <x v="0"/>
    <x v="0"/>
    <x v="3"/>
    <x v="3"/>
    <x v="0"/>
    <x v="0"/>
    <x v="0"/>
    <x v="0"/>
    <x v="0"/>
    <x v="0"/>
  </r>
  <r>
    <x v="597"/>
    <x v="0"/>
    <x v="26"/>
    <x v="26"/>
    <x v="0"/>
    <x v="8"/>
    <x v="6"/>
    <x v="0"/>
    <x v="1"/>
    <x v="0"/>
    <x v="0"/>
    <x v="370"/>
    <x v="16"/>
    <x v="16"/>
    <x v="1"/>
    <x v="1"/>
    <x v="1"/>
    <x v="1"/>
    <x v="27"/>
    <x v="0"/>
    <x v="0"/>
    <x v="1"/>
    <x v="27"/>
    <x v="0"/>
    <x v="0"/>
    <x v="0"/>
    <x v="0"/>
    <x v="0"/>
    <x v="0"/>
  </r>
  <r>
    <x v="598"/>
    <x v="0"/>
    <x v="26"/>
    <x v="26"/>
    <x v="0"/>
    <x v="8"/>
    <x v="6"/>
    <x v="0"/>
    <x v="1"/>
    <x v="0"/>
    <x v="0"/>
    <x v="370"/>
    <x v="16"/>
    <x v="16"/>
    <x v="20"/>
    <x v="20"/>
    <x v="1"/>
    <x v="9"/>
    <x v="10"/>
    <x v="0"/>
    <x v="0"/>
    <x v="9"/>
    <x v="10"/>
    <x v="0"/>
    <x v="0"/>
    <x v="0"/>
    <x v="0"/>
    <x v="0"/>
    <x v="0"/>
  </r>
  <r>
    <x v="599"/>
    <x v="0"/>
    <x v="43"/>
    <x v="43"/>
    <x v="0"/>
    <x v="8"/>
    <x v="6"/>
    <x v="0"/>
    <x v="1"/>
    <x v="0"/>
    <x v="0"/>
    <x v="371"/>
    <x v="16"/>
    <x v="16"/>
    <x v="33"/>
    <x v="33"/>
    <x v="1"/>
    <x v="5"/>
    <x v="26"/>
    <x v="0"/>
    <x v="0"/>
    <x v="5"/>
    <x v="26"/>
    <x v="0"/>
    <x v="0"/>
    <x v="0"/>
    <x v="0"/>
    <x v="0"/>
    <x v="0"/>
  </r>
  <r>
    <x v="600"/>
    <x v="0"/>
    <x v="44"/>
    <x v="44"/>
    <x v="0"/>
    <x v="8"/>
    <x v="6"/>
    <x v="0"/>
    <x v="1"/>
    <x v="0"/>
    <x v="0"/>
    <x v="372"/>
    <x v="16"/>
    <x v="16"/>
    <x v="33"/>
    <x v="33"/>
    <x v="1"/>
    <x v="6"/>
    <x v="8"/>
    <x v="0"/>
    <x v="0"/>
    <x v="6"/>
    <x v="8"/>
    <x v="0"/>
    <x v="0"/>
    <x v="0"/>
    <x v="0"/>
    <x v="0"/>
    <x v="0"/>
  </r>
  <r>
    <x v="601"/>
    <x v="0"/>
    <x v="22"/>
    <x v="22"/>
    <x v="0"/>
    <x v="11"/>
    <x v="8"/>
    <x v="1"/>
    <x v="1"/>
    <x v="0"/>
    <x v="3"/>
    <x v="373"/>
    <x v="16"/>
    <x v="16"/>
    <x v="1"/>
    <x v="1"/>
    <x v="1"/>
    <x v="0"/>
    <x v="21"/>
    <x v="0"/>
    <x v="0"/>
    <x v="0"/>
    <x v="21"/>
    <x v="0"/>
    <x v="0"/>
    <x v="0"/>
    <x v="0"/>
    <x v="0"/>
    <x v="0"/>
  </r>
  <r>
    <x v="602"/>
    <x v="0"/>
    <x v="38"/>
    <x v="38"/>
    <x v="0"/>
    <x v="11"/>
    <x v="8"/>
    <x v="1"/>
    <x v="1"/>
    <x v="0"/>
    <x v="3"/>
    <x v="374"/>
    <x v="16"/>
    <x v="16"/>
    <x v="3"/>
    <x v="3"/>
    <x v="1"/>
    <x v="13"/>
    <x v="31"/>
    <x v="0"/>
    <x v="0"/>
    <x v="13"/>
    <x v="31"/>
    <x v="0"/>
    <x v="0"/>
    <x v="0"/>
    <x v="0"/>
    <x v="0"/>
    <x v="0"/>
  </r>
  <r>
    <x v="603"/>
    <x v="0"/>
    <x v="38"/>
    <x v="38"/>
    <x v="0"/>
    <x v="11"/>
    <x v="8"/>
    <x v="1"/>
    <x v="1"/>
    <x v="0"/>
    <x v="3"/>
    <x v="375"/>
    <x v="16"/>
    <x v="16"/>
    <x v="14"/>
    <x v="14"/>
    <x v="1"/>
    <x v="13"/>
    <x v="31"/>
    <x v="0"/>
    <x v="0"/>
    <x v="13"/>
    <x v="31"/>
    <x v="0"/>
    <x v="0"/>
    <x v="0"/>
    <x v="0"/>
    <x v="0"/>
    <x v="0"/>
  </r>
  <r>
    <x v="604"/>
    <x v="0"/>
    <x v="31"/>
    <x v="31"/>
    <x v="0"/>
    <x v="0"/>
    <x v="0"/>
    <x v="0"/>
    <x v="1"/>
    <x v="0"/>
    <x v="0"/>
    <x v="376"/>
    <x v="16"/>
    <x v="16"/>
    <x v="5"/>
    <x v="5"/>
    <x v="1"/>
    <x v="5"/>
    <x v="26"/>
    <x v="0"/>
    <x v="0"/>
    <x v="5"/>
    <x v="26"/>
    <x v="0"/>
    <x v="0"/>
    <x v="0"/>
    <x v="0"/>
    <x v="0"/>
    <x v="0"/>
  </r>
  <r>
    <x v="605"/>
    <x v="0"/>
    <x v="24"/>
    <x v="24"/>
    <x v="0"/>
    <x v="0"/>
    <x v="0"/>
    <x v="0"/>
    <x v="1"/>
    <x v="0"/>
    <x v="0"/>
    <x v="377"/>
    <x v="16"/>
    <x v="16"/>
    <x v="1"/>
    <x v="1"/>
    <x v="1"/>
    <x v="6"/>
    <x v="8"/>
    <x v="0"/>
    <x v="0"/>
    <x v="6"/>
    <x v="8"/>
    <x v="0"/>
    <x v="0"/>
    <x v="0"/>
    <x v="0"/>
    <x v="0"/>
    <x v="0"/>
  </r>
  <r>
    <x v="606"/>
    <x v="0"/>
    <x v="2"/>
    <x v="2"/>
    <x v="0"/>
    <x v="0"/>
    <x v="0"/>
    <x v="0"/>
    <x v="0"/>
    <x v="0"/>
    <x v="0"/>
    <x v="378"/>
    <x v="17"/>
    <x v="17"/>
    <x v="0"/>
    <x v="0"/>
    <x v="0"/>
    <x v="16"/>
    <x v="17"/>
    <x v="0"/>
    <x v="0"/>
    <x v="16"/>
    <x v="17"/>
    <x v="0"/>
    <x v="0"/>
    <x v="0"/>
    <x v="0"/>
    <x v="0"/>
    <x v="0"/>
  </r>
  <r>
    <x v="607"/>
    <x v="0"/>
    <x v="32"/>
    <x v="32"/>
    <x v="0"/>
    <x v="0"/>
    <x v="0"/>
    <x v="0"/>
    <x v="1"/>
    <x v="0"/>
    <x v="0"/>
    <x v="379"/>
    <x v="17"/>
    <x v="17"/>
    <x v="35"/>
    <x v="35"/>
    <x v="1"/>
    <x v="17"/>
    <x v="36"/>
    <x v="0"/>
    <x v="0"/>
    <x v="17"/>
    <x v="36"/>
    <x v="0"/>
    <x v="0"/>
    <x v="0"/>
    <x v="0"/>
    <x v="0"/>
    <x v="0"/>
  </r>
  <r>
    <x v="608"/>
    <x v="0"/>
    <x v="32"/>
    <x v="32"/>
    <x v="0"/>
    <x v="0"/>
    <x v="0"/>
    <x v="0"/>
    <x v="1"/>
    <x v="0"/>
    <x v="0"/>
    <x v="379"/>
    <x v="17"/>
    <x v="17"/>
    <x v="1"/>
    <x v="1"/>
    <x v="1"/>
    <x v="30"/>
    <x v="50"/>
    <x v="0"/>
    <x v="0"/>
    <x v="30"/>
    <x v="50"/>
    <x v="0"/>
    <x v="0"/>
    <x v="0"/>
    <x v="0"/>
    <x v="0"/>
    <x v="0"/>
  </r>
  <r>
    <x v="609"/>
    <x v="0"/>
    <x v="3"/>
    <x v="3"/>
    <x v="0"/>
    <x v="1"/>
    <x v="0"/>
    <x v="0"/>
    <x v="1"/>
    <x v="0"/>
    <x v="0"/>
    <x v="380"/>
    <x v="17"/>
    <x v="17"/>
    <x v="1"/>
    <x v="1"/>
    <x v="1"/>
    <x v="8"/>
    <x v="9"/>
    <x v="0"/>
    <x v="0"/>
    <x v="8"/>
    <x v="9"/>
    <x v="0"/>
    <x v="0"/>
    <x v="0"/>
    <x v="0"/>
    <x v="0"/>
    <x v="0"/>
  </r>
  <r>
    <x v="610"/>
    <x v="0"/>
    <x v="3"/>
    <x v="3"/>
    <x v="0"/>
    <x v="1"/>
    <x v="0"/>
    <x v="0"/>
    <x v="1"/>
    <x v="0"/>
    <x v="0"/>
    <x v="380"/>
    <x v="17"/>
    <x v="17"/>
    <x v="16"/>
    <x v="16"/>
    <x v="2"/>
    <x v="9"/>
    <x v="23"/>
    <x v="0"/>
    <x v="0"/>
    <x v="9"/>
    <x v="23"/>
    <x v="0"/>
    <x v="0"/>
    <x v="0"/>
    <x v="0"/>
    <x v="0"/>
    <x v="0"/>
  </r>
  <r>
    <x v="611"/>
    <x v="0"/>
    <x v="3"/>
    <x v="3"/>
    <x v="0"/>
    <x v="1"/>
    <x v="0"/>
    <x v="0"/>
    <x v="1"/>
    <x v="0"/>
    <x v="0"/>
    <x v="380"/>
    <x v="17"/>
    <x v="17"/>
    <x v="5"/>
    <x v="5"/>
    <x v="1"/>
    <x v="4"/>
    <x v="4"/>
    <x v="0"/>
    <x v="0"/>
    <x v="4"/>
    <x v="4"/>
    <x v="0"/>
    <x v="0"/>
    <x v="0"/>
    <x v="0"/>
    <x v="0"/>
    <x v="0"/>
  </r>
  <r>
    <x v="612"/>
    <x v="0"/>
    <x v="59"/>
    <x v="59"/>
    <x v="0"/>
    <x v="7"/>
    <x v="5"/>
    <x v="0"/>
    <x v="1"/>
    <x v="0"/>
    <x v="0"/>
    <x v="381"/>
    <x v="17"/>
    <x v="17"/>
    <x v="1"/>
    <x v="1"/>
    <x v="1"/>
    <x v="21"/>
    <x v="28"/>
    <x v="0"/>
    <x v="0"/>
    <x v="21"/>
    <x v="28"/>
    <x v="0"/>
    <x v="0"/>
    <x v="0"/>
    <x v="0"/>
    <x v="0"/>
    <x v="0"/>
  </r>
  <r>
    <x v="613"/>
    <x v="0"/>
    <x v="59"/>
    <x v="59"/>
    <x v="0"/>
    <x v="7"/>
    <x v="5"/>
    <x v="0"/>
    <x v="0"/>
    <x v="0"/>
    <x v="0"/>
    <x v="381"/>
    <x v="17"/>
    <x v="17"/>
    <x v="17"/>
    <x v="17"/>
    <x v="0"/>
    <x v="13"/>
    <x v="40"/>
    <x v="0"/>
    <x v="0"/>
    <x v="13"/>
    <x v="40"/>
    <x v="0"/>
    <x v="0"/>
    <x v="0"/>
    <x v="0"/>
    <x v="0"/>
    <x v="0"/>
  </r>
  <r>
    <x v="614"/>
    <x v="0"/>
    <x v="59"/>
    <x v="59"/>
    <x v="0"/>
    <x v="7"/>
    <x v="5"/>
    <x v="0"/>
    <x v="1"/>
    <x v="0"/>
    <x v="0"/>
    <x v="381"/>
    <x v="17"/>
    <x v="17"/>
    <x v="40"/>
    <x v="40"/>
    <x v="1"/>
    <x v="21"/>
    <x v="28"/>
    <x v="0"/>
    <x v="0"/>
    <x v="21"/>
    <x v="28"/>
    <x v="0"/>
    <x v="0"/>
    <x v="0"/>
    <x v="0"/>
    <x v="0"/>
    <x v="0"/>
  </r>
  <r>
    <x v="615"/>
    <x v="0"/>
    <x v="59"/>
    <x v="59"/>
    <x v="0"/>
    <x v="7"/>
    <x v="5"/>
    <x v="0"/>
    <x v="0"/>
    <x v="0"/>
    <x v="0"/>
    <x v="381"/>
    <x v="17"/>
    <x v="17"/>
    <x v="0"/>
    <x v="0"/>
    <x v="0"/>
    <x v="35"/>
    <x v="57"/>
    <x v="0"/>
    <x v="0"/>
    <x v="35"/>
    <x v="57"/>
    <x v="0"/>
    <x v="0"/>
    <x v="0"/>
    <x v="0"/>
    <x v="0"/>
    <x v="0"/>
  </r>
  <r>
    <x v="616"/>
    <x v="0"/>
    <x v="21"/>
    <x v="21"/>
    <x v="0"/>
    <x v="10"/>
    <x v="5"/>
    <x v="0"/>
    <x v="0"/>
    <x v="0"/>
    <x v="0"/>
    <x v="382"/>
    <x v="17"/>
    <x v="17"/>
    <x v="0"/>
    <x v="0"/>
    <x v="0"/>
    <x v="45"/>
    <x v="76"/>
    <x v="0"/>
    <x v="0"/>
    <x v="45"/>
    <x v="76"/>
    <x v="0"/>
    <x v="0"/>
    <x v="0"/>
    <x v="0"/>
    <x v="0"/>
    <x v="0"/>
  </r>
  <r>
    <x v="617"/>
    <x v="0"/>
    <x v="51"/>
    <x v="51"/>
    <x v="0"/>
    <x v="10"/>
    <x v="5"/>
    <x v="0"/>
    <x v="1"/>
    <x v="0"/>
    <x v="0"/>
    <x v="383"/>
    <x v="17"/>
    <x v="17"/>
    <x v="6"/>
    <x v="6"/>
    <x v="1"/>
    <x v="5"/>
    <x v="26"/>
    <x v="0"/>
    <x v="0"/>
    <x v="5"/>
    <x v="26"/>
    <x v="0"/>
    <x v="0"/>
    <x v="0"/>
    <x v="0"/>
    <x v="0"/>
    <x v="0"/>
  </r>
  <r>
    <x v="618"/>
    <x v="0"/>
    <x v="51"/>
    <x v="51"/>
    <x v="0"/>
    <x v="10"/>
    <x v="5"/>
    <x v="0"/>
    <x v="0"/>
    <x v="0"/>
    <x v="0"/>
    <x v="383"/>
    <x v="17"/>
    <x v="17"/>
    <x v="0"/>
    <x v="0"/>
    <x v="0"/>
    <x v="26"/>
    <x v="37"/>
    <x v="0"/>
    <x v="0"/>
    <x v="26"/>
    <x v="37"/>
    <x v="0"/>
    <x v="0"/>
    <x v="0"/>
    <x v="0"/>
    <x v="0"/>
    <x v="0"/>
  </r>
  <r>
    <x v="619"/>
    <x v="0"/>
    <x v="19"/>
    <x v="19"/>
    <x v="0"/>
    <x v="9"/>
    <x v="7"/>
    <x v="0"/>
    <x v="1"/>
    <x v="0"/>
    <x v="0"/>
    <x v="384"/>
    <x v="17"/>
    <x v="17"/>
    <x v="2"/>
    <x v="2"/>
    <x v="1"/>
    <x v="3"/>
    <x v="3"/>
    <x v="0"/>
    <x v="0"/>
    <x v="3"/>
    <x v="3"/>
    <x v="0"/>
    <x v="0"/>
    <x v="0"/>
    <x v="0"/>
    <x v="0"/>
    <x v="0"/>
  </r>
  <r>
    <x v="620"/>
    <x v="0"/>
    <x v="18"/>
    <x v="18"/>
    <x v="0"/>
    <x v="8"/>
    <x v="6"/>
    <x v="0"/>
    <x v="1"/>
    <x v="0"/>
    <x v="0"/>
    <x v="385"/>
    <x v="17"/>
    <x v="17"/>
    <x v="16"/>
    <x v="16"/>
    <x v="2"/>
    <x v="46"/>
    <x v="77"/>
    <x v="0"/>
    <x v="0"/>
    <x v="46"/>
    <x v="77"/>
    <x v="0"/>
    <x v="0"/>
    <x v="0"/>
    <x v="0"/>
    <x v="0"/>
    <x v="0"/>
  </r>
  <r>
    <x v="621"/>
    <x v="0"/>
    <x v="43"/>
    <x v="43"/>
    <x v="0"/>
    <x v="8"/>
    <x v="6"/>
    <x v="0"/>
    <x v="1"/>
    <x v="0"/>
    <x v="0"/>
    <x v="386"/>
    <x v="17"/>
    <x v="17"/>
    <x v="33"/>
    <x v="33"/>
    <x v="1"/>
    <x v="1"/>
    <x v="27"/>
    <x v="0"/>
    <x v="0"/>
    <x v="1"/>
    <x v="27"/>
    <x v="0"/>
    <x v="0"/>
    <x v="0"/>
    <x v="0"/>
    <x v="0"/>
    <x v="0"/>
  </r>
  <r>
    <x v="622"/>
    <x v="0"/>
    <x v="13"/>
    <x v="13"/>
    <x v="0"/>
    <x v="5"/>
    <x v="3"/>
    <x v="1"/>
    <x v="1"/>
    <x v="0"/>
    <x v="1"/>
    <x v="387"/>
    <x v="17"/>
    <x v="17"/>
    <x v="16"/>
    <x v="16"/>
    <x v="2"/>
    <x v="9"/>
    <x v="23"/>
    <x v="0"/>
    <x v="0"/>
    <x v="9"/>
    <x v="23"/>
    <x v="0"/>
    <x v="0"/>
    <x v="0"/>
    <x v="0"/>
    <x v="0"/>
    <x v="0"/>
  </r>
  <r>
    <x v="623"/>
    <x v="0"/>
    <x v="69"/>
    <x v="69"/>
    <x v="0"/>
    <x v="1"/>
    <x v="0"/>
    <x v="0"/>
    <x v="1"/>
    <x v="0"/>
    <x v="0"/>
    <x v="388"/>
    <x v="17"/>
    <x v="17"/>
    <x v="29"/>
    <x v="29"/>
    <x v="1"/>
    <x v="4"/>
    <x v="4"/>
    <x v="0"/>
    <x v="0"/>
    <x v="4"/>
    <x v="4"/>
    <x v="0"/>
    <x v="0"/>
    <x v="0"/>
    <x v="0"/>
    <x v="0"/>
    <x v="0"/>
  </r>
  <r>
    <x v="624"/>
    <x v="0"/>
    <x v="69"/>
    <x v="69"/>
    <x v="0"/>
    <x v="1"/>
    <x v="0"/>
    <x v="0"/>
    <x v="1"/>
    <x v="0"/>
    <x v="0"/>
    <x v="389"/>
    <x v="17"/>
    <x v="17"/>
    <x v="29"/>
    <x v="29"/>
    <x v="1"/>
    <x v="4"/>
    <x v="4"/>
    <x v="0"/>
    <x v="0"/>
    <x v="4"/>
    <x v="4"/>
    <x v="0"/>
    <x v="0"/>
    <x v="0"/>
    <x v="0"/>
    <x v="0"/>
    <x v="0"/>
  </r>
  <r>
    <x v="625"/>
    <x v="0"/>
    <x v="54"/>
    <x v="54"/>
    <x v="0"/>
    <x v="0"/>
    <x v="0"/>
    <x v="0"/>
    <x v="1"/>
    <x v="0"/>
    <x v="0"/>
    <x v="390"/>
    <x v="18"/>
    <x v="18"/>
    <x v="3"/>
    <x v="3"/>
    <x v="1"/>
    <x v="4"/>
    <x v="4"/>
    <x v="0"/>
    <x v="0"/>
    <x v="4"/>
    <x v="4"/>
    <x v="0"/>
    <x v="0"/>
    <x v="0"/>
    <x v="0"/>
    <x v="0"/>
    <x v="0"/>
  </r>
  <r>
    <x v="626"/>
    <x v="0"/>
    <x v="54"/>
    <x v="54"/>
    <x v="0"/>
    <x v="0"/>
    <x v="0"/>
    <x v="0"/>
    <x v="1"/>
    <x v="0"/>
    <x v="0"/>
    <x v="390"/>
    <x v="18"/>
    <x v="18"/>
    <x v="10"/>
    <x v="10"/>
    <x v="1"/>
    <x v="4"/>
    <x v="4"/>
    <x v="0"/>
    <x v="0"/>
    <x v="4"/>
    <x v="4"/>
    <x v="0"/>
    <x v="0"/>
    <x v="0"/>
    <x v="0"/>
    <x v="0"/>
    <x v="0"/>
  </r>
  <r>
    <x v="627"/>
    <x v="0"/>
    <x v="0"/>
    <x v="0"/>
    <x v="0"/>
    <x v="0"/>
    <x v="0"/>
    <x v="0"/>
    <x v="0"/>
    <x v="0"/>
    <x v="0"/>
    <x v="391"/>
    <x v="18"/>
    <x v="18"/>
    <x v="0"/>
    <x v="0"/>
    <x v="0"/>
    <x v="15"/>
    <x v="16"/>
    <x v="0"/>
    <x v="0"/>
    <x v="15"/>
    <x v="16"/>
    <x v="0"/>
    <x v="0"/>
    <x v="0"/>
    <x v="0"/>
    <x v="0"/>
    <x v="0"/>
  </r>
  <r>
    <x v="628"/>
    <x v="0"/>
    <x v="23"/>
    <x v="23"/>
    <x v="0"/>
    <x v="0"/>
    <x v="0"/>
    <x v="0"/>
    <x v="0"/>
    <x v="0"/>
    <x v="0"/>
    <x v="392"/>
    <x v="18"/>
    <x v="18"/>
    <x v="19"/>
    <x v="19"/>
    <x v="0"/>
    <x v="17"/>
    <x v="18"/>
    <x v="0"/>
    <x v="0"/>
    <x v="17"/>
    <x v="18"/>
    <x v="0"/>
    <x v="0"/>
    <x v="0"/>
    <x v="0"/>
    <x v="0"/>
    <x v="0"/>
  </r>
  <r>
    <x v="629"/>
    <x v="0"/>
    <x v="23"/>
    <x v="23"/>
    <x v="0"/>
    <x v="0"/>
    <x v="0"/>
    <x v="0"/>
    <x v="0"/>
    <x v="0"/>
    <x v="0"/>
    <x v="392"/>
    <x v="18"/>
    <x v="18"/>
    <x v="0"/>
    <x v="0"/>
    <x v="0"/>
    <x v="5"/>
    <x v="5"/>
    <x v="0"/>
    <x v="0"/>
    <x v="5"/>
    <x v="5"/>
    <x v="0"/>
    <x v="0"/>
    <x v="0"/>
    <x v="0"/>
    <x v="0"/>
    <x v="0"/>
  </r>
  <r>
    <x v="630"/>
    <x v="0"/>
    <x v="24"/>
    <x v="24"/>
    <x v="0"/>
    <x v="0"/>
    <x v="0"/>
    <x v="0"/>
    <x v="1"/>
    <x v="0"/>
    <x v="0"/>
    <x v="393"/>
    <x v="18"/>
    <x v="18"/>
    <x v="1"/>
    <x v="1"/>
    <x v="1"/>
    <x v="0"/>
    <x v="21"/>
    <x v="0"/>
    <x v="0"/>
    <x v="0"/>
    <x v="21"/>
    <x v="0"/>
    <x v="0"/>
    <x v="0"/>
    <x v="0"/>
    <x v="0"/>
    <x v="0"/>
  </r>
  <r>
    <x v="631"/>
    <x v="0"/>
    <x v="2"/>
    <x v="2"/>
    <x v="0"/>
    <x v="0"/>
    <x v="0"/>
    <x v="0"/>
    <x v="1"/>
    <x v="0"/>
    <x v="0"/>
    <x v="394"/>
    <x v="18"/>
    <x v="18"/>
    <x v="35"/>
    <x v="35"/>
    <x v="1"/>
    <x v="9"/>
    <x v="10"/>
    <x v="0"/>
    <x v="0"/>
    <x v="9"/>
    <x v="10"/>
    <x v="0"/>
    <x v="0"/>
    <x v="0"/>
    <x v="0"/>
    <x v="0"/>
    <x v="0"/>
  </r>
  <r>
    <x v="632"/>
    <x v="0"/>
    <x v="2"/>
    <x v="2"/>
    <x v="0"/>
    <x v="0"/>
    <x v="0"/>
    <x v="0"/>
    <x v="1"/>
    <x v="0"/>
    <x v="0"/>
    <x v="394"/>
    <x v="18"/>
    <x v="18"/>
    <x v="5"/>
    <x v="5"/>
    <x v="1"/>
    <x v="20"/>
    <x v="25"/>
    <x v="0"/>
    <x v="0"/>
    <x v="20"/>
    <x v="25"/>
    <x v="0"/>
    <x v="0"/>
    <x v="0"/>
    <x v="0"/>
    <x v="0"/>
    <x v="0"/>
  </r>
  <r>
    <x v="633"/>
    <x v="0"/>
    <x v="44"/>
    <x v="44"/>
    <x v="0"/>
    <x v="8"/>
    <x v="6"/>
    <x v="0"/>
    <x v="1"/>
    <x v="0"/>
    <x v="0"/>
    <x v="395"/>
    <x v="18"/>
    <x v="18"/>
    <x v="20"/>
    <x v="20"/>
    <x v="1"/>
    <x v="4"/>
    <x v="4"/>
    <x v="0"/>
    <x v="0"/>
    <x v="4"/>
    <x v="4"/>
    <x v="0"/>
    <x v="0"/>
    <x v="0"/>
    <x v="0"/>
    <x v="0"/>
    <x v="0"/>
  </r>
  <r>
    <x v="634"/>
    <x v="0"/>
    <x v="44"/>
    <x v="44"/>
    <x v="0"/>
    <x v="8"/>
    <x v="6"/>
    <x v="0"/>
    <x v="1"/>
    <x v="0"/>
    <x v="0"/>
    <x v="395"/>
    <x v="18"/>
    <x v="18"/>
    <x v="33"/>
    <x v="33"/>
    <x v="1"/>
    <x v="4"/>
    <x v="4"/>
    <x v="0"/>
    <x v="0"/>
    <x v="4"/>
    <x v="4"/>
    <x v="0"/>
    <x v="0"/>
    <x v="0"/>
    <x v="0"/>
    <x v="0"/>
    <x v="0"/>
  </r>
  <r>
    <x v="635"/>
    <x v="0"/>
    <x v="19"/>
    <x v="19"/>
    <x v="0"/>
    <x v="9"/>
    <x v="7"/>
    <x v="0"/>
    <x v="0"/>
    <x v="0"/>
    <x v="0"/>
    <x v="396"/>
    <x v="18"/>
    <x v="18"/>
    <x v="19"/>
    <x v="19"/>
    <x v="0"/>
    <x v="1"/>
    <x v="1"/>
    <x v="0"/>
    <x v="0"/>
    <x v="1"/>
    <x v="1"/>
    <x v="0"/>
    <x v="0"/>
    <x v="0"/>
    <x v="0"/>
    <x v="0"/>
    <x v="0"/>
  </r>
  <r>
    <x v="636"/>
    <x v="0"/>
    <x v="19"/>
    <x v="19"/>
    <x v="0"/>
    <x v="9"/>
    <x v="7"/>
    <x v="0"/>
    <x v="0"/>
    <x v="0"/>
    <x v="0"/>
    <x v="396"/>
    <x v="18"/>
    <x v="18"/>
    <x v="0"/>
    <x v="0"/>
    <x v="0"/>
    <x v="29"/>
    <x v="49"/>
    <x v="0"/>
    <x v="0"/>
    <x v="29"/>
    <x v="49"/>
    <x v="0"/>
    <x v="0"/>
    <x v="0"/>
    <x v="0"/>
    <x v="0"/>
    <x v="0"/>
  </r>
  <r>
    <x v="637"/>
    <x v="0"/>
    <x v="35"/>
    <x v="35"/>
    <x v="0"/>
    <x v="9"/>
    <x v="7"/>
    <x v="0"/>
    <x v="0"/>
    <x v="0"/>
    <x v="0"/>
    <x v="397"/>
    <x v="18"/>
    <x v="18"/>
    <x v="8"/>
    <x v="8"/>
    <x v="0"/>
    <x v="17"/>
    <x v="18"/>
    <x v="0"/>
    <x v="0"/>
    <x v="17"/>
    <x v="18"/>
    <x v="0"/>
    <x v="0"/>
    <x v="0"/>
    <x v="0"/>
    <x v="0"/>
    <x v="0"/>
  </r>
  <r>
    <x v="638"/>
    <x v="0"/>
    <x v="20"/>
    <x v="20"/>
    <x v="0"/>
    <x v="9"/>
    <x v="7"/>
    <x v="0"/>
    <x v="0"/>
    <x v="0"/>
    <x v="0"/>
    <x v="398"/>
    <x v="18"/>
    <x v="18"/>
    <x v="0"/>
    <x v="0"/>
    <x v="0"/>
    <x v="47"/>
    <x v="64"/>
    <x v="0"/>
    <x v="0"/>
    <x v="47"/>
    <x v="64"/>
    <x v="0"/>
    <x v="0"/>
    <x v="0"/>
    <x v="0"/>
    <x v="0"/>
    <x v="0"/>
  </r>
  <r>
    <x v="639"/>
    <x v="0"/>
    <x v="11"/>
    <x v="11"/>
    <x v="0"/>
    <x v="3"/>
    <x v="1"/>
    <x v="1"/>
    <x v="1"/>
    <x v="0"/>
    <x v="1"/>
    <x v="399"/>
    <x v="18"/>
    <x v="18"/>
    <x v="34"/>
    <x v="34"/>
    <x v="1"/>
    <x v="19"/>
    <x v="24"/>
    <x v="0"/>
    <x v="0"/>
    <x v="19"/>
    <x v="24"/>
    <x v="0"/>
    <x v="0"/>
    <x v="0"/>
    <x v="0"/>
    <x v="0"/>
    <x v="0"/>
  </r>
  <r>
    <x v="640"/>
    <x v="0"/>
    <x v="45"/>
    <x v="45"/>
    <x v="0"/>
    <x v="4"/>
    <x v="2"/>
    <x v="1"/>
    <x v="1"/>
    <x v="0"/>
    <x v="1"/>
    <x v="400"/>
    <x v="18"/>
    <x v="18"/>
    <x v="24"/>
    <x v="24"/>
    <x v="1"/>
    <x v="4"/>
    <x v="4"/>
    <x v="0"/>
    <x v="0"/>
    <x v="4"/>
    <x v="4"/>
    <x v="0"/>
    <x v="0"/>
    <x v="0"/>
    <x v="0"/>
    <x v="0"/>
    <x v="0"/>
  </r>
  <r>
    <x v="641"/>
    <x v="0"/>
    <x v="45"/>
    <x v="45"/>
    <x v="0"/>
    <x v="4"/>
    <x v="2"/>
    <x v="1"/>
    <x v="1"/>
    <x v="0"/>
    <x v="1"/>
    <x v="400"/>
    <x v="18"/>
    <x v="18"/>
    <x v="10"/>
    <x v="10"/>
    <x v="1"/>
    <x v="9"/>
    <x v="10"/>
    <x v="0"/>
    <x v="0"/>
    <x v="9"/>
    <x v="10"/>
    <x v="0"/>
    <x v="0"/>
    <x v="0"/>
    <x v="0"/>
    <x v="0"/>
    <x v="0"/>
  </r>
  <r>
    <x v="642"/>
    <x v="0"/>
    <x v="9"/>
    <x v="9"/>
    <x v="0"/>
    <x v="3"/>
    <x v="1"/>
    <x v="1"/>
    <x v="1"/>
    <x v="0"/>
    <x v="1"/>
    <x v="401"/>
    <x v="18"/>
    <x v="18"/>
    <x v="1"/>
    <x v="1"/>
    <x v="1"/>
    <x v="9"/>
    <x v="10"/>
    <x v="0"/>
    <x v="0"/>
    <x v="9"/>
    <x v="10"/>
    <x v="0"/>
    <x v="0"/>
    <x v="0"/>
    <x v="0"/>
    <x v="0"/>
    <x v="0"/>
  </r>
  <r>
    <x v="643"/>
    <x v="0"/>
    <x v="70"/>
    <x v="70"/>
    <x v="0"/>
    <x v="3"/>
    <x v="1"/>
    <x v="1"/>
    <x v="1"/>
    <x v="0"/>
    <x v="1"/>
    <x v="402"/>
    <x v="18"/>
    <x v="18"/>
    <x v="1"/>
    <x v="1"/>
    <x v="1"/>
    <x v="4"/>
    <x v="4"/>
    <x v="0"/>
    <x v="0"/>
    <x v="4"/>
    <x v="4"/>
    <x v="0"/>
    <x v="0"/>
    <x v="0"/>
    <x v="0"/>
    <x v="0"/>
    <x v="0"/>
  </r>
  <r>
    <x v="644"/>
    <x v="0"/>
    <x v="70"/>
    <x v="70"/>
    <x v="0"/>
    <x v="3"/>
    <x v="1"/>
    <x v="1"/>
    <x v="1"/>
    <x v="0"/>
    <x v="1"/>
    <x v="402"/>
    <x v="18"/>
    <x v="18"/>
    <x v="13"/>
    <x v="13"/>
    <x v="1"/>
    <x v="9"/>
    <x v="10"/>
    <x v="0"/>
    <x v="0"/>
    <x v="9"/>
    <x v="10"/>
    <x v="0"/>
    <x v="0"/>
    <x v="0"/>
    <x v="0"/>
    <x v="0"/>
    <x v="0"/>
  </r>
  <r>
    <x v="645"/>
    <x v="0"/>
    <x v="71"/>
    <x v="71"/>
    <x v="0"/>
    <x v="3"/>
    <x v="1"/>
    <x v="1"/>
    <x v="1"/>
    <x v="0"/>
    <x v="1"/>
    <x v="403"/>
    <x v="18"/>
    <x v="18"/>
    <x v="1"/>
    <x v="1"/>
    <x v="1"/>
    <x v="4"/>
    <x v="4"/>
    <x v="0"/>
    <x v="0"/>
    <x v="4"/>
    <x v="4"/>
    <x v="0"/>
    <x v="0"/>
    <x v="0"/>
    <x v="0"/>
    <x v="0"/>
    <x v="0"/>
  </r>
  <r>
    <x v="646"/>
    <x v="0"/>
    <x v="71"/>
    <x v="71"/>
    <x v="0"/>
    <x v="3"/>
    <x v="1"/>
    <x v="1"/>
    <x v="1"/>
    <x v="0"/>
    <x v="1"/>
    <x v="403"/>
    <x v="18"/>
    <x v="18"/>
    <x v="9"/>
    <x v="9"/>
    <x v="1"/>
    <x v="4"/>
    <x v="4"/>
    <x v="0"/>
    <x v="0"/>
    <x v="4"/>
    <x v="4"/>
    <x v="0"/>
    <x v="0"/>
    <x v="0"/>
    <x v="0"/>
    <x v="0"/>
    <x v="0"/>
  </r>
  <r>
    <x v="647"/>
    <x v="0"/>
    <x v="72"/>
    <x v="72"/>
    <x v="0"/>
    <x v="12"/>
    <x v="4"/>
    <x v="1"/>
    <x v="1"/>
    <x v="0"/>
    <x v="3"/>
    <x v="404"/>
    <x v="18"/>
    <x v="18"/>
    <x v="3"/>
    <x v="3"/>
    <x v="1"/>
    <x v="4"/>
    <x v="4"/>
    <x v="0"/>
    <x v="0"/>
    <x v="4"/>
    <x v="4"/>
    <x v="0"/>
    <x v="0"/>
    <x v="0"/>
    <x v="0"/>
    <x v="0"/>
    <x v="0"/>
  </r>
  <r>
    <x v="648"/>
    <x v="0"/>
    <x v="72"/>
    <x v="72"/>
    <x v="0"/>
    <x v="12"/>
    <x v="4"/>
    <x v="1"/>
    <x v="0"/>
    <x v="0"/>
    <x v="3"/>
    <x v="404"/>
    <x v="18"/>
    <x v="18"/>
    <x v="31"/>
    <x v="31"/>
    <x v="0"/>
    <x v="6"/>
    <x v="6"/>
    <x v="0"/>
    <x v="0"/>
    <x v="6"/>
    <x v="6"/>
    <x v="0"/>
    <x v="0"/>
    <x v="0"/>
    <x v="0"/>
    <x v="0"/>
    <x v="0"/>
  </r>
  <r>
    <x v="649"/>
    <x v="0"/>
    <x v="72"/>
    <x v="72"/>
    <x v="0"/>
    <x v="12"/>
    <x v="4"/>
    <x v="1"/>
    <x v="0"/>
    <x v="0"/>
    <x v="3"/>
    <x v="404"/>
    <x v="18"/>
    <x v="18"/>
    <x v="32"/>
    <x v="32"/>
    <x v="0"/>
    <x v="17"/>
    <x v="18"/>
    <x v="0"/>
    <x v="0"/>
    <x v="17"/>
    <x v="18"/>
    <x v="0"/>
    <x v="0"/>
    <x v="0"/>
    <x v="0"/>
    <x v="0"/>
    <x v="0"/>
  </r>
  <r>
    <x v="650"/>
    <x v="0"/>
    <x v="22"/>
    <x v="22"/>
    <x v="0"/>
    <x v="11"/>
    <x v="8"/>
    <x v="1"/>
    <x v="0"/>
    <x v="0"/>
    <x v="3"/>
    <x v="405"/>
    <x v="18"/>
    <x v="18"/>
    <x v="0"/>
    <x v="0"/>
    <x v="0"/>
    <x v="19"/>
    <x v="20"/>
    <x v="0"/>
    <x v="0"/>
    <x v="19"/>
    <x v="20"/>
    <x v="0"/>
    <x v="0"/>
    <x v="0"/>
    <x v="0"/>
    <x v="0"/>
    <x v="0"/>
  </r>
  <r>
    <x v="651"/>
    <x v="0"/>
    <x v="41"/>
    <x v="41"/>
    <x v="0"/>
    <x v="1"/>
    <x v="0"/>
    <x v="0"/>
    <x v="1"/>
    <x v="0"/>
    <x v="0"/>
    <x v="406"/>
    <x v="18"/>
    <x v="18"/>
    <x v="20"/>
    <x v="20"/>
    <x v="1"/>
    <x v="9"/>
    <x v="10"/>
    <x v="0"/>
    <x v="0"/>
    <x v="9"/>
    <x v="10"/>
    <x v="0"/>
    <x v="0"/>
    <x v="0"/>
    <x v="0"/>
    <x v="0"/>
    <x v="0"/>
  </r>
  <r>
    <x v="652"/>
    <x v="0"/>
    <x v="41"/>
    <x v="41"/>
    <x v="0"/>
    <x v="1"/>
    <x v="0"/>
    <x v="0"/>
    <x v="1"/>
    <x v="0"/>
    <x v="0"/>
    <x v="406"/>
    <x v="18"/>
    <x v="18"/>
    <x v="1"/>
    <x v="1"/>
    <x v="1"/>
    <x v="8"/>
    <x v="9"/>
    <x v="0"/>
    <x v="0"/>
    <x v="8"/>
    <x v="9"/>
    <x v="0"/>
    <x v="0"/>
    <x v="0"/>
    <x v="0"/>
    <x v="0"/>
    <x v="0"/>
  </r>
  <r>
    <x v="653"/>
    <x v="0"/>
    <x v="0"/>
    <x v="0"/>
    <x v="0"/>
    <x v="0"/>
    <x v="0"/>
    <x v="0"/>
    <x v="1"/>
    <x v="0"/>
    <x v="0"/>
    <x v="407"/>
    <x v="19"/>
    <x v="19"/>
    <x v="5"/>
    <x v="5"/>
    <x v="1"/>
    <x v="6"/>
    <x v="8"/>
    <x v="0"/>
    <x v="0"/>
    <x v="6"/>
    <x v="8"/>
    <x v="0"/>
    <x v="0"/>
    <x v="0"/>
    <x v="0"/>
    <x v="0"/>
    <x v="0"/>
  </r>
  <r>
    <x v="654"/>
    <x v="0"/>
    <x v="0"/>
    <x v="0"/>
    <x v="0"/>
    <x v="0"/>
    <x v="0"/>
    <x v="0"/>
    <x v="0"/>
    <x v="0"/>
    <x v="0"/>
    <x v="407"/>
    <x v="19"/>
    <x v="19"/>
    <x v="0"/>
    <x v="0"/>
    <x v="0"/>
    <x v="17"/>
    <x v="18"/>
    <x v="0"/>
    <x v="0"/>
    <x v="17"/>
    <x v="18"/>
    <x v="0"/>
    <x v="0"/>
    <x v="0"/>
    <x v="0"/>
    <x v="0"/>
    <x v="0"/>
  </r>
  <r>
    <x v="655"/>
    <x v="0"/>
    <x v="2"/>
    <x v="2"/>
    <x v="0"/>
    <x v="0"/>
    <x v="0"/>
    <x v="0"/>
    <x v="1"/>
    <x v="0"/>
    <x v="0"/>
    <x v="408"/>
    <x v="19"/>
    <x v="19"/>
    <x v="1"/>
    <x v="1"/>
    <x v="1"/>
    <x v="6"/>
    <x v="8"/>
    <x v="0"/>
    <x v="0"/>
    <x v="6"/>
    <x v="8"/>
    <x v="0"/>
    <x v="0"/>
    <x v="0"/>
    <x v="0"/>
    <x v="0"/>
    <x v="0"/>
  </r>
  <r>
    <x v="656"/>
    <x v="0"/>
    <x v="2"/>
    <x v="2"/>
    <x v="0"/>
    <x v="0"/>
    <x v="0"/>
    <x v="0"/>
    <x v="0"/>
    <x v="0"/>
    <x v="0"/>
    <x v="408"/>
    <x v="19"/>
    <x v="19"/>
    <x v="0"/>
    <x v="0"/>
    <x v="0"/>
    <x v="17"/>
    <x v="18"/>
    <x v="0"/>
    <x v="0"/>
    <x v="17"/>
    <x v="18"/>
    <x v="0"/>
    <x v="0"/>
    <x v="0"/>
    <x v="0"/>
    <x v="0"/>
    <x v="0"/>
  </r>
  <r>
    <x v="657"/>
    <x v="0"/>
    <x v="23"/>
    <x v="23"/>
    <x v="0"/>
    <x v="0"/>
    <x v="0"/>
    <x v="0"/>
    <x v="1"/>
    <x v="0"/>
    <x v="0"/>
    <x v="409"/>
    <x v="19"/>
    <x v="19"/>
    <x v="36"/>
    <x v="36"/>
    <x v="1"/>
    <x v="9"/>
    <x v="10"/>
    <x v="0"/>
    <x v="0"/>
    <x v="9"/>
    <x v="10"/>
    <x v="0"/>
    <x v="0"/>
    <x v="0"/>
    <x v="0"/>
    <x v="0"/>
    <x v="0"/>
  </r>
  <r>
    <x v="658"/>
    <x v="0"/>
    <x v="23"/>
    <x v="23"/>
    <x v="0"/>
    <x v="0"/>
    <x v="0"/>
    <x v="0"/>
    <x v="1"/>
    <x v="0"/>
    <x v="0"/>
    <x v="409"/>
    <x v="19"/>
    <x v="19"/>
    <x v="20"/>
    <x v="20"/>
    <x v="1"/>
    <x v="9"/>
    <x v="10"/>
    <x v="0"/>
    <x v="0"/>
    <x v="9"/>
    <x v="10"/>
    <x v="0"/>
    <x v="0"/>
    <x v="0"/>
    <x v="0"/>
    <x v="0"/>
    <x v="0"/>
  </r>
  <r>
    <x v="659"/>
    <x v="0"/>
    <x v="42"/>
    <x v="42"/>
    <x v="0"/>
    <x v="14"/>
    <x v="9"/>
    <x v="0"/>
    <x v="0"/>
    <x v="0"/>
    <x v="0"/>
    <x v="410"/>
    <x v="19"/>
    <x v="19"/>
    <x v="0"/>
    <x v="0"/>
    <x v="0"/>
    <x v="48"/>
    <x v="78"/>
    <x v="0"/>
    <x v="0"/>
    <x v="48"/>
    <x v="78"/>
    <x v="0"/>
    <x v="0"/>
    <x v="0"/>
    <x v="0"/>
    <x v="0"/>
    <x v="0"/>
  </r>
  <r>
    <x v="660"/>
    <x v="0"/>
    <x v="43"/>
    <x v="43"/>
    <x v="0"/>
    <x v="8"/>
    <x v="6"/>
    <x v="0"/>
    <x v="1"/>
    <x v="0"/>
    <x v="0"/>
    <x v="411"/>
    <x v="19"/>
    <x v="19"/>
    <x v="33"/>
    <x v="33"/>
    <x v="1"/>
    <x v="5"/>
    <x v="26"/>
    <x v="0"/>
    <x v="0"/>
    <x v="5"/>
    <x v="26"/>
    <x v="0"/>
    <x v="0"/>
    <x v="0"/>
    <x v="0"/>
    <x v="0"/>
    <x v="0"/>
  </r>
  <r>
    <x v="661"/>
    <x v="0"/>
    <x v="59"/>
    <x v="59"/>
    <x v="0"/>
    <x v="7"/>
    <x v="5"/>
    <x v="0"/>
    <x v="0"/>
    <x v="0"/>
    <x v="0"/>
    <x v="412"/>
    <x v="19"/>
    <x v="19"/>
    <x v="0"/>
    <x v="0"/>
    <x v="0"/>
    <x v="12"/>
    <x v="43"/>
    <x v="0"/>
    <x v="0"/>
    <x v="12"/>
    <x v="43"/>
    <x v="0"/>
    <x v="0"/>
    <x v="0"/>
    <x v="0"/>
    <x v="0"/>
    <x v="0"/>
  </r>
  <r>
    <x v="662"/>
    <x v="0"/>
    <x v="59"/>
    <x v="59"/>
    <x v="0"/>
    <x v="7"/>
    <x v="5"/>
    <x v="0"/>
    <x v="1"/>
    <x v="0"/>
    <x v="0"/>
    <x v="412"/>
    <x v="19"/>
    <x v="19"/>
    <x v="1"/>
    <x v="1"/>
    <x v="1"/>
    <x v="13"/>
    <x v="31"/>
    <x v="0"/>
    <x v="0"/>
    <x v="13"/>
    <x v="31"/>
    <x v="0"/>
    <x v="0"/>
    <x v="0"/>
    <x v="0"/>
    <x v="0"/>
    <x v="0"/>
  </r>
  <r>
    <x v="663"/>
    <x v="0"/>
    <x v="21"/>
    <x v="21"/>
    <x v="0"/>
    <x v="10"/>
    <x v="5"/>
    <x v="0"/>
    <x v="1"/>
    <x v="0"/>
    <x v="0"/>
    <x v="413"/>
    <x v="19"/>
    <x v="19"/>
    <x v="1"/>
    <x v="1"/>
    <x v="1"/>
    <x v="17"/>
    <x v="36"/>
    <x v="0"/>
    <x v="0"/>
    <x v="17"/>
    <x v="36"/>
    <x v="0"/>
    <x v="0"/>
    <x v="0"/>
    <x v="0"/>
    <x v="0"/>
    <x v="0"/>
  </r>
  <r>
    <x v="664"/>
    <x v="0"/>
    <x v="40"/>
    <x v="40"/>
    <x v="0"/>
    <x v="10"/>
    <x v="5"/>
    <x v="0"/>
    <x v="0"/>
    <x v="0"/>
    <x v="0"/>
    <x v="414"/>
    <x v="19"/>
    <x v="19"/>
    <x v="0"/>
    <x v="0"/>
    <x v="0"/>
    <x v="15"/>
    <x v="16"/>
    <x v="0"/>
    <x v="0"/>
    <x v="15"/>
    <x v="16"/>
    <x v="0"/>
    <x v="0"/>
    <x v="0"/>
    <x v="0"/>
    <x v="0"/>
    <x v="0"/>
  </r>
  <r>
    <x v="665"/>
    <x v="0"/>
    <x v="40"/>
    <x v="40"/>
    <x v="0"/>
    <x v="10"/>
    <x v="5"/>
    <x v="0"/>
    <x v="0"/>
    <x v="0"/>
    <x v="0"/>
    <x v="414"/>
    <x v="19"/>
    <x v="19"/>
    <x v="32"/>
    <x v="32"/>
    <x v="0"/>
    <x v="0"/>
    <x v="0"/>
    <x v="0"/>
    <x v="0"/>
    <x v="0"/>
    <x v="0"/>
    <x v="0"/>
    <x v="0"/>
    <x v="0"/>
    <x v="0"/>
    <x v="0"/>
    <x v="0"/>
  </r>
  <r>
    <x v="666"/>
    <x v="0"/>
    <x v="40"/>
    <x v="40"/>
    <x v="0"/>
    <x v="10"/>
    <x v="5"/>
    <x v="0"/>
    <x v="0"/>
    <x v="0"/>
    <x v="0"/>
    <x v="414"/>
    <x v="19"/>
    <x v="19"/>
    <x v="37"/>
    <x v="37"/>
    <x v="0"/>
    <x v="5"/>
    <x v="5"/>
    <x v="0"/>
    <x v="0"/>
    <x v="5"/>
    <x v="5"/>
    <x v="0"/>
    <x v="0"/>
    <x v="0"/>
    <x v="0"/>
    <x v="0"/>
    <x v="0"/>
  </r>
  <r>
    <x v="667"/>
    <x v="0"/>
    <x v="40"/>
    <x v="40"/>
    <x v="0"/>
    <x v="10"/>
    <x v="5"/>
    <x v="0"/>
    <x v="0"/>
    <x v="0"/>
    <x v="0"/>
    <x v="415"/>
    <x v="19"/>
    <x v="19"/>
    <x v="0"/>
    <x v="0"/>
    <x v="0"/>
    <x v="0"/>
    <x v="0"/>
    <x v="0"/>
    <x v="0"/>
    <x v="0"/>
    <x v="0"/>
    <x v="0"/>
    <x v="0"/>
    <x v="0"/>
    <x v="0"/>
    <x v="0"/>
    <x v="0"/>
  </r>
  <r>
    <x v="668"/>
    <x v="0"/>
    <x v="24"/>
    <x v="24"/>
    <x v="0"/>
    <x v="0"/>
    <x v="0"/>
    <x v="0"/>
    <x v="1"/>
    <x v="0"/>
    <x v="0"/>
    <x v="416"/>
    <x v="19"/>
    <x v="19"/>
    <x v="16"/>
    <x v="16"/>
    <x v="2"/>
    <x v="4"/>
    <x v="22"/>
    <x v="0"/>
    <x v="0"/>
    <x v="4"/>
    <x v="22"/>
    <x v="0"/>
    <x v="0"/>
    <x v="0"/>
    <x v="0"/>
    <x v="0"/>
    <x v="0"/>
  </r>
  <r>
    <x v="669"/>
    <x v="0"/>
    <x v="24"/>
    <x v="24"/>
    <x v="0"/>
    <x v="0"/>
    <x v="0"/>
    <x v="0"/>
    <x v="1"/>
    <x v="0"/>
    <x v="0"/>
    <x v="417"/>
    <x v="19"/>
    <x v="19"/>
    <x v="6"/>
    <x v="6"/>
    <x v="1"/>
    <x v="9"/>
    <x v="10"/>
    <x v="0"/>
    <x v="0"/>
    <x v="9"/>
    <x v="10"/>
    <x v="0"/>
    <x v="0"/>
    <x v="0"/>
    <x v="0"/>
    <x v="0"/>
    <x v="0"/>
  </r>
  <r>
    <x v="670"/>
    <x v="0"/>
    <x v="19"/>
    <x v="19"/>
    <x v="0"/>
    <x v="9"/>
    <x v="7"/>
    <x v="0"/>
    <x v="0"/>
    <x v="0"/>
    <x v="0"/>
    <x v="418"/>
    <x v="19"/>
    <x v="19"/>
    <x v="0"/>
    <x v="0"/>
    <x v="0"/>
    <x v="6"/>
    <x v="6"/>
    <x v="0"/>
    <x v="0"/>
    <x v="6"/>
    <x v="6"/>
    <x v="0"/>
    <x v="0"/>
    <x v="0"/>
    <x v="0"/>
    <x v="0"/>
    <x v="0"/>
  </r>
  <r>
    <x v="671"/>
    <x v="0"/>
    <x v="19"/>
    <x v="19"/>
    <x v="0"/>
    <x v="9"/>
    <x v="7"/>
    <x v="0"/>
    <x v="0"/>
    <x v="0"/>
    <x v="0"/>
    <x v="418"/>
    <x v="19"/>
    <x v="19"/>
    <x v="19"/>
    <x v="19"/>
    <x v="0"/>
    <x v="17"/>
    <x v="18"/>
    <x v="0"/>
    <x v="0"/>
    <x v="17"/>
    <x v="18"/>
    <x v="0"/>
    <x v="0"/>
    <x v="0"/>
    <x v="0"/>
    <x v="0"/>
    <x v="0"/>
  </r>
  <r>
    <x v="672"/>
    <x v="0"/>
    <x v="35"/>
    <x v="35"/>
    <x v="0"/>
    <x v="9"/>
    <x v="7"/>
    <x v="0"/>
    <x v="0"/>
    <x v="0"/>
    <x v="0"/>
    <x v="419"/>
    <x v="19"/>
    <x v="19"/>
    <x v="8"/>
    <x v="8"/>
    <x v="0"/>
    <x v="17"/>
    <x v="18"/>
    <x v="0"/>
    <x v="0"/>
    <x v="17"/>
    <x v="18"/>
    <x v="0"/>
    <x v="0"/>
    <x v="0"/>
    <x v="0"/>
    <x v="0"/>
    <x v="0"/>
  </r>
  <r>
    <x v="673"/>
    <x v="0"/>
    <x v="19"/>
    <x v="19"/>
    <x v="0"/>
    <x v="9"/>
    <x v="7"/>
    <x v="0"/>
    <x v="0"/>
    <x v="0"/>
    <x v="0"/>
    <x v="420"/>
    <x v="19"/>
    <x v="19"/>
    <x v="37"/>
    <x v="37"/>
    <x v="0"/>
    <x v="5"/>
    <x v="5"/>
    <x v="0"/>
    <x v="0"/>
    <x v="5"/>
    <x v="5"/>
    <x v="0"/>
    <x v="0"/>
    <x v="0"/>
    <x v="0"/>
    <x v="0"/>
    <x v="0"/>
  </r>
  <r>
    <x v="674"/>
    <x v="0"/>
    <x v="20"/>
    <x v="20"/>
    <x v="0"/>
    <x v="9"/>
    <x v="7"/>
    <x v="0"/>
    <x v="0"/>
    <x v="0"/>
    <x v="0"/>
    <x v="421"/>
    <x v="19"/>
    <x v="19"/>
    <x v="0"/>
    <x v="0"/>
    <x v="0"/>
    <x v="27"/>
    <x v="47"/>
    <x v="0"/>
    <x v="0"/>
    <x v="27"/>
    <x v="47"/>
    <x v="0"/>
    <x v="0"/>
    <x v="0"/>
    <x v="0"/>
    <x v="0"/>
    <x v="0"/>
  </r>
  <r>
    <x v="675"/>
    <x v="0"/>
    <x v="7"/>
    <x v="7"/>
    <x v="0"/>
    <x v="2"/>
    <x v="1"/>
    <x v="1"/>
    <x v="1"/>
    <x v="0"/>
    <x v="1"/>
    <x v="422"/>
    <x v="19"/>
    <x v="19"/>
    <x v="3"/>
    <x v="3"/>
    <x v="1"/>
    <x v="4"/>
    <x v="4"/>
    <x v="0"/>
    <x v="0"/>
    <x v="4"/>
    <x v="4"/>
    <x v="0"/>
    <x v="0"/>
    <x v="0"/>
    <x v="0"/>
    <x v="0"/>
    <x v="0"/>
  </r>
  <r>
    <x v="676"/>
    <x v="0"/>
    <x v="28"/>
    <x v="28"/>
    <x v="0"/>
    <x v="12"/>
    <x v="4"/>
    <x v="1"/>
    <x v="0"/>
    <x v="0"/>
    <x v="3"/>
    <x v="423"/>
    <x v="19"/>
    <x v="19"/>
    <x v="0"/>
    <x v="0"/>
    <x v="0"/>
    <x v="21"/>
    <x v="48"/>
    <x v="0"/>
    <x v="0"/>
    <x v="21"/>
    <x v="48"/>
    <x v="0"/>
    <x v="0"/>
    <x v="0"/>
    <x v="0"/>
    <x v="0"/>
    <x v="0"/>
  </r>
  <r>
    <x v="677"/>
    <x v="0"/>
    <x v="68"/>
    <x v="68"/>
    <x v="0"/>
    <x v="15"/>
    <x v="8"/>
    <x v="1"/>
    <x v="1"/>
    <x v="0"/>
    <x v="3"/>
    <x v="424"/>
    <x v="19"/>
    <x v="19"/>
    <x v="2"/>
    <x v="2"/>
    <x v="1"/>
    <x v="4"/>
    <x v="4"/>
    <x v="0"/>
    <x v="0"/>
    <x v="4"/>
    <x v="4"/>
    <x v="1"/>
    <x v="1"/>
    <x v="0"/>
    <x v="0"/>
    <x v="0"/>
    <x v="1"/>
  </r>
  <r>
    <x v="678"/>
    <x v="0"/>
    <x v="68"/>
    <x v="68"/>
    <x v="0"/>
    <x v="15"/>
    <x v="8"/>
    <x v="1"/>
    <x v="1"/>
    <x v="0"/>
    <x v="3"/>
    <x v="424"/>
    <x v="19"/>
    <x v="19"/>
    <x v="1"/>
    <x v="1"/>
    <x v="1"/>
    <x v="4"/>
    <x v="4"/>
    <x v="0"/>
    <x v="0"/>
    <x v="4"/>
    <x v="4"/>
    <x v="1"/>
    <x v="1"/>
    <x v="0"/>
    <x v="0"/>
    <x v="0"/>
    <x v="1"/>
  </r>
  <r>
    <x v="679"/>
    <x v="0"/>
    <x v="3"/>
    <x v="3"/>
    <x v="0"/>
    <x v="1"/>
    <x v="0"/>
    <x v="0"/>
    <x v="1"/>
    <x v="0"/>
    <x v="0"/>
    <x v="425"/>
    <x v="19"/>
    <x v="19"/>
    <x v="1"/>
    <x v="1"/>
    <x v="1"/>
    <x v="4"/>
    <x v="4"/>
    <x v="0"/>
    <x v="0"/>
    <x v="4"/>
    <x v="4"/>
    <x v="0"/>
    <x v="0"/>
    <x v="0"/>
    <x v="0"/>
    <x v="0"/>
    <x v="0"/>
  </r>
  <r>
    <x v="680"/>
    <x v="0"/>
    <x v="36"/>
    <x v="36"/>
    <x v="0"/>
    <x v="3"/>
    <x v="1"/>
    <x v="1"/>
    <x v="1"/>
    <x v="0"/>
    <x v="1"/>
    <x v="426"/>
    <x v="19"/>
    <x v="19"/>
    <x v="12"/>
    <x v="12"/>
    <x v="1"/>
    <x v="9"/>
    <x v="10"/>
    <x v="0"/>
    <x v="0"/>
    <x v="9"/>
    <x v="10"/>
    <x v="0"/>
    <x v="0"/>
    <x v="0"/>
    <x v="0"/>
    <x v="0"/>
    <x v="0"/>
  </r>
  <r>
    <x v="681"/>
    <x v="0"/>
    <x v="29"/>
    <x v="29"/>
    <x v="0"/>
    <x v="2"/>
    <x v="1"/>
    <x v="1"/>
    <x v="1"/>
    <x v="0"/>
    <x v="1"/>
    <x v="427"/>
    <x v="19"/>
    <x v="19"/>
    <x v="3"/>
    <x v="3"/>
    <x v="1"/>
    <x v="9"/>
    <x v="10"/>
    <x v="0"/>
    <x v="0"/>
    <x v="9"/>
    <x v="10"/>
    <x v="0"/>
    <x v="0"/>
    <x v="0"/>
    <x v="0"/>
    <x v="0"/>
    <x v="0"/>
  </r>
  <r>
    <x v="682"/>
    <x v="0"/>
    <x v="13"/>
    <x v="13"/>
    <x v="0"/>
    <x v="5"/>
    <x v="3"/>
    <x v="1"/>
    <x v="1"/>
    <x v="0"/>
    <x v="1"/>
    <x v="428"/>
    <x v="19"/>
    <x v="19"/>
    <x v="16"/>
    <x v="16"/>
    <x v="2"/>
    <x v="1"/>
    <x v="79"/>
    <x v="0"/>
    <x v="0"/>
    <x v="1"/>
    <x v="79"/>
    <x v="0"/>
    <x v="0"/>
    <x v="0"/>
    <x v="0"/>
    <x v="0"/>
    <x v="0"/>
  </r>
  <r>
    <x v="683"/>
    <x v="0"/>
    <x v="34"/>
    <x v="34"/>
    <x v="0"/>
    <x v="10"/>
    <x v="5"/>
    <x v="0"/>
    <x v="0"/>
    <x v="0"/>
    <x v="0"/>
    <x v="429"/>
    <x v="19"/>
    <x v="19"/>
    <x v="8"/>
    <x v="8"/>
    <x v="0"/>
    <x v="16"/>
    <x v="17"/>
    <x v="0"/>
    <x v="0"/>
    <x v="16"/>
    <x v="17"/>
    <x v="0"/>
    <x v="0"/>
    <x v="0"/>
    <x v="0"/>
    <x v="0"/>
    <x v="0"/>
  </r>
  <r>
    <x v="684"/>
    <x v="0"/>
    <x v="34"/>
    <x v="34"/>
    <x v="0"/>
    <x v="10"/>
    <x v="5"/>
    <x v="0"/>
    <x v="0"/>
    <x v="0"/>
    <x v="0"/>
    <x v="429"/>
    <x v="19"/>
    <x v="19"/>
    <x v="28"/>
    <x v="28"/>
    <x v="0"/>
    <x v="32"/>
    <x v="53"/>
    <x v="0"/>
    <x v="0"/>
    <x v="32"/>
    <x v="53"/>
    <x v="0"/>
    <x v="0"/>
    <x v="0"/>
    <x v="0"/>
    <x v="0"/>
    <x v="0"/>
  </r>
  <r>
    <x v="685"/>
    <x v="0"/>
    <x v="34"/>
    <x v="34"/>
    <x v="0"/>
    <x v="10"/>
    <x v="5"/>
    <x v="0"/>
    <x v="0"/>
    <x v="0"/>
    <x v="0"/>
    <x v="429"/>
    <x v="19"/>
    <x v="19"/>
    <x v="17"/>
    <x v="17"/>
    <x v="0"/>
    <x v="13"/>
    <x v="40"/>
    <x v="0"/>
    <x v="0"/>
    <x v="13"/>
    <x v="40"/>
    <x v="0"/>
    <x v="0"/>
    <x v="0"/>
    <x v="0"/>
    <x v="0"/>
    <x v="0"/>
  </r>
  <r>
    <x v="686"/>
    <x v="0"/>
    <x v="34"/>
    <x v="34"/>
    <x v="0"/>
    <x v="10"/>
    <x v="5"/>
    <x v="0"/>
    <x v="0"/>
    <x v="0"/>
    <x v="0"/>
    <x v="430"/>
    <x v="19"/>
    <x v="19"/>
    <x v="28"/>
    <x v="28"/>
    <x v="0"/>
    <x v="1"/>
    <x v="1"/>
    <x v="0"/>
    <x v="0"/>
    <x v="1"/>
    <x v="1"/>
    <x v="0"/>
    <x v="0"/>
    <x v="0"/>
    <x v="0"/>
    <x v="0"/>
    <x v="0"/>
  </r>
  <r>
    <x v="687"/>
    <x v="0"/>
    <x v="59"/>
    <x v="59"/>
    <x v="0"/>
    <x v="7"/>
    <x v="5"/>
    <x v="0"/>
    <x v="0"/>
    <x v="0"/>
    <x v="0"/>
    <x v="431"/>
    <x v="19"/>
    <x v="19"/>
    <x v="19"/>
    <x v="19"/>
    <x v="0"/>
    <x v="8"/>
    <x v="80"/>
    <x v="0"/>
    <x v="0"/>
    <x v="8"/>
    <x v="80"/>
    <x v="0"/>
    <x v="0"/>
    <x v="0"/>
    <x v="0"/>
    <x v="0"/>
    <x v="0"/>
  </r>
  <r>
    <x v="688"/>
    <x v="0"/>
    <x v="59"/>
    <x v="59"/>
    <x v="0"/>
    <x v="7"/>
    <x v="5"/>
    <x v="0"/>
    <x v="1"/>
    <x v="0"/>
    <x v="0"/>
    <x v="431"/>
    <x v="19"/>
    <x v="19"/>
    <x v="40"/>
    <x v="40"/>
    <x v="1"/>
    <x v="8"/>
    <x v="9"/>
    <x v="0"/>
    <x v="0"/>
    <x v="8"/>
    <x v="9"/>
    <x v="0"/>
    <x v="0"/>
    <x v="0"/>
    <x v="0"/>
    <x v="0"/>
    <x v="0"/>
  </r>
  <r>
    <x v="689"/>
    <x v="0"/>
    <x v="59"/>
    <x v="59"/>
    <x v="0"/>
    <x v="7"/>
    <x v="5"/>
    <x v="0"/>
    <x v="0"/>
    <x v="0"/>
    <x v="0"/>
    <x v="431"/>
    <x v="19"/>
    <x v="19"/>
    <x v="17"/>
    <x v="17"/>
    <x v="0"/>
    <x v="23"/>
    <x v="30"/>
    <x v="0"/>
    <x v="0"/>
    <x v="23"/>
    <x v="30"/>
    <x v="0"/>
    <x v="0"/>
    <x v="0"/>
    <x v="0"/>
    <x v="0"/>
    <x v="0"/>
  </r>
  <r>
    <x v="690"/>
    <x v="0"/>
    <x v="59"/>
    <x v="59"/>
    <x v="0"/>
    <x v="7"/>
    <x v="5"/>
    <x v="0"/>
    <x v="1"/>
    <x v="0"/>
    <x v="0"/>
    <x v="431"/>
    <x v="19"/>
    <x v="19"/>
    <x v="20"/>
    <x v="20"/>
    <x v="1"/>
    <x v="8"/>
    <x v="9"/>
    <x v="0"/>
    <x v="0"/>
    <x v="8"/>
    <x v="9"/>
    <x v="0"/>
    <x v="0"/>
    <x v="0"/>
    <x v="0"/>
    <x v="0"/>
    <x v="0"/>
  </r>
  <r>
    <x v="691"/>
    <x v="0"/>
    <x v="43"/>
    <x v="43"/>
    <x v="0"/>
    <x v="8"/>
    <x v="6"/>
    <x v="0"/>
    <x v="1"/>
    <x v="0"/>
    <x v="0"/>
    <x v="432"/>
    <x v="19"/>
    <x v="19"/>
    <x v="33"/>
    <x v="33"/>
    <x v="1"/>
    <x v="5"/>
    <x v="26"/>
    <x v="0"/>
    <x v="0"/>
    <x v="5"/>
    <x v="26"/>
    <x v="0"/>
    <x v="0"/>
    <x v="0"/>
    <x v="0"/>
    <x v="0"/>
    <x v="0"/>
  </r>
  <r>
    <x v="692"/>
    <x v="0"/>
    <x v="51"/>
    <x v="51"/>
    <x v="0"/>
    <x v="10"/>
    <x v="5"/>
    <x v="0"/>
    <x v="1"/>
    <x v="0"/>
    <x v="0"/>
    <x v="433"/>
    <x v="19"/>
    <x v="19"/>
    <x v="6"/>
    <x v="6"/>
    <x v="1"/>
    <x v="3"/>
    <x v="3"/>
    <x v="0"/>
    <x v="0"/>
    <x v="3"/>
    <x v="3"/>
    <x v="0"/>
    <x v="0"/>
    <x v="0"/>
    <x v="0"/>
    <x v="0"/>
    <x v="0"/>
  </r>
  <r>
    <x v="693"/>
    <x v="0"/>
    <x v="20"/>
    <x v="20"/>
    <x v="0"/>
    <x v="9"/>
    <x v="7"/>
    <x v="0"/>
    <x v="0"/>
    <x v="0"/>
    <x v="0"/>
    <x v="434"/>
    <x v="19"/>
    <x v="19"/>
    <x v="19"/>
    <x v="19"/>
    <x v="0"/>
    <x v="17"/>
    <x v="18"/>
    <x v="0"/>
    <x v="0"/>
    <x v="17"/>
    <x v="18"/>
    <x v="0"/>
    <x v="0"/>
    <x v="0"/>
    <x v="0"/>
    <x v="0"/>
    <x v="0"/>
  </r>
  <r>
    <x v="694"/>
    <x v="0"/>
    <x v="20"/>
    <x v="20"/>
    <x v="0"/>
    <x v="9"/>
    <x v="7"/>
    <x v="0"/>
    <x v="0"/>
    <x v="0"/>
    <x v="0"/>
    <x v="434"/>
    <x v="19"/>
    <x v="19"/>
    <x v="17"/>
    <x v="17"/>
    <x v="0"/>
    <x v="17"/>
    <x v="18"/>
    <x v="0"/>
    <x v="0"/>
    <x v="17"/>
    <x v="18"/>
    <x v="0"/>
    <x v="0"/>
    <x v="0"/>
    <x v="0"/>
    <x v="0"/>
    <x v="0"/>
  </r>
  <r>
    <x v="695"/>
    <x v="0"/>
    <x v="20"/>
    <x v="20"/>
    <x v="0"/>
    <x v="9"/>
    <x v="7"/>
    <x v="0"/>
    <x v="1"/>
    <x v="0"/>
    <x v="0"/>
    <x v="434"/>
    <x v="19"/>
    <x v="19"/>
    <x v="1"/>
    <x v="1"/>
    <x v="1"/>
    <x v="13"/>
    <x v="31"/>
    <x v="0"/>
    <x v="0"/>
    <x v="13"/>
    <x v="31"/>
    <x v="0"/>
    <x v="0"/>
    <x v="0"/>
    <x v="0"/>
    <x v="0"/>
    <x v="0"/>
  </r>
  <r>
    <x v="696"/>
    <x v="0"/>
    <x v="20"/>
    <x v="20"/>
    <x v="0"/>
    <x v="9"/>
    <x v="7"/>
    <x v="0"/>
    <x v="0"/>
    <x v="0"/>
    <x v="0"/>
    <x v="434"/>
    <x v="19"/>
    <x v="19"/>
    <x v="0"/>
    <x v="0"/>
    <x v="0"/>
    <x v="27"/>
    <x v="47"/>
    <x v="0"/>
    <x v="0"/>
    <x v="27"/>
    <x v="47"/>
    <x v="0"/>
    <x v="0"/>
    <x v="0"/>
    <x v="0"/>
    <x v="0"/>
    <x v="0"/>
  </r>
  <r>
    <x v="697"/>
    <x v="0"/>
    <x v="35"/>
    <x v="35"/>
    <x v="0"/>
    <x v="9"/>
    <x v="7"/>
    <x v="0"/>
    <x v="0"/>
    <x v="0"/>
    <x v="0"/>
    <x v="435"/>
    <x v="19"/>
    <x v="19"/>
    <x v="8"/>
    <x v="8"/>
    <x v="0"/>
    <x v="6"/>
    <x v="6"/>
    <x v="0"/>
    <x v="0"/>
    <x v="6"/>
    <x v="6"/>
    <x v="0"/>
    <x v="0"/>
    <x v="0"/>
    <x v="0"/>
    <x v="0"/>
    <x v="0"/>
  </r>
  <r>
    <x v="698"/>
    <x v="0"/>
    <x v="42"/>
    <x v="42"/>
    <x v="0"/>
    <x v="14"/>
    <x v="9"/>
    <x v="0"/>
    <x v="0"/>
    <x v="0"/>
    <x v="0"/>
    <x v="436"/>
    <x v="19"/>
    <x v="19"/>
    <x v="19"/>
    <x v="19"/>
    <x v="0"/>
    <x v="6"/>
    <x v="6"/>
    <x v="0"/>
    <x v="0"/>
    <x v="6"/>
    <x v="6"/>
    <x v="0"/>
    <x v="0"/>
    <x v="0"/>
    <x v="0"/>
    <x v="0"/>
    <x v="0"/>
  </r>
  <r>
    <x v="699"/>
    <x v="0"/>
    <x v="25"/>
    <x v="25"/>
    <x v="0"/>
    <x v="1"/>
    <x v="0"/>
    <x v="0"/>
    <x v="1"/>
    <x v="0"/>
    <x v="0"/>
    <x v="437"/>
    <x v="19"/>
    <x v="19"/>
    <x v="1"/>
    <x v="1"/>
    <x v="1"/>
    <x v="1"/>
    <x v="27"/>
    <x v="0"/>
    <x v="0"/>
    <x v="1"/>
    <x v="27"/>
    <x v="0"/>
    <x v="0"/>
    <x v="0"/>
    <x v="0"/>
    <x v="0"/>
    <x v="0"/>
  </r>
  <r>
    <x v="700"/>
    <x v="0"/>
    <x v="25"/>
    <x v="25"/>
    <x v="0"/>
    <x v="1"/>
    <x v="0"/>
    <x v="0"/>
    <x v="1"/>
    <x v="0"/>
    <x v="0"/>
    <x v="437"/>
    <x v="19"/>
    <x v="19"/>
    <x v="33"/>
    <x v="33"/>
    <x v="1"/>
    <x v="31"/>
    <x v="51"/>
    <x v="0"/>
    <x v="0"/>
    <x v="31"/>
    <x v="51"/>
    <x v="0"/>
    <x v="0"/>
    <x v="0"/>
    <x v="0"/>
    <x v="0"/>
    <x v="0"/>
  </r>
  <r>
    <x v="701"/>
    <x v="0"/>
    <x v="25"/>
    <x v="25"/>
    <x v="0"/>
    <x v="1"/>
    <x v="0"/>
    <x v="0"/>
    <x v="1"/>
    <x v="0"/>
    <x v="0"/>
    <x v="437"/>
    <x v="19"/>
    <x v="19"/>
    <x v="35"/>
    <x v="35"/>
    <x v="1"/>
    <x v="25"/>
    <x v="33"/>
    <x v="0"/>
    <x v="0"/>
    <x v="25"/>
    <x v="33"/>
    <x v="0"/>
    <x v="0"/>
    <x v="0"/>
    <x v="0"/>
    <x v="0"/>
    <x v="0"/>
  </r>
  <r>
    <x v="702"/>
    <x v="0"/>
    <x v="41"/>
    <x v="41"/>
    <x v="0"/>
    <x v="1"/>
    <x v="0"/>
    <x v="0"/>
    <x v="1"/>
    <x v="0"/>
    <x v="0"/>
    <x v="438"/>
    <x v="19"/>
    <x v="19"/>
    <x v="6"/>
    <x v="6"/>
    <x v="1"/>
    <x v="9"/>
    <x v="10"/>
    <x v="0"/>
    <x v="0"/>
    <x v="9"/>
    <x v="10"/>
    <x v="0"/>
    <x v="0"/>
    <x v="0"/>
    <x v="0"/>
    <x v="0"/>
    <x v="0"/>
  </r>
  <r>
    <x v="703"/>
    <x v="0"/>
    <x v="41"/>
    <x v="41"/>
    <x v="0"/>
    <x v="1"/>
    <x v="0"/>
    <x v="0"/>
    <x v="1"/>
    <x v="0"/>
    <x v="0"/>
    <x v="438"/>
    <x v="19"/>
    <x v="19"/>
    <x v="20"/>
    <x v="20"/>
    <x v="1"/>
    <x v="9"/>
    <x v="10"/>
    <x v="0"/>
    <x v="0"/>
    <x v="9"/>
    <x v="10"/>
    <x v="0"/>
    <x v="0"/>
    <x v="0"/>
    <x v="0"/>
    <x v="0"/>
    <x v="0"/>
  </r>
  <r>
    <x v="704"/>
    <x v="0"/>
    <x v="19"/>
    <x v="19"/>
    <x v="0"/>
    <x v="9"/>
    <x v="7"/>
    <x v="0"/>
    <x v="1"/>
    <x v="0"/>
    <x v="0"/>
    <x v="439"/>
    <x v="19"/>
    <x v="19"/>
    <x v="2"/>
    <x v="2"/>
    <x v="1"/>
    <x v="4"/>
    <x v="4"/>
    <x v="0"/>
    <x v="0"/>
    <x v="4"/>
    <x v="4"/>
    <x v="0"/>
    <x v="0"/>
    <x v="0"/>
    <x v="0"/>
    <x v="0"/>
    <x v="0"/>
  </r>
  <r>
    <x v="705"/>
    <x v="0"/>
    <x v="1"/>
    <x v="1"/>
    <x v="0"/>
    <x v="0"/>
    <x v="0"/>
    <x v="0"/>
    <x v="1"/>
    <x v="0"/>
    <x v="0"/>
    <x v="440"/>
    <x v="19"/>
    <x v="19"/>
    <x v="2"/>
    <x v="2"/>
    <x v="1"/>
    <x v="9"/>
    <x v="10"/>
    <x v="0"/>
    <x v="0"/>
    <x v="9"/>
    <x v="10"/>
    <x v="0"/>
    <x v="0"/>
    <x v="0"/>
    <x v="0"/>
    <x v="0"/>
    <x v="0"/>
  </r>
  <r>
    <x v="706"/>
    <x v="0"/>
    <x v="1"/>
    <x v="1"/>
    <x v="0"/>
    <x v="0"/>
    <x v="0"/>
    <x v="0"/>
    <x v="1"/>
    <x v="0"/>
    <x v="0"/>
    <x v="440"/>
    <x v="19"/>
    <x v="19"/>
    <x v="1"/>
    <x v="1"/>
    <x v="1"/>
    <x v="20"/>
    <x v="25"/>
    <x v="0"/>
    <x v="0"/>
    <x v="20"/>
    <x v="25"/>
    <x v="0"/>
    <x v="0"/>
    <x v="0"/>
    <x v="0"/>
    <x v="0"/>
    <x v="0"/>
  </r>
  <r>
    <x v="707"/>
    <x v="0"/>
    <x v="1"/>
    <x v="1"/>
    <x v="0"/>
    <x v="0"/>
    <x v="0"/>
    <x v="0"/>
    <x v="1"/>
    <x v="0"/>
    <x v="0"/>
    <x v="440"/>
    <x v="19"/>
    <x v="19"/>
    <x v="3"/>
    <x v="3"/>
    <x v="1"/>
    <x v="4"/>
    <x v="4"/>
    <x v="0"/>
    <x v="0"/>
    <x v="4"/>
    <x v="4"/>
    <x v="0"/>
    <x v="0"/>
    <x v="0"/>
    <x v="0"/>
    <x v="0"/>
    <x v="0"/>
  </r>
  <r>
    <x v="708"/>
    <x v="0"/>
    <x v="2"/>
    <x v="2"/>
    <x v="0"/>
    <x v="0"/>
    <x v="0"/>
    <x v="0"/>
    <x v="1"/>
    <x v="0"/>
    <x v="0"/>
    <x v="441"/>
    <x v="19"/>
    <x v="19"/>
    <x v="1"/>
    <x v="1"/>
    <x v="1"/>
    <x v="17"/>
    <x v="36"/>
    <x v="0"/>
    <x v="0"/>
    <x v="17"/>
    <x v="36"/>
    <x v="0"/>
    <x v="0"/>
    <x v="0"/>
    <x v="0"/>
    <x v="0"/>
    <x v="0"/>
  </r>
  <r>
    <x v="709"/>
    <x v="0"/>
    <x v="36"/>
    <x v="36"/>
    <x v="0"/>
    <x v="3"/>
    <x v="1"/>
    <x v="1"/>
    <x v="1"/>
    <x v="0"/>
    <x v="1"/>
    <x v="442"/>
    <x v="19"/>
    <x v="19"/>
    <x v="36"/>
    <x v="36"/>
    <x v="1"/>
    <x v="9"/>
    <x v="10"/>
    <x v="0"/>
    <x v="0"/>
    <x v="9"/>
    <x v="10"/>
    <x v="0"/>
    <x v="0"/>
    <x v="0"/>
    <x v="0"/>
    <x v="0"/>
    <x v="0"/>
  </r>
  <r>
    <x v="710"/>
    <x v="0"/>
    <x v="36"/>
    <x v="36"/>
    <x v="0"/>
    <x v="3"/>
    <x v="1"/>
    <x v="1"/>
    <x v="1"/>
    <x v="0"/>
    <x v="1"/>
    <x v="442"/>
    <x v="19"/>
    <x v="19"/>
    <x v="6"/>
    <x v="6"/>
    <x v="1"/>
    <x v="9"/>
    <x v="10"/>
    <x v="0"/>
    <x v="0"/>
    <x v="9"/>
    <x v="10"/>
    <x v="0"/>
    <x v="0"/>
    <x v="0"/>
    <x v="0"/>
    <x v="0"/>
    <x v="0"/>
  </r>
  <r>
    <x v="711"/>
    <x v="0"/>
    <x v="58"/>
    <x v="58"/>
    <x v="0"/>
    <x v="4"/>
    <x v="2"/>
    <x v="1"/>
    <x v="1"/>
    <x v="0"/>
    <x v="1"/>
    <x v="443"/>
    <x v="19"/>
    <x v="19"/>
    <x v="25"/>
    <x v="25"/>
    <x v="1"/>
    <x v="13"/>
    <x v="31"/>
    <x v="0"/>
    <x v="0"/>
    <x v="13"/>
    <x v="31"/>
    <x v="0"/>
    <x v="0"/>
    <x v="0"/>
    <x v="0"/>
    <x v="0"/>
    <x v="0"/>
  </r>
  <r>
    <x v="712"/>
    <x v="0"/>
    <x v="6"/>
    <x v="6"/>
    <x v="0"/>
    <x v="2"/>
    <x v="1"/>
    <x v="1"/>
    <x v="1"/>
    <x v="0"/>
    <x v="1"/>
    <x v="444"/>
    <x v="19"/>
    <x v="19"/>
    <x v="10"/>
    <x v="10"/>
    <x v="1"/>
    <x v="4"/>
    <x v="4"/>
    <x v="0"/>
    <x v="0"/>
    <x v="4"/>
    <x v="4"/>
    <x v="0"/>
    <x v="0"/>
    <x v="0"/>
    <x v="0"/>
    <x v="0"/>
    <x v="0"/>
  </r>
  <r>
    <x v="713"/>
    <x v="0"/>
    <x v="72"/>
    <x v="72"/>
    <x v="0"/>
    <x v="12"/>
    <x v="4"/>
    <x v="1"/>
    <x v="0"/>
    <x v="0"/>
    <x v="3"/>
    <x v="445"/>
    <x v="19"/>
    <x v="19"/>
    <x v="28"/>
    <x v="28"/>
    <x v="0"/>
    <x v="23"/>
    <x v="30"/>
    <x v="0"/>
    <x v="0"/>
    <x v="23"/>
    <x v="30"/>
    <x v="0"/>
    <x v="0"/>
    <x v="0"/>
    <x v="0"/>
    <x v="0"/>
    <x v="0"/>
  </r>
  <r>
    <x v="714"/>
    <x v="0"/>
    <x v="22"/>
    <x v="22"/>
    <x v="0"/>
    <x v="11"/>
    <x v="8"/>
    <x v="1"/>
    <x v="0"/>
    <x v="0"/>
    <x v="3"/>
    <x v="446"/>
    <x v="19"/>
    <x v="19"/>
    <x v="42"/>
    <x v="42"/>
    <x v="3"/>
    <x v="15"/>
    <x v="81"/>
    <x v="0"/>
    <x v="0"/>
    <x v="15"/>
    <x v="81"/>
    <x v="0"/>
    <x v="0"/>
    <x v="0"/>
    <x v="0"/>
    <x v="0"/>
    <x v="0"/>
  </r>
  <r>
    <x v="715"/>
    <x v="0"/>
    <x v="22"/>
    <x v="22"/>
    <x v="0"/>
    <x v="11"/>
    <x v="8"/>
    <x v="1"/>
    <x v="0"/>
    <x v="0"/>
    <x v="3"/>
    <x v="446"/>
    <x v="19"/>
    <x v="19"/>
    <x v="28"/>
    <x v="28"/>
    <x v="0"/>
    <x v="17"/>
    <x v="18"/>
    <x v="0"/>
    <x v="0"/>
    <x v="17"/>
    <x v="18"/>
    <x v="0"/>
    <x v="0"/>
    <x v="0"/>
    <x v="0"/>
    <x v="0"/>
    <x v="0"/>
  </r>
  <r>
    <x v="716"/>
    <x v="0"/>
    <x v="22"/>
    <x v="22"/>
    <x v="0"/>
    <x v="11"/>
    <x v="8"/>
    <x v="1"/>
    <x v="0"/>
    <x v="0"/>
    <x v="3"/>
    <x v="446"/>
    <x v="19"/>
    <x v="19"/>
    <x v="47"/>
    <x v="47"/>
    <x v="3"/>
    <x v="6"/>
    <x v="75"/>
    <x v="0"/>
    <x v="0"/>
    <x v="6"/>
    <x v="75"/>
    <x v="0"/>
    <x v="0"/>
    <x v="0"/>
    <x v="0"/>
    <x v="0"/>
    <x v="0"/>
  </r>
  <r>
    <x v="717"/>
    <x v="0"/>
    <x v="15"/>
    <x v="15"/>
    <x v="0"/>
    <x v="6"/>
    <x v="4"/>
    <x v="1"/>
    <x v="1"/>
    <x v="0"/>
    <x v="2"/>
    <x v="447"/>
    <x v="19"/>
    <x v="19"/>
    <x v="9"/>
    <x v="9"/>
    <x v="1"/>
    <x v="4"/>
    <x v="4"/>
    <x v="0"/>
    <x v="0"/>
    <x v="4"/>
    <x v="4"/>
    <x v="0"/>
    <x v="0"/>
    <x v="0"/>
    <x v="0"/>
    <x v="0"/>
    <x v="0"/>
  </r>
  <r>
    <x v="718"/>
    <x v="0"/>
    <x v="31"/>
    <x v="31"/>
    <x v="0"/>
    <x v="0"/>
    <x v="0"/>
    <x v="0"/>
    <x v="1"/>
    <x v="0"/>
    <x v="0"/>
    <x v="448"/>
    <x v="20"/>
    <x v="20"/>
    <x v="5"/>
    <x v="5"/>
    <x v="1"/>
    <x v="4"/>
    <x v="4"/>
    <x v="0"/>
    <x v="0"/>
    <x v="4"/>
    <x v="4"/>
    <x v="0"/>
    <x v="0"/>
    <x v="0"/>
    <x v="0"/>
    <x v="0"/>
    <x v="0"/>
  </r>
  <r>
    <x v="719"/>
    <x v="0"/>
    <x v="31"/>
    <x v="31"/>
    <x v="0"/>
    <x v="0"/>
    <x v="0"/>
    <x v="0"/>
    <x v="1"/>
    <x v="0"/>
    <x v="0"/>
    <x v="448"/>
    <x v="20"/>
    <x v="20"/>
    <x v="1"/>
    <x v="1"/>
    <x v="1"/>
    <x v="6"/>
    <x v="8"/>
    <x v="0"/>
    <x v="0"/>
    <x v="6"/>
    <x v="8"/>
    <x v="0"/>
    <x v="0"/>
    <x v="0"/>
    <x v="0"/>
    <x v="0"/>
    <x v="0"/>
  </r>
  <r>
    <x v="720"/>
    <x v="0"/>
    <x v="2"/>
    <x v="2"/>
    <x v="0"/>
    <x v="0"/>
    <x v="0"/>
    <x v="0"/>
    <x v="1"/>
    <x v="0"/>
    <x v="0"/>
    <x v="449"/>
    <x v="20"/>
    <x v="20"/>
    <x v="1"/>
    <x v="1"/>
    <x v="1"/>
    <x v="17"/>
    <x v="36"/>
    <x v="0"/>
    <x v="0"/>
    <x v="17"/>
    <x v="36"/>
    <x v="0"/>
    <x v="0"/>
    <x v="0"/>
    <x v="0"/>
    <x v="0"/>
    <x v="0"/>
  </r>
  <r>
    <x v="721"/>
    <x v="0"/>
    <x v="42"/>
    <x v="42"/>
    <x v="0"/>
    <x v="14"/>
    <x v="9"/>
    <x v="0"/>
    <x v="0"/>
    <x v="0"/>
    <x v="0"/>
    <x v="450"/>
    <x v="20"/>
    <x v="20"/>
    <x v="4"/>
    <x v="4"/>
    <x v="0"/>
    <x v="0"/>
    <x v="0"/>
    <x v="0"/>
    <x v="0"/>
    <x v="0"/>
    <x v="0"/>
    <x v="0"/>
    <x v="0"/>
    <x v="0"/>
    <x v="0"/>
    <x v="0"/>
    <x v="0"/>
  </r>
  <r>
    <x v="722"/>
    <x v="0"/>
    <x v="19"/>
    <x v="19"/>
    <x v="0"/>
    <x v="9"/>
    <x v="7"/>
    <x v="0"/>
    <x v="0"/>
    <x v="0"/>
    <x v="0"/>
    <x v="451"/>
    <x v="20"/>
    <x v="20"/>
    <x v="0"/>
    <x v="0"/>
    <x v="0"/>
    <x v="17"/>
    <x v="18"/>
    <x v="0"/>
    <x v="0"/>
    <x v="17"/>
    <x v="18"/>
    <x v="0"/>
    <x v="0"/>
    <x v="0"/>
    <x v="0"/>
    <x v="0"/>
    <x v="0"/>
  </r>
  <r>
    <x v="723"/>
    <x v="0"/>
    <x v="26"/>
    <x v="26"/>
    <x v="0"/>
    <x v="8"/>
    <x v="6"/>
    <x v="0"/>
    <x v="1"/>
    <x v="0"/>
    <x v="0"/>
    <x v="452"/>
    <x v="20"/>
    <x v="20"/>
    <x v="1"/>
    <x v="1"/>
    <x v="1"/>
    <x v="20"/>
    <x v="25"/>
    <x v="0"/>
    <x v="0"/>
    <x v="20"/>
    <x v="25"/>
    <x v="0"/>
    <x v="0"/>
    <x v="0"/>
    <x v="0"/>
    <x v="0"/>
    <x v="0"/>
  </r>
  <r>
    <x v="724"/>
    <x v="0"/>
    <x v="26"/>
    <x v="26"/>
    <x v="0"/>
    <x v="8"/>
    <x v="6"/>
    <x v="0"/>
    <x v="1"/>
    <x v="0"/>
    <x v="0"/>
    <x v="452"/>
    <x v="20"/>
    <x v="20"/>
    <x v="22"/>
    <x v="22"/>
    <x v="1"/>
    <x v="1"/>
    <x v="27"/>
    <x v="0"/>
    <x v="0"/>
    <x v="1"/>
    <x v="27"/>
    <x v="0"/>
    <x v="0"/>
    <x v="0"/>
    <x v="0"/>
    <x v="0"/>
    <x v="0"/>
  </r>
  <r>
    <x v="725"/>
    <x v="0"/>
    <x v="26"/>
    <x v="26"/>
    <x v="0"/>
    <x v="8"/>
    <x v="6"/>
    <x v="0"/>
    <x v="1"/>
    <x v="0"/>
    <x v="0"/>
    <x v="452"/>
    <x v="20"/>
    <x v="20"/>
    <x v="20"/>
    <x v="20"/>
    <x v="1"/>
    <x v="17"/>
    <x v="36"/>
    <x v="0"/>
    <x v="0"/>
    <x v="17"/>
    <x v="36"/>
    <x v="0"/>
    <x v="0"/>
    <x v="0"/>
    <x v="0"/>
    <x v="0"/>
    <x v="0"/>
  </r>
  <r>
    <x v="726"/>
    <x v="0"/>
    <x v="26"/>
    <x v="26"/>
    <x v="0"/>
    <x v="8"/>
    <x v="6"/>
    <x v="0"/>
    <x v="1"/>
    <x v="0"/>
    <x v="0"/>
    <x v="452"/>
    <x v="20"/>
    <x v="20"/>
    <x v="34"/>
    <x v="34"/>
    <x v="1"/>
    <x v="1"/>
    <x v="27"/>
    <x v="0"/>
    <x v="0"/>
    <x v="1"/>
    <x v="27"/>
    <x v="0"/>
    <x v="0"/>
    <x v="0"/>
    <x v="0"/>
    <x v="0"/>
    <x v="0"/>
  </r>
  <r>
    <x v="727"/>
    <x v="0"/>
    <x v="26"/>
    <x v="26"/>
    <x v="0"/>
    <x v="8"/>
    <x v="6"/>
    <x v="0"/>
    <x v="1"/>
    <x v="0"/>
    <x v="0"/>
    <x v="452"/>
    <x v="20"/>
    <x v="20"/>
    <x v="16"/>
    <x v="16"/>
    <x v="2"/>
    <x v="9"/>
    <x v="23"/>
    <x v="0"/>
    <x v="0"/>
    <x v="9"/>
    <x v="23"/>
    <x v="0"/>
    <x v="0"/>
    <x v="0"/>
    <x v="0"/>
    <x v="0"/>
    <x v="0"/>
  </r>
  <r>
    <x v="728"/>
    <x v="0"/>
    <x v="26"/>
    <x v="26"/>
    <x v="0"/>
    <x v="8"/>
    <x v="6"/>
    <x v="0"/>
    <x v="1"/>
    <x v="0"/>
    <x v="0"/>
    <x v="452"/>
    <x v="20"/>
    <x v="20"/>
    <x v="2"/>
    <x v="2"/>
    <x v="1"/>
    <x v="19"/>
    <x v="24"/>
    <x v="0"/>
    <x v="0"/>
    <x v="19"/>
    <x v="24"/>
    <x v="0"/>
    <x v="0"/>
    <x v="0"/>
    <x v="0"/>
    <x v="0"/>
    <x v="0"/>
  </r>
  <r>
    <x v="729"/>
    <x v="0"/>
    <x v="38"/>
    <x v="38"/>
    <x v="0"/>
    <x v="11"/>
    <x v="8"/>
    <x v="1"/>
    <x v="1"/>
    <x v="0"/>
    <x v="3"/>
    <x v="453"/>
    <x v="20"/>
    <x v="20"/>
    <x v="3"/>
    <x v="3"/>
    <x v="1"/>
    <x v="49"/>
    <x v="82"/>
    <x v="0"/>
    <x v="0"/>
    <x v="49"/>
    <x v="82"/>
    <x v="0"/>
    <x v="0"/>
    <x v="0"/>
    <x v="0"/>
    <x v="0"/>
    <x v="0"/>
  </r>
  <r>
    <x v="730"/>
    <x v="0"/>
    <x v="38"/>
    <x v="38"/>
    <x v="0"/>
    <x v="11"/>
    <x v="8"/>
    <x v="1"/>
    <x v="1"/>
    <x v="0"/>
    <x v="3"/>
    <x v="453"/>
    <x v="20"/>
    <x v="20"/>
    <x v="14"/>
    <x v="14"/>
    <x v="1"/>
    <x v="6"/>
    <x v="8"/>
    <x v="0"/>
    <x v="0"/>
    <x v="6"/>
    <x v="8"/>
    <x v="0"/>
    <x v="0"/>
    <x v="0"/>
    <x v="0"/>
    <x v="0"/>
    <x v="0"/>
  </r>
  <r>
    <x v="731"/>
    <x v="0"/>
    <x v="33"/>
    <x v="33"/>
    <x v="0"/>
    <x v="11"/>
    <x v="8"/>
    <x v="1"/>
    <x v="1"/>
    <x v="0"/>
    <x v="3"/>
    <x v="454"/>
    <x v="20"/>
    <x v="20"/>
    <x v="1"/>
    <x v="1"/>
    <x v="1"/>
    <x v="21"/>
    <x v="28"/>
    <x v="0"/>
    <x v="0"/>
    <x v="21"/>
    <x v="28"/>
    <x v="0"/>
    <x v="0"/>
    <x v="0"/>
    <x v="0"/>
    <x v="0"/>
    <x v="0"/>
  </r>
  <r>
    <x v="732"/>
    <x v="0"/>
    <x v="56"/>
    <x v="56"/>
    <x v="0"/>
    <x v="6"/>
    <x v="4"/>
    <x v="1"/>
    <x v="1"/>
    <x v="0"/>
    <x v="2"/>
    <x v="455"/>
    <x v="20"/>
    <x v="20"/>
    <x v="29"/>
    <x v="29"/>
    <x v="1"/>
    <x v="8"/>
    <x v="9"/>
    <x v="0"/>
    <x v="0"/>
    <x v="8"/>
    <x v="9"/>
    <x v="0"/>
    <x v="0"/>
    <x v="0"/>
    <x v="0"/>
    <x v="0"/>
    <x v="0"/>
  </r>
  <r>
    <x v="733"/>
    <x v="0"/>
    <x v="10"/>
    <x v="10"/>
    <x v="0"/>
    <x v="3"/>
    <x v="1"/>
    <x v="1"/>
    <x v="1"/>
    <x v="0"/>
    <x v="1"/>
    <x v="456"/>
    <x v="20"/>
    <x v="20"/>
    <x v="36"/>
    <x v="36"/>
    <x v="1"/>
    <x v="19"/>
    <x v="24"/>
    <x v="0"/>
    <x v="0"/>
    <x v="19"/>
    <x v="24"/>
    <x v="0"/>
    <x v="0"/>
    <x v="0"/>
    <x v="0"/>
    <x v="0"/>
    <x v="0"/>
  </r>
  <r>
    <x v="734"/>
    <x v="0"/>
    <x v="39"/>
    <x v="39"/>
    <x v="0"/>
    <x v="12"/>
    <x v="4"/>
    <x v="1"/>
    <x v="0"/>
    <x v="0"/>
    <x v="3"/>
    <x v="457"/>
    <x v="20"/>
    <x v="20"/>
    <x v="0"/>
    <x v="0"/>
    <x v="0"/>
    <x v="6"/>
    <x v="6"/>
    <x v="0"/>
    <x v="0"/>
    <x v="6"/>
    <x v="6"/>
    <x v="0"/>
    <x v="0"/>
    <x v="0"/>
    <x v="0"/>
    <x v="0"/>
    <x v="0"/>
  </r>
  <r>
    <x v="735"/>
    <x v="0"/>
    <x v="39"/>
    <x v="39"/>
    <x v="0"/>
    <x v="12"/>
    <x v="4"/>
    <x v="1"/>
    <x v="1"/>
    <x v="0"/>
    <x v="3"/>
    <x v="458"/>
    <x v="20"/>
    <x v="20"/>
    <x v="1"/>
    <x v="1"/>
    <x v="1"/>
    <x v="50"/>
    <x v="83"/>
    <x v="0"/>
    <x v="0"/>
    <x v="50"/>
    <x v="83"/>
    <x v="0"/>
    <x v="0"/>
    <x v="0"/>
    <x v="0"/>
    <x v="0"/>
    <x v="0"/>
  </r>
  <r>
    <x v="736"/>
    <x v="0"/>
    <x v="16"/>
    <x v="16"/>
    <x v="0"/>
    <x v="7"/>
    <x v="5"/>
    <x v="0"/>
    <x v="1"/>
    <x v="0"/>
    <x v="0"/>
    <x v="459"/>
    <x v="20"/>
    <x v="20"/>
    <x v="1"/>
    <x v="1"/>
    <x v="1"/>
    <x v="39"/>
    <x v="84"/>
    <x v="0"/>
    <x v="0"/>
    <x v="39"/>
    <x v="84"/>
    <x v="0"/>
    <x v="0"/>
    <x v="0"/>
    <x v="0"/>
    <x v="0"/>
    <x v="0"/>
  </r>
  <r>
    <x v="737"/>
    <x v="0"/>
    <x v="16"/>
    <x v="16"/>
    <x v="0"/>
    <x v="7"/>
    <x v="5"/>
    <x v="0"/>
    <x v="0"/>
    <x v="0"/>
    <x v="0"/>
    <x v="459"/>
    <x v="20"/>
    <x v="20"/>
    <x v="0"/>
    <x v="0"/>
    <x v="0"/>
    <x v="51"/>
    <x v="85"/>
    <x v="0"/>
    <x v="0"/>
    <x v="51"/>
    <x v="85"/>
    <x v="0"/>
    <x v="0"/>
    <x v="0"/>
    <x v="0"/>
    <x v="0"/>
    <x v="0"/>
  </r>
  <r>
    <x v="738"/>
    <x v="0"/>
    <x v="16"/>
    <x v="16"/>
    <x v="0"/>
    <x v="7"/>
    <x v="5"/>
    <x v="0"/>
    <x v="0"/>
    <x v="0"/>
    <x v="0"/>
    <x v="460"/>
    <x v="20"/>
    <x v="20"/>
    <x v="0"/>
    <x v="0"/>
    <x v="0"/>
    <x v="30"/>
    <x v="86"/>
    <x v="0"/>
    <x v="0"/>
    <x v="30"/>
    <x v="86"/>
    <x v="0"/>
    <x v="0"/>
    <x v="0"/>
    <x v="0"/>
    <x v="0"/>
    <x v="0"/>
  </r>
  <r>
    <x v="739"/>
    <x v="0"/>
    <x v="1"/>
    <x v="1"/>
    <x v="0"/>
    <x v="0"/>
    <x v="0"/>
    <x v="0"/>
    <x v="1"/>
    <x v="0"/>
    <x v="0"/>
    <x v="461"/>
    <x v="21"/>
    <x v="21"/>
    <x v="1"/>
    <x v="1"/>
    <x v="1"/>
    <x v="13"/>
    <x v="31"/>
    <x v="0"/>
    <x v="0"/>
    <x v="13"/>
    <x v="31"/>
    <x v="0"/>
    <x v="0"/>
    <x v="0"/>
    <x v="0"/>
    <x v="0"/>
    <x v="0"/>
  </r>
  <r>
    <x v="740"/>
    <x v="0"/>
    <x v="1"/>
    <x v="1"/>
    <x v="0"/>
    <x v="0"/>
    <x v="0"/>
    <x v="0"/>
    <x v="1"/>
    <x v="0"/>
    <x v="0"/>
    <x v="461"/>
    <x v="21"/>
    <x v="21"/>
    <x v="24"/>
    <x v="24"/>
    <x v="1"/>
    <x v="6"/>
    <x v="8"/>
    <x v="0"/>
    <x v="0"/>
    <x v="6"/>
    <x v="8"/>
    <x v="0"/>
    <x v="0"/>
    <x v="0"/>
    <x v="0"/>
    <x v="0"/>
    <x v="0"/>
  </r>
  <r>
    <x v="741"/>
    <x v="0"/>
    <x v="2"/>
    <x v="2"/>
    <x v="0"/>
    <x v="0"/>
    <x v="0"/>
    <x v="0"/>
    <x v="1"/>
    <x v="0"/>
    <x v="0"/>
    <x v="462"/>
    <x v="21"/>
    <x v="21"/>
    <x v="5"/>
    <x v="5"/>
    <x v="1"/>
    <x v="4"/>
    <x v="4"/>
    <x v="0"/>
    <x v="0"/>
    <x v="4"/>
    <x v="4"/>
    <x v="0"/>
    <x v="0"/>
    <x v="0"/>
    <x v="0"/>
    <x v="0"/>
    <x v="0"/>
  </r>
  <r>
    <x v="742"/>
    <x v="0"/>
    <x v="34"/>
    <x v="34"/>
    <x v="0"/>
    <x v="10"/>
    <x v="5"/>
    <x v="0"/>
    <x v="0"/>
    <x v="0"/>
    <x v="0"/>
    <x v="463"/>
    <x v="21"/>
    <x v="21"/>
    <x v="8"/>
    <x v="8"/>
    <x v="0"/>
    <x v="15"/>
    <x v="16"/>
    <x v="0"/>
    <x v="0"/>
    <x v="15"/>
    <x v="16"/>
    <x v="0"/>
    <x v="0"/>
    <x v="0"/>
    <x v="0"/>
    <x v="0"/>
    <x v="0"/>
  </r>
  <r>
    <x v="743"/>
    <x v="0"/>
    <x v="34"/>
    <x v="34"/>
    <x v="0"/>
    <x v="10"/>
    <x v="5"/>
    <x v="0"/>
    <x v="0"/>
    <x v="0"/>
    <x v="0"/>
    <x v="463"/>
    <x v="21"/>
    <x v="21"/>
    <x v="28"/>
    <x v="28"/>
    <x v="0"/>
    <x v="12"/>
    <x v="43"/>
    <x v="0"/>
    <x v="0"/>
    <x v="12"/>
    <x v="43"/>
    <x v="0"/>
    <x v="0"/>
    <x v="0"/>
    <x v="0"/>
    <x v="0"/>
    <x v="0"/>
  </r>
  <r>
    <x v="744"/>
    <x v="0"/>
    <x v="34"/>
    <x v="34"/>
    <x v="0"/>
    <x v="10"/>
    <x v="5"/>
    <x v="0"/>
    <x v="0"/>
    <x v="0"/>
    <x v="0"/>
    <x v="463"/>
    <x v="21"/>
    <x v="21"/>
    <x v="17"/>
    <x v="17"/>
    <x v="0"/>
    <x v="49"/>
    <x v="87"/>
    <x v="0"/>
    <x v="0"/>
    <x v="49"/>
    <x v="87"/>
    <x v="0"/>
    <x v="0"/>
    <x v="0"/>
    <x v="0"/>
    <x v="0"/>
    <x v="0"/>
  </r>
  <r>
    <x v="745"/>
    <x v="0"/>
    <x v="26"/>
    <x v="26"/>
    <x v="0"/>
    <x v="8"/>
    <x v="6"/>
    <x v="0"/>
    <x v="1"/>
    <x v="0"/>
    <x v="0"/>
    <x v="464"/>
    <x v="21"/>
    <x v="21"/>
    <x v="16"/>
    <x v="16"/>
    <x v="2"/>
    <x v="4"/>
    <x v="22"/>
    <x v="0"/>
    <x v="0"/>
    <x v="4"/>
    <x v="22"/>
    <x v="0"/>
    <x v="0"/>
    <x v="0"/>
    <x v="0"/>
    <x v="0"/>
    <x v="0"/>
  </r>
  <r>
    <x v="746"/>
    <x v="0"/>
    <x v="20"/>
    <x v="20"/>
    <x v="0"/>
    <x v="9"/>
    <x v="7"/>
    <x v="0"/>
    <x v="0"/>
    <x v="0"/>
    <x v="0"/>
    <x v="465"/>
    <x v="21"/>
    <x v="21"/>
    <x v="15"/>
    <x v="15"/>
    <x v="0"/>
    <x v="17"/>
    <x v="18"/>
    <x v="0"/>
    <x v="0"/>
    <x v="17"/>
    <x v="18"/>
    <x v="0"/>
    <x v="0"/>
    <x v="0"/>
    <x v="0"/>
    <x v="0"/>
    <x v="0"/>
  </r>
  <r>
    <x v="747"/>
    <x v="0"/>
    <x v="20"/>
    <x v="20"/>
    <x v="0"/>
    <x v="9"/>
    <x v="7"/>
    <x v="0"/>
    <x v="0"/>
    <x v="0"/>
    <x v="0"/>
    <x v="465"/>
    <x v="21"/>
    <x v="21"/>
    <x v="19"/>
    <x v="19"/>
    <x v="0"/>
    <x v="5"/>
    <x v="5"/>
    <x v="0"/>
    <x v="0"/>
    <x v="5"/>
    <x v="5"/>
    <x v="0"/>
    <x v="0"/>
    <x v="0"/>
    <x v="0"/>
    <x v="0"/>
    <x v="0"/>
  </r>
  <r>
    <x v="748"/>
    <x v="0"/>
    <x v="20"/>
    <x v="20"/>
    <x v="0"/>
    <x v="9"/>
    <x v="7"/>
    <x v="0"/>
    <x v="0"/>
    <x v="0"/>
    <x v="0"/>
    <x v="465"/>
    <x v="21"/>
    <x v="21"/>
    <x v="18"/>
    <x v="18"/>
    <x v="0"/>
    <x v="37"/>
    <x v="82"/>
    <x v="0"/>
    <x v="0"/>
    <x v="37"/>
    <x v="82"/>
    <x v="0"/>
    <x v="0"/>
    <x v="0"/>
    <x v="0"/>
    <x v="0"/>
    <x v="0"/>
  </r>
  <r>
    <x v="749"/>
    <x v="0"/>
    <x v="20"/>
    <x v="20"/>
    <x v="0"/>
    <x v="9"/>
    <x v="7"/>
    <x v="0"/>
    <x v="0"/>
    <x v="0"/>
    <x v="0"/>
    <x v="466"/>
    <x v="21"/>
    <x v="21"/>
    <x v="18"/>
    <x v="18"/>
    <x v="0"/>
    <x v="16"/>
    <x v="17"/>
    <x v="0"/>
    <x v="0"/>
    <x v="16"/>
    <x v="17"/>
    <x v="0"/>
    <x v="0"/>
    <x v="0"/>
    <x v="0"/>
    <x v="0"/>
    <x v="0"/>
  </r>
  <r>
    <x v="750"/>
    <x v="0"/>
    <x v="19"/>
    <x v="19"/>
    <x v="0"/>
    <x v="9"/>
    <x v="7"/>
    <x v="0"/>
    <x v="1"/>
    <x v="0"/>
    <x v="0"/>
    <x v="467"/>
    <x v="21"/>
    <x v="21"/>
    <x v="1"/>
    <x v="1"/>
    <x v="1"/>
    <x v="4"/>
    <x v="4"/>
    <x v="0"/>
    <x v="0"/>
    <x v="4"/>
    <x v="4"/>
    <x v="0"/>
    <x v="0"/>
    <x v="0"/>
    <x v="0"/>
    <x v="0"/>
    <x v="0"/>
  </r>
  <r>
    <x v="751"/>
    <x v="0"/>
    <x v="19"/>
    <x v="19"/>
    <x v="0"/>
    <x v="9"/>
    <x v="7"/>
    <x v="0"/>
    <x v="1"/>
    <x v="0"/>
    <x v="0"/>
    <x v="467"/>
    <x v="21"/>
    <x v="21"/>
    <x v="6"/>
    <x v="6"/>
    <x v="1"/>
    <x v="5"/>
    <x v="26"/>
    <x v="0"/>
    <x v="0"/>
    <x v="5"/>
    <x v="26"/>
    <x v="0"/>
    <x v="0"/>
    <x v="0"/>
    <x v="0"/>
    <x v="0"/>
    <x v="0"/>
  </r>
  <r>
    <x v="752"/>
    <x v="0"/>
    <x v="40"/>
    <x v="40"/>
    <x v="0"/>
    <x v="10"/>
    <x v="5"/>
    <x v="0"/>
    <x v="0"/>
    <x v="0"/>
    <x v="0"/>
    <x v="468"/>
    <x v="21"/>
    <x v="21"/>
    <x v="19"/>
    <x v="19"/>
    <x v="0"/>
    <x v="17"/>
    <x v="18"/>
    <x v="0"/>
    <x v="0"/>
    <x v="17"/>
    <x v="18"/>
    <x v="0"/>
    <x v="0"/>
    <x v="0"/>
    <x v="0"/>
    <x v="0"/>
    <x v="0"/>
  </r>
  <r>
    <x v="753"/>
    <x v="0"/>
    <x v="50"/>
    <x v="50"/>
    <x v="0"/>
    <x v="12"/>
    <x v="4"/>
    <x v="1"/>
    <x v="1"/>
    <x v="0"/>
    <x v="3"/>
    <x v="469"/>
    <x v="21"/>
    <x v="21"/>
    <x v="14"/>
    <x v="14"/>
    <x v="1"/>
    <x v="9"/>
    <x v="10"/>
    <x v="0"/>
    <x v="0"/>
    <x v="9"/>
    <x v="10"/>
    <x v="0"/>
    <x v="0"/>
    <x v="0"/>
    <x v="0"/>
    <x v="0"/>
    <x v="0"/>
  </r>
  <r>
    <x v="754"/>
    <x v="0"/>
    <x v="72"/>
    <x v="72"/>
    <x v="0"/>
    <x v="12"/>
    <x v="4"/>
    <x v="1"/>
    <x v="1"/>
    <x v="0"/>
    <x v="3"/>
    <x v="470"/>
    <x v="21"/>
    <x v="21"/>
    <x v="41"/>
    <x v="41"/>
    <x v="1"/>
    <x v="4"/>
    <x v="4"/>
    <x v="0"/>
    <x v="0"/>
    <x v="4"/>
    <x v="4"/>
    <x v="0"/>
    <x v="0"/>
    <x v="0"/>
    <x v="0"/>
    <x v="0"/>
    <x v="0"/>
  </r>
  <r>
    <x v="755"/>
    <x v="0"/>
    <x v="57"/>
    <x v="57"/>
    <x v="0"/>
    <x v="11"/>
    <x v="8"/>
    <x v="1"/>
    <x v="1"/>
    <x v="0"/>
    <x v="3"/>
    <x v="471"/>
    <x v="21"/>
    <x v="21"/>
    <x v="1"/>
    <x v="1"/>
    <x v="1"/>
    <x v="5"/>
    <x v="26"/>
    <x v="0"/>
    <x v="0"/>
    <x v="5"/>
    <x v="26"/>
    <x v="0"/>
    <x v="0"/>
    <x v="0"/>
    <x v="0"/>
    <x v="0"/>
    <x v="0"/>
  </r>
  <r>
    <x v="756"/>
    <x v="0"/>
    <x v="22"/>
    <x v="22"/>
    <x v="0"/>
    <x v="11"/>
    <x v="8"/>
    <x v="1"/>
    <x v="0"/>
    <x v="0"/>
    <x v="3"/>
    <x v="472"/>
    <x v="21"/>
    <x v="21"/>
    <x v="42"/>
    <x v="42"/>
    <x v="3"/>
    <x v="0"/>
    <x v="88"/>
    <x v="0"/>
    <x v="0"/>
    <x v="0"/>
    <x v="88"/>
    <x v="0"/>
    <x v="0"/>
    <x v="0"/>
    <x v="0"/>
    <x v="0"/>
    <x v="0"/>
  </r>
  <r>
    <x v="757"/>
    <x v="0"/>
    <x v="10"/>
    <x v="10"/>
    <x v="0"/>
    <x v="3"/>
    <x v="1"/>
    <x v="1"/>
    <x v="1"/>
    <x v="0"/>
    <x v="1"/>
    <x v="473"/>
    <x v="21"/>
    <x v="21"/>
    <x v="36"/>
    <x v="36"/>
    <x v="1"/>
    <x v="4"/>
    <x v="4"/>
    <x v="0"/>
    <x v="0"/>
    <x v="4"/>
    <x v="4"/>
    <x v="0"/>
    <x v="0"/>
    <x v="0"/>
    <x v="0"/>
    <x v="0"/>
    <x v="0"/>
  </r>
  <r>
    <x v="758"/>
    <x v="0"/>
    <x v="36"/>
    <x v="36"/>
    <x v="0"/>
    <x v="3"/>
    <x v="1"/>
    <x v="1"/>
    <x v="1"/>
    <x v="0"/>
    <x v="1"/>
    <x v="474"/>
    <x v="21"/>
    <x v="21"/>
    <x v="12"/>
    <x v="12"/>
    <x v="1"/>
    <x v="9"/>
    <x v="10"/>
    <x v="0"/>
    <x v="0"/>
    <x v="9"/>
    <x v="10"/>
    <x v="0"/>
    <x v="0"/>
    <x v="0"/>
    <x v="0"/>
    <x v="0"/>
    <x v="0"/>
  </r>
  <r>
    <x v="759"/>
    <x v="0"/>
    <x v="58"/>
    <x v="58"/>
    <x v="0"/>
    <x v="4"/>
    <x v="2"/>
    <x v="1"/>
    <x v="1"/>
    <x v="0"/>
    <x v="1"/>
    <x v="475"/>
    <x v="21"/>
    <x v="21"/>
    <x v="25"/>
    <x v="25"/>
    <x v="1"/>
    <x v="52"/>
    <x v="89"/>
    <x v="0"/>
    <x v="0"/>
    <x v="52"/>
    <x v="89"/>
    <x v="0"/>
    <x v="0"/>
    <x v="0"/>
    <x v="0"/>
    <x v="0"/>
    <x v="0"/>
  </r>
  <r>
    <x v="760"/>
    <x v="0"/>
    <x v="13"/>
    <x v="13"/>
    <x v="0"/>
    <x v="5"/>
    <x v="3"/>
    <x v="1"/>
    <x v="1"/>
    <x v="0"/>
    <x v="1"/>
    <x v="476"/>
    <x v="21"/>
    <x v="21"/>
    <x v="16"/>
    <x v="16"/>
    <x v="2"/>
    <x v="1"/>
    <x v="79"/>
    <x v="0"/>
    <x v="0"/>
    <x v="1"/>
    <x v="79"/>
    <x v="0"/>
    <x v="0"/>
    <x v="0"/>
    <x v="0"/>
    <x v="0"/>
    <x v="0"/>
  </r>
  <r>
    <x v="761"/>
    <x v="0"/>
    <x v="38"/>
    <x v="38"/>
    <x v="0"/>
    <x v="11"/>
    <x v="8"/>
    <x v="1"/>
    <x v="1"/>
    <x v="0"/>
    <x v="3"/>
    <x v="477"/>
    <x v="21"/>
    <x v="21"/>
    <x v="14"/>
    <x v="14"/>
    <x v="1"/>
    <x v="13"/>
    <x v="31"/>
    <x v="0"/>
    <x v="0"/>
    <x v="13"/>
    <x v="31"/>
    <x v="0"/>
    <x v="0"/>
    <x v="0"/>
    <x v="0"/>
    <x v="0"/>
    <x v="0"/>
  </r>
  <r>
    <x v="762"/>
    <x v="0"/>
    <x v="53"/>
    <x v="53"/>
    <x v="0"/>
    <x v="0"/>
    <x v="0"/>
    <x v="0"/>
    <x v="0"/>
    <x v="0"/>
    <x v="0"/>
    <x v="478"/>
    <x v="21"/>
    <x v="21"/>
    <x v="19"/>
    <x v="19"/>
    <x v="0"/>
    <x v="1"/>
    <x v="1"/>
    <x v="0"/>
    <x v="0"/>
    <x v="1"/>
    <x v="1"/>
    <x v="0"/>
    <x v="0"/>
    <x v="0"/>
    <x v="0"/>
    <x v="0"/>
    <x v="0"/>
  </r>
  <r>
    <x v="763"/>
    <x v="0"/>
    <x v="53"/>
    <x v="53"/>
    <x v="0"/>
    <x v="0"/>
    <x v="0"/>
    <x v="0"/>
    <x v="1"/>
    <x v="0"/>
    <x v="0"/>
    <x v="478"/>
    <x v="21"/>
    <x v="21"/>
    <x v="10"/>
    <x v="10"/>
    <x v="1"/>
    <x v="0"/>
    <x v="21"/>
    <x v="0"/>
    <x v="0"/>
    <x v="0"/>
    <x v="21"/>
    <x v="0"/>
    <x v="0"/>
    <x v="0"/>
    <x v="0"/>
    <x v="0"/>
    <x v="0"/>
  </r>
  <r>
    <x v="764"/>
    <x v="0"/>
    <x v="53"/>
    <x v="53"/>
    <x v="0"/>
    <x v="0"/>
    <x v="0"/>
    <x v="0"/>
    <x v="1"/>
    <x v="0"/>
    <x v="0"/>
    <x v="478"/>
    <x v="21"/>
    <x v="21"/>
    <x v="38"/>
    <x v="38"/>
    <x v="1"/>
    <x v="4"/>
    <x v="4"/>
    <x v="0"/>
    <x v="0"/>
    <x v="4"/>
    <x v="4"/>
    <x v="0"/>
    <x v="0"/>
    <x v="0"/>
    <x v="0"/>
    <x v="0"/>
    <x v="0"/>
  </r>
  <r>
    <x v="765"/>
    <x v="0"/>
    <x v="69"/>
    <x v="69"/>
    <x v="0"/>
    <x v="1"/>
    <x v="0"/>
    <x v="0"/>
    <x v="1"/>
    <x v="0"/>
    <x v="0"/>
    <x v="479"/>
    <x v="22"/>
    <x v="22"/>
    <x v="29"/>
    <x v="29"/>
    <x v="1"/>
    <x v="21"/>
    <x v="28"/>
    <x v="0"/>
    <x v="0"/>
    <x v="21"/>
    <x v="28"/>
    <x v="0"/>
    <x v="0"/>
    <x v="0"/>
    <x v="0"/>
    <x v="0"/>
    <x v="0"/>
  </r>
  <r>
    <x v="766"/>
    <x v="0"/>
    <x v="2"/>
    <x v="2"/>
    <x v="0"/>
    <x v="0"/>
    <x v="0"/>
    <x v="0"/>
    <x v="1"/>
    <x v="0"/>
    <x v="0"/>
    <x v="480"/>
    <x v="22"/>
    <x v="22"/>
    <x v="36"/>
    <x v="36"/>
    <x v="1"/>
    <x v="13"/>
    <x v="31"/>
    <x v="0"/>
    <x v="0"/>
    <x v="13"/>
    <x v="31"/>
    <x v="0"/>
    <x v="0"/>
    <x v="0"/>
    <x v="0"/>
    <x v="0"/>
    <x v="0"/>
  </r>
  <r>
    <x v="767"/>
    <x v="0"/>
    <x v="2"/>
    <x v="2"/>
    <x v="0"/>
    <x v="0"/>
    <x v="0"/>
    <x v="0"/>
    <x v="0"/>
    <x v="0"/>
    <x v="0"/>
    <x v="480"/>
    <x v="22"/>
    <x v="22"/>
    <x v="4"/>
    <x v="4"/>
    <x v="0"/>
    <x v="14"/>
    <x v="15"/>
    <x v="0"/>
    <x v="0"/>
    <x v="14"/>
    <x v="15"/>
    <x v="0"/>
    <x v="0"/>
    <x v="0"/>
    <x v="0"/>
    <x v="0"/>
    <x v="0"/>
  </r>
  <r>
    <x v="768"/>
    <x v="0"/>
    <x v="2"/>
    <x v="2"/>
    <x v="0"/>
    <x v="0"/>
    <x v="0"/>
    <x v="0"/>
    <x v="0"/>
    <x v="0"/>
    <x v="0"/>
    <x v="480"/>
    <x v="22"/>
    <x v="22"/>
    <x v="0"/>
    <x v="0"/>
    <x v="0"/>
    <x v="5"/>
    <x v="5"/>
    <x v="0"/>
    <x v="0"/>
    <x v="5"/>
    <x v="5"/>
    <x v="0"/>
    <x v="0"/>
    <x v="0"/>
    <x v="0"/>
    <x v="0"/>
    <x v="0"/>
  </r>
  <r>
    <x v="769"/>
    <x v="0"/>
    <x v="2"/>
    <x v="2"/>
    <x v="0"/>
    <x v="0"/>
    <x v="0"/>
    <x v="0"/>
    <x v="1"/>
    <x v="0"/>
    <x v="0"/>
    <x v="480"/>
    <x v="22"/>
    <x v="22"/>
    <x v="1"/>
    <x v="1"/>
    <x v="1"/>
    <x v="53"/>
    <x v="90"/>
    <x v="0"/>
    <x v="0"/>
    <x v="53"/>
    <x v="90"/>
    <x v="0"/>
    <x v="0"/>
    <x v="0"/>
    <x v="0"/>
    <x v="0"/>
    <x v="0"/>
  </r>
  <r>
    <x v="770"/>
    <x v="0"/>
    <x v="20"/>
    <x v="20"/>
    <x v="0"/>
    <x v="9"/>
    <x v="7"/>
    <x v="0"/>
    <x v="0"/>
    <x v="0"/>
    <x v="0"/>
    <x v="481"/>
    <x v="22"/>
    <x v="22"/>
    <x v="18"/>
    <x v="18"/>
    <x v="0"/>
    <x v="21"/>
    <x v="48"/>
    <x v="0"/>
    <x v="0"/>
    <x v="21"/>
    <x v="48"/>
    <x v="0"/>
    <x v="0"/>
    <x v="0"/>
    <x v="0"/>
    <x v="0"/>
    <x v="0"/>
  </r>
  <r>
    <x v="771"/>
    <x v="0"/>
    <x v="19"/>
    <x v="19"/>
    <x v="0"/>
    <x v="9"/>
    <x v="7"/>
    <x v="0"/>
    <x v="0"/>
    <x v="0"/>
    <x v="0"/>
    <x v="482"/>
    <x v="22"/>
    <x v="22"/>
    <x v="0"/>
    <x v="0"/>
    <x v="0"/>
    <x v="14"/>
    <x v="15"/>
    <x v="0"/>
    <x v="0"/>
    <x v="14"/>
    <x v="15"/>
    <x v="0"/>
    <x v="0"/>
    <x v="0"/>
    <x v="0"/>
    <x v="0"/>
    <x v="0"/>
  </r>
  <r>
    <x v="772"/>
    <x v="0"/>
    <x v="73"/>
    <x v="73"/>
    <x v="0"/>
    <x v="4"/>
    <x v="2"/>
    <x v="1"/>
    <x v="1"/>
    <x v="0"/>
    <x v="1"/>
    <x v="483"/>
    <x v="22"/>
    <x v="22"/>
    <x v="11"/>
    <x v="11"/>
    <x v="1"/>
    <x v="19"/>
    <x v="24"/>
    <x v="0"/>
    <x v="0"/>
    <x v="19"/>
    <x v="24"/>
    <x v="0"/>
    <x v="0"/>
    <x v="0"/>
    <x v="0"/>
    <x v="0"/>
    <x v="0"/>
  </r>
  <r>
    <x v="773"/>
    <x v="0"/>
    <x v="72"/>
    <x v="72"/>
    <x v="0"/>
    <x v="12"/>
    <x v="4"/>
    <x v="1"/>
    <x v="0"/>
    <x v="0"/>
    <x v="3"/>
    <x v="484"/>
    <x v="22"/>
    <x v="22"/>
    <x v="28"/>
    <x v="28"/>
    <x v="0"/>
    <x v="1"/>
    <x v="1"/>
    <x v="0"/>
    <x v="0"/>
    <x v="1"/>
    <x v="1"/>
    <x v="0"/>
    <x v="0"/>
    <x v="0"/>
    <x v="0"/>
    <x v="0"/>
    <x v="0"/>
  </r>
  <r>
    <x v="774"/>
    <x v="0"/>
    <x v="22"/>
    <x v="22"/>
    <x v="0"/>
    <x v="11"/>
    <x v="8"/>
    <x v="1"/>
    <x v="1"/>
    <x v="0"/>
    <x v="3"/>
    <x v="485"/>
    <x v="22"/>
    <x v="22"/>
    <x v="1"/>
    <x v="1"/>
    <x v="1"/>
    <x v="0"/>
    <x v="21"/>
    <x v="0"/>
    <x v="0"/>
    <x v="0"/>
    <x v="21"/>
    <x v="0"/>
    <x v="0"/>
    <x v="0"/>
    <x v="0"/>
    <x v="0"/>
    <x v="0"/>
  </r>
  <r>
    <x v="775"/>
    <x v="0"/>
    <x v="22"/>
    <x v="22"/>
    <x v="0"/>
    <x v="11"/>
    <x v="8"/>
    <x v="1"/>
    <x v="0"/>
    <x v="0"/>
    <x v="3"/>
    <x v="485"/>
    <x v="22"/>
    <x v="22"/>
    <x v="47"/>
    <x v="47"/>
    <x v="3"/>
    <x v="6"/>
    <x v="75"/>
    <x v="0"/>
    <x v="0"/>
    <x v="6"/>
    <x v="75"/>
    <x v="0"/>
    <x v="0"/>
    <x v="0"/>
    <x v="0"/>
    <x v="0"/>
    <x v="0"/>
  </r>
  <r>
    <x v="776"/>
    <x v="0"/>
    <x v="39"/>
    <x v="39"/>
    <x v="0"/>
    <x v="12"/>
    <x v="4"/>
    <x v="1"/>
    <x v="0"/>
    <x v="0"/>
    <x v="3"/>
    <x v="486"/>
    <x v="22"/>
    <x v="22"/>
    <x v="0"/>
    <x v="0"/>
    <x v="0"/>
    <x v="6"/>
    <x v="6"/>
    <x v="0"/>
    <x v="0"/>
    <x v="6"/>
    <x v="6"/>
    <x v="0"/>
    <x v="0"/>
    <x v="0"/>
    <x v="0"/>
    <x v="0"/>
    <x v="0"/>
  </r>
  <r>
    <x v="777"/>
    <x v="0"/>
    <x v="40"/>
    <x v="40"/>
    <x v="0"/>
    <x v="10"/>
    <x v="5"/>
    <x v="0"/>
    <x v="0"/>
    <x v="0"/>
    <x v="0"/>
    <x v="487"/>
    <x v="22"/>
    <x v="22"/>
    <x v="0"/>
    <x v="0"/>
    <x v="0"/>
    <x v="15"/>
    <x v="16"/>
    <x v="0"/>
    <x v="0"/>
    <x v="15"/>
    <x v="16"/>
    <x v="0"/>
    <x v="0"/>
    <x v="0"/>
    <x v="0"/>
    <x v="0"/>
    <x v="0"/>
  </r>
  <r>
    <x v="778"/>
    <x v="0"/>
    <x v="59"/>
    <x v="59"/>
    <x v="0"/>
    <x v="7"/>
    <x v="5"/>
    <x v="0"/>
    <x v="1"/>
    <x v="0"/>
    <x v="0"/>
    <x v="488"/>
    <x v="22"/>
    <x v="22"/>
    <x v="1"/>
    <x v="1"/>
    <x v="1"/>
    <x v="20"/>
    <x v="25"/>
    <x v="0"/>
    <x v="0"/>
    <x v="20"/>
    <x v="25"/>
    <x v="0"/>
    <x v="0"/>
    <x v="0"/>
    <x v="0"/>
    <x v="0"/>
    <x v="0"/>
  </r>
  <r>
    <x v="779"/>
    <x v="0"/>
    <x v="21"/>
    <x v="21"/>
    <x v="0"/>
    <x v="10"/>
    <x v="5"/>
    <x v="0"/>
    <x v="1"/>
    <x v="0"/>
    <x v="0"/>
    <x v="489"/>
    <x v="22"/>
    <x v="22"/>
    <x v="1"/>
    <x v="1"/>
    <x v="1"/>
    <x v="4"/>
    <x v="4"/>
    <x v="0"/>
    <x v="0"/>
    <x v="4"/>
    <x v="4"/>
    <x v="0"/>
    <x v="0"/>
    <x v="0"/>
    <x v="0"/>
    <x v="0"/>
    <x v="0"/>
  </r>
  <r>
    <x v="780"/>
    <x v="0"/>
    <x v="48"/>
    <x v="48"/>
    <x v="0"/>
    <x v="0"/>
    <x v="0"/>
    <x v="0"/>
    <x v="0"/>
    <x v="0"/>
    <x v="0"/>
    <x v="490"/>
    <x v="22"/>
    <x v="22"/>
    <x v="15"/>
    <x v="15"/>
    <x v="0"/>
    <x v="35"/>
    <x v="57"/>
    <x v="0"/>
    <x v="0"/>
    <x v="35"/>
    <x v="57"/>
    <x v="0"/>
    <x v="0"/>
    <x v="0"/>
    <x v="0"/>
    <x v="0"/>
    <x v="0"/>
  </r>
  <r>
    <x v="781"/>
    <x v="0"/>
    <x v="48"/>
    <x v="48"/>
    <x v="0"/>
    <x v="0"/>
    <x v="0"/>
    <x v="0"/>
    <x v="1"/>
    <x v="0"/>
    <x v="0"/>
    <x v="490"/>
    <x v="22"/>
    <x v="22"/>
    <x v="1"/>
    <x v="1"/>
    <x v="1"/>
    <x v="6"/>
    <x v="8"/>
    <x v="0"/>
    <x v="0"/>
    <x v="6"/>
    <x v="8"/>
    <x v="0"/>
    <x v="0"/>
    <x v="0"/>
    <x v="0"/>
    <x v="0"/>
    <x v="0"/>
  </r>
  <r>
    <x v="782"/>
    <x v="0"/>
    <x v="48"/>
    <x v="48"/>
    <x v="0"/>
    <x v="0"/>
    <x v="0"/>
    <x v="0"/>
    <x v="1"/>
    <x v="0"/>
    <x v="0"/>
    <x v="490"/>
    <x v="22"/>
    <x v="22"/>
    <x v="3"/>
    <x v="3"/>
    <x v="1"/>
    <x v="4"/>
    <x v="4"/>
    <x v="0"/>
    <x v="0"/>
    <x v="4"/>
    <x v="4"/>
    <x v="0"/>
    <x v="0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0"/>
    <x v="1"/>
    <x v="1"/>
    <x v="0"/>
    <x v="0"/>
    <x v="0"/>
    <x v="1"/>
    <x v="1"/>
    <x v="0"/>
    <x v="1"/>
    <x v="1"/>
    <x v="0"/>
    <x v="0"/>
    <x v="1"/>
    <x v="1"/>
    <x v="1"/>
    <x v="1"/>
    <x v="0"/>
    <x v="0"/>
    <x v="0"/>
    <x v="1"/>
  </r>
  <r>
    <x v="2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2"/>
    <x v="2"/>
    <x v="0"/>
    <x v="0"/>
    <x v="0"/>
    <x v="2"/>
  </r>
  <r>
    <x v="3"/>
    <x v="0"/>
    <x v="0"/>
    <x v="0"/>
    <x v="0"/>
    <x v="0"/>
    <x v="0"/>
    <x v="0"/>
    <x v="0"/>
    <x v="0"/>
    <x v="0"/>
    <x v="0"/>
    <x v="0"/>
    <x v="0"/>
    <x v="2"/>
    <x v="2"/>
    <x v="0"/>
    <x v="2"/>
    <x v="2"/>
    <x v="0"/>
    <x v="0"/>
    <x v="2"/>
    <x v="2"/>
    <x v="0"/>
    <x v="0"/>
    <x v="0"/>
    <x v="0"/>
    <x v="0"/>
    <x v="0"/>
  </r>
  <r>
    <x v="4"/>
    <x v="0"/>
    <x v="2"/>
    <x v="2"/>
    <x v="2"/>
    <x v="2"/>
    <x v="2"/>
    <x v="0"/>
    <x v="0"/>
    <x v="1"/>
    <x v="0"/>
    <x v="1"/>
    <x v="0"/>
    <x v="0"/>
    <x v="1"/>
    <x v="1"/>
    <x v="0"/>
    <x v="3"/>
    <x v="3"/>
    <x v="0"/>
    <x v="0"/>
    <x v="3"/>
    <x v="3"/>
    <x v="3"/>
    <x v="3"/>
    <x v="0"/>
    <x v="0"/>
    <x v="0"/>
    <x v="3"/>
  </r>
  <r>
    <x v="5"/>
    <x v="0"/>
    <x v="3"/>
    <x v="3"/>
    <x v="3"/>
    <x v="0"/>
    <x v="0"/>
    <x v="0"/>
    <x v="1"/>
    <x v="0"/>
    <x v="0"/>
    <x v="2"/>
    <x v="0"/>
    <x v="0"/>
    <x v="3"/>
    <x v="3"/>
    <x v="1"/>
    <x v="4"/>
    <x v="4"/>
    <x v="0"/>
    <x v="0"/>
    <x v="4"/>
    <x v="4"/>
    <x v="0"/>
    <x v="0"/>
    <x v="0"/>
    <x v="0"/>
    <x v="0"/>
    <x v="0"/>
  </r>
  <r>
    <x v="6"/>
    <x v="0"/>
    <x v="4"/>
    <x v="4"/>
    <x v="4"/>
    <x v="3"/>
    <x v="3"/>
    <x v="0"/>
    <x v="0"/>
    <x v="1"/>
    <x v="0"/>
    <x v="2"/>
    <x v="1"/>
    <x v="1"/>
    <x v="4"/>
    <x v="4"/>
    <x v="0"/>
    <x v="0"/>
    <x v="0"/>
    <x v="0"/>
    <x v="0"/>
    <x v="0"/>
    <x v="0"/>
    <x v="2"/>
    <x v="2"/>
    <x v="0"/>
    <x v="0"/>
    <x v="0"/>
    <x v="2"/>
  </r>
  <r>
    <x v="7"/>
    <x v="0"/>
    <x v="5"/>
    <x v="5"/>
    <x v="5"/>
    <x v="4"/>
    <x v="4"/>
    <x v="1"/>
    <x v="2"/>
    <x v="1"/>
    <x v="2"/>
    <x v="3"/>
    <x v="1"/>
    <x v="1"/>
    <x v="5"/>
    <x v="5"/>
    <x v="2"/>
    <x v="5"/>
    <x v="5"/>
    <x v="0"/>
    <x v="0"/>
    <x v="5"/>
    <x v="5"/>
    <x v="0"/>
    <x v="4"/>
    <x v="1"/>
    <x v="0"/>
    <x v="1"/>
    <x v="4"/>
  </r>
  <r>
    <x v="8"/>
    <x v="0"/>
    <x v="6"/>
    <x v="6"/>
    <x v="6"/>
    <x v="3"/>
    <x v="3"/>
    <x v="0"/>
    <x v="0"/>
    <x v="1"/>
    <x v="0"/>
    <x v="4"/>
    <x v="1"/>
    <x v="1"/>
    <x v="6"/>
    <x v="6"/>
    <x v="0"/>
    <x v="6"/>
    <x v="6"/>
    <x v="0"/>
    <x v="0"/>
    <x v="6"/>
    <x v="6"/>
    <x v="4"/>
    <x v="5"/>
    <x v="0"/>
    <x v="0"/>
    <x v="0"/>
    <x v="5"/>
  </r>
  <r>
    <x v="9"/>
    <x v="0"/>
    <x v="6"/>
    <x v="6"/>
    <x v="6"/>
    <x v="3"/>
    <x v="3"/>
    <x v="0"/>
    <x v="0"/>
    <x v="1"/>
    <x v="0"/>
    <x v="4"/>
    <x v="1"/>
    <x v="1"/>
    <x v="1"/>
    <x v="1"/>
    <x v="0"/>
    <x v="3"/>
    <x v="3"/>
    <x v="0"/>
    <x v="0"/>
    <x v="3"/>
    <x v="3"/>
    <x v="3"/>
    <x v="3"/>
    <x v="0"/>
    <x v="0"/>
    <x v="0"/>
    <x v="3"/>
  </r>
  <r>
    <x v="10"/>
    <x v="0"/>
    <x v="6"/>
    <x v="6"/>
    <x v="6"/>
    <x v="3"/>
    <x v="3"/>
    <x v="0"/>
    <x v="0"/>
    <x v="1"/>
    <x v="0"/>
    <x v="4"/>
    <x v="1"/>
    <x v="1"/>
    <x v="7"/>
    <x v="7"/>
    <x v="0"/>
    <x v="6"/>
    <x v="6"/>
    <x v="0"/>
    <x v="0"/>
    <x v="6"/>
    <x v="6"/>
    <x v="0"/>
    <x v="0"/>
    <x v="0"/>
    <x v="0"/>
    <x v="0"/>
    <x v="0"/>
  </r>
  <r>
    <x v="11"/>
    <x v="0"/>
    <x v="7"/>
    <x v="7"/>
    <x v="7"/>
    <x v="3"/>
    <x v="3"/>
    <x v="0"/>
    <x v="0"/>
    <x v="1"/>
    <x v="0"/>
    <x v="5"/>
    <x v="1"/>
    <x v="1"/>
    <x v="1"/>
    <x v="1"/>
    <x v="0"/>
    <x v="3"/>
    <x v="3"/>
    <x v="0"/>
    <x v="0"/>
    <x v="3"/>
    <x v="3"/>
    <x v="3"/>
    <x v="3"/>
    <x v="0"/>
    <x v="0"/>
    <x v="0"/>
    <x v="3"/>
  </r>
  <r>
    <x v="12"/>
    <x v="0"/>
    <x v="8"/>
    <x v="8"/>
    <x v="8"/>
    <x v="5"/>
    <x v="0"/>
    <x v="0"/>
    <x v="3"/>
    <x v="1"/>
    <x v="0"/>
    <x v="6"/>
    <x v="1"/>
    <x v="1"/>
    <x v="8"/>
    <x v="8"/>
    <x v="3"/>
    <x v="7"/>
    <x v="7"/>
    <x v="0"/>
    <x v="0"/>
    <x v="7"/>
    <x v="7"/>
    <x v="0"/>
    <x v="0"/>
    <x v="0"/>
    <x v="0"/>
    <x v="0"/>
    <x v="0"/>
  </r>
  <r>
    <x v="13"/>
    <x v="0"/>
    <x v="9"/>
    <x v="9"/>
    <x v="9"/>
    <x v="6"/>
    <x v="5"/>
    <x v="0"/>
    <x v="0"/>
    <x v="1"/>
    <x v="0"/>
    <x v="7"/>
    <x v="2"/>
    <x v="2"/>
    <x v="4"/>
    <x v="4"/>
    <x v="0"/>
    <x v="8"/>
    <x v="8"/>
    <x v="0"/>
    <x v="0"/>
    <x v="8"/>
    <x v="8"/>
    <x v="5"/>
    <x v="6"/>
    <x v="0"/>
    <x v="0"/>
    <x v="0"/>
    <x v="6"/>
  </r>
  <r>
    <x v="14"/>
    <x v="0"/>
    <x v="9"/>
    <x v="9"/>
    <x v="9"/>
    <x v="6"/>
    <x v="5"/>
    <x v="0"/>
    <x v="0"/>
    <x v="1"/>
    <x v="0"/>
    <x v="7"/>
    <x v="2"/>
    <x v="2"/>
    <x v="1"/>
    <x v="1"/>
    <x v="0"/>
    <x v="6"/>
    <x v="6"/>
    <x v="0"/>
    <x v="0"/>
    <x v="6"/>
    <x v="6"/>
    <x v="4"/>
    <x v="5"/>
    <x v="0"/>
    <x v="0"/>
    <x v="0"/>
    <x v="5"/>
  </r>
  <r>
    <x v="15"/>
    <x v="0"/>
    <x v="1"/>
    <x v="1"/>
    <x v="1"/>
    <x v="1"/>
    <x v="1"/>
    <x v="1"/>
    <x v="0"/>
    <x v="1"/>
    <x v="1"/>
    <x v="8"/>
    <x v="2"/>
    <x v="2"/>
    <x v="1"/>
    <x v="1"/>
    <x v="0"/>
    <x v="3"/>
    <x v="3"/>
    <x v="0"/>
    <x v="0"/>
    <x v="3"/>
    <x v="3"/>
    <x v="3"/>
    <x v="3"/>
    <x v="0"/>
    <x v="0"/>
    <x v="0"/>
    <x v="3"/>
  </r>
  <r>
    <x v="16"/>
    <x v="0"/>
    <x v="10"/>
    <x v="10"/>
    <x v="10"/>
    <x v="4"/>
    <x v="4"/>
    <x v="1"/>
    <x v="2"/>
    <x v="0"/>
    <x v="2"/>
    <x v="8"/>
    <x v="0"/>
    <x v="0"/>
    <x v="5"/>
    <x v="5"/>
    <x v="2"/>
    <x v="0"/>
    <x v="9"/>
    <x v="0"/>
    <x v="0"/>
    <x v="0"/>
    <x v="9"/>
    <x v="0"/>
    <x v="7"/>
    <x v="2"/>
    <x v="0"/>
    <x v="2"/>
    <x v="7"/>
  </r>
  <r>
    <x v="17"/>
    <x v="0"/>
    <x v="11"/>
    <x v="11"/>
    <x v="11"/>
    <x v="7"/>
    <x v="6"/>
    <x v="2"/>
    <x v="0"/>
    <x v="1"/>
    <x v="2"/>
    <x v="9"/>
    <x v="2"/>
    <x v="2"/>
    <x v="9"/>
    <x v="9"/>
    <x v="4"/>
    <x v="6"/>
    <x v="10"/>
    <x v="0"/>
    <x v="0"/>
    <x v="6"/>
    <x v="10"/>
    <x v="0"/>
    <x v="0"/>
    <x v="0"/>
    <x v="0"/>
    <x v="0"/>
    <x v="0"/>
  </r>
  <r>
    <x v="18"/>
    <x v="0"/>
    <x v="12"/>
    <x v="12"/>
    <x v="12"/>
    <x v="7"/>
    <x v="6"/>
    <x v="2"/>
    <x v="1"/>
    <x v="1"/>
    <x v="2"/>
    <x v="10"/>
    <x v="3"/>
    <x v="3"/>
    <x v="10"/>
    <x v="10"/>
    <x v="5"/>
    <x v="3"/>
    <x v="11"/>
    <x v="0"/>
    <x v="0"/>
    <x v="3"/>
    <x v="11"/>
    <x v="0"/>
    <x v="0"/>
    <x v="0"/>
    <x v="0"/>
    <x v="0"/>
    <x v="0"/>
  </r>
  <r>
    <x v="19"/>
    <x v="0"/>
    <x v="13"/>
    <x v="13"/>
    <x v="13"/>
    <x v="8"/>
    <x v="7"/>
    <x v="0"/>
    <x v="1"/>
    <x v="1"/>
    <x v="0"/>
    <x v="11"/>
    <x v="3"/>
    <x v="3"/>
    <x v="11"/>
    <x v="11"/>
    <x v="6"/>
    <x v="9"/>
    <x v="12"/>
    <x v="0"/>
    <x v="0"/>
    <x v="9"/>
    <x v="12"/>
    <x v="6"/>
    <x v="8"/>
    <x v="0"/>
    <x v="0"/>
    <x v="0"/>
    <x v="8"/>
  </r>
  <r>
    <x v="20"/>
    <x v="0"/>
    <x v="13"/>
    <x v="13"/>
    <x v="13"/>
    <x v="8"/>
    <x v="7"/>
    <x v="0"/>
    <x v="1"/>
    <x v="1"/>
    <x v="0"/>
    <x v="11"/>
    <x v="3"/>
    <x v="3"/>
    <x v="12"/>
    <x v="12"/>
    <x v="6"/>
    <x v="10"/>
    <x v="13"/>
    <x v="0"/>
    <x v="0"/>
    <x v="10"/>
    <x v="13"/>
    <x v="7"/>
    <x v="9"/>
    <x v="0"/>
    <x v="0"/>
    <x v="0"/>
    <x v="9"/>
  </r>
  <r>
    <x v="21"/>
    <x v="0"/>
    <x v="13"/>
    <x v="13"/>
    <x v="13"/>
    <x v="8"/>
    <x v="7"/>
    <x v="0"/>
    <x v="1"/>
    <x v="1"/>
    <x v="0"/>
    <x v="11"/>
    <x v="3"/>
    <x v="3"/>
    <x v="13"/>
    <x v="13"/>
    <x v="6"/>
    <x v="11"/>
    <x v="14"/>
    <x v="0"/>
    <x v="0"/>
    <x v="11"/>
    <x v="14"/>
    <x v="0"/>
    <x v="0"/>
    <x v="0"/>
    <x v="0"/>
    <x v="0"/>
    <x v="0"/>
  </r>
  <r>
    <x v="22"/>
    <x v="0"/>
    <x v="13"/>
    <x v="13"/>
    <x v="13"/>
    <x v="8"/>
    <x v="7"/>
    <x v="0"/>
    <x v="1"/>
    <x v="1"/>
    <x v="0"/>
    <x v="12"/>
    <x v="3"/>
    <x v="3"/>
    <x v="11"/>
    <x v="11"/>
    <x v="6"/>
    <x v="5"/>
    <x v="15"/>
    <x v="0"/>
    <x v="0"/>
    <x v="5"/>
    <x v="15"/>
    <x v="8"/>
    <x v="10"/>
    <x v="0"/>
    <x v="0"/>
    <x v="0"/>
    <x v="10"/>
  </r>
  <r>
    <x v="23"/>
    <x v="0"/>
    <x v="12"/>
    <x v="12"/>
    <x v="12"/>
    <x v="7"/>
    <x v="6"/>
    <x v="2"/>
    <x v="0"/>
    <x v="1"/>
    <x v="2"/>
    <x v="13"/>
    <x v="3"/>
    <x v="3"/>
    <x v="1"/>
    <x v="1"/>
    <x v="7"/>
    <x v="3"/>
    <x v="16"/>
    <x v="0"/>
    <x v="0"/>
    <x v="3"/>
    <x v="16"/>
    <x v="0"/>
    <x v="0"/>
    <x v="0"/>
    <x v="0"/>
    <x v="0"/>
    <x v="0"/>
  </r>
  <r>
    <x v="24"/>
    <x v="0"/>
    <x v="12"/>
    <x v="12"/>
    <x v="12"/>
    <x v="7"/>
    <x v="6"/>
    <x v="2"/>
    <x v="0"/>
    <x v="1"/>
    <x v="2"/>
    <x v="13"/>
    <x v="3"/>
    <x v="3"/>
    <x v="14"/>
    <x v="14"/>
    <x v="7"/>
    <x v="0"/>
    <x v="17"/>
    <x v="0"/>
    <x v="0"/>
    <x v="0"/>
    <x v="17"/>
    <x v="0"/>
    <x v="0"/>
    <x v="0"/>
    <x v="0"/>
    <x v="0"/>
    <x v="0"/>
  </r>
  <r>
    <x v="25"/>
    <x v="0"/>
    <x v="4"/>
    <x v="4"/>
    <x v="4"/>
    <x v="3"/>
    <x v="3"/>
    <x v="0"/>
    <x v="0"/>
    <x v="1"/>
    <x v="0"/>
    <x v="14"/>
    <x v="4"/>
    <x v="4"/>
    <x v="4"/>
    <x v="4"/>
    <x v="0"/>
    <x v="12"/>
    <x v="18"/>
    <x v="0"/>
    <x v="0"/>
    <x v="12"/>
    <x v="18"/>
    <x v="9"/>
    <x v="9"/>
    <x v="0"/>
    <x v="0"/>
    <x v="0"/>
    <x v="11"/>
  </r>
  <r>
    <x v="26"/>
    <x v="0"/>
    <x v="14"/>
    <x v="14"/>
    <x v="14"/>
    <x v="9"/>
    <x v="8"/>
    <x v="1"/>
    <x v="0"/>
    <x v="1"/>
    <x v="3"/>
    <x v="15"/>
    <x v="4"/>
    <x v="4"/>
    <x v="15"/>
    <x v="15"/>
    <x v="0"/>
    <x v="0"/>
    <x v="0"/>
    <x v="0"/>
    <x v="0"/>
    <x v="0"/>
    <x v="0"/>
    <x v="0"/>
    <x v="0"/>
    <x v="0"/>
    <x v="0"/>
    <x v="0"/>
    <x v="0"/>
  </r>
  <r>
    <x v="27"/>
    <x v="0"/>
    <x v="14"/>
    <x v="14"/>
    <x v="14"/>
    <x v="9"/>
    <x v="8"/>
    <x v="1"/>
    <x v="0"/>
    <x v="1"/>
    <x v="3"/>
    <x v="15"/>
    <x v="4"/>
    <x v="4"/>
    <x v="16"/>
    <x v="16"/>
    <x v="0"/>
    <x v="13"/>
    <x v="19"/>
    <x v="0"/>
    <x v="0"/>
    <x v="13"/>
    <x v="19"/>
    <x v="0"/>
    <x v="0"/>
    <x v="0"/>
    <x v="0"/>
    <x v="0"/>
    <x v="0"/>
  </r>
  <r>
    <x v="28"/>
    <x v="0"/>
    <x v="15"/>
    <x v="15"/>
    <x v="15"/>
    <x v="10"/>
    <x v="9"/>
    <x v="1"/>
    <x v="0"/>
    <x v="0"/>
    <x v="2"/>
    <x v="16"/>
    <x v="0"/>
    <x v="0"/>
    <x v="1"/>
    <x v="1"/>
    <x v="0"/>
    <x v="14"/>
    <x v="20"/>
    <x v="0"/>
    <x v="0"/>
    <x v="14"/>
    <x v="20"/>
    <x v="10"/>
    <x v="11"/>
    <x v="0"/>
    <x v="0"/>
    <x v="0"/>
    <x v="12"/>
  </r>
  <r>
    <x v="29"/>
    <x v="0"/>
    <x v="16"/>
    <x v="16"/>
    <x v="16"/>
    <x v="5"/>
    <x v="0"/>
    <x v="0"/>
    <x v="0"/>
    <x v="1"/>
    <x v="0"/>
    <x v="16"/>
    <x v="5"/>
    <x v="5"/>
    <x v="1"/>
    <x v="1"/>
    <x v="0"/>
    <x v="11"/>
    <x v="21"/>
    <x v="0"/>
    <x v="0"/>
    <x v="11"/>
    <x v="21"/>
    <x v="11"/>
    <x v="12"/>
    <x v="0"/>
    <x v="0"/>
    <x v="0"/>
    <x v="13"/>
  </r>
  <r>
    <x v="30"/>
    <x v="0"/>
    <x v="17"/>
    <x v="17"/>
    <x v="17"/>
    <x v="8"/>
    <x v="7"/>
    <x v="0"/>
    <x v="4"/>
    <x v="1"/>
    <x v="0"/>
    <x v="17"/>
    <x v="5"/>
    <x v="5"/>
    <x v="17"/>
    <x v="17"/>
    <x v="8"/>
    <x v="15"/>
    <x v="22"/>
    <x v="0"/>
    <x v="0"/>
    <x v="15"/>
    <x v="22"/>
    <x v="12"/>
    <x v="13"/>
    <x v="3"/>
    <x v="0"/>
    <x v="3"/>
    <x v="14"/>
  </r>
  <r>
    <x v="31"/>
    <x v="0"/>
    <x v="17"/>
    <x v="17"/>
    <x v="17"/>
    <x v="8"/>
    <x v="7"/>
    <x v="0"/>
    <x v="4"/>
    <x v="1"/>
    <x v="0"/>
    <x v="17"/>
    <x v="5"/>
    <x v="5"/>
    <x v="18"/>
    <x v="18"/>
    <x v="9"/>
    <x v="5"/>
    <x v="23"/>
    <x v="0"/>
    <x v="0"/>
    <x v="5"/>
    <x v="23"/>
    <x v="13"/>
    <x v="14"/>
    <x v="4"/>
    <x v="0"/>
    <x v="1"/>
    <x v="15"/>
  </r>
  <r>
    <x v="32"/>
    <x v="0"/>
    <x v="18"/>
    <x v="18"/>
    <x v="18"/>
    <x v="6"/>
    <x v="5"/>
    <x v="0"/>
    <x v="0"/>
    <x v="1"/>
    <x v="0"/>
    <x v="18"/>
    <x v="5"/>
    <x v="5"/>
    <x v="19"/>
    <x v="19"/>
    <x v="0"/>
    <x v="14"/>
    <x v="20"/>
    <x v="0"/>
    <x v="0"/>
    <x v="14"/>
    <x v="20"/>
    <x v="0"/>
    <x v="0"/>
    <x v="0"/>
    <x v="0"/>
    <x v="0"/>
    <x v="0"/>
  </r>
  <r>
    <x v="33"/>
    <x v="0"/>
    <x v="1"/>
    <x v="1"/>
    <x v="1"/>
    <x v="1"/>
    <x v="1"/>
    <x v="1"/>
    <x v="0"/>
    <x v="1"/>
    <x v="1"/>
    <x v="19"/>
    <x v="5"/>
    <x v="5"/>
    <x v="1"/>
    <x v="1"/>
    <x v="0"/>
    <x v="3"/>
    <x v="3"/>
    <x v="0"/>
    <x v="0"/>
    <x v="3"/>
    <x v="3"/>
    <x v="3"/>
    <x v="3"/>
    <x v="0"/>
    <x v="0"/>
    <x v="0"/>
    <x v="3"/>
  </r>
  <r>
    <x v="34"/>
    <x v="0"/>
    <x v="19"/>
    <x v="19"/>
    <x v="19"/>
    <x v="11"/>
    <x v="2"/>
    <x v="0"/>
    <x v="1"/>
    <x v="1"/>
    <x v="0"/>
    <x v="20"/>
    <x v="6"/>
    <x v="6"/>
    <x v="20"/>
    <x v="20"/>
    <x v="6"/>
    <x v="16"/>
    <x v="24"/>
    <x v="0"/>
    <x v="0"/>
    <x v="16"/>
    <x v="24"/>
    <x v="0"/>
    <x v="0"/>
    <x v="0"/>
    <x v="0"/>
    <x v="0"/>
    <x v="0"/>
  </r>
  <r>
    <x v="35"/>
    <x v="0"/>
    <x v="20"/>
    <x v="20"/>
    <x v="20"/>
    <x v="3"/>
    <x v="3"/>
    <x v="0"/>
    <x v="0"/>
    <x v="1"/>
    <x v="0"/>
    <x v="21"/>
    <x v="6"/>
    <x v="6"/>
    <x v="4"/>
    <x v="4"/>
    <x v="0"/>
    <x v="10"/>
    <x v="25"/>
    <x v="0"/>
    <x v="0"/>
    <x v="10"/>
    <x v="25"/>
    <x v="7"/>
    <x v="15"/>
    <x v="0"/>
    <x v="0"/>
    <x v="0"/>
    <x v="16"/>
  </r>
  <r>
    <x v="36"/>
    <x v="0"/>
    <x v="21"/>
    <x v="21"/>
    <x v="21"/>
    <x v="11"/>
    <x v="2"/>
    <x v="0"/>
    <x v="0"/>
    <x v="0"/>
    <x v="0"/>
    <x v="22"/>
    <x v="0"/>
    <x v="0"/>
    <x v="6"/>
    <x v="6"/>
    <x v="0"/>
    <x v="5"/>
    <x v="26"/>
    <x v="0"/>
    <x v="0"/>
    <x v="5"/>
    <x v="26"/>
    <x v="8"/>
    <x v="16"/>
    <x v="0"/>
    <x v="0"/>
    <x v="0"/>
    <x v="17"/>
  </r>
  <r>
    <x v="37"/>
    <x v="0"/>
    <x v="6"/>
    <x v="6"/>
    <x v="6"/>
    <x v="3"/>
    <x v="3"/>
    <x v="0"/>
    <x v="0"/>
    <x v="1"/>
    <x v="0"/>
    <x v="22"/>
    <x v="6"/>
    <x v="6"/>
    <x v="1"/>
    <x v="1"/>
    <x v="0"/>
    <x v="3"/>
    <x v="3"/>
    <x v="0"/>
    <x v="0"/>
    <x v="3"/>
    <x v="3"/>
    <x v="3"/>
    <x v="3"/>
    <x v="0"/>
    <x v="0"/>
    <x v="0"/>
    <x v="3"/>
  </r>
  <r>
    <x v="38"/>
    <x v="0"/>
    <x v="18"/>
    <x v="18"/>
    <x v="18"/>
    <x v="6"/>
    <x v="5"/>
    <x v="0"/>
    <x v="0"/>
    <x v="1"/>
    <x v="0"/>
    <x v="23"/>
    <x v="6"/>
    <x v="6"/>
    <x v="19"/>
    <x v="19"/>
    <x v="0"/>
    <x v="6"/>
    <x v="6"/>
    <x v="0"/>
    <x v="0"/>
    <x v="6"/>
    <x v="6"/>
    <x v="0"/>
    <x v="0"/>
    <x v="0"/>
    <x v="0"/>
    <x v="0"/>
    <x v="0"/>
  </r>
  <r>
    <x v="39"/>
    <x v="0"/>
    <x v="22"/>
    <x v="22"/>
    <x v="22"/>
    <x v="6"/>
    <x v="5"/>
    <x v="0"/>
    <x v="0"/>
    <x v="0"/>
    <x v="0"/>
    <x v="24"/>
    <x v="0"/>
    <x v="0"/>
    <x v="0"/>
    <x v="0"/>
    <x v="0"/>
    <x v="17"/>
    <x v="27"/>
    <x v="0"/>
    <x v="0"/>
    <x v="17"/>
    <x v="27"/>
    <x v="0"/>
    <x v="0"/>
    <x v="0"/>
    <x v="0"/>
    <x v="0"/>
    <x v="0"/>
  </r>
  <r>
    <x v="40"/>
    <x v="0"/>
    <x v="22"/>
    <x v="22"/>
    <x v="22"/>
    <x v="6"/>
    <x v="5"/>
    <x v="0"/>
    <x v="0"/>
    <x v="0"/>
    <x v="0"/>
    <x v="24"/>
    <x v="0"/>
    <x v="0"/>
    <x v="21"/>
    <x v="21"/>
    <x v="0"/>
    <x v="3"/>
    <x v="3"/>
    <x v="0"/>
    <x v="0"/>
    <x v="3"/>
    <x v="3"/>
    <x v="0"/>
    <x v="0"/>
    <x v="0"/>
    <x v="0"/>
    <x v="0"/>
    <x v="0"/>
  </r>
  <r>
    <x v="41"/>
    <x v="0"/>
    <x v="12"/>
    <x v="12"/>
    <x v="12"/>
    <x v="7"/>
    <x v="6"/>
    <x v="2"/>
    <x v="0"/>
    <x v="1"/>
    <x v="2"/>
    <x v="24"/>
    <x v="6"/>
    <x v="6"/>
    <x v="14"/>
    <x v="14"/>
    <x v="7"/>
    <x v="6"/>
    <x v="28"/>
    <x v="0"/>
    <x v="0"/>
    <x v="6"/>
    <x v="28"/>
    <x v="0"/>
    <x v="0"/>
    <x v="0"/>
    <x v="0"/>
    <x v="0"/>
    <x v="0"/>
  </r>
  <r>
    <x v="42"/>
    <x v="0"/>
    <x v="22"/>
    <x v="22"/>
    <x v="22"/>
    <x v="6"/>
    <x v="5"/>
    <x v="0"/>
    <x v="0"/>
    <x v="0"/>
    <x v="0"/>
    <x v="24"/>
    <x v="0"/>
    <x v="0"/>
    <x v="7"/>
    <x v="7"/>
    <x v="0"/>
    <x v="3"/>
    <x v="3"/>
    <x v="0"/>
    <x v="0"/>
    <x v="3"/>
    <x v="3"/>
    <x v="0"/>
    <x v="0"/>
    <x v="0"/>
    <x v="0"/>
    <x v="0"/>
    <x v="0"/>
  </r>
  <r>
    <x v="43"/>
    <x v="0"/>
    <x v="23"/>
    <x v="23"/>
    <x v="23"/>
    <x v="3"/>
    <x v="3"/>
    <x v="0"/>
    <x v="0"/>
    <x v="0"/>
    <x v="0"/>
    <x v="25"/>
    <x v="0"/>
    <x v="0"/>
    <x v="22"/>
    <x v="22"/>
    <x v="0"/>
    <x v="0"/>
    <x v="0"/>
    <x v="0"/>
    <x v="0"/>
    <x v="0"/>
    <x v="0"/>
    <x v="0"/>
    <x v="0"/>
    <x v="0"/>
    <x v="0"/>
    <x v="0"/>
    <x v="0"/>
  </r>
  <r>
    <x v="44"/>
    <x v="0"/>
    <x v="24"/>
    <x v="24"/>
    <x v="24"/>
    <x v="10"/>
    <x v="9"/>
    <x v="1"/>
    <x v="0"/>
    <x v="1"/>
    <x v="2"/>
    <x v="25"/>
    <x v="6"/>
    <x v="6"/>
    <x v="4"/>
    <x v="4"/>
    <x v="0"/>
    <x v="6"/>
    <x v="6"/>
    <x v="0"/>
    <x v="0"/>
    <x v="6"/>
    <x v="6"/>
    <x v="4"/>
    <x v="5"/>
    <x v="0"/>
    <x v="0"/>
    <x v="0"/>
    <x v="5"/>
  </r>
  <r>
    <x v="45"/>
    <x v="0"/>
    <x v="25"/>
    <x v="25"/>
    <x v="25"/>
    <x v="3"/>
    <x v="3"/>
    <x v="0"/>
    <x v="0"/>
    <x v="0"/>
    <x v="0"/>
    <x v="26"/>
    <x v="0"/>
    <x v="0"/>
    <x v="1"/>
    <x v="1"/>
    <x v="0"/>
    <x v="3"/>
    <x v="3"/>
    <x v="0"/>
    <x v="0"/>
    <x v="3"/>
    <x v="3"/>
    <x v="3"/>
    <x v="3"/>
    <x v="0"/>
    <x v="0"/>
    <x v="0"/>
    <x v="3"/>
  </r>
  <r>
    <x v="46"/>
    <x v="0"/>
    <x v="25"/>
    <x v="25"/>
    <x v="25"/>
    <x v="3"/>
    <x v="3"/>
    <x v="0"/>
    <x v="0"/>
    <x v="0"/>
    <x v="0"/>
    <x v="26"/>
    <x v="0"/>
    <x v="0"/>
    <x v="21"/>
    <x v="21"/>
    <x v="0"/>
    <x v="0"/>
    <x v="0"/>
    <x v="0"/>
    <x v="0"/>
    <x v="0"/>
    <x v="0"/>
    <x v="0"/>
    <x v="0"/>
    <x v="0"/>
    <x v="0"/>
    <x v="0"/>
    <x v="0"/>
  </r>
  <r>
    <x v="47"/>
    <x v="0"/>
    <x v="18"/>
    <x v="18"/>
    <x v="18"/>
    <x v="6"/>
    <x v="5"/>
    <x v="0"/>
    <x v="0"/>
    <x v="1"/>
    <x v="0"/>
    <x v="26"/>
    <x v="6"/>
    <x v="6"/>
    <x v="19"/>
    <x v="19"/>
    <x v="0"/>
    <x v="6"/>
    <x v="6"/>
    <x v="0"/>
    <x v="0"/>
    <x v="6"/>
    <x v="6"/>
    <x v="0"/>
    <x v="0"/>
    <x v="0"/>
    <x v="0"/>
    <x v="0"/>
    <x v="0"/>
  </r>
  <r>
    <x v="48"/>
    <x v="0"/>
    <x v="26"/>
    <x v="26"/>
    <x v="26"/>
    <x v="10"/>
    <x v="9"/>
    <x v="1"/>
    <x v="0"/>
    <x v="1"/>
    <x v="2"/>
    <x v="27"/>
    <x v="6"/>
    <x v="6"/>
    <x v="1"/>
    <x v="1"/>
    <x v="0"/>
    <x v="1"/>
    <x v="1"/>
    <x v="0"/>
    <x v="0"/>
    <x v="1"/>
    <x v="1"/>
    <x v="1"/>
    <x v="1"/>
    <x v="0"/>
    <x v="0"/>
    <x v="0"/>
    <x v="1"/>
  </r>
  <r>
    <x v="49"/>
    <x v="0"/>
    <x v="14"/>
    <x v="14"/>
    <x v="14"/>
    <x v="9"/>
    <x v="8"/>
    <x v="1"/>
    <x v="0"/>
    <x v="1"/>
    <x v="3"/>
    <x v="28"/>
    <x v="7"/>
    <x v="7"/>
    <x v="23"/>
    <x v="23"/>
    <x v="0"/>
    <x v="0"/>
    <x v="0"/>
    <x v="0"/>
    <x v="0"/>
    <x v="0"/>
    <x v="0"/>
    <x v="0"/>
    <x v="0"/>
    <x v="0"/>
    <x v="0"/>
    <x v="0"/>
    <x v="0"/>
  </r>
  <r>
    <x v="50"/>
    <x v="0"/>
    <x v="14"/>
    <x v="14"/>
    <x v="14"/>
    <x v="9"/>
    <x v="8"/>
    <x v="1"/>
    <x v="0"/>
    <x v="1"/>
    <x v="3"/>
    <x v="29"/>
    <x v="7"/>
    <x v="7"/>
    <x v="24"/>
    <x v="24"/>
    <x v="0"/>
    <x v="3"/>
    <x v="3"/>
    <x v="0"/>
    <x v="0"/>
    <x v="3"/>
    <x v="3"/>
    <x v="0"/>
    <x v="0"/>
    <x v="0"/>
    <x v="0"/>
    <x v="0"/>
    <x v="0"/>
  </r>
  <r>
    <x v="51"/>
    <x v="0"/>
    <x v="14"/>
    <x v="14"/>
    <x v="14"/>
    <x v="9"/>
    <x v="8"/>
    <x v="1"/>
    <x v="0"/>
    <x v="1"/>
    <x v="3"/>
    <x v="30"/>
    <x v="7"/>
    <x v="7"/>
    <x v="23"/>
    <x v="23"/>
    <x v="0"/>
    <x v="3"/>
    <x v="3"/>
    <x v="0"/>
    <x v="0"/>
    <x v="3"/>
    <x v="3"/>
    <x v="0"/>
    <x v="0"/>
    <x v="0"/>
    <x v="0"/>
    <x v="0"/>
    <x v="0"/>
  </r>
  <r>
    <x v="52"/>
    <x v="0"/>
    <x v="27"/>
    <x v="27"/>
    <x v="27"/>
    <x v="8"/>
    <x v="7"/>
    <x v="0"/>
    <x v="0"/>
    <x v="0"/>
    <x v="0"/>
    <x v="30"/>
    <x v="0"/>
    <x v="0"/>
    <x v="16"/>
    <x v="16"/>
    <x v="0"/>
    <x v="3"/>
    <x v="3"/>
    <x v="0"/>
    <x v="0"/>
    <x v="3"/>
    <x v="3"/>
    <x v="0"/>
    <x v="0"/>
    <x v="0"/>
    <x v="0"/>
    <x v="0"/>
    <x v="0"/>
  </r>
  <r>
    <x v="53"/>
    <x v="0"/>
    <x v="28"/>
    <x v="28"/>
    <x v="28"/>
    <x v="8"/>
    <x v="7"/>
    <x v="0"/>
    <x v="1"/>
    <x v="0"/>
    <x v="0"/>
    <x v="31"/>
    <x v="0"/>
    <x v="0"/>
    <x v="10"/>
    <x v="10"/>
    <x v="6"/>
    <x v="17"/>
    <x v="29"/>
    <x v="0"/>
    <x v="0"/>
    <x v="17"/>
    <x v="29"/>
    <x v="14"/>
    <x v="17"/>
    <x v="0"/>
    <x v="0"/>
    <x v="0"/>
    <x v="18"/>
  </r>
  <r>
    <x v="54"/>
    <x v="0"/>
    <x v="28"/>
    <x v="28"/>
    <x v="28"/>
    <x v="8"/>
    <x v="7"/>
    <x v="0"/>
    <x v="0"/>
    <x v="0"/>
    <x v="0"/>
    <x v="31"/>
    <x v="0"/>
    <x v="0"/>
    <x v="7"/>
    <x v="7"/>
    <x v="0"/>
    <x v="0"/>
    <x v="0"/>
    <x v="0"/>
    <x v="0"/>
    <x v="0"/>
    <x v="0"/>
    <x v="0"/>
    <x v="0"/>
    <x v="0"/>
    <x v="0"/>
    <x v="0"/>
    <x v="0"/>
  </r>
  <r>
    <x v="55"/>
    <x v="0"/>
    <x v="28"/>
    <x v="28"/>
    <x v="28"/>
    <x v="8"/>
    <x v="7"/>
    <x v="0"/>
    <x v="0"/>
    <x v="0"/>
    <x v="0"/>
    <x v="31"/>
    <x v="0"/>
    <x v="0"/>
    <x v="1"/>
    <x v="1"/>
    <x v="0"/>
    <x v="0"/>
    <x v="0"/>
    <x v="0"/>
    <x v="0"/>
    <x v="0"/>
    <x v="0"/>
    <x v="2"/>
    <x v="2"/>
    <x v="0"/>
    <x v="0"/>
    <x v="0"/>
    <x v="2"/>
  </r>
  <r>
    <x v="56"/>
    <x v="0"/>
    <x v="14"/>
    <x v="14"/>
    <x v="14"/>
    <x v="9"/>
    <x v="8"/>
    <x v="1"/>
    <x v="0"/>
    <x v="1"/>
    <x v="3"/>
    <x v="31"/>
    <x v="7"/>
    <x v="7"/>
    <x v="23"/>
    <x v="23"/>
    <x v="0"/>
    <x v="0"/>
    <x v="0"/>
    <x v="0"/>
    <x v="0"/>
    <x v="0"/>
    <x v="0"/>
    <x v="0"/>
    <x v="0"/>
    <x v="0"/>
    <x v="0"/>
    <x v="0"/>
    <x v="0"/>
  </r>
  <r>
    <x v="57"/>
    <x v="0"/>
    <x v="17"/>
    <x v="17"/>
    <x v="17"/>
    <x v="8"/>
    <x v="7"/>
    <x v="0"/>
    <x v="4"/>
    <x v="1"/>
    <x v="0"/>
    <x v="32"/>
    <x v="8"/>
    <x v="8"/>
    <x v="17"/>
    <x v="17"/>
    <x v="8"/>
    <x v="17"/>
    <x v="30"/>
    <x v="0"/>
    <x v="0"/>
    <x v="17"/>
    <x v="30"/>
    <x v="15"/>
    <x v="18"/>
    <x v="5"/>
    <x v="0"/>
    <x v="4"/>
    <x v="19"/>
  </r>
  <r>
    <x v="58"/>
    <x v="0"/>
    <x v="17"/>
    <x v="17"/>
    <x v="17"/>
    <x v="8"/>
    <x v="7"/>
    <x v="0"/>
    <x v="4"/>
    <x v="1"/>
    <x v="0"/>
    <x v="32"/>
    <x v="8"/>
    <x v="8"/>
    <x v="18"/>
    <x v="18"/>
    <x v="9"/>
    <x v="18"/>
    <x v="31"/>
    <x v="0"/>
    <x v="0"/>
    <x v="18"/>
    <x v="31"/>
    <x v="16"/>
    <x v="19"/>
    <x v="6"/>
    <x v="0"/>
    <x v="5"/>
    <x v="20"/>
  </r>
  <r>
    <x v="59"/>
    <x v="0"/>
    <x v="4"/>
    <x v="4"/>
    <x v="4"/>
    <x v="3"/>
    <x v="3"/>
    <x v="0"/>
    <x v="0"/>
    <x v="1"/>
    <x v="0"/>
    <x v="33"/>
    <x v="8"/>
    <x v="8"/>
    <x v="4"/>
    <x v="4"/>
    <x v="0"/>
    <x v="10"/>
    <x v="25"/>
    <x v="0"/>
    <x v="0"/>
    <x v="10"/>
    <x v="25"/>
    <x v="7"/>
    <x v="15"/>
    <x v="0"/>
    <x v="0"/>
    <x v="0"/>
    <x v="16"/>
  </r>
  <r>
    <x v="60"/>
    <x v="0"/>
    <x v="29"/>
    <x v="29"/>
    <x v="29"/>
    <x v="6"/>
    <x v="5"/>
    <x v="0"/>
    <x v="4"/>
    <x v="1"/>
    <x v="0"/>
    <x v="34"/>
    <x v="9"/>
    <x v="9"/>
    <x v="25"/>
    <x v="25"/>
    <x v="10"/>
    <x v="11"/>
    <x v="32"/>
    <x v="0"/>
    <x v="0"/>
    <x v="11"/>
    <x v="32"/>
    <x v="17"/>
    <x v="20"/>
    <x v="7"/>
    <x v="1"/>
    <x v="6"/>
    <x v="21"/>
  </r>
  <r>
    <x v="61"/>
    <x v="0"/>
    <x v="30"/>
    <x v="30"/>
    <x v="30"/>
    <x v="7"/>
    <x v="6"/>
    <x v="2"/>
    <x v="0"/>
    <x v="0"/>
    <x v="1"/>
    <x v="34"/>
    <x v="0"/>
    <x v="0"/>
    <x v="19"/>
    <x v="19"/>
    <x v="11"/>
    <x v="0"/>
    <x v="33"/>
    <x v="0"/>
    <x v="0"/>
    <x v="0"/>
    <x v="33"/>
    <x v="0"/>
    <x v="0"/>
    <x v="0"/>
    <x v="0"/>
    <x v="0"/>
    <x v="0"/>
  </r>
  <r>
    <x v="62"/>
    <x v="0"/>
    <x v="24"/>
    <x v="24"/>
    <x v="24"/>
    <x v="10"/>
    <x v="9"/>
    <x v="1"/>
    <x v="0"/>
    <x v="1"/>
    <x v="2"/>
    <x v="35"/>
    <x v="9"/>
    <x v="9"/>
    <x v="4"/>
    <x v="4"/>
    <x v="0"/>
    <x v="6"/>
    <x v="6"/>
    <x v="0"/>
    <x v="0"/>
    <x v="6"/>
    <x v="6"/>
    <x v="4"/>
    <x v="5"/>
    <x v="0"/>
    <x v="0"/>
    <x v="0"/>
    <x v="5"/>
  </r>
  <r>
    <x v="63"/>
    <x v="0"/>
    <x v="31"/>
    <x v="31"/>
    <x v="31"/>
    <x v="12"/>
    <x v="1"/>
    <x v="1"/>
    <x v="0"/>
    <x v="0"/>
    <x v="1"/>
    <x v="36"/>
    <x v="0"/>
    <x v="0"/>
    <x v="1"/>
    <x v="1"/>
    <x v="0"/>
    <x v="19"/>
    <x v="34"/>
    <x v="0"/>
    <x v="0"/>
    <x v="19"/>
    <x v="34"/>
    <x v="18"/>
    <x v="21"/>
    <x v="0"/>
    <x v="0"/>
    <x v="0"/>
    <x v="22"/>
  </r>
  <r>
    <x v="64"/>
    <x v="0"/>
    <x v="31"/>
    <x v="31"/>
    <x v="31"/>
    <x v="12"/>
    <x v="1"/>
    <x v="1"/>
    <x v="1"/>
    <x v="0"/>
    <x v="1"/>
    <x v="36"/>
    <x v="0"/>
    <x v="0"/>
    <x v="10"/>
    <x v="10"/>
    <x v="6"/>
    <x v="17"/>
    <x v="29"/>
    <x v="0"/>
    <x v="0"/>
    <x v="17"/>
    <x v="29"/>
    <x v="14"/>
    <x v="17"/>
    <x v="0"/>
    <x v="0"/>
    <x v="0"/>
    <x v="18"/>
  </r>
  <r>
    <x v="65"/>
    <x v="0"/>
    <x v="19"/>
    <x v="19"/>
    <x v="19"/>
    <x v="11"/>
    <x v="2"/>
    <x v="0"/>
    <x v="1"/>
    <x v="1"/>
    <x v="0"/>
    <x v="36"/>
    <x v="10"/>
    <x v="10"/>
    <x v="20"/>
    <x v="20"/>
    <x v="6"/>
    <x v="20"/>
    <x v="35"/>
    <x v="0"/>
    <x v="0"/>
    <x v="20"/>
    <x v="35"/>
    <x v="0"/>
    <x v="0"/>
    <x v="0"/>
    <x v="0"/>
    <x v="0"/>
    <x v="0"/>
  </r>
  <r>
    <x v="66"/>
    <x v="0"/>
    <x v="14"/>
    <x v="14"/>
    <x v="14"/>
    <x v="9"/>
    <x v="8"/>
    <x v="1"/>
    <x v="0"/>
    <x v="1"/>
    <x v="3"/>
    <x v="37"/>
    <x v="10"/>
    <x v="10"/>
    <x v="23"/>
    <x v="23"/>
    <x v="0"/>
    <x v="0"/>
    <x v="0"/>
    <x v="0"/>
    <x v="0"/>
    <x v="0"/>
    <x v="0"/>
    <x v="0"/>
    <x v="0"/>
    <x v="0"/>
    <x v="0"/>
    <x v="0"/>
    <x v="0"/>
  </r>
  <r>
    <x v="67"/>
    <x v="0"/>
    <x v="32"/>
    <x v="32"/>
    <x v="32"/>
    <x v="12"/>
    <x v="1"/>
    <x v="1"/>
    <x v="0"/>
    <x v="0"/>
    <x v="1"/>
    <x v="37"/>
    <x v="0"/>
    <x v="0"/>
    <x v="1"/>
    <x v="1"/>
    <x v="0"/>
    <x v="17"/>
    <x v="27"/>
    <x v="0"/>
    <x v="0"/>
    <x v="17"/>
    <x v="27"/>
    <x v="14"/>
    <x v="22"/>
    <x v="0"/>
    <x v="0"/>
    <x v="0"/>
    <x v="23"/>
  </r>
  <r>
    <x v="68"/>
    <x v="0"/>
    <x v="14"/>
    <x v="14"/>
    <x v="14"/>
    <x v="9"/>
    <x v="8"/>
    <x v="1"/>
    <x v="0"/>
    <x v="1"/>
    <x v="3"/>
    <x v="38"/>
    <x v="10"/>
    <x v="10"/>
    <x v="24"/>
    <x v="24"/>
    <x v="0"/>
    <x v="0"/>
    <x v="0"/>
    <x v="0"/>
    <x v="0"/>
    <x v="0"/>
    <x v="0"/>
    <x v="0"/>
    <x v="0"/>
    <x v="0"/>
    <x v="0"/>
    <x v="0"/>
    <x v="0"/>
  </r>
  <r>
    <x v="69"/>
    <x v="0"/>
    <x v="14"/>
    <x v="14"/>
    <x v="14"/>
    <x v="9"/>
    <x v="8"/>
    <x v="1"/>
    <x v="0"/>
    <x v="1"/>
    <x v="3"/>
    <x v="39"/>
    <x v="10"/>
    <x v="10"/>
    <x v="23"/>
    <x v="23"/>
    <x v="0"/>
    <x v="0"/>
    <x v="0"/>
    <x v="0"/>
    <x v="0"/>
    <x v="0"/>
    <x v="0"/>
    <x v="0"/>
    <x v="0"/>
    <x v="0"/>
    <x v="0"/>
    <x v="0"/>
    <x v="0"/>
  </r>
  <r>
    <x v="70"/>
    <x v="0"/>
    <x v="33"/>
    <x v="33"/>
    <x v="33"/>
    <x v="13"/>
    <x v="3"/>
    <x v="0"/>
    <x v="5"/>
    <x v="1"/>
    <x v="0"/>
    <x v="40"/>
    <x v="10"/>
    <x v="10"/>
    <x v="26"/>
    <x v="26"/>
    <x v="12"/>
    <x v="11"/>
    <x v="36"/>
    <x v="0"/>
    <x v="0"/>
    <x v="11"/>
    <x v="36"/>
    <x v="0"/>
    <x v="0"/>
    <x v="0"/>
    <x v="0"/>
    <x v="0"/>
    <x v="0"/>
  </r>
  <r>
    <x v="71"/>
    <x v="0"/>
    <x v="33"/>
    <x v="33"/>
    <x v="33"/>
    <x v="13"/>
    <x v="3"/>
    <x v="0"/>
    <x v="5"/>
    <x v="1"/>
    <x v="0"/>
    <x v="40"/>
    <x v="10"/>
    <x v="10"/>
    <x v="27"/>
    <x v="27"/>
    <x v="13"/>
    <x v="11"/>
    <x v="37"/>
    <x v="0"/>
    <x v="0"/>
    <x v="11"/>
    <x v="37"/>
    <x v="0"/>
    <x v="0"/>
    <x v="0"/>
    <x v="0"/>
    <x v="0"/>
    <x v="0"/>
  </r>
  <r>
    <x v="72"/>
    <x v="0"/>
    <x v="33"/>
    <x v="33"/>
    <x v="33"/>
    <x v="13"/>
    <x v="3"/>
    <x v="0"/>
    <x v="5"/>
    <x v="1"/>
    <x v="0"/>
    <x v="41"/>
    <x v="10"/>
    <x v="10"/>
    <x v="28"/>
    <x v="28"/>
    <x v="14"/>
    <x v="8"/>
    <x v="38"/>
    <x v="0"/>
    <x v="0"/>
    <x v="8"/>
    <x v="38"/>
    <x v="0"/>
    <x v="0"/>
    <x v="0"/>
    <x v="0"/>
    <x v="0"/>
    <x v="0"/>
  </r>
  <r>
    <x v="73"/>
    <x v="0"/>
    <x v="14"/>
    <x v="14"/>
    <x v="14"/>
    <x v="9"/>
    <x v="8"/>
    <x v="1"/>
    <x v="0"/>
    <x v="1"/>
    <x v="3"/>
    <x v="42"/>
    <x v="11"/>
    <x v="11"/>
    <x v="23"/>
    <x v="23"/>
    <x v="0"/>
    <x v="14"/>
    <x v="20"/>
    <x v="0"/>
    <x v="0"/>
    <x v="14"/>
    <x v="20"/>
    <x v="0"/>
    <x v="0"/>
    <x v="0"/>
    <x v="0"/>
    <x v="0"/>
    <x v="0"/>
  </r>
  <r>
    <x v="74"/>
    <x v="0"/>
    <x v="26"/>
    <x v="26"/>
    <x v="26"/>
    <x v="10"/>
    <x v="9"/>
    <x v="1"/>
    <x v="0"/>
    <x v="1"/>
    <x v="2"/>
    <x v="43"/>
    <x v="12"/>
    <x v="12"/>
    <x v="1"/>
    <x v="1"/>
    <x v="0"/>
    <x v="14"/>
    <x v="20"/>
    <x v="0"/>
    <x v="0"/>
    <x v="14"/>
    <x v="20"/>
    <x v="10"/>
    <x v="11"/>
    <x v="0"/>
    <x v="0"/>
    <x v="0"/>
    <x v="12"/>
  </r>
  <r>
    <x v="75"/>
    <x v="0"/>
    <x v="19"/>
    <x v="19"/>
    <x v="19"/>
    <x v="11"/>
    <x v="2"/>
    <x v="0"/>
    <x v="1"/>
    <x v="1"/>
    <x v="0"/>
    <x v="44"/>
    <x v="12"/>
    <x v="12"/>
    <x v="20"/>
    <x v="20"/>
    <x v="6"/>
    <x v="21"/>
    <x v="39"/>
    <x v="0"/>
    <x v="0"/>
    <x v="21"/>
    <x v="39"/>
    <x v="0"/>
    <x v="0"/>
    <x v="0"/>
    <x v="0"/>
    <x v="0"/>
    <x v="0"/>
  </r>
  <r>
    <x v="76"/>
    <x v="0"/>
    <x v="6"/>
    <x v="6"/>
    <x v="6"/>
    <x v="3"/>
    <x v="3"/>
    <x v="0"/>
    <x v="0"/>
    <x v="1"/>
    <x v="0"/>
    <x v="45"/>
    <x v="12"/>
    <x v="12"/>
    <x v="1"/>
    <x v="1"/>
    <x v="0"/>
    <x v="22"/>
    <x v="40"/>
    <x v="0"/>
    <x v="0"/>
    <x v="22"/>
    <x v="40"/>
    <x v="19"/>
    <x v="23"/>
    <x v="0"/>
    <x v="0"/>
    <x v="0"/>
    <x v="24"/>
  </r>
  <r>
    <x v="77"/>
    <x v="0"/>
    <x v="34"/>
    <x v="34"/>
    <x v="34"/>
    <x v="14"/>
    <x v="7"/>
    <x v="0"/>
    <x v="0"/>
    <x v="0"/>
    <x v="4"/>
    <x v="46"/>
    <x v="1"/>
    <x v="1"/>
    <x v="16"/>
    <x v="16"/>
    <x v="0"/>
    <x v="0"/>
    <x v="0"/>
    <x v="0"/>
    <x v="0"/>
    <x v="0"/>
    <x v="0"/>
    <x v="0"/>
    <x v="0"/>
    <x v="0"/>
    <x v="0"/>
    <x v="0"/>
    <x v="0"/>
  </r>
  <r>
    <x v="78"/>
    <x v="0"/>
    <x v="34"/>
    <x v="34"/>
    <x v="34"/>
    <x v="14"/>
    <x v="7"/>
    <x v="0"/>
    <x v="0"/>
    <x v="0"/>
    <x v="4"/>
    <x v="46"/>
    <x v="1"/>
    <x v="1"/>
    <x v="2"/>
    <x v="2"/>
    <x v="0"/>
    <x v="0"/>
    <x v="0"/>
    <x v="0"/>
    <x v="0"/>
    <x v="0"/>
    <x v="0"/>
    <x v="0"/>
    <x v="0"/>
    <x v="0"/>
    <x v="0"/>
    <x v="0"/>
    <x v="0"/>
  </r>
  <r>
    <x v="79"/>
    <x v="0"/>
    <x v="34"/>
    <x v="34"/>
    <x v="34"/>
    <x v="14"/>
    <x v="7"/>
    <x v="0"/>
    <x v="0"/>
    <x v="0"/>
    <x v="4"/>
    <x v="46"/>
    <x v="1"/>
    <x v="1"/>
    <x v="0"/>
    <x v="0"/>
    <x v="0"/>
    <x v="0"/>
    <x v="0"/>
    <x v="0"/>
    <x v="0"/>
    <x v="0"/>
    <x v="0"/>
    <x v="0"/>
    <x v="0"/>
    <x v="0"/>
    <x v="0"/>
    <x v="0"/>
    <x v="0"/>
  </r>
  <r>
    <x v="80"/>
    <x v="0"/>
    <x v="34"/>
    <x v="34"/>
    <x v="34"/>
    <x v="14"/>
    <x v="7"/>
    <x v="0"/>
    <x v="0"/>
    <x v="0"/>
    <x v="4"/>
    <x v="46"/>
    <x v="1"/>
    <x v="1"/>
    <x v="15"/>
    <x v="15"/>
    <x v="0"/>
    <x v="0"/>
    <x v="0"/>
    <x v="0"/>
    <x v="0"/>
    <x v="0"/>
    <x v="0"/>
    <x v="0"/>
    <x v="0"/>
    <x v="0"/>
    <x v="0"/>
    <x v="0"/>
    <x v="0"/>
  </r>
  <r>
    <x v="81"/>
    <x v="0"/>
    <x v="35"/>
    <x v="35"/>
    <x v="35"/>
    <x v="10"/>
    <x v="9"/>
    <x v="1"/>
    <x v="6"/>
    <x v="1"/>
    <x v="2"/>
    <x v="46"/>
    <x v="12"/>
    <x v="12"/>
    <x v="29"/>
    <x v="29"/>
    <x v="15"/>
    <x v="8"/>
    <x v="41"/>
    <x v="0"/>
    <x v="0"/>
    <x v="8"/>
    <x v="41"/>
    <x v="0"/>
    <x v="0"/>
    <x v="0"/>
    <x v="0"/>
    <x v="0"/>
    <x v="0"/>
  </r>
  <r>
    <x v="82"/>
    <x v="0"/>
    <x v="34"/>
    <x v="34"/>
    <x v="34"/>
    <x v="14"/>
    <x v="7"/>
    <x v="0"/>
    <x v="0"/>
    <x v="0"/>
    <x v="4"/>
    <x v="46"/>
    <x v="1"/>
    <x v="1"/>
    <x v="7"/>
    <x v="7"/>
    <x v="0"/>
    <x v="13"/>
    <x v="19"/>
    <x v="0"/>
    <x v="0"/>
    <x v="13"/>
    <x v="19"/>
    <x v="0"/>
    <x v="0"/>
    <x v="0"/>
    <x v="0"/>
    <x v="0"/>
    <x v="0"/>
  </r>
  <r>
    <x v="83"/>
    <x v="0"/>
    <x v="35"/>
    <x v="35"/>
    <x v="35"/>
    <x v="10"/>
    <x v="9"/>
    <x v="1"/>
    <x v="6"/>
    <x v="1"/>
    <x v="2"/>
    <x v="46"/>
    <x v="12"/>
    <x v="12"/>
    <x v="30"/>
    <x v="30"/>
    <x v="16"/>
    <x v="5"/>
    <x v="42"/>
    <x v="0"/>
    <x v="0"/>
    <x v="5"/>
    <x v="42"/>
    <x v="0"/>
    <x v="0"/>
    <x v="0"/>
    <x v="0"/>
    <x v="0"/>
    <x v="0"/>
  </r>
  <r>
    <x v="84"/>
    <x v="0"/>
    <x v="34"/>
    <x v="34"/>
    <x v="34"/>
    <x v="14"/>
    <x v="7"/>
    <x v="0"/>
    <x v="0"/>
    <x v="0"/>
    <x v="4"/>
    <x v="46"/>
    <x v="1"/>
    <x v="1"/>
    <x v="1"/>
    <x v="1"/>
    <x v="0"/>
    <x v="19"/>
    <x v="34"/>
    <x v="0"/>
    <x v="0"/>
    <x v="19"/>
    <x v="34"/>
    <x v="18"/>
    <x v="21"/>
    <x v="0"/>
    <x v="0"/>
    <x v="0"/>
    <x v="22"/>
  </r>
  <r>
    <x v="85"/>
    <x v="0"/>
    <x v="34"/>
    <x v="34"/>
    <x v="34"/>
    <x v="14"/>
    <x v="7"/>
    <x v="0"/>
    <x v="0"/>
    <x v="0"/>
    <x v="4"/>
    <x v="46"/>
    <x v="1"/>
    <x v="1"/>
    <x v="31"/>
    <x v="31"/>
    <x v="17"/>
    <x v="17"/>
    <x v="43"/>
    <x v="0"/>
    <x v="0"/>
    <x v="17"/>
    <x v="43"/>
    <x v="14"/>
    <x v="22"/>
    <x v="0"/>
    <x v="0"/>
    <x v="0"/>
    <x v="23"/>
  </r>
  <r>
    <x v="86"/>
    <x v="0"/>
    <x v="34"/>
    <x v="34"/>
    <x v="34"/>
    <x v="14"/>
    <x v="7"/>
    <x v="0"/>
    <x v="1"/>
    <x v="0"/>
    <x v="4"/>
    <x v="46"/>
    <x v="1"/>
    <x v="1"/>
    <x v="10"/>
    <x v="10"/>
    <x v="6"/>
    <x v="23"/>
    <x v="44"/>
    <x v="0"/>
    <x v="0"/>
    <x v="23"/>
    <x v="44"/>
    <x v="20"/>
    <x v="24"/>
    <x v="0"/>
    <x v="0"/>
    <x v="0"/>
    <x v="25"/>
  </r>
  <r>
    <x v="87"/>
    <x v="0"/>
    <x v="19"/>
    <x v="19"/>
    <x v="19"/>
    <x v="11"/>
    <x v="2"/>
    <x v="0"/>
    <x v="1"/>
    <x v="1"/>
    <x v="0"/>
    <x v="47"/>
    <x v="13"/>
    <x v="13"/>
    <x v="20"/>
    <x v="20"/>
    <x v="6"/>
    <x v="21"/>
    <x v="39"/>
    <x v="0"/>
    <x v="0"/>
    <x v="21"/>
    <x v="39"/>
    <x v="0"/>
    <x v="0"/>
    <x v="0"/>
    <x v="0"/>
    <x v="0"/>
    <x v="0"/>
  </r>
  <r>
    <x v="88"/>
    <x v="0"/>
    <x v="34"/>
    <x v="34"/>
    <x v="34"/>
    <x v="14"/>
    <x v="7"/>
    <x v="0"/>
    <x v="1"/>
    <x v="0"/>
    <x v="4"/>
    <x v="47"/>
    <x v="1"/>
    <x v="1"/>
    <x v="10"/>
    <x v="10"/>
    <x v="6"/>
    <x v="15"/>
    <x v="45"/>
    <x v="0"/>
    <x v="0"/>
    <x v="15"/>
    <x v="45"/>
    <x v="21"/>
    <x v="25"/>
    <x v="0"/>
    <x v="0"/>
    <x v="0"/>
    <x v="26"/>
  </r>
  <r>
    <x v="89"/>
    <x v="0"/>
    <x v="36"/>
    <x v="36"/>
    <x v="36"/>
    <x v="3"/>
    <x v="3"/>
    <x v="0"/>
    <x v="0"/>
    <x v="0"/>
    <x v="0"/>
    <x v="48"/>
    <x v="1"/>
    <x v="1"/>
    <x v="19"/>
    <x v="19"/>
    <x v="0"/>
    <x v="11"/>
    <x v="21"/>
    <x v="0"/>
    <x v="0"/>
    <x v="11"/>
    <x v="21"/>
    <x v="0"/>
    <x v="0"/>
    <x v="0"/>
    <x v="0"/>
    <x v="0"/>
    <x v="0"/>
  </r>
  <r>
    <x v="90"/>
    <x v="0"/>
    <x v="37"/>
    <x v="37"/>
    <x v="37"/>
    <x v="9"/>
    <x v="8"/>
    <x v="1"/>
    <x v="0"/>
    <x v="1"/>
    <x v="3"/>
    <x v="48"/>
    <x v="13"/>
    <x v="13"/>
    <x v="1"/>
    <x v="1"/>
    <x v="0"/>
    <x v="5"/>
    <x v="26"/>
    <x v="0"/>
    <x v="0"/>
    <x v="5"/>
    <x v="26"/>
    <x v="8"/>
    <x v="16"/>
    <x v="0"/>
    <x v="0"/>
    <x v="0"/>
    <x v="17"/>
  </r>
  <r>
    <x v="91"/>
    <x v="0"/>
    <x v="38"/>
    <x v="38"/>
    <x v="38"/>
    <x v="3"/>
    <x v="3"/>
    <x v="0"/>
    <x v="0"/>
    <x v="0"/>
    <x v="0"/>
    <x v="49"/>
    <x v="1"/>
    <x v="1"/>
    <x v="7"/>
    <x v="7"/>
    <x v="0"/>
    <x v="6"/>
    <x v="6"/>
    <x v="0"/>
    <x v="0"/>
    <x v="6"/>
    <x v="6"/>
    <x v="0"/>
    <x v="0"/>
    <x v="0"/>
    <x v="0"/>
    <x v="0"/>
    <x v="0"/>
  </r>
  <r>
    <x v="92"/>
    <x v="0"/>
    <x v="38"/>
    <x v="38"/>
    <x v="38"/>
    <x v="3"/>
    <x v="3"/>
    <x v="0"/>
    <x v="0"/>
    <x v="0"/>
    <x v="0"/>
    <x v="49"/>
    <x v="1"/>
    <x v="1"/>
    <x v="15"/>
    <x v="15"/>
    <x v="0"/>
    <x v="0"/>
    <x v="0"/>
    <x v="0"/>
    <x v="0"/>
    <x v="0"/>
    <x v="0"/>
    <x v="0"/>
    <x v="0"/>
    <x v="0"/>
    <x v="0"/>
    <x v="0"/>
    <x v="0"/>
  </r>
  <r>
    <x v="93"/>
    <x v="0"/>
    <x v="18"/>
    <x v="18"/>
    <x v="18"/>
    <x v="6"/>
    <x v="5"/>
    <x v="0"/>
    <x v="0"/>
    <x v="1"/>
    <x v="0"/>
    <x v="49"/>
    <x v="14"/>
    <x v="14"/>
    <x v="19"/>
    <x v="19"/>
    <x v="0"/>
    <x v="14"/>
    <x v="20"/>
    <x v="0"/>
    <x v="0"/>
    <x v="14"/>
    <x v="20"/>
    <x v="0"/>
    <x v="0"/>
    <x v="0"/>
    <x v="0"/>
    <x v="0"/>
    <x v="0"/>
  </r>
  <r>
    <x v="94"/>
    <x v="0"/>
    <x v="11"/>
    <x v="11"/>
    <x v="11"/>
    <x v="7"/>
    <x v="6"/>
    <x v="2"/>
    <x v="0"/>
    <x v="1"/>
    <x v="2"/>
    <x v="50"/>
    <x v="14"/>
    <x v="14"/>
    <x v="9"/>
    <x v="9"/>
    <x v="18"/>
    <x v="11"/>
    <x v="46"/>
    <x v="0"/>
    <x v="0"/>
    <x v="11"/>
    <x v="46"/>
    <x v="0"/>
    <x v="0"/>
    <x v="0"/>
    <x v="0"/>
    <x v="0"/>
    <x v="0"/>
  </r>
  <r>
    <x v="95"/>
    <x v="0"/>
    <x v="39"/>
    <x v="39"/>
    <x v="39"/>
    <x v="3"/>
    <x v="3"/>
    <x v="0"/>
    <x v="0"/>
    <x v="0"/>
    <x v="0"/>
    <x v="50"/>
    <x v="1"/>
    <x v="1"/>
    <x v="1"/>
    <x v="1"/>
    <x v="0"/>
    <x v="0"/>
    <x v="0"/>
    <x v="0"/>
    <x v="0"/>
    <x v="0"/>
    <x v="0"/>
    <x v="2"/>
    <x v="2"/>
    <x v="0"/>
    <x v="0"/>
    <x v="0"/>
    <x v="2"/>
  </r>
  <r>
    <x v="96"/>
    <x v="0"/>
    <x v="39"/>
    <x v="39"/>
    <x v="39"/>
    <x v="3"/>
    <x v="3"/>
    <x v="0"/>
    <x v="0"/>
    <x v="0"/>
    <x v="0"/>
    <x v="50"/>
    <x v="1"/>
    <x v="1"/>
    <x v="7"/>
    <x v="7"/>
    <x v="0"/>
    <x v="0"/>
    <x v="0"/>
    <x v="0"/>
    <x v="0"/>
    <x v="0"/>
    <x v="0"/>
    <x v="0"/>
    <x v="0"/>
    <x v="0"/>
    <x v="0"/>
    <x v="0"/>
    <x v="0"/>
  </r>
  <r>
    <x v="97"/>
    <x v="0"/>
    <x v="40"/>
    <x v="40"/>
    <x v="40"/>
    <x v="14"/>
    <x v="7"/>
    <x v="0"/>
    <x v="0"/>
    <x v="0"/>
    <x v="4"/>
    <x v="51"/>
    <x v="1"/>
    <x v="1"/>
    <x v="6"/>
    <x v="6"/>
    <x v="0"/>
    <x v="15"/>
    <x v="47"/>
    <x v="0"/>
    <x v="0"/>
    <x v="15"/>
    <x v="47"/>
    <x v="21"/>
    <x v="26"/>
    <x v="0"/>
    <x v="0"/>
    <x v="0"/>
    <x v="27"/>
  </r>
  <r>
    <x v="98"/>
    <x v="0"/>
    <x v="41"/>
    <x v="41"/>
    <x v="41"/>
    <x v="14"/>
    <x v="7"/>
    <x v="0"/>
    <x v="0"/>
    <x v="0"/>
    <x v="4"/>
    <x v="52"/>
    <x v="1"/>
    <x v="1"/>
    <x v="22"/>
    <x v="22"/>
    <x v="0"/>
    <x v="11"/>
    <x v="21"/>
    <x v="0"/>
    <x v="0"/>
    <x v="11"/>
    <x v="21"/>
    <x v="0"/>
    <x v="0"/>
    <x v="0"/>
    <x v="0"/>
    <x v="0"/>
    <x v="0"/>
  </r>
  <r>
    <x v="99"/>
    <x v="0"/>
    <x v="41"/>
    <x v="41"/>
    <x v="41"/>
    <x v="14"/>
    <x v="7"/>
    <x v="0"/>
    <x v="0"/>
    <x v="0"/>
    <x v="4"/>
    <x v="52"/>
    <x v="1"/>
    <x v="1"/>
    <x v="19"/>
    <x v="19"/>
    <x v="0"/>
    <x v="0"/>
    <x v="0"/>
    <x v="0"/>
    <x v="0"/>
    <x v="0"/>
    <x v="0"/>
    <x v="0"/>
    <x v="0"/>
    <x v="0"/>
    <x v="0"/>
    <x v="0"/>
    <x v="0"/>
  </r>
  <r>
    <x v="100"/>
    <x v="0"/>
    <x v="4"/>
    <x v="4"/>
    <x v="4"/>
    <x v="3"/>
    <x v="3"/>
    <x v="0"/>
    <x v="0"/>
    <x v="1"/>
    <x v="0"/>
    <x v="53"/>
    <x v="15"/>
    <x v="15"/>
    <x v="4"/>
    <x v="4"/>
    <x v="0"/>
    <x v="24"/>
    <x v="48"/>
    <x v="0"/>
    <x v="0"/>
    <x v="24"/>
    <x v="48"/>
    <x v="22"/>
    <x v="27"/>
    <x v="0"/>
    <x v="0"/>
    <x v="0"/>
    <x v="28"/>
  </r>
  <r>
    <x v="101"/>
    <x v="0"/>
    <x v="42"/>
    <x v="42"/>
    <x v="42"/>
    <x v="14"/>
    <x v="7"/>
    <x v="0"/>
    <x v="1"/>
    <x v="0"/>
    <x v="4"/>
    <x v="53"/>
    <x v="1"/>
    <x v="1"/>
    <x v="12"/>
    <x v="12"/>
    <x v="6"/>
    <x v="17"/>
    <x v="29"/>
    <x v="0"/>
    <x v="0"/>
    <x v="17"/>
    <x v="29"/>
    <x v="14"/>
    <x v="17"/>
    <x v="0"/>
    <x v="0"/>
    <x v="0"/>
    <x v="18"/>
  </r>
  <r>
    <x v="102"/>
    <x v="0"/>
    <x v="42"/>
    <x v="42"/>
    <x v="42"/>
    <x v="14"/>
    <x v="7"/>
    <x v="0"/>
    <x v="0"/>
    <x v="0"/>
    <x v="4"/>
    <x v="53"/>
    <x v="1"/>
    <x v="1"/>
    <x v="6"/>
    <x v="6"/>
    <x v="0"/>
    <x v="17"/>
    <x v="27"/>
    <x v="0"/>
    <x v="0"/>
    <x v="17"/>
    <x v="27"/>
    <x v="14"/>
    <x v="22"/>
    <x v="0"/>
    <x v="0"/>
    <x v="0"/>
    <x v="23"/>
  </r>
  <r>
    <x v="103"/>
    <x v="0"/>
    <x v="43"/>
    <x v="43"/>
    <x v="43"/>
    <x v="7"/>
    <x v="6"/>
    <x v="2"/>
    <x v="1"/>
    <x v="0"/>
    <x v="1"/>
    <x v="54"/>
    <x v="1"/>
    <x v="1"/>
    <x v="13"/>
    <x v="13"/>
    <x v="19"/>
    <x v="17"/>
    <x v="49"/>
    <x v="0"/>
    <x v="0"/>
    <x v="17"/>
    <x v="49"/>
    <x v="0"/>
    <x v="0"/>
    <x v="0"/>
    <x v="0"/>
    <x v="0"/>
    <x v="0"/>
  </r>
  <r>
    <x v="104"/>
    <x v="0"/>
    <x v="18"/>
    <x v="18"/>
    <x v="18"/>
    <x v="6"/>
    <x v="5"/>
    <x v="0"/>
    <x v="0"/>
    <x v="1"/>
    <x v="0"/>
    <x v="54"/>
    <x v="15"/>
    <x v="15"/>
    <x v="32"/>
    <x v="32"/>
    <x v="0"/>
    <x v="13"/>
    <x v="19"/>
    <x v="0"/>
    <x v="0"/>
    <x v="13"/>
    <x v="19"/>
    <x v="0"/>
    <x v="0"/>
    <x v="0"/>
    <x v="0"/>
    <x v="0"/>
    <x v="0"/>
  </r>
  <r>
    <x v="105"/>
    <x v="0"/>
    <x v="44"/>
    <x v="44"/>
    <x v="44"/>
    <x v="13"/>
    <x v="3"/>
    <x v="0"/>
    <x v="0"/>
    <x v="1"/>
    <x v="0"/>
    <x v="55"/>
    <x v="15"/>
    <x v="15"/>
    <x v="1"/>
    <x v="1"/>
    <x v="0"/>
    <x v="3"/>
    <x v="3"/>
    <x v="0"/>
    <x v="0"/>
    <x v="3"/>
    <x v="3"/>
    <x v="3"/>
    <x v="3"/>
    <x v="0"/>
    <x v="0"/>
    <x v="0"/>
    <x v="3"/>
  </r>
  <r>
    <x v="106"/>
    <x v="0"/>
    <x v="45"/>
    <x v="45"/>
    <x v="45"/>
    <x v="13"/>
    <x v="3"/>
    <x v="0"/>
    <x v="1"/>
    <x v="0"/>
    <x v="0"/>
    <x v="55"/>
    <x v="1"/>
    <x v="1"/>
    <x v="10"/>
    <x v="10"/>
    <x v="6"/>
    <x v="10"/>
    <x v="13"/>
    <x v="0"/>
    <x v="0"/>
    <x v="10"/>
    <x v="13"/>
    <x v="7"/>
    <x v="9"/>
    <x v="0"/>
    <x v="0"/>
    <x v="0"/>
    <x v="9"/>
  </r>
  <r>
    <x v="107"/>
    <x v="0"/>
    <x v="46"/>
    <x v="46"/>
    <x v="46"/>
    <x v="10"/>
    <x v="9"/>
    <x v="1"/>
    <x v="0"/>
    <x v="1"/>
    <x v="2"/>
    <x v="56"/>
    <x v="15"/>
    <x v="15"/>
    <x v="1"/>
    <x v="1"/>
    <x v="0"/>
    <x v="0"/>
    <x v="0"/>
    <x v="0"/>
    <x v="0"/>
    <x v="0"/>
    <x v="0"/>
    <x v="2"/>
    <x v="2"/>
    <x v="0"/>
    <x v="0"/>
    <x v="0"/>
    <x v="2"/>
  </r>
  <r>
    <x v="108"/>
    <x v="0"/>
    <x v="46"/>
    <x v="46"/>
    <x v="46"/>
    <x v="10"/>
    <x v="9"/>
    <x v="1"/>
    <x v="0"/>
    <x v="1"/>
    <x v="2"/>
    <x v="56"/>
    <x v="15"/>
    <x v="15"/>
    <x v="6"/>
    <x v="6"/>
    <x v="0"/>
    <x v="0"/>
    <x v="0"/>
    <x v="0"/>
    <x v="0"/>
    <x v="0"/>
    <x v="0"/>
    <x v="2"/>
    <x v="2"/>
    <x v="0"/>
    <x v="0"/>
    <x v="0"/>
    <x v="2"/>
  </r>
  <r>
    <x v="109"/>
    <x v="0"/>
    <x v="47"/>
    <x v="47"/>
    <x v="47"/>
    <x v="13"/>
    <x v="3"/>
    <x v="0"/>
    <x v="1"/>
    <x v="0"/>
    <x v="0"/>
    <x v="56"/>
    <x v="1"/>
    <x v="1"/>
    <x v="10"/>
    <x v="10"/>
    <x v="6"/>
    <x v="3"/>
    <x v="50"/>
    <x v="0"/>
    <x v="0"/>
    <x v="3"/>
    <x v="50"/>
    <x v="3"/>
    <x v="11"/>
    <x v="0"/>
    <x v="0"/>
    <x v="0"/>
    <x v="29"/>
  </r>
  <r>
    <x v="110"/>
    <x v="0"/>
    <x v="47"/>
    <x v="47"/>
    <x v="47"/>
    <x v="13"/>
    <x v="3"/>
    <x v="0"/>
    <x v="0"/>
    <x v="0"/>
    <x v="0"/>
    <x v="56"/>
    <x v="1"/>
    <x v="1"/>
    <x v="1"/>
    <x v="1"/>
    <x v="0"/>
    <x v="0"/>
    <x v="0"/>
    <x v="0"/>
    <x v="0"/>
    <x v="0"/>
    <x v="0"/>
    <x v="2"/>
    <x v="2"/>
    <x v="0"/>
    <x v="0"/>
    <x v="0"/>
    <x v="2"/>
  </r>
  <r>
    <x v="111"/>
    <x v="0"/>
    <x v="48"/>
    <x v="48"/>
    <x v="48"/>
    <x v="13"/>
    <x v="3"/>
    <x v="0"/>
    <x v="0"/>
    <x v="0"/>
    <x v="0"/>
    <x v="57"/>
    <x v="1"/>
    <x v="1"/>
    <x v="1"/>
    <x v="1"/>
    <x v="0"/>
    <x v="1"/>
    <x v="1"/>
    <x v="0"/>
    <x v="0"/>
    <x v="1"/>
    <x v="1"/>
    <x v="1"/>
    <x v="1"/>
    <x v="0"/>
    <x v="0"/>
    <x v="0"/>
    <x v="1"/>
  </r>
  <r>
    <x v="112"/>
    <x v="0"/>
    <x v="35"/>
    <x v="35"/>
    <x v="35"/>
    <x v="10"/>
    <x v="9"/>
    <x v="1"/>
    <x v="6"/>
    <x v="1"/>
    <x v="2"/>
    <x v="57"/>
    <x v="16"/>
    <x v="16"/>
    <x v="30"/>
    <x v="30"/>
    <x v="16"/>
    <x v="5"/>
    <x v="42"/>
    <x v="0"/>
    <x v="0"/>
    <x v="5"/>
    <x v="42"/>
    <x v="0"/>
    <x v="0"/>
    <x v="0"/>
    <x v="0"/>
    <x v="0"/>
    <x v="0"/>
  </r>
  <r>
    <x v="113"/>
    <x v="0"/>
    <x v="35"/>
    <x v="35"/>
    <x v="35"/>
    <x v="10"/>
    <x v="9"/>
    <x v="1"/>
    <x v="6"/>
    <x v="1"/>
    <x v="2"/>
    <x v="57"/>
    <x v="16"/>
    <x v="16"/>
    <x v="29"/>
    <x v="29"/>
    <x v="15"/>
    <x v="5"/>
    <x v="51"/>
    <x v="0"/>
    <x v="0"/>
    <x v="5"/>
    <x v="51"/>
    <x v="0"/>
    <x v="0"/>
    <x v="0"/>
    <x v="0"/>
    <x v="0"/>
    <x v="0"/>
  </r>
  <r>
    <x v="114"/>
    <x v="0"/>
    <x v="35"/>
    <x v="35"/>
    <x v="35"/>
    <x v="10"/>
    <x v="9"/>
    <x v="1"/>
    <x v="6"/>
    <x v="1"/>
    <x v="2"/>
    <x v="57"/>
    <x v="16"/>
    <x v="16"/>
    <x v="33"/>
    <x v="33"/>
    <x v="20"/>
    <x v="8"/>
    <x v="52"/>
    <x v="0"/>
    <x v="0"/>
    <x v="8"/>
    <x v="52"/>
    <x v="0"/>
    <x v="0"/>
    <x v="0"/>
    <x v="0"/>
    <x v="0"/>
    <x v="0"/>
  </r>
  <r>
    <x v="115"/>
    <x v="0"/>
    <x v="20"/>
    <x v="20"/>
    <x v="20"/>
    <x v="3"/>
    <x v="3"/>
    <x v="0"/>
    <x v="0"/>
    <x v="1"/>
    <x v="0"/>
    <x v="58"/>
    <x v="16"/>
    <x v="16"/>
    <x v="4"/>
    <x v="4"/>
    <x v="0"/>
    <x v="11"/>
    <x v="21"/>
    <x v="0"/>
    <x v="0"/>
    <x v="11"/>
    <x v="21"/>
    <x v="11"/>
    <x v="12"/>
    <x v="0"/>
    <x v="0"/>
    <x v="0"/>
    <x v="13"/>
  </r>
  <r>
    <x v="116"/>
    <x v="0"/>
    <x v="49"/>
    <x v="49"/>
    <x v="49"/>
    <x v="13"/>
    <x v="3"/>
    <x v="0"/>
    <x v="0"/>
    <x v="0"/>
    <x v="0"/>
    <x v="58"/>
    <x v="1"/>
    <x v="1"/>
    <x v="1"/>
    <x v="1"/>
    <x v="0"/>
    <x v="1"/>
    <x v="1"/>
    <x v="0"/>
    <x v="0"/>
    <x v="1"/>
    <x v="1"/>
    <x v="1"/>
    <x v="1"/>
    <x v="0"/>
    <x v="0"/>
    <x v="0"/>
    <x v="1"/>
  </r>
  <r>
    <x v="117"/>
    <x v="0"/>
    <x v="50"/>
    <x v="50"/>
    <x v="50"/>
    <x v="15"/>
    <x v="4"/>
    <x v="1"/>
    <x v="0"/>
    <x v="0"/>
    <x v="2"/>
    <x v="59"/>
    <x v="1"/>
    <x v="1"/>
    <x v="34"/>
    <x v="34"/>
    <x v="0"/>
    <x v="25"/>
    <x v="53"/>
    <x v="0"/>
    <x v="0"/>
    <x v="25"/>
    <x v="53"/>
    <x v="0"/>
    <x v="0"/>
    <x v="0"/>
    <x v="0"/>
    <x v="0"/>
    <x v="0"/>
  </r>
  <r>
    <x v="118"/>
    <x v="0"/>
    <x v="51"/>
    <x v="51"/>
    <x v="51"/>
    <x v="15"/>
    <x v="4"/>
    <x v="1"/>
    <x v="0"/>
    <x v="0"/>
    <x v="2"/>
    <x v="60"/>
    <x v="1"/>
    <x v="1"/>
    <x v="1"/>
    <x v="1"/>
    <x v="0"/>
    <x v="6"/>
    <x v="6"/>
    <x v="0"/>
    <x v="0"/>
    <x v="6"/>
    <x v="6"/>
    <x v="4"/>
    <x v="5"/>
    <x v="0"/>
    <x v="0"/>
    <x v="0"/>
    <x v="5"/>
  </r>
  <r>
    <x v="119"/>
    <x v="0"/>
    <x v="10"/>
    <x v="10"/>
    <x v="10"/>
    <x v="4"/>
    <x v="4"/>
    <x v="1"/>
    <x v="4"/>
    <x v="0"/>
    <x v="2"/>
    <x v="61"/>
    <x v="1"/>
    <x v="1"/>
    <x v="35"/>
    <x v="35"/>
    <x v="21"/>
    <x v="8"/>
    <x v="54"/>
    <x v="0"/>
    <x v="0"/>
    <x v="8"/>
    <x v="54"/>
    <x v="23"/>
    <x v="28"/>
    <x v="8"/>
    <x v="2"/>
    <x v="7"/>
    <x v="30"/>
  </r>
  <r>
    <x v="120"/>
    <x v="0"/>
    <x v="19"/>
    <x v="19"/>
    <x v="19"/>
    <x v="11"/>
    <x v="2"/>
    <x v="0"/>
    <x v="1"/>
    <x v="1"/>
    <x v="0"/>
    <x v="61"/>
    <x v="17"/>
    <x v="17"/>
    <x v="20"/>
    <x v="20"/>
    <x v="6"/>
    <x v="26"/>
    <x v="55"/>
    <x v="0"/>
    <x v="0"/>
    <x v="26"/>
    <x v="55"/>
    <x v="0"/>
    <x v="0"/>
    <x v="0"/>
    <x v="0"/>
    <x v="0"/>
    <x v="0"/>
  </r>
  <r>
    <x v="121"/>
    <x v="0"/>
    <x v="52"/>
    <x v="52"/>
    <x v="52"/>
    <x v="1"/>
    <x v="1"/>
    <x v="1"/>
    <x v="0"/>
    <x v="0"/>
    <x v="1"/>
    <x v="62"/>
    <x v="1"/>
    <x v="1"/>
    <x v="1"/>
    <x v="1"/>
    <x v="0"/>
    <x v="14"/>
    <x v="20"/>
    <x v="0"/>
    <x v="0"/>
    <x v="14"/>
    <x v="20"/>
    <x v="10"/>
    <x v="11"/>
    <x v="0"/>
    <x v="0"/>
    <x v="0"/>
    <x v="12"/>
  </r>
  <r>
    <x v="122"/>
    <x v="0"/>
    <x v="53"/>
    <x v="53"/>
    <x v="53"/>
    <x v="7"/>
    <x v="6"/>
    <x v="2"/>
    <x v="4"/>
    <x v="0"/>
    <x v="1"/>
    <x v="63"/>
    <x v="1"/>
    <x v="1"/>
    <x v="18"/>
    <x v="18"/>
    <x v="22"/>
    <x v="26"/>
    <x v="56"/>
    <x v="0"/>
    <x v="0"/>
    <x v="26"/>
    <x v="56"/>
    <x v="0"/>
    <x v="0"/>
    <x v="0"/>
    <x v="0"/>
    <x v="0"/>
    <x v="0"/>
  </r>
  <r>
    <x v="123"/>
    <x v="0"/>
    <x v="54"/>
    <x v="54"/>
    <x v="54"/>
    <x v="3"/>
    <x v="3"/>
    <x v="0"/>
    <x v="0"/>
    <x v="1"/>
    <x v="0"/>
    <x v="64"/>
    <x v="18"/>
    <x v="18"/>
    <x v="1"/>
    <x v="1"/>
    <x v="0"/>
    <x v="26"/>
    <x v="57"/>
    <x v="0"/>
    <x v="0"/>
    <x v="26"/>
    <x v="57"/>
    <x v="24"/>
    <x v="29"/>
    <x v="0"/>
    <x v="0"/>
    <x v="0"/>
    <x v="31"/>
  </r>
  <r>
    <x v="124"/>
    <x v="0"/>
    <x v="55"/>
    <x v="55"/>
    <x v="55"/>
    <x v="9"/>
    <x v="8"/>
    <x v="1"/>
    <x v="0"/>
    <x v="0"/>
    <x v="3"/>
    <x v="64"/>
    <x v="1"/>
    <x v="1"/>
    <x v="1"/>
    <x v="1"/>
    <x v="0"/>
    <x v="1"/>
    <x v="1"/>
    <x v="0"/>
    <x v="0"/>
    <x v="1"/>
    <x v="1"/>
    <x v="1"/>
    <x v="1"/>
    <x v="0"/>
    <x v="0"/>
    <x v="0"/>
    <x v="1"/>
  </r>
  <r>
    <x v="125"/>
    <x v="0"/>
    <x v="26"/>
    <x v="26"/>
    <x v="26"/>
    <x v="10"/>
    <x v="9"/>
    <x v="1"/>
    <x v="3"/>
    <x v="1"/>
    <x v="2"/>
    <x v="65"/>
    <x v="18"/>
    <x v="18"/>
    <x v="8"/>
    <x v="8"/>
    <x v="3"/>
    <x v="27"/>
    <x v="58"/>
    <x v="0"/>
    <x v="0"/>
    <x v="27"/>
    <x v="58"/>
    <x v="0"/>
    <x v="0"/>
    <x v="0"/>
    <x v="0"/>
    <x v="0"/>
    <x v="0"/>
  </r>
  <r>
    <x v="126"/>
    <x v="0"/>
    <x v="31"/>
    <x v="31"/>
    <x v="31"/>
    <x v="12"/>
    <x v="1"/>
    <x v="1"/>
    <x v="0"/>
    <x v="0"/>
    <x v="1"/>
    <x v="65"/>
    <x v="1"/>
    <x v="1"/>
    <x v="31"/>
    <x v="31"/>
    <x v="17"/>
    <x v="6"/>
    <x v="59"/>
    <x v="0"/>
    <x v="0"/>
    <x v="6"/>
    <x v="59"/>
    <x v="4"/>
    <x v="5"/>
    <x v="0"/>
    <x v="0"/>
    <x v="0"/>
    <x v="5"/>
  </r>
  <r>
    <x v="127"/>
    <x v="0"/>
    <x v="56"/>
    <x v="56"/>
    <x v="56"/>
    <x v="16"/>
    <x v="8"/>
    <x v="1"/>
    <x v="1"/>
    <x v="0"/>
    <x v="1"/>
    <x v="66"/>
    <x v="1"/>
    <x v="1"/>
    <x v="36"/>
    <x v="36"/>
    <x v="6"/>
    <x v="10"/>
    <x v="13"/>
    <x v="0"/>
    <x v="0"/>
    <x v="10"/>
    <x v="13"/>
    <x v="7"/>
    <x v="9"/>
    <x v="0"/>
    <x v="0"/>
    <x v="0"/>
    <x v="9"/>
  </r>
  <r>
    <x v="128"/>
    <x v="0"/>
    <x v="56"/>
    <x v="56"/>
    <x v="56"/>
    <x v="16"/>
    <x v="8"/>
    <x v="1"/>
    <x v="0"/>
    <x v="0"/>
    <x v="1"/>
    <x v="66"/>
    <x v="1"/>
    <x v="1"/>
    <x v="2"/>
    <x v="2"/>
    <x v="0"/>
    <x v="13"/>
    <x v="19"/>
    <x v="0"/>
    <x v="0"/>
    <x v="13"/>
    <x v="19"/>
    <x v="0"/>
    <x v="0"/>
    <x v="0"/>
    <x v="0"/>
    <x v="0"/>
    <x v="0"/>
  </r>
  <r>
    <x v="129"/>
    <x v="0"/>
    <x v="26"/>
    <x v="26"/>
    <x v="26"/>
    <x v="10"/>
    <x v="9"/>
    <x v="1"/>
    <x v="3"/>
    <x v="1"/>
    <x v="2"/>
    <x v="66"/>
    <x v="18"/>
    <x v="18"/>
    <x v="8"/>
    <x v="8"/>
    <x v="3"/>
    <x v="28"/>
    <x v="60"/>
    <x v="0"/>
    <x v="0"/>
    <x v="28"/>
    <x v="60"/>
    <x v="0"/>
    <x v="0"/>
    <x v="0"/>
    <x v="0"/>
    <x v="0"/>
    <x v="0"/>
  </r>
  <r>
    <x v="130"/>
    <x v="0"/>
    <x v="57"/>
    <x v="57"/>
    <x v="57"/>
    <x v="5"/>
    <x v="0"/>
    <x v="0"/>
    <x v="1"/>
    <x v="0"/>
    <x v="0"/>
    <x v="67"/>
    <x v="1"/>
    <x v="1"/>
    <x v="10"/>
    <x v="10"/>
    <x v="6"/>
    <x v="17"/>
    <x v="29"/>
    <x v="0"/>
    <x v="0"/>
    <x v="17"/>
    <x v="29"/>
    <x v="14"/>
    <x v="17"/>
    <x v="0"/>
    <x v="0"/>
    <x v="0"/>
    <x v="18"/>
  </r>
  <r>
    <x v="131"/>
    <x v="0"/>
    <x v="57"/>
    <x v="57"/>
    <x v="57"/>
    <x v="5"/>
    <x v="0"/>
    <x v="0"/>
    <x v="0"/>
    <x v="0"/>
    <x v="0"/>
    <x v="67"/>
    <x v="1"/>
    <x v="1"/>
    <x v="1"/>
    <x v="1"/>
    <x v="0"/>
    <x v="6"/>
    <x v="6"/>
    <x v="0"/>
    <x v="0"/>
    <x v="6"/>
    <x v="6"/>
    <x v="4"/>
    <x v="5"/>
    <x v="0"/>
    <x v="0"/>
    <x v="0"/>
    <x v="5"/>
  </r>
  <r>
    <x v="132"/>
    <x v="0"/>
    <x v="36"/>
    <x v="36"/>
    <x v="36"/>
    <x v="3"/>
    <x v="3"/>
    <x v="0"/>
    <x v="0"/>
    <x v="0"/>
    <x v="0"/>
    <x v="68"/>
    <x v="1"/>
    <x v="1"/>
    <x v="1"/>
    <x v="1"/>
    <x v="0"/>
    <x v="26"/>
    <x v="57"/>
    <x v="0"/>
    <x v="0"/>
    <x v="26"/>
    <x v="57"/>
    <x v="24"/>
    <x v="29"/>
    <x v="0"/>
    <x v="0"/>
    <x v="0"/>
    <x v="31"/>
  </r>
  <r>
    <x v="133"/>
    <x v="0"/>
    <x v="36"/>
    <x v="36"/>
    <x v="36"/>
    <x v="3"/>
    <x v="3"/>
    <x v="0"/>
    <x v="0"/>
    <x v="0"/>
    <x v="0"/>
    <x v="68"/>
    <x v="1"/>
    <x v="1"/>
    <x v="6"/>
    <x v="6"/>
    <x v="0"/>
    <x v="5"/>
    <x v="26"/>
    <x v="0"/>
    <x v="0"/>
    <x v="5"/>
    <x v="26"/>
    <x v="8"/>
    <x v="16"/>
    <x v="0"/>
    <x v="0"/>
    <x v="0"/>
    <x v="17"/>
  </r>
  <r>
    <x v="134"/>
    <x v="0"/>
    <x v="6"/>
    <x v="6"/>
    <x v="6"/>
    <x v="3"/>
    <x v="3"/>
    <x v="0"/>
    <x v="0"/>
    <x v="1"/>
    <x v="0"/>
    <x v="69"/>
    <x v="19"/>
    <x v="19"/>
    <x v="1"/>
    <x v="1"/>
    <x v="0"/>
    <x v="9"/>
    <x v="61"/>
    <x v="0"/>
    <x v="0"/>
    <x v="9"/>
    <x v="61"/>
    <x v="6"/>
    <x v="30"/>
    <x v="0"/>
    <x v="0"/>
    <x v="0"/>
    <x v="32"/>
  </r>
  <r>
    <x v="135"/>
    <x v="0"/>
    <x v="45"/>
    <x v="45"/>
    <x v="45"/>
    <x v="13"/>
    <x v="3"/>
    <x v="0"/>
    <x v="1"/>
    <x v="0"/>
    <x v="0"/>
    <x v="69"/>
    <x v="1"/>
    <x v="1"/>
    <x v="10"/>
    <x v="10"/>
    <x v="6"/>
    <x v="3"/>
    <x v="50"/>
    <x v="0"/>
    <x v="0"/>
    <x v="3"/>
    <x v="50"/>
    <x v="3"/>
    <x v="11"/>
    <x v="0"/>
    <x v="0"/>
    <x v="0"/>
    <x v="29"/>
  </r>
  <r>
    <x v="136"/>
    <x v="0"/>
    <x v="45"/>
    <x v="45"/>
    <x v="45"/>
    <x v="13"/>
    <x v="3"/>
    <x v="0"/>
    <x v="0"/>
    <x v="0"/>
    <x v="0"/>
    <x v="69"/>
    <x v="1"/>
    <x v="1"/>
    <x v="1"/>
    <x v="1"/>
    <x v="0"/>
    <x v="26"/>
    <x v="57"/>
    <x v="0"/>
    <x v="0"/>
    <x v="26"/>
    <x v="57"/>
    <x v="24"/>
    <x v="29"/>
    <x v="0"/>
    <x v="0"/>
    <x v="0"/>
    <x v="31"/>
  </r>
  <r>
    <x v="137"/>
    <x v="0"/>
    <x v="58"/>
    <x v="58"/>
    <x v="58"/>
    <x v="0"/>
    <x v="0"/>
    <x v="0"/>
    <x v="3"/>
    <x v="0"/>
    <x v="0"/>
    <x v="70"/>
    <x v="1"/>
    <x v="1"/>
    <x v="8"/>
    <x v="8"/>
    <x v="3"/>
    <x v="29"/>
    <x v="62"/>
    <x v="0"/>
    <x v="0"/>
    <x v="29"/>
    <x v="62"/>
    <x v="0"/>
    <x v="0"/>
    <x v="0"/>
    <x v="0"/>
    <x v="0"/>
    <x v="0"/>
  </r>
  <r>
    <x v="138"/>
    <x v="0"/>
    <x v="1"/>
    <x v="1"/>
    <x v="1"/>
    <x v="1"/>
    <x v="1"/>
    <x v="1"/>
    <x v="0"/>
    <x v="1"/>
    <x v="1"/>
    <x v="70"/>
    <x v="19"/>
    <x v="19"/>
    <x v="1"/>
    <x v="1"/>
    <x v="0"/>
    <x v="1"/>
    <x v="1"/>
    <x v="0"/>
    <x v="0"/>
    <x v="1"/>
    <x v="1"/>
    <x v="1"/>
    <x v="1"/>
    <x v="0"/>
    <x v="0"/>
    <x v="0"/>
    <x v="1"/>
  </r>
  <r>
    <x v="139"/>
    <x v="0"/>
    <x v="59"/>
    <x v="59"/>
    <x v="59"/>
    <x v="5"/>
    <x v="0"/>
    <x v="0"/>
    <x v="3"/>
    <x v="0"/>
    <x v="0"/>
    <x v="71"/>
    <x v="1"/>
    <x v="1"/>
    <x v="8"/>
    <x v="8"/>
    <x v="3"/>
    <x v="7"/>
    <x v="7"/>
    <x v="0"/>
    <x v="0"/>
    <x v="7"/>
    <x v="7"/>
    <x v="0"/>
    <x v="0"/>
    <x v="0"/>
    <x v="0"/>
    <x v="0"/>
    <x v="0"/>
  </r>
  <r>
    <x v="140"/>
    <x v="0"/>
    <x v="11"/>
    <x v="11"/>
    <x v="11"/>
    <x v="7"/>
    <x v="6"/>
    <x v="2"/>
    <x v="0"/>
    <x v="1"/>
    <x v="2"/>
    <x v="71"/>
    <x v="19"/>
    <x v="19"/>
    <x v="37"/>
    <x v="37"/>
    <x v="23"/>
    <x v="0"/>
    <x v="63"/>
    <x v="0"/>
    <x v="0"/>
    <x v="0"/>
    <x v="63"/>
    <x v="0"/>
    <x v="0"/>
    <x v="0"/>
    <x v="0"/>
    <x v="0"/>
    <x v="0"/>
  </r>
  <r>
    <x v="141"/>
    <x v="0"/>
    <x v="19"/>
    <x v="19"/>
    <x v="19"/>
    <x v="11"/>
    <x v="2"/>
    <x v="0"/>
    <x v="1"/>
    <x v="1"/>
    <x v="0"/>
    <x v="72"/>
    <x v="19"/>
    <x v="19"/>
    <x v="10"/>
    <x v="10"/>
    <x v="6"/>
    <x v="17"/>
    <x v="29"/>
    <x v="0"/>
    <x v="0"/>
    <x v="17"/>
    <x v="29"/>
    <x v="14"/>
    <x v="17"/>
    <x v="0"/>
    <x v="0"/>
    <x v="0"/>
    <x v="18"/>
  </r>
  <r>
    <x v="142"/>
    <x v="0"/>
    <x v="19"/>
    <x v="19"/>
    <x v="19"/>
    <x v="11"/>
    <x v="2"/>
    <x v="0"/>
    <x v="0"/>
    <x v="1"/>
    <x v="0"/>
    <x v="72"/>
    <x v="19"/>
    <x v="19"/>
    <x v="38"/>
    <x v="38"/>
    <x v="0"/>
    <x v="3"/>
    <x v="3"/>
    <x v="0"/>
    <x v="0"/>
    <x v="3"/>
    <x v="3"/>
    <x v="0"/>
    <x v="0"/>
    <x v="0"/>
    <x v="0"/>
    <x v="0"/>
    <x v="0"/>
  </r>
  <r>
    <x v="143"/>
    <x v="0"/>
    <x v="19"/>
    <x v="19"/>
    <x v="19"/>
    <x v="11"/>
    <x v="2"/>
    <x v="0"/>
    <x v="1"/>
    <x v="1"/>
    <x v="0"/>
    <x v="72"/>
    <x v="19"/>
    <x v="19"/>
    <x v="20"/>
    <x v="20"/>
    <x v="6"/>
    <x v="30"/>
    <x v="64"/>
    <x v="0"/>
    <x v="0"/>
    <x v="30"/>
    <x v="64"/>
    <x v="0"/>
    <x v="0"/>
    <x v="0"/>
    <x v="0"/>
    <x v="0"/>
    <x v="0"/>
  </r>
  <r>
    <x v="144"/>
    <x v="0"/>
    <x v="60"/>
    <x v="60"/>
    <x v="60"/>
    <x v="17"/>
    <x v="2"/>
    <x v="0"/>
    <x v="0"/>
    <x v="0"/>
    <x v="0"/>
    <x v="73"/>
    <x v="2"/>
    <x v="2"/>
    <x v="1"/>
    <x v="1"/>
    <x v="0"/>
    <x v="6"/>
    <x v="6"/>
    <x v="0"/>
    <x v="0"/>
    <x v="6"/>
    <x v="6"/>
    <x v="4"/>
    <x v="5"/>
    <x v="0"/>
    <x v="0"/>
    <x v="0"/>
    <x v="5"/>
  </r>
  <r>
    <x v="145"/>
    <x v="0"/>
    <x v="57"/>
    <x v="57"/>
    <x v="57"/>
    <x v="5"/>
    <x v="0"/>
    <x v="0"/>
    <x v="0"/>
    <x v="0"/>
    <x v="0"/>
    <x v="74"/>
    <x v="2"/>
    <x v="2"/>
    <x v="1"/>
    <x v="1"/>
    <x v="0"/>
    <x v="6"/>
    <x v="6"/>
    <x v="0"/>
    <x v="0"/>
    <x v="6"/>
    <x v="6"/>
    <x v="4"/>
    <x v="5"/>
    <x v="0"/>
    <x v="0"/>
    <x v="0"/>
    <x v="5"/>
  </r>
  <r>
    <x v="146"/>
    <x v="0"/>
    <x v="57"/>
    <x v="57"/>
    <x v="57"/>
    <x v="5"/>
    <x v="0"/>
    <x v="0"/>
    <x v="1"/>
    <x v="0"/>
    <x v="0"/>
    <x v="74"/>
    <x v="2"/>
    <x v="2"/>
    <x v="10"/>
    <x v="10"/>
    <x v="6"/>
    <x v="11"/>
    <x v="14"/>
    <x v="0"/>
    <x v="0"/>
    <x v="11"/>
    <x v="14"/>
    <x v="11"/>
    <x v="26"/>
    <x v="0"/>
    <x v="0"/>
    <x v="0"/>
    <x v="33"/>
  </r>
  <r>
    <x v="147"/>
    <x v="0"/>
    <x v="61"/>
    <x v="61"/>
    <x v="61"/>
    <x v="5"/>
    <x v="0"/>
    <x v="0"/>
    <x v="1"/>
    <x v="0"/>
    <x v="0"/>
    <x v="75"/>
    <x v="2"/>
    <x v="2"/>
    <x v="10"/>
    <x v="10"/>
    <x v="6"/>
    <x v="17"/>
    <x v="29"/>
    <x v="0"/>
    <x v="0"/>
    <x v="17"/>
    <x v="29"/>
    <x v="14"/>
    <x v="17"/>
    <x v="0"/>
    <x v="0"/>
    <x v="0"/>
    <x v="18"/>
  </r>
  <r>
    <x v="148"/>
    <x v="0"/>
    <x v="62"/>
    <x v="62"/>
    <x v="62"/>
    <x v="0"/>
    <x v="0"/>
    <x v="0"/>
    <x v="1"/>
    <x v="0"/>
    <x v="0"/>
    <x v="76"/>
    <x v="2"/>
    <x v="2"/>
    <x v="39"/>
    <x v="39"/>
    <x v="6"/>
    <x v="17"/>
    <x v="29"/>
    <x v="0"/>
    <x v="0"/>
    <x v="17"/>
    <x v="29"/>
    <x v="14"/>
    <x v="17"/>
    <x v="0"/>
    <x v="0"/>
    <x v="0"/>
    <x v="18"/>
  </r>
  <r>
    <x v="149"/>
    <x v="0"/>
    <x v="62"/>
    <x v="62"/>
    <x v="62"/>
    <x v="0"/>
    <x v="0"/>
    <x v="0"/>
    <x v="0"/>
    <x v="0"/>
    <x v="0"/>
    <x v="76"/>
    <x v="2"/>
    <x v="2"/>
    <x v="1"/>
    <x v="1"/>
    <x v="0"/>
    <x v="17"/>
    <x v="27"/>
    <x v="0"/>
    <x v="0"/>
    <x v="17"/>
    <x v="27"/>
    <x v="14"/>
    <x v="22"/>
    <x v="0"/>
    <x v="0"/>
    <x v="0"/>
    <x v="23"/>
  </r>
  <r>
    <x v="150"/>
    <x v="0"/>
    <x v="62"/>
    <x v="62"/>
    <x v="62"/>
    <x v="0"/>
    <x v="0"/>
    <x v="0"/>
    <x v="0"/>
    <x v="0"/>
    <x v="0"/>
    <x v="76"/>
    <x v="2"/>
    <x v="2"/>
    <x v="0"/>
    <x v="0"/>
    <x v="0"/>
    <x v="0"/>
    <x v="0"/>
    <x v="0"/>
    <x v="0"/>
    <x v="0"/>
    <x v="0"/>
    <x v="0"/>
    <x v="0"/>
    <x v="0"/>
    <x v="0"/>
    <x v="0"/>
    <x v="0"/>
  </r>
  <r>
    <x v="151"/>
    <x v="0"/>
    <x v="36"/>
    <x v="36"/>
    <x v="36"/>
    <x v="3"/>
    <x v="3"/>
    <x v="0"/>
    <x v="0"/>
    <x v="0"/>
    <x v="0"/>
    <x v="77"/>
    <x v="2"/>
    <x v="2"/>
    <x v="19"/>
    <x v="19"/>
    <x v="0"/>
    <x v="8"/>
    <x v="8"/>
    <x v="0"/>
    <x v="0"/>
    <x v="8"/>
    <x v="8"/>
    <x v="0"/>
    <x v="0"/>
    <x v="0"/>
    <x v="0"/>
    <x v="0"/>
    <x v="0"/>
  </r>
  <r>
    <x v="152"/>
    <x v="0"/>
    <x v="36"/>
    <x v="36"/>
    <x v="36"/>
    <x v="3"/>
    <x v="3"/>
    <x v="0"/>
    <x v="0"/>
    <x v="0"/>
    <x v="0"/>
    <x v="77"/>
    <x v="2"/>
    <x v="2"/>
    <x v="16"/>
    <x v="16"/>
    <x v="0"/>
    <x v="11"/>
    <x v="21"/>
    <x v="0"/>
    <x v="0"/>
    <x v="11"/>
    <x v="21"/>
    <x v="0"/>
    <x v="0"/>
    <x v="0"/>
    <x v="0"/>
    <x v="0"/>
    <x v="0"/>
  </r>
  <r>
    <x v="153"/>
    <x v="0"/>
    <x v="38"/>
    <x v="38"/>
    <x v="38"/>
    <x v="3"/>
    <x v="3"/>
    <x v="0"/>
    <x v="0"/>
    <x v="0"/>
    <x v="0"/>
    <x v="78"/>
    <x v="2"/>
    <x v="2"/>
    <x v="4"/>
    <x v="4"/>
    <x v="0"/>
    <x v="0"/>
    <x v="0"/>
    <x v="0"/>
    <x v="0"/>
    <x v="0"/>
    <x v="0"/>
    <x v="2"/>
    <x v="2"/>
    <x v="0"/>
    <x v="0"/>
    <x v="0"/>
    <x v="2"/>
  </r>
  <r>
    <x v="154"/>
    <x v="0"/>
    <x v="38"/>
    <x v="38"/>
    <x v="38"/>
    <x v="3"/>
    <x v="3"/>
    <x v="0"/>
    <x v="0"/>
    <x v="0"/>
    <x v="0"/>
    <x v="79"/>
    <x v="2"/>
    <x v="2"/>
    <x v="6"/>
    <x v="6"/>
    <x v="0"/>
    <x v="6"/>
    <x v="6"/>
    <x v="0"/>
    <x v="0"/>
    <x v="6"/>
    <x v="6"/>
    <x v="4"/>
    <x v="5"/>
    <x v="0"/>
    <x v="0"/>
    <x v="0"/>
    <x v="5"/>
  </r>
  <r>
    <x v="155"/>
    <x v="0"/>
    <x v="38"/>
    <x v="38"/>
    <x v="38"/>
    <x v="3"/>
    <x v="3"/>
    <x v="0"/>
    <x v="0"/>
    <x v="0"/>
    <x v="0"/>
    <x v="79"/>
    <x v="2"/>
    <x v="2"/>
    <x v="7"/>
    <x v="7"/>
    <x v="0"/>
    <x v="0"/>
    <x v="0"/>
    <x v="0"/>
    <x v="0"/>
    <x v="0"/>
    <x v="0"/>
    <x v="0"/>
    <x v="0"/>
    <x v="0"/>
    <x v="0"/>
    <x v="0"/>
    <x v="0"/>
  </r>
  <r>
    <x v="156"/>
    <x v="0"/>
    <x v="25"/>
    <x v="25"/>
    <x v="25"/>
    <x v="3"/>
    <x v="3"/>
    <x v="0"/>
    <x v="0"/>
    <x v="0"/>
    <x v="0"/>
    <x v="80"/>
    <x v="2"/>
    <x v="2"/>
    <x v="1"/>
    <x v="1"/>
    <x v="0"/>
    <x v="31"/>
    <x v="65"/>
    <x v="0"/>
    <x v="0"/>
    <x v="31"/>
    <x v="65"/>
    <x v="25"/>
    <x v="31"/>
    <x v="0"/>
    <x v="0"/>
    <x v="0"/>
    <x v="34"/>
  </r>
  <r>
    <x v="157"/>
    <x v="0"/>
    <x v="34"/>
    <x v="34"/>
    <x v="34"/>
    <x v="14"/>
    <x v="7"/>
    <x v="0"/>
    <x v="1"/>
    <x v="0"/>
    <x v="4"/>
    <x v="81"/>
    <x v="2"/>
    <x v="2"/>
    <x v="10"/>
    <x v="10"/>
    <x v="6"/>
    <x v="32"/>
    <x v="66"/>
    <x v="0"/>
    <x v="0"/>
    <x v="32"/>
    <x v="66"/>
    <x v="26"/>
    <x v="32"/>
    <x v="0"/>
    <x v="0"/>
    <x v="0"/>
    <x v="35"/>
  </r>
  <r>
    <x v="158"/>
    <x v="0"/>
    <x v="34"/>
    <x v="34"/>
    <x v="34"/>
    <x v="14"/>
    <x v="7"/>
    <x v="0"/>
    <x v="0"/>
    <x v="0"/>
    <x v="4"/>
    <x v="81"/>
    <x v="2"/>
    <x v="2"/>
    <x v="1"/>
    <x v="1"/>
    <x v="0"/>
    <x v="0"/>
    <x v="0"/>
    <x v="0"/>
    <x v="0"/>
    <x v="0"/>
    <x v="0"/>
    <x v="2"/>
    <x v="2"/>
    <x v="0"/>
    <x v="0"/>
    <x v="0"/>
    <x v="2"/>
  </r>
  <r>
    <x v="159"/>
    <x v="0"/>
    <x v="63"/>
    <x v="63"/>
    <x v="63"/>
    <x v="14"/>
    <x v="7"/>
    <x v="0"/>
    <x v="0"/>
    <x v="0"/>
    <x v="4"/>
    <x v="82"/>
    <x v="2"/>
    <x v="2"/>
    <x v="21"/>
    <x v="21"/>
    <x v="0"/>
    <x v="11"/>
    <x v="21"/>
    <x v="0"/>
    <x v="0"/>
    <x v="11"/>
    <x v="21"/>
    <x v="0"/>
    <x v="0"/>
    <x v="0"/>
    <x v="0"/>
    <x v="0"/>
    <x v="0"/>
  </r>
  <r>
    <x v="160"/>
    <x v="0"/>
    <x v="63"/>
    <x v="63"/>
    <x v="63"/>
    <x v="14"/>
    <x v="7"/>
    <x v="0"/>
    <x v="0"/>
    <x v="0"/>
    <x v="4"/>
    <x v="82"/>
    <x v="2"/>
    <x v="2"/>
    <x v="1"/>
    <x v="1"/>
    <x v="0"/>
    <x v="6"/>
    <x v="6"/>
    <x v="0"/>
    <x v="0"/>
    <x v="6"/>
    <x v="6"/>
    <x v="4"/>
    <x v="5"/>
    <x v="0"/>
    <x v="0"/>
    <x v="0"/>
    <x v="5"/>
  </r>
  <r>
    <x v="161"/>
    <x v="0"/>
    <x v="42"/>
    <x v="42"/>
    <x v="42"/>
    <x v="14"/>
    <x v="7"/>
    <x v="0"/>
    <x v="0"/>
    <x v="0"/>
    <x v="4"/>
    <x v="83"/>
    <x v="2"/>
    <x v="2"/>
    <x v="6"/>
    <x v="6"/>
    <x v="0"/>
    <x v="0"/>
    <x v="0"/>
    <x v="0"/>
    <x v="0"/>
    <x v="0"/>
    <x v="0"/>
    <x v="2"/>
    <x v="2"/>
    <x v="0"/>
    <x v="0"/>
    <x v="0"/>
    <x v="2"/>
  </r>
  <r>
    <x v="162"/>
    <x v="0"/>
    <x v="42"/>
    <x v="42"/>
    <x v="42"/>
    <x v="14"/>
    <x v="7"/>
    <x v="0"/>
    <x v="0"/>
    <x v="0"/>
    <x v="4"/>
    <x v="83"/>
    <x v="2"/>
    <x v="2"/>
    <x v="19"/>
    <x v="19"/>
    <x v="0"/>
    <x v="6"/>
    <x v="6"/>
    <x v="0"/>
    <x v="0"/>
    <x v="6"/>
    <x v="6"/>
    <x v="0"/>
    <x v="0"/>
    <x v="0"/>
    <x v="0"/>
    <x v="0"/>
    <x v="0"/>
  </r>
  <r>
    <x v="163"/>
    <x v="0"/>
    <x v="22"/>
    <x v="22"/>
    <x v="22"/>
    <x v="6"/>
    <x v="5"/>
    <x v="0"/>
    <x v="0"/>
    <x v="0"/>
    <x v="0"/>
    <x v="84"/>
    <x v="2"/>
    <x v="2"/>
    <x v="0"/>
    <x v="0"/>
    <x v="0"/>
    <x v="11"/>
    <x v="21"/>
    <x v="0"/>
    <x v="0"/>
    <x v="11"/>
    <x v="21"/>
    <x v="0"/>
    <x v="0"/>
    <x v="0"/>
    <x v="0"/>
    <x v="0"/>
    <x v="0"/>
  </r>
  <r>
    <x v="164"/>
    <x v="0"/>
    <x v="28"/>
    <x v="28"/>
    <x v="28"/>
    <x v="8"/>
    <x v="7"/>
    <x v="0"/>
    <x v="1"/>
    <x v="0"/>
    <x v="0"/>
    <x v="85"/>
    <x v="2"/>
    <x v="2"/>
    <x v="10"/>
    <x v="10"/>
    <x v="6"/>
    <x v="3"/>
    <x v="50"/>
    <x v="0"/>
    <x v="0"/>
    <x v="3"/>
    <x v="50"/>
    <x v="3"/>
    <x v="11"/>
    <x v="0"/>
    <x v="0"/>
    <x v="0"/>
    <x v="29"/>
  </r>
  <r>
    <x v="165"/>
    <x v="0"/>
    <x v="28"/>
    <x v="28"/>
    <x v="28"/>
    <x v="8"/>
    <x v="7"/>
    <x v="0"/>
    <x v="0"/>
    <x v="0"/>
    <x v="0"/>
    <x v="85"/>
    <x v="2"/>
    <x v="2"/>
    <x v="1"/>
    <x v="1"/>
    <x v="0"/>
    <x v="0"/>
    <x v="0"/>
    <x v="0"/>
    <x v="0"/>
    <x v="0"/>
    <x v="0"/>
    <x v="2"/>
    <x v="2"/>
    <x v="0"/>
    <x v="0"/>
    <x v="0"/>
    <x v="2"/>
  </r>
  <r>
    <x v="166"/>
    <x v="0"/>
    <x v="64"/>
    <x v="64"/>
    <x v="64"/>
    <x v="8"/>
    <x v="7"/>
    <x v="0"/>
    <x v="0"/>
    <x v="0"/>
    <x v="0"/>
    <x v="86"/>
    <x v="2"/>
    <x v="2"/>
    <x v="1"/>
    <x v="1"/>
    <x v="0"/>
    <x v="3"/>
    <x v="3"/>
    <x v="0"/>
    <x v="0"/>
    <x v="3"/>
    <x v="3"/>
    <x v="3"/>
    <x v="3"/>
    <x v="0"/>
    <x v="0"/>
    <x v="0"/>
    <x v="3"/>
  </r>
  <r>
    <x v="167"/>
    <x v="0"/>
    <x v="31"/>
    <x v="31"/>
    <x v="31"/>
    <x v="12"/>
    <x v="1"/>
    <x v="1"/>
    <x v="0"/>
    <x v="0"/>
    <x v="1"/>
    <x v="87"/>
    <x v="2"/>
    <x v="2"/>
    <x v="31"/>
    <x v="31"/>
    <x v="17"/>
    <x v="6"/>
    <x v="59"/>
    <x v="0"/>
    <x v="0"/>
    <x v="6"/>
    <x v="59"/>
    <x v="4"/>
    <x v="5"/>
    <x v="0"/>
    <x v="0"/>
    <x v="0"/>
    <x v="5"/>
  </r>
  <r>
    <x v="168"/>
    <x v="0"/>
    <x v="31"/>
    <x v="31"/>
    <x v="31"/>
    <x v="12"/>
    <x v="1"/>
    <x v="1"/>
    <x v="0"/>
    <x v="0"/>
    <x v="1"/>
    <x v="87"/>
    <x v="2"/>
    <x v="2"/>
    <x v="0"/>
    <x v="0"/>
    <x v="0"/>
    <x v="17"/>
    <x v="27"/>
    <x v="0"/>
    <x v="0"/>
    <x v="17"/>
    <x v="27"/>
    <x v="0"/>
    <x v="0"/>
    <x v="0"/>
    <x v="0"/>
    <x v="0"/>
    <x v="0"/>
  </r>
  <r>
    <x v="169"/>
    <x v="0"/>
    <x v="65"/>
    <x v="65"/>
    <x v="65"/>
    <x v="16"/>
    <x v="8"/>
    <x v="1"/>
    <x v="0"/>
    <x v="0"/>
    <x v="1"/>
    <x v="88"/>
    <x v="2"/>
    <x v="2"/>
    <x v="6"/>
    <x v="6"/>
    <x v="0"/>
    <x v="3"/>
    <x v="3"/>
    <x v="0"/>
    <x v="0"/>
    <x v="3"/>
    <x v="3"/>
    <x v="3"/>
    <x v="3"/>
    <x v="0"/>
    <x v="0"/>
    <x v="0"/>
    <x v="3"/>
  </r>
  <r>
    <x v="170"/>
    <x v="0"/>
    <x v="65"/>
    <x v="65"/>
    <x v="65"/>
    <x v="16"/>
    <x v="8"/>
    <x v="1"/>
    <x v="0"/>
    <x v="0"/>
    <x v="1"/>
    <x v="88"/>
    <x v="2"/>
    <x v="2"/>
    <x v="1"/>
    <x v="1"/>
    <x v="0"/>
    <x v="8"/>
    <x v="8"/>
    <x v="0"/>
    <x v="0"/>
    <x v="8"/>
    <x v="8"/>
    <x v="5"/>
    <x v="6"/>
    <x v="0"/>
    <x v="0"/>
    <x v="0"/>
    <x v="6"/>
  </r>
  <r>
    <x v="171"/>
    <x v="0"/>
    <x v="65"/>
    <x v="65"/>
    <x v="65"/>
    <x v="16"/>
    <x v="8"/>
    <x v="1"/>
    <x v="1"/>
    <x v="0"/>
    <x v="1"/>
    <x v="88"/>
    <x v="2"/>
    <x v="2"/>
    <x v="10"/>
    <x v="10"/>
    <x v="6"/>
    <x v="0"/>
    <x v="67"/>
    <x v="0"/>
    <x v="0"/>
    <x v="0"/>
    <x v="67"/>
    <x v="2"/>
    <x v="33"/>
    <x v="0"/>
    <x v="0"/>
    <x v="0"/>
    <x v="36"/>
  </r>
  <r>
    <x v="172"/>
    <x v="0"/>
    <x v="66"/>
    <x v="66"/>
    <x v="66"/>
    <x v="13"/>
    <x v="3"/>
    <x v="0"/>
    <x v="5"/>
    <x v="0"/>
    <x v="0"/>
    <x v="89"/>
    <x v="2"/>
    <x v="2"/>
    <x v="27"/>
    <x v="27"/>
    <x v="13"/>
    <x v="0"/>
    <x v="68"/>
    <x v="0"/>
    <x v="0"/>
    <x v="0"/>
    <x v="68"/>
    <x v="0"/>
    <x v="0"/>
    <x v="0"/>
    <x v="0"/>
    <x v="0"/>
    <x v="0"/>
  </r>
  <r>
    <x v="173"/>
    <x v="0"/>
    <x v="62"/>
    <x v="62"/>
    <x v="62"/>
    <x v="0"/>
    <x v="0"/>
    <x v="0"/>
    <x v="0"/>
    <x v="0"/>
    <x v="0"/>
    <x v="90"/>
    <x v="20"/>
    <x v="20"/>
    <x v="0"/>
    <x v="0"/>
    <x v="0"/>
    <x v="0"/>
    <x v="0"/>
    <x v="0"/>
    <x v="0"/>
    <x v="0"/>
    <x v="0"/>
    <x v="0"/>
    <x v="0"/>
    <x v="0"/>
    <x v="0"/>
    <x v="0"/>
    <x v="0"/>
  </r>
  <r>
    <x v="174"/>
    <x v="0"/>
    <x v="25"/>
    <x v="25"/>
    <x v="25"/>
    <x v="3"/>
    <x v="3"/>
    <x v="0"/>
    <x v="0"/>
    <x v="0"/>
    <x v="0"/>
    <x v="91"/>
    <x v="20"/>
    <x v="20"/>
    <x v="1"/>
    <x v="1"/>
    <x v="0"/>
    <x v="14"/>
    <x v="20"/>
    <x v="0"/>
    <x v="0"/>
    <x v="14"/>
    <x v="20"/>
    <x v="10"/>
    <x v="11"/>
    <x v="0"/>
    <x v="0"/>
    <x v="0"/>
    <x v="12"/>
  </r>
  <r>
    <x v="175"/>
    <x v="0"/>
    <x v="25"/>
    <x v="25"/>
    <x v="25"/>
    <x v="3"/>
    <x v="3"/>
    <x v="0"/>
    <x v="0"/>
    <x v="0"/>
    <x v="0"/>
    <x v="91"/>
    <x v="20"/>
    <x v="20"/>
    <x v="16"/>
    <x v="16"/>
    <x v="0"/>
    <x v="6"/>
    <x v="6"/>
    <x v="0"/>
    <x v="0"/>
    <x v="6"/>
    <x v="6"/>
    <x v="0"/>
    <x v="0"/>
    <x v="0"/>
    <x v="0"/>
    <x v="0"/>
    <x v="0"/>
  </r>
  <r>
    <x v="176"/>
    <x v="0"/>
    <x v="25"/>
    <x v="25"/>
    <x v="25"/>
    <x v="3"/>
    <x v="3"/>
    <x v="0"/>
    <x v="0"/>
    <x v="0"/>
    <x v="0"/>
    <x v="91"/>
    <x v="20"/>
    <x v="20"/>
    <x v="21"/>
    <x v="21"/>
    <x v="0"/>
    <x v="3"/>
    <x v="3"/>
    <x v="0"/>
    <x v="0"/>
    <x v="3"/>
    <x v="3"/>
    <x v="0"/>
    <x v="0"/>
    <x v="0"/>
    <x v="0"/>
    <x v="0"/>
    <x v="0"/>
  </r>
  <r>
    <x v="177"/>
    <x v="0"/>
    <x v="67"/>
    <x v="67"/>
    <x v="67"/>
    <x v="2"/>
    <x v="2"/>
    <x v="0"/>
    <x v="1"/>
    <x v="0"/>
    <x v="0"/>
    <x v="92"/>
    <x v="20"/>
    <x v="20"/>
    <x v="12"/>
    <x v="12"/>
    <x v="6"/>
    <x v="17"/>
    <x v="29"/>
    <x v="0"/>
    <x v="0"/>
    <x v="17"/>
    <x v="29"/>
    <x v="14"/>
    <x v="17"/>
    <x v="0"/>
    <x v="0"/>
    <x v="0"/>
    <x v="18"/>
  </r>
  <r>
    <x v="178"/>
    <x v="0"/>
    <x v="67"/>
    <x v="67"/>
    <x v="67"/>
    <x v="2"/>
    <x v="2"/>
    <x v="0"/>
    <x v="1"/>
    <x v="0"/>
    <x v="0"/>
    <x v="92"/>
    <x v="20"/>
    <x v="20"/>
    <x v="10"/>
    <x v="10"/>
    <x v="6"/>
    <x v="22"/>
    <x v="69"/>
    <x v="0"/>
    <x v="0"/>
    <x v="22"/>
    <x v="69"/>
    <x v="19"/>
    <x v="34"/>
    <x v="0"/>
    <x v="0"/>
    <x v="0"/>
    <x v="37"/>
  </r>
  <r>
    <x v="179"/>
    <x v="0"/>
    <x v="67"/>
    <x v="67"/>
    <x v="67"/>
    <x v="2"/>
    <x v="2"/>
    <x v="0"/>
    <x v="0"/>
    <x v="0"/>
    <x v="0"/>
    <x v="92"/>
    <x v="20"/>
    <x v="20"/>
    <x v="1"/>
    <x v="1"/>
    <x v="0"/>
    <x v="33"/>
    <x v="70"/>
    <x v="0"/>
    <x v="0"/>
    <x v="33"/>
    <x v="70"/>
    <x v="27"/>
    <x v="34"/>
    <x v="0"/>
    <x v="0"/>
    <x v="0"/>
    <x v="35"/>
  </r>
  <r>
    <x v="180"/>
    <x v="0"/>
    <x v="39"/>
    <x v="39"/>
    <x v="39"/>
    <x v="3"/>
    <x v="3"/>
    <x v="0"/>
    <x v="5"/>
    <x v="0"/>
    <x v="0"/>
    <x v="93"/>
    <x v="20"/>
    <x v="20"/>
    <x v="26"/>
    <x v="26"/>
    <x v="12"/>
    <x v="5"/>
    <x v="71"/>
    <x v="0"/>
    <x v="0"/>
    <x v="5"/>
    <x v="71"/>
    <x v="0"/>
    <x v="0"/>
    <x v="0"/>
    <x v="0"/>
    <x v="0"/>
    <x v="0"/>
  </r>
  <r>
    <x v="181"/>
    <x v="0"/>
    <x v="39"/>
    <x v="39"/>
    <x v="39"/>
    <x v="3"/>
    <x v="3"/>
    <x v="0"/>
    <x v="0"/>
    <x v="0"/>
    <x v="0"/>
    <x v="93"/>
    <x v="20"/>
    <x v="20"/>
    <x v="1"/>
    <x v="1"/>
    <x v="0"/>
    <x v="0"/>
    <x v="0"/>
    <x v="0"/>
    <x v="0"/>
    <x v="0"/>
    <x v="0"/>
    <x v="2"/>
    <x v="2"/>
    <x v="0"/>
    <x v="0"/>
    <x v="0"/>
    <x v="2"/>
  </r>
  <r>
    <x v="182"/>
    <x v="0"/>
    <x v="34"/>
    <x v="34"/>
    <x v="34"/>
    <x v="14"/>
    <x v="7"/>
    <x v="0"/>
    <x v="0"/>
    <x v="0"/>
    <x v="4"/>
    <x v="94"/>
    <x v="20"/>
    <x v="20"/>
    <x v="2"/>
    <x v="2"/>
    <x v="0"/>
    <x v="0"/>
    <x v="0"/>
    <x v="0"/>
    <x v="0"/>
    <x v="0"/>
    <x v="0"/>
    <x v="0"/>
    <x v="0"/>
    <x v="0"/>
    <x v="0"/>
    <x v="0"/>
    <x v="0"/>
  </r>
  <r>
    <x v="183"/>
    <x v="0"/>
    <x v="34"/>
    <x v="34"/>
    <x v="34"/>
    <x v="14"/>
    <x v="7"/>
    <x v="0"/>
    <x v="0"/>
    <x v="0"/>
    <x v="4"/>
    <x v="94"/>
    <x v="20"/>
    <x v="20"/>
    <x v="1"/>
    <x v="1"/>
    <x v="0"/>
    <x v="6"/>
    <x v="6"/>
    <x v="0"/>
    <x v="0"/>
    <x v="6"/>
    <x v="6"/>
    <x v="4"/>
    <x v="5"/>
    <x v="0"/>
    <x v="0"/>
    <x v="0"/>
    <x v="5"/>
  </r>
  <r>
    <x v="184"/>
    <x v="0"/>
    <x v="34"/>
    <x v="34"/>
    <x v="34"/>
    <x v="14"/>
    <x v="7"/>
    <x v="0"/>
    <x v="1"/>
    <x v="0"/>
    <x v="4"/>
    <x v="94"/>
    <x v="20"/>
    <x v="20"/>
    <x v="10"/>
    <x v="10"/>
    <x v="6"/>
    <x v="10"/>
    <x v="13"/>
    <x v="0"/>
    <x v="0"/>
    <x v="10"/>
    <x v="13"/>
    <x v="7"/>
    <x v="9"/>
    <x v="0"/>
    <x v="0"/>
    <x v="0"/>
    <x v="9"/>
  </r>
  <r>
    <x v="185"/>
    <x v="0"/>
    <x v="34"/>
    <x v="34"/>
    <x v="34"/>
    <x v="14"/>
    <x v="7"/>
    <x v="0"/>
    <x v="0"/>
    <x v="0"/>
    <x v="4"/>
    <x v="94"/>
    <x v="20"/>
    <x v="20"/>
    <x v="16"/>
    <x v="16"/>
    <x v="0"/>
    <x v="3"/>
    <x v="3"/>
    <x v="0"/>
    <x v="0"/>
    <x v="3"/>
    <x v="3"/>
    <x v="0"/>
    <x v="0"/>
    <x v="0"/>
    <x v="0"/>
    <x v="0"/>
    <x v="0"/>
  </r>
  <r>
    <x v="186"/>
    <x v="0"/>
    <x v="63"/>
    <x v="63"/>
    <x v="63"/>
    <x v="14"/>
    <x v="7"/>
    <x v="0"/>
    <x v="0"/>
    <x v="0"/>
    <x v="4"/>
    <x v="95"/>
    <x v="20"/>
    <x v="20"/>
    <x v="40"/>
    <x v="40"/>
    <x v="0"/>
    <x v="0"/>
    <x v="0"/>
    <x v="0"/>
    <x v="0"/>
    <x v="0"/>
    <x v="0"/>
    <x v="0"/>
    <x v="0"/>
    <x v="0"/>
    <x v="0"/>
    <x v="0"/>
    <x v="0"/>
  </r>
  <r>
    <x v="187"/>
    <x v="0"/>
    <x v="40"/>
    <x v="40"/>
    <x v="40"/>
    <x v="14"/>
    <x v="7"/>
    <x v="0"/>
    <x v="0"/>
    <x v="0"/>
    <x v="4"/>
    <x v="96"/>
    <x v="20"/>
    <x v="20"/>
    <x v="1"/>
    <x v="1"/>
    <x v="0"/>
    <x v="6"/>
    <x v="6"/>
    <x v="0"/>
    <x v="0"/>
    <x v="6"/>
    <x v="6"/>
    <x v="4"/>
    <x v="5"/>
    <x v="0"/>
    <x v="0"/>
    <x v="0"/>
    <x v="5"/>
  </r>
  <r>
    <x v="188"/>
    <x v="0"/>
    <x v="64"/>
    <x v="64"/>
    <x v="64"/>
    <x v="8"/>
    <x v="7"/>
    <x v="0"/>
    <x v="0"/>
    <x v="0"/>
    <x v="0"/>
    <x v="97"/>
    <x v="20"/>
    <x v="20"/>
    <x v="1"/>
    <x v="1"/>
    <x v="0"/>
    <x v="24"/>
    <x v="48"/>
    <x v="0"/>
    <x v="0"/>
    <x v="24"/>
    <x v="48"/>
    <x v="22"/>
    <x v="27"/>
    <x v="0"/>
    <x v="0"/>
    <x v="0"/>
    <x v="28"/>
  </r>
  <r>
    <x v="189"/>
    <x v="0"/>
    <x v="68"/>
    <x v="68"/>
    <x v="68"/>
    <x v="7"/>
    <x v="6"/>
    <x v="2"/>
    <x v="2"/>
    <x v="0"/>
    <x v="1"/>
    <x v="98"/>
    <x v="20"/>
    <x v="20"/>
    <x v="41"/>
    <x v="41"/>
    <x v="24"/>
    <x v="8"/>
    <x v="72"/>
    <x v="0"/>
    <x v="0"/>
    <x v="8"/>
    <x v="72"/>
    <x v="0"/>
    <x v="0"/>
    <x v="0"/>
    <x v="0"/>
    <x v="0"/>
    <x v="0"/>
  </r>
  <r>
    <x v="190"/>
    <x v="0"/>
    <x v="69"/>
    <x v="69"/>
    <x v="69"/>
    <x v="10"/>
    <x v="9"/>
    <x v="1"/>
    <x v="0"/>
    <x v="0"/>
    <x v="2"/>
    <x v="99"/>
    <x v="20"/>
    <x v="20"/>
    <x v="7"/>
    <x v="7"/>
    <x v="0"/>
    <x v="6"/>
    <x v="6"/>
    <x v="0"/>
    <x v="0"/>
    <x v="6"/>
    <x v="6"/>
    <x v="0"/>
    <x v="0"/>
    <x v="0"/>
    <x v="0"/>
    <x v="0"/>
    <x v="0"/>
  </r>
  <r>
    <x v="191"/>
    <x v="0"/>
    <x v="69"/>
    <x v="69"/>
    <x v="69"/>
    <x v="10"/>
    <x v="9"/>
    <x v="1"/>
    <x v="0"/>
    <x v="0"/>
    <x v="2"/>
    <x v="99"/>
    <x v="20"/>
    <x v="20"/>
    <x v="16"/>
    <x v="16"/>
    <x v="0"/>
    <x v="0"/>
    <x v="0"/>
    <x v="0"/>
    <x v="0"/>
    <x v="0"/>
    <x v="0"/>
    <x v="0"/>
    <x v="0"/>
    <x v="0"/>
    <x v="0"/>
    <x v="0"/>
    <x v="0"/>
  </r>
  <r>
    <x v="192"/>
    <x v="0"/>
    <x v="65"/>
    <x v="65"/>
    <x v="65"/>
    <x v="16"/>
    <x v="8"/>
    <x v="1"/>
    <x v="1"/>
    <x v="0"/>
    <x v="1"/>
    <x v="100"/>
    <x v="20"/>
    <x v="20"/>
    <x v="10"/>
    <x v="10"/>
    <x v="6"/>
    <x v="0"/>
    <x v="67"/>
    <x v="0"/>
    <x v="0"/>
    <x v="0"/>
    <x v="67"/>
    <x v="2"/>
    <x v="33"/>
    <x v="0"/>
    <x v="0"/>
    <x v="0"/>
    <x v="36"/>
  </r>
  <r>
    <x v="193"/>
    <x v="0"/>
    <x v="70"/>
    <x v="70"/>
    <x v="70"/>
    <x v="5"/>
    <x v="0"/>
    <x v="0"/>
    <x v="1"/>
    <x v="0"/>
    <x v="0"/>
    <x v="101"/>
    <x v="3"/>
    <x v="3"/>
    <x v="10"/>
    <x v="10"/>
    <x v="6"/>
    <x v="20"/>
    <x v="35"/>
    <x v="0"/>
    <x v="0"/>
    <x v="20"/>
    <x v="35"/>
    <x v="28"/>
    <x v="1"/>
    <x v="0"/>
    <x v="0"/>
    <x v="0"/>
    <x v="38"/>
  </r>
  <r>
    <x v="194"/>
    <x v="0"/>
    <x v="59"/>
    <x v="59"/>
    <x v="59"/>
    <x v="5"/>
    <x v="0"/>
    <x v="0"/>
    <x v="1"/>
    <x v="0"/>
    <x v="0"/>
    <x v="102"/>
    <x v="3"/>
    <x v="3"/>
    <x v="3"/>
    <x v="3"/>
    <x v="1"/>
    <x v="3"/>
    <x v="73"/>
    <x v="0"/>
    <x v="0"/>
    <x v="3"/>
    <x v="73"/>
    <x v="0"/>
    <x v="0"/>
    <x v="0"/>
    <x v="0"/>
    <x v="0"/>
    <x v="0"/>
  </r>
  <r>
    <x v="195"/>
    <x v="0"/>
    <x v="71"/>
    <x v="71"/>
    <x v="71"/>
    <x v="7"/>
    <x v="6"/>
    <x v="2"/>
    <x v="0"/>
    <x v="0"/>
    <x v="1"/>
    <x v="103"/>
    <x v="3"/>
    <x v="3"/>
    <x v="1"/>
    <x v="1"/>
    <x v="4"/>
    <x v="11"/>
    <x v="74"/>
    <x v="0"/>
    <x v="0"/>
    <x v="11"/>
    <x v="74"/>
    <x v="0"/>
    <x v="0"/>
    <x v="0"/>
    <x v="0"/>
    <x v="0"/>
    <x v="0"/>
  </r>
  <r>
    <x v="196"/>
    <x v="0"/>
    <x v="34"/>
    <x v="34"/>
    <x v="34"/>
    <x v="14"/>
    <x v="7"/>
    <x v="0"/>
    <x v="0"/>
    <x v="0"/>
    <x v="4"/>
    <x v="104"/>
    <x v="3"/>
    <x v="3"/>
    <x v="16"/>
    <x v="16"/>
    <x v="0"/>
    <x v="14"/>
    <x v="20"/>
    <x v="0"/>
    <x v="0"/>
    <x v="14"/>
    <x v="20"/>
    <x v="0"/>
    <x v="0"/>
    <x v="0"/>
    <x v="0"/>
    <x v="0"/>
    <x v="0"/>
  </r>
  <r>
    <x v="197"/>
    <x v="0"/>
    <x v="34"/>
    <x v="34"/>
    <x v="34"/>
    <x v="14"/>
    <x v="7"/>
    <x v="0"/>
    <x v="0"/>
    <x v="0"/>
    <x v="4"/>
    <x v="105"/>
    <x v="3"/>
    <x v="3"/>
    <x v="15"/>
    <x v="15"/>
    <x v="0"/>
    <x v="6"/>
    <x v="6"/>
    <x v="0"/>
    <x v="0"/>
    <x v="6"/>
    <x v="6"/>
    <x v="0"/>
    <x v="0"/>
    <x v="0"/>
    <x v="0"/>
    <x v="0"/>
    <x v="0"/>
  </r>
  <r>
    <x v="198"/>
    <x v="0"/>
    <x v="34"/>
    <x v="34"/>
    <x v="34"/>
    <x v="14"/>
    <x v="7"/>
    <x v="0"/>
    <x v="0"/>
    <x v="0"/>
    <x v="4"/>
    <x v="105"/>
    <x v="3"/>
    <x v="3"/>
    <x v="7"/>
    <x v="7"/>
    <x v="0"/>
    <x v="0"/>
    <x v="0"/>
    <x v="0"/>
    <x v="0"/>
    <x v="0"/>
    <x v="0"/>
    <x v="0"/>
    <x v="0"/>
    <x v="0"/>
    <x v="0"/>
    <x v="0"/>
    <x v="0"/>
  </r>
  <r>
    <x v="199"/>
    <x v="0"/>
    <x v="34"/>
    <x v="34"/>
    <x v="34"/>
    <x v="14"/>
    <x v="7"/>
    <x v="0"/>
    <x v="0"/>
    <x v="0"/>
    <x v="4"/>
    <x v="105"/>
    <x v="3"/>
    <x v="3"/>
    <x v="2"/>
    <x v="2"/>
    <x v="0"/>
    <x v="0"/>
    <x v="0"/>
    <x v="0"/>
    <x v="0"/>
    <x v="0"/>
    <x v="0"/>
    <x v="0"/>
    <x v="0"/>
    <x v="0"/>
    <x v="0"/>
    <x v="0"/>
    <x v="0"/>
  </r>
  <r>
    <x v="200"/>
    <x v="0"/>
    <x v="34"/>
    <x v="34"/>
    <x v="34"/>
    <x v="14"/>
    <x v="7"/>
    <x v="0"/>
    <x v="0"/>
    <x v="0"/>
    <x v="4"/>
    <x v="105"/>
    <x v="3"/>
    <x v="3"/>
    <x v="1"/>
    <x v="1"/>
    <x v="0"/>
    <x v="3"/>
    <x v="3"/>
    <x v="0"/>
    <x v="0"/>
    <x v="3"/>
    <x v="3"/>
    <x v="3"/>
    <x v="3"/>
    <x v="0"/>
    <x v="0"/>
    <x v="0"/>
    <x v="3"/>
  </r>
  <r>
    <x v="201"/>
    <x v="0"/>
    <x v="34"/>
    <x v="34"/>
    <x v="34"/>
    <x v="14"/>
    <x v="7"/>
    <x v="0"/>
    <x v="1"/>
    <x v="0"/>
    <x v="4"/>
    <x v="105"/>
    <x v="3"/>
    <x v="3"/>
    <x v="10"/>
    <x v="10"/>
    <x v="6"/>
    <x v="14"/>
    <x v="75"/>
    <x v="0"/>
    <x v="0"/>
    <x v="14"/>
    <x v="75"/>
    <x v="10"/>
    <x v="35"/>
    <x v="0"/>
    <x v="0"/>
    <x v="0"/>
    <x v="39"/>
  </r>
  <r>
    <x v="202"/>
    <x v="0"/>
    <x v="43"/>
    <x v="43"/>
    <x v="43"/>
    <x v="7"/>
    <x v="6"/>
    <x v="2"/>
    <x v="0"/>
    <x v="0"/>
    <x v="1"/>
    <x v="106"/>
    <x v="3"/>
    <x v="3"/>
    <x v="40"/>
    <x v="40"/>
    <x v="25"/>
    <x v="6"/>
    <x v="76"/>
    <x v="0"/>
    <x v="0"/>
    <x v="6"/>
    <x v="76"/>
    <x v="0"/>
    <x v="0"/>
    <x v="0"/>
    <x v="0"/>
    <x v="0"/>
    <x v="0"/>
  </r>
  <r>
    <x v="203"/>
    <x v="0"/>
    <x v="30"/>
    <x v="30"/>
    <x v="30"/>
    <x v="7"/>
    <x v="6"/>
    <x v="2"/>
    <x v="0"/>
    <x v="0"/>
    <x v="1"/>
    <x v="107"/>
    <x v="3"/>
    <x v="3"/>
    <x v="4"/>
    <x v="4"/>
    <x v="25"/>
    <x v="0"/>
    <x v="77"/>
    <x v="0"/>
    <x v="0"/>
    <x v="0"/>
    <x v="77"/>
    <x v="0"/>
    <x v="0"/>
    <x v="0"/>
    <x v="0"/>
    <x v="0"/>
    <x v="0"/>
  </r>
  <r>
    <x v="204"/>
    <x v="0"/>
    <x v="63"/>
    <x v="63"/>
    <x v="63"/>
    <x v="14"/>
    <x v="7"/>
    <x v="0"/>
    <x v="1"/>
    <x v="0"/>
    <x v="4"/>
    <x v="108"/>
    <x v="3"/>
    <x v="3"/>
    <x v="10"/>
    <x v="10"/>
    <x v="6"/>
    <x v="6"/>
    <x v="78"/>
    <x v="0"/>
    <x v="0"/>
    <x v="6"/>
    <x v="78"/>
    <x v="4"/>
    <x v="36"/>
    <x v="0"/>
    <x v="0"/>
    <x v="0"/>
    <x v="40"/>
  </r>
  <r>
    <x v="205"/>
    <x v="0"/>
    <x v="28"/>
    <x v="28"/>
    <x v="28"/>
    <x v="8"/>
    <x v="7"/>
    <x v="0"/>
    <x v="1"/>
    <x v="0"/>
    <x v="0"/>
    <x v="109"/>
    <x v="3"/>
    <x v="3"/>
    <x v="36"/>
    <x v="36"/>
    <x v="6"/>
    <x v="11"/>
    <x v="14"/>
    <x v="0"/>
    <x v="0"/>
    <x v="11"/>
    <x v="14"/>
    <x v="11"/>
    <x v="26"/>
    <x v="0"/>
    <x v="0"/>
    <x v="0"/>
    <x v="33"/>
  </r>
  <r>
    <x v="206"/>
    <x v="0"/>
    <x v="28"/>
    <x v="28"/>
    <x v="28"/>
    <x v="8"/>
    <x v="7"/>
    <x v="0"/>
    <x v="4"/>
    <x v="0"/>
    <x v="0"/>
    <x v="109"/>
    <x v="3"/>
    <x v="3"/>
    <x v="18"/>
    <x v="18"/>
    <x v="9"/>
    <x v="6"/>
    <x v="79"/>
    <x v="0"/>
    <x v="0"/>
    <x v="6"/>
    <x v="79"/>
    <x v="29"/>
    <x v="37"/>
    <x v="9"/>
    <x v="0"/>
    <x v="8"/>
    <x v="41"/>
  </r>
  <r>
    <x v="207"/>
    <x v="0"/>
    <x v="28"/>
    <x v="28"/>
    <x v="28"/>
    <x v="8"/>
    <x v="7"/>
    <x v="0"/>
    <x v="6"/>
    <x v="0"/>
    <x v="0"/>
    <x v="109"/>
    <x v="3"/>
    <x v="3"/>
    <x v="33"/>
    <x v="33"/>
    <x v="20"/>
    <x v="8"/>
    <x v="52"/>
    <x v="0"/>
    <x v="0"/>
    <x v="8"/>
    <x v="52"/>
    <x v="0"/>
    <x v="0"/>
    <x v="0"/>
    <x v="0"/>
    <x v="0"/>
    <x v="0"/>
  </r>
  <r>
    <x v="208"/>
    <x v="0"/>
    <x v="28"/>
    <x v="28"/>
    <x v="28"/>
    <x v="8"/>
    <x v="7"/>
    <x v="0"/>
    <x v="1"/>
    <x v="0"/>
    <x v="0"/>
    <x v="109"/>
    <x v="3"/>
    <x v="3"/>
    <x v="10"/>
    <x v="10"/>
    <x v="6"/>
    <x v="20"/>
    <x v="35"/>
    <x v="0"/>
    <x v="0"/>
    <x v="20"/>
    <x v="35"/>
    <x v="28"/>
    <x v="1"/>
    <x v="0"/>
    <x v="0"/>
    <x v="0"/>
    <x v="38"/>
  </r>
  <r>
    <x v="209"/>
    <x v="0"/>
    <x v="28"/>
    <x v="28"/>
    <x v="28"/>
    <x v="8"/>
    <x v="7"/>
    <x v="0"/>
    <x v="6"/>
    <x v="0"/>
    <x v="0"/>
    <x v="109"/>
    <x v="3"/>
    <x v="3"/>
    <x v="30"/>
    <x v="30"/>
    <x v="16"/>
    <x v="5"/>
    <x v="42"/>
    <x v="0"/>
    <x v="0"/>
    <x v="5"/>
    <x v="42"/>
    <x v="0"/>
    <x v="0"/>
    <x v="0"/>
    <x v="0"/>
    <x v="0"/>
    <x v="0"/>
  </r>
  <r>
    <x v="210"/>
    <x v="0"/>
    <x v="28"/>
    <x v="28"/>
    <x v="28"/>
    <x v="8"/>
    <x v="7"/>
    <x v="0"/>
    <x v="0"/>
    <x v="0"/>
    <x v="0"/>
    <x v="109"/>
    <x v="3"/>
    <x v="3"/>
    <x v="7"/>
    <x v="7"/>
    <x v="0"/>
    <x v="14"/>
    <x v="20"/>
    <x v="0"/>
    <x v="0"/>
    <x v="14"/>
    <x v="20"/>
    <x v="0"/>
    <x v="0"/>
    <x v="0"/>
    <x v="0"/>
    <x v="0"/>
    <x v="0"/>
  </r>
  <r>
    <x v="211"/>
    <x v="0"/>
    <x v="28"/>
    <x v="28"/>
    <x v="28"/>
    <x v="8"/>
    <x v="7"/>
    <x v="0"/>
    <x v="5"/>
    <x v="0"/>
    <x v="0"/>
    <x v="109"/>
    <x v="3"/>
    <x v="3"/>
    <x v="27"/>
    <x v="27"/>
    <x v="13"/>
    <x v="5"/>
    <x v="80"/>
    <x v="0"/>
    <x v="0"/>
    <x v="5"/>
    <x v="80"/>
    <x v="0"/>
    <x v="0"/>
    <x v="0"/>
    <x v="0"/>
    <x v="0"/>
    <x v="0"/>
  </r>
  <r>
    <x v="212"/>
    <x v="0"/>
    <x v="28"/>
    <x v="28"/>
    <x v="28"/>
    <x v="8"/>
    <x v="7"/>
    <x v="0"/>
    <x v="0"/>
    <x v="0"/>
    <x v="0"/>
    <x v="109"/>
    <x v="3"/>
    <x v="3"/>
    <x v="1"/>
    <x v="1"/>
    <x v="0"/>
    <x v="6"/>
    <x v="6"/>
    <x v="0"/>
    <x v="0"/>
    <x v="6"/>
    <x v="6"/>
    <x v="4"/>
    <x v="5"/>
    <x v="0"/>
    <x v="0"/>
    <x v="0"/>
    <x v="5"/>
  </r>
  <r>
    <x v="213"/>
    <x v="0"/>
    <x v="72"/>
    <x v="72"/>
    <x v="72"/>
    <x v="15"/>
    <x v="4"/>
    <x v="1"/>
    <x v="1"/>
    <x v="0"/>
    <x v="2"/>
    <x v="110"/>
    <x v="3"/>
    <x v="3"/>
    <x v="10"/>
    <x v="10"/>
    <x v="6"/>
    <x v="11"/>
    <x v="14"/>
    <x v="0"/>
    <x v="0"/>
    <x v="11"/>
    <x v="14"/>
    <x v="11"/>
    <x v="26"/>
    <x v="0"/>
    <x v="0"/>
    <x v="0"/>
    <x v="33"/>
  </r>
  <r>
    <x v="214"/>
    <x v="0"/>
    <x v="69"/>
    <x v="69"/>
    <x v="69"/>
    <x v="10"/>
    <x v="9"/>
    <x v="1"/>
    <x v="0"/>
    <x v="0"/>
    <x v="2"/>
    <x v="111"/>
    <x v="3"/>
    <x v="3"/>
    <x v="7"/>
    <x v="7"/>
    <x v="0"/>
    <x v="6"/>
    <x v="6"/>
    <x v="0"/>
    <x v="0"/>
    <x v="6"/>
    <x v="6"/>
    <x v="0"/>
    <x v="0"/>
    <x v="0"/>
    <x v="0"/>
    <x v="0"/>
    <x v="0"/>
  </r>
  <r>
    <x v="215"/>
    <x v="0"/>
    <x v="69"/>
    <x v="69"/>
    <x v="69"/>
    <x v="10"/>
    <x v="9"/>
    <x v="1"/>
    <x v="0"/>
    <x v="0"/>
    <x v="2"/>
    <x v="111"/>
    <x v="3"/>
    <x v="3"/>
    <x v="1"/>
    <x v="1"/>
    <x v="0"/>
    <x v="3"/>
    <x v="3"/>
    <x v="0"/>
    <x v="0"/>
    <x v="3"/>
    <x v="3"/>
    <x v="3"/>
    <x v="3"/>
    <x v="0"/>
    <x v="0"/>
    <x v="0"/>
    <x v="3"/>
  </r>
  <r>
    <x v="216"/>
    <x v="0"/>
    <x v="73"/>
    <x v="73"/>
    <x v="73"/>
    <x v="7"/>
    <x v="6"/>
    <x v="2"/>
    <x v="0"/>
    <x v="0"/>
    <x v="1"/>
    <x v="112"/>
    <x v="3"/>
    <x v="3"/>
    <x v="1"/>
    <x v="1"/>
    <x v="4"/>
    <x v="6"/>
    <x v="10"/>
    <x v="0"/>
    <x v="0"/>
    <x v="6"/>
    <x v="10"/>
    <x v="0"/>
    <x v="0"/>
    <x v="0"/>
    <x v="0"/>
    <x v="0"/>
    <x v="0"/>
  </r>
  <r>
    <x v="217"/>
    <x v="0"/>
    <x v="74"/>
    <x v="74"/>
    <x v="74"/>
    <x v="2"/>
    <x v="2"/>
    <x v="0"/>
    <x v="4"/>
    <x v="0"/>
    <x v="0"/>
    <x v="113"/>
    <x v="3"/>
    <x v="3"/>
    <x v="18"/>
    <x v="18"/>
    <x v="9"/>
    <x v="6"/>
    <x v="79"/>
    <x v="0"/>
    <x v="0"/>
    <x v="6"/>
    <x v="79"/>
    <x v="29"/>
    <x v="37"/>
    <x v="9"/>
    <x v="0"/>
    <x v="8"/>
    <x v="41"/>
  </r>
  <r>
    <x v="218"/>
    <x v="0"/>
    <x v="67"/>
    <x v="67"/>
    <x v="67"/>
    <x v="2"/>
    <x v="2"/>
    <x v="0"/>
    <x v="0"/>
    <x v="0"/>
    <x v="0"/>
    <x v="114"/>
    <x v="3"/>
    <x v="3"/>
    <x v="42"/>
    <x v="42"/>
    <x v="0"/>
    <x v="3"/>
    <x v="3"/>
    <x v="0"/>
    <x v="0"/>
    <x v="3"/>
    <x v="3"/>
    <x v="0"/>
    <x v="0"/>
    <x v="0"/>
    <x v="0"/>
    <x v="0"/>
    <x v="0"/>
  </r>
  <r>
    <x v="219"/>
    <x v="0"/>
    <x v="25"/>
    <x v="25"/>
    <x v="25"/>
    <x v="3"/>
    <x v="3"/>
    <x v="0"/>
    <x v="0"/>
    <x v="0"/>
    <x v="0"/>
    <x v="115"/>
    <x v="3"/>
    <x v="3"/>
    <x v="1"/>
    <x v="1"/>
    <x v="0"/>
    <x v="1"/>
    <x v="1"/>
    <x v="0"/>
    <x v="0"/>
    <x v="1"/>
    <x v="1"/>
    <x v="1"/>
    <x v="1"/>
    <x v="0"/>
    <x v="0"/>
    <x v="0"/>
    <x v="1"/>
  </r>
  <r>
    <x v="220"/>
    <x v="0"/>
    <x v="45"/>
    <x v="45"/>
    <x v="45"/>
    <x v="13"/>
    <x v="3"/>
    <x v="0"/>
    <x v="0"/>
    <x v="0"/>
    <x v="0"/>
    <x v="116"/>
    <x v="3"/>
    <x v="3"/>
    <x v="1"/>
    <x v="1"/>
    <x v="0"/>
    <x v="20"/>
    <x v="81"/>
    <x v="0"/>
    <x v="0"/>
    <x v="20"/>
    <x v="81"/>
    <x v="28"/>
    <x v="38"/>
    <x v="0"/>
    <x v="0"/>
    <x v="0"/>
    <x v="42"/>
  </r>
  <r>
    <x v="221"/>
    <x v="0"/>
    <x v="45"/>
    <x v="45"/>
    <x v="45"/>
    <x v="13"/>
    <x v="3"/>
    <x v="0"/>
    <x v="1"/>
    <x v="0"/>
    <x v="0"/>
    <x v="116"/>
    <x v="3"/>
    <x v="3"/>
    <x v="10"/>
    <x v="10"/>
    <x v="6"/>
    <x v="3"/>
    <x v="50"/>
    <x v="0"/>
    <x v="0"/>
    <x v="3"/>
    <x v="50"/>
    <x v="3"/>
    <x v="11"/>
    <x v="0"/>
    <x v="0"/>
    <x v="0"/>
    <x v="29"/>
  </r>
  <r>
    <x v="222"/>
    <x v="0"/>
    <x v="48"/>
    <x v="48"/>
    <x v="48"/>
    <x v="13"/>
    <x v="3"/>
    <x v="0"/>
    <x v="0"/>
    <x v="0"/>
    <x v="0"/>
    <x v="117"/>
    <x v="3"/>
    <x v="3"/>
    <x v="1"/>
    <x v="1"/>
    <x v="0"/>
    <x v="26"/>
    <x v="57"/>
    <x v="0"/>
    <x v="0"/>
    <x v="26"/>
    <x v="57"/>
    <x v="24"/>
    <x v="29"/>
    <x v="0"/>
    <x v="0"/>
    <x v="0"/>
    <x v="31"/>
  </r>
  <r>
    <x v="223"/>
    <x v="0"/>
    <x v="3"/>
    <x v="3"/>
    <x v="3"/>
    <x v="0"/>
    <x v="0"/>
    <x v="0"/>
    <x v="1"/>
    <x v="0"/>
    <x v="0"/>
    <x v="118"/>
    <x v="3"/>
    <x v="3"/>
    <x v="3"/>
    <x v="3"/>
    <x v="1"/>
    <x v="3"/>
    <x v="73"/>
    <x v="0"/>
    <x v="0"/>
    <x v="3"/>
    <x v="73"/>
    <x v="0"/>
    <x v="0"/>
    <x v="0"/>
    <x v="0"/>
    <x v="0"/>
    <x v="0"/>
  </r>
  <r>
    <x v="224"/>
    <x v="0"/>
    <x v="39"/>
    <x v="39"/>
    <x v="39"/>
    <x v="3"/>
    <x v="3"/>
    <x v="0"/>
    <x v="3"/>
    <x v="0"/>
    <x v="0"/>
    <x v="119"/>
    <x v="3"/>
    <x v="3"/>
    <x v="8"/>
    <x v="8"/>
    <x v="3"/>
    <x v="28"/>
    <x v="60"/>
    <x v="0"/>
    <x v="0"/>
    <x v="28"/>
    <x v="60"/>
    <x v="0"/>
    <x v="0"/>
    <x v="0"/>
    <x v="0"/>
    <x v="0"/>
    <x v="0"/>
  </r>
  <r>
    <x v="225"/>
    <x v="0"/>
    <x v="39"/>
    <x v="39"/>
    <x v="39"/>
    <x v="3"/>
    <x v="3"/>
    <x v="0"/>
    <x v="3"/>
    <x v="0"/>
    <x v="0"/>
    <x v="120"/>
    <x v="3"/>
    <x v="3"/>
    <x v="8"/>
    <x v="8"/>
    <x v="3"/>
    <x v="27"/>
    <x v="58"/>
    <x v="0"/>
    <x v="0"/>
    <x v="27"/>
    <x v="58"/>
    <x v="0"/>
    <x v="0"/>
    <x v="0"/>
    <x v="0"/>
    <x v="0"/>
    <x v="0"/>
  </r>
  <r>
    <x v="226"/>
    <x v="0"/>
    <x v="70"/>
    <x v="70"/>
    <x v="70"/>
    <x v="5"/>
    <x v="0"/>
    <x v="0"/>
    <x v="0"/>
    <x v="0"/>
    <x v="0"/>
    <x v="121"/>
    <x v="4"/>
    <x v="4"/>
    <x v="1"/>
    <x v="1"/>
    <x v="0"/>
    <x v="0"/>
    <x v="0"/>
    <x v="0"/>
    <x v="0"/>
    <x v="0"/>
    <x v="0"/>
    <x v="2"/>
    <x v="2"/>
    <x v="0"/>
    <x v="0"/>
    <x v="0"/>
    <x v="2"/>
  </r>
  <r>
    <x v="227"/>
    <x v="0"/>
    <x v="59"/>
    <x v="59"/>
    <x v="59"/>
    <x v="5"/>
    <x v="0"/>
    <x v="0"/>
    <x v="1"/>
    <x v="0"/>
    <x v="0"/>
    <x v="122"/>
    <x v="4"/>
    <x v="4"/>
    <x v="43"/>
    <x v="43"/>
    <x v="26"/>
    <x v="10"/>
    <x v="82"/>
    <x v="0"/>
    <x v="0"/>
    <x v="10"/>
    <x v="82"/>
    <x v="0"/>
    <x v="0"/>
    <x v="0"/>
    <x v="0"/>
    <x v="0"/>
    <x v="0"/>
  </r>
  <r>
    <x v="228"/>
    <x v="0"/>
    <x v="28"/>
    <x v="28"/>
    <x v="28"/>
    <x v="8"/>
    <x v="7"/>
    <x v="0"/>
    <x v="0"/>
    <x v="0"/>
    <x v="0"/>
    <x v="123"/>
    <x v="4"/>
    <x v="4"/>
    <x v="7"/>
    <x v="7"/>
    <x v="0"/>
    <x v="0"/>
    <x v="0"/>
    <x v="0"/>
    <x v="0"/>
    <x v="0"/>
    <x v="0"/>
    <x v="0"/>
    <x v="0"/>
    <x v="0"/>
    <x v="0"/>
    <x v="0"/>
    <x v="0"/>
  </r>
  <r>
    <x v="229"/>
    <x v="0"/>
    <x v="28"/>
    <x v="28"/>
    <x v="28"/>
    <x v="8"/>
    <x v="7"/>
    <x v="0"/>
    <x v="1"/>
    <x v="0"/>
    <x v="0"/>
    <x v="123"/>
    <x v="4"/>
    <x v="4"/>
    <x v="10"/>
    <x v="10"/>
    <x v="6"/>
    <x v="17"/>
    <x v="29"/>
    <x v="0"/>
    <x v="0"/>
    <x v="17"/>
    <x v="29"/>
    <x v="14"/>
    <x v="17"/>
    <x v="0"/>
    <x v="0"/>
    <x v="0"/>
    <x v="18"/>
  </r>
  <r>
    <x v="230"/>
    <x v="0"/>
    <x v="28"/>
    <x v="28"/>
    <x v="28"/>
    <x v="8"/>
    <x v="7"/>
    <x v="0"/>
    <x v="0"/>
    <x v="0"/>
    <x v="0"/>
    <x v="124"/>
    <x v="4"/>
    <x v="4"/>
    <x v="1"/>
    <x v="1"/>
    <x v="0"/>
    <x v="14"/>
    <x v="20"/>
    <x v="0"/>
    <x v="0"/>
    <x v="14"/>
    <x v="20"/>
    <x v="10"/>
    <x v="11"/>
    <x v="0"/>
    <x v="0"/>
    <x v="0"/>
    <x v="12"/>
  </r>
  <r>
    <x v="231"/>
    <x v="0"/>
    <x v="25"/>
    <x v="25"/>
    <x v="25"/>
    <x v="3"/>
    <x v="3"/>
    <x v="0"/>
    <x v="0"/>
    <x v="0"/>
    <x v="0"/>
    <x v="125"/>
    <x v="4"/>
    <x v="4"/>
    <x v="1"/>
    <x v="1"/>
    <x v="0"/>
    <x v="14"/>
    <x v="20"/>
    <x v="0"/>
    <x v="0"/>
    <x v="14"/>
    <x v="20"/>
    <x v="10"/>
    <x v="11"/>
    <x v="0"/>
    <x v="0"/>
    <x v="0"/>
    <x v="12"/>
  </r>
  <r>
    <x v="232"/>
    <x v="0"/>
    <x v="73"/>
    <x v="73"/>
    <x v="73"/>
    <x v="7"/>
    <x v="6"/>
    <x v="2"/>
    <x v="6"/>
    <x v="0"/>
    <x v="1"/>
    <x v="126"/>
    <x v="4"/>
    <x v="4"/>
    <x v="33"/>
    <x v="33"/>
    <x v="27"/>
    <x v="8"/>
    <x v="83"/>
    <x v="0"/>
    <x v="0"/>
    <x v="8"/>
    <x v="83"/>
    <x v="0"/>
    <x v="0"/>
    <x v="0"/>
    <x v="0"/>
    <x v="0"/>
    <x v="0"/>
  </r>
  <r>
    <x v="233"/>
    <x v="0"/>
    <x v="43"/>
    <x v="43"/>
    <x v="43"/>
    <x v="7"/>
    <x v="6"/>
    <x v="2"/>
    <x v="1"/>
    <x v="0"/>
    <x v="1"/>
    <x v="127"/>
    <x v="4"/>
    <x v="4"/>
    <x v="44"/>
    <x v="44"/>
    <x v="19"/>
    <x v="17"/>
    <x v="49"/>
    <x v="0"/>
    <x v="0"/>
    <x v="17"/>
    <x v="49"/>
    <x v="0"/>
    <x v="0"/>
    <x v="0"/>
    <x v="0"/>
    <x v="0"/>
    <x v="0"/>
  </r>
  <r>
    <x v="234"/>
    <x v="0"/>
    <x v="41"/>
    <x v="41"/>
    <x v="41"/>
    <x v="14"/>
    <x v="7"/>
    <x v="0"/>
    <x v="0"/>
    <x v="0"/>
    <x v="4"/>
    <x v="128"/>
    <x v="4"/>
    <x v="4"/>
    <x v="21"/>
    <x v="21"/>
    <x v="0"/>
    <x v="6"/>
    <x v="6"/>
    <x v="0"/>
    <x v="0"/>
    <x v="6"/>
    <x v="6"/>
    <x v="0"/>
    <x v="0"/>
    <x v="0"/>
    <x v="0"/>
    <x v="0"/>
    <x v="0"/>
  </r>
  <r>
    <x v="235"/>
    <x v="0"/>
    <x v="41"/>
    <x v="41"/>
    <x v="41"/>
    <x v="14"/>
    <x v="7"/>
    <x v="0"/>
    <x v="0"/>
    <x v="0"/>
    <x v="4"/>
    <x v="128"/>
    <x v="4"/>
    <x v="4"/>
    <x v="42"/>
    <x v="42"/>
    <x v="0"/>
    <x v="11"/>
    <x v="21"/>
    <x v="0"/>
    <x v="0"/>
    <x v="11"/>
    <x v="21"/>
    <x v="0"/>
    <x v="0"/>
    <x v="0"/>
    <x v="0"/>
    <x v="0"/>
    <x v="0"/>
  </r>
  <r>
    <x v="236"/>
    <x v="0"/>
    <x v="40"/>
    <x v="40"/>
    <x v="40"/>
    <x v="14"/>
    <x v="7"/>
    <x v="0"/>
    <x v="0"/>
    <x v="0"/>
    <x v="4"/>
    <x v="129"/>
    <x v="4"/>
    <x v="4"/>
    <x v="7"/>
    <x v="7"/>
    <x v="0"/>
    <x v="6"/>
    <x v="6"/>
    <x v="0"/>
    <x v="0"/>
    <x v="6"/>
    <x v="6"/>
    <x v="0"/>
    <x v="0"/>
    <x v="0"/>
    <x v="0"/>
    <x v="0"/>
    <x v="0"/>
  </r>
  <r>
    <x v="237"/>
    <x v="0"/>
    <x v="34"/>
    <x v="34"/>
    <x v="34"/>
    <x v="14"/>
    <x v="7"/>
    <x v="0"/>
    <x v="0"/>
    <x v="0"/>
    <x v="4"/>
    <x v="130"/>
    <x v="4"/>
    <x v="4"/>
    <x v="7"/>
    <x v="7"/>
    <x v="0"/>
    <x v="6"/>
    <x v="6"/>
    <x v="0"/>
    <x v="0"/>
    <x v="6"/>
    <x v="6"/>
    <x v="0"/>
    <x v="0"/>
    <x v="0"/>
    <x v="0"/>
    <x v="0"/>
    <x v="0"/>
  </r>
  <r>
    <x v="238"/>
    <x v="0"/>
    <x v="34"/>
    <x v="34"/>
    <x v="34"/>
    <x v="14"/>
    <x v="7"/>
    <x v="0"/>
    <x v="0"/>
    <x v="0"/>
    <x v="4"/>
    <x v="130"/>
    <x v="4"/>
    <x v="4"/>
    <x v="16"/>
    <x v="16"/>
    <x v="0"/>
    <x v="6"/>
    <x v="6"/>
    <x v="0"/>
    <x v="0"/>
    <x v="6"/>
    <x v="6"/>
    <x v="0"/>
    <x v="0"/>
    <x v="0"/>
    <x v="0"/>
    <x v="0"/>
    <x v="0"/>
  </r>
  <r>
    <x v="239"/>
    <x v="0"/>
    <x v="34"/>
    <x v="34"/>
    <x v="34"/>
    <x v="14"/>
    <x v="7"/>
    <x v="0"/>
    <x v="0"/>
    <x v="0"/>
    <x v="4"/>
    <x v="130"/>
    <x v="4"/>
    <x v="4"/>
    <x v="1"/>
    <x v="1"/>
    <x v="0"/>
    <x v="0"/>
    <x v="0"/>
    <x v="0"/>
    <x v="0"/>
    <x v="0"/>
    <x v="0"/>
    <x v="2"/>
    <x v="2"/>
    <x v="0"/>
    <x v="0"/>
    <x v="0"/>
    <x v="2"/>
  </r>
  <r>
    <x v="240"/>
    <x v="0"/>
    <x v="34"/>
    <x v="34"/>
    <x v="34"/>
    <x v="14"/>
    <x v="7"/>
    <x v="0"/>
    <x v="1"/>
    <x v="0"/>
    <x v="4"/>
    <x v="130"/>
    <x v="4"/>
    <x v="4"/>
    <x v="10"/>
    <x v="10"/>
    <x v="6"/>
    <x v="11"/>
    <x v="14"/>
    <x v="0"/>
    <x v="0"/>
    <x v="11"/>
    <x v="14"/>
    <x v="11"/>
    <x v="26"/>
    <x v="0"/>
    <x v="0"/>
    <x v="0"/>
    <x v="33"/>
  </r>
  <r>
    <x v="241"/>
    <x v="0"/>
    <x v="63"/>
    <x v="63"/>
    <x v="63"/>
    <x v="14"/>
    <x v="7"/>
    <x v="0"/>
    <x v="1"/>
    <x v="0"/>
    <x v="4"/>
    <x v="131"/>
    <x v="4"/>
    <x v="4"/>
    <x v="10"/>
    <x v="10"/>
    <x v="6"/>
    <x v="11"/>
    <x v="14"/>
    <x v="0"/>
    <x v="0"/>
    <x v="11"/>
    <x v="14"/>
    <x v="11"/>
    <x v="26"/>
    <x v="0"/>
    <x v="0"/>
    <x v="0"/>
    <x v="33"/>
  </r>
  <r>
    <x v="242"/>
    <x v="0"/>
    <x v="42"/>
    <x v="42"/>
    <x v="42"/>
    <x v="14"/>
    <x v="7"/>
    <x v="0"/>
    <x v="1"/>
    <x v="0"/>
    <x v="4"/>
    <x v="132"/>
    <x v="4"/>
    <x v="4"/>
    <x v="45"/>
    <x v="45"/>
    <x v="6"/>
    <x v="17"/>
    <x v="29"/>
    <x v="0"/>
    <x v="0"/>
    <x v="17"/>
    <x v="29"/>
    <x v="0"/>
    <x v="0"/>
    <x v="0"/>
    <x v="0"/>
    <x v="0"/>
    <x v="0"/>
  </r>
  <r>
    <x v="243"/>
    <x v="0"/>
    <x v="72"/>
    <x v="72"/>
    <x v="72"/>
    <x v="15"/>
    <x v="4"/>
    <x v="1"/>
    <x v="0"/>
    <x v="0"/>
    <x v="2"/>
    <x v="133"/>
    <x v="4"/>
    <x v="4"/>
    <x v="1"/>
    <x v="1"/>
    <x v="0"/>
    <x v="0"/>
    <x v="0"/>
    <x v="0"/>
    <x v="0"/>
    <x v="0"/>
    <x v="0"/>
    <x v="2"/>
    <x v="2"/>
    <x v="0"/>
    <x v="0"/>
    <x v="0"/>
    <x v="2"/>
  </r>
  <r>
    <x v="244"/>
    <x v="0"/>
    <x v="72"/>
    <x v="72"/>
    <x v="72"/>
    <x v="15"/>
    <x v="4"/>
    <x v="1"/>
    <x v="0"/>
    <x v="0"/>
    <x v="2"/>
    <x v="133"/>
    <x v="4"/>
    <x v="4"/>
    <x v="6"/>
    <x v="6"/>
    <x v="0"/>
    <x v="0"/>
    <x v="0"/>
    <x v="0"/>
    <x v="0"/>
    <x v="0"/>
    <x v="0"/>
    <x v="2"/>
    <x v="2"/>
    <x v="0"/>
    <x v="0"/>
    <x v="0"/>
    <x v="2"/>
  </r>
  <r>
    <x v="245"/>
    <x v="0"/>
    <x v="75"/>
    <x v="75"/>
    <x v="75"/>
    <x v="7"/>
    <x v="6"/>
    <x v="2"/>
    <x v="4"/>
    <x v="0"/>
    <x v="1"/>
    <x v="134"/>
    <x v="4"/>
    <x v="4"/>
    <x v="17"/>
    <x v="17"/>
    <x v="28"/>
    <x v="5"/>
    <x v="45"/>
    <x v="0"/>
    <x v="0"/>
    <x v="5"/>
    <x v="45"/>
    <x v="0"/>
    <x v="0"/>
    <x v="0"/>
    <x v="0"/>
    <x v="0"/>
    <x v="0"/>
  </r>
  <r>
    <x v="246"/>
    <x v="0"/>
    <x v="76"/>
    <x v="76"/>
    <x v="76"/>
    <x v="4"/>
    <x v="4"/>
    <x v="1"/>
    <x v="2"/>
    <x v="0"/>
    <x v="2"/>
    <x v="135"/>
    <x v="4"/>
    <x v="4"/>
    <x v="46"/>
    <x v="46"/>
    <x v="29"/>
    <x v="5"/>
    <x v="84"/>
    <x v="0"/>
    <x v="0"/>
    <x v="5"/>
    <x v="84"/>
    <x v="0"/>
    <x v="39"/>
    <x v="10"/>
    <x v="0"/>
    <x v="1"/>
    <x v="43"/>
  </r>
  <r>
    <x v="247"/>
    <x v="0"/>
    <x v="65"/>
    <x v="65"/>
    <x v="65"/>
    <x v="16"/>
    <x v="8"/>
    <x v="1"/>
    <x v="0"/>
    <x v="0"/>
    <x v="1"/>
    <x v="136"/>
    <x v="4"/>
    <x v="4"/>
    <x v="22"/>
    <x v="22"/>
    <x v="0"/>
    <x v="6"/>
    <x v="6"/>
    <x v="0"/>
    <x v="0"/>
    <x v="6"/>
    <x v="6"/>
    <x v="0"/>
    <x v="0"/>
    <x v="0"/>
    <x v="0"/>
    <x v="0"/>
    <x v="0"/>
  </r>
  <r>
    <x v="248"/>
    <x v="0"/>
    <x v="69"/>
    <x v="69"/>
    <x v="69"/>
    <x v="10"/>
    <x v="9"/>
    <x v="1"/>
    <x v="0"/>
    <x v="0"/>
    <x v="2"/>
    <x v="137"/>
    <x v="4"/>
    <x v="4"/>
    <x v="1"/>
    <x v="1"/>
    <x v="0"/>
    <x v="14"/>
    <x v="20"/>
    <x v="0"/>
    <x v="0"/>
    <x v="14"/>
    <x v="20"/>
    <x v="10"/>
    <x v="11"/>
    <x v="0"/>
    <x v="0"/>
    <x v="0"/>
    <x v="12"/>
  </r>
  <r>
    <x v="249"/>
    <x v="0"/>
    <x v="69"/>
    <x v="69"/>
    <x v="69"/>
    <x v="10"/>
    <x v="9"/>
    <x v="1"/>
    <x v="0"/>
    <x v="0"/>
    <x v="2"/>
    <x v="137"/>
    <x v="4"/>
    <x v="4"/>
    <x v="7"/>
    <x v="7"/>
    <x v="0"/>
    <x v="6"/>
    <x v="6"/>
    <x v="0"/>
    <x v="0"/>
    <x v="6"/>
    <x v="6"/>
    <x v="0"/>
    <x v="0"/>
    <x v="0"/>
    <x v="0"/>
    <x v="0"/>
    <x v="0"/>
  </r>
  <r>
    <x v="250"/>
    <x v="0"/>
    <x v="21"/>
    <x v="21"/>
    <x v="21"/>
    <x v="11"/>
    <x v="2"/>
    <x v="0"/>
    <x v="1"/>
    <x v="0"/>
    <x v="0"/>
    <x v="138"/>
    <x v="4"/>
    <x v="4"/>
    <x v="10"/>
    <x v="10"/>
    <x v="6"/>
    <x v="11"/>
    <x v="14"/>
    <x v="0"/>
    <x v="0"/>
    <x v="11"/>
    <x v="14"/>
    <x v="11"/>
    <x v="26"/>
    <x v="0"/>
    <x v="0"/>
    <x v="0"/>
    <x v="33"/>
  </r>
  <r>
    <x v="251"/>
    <x v="0"/>
    <x v="21"/>
    <x v="21"/>
    <x v="21"/>
    <x v="11"/>
    <x v="2"/>
    <x v="0"/>
    <x v="1"/>
    <x v="0"/>
    <x v="0"/>
    <x v="139"/>
    <x v="4"/>
    <x v="4"/>
    <x v="13"/>
    <x v="13"/>
    <x v="6"/>
    <x v="8"/>
    <x v="85"/>
    <x v="0"/>
    <x v="0"/>
    <x v="8"/>
    <x v="85"/>
    <x v="0"/>
    <x v="0"/>
    <x v="0"/>
    <x v="0"/>
    <x v="0"/>
    <x v="0"/>
  </r>
  <r>
    <x v="252"/>
    <x v="0"/>
    <x v="62"/>
    <x v="62"/>
    <x v="62"/>
    <x v="0"/>
    <x v="0"/>
    <x v="0"/>
    <x v="1"/>
    <x v="0"/>
    <x v="0"/>
    <x v="140"/>
    <x v="5"/>
    <x v="5"/>
    <x v="10"/>
    <x v="10"/>
    <x v="6"/>
    <x v="11"/>
    <x v="14"/>
    <x v="0"/>
    <x v="0"/>
    <x v="11"/>
    <x v="14"/>
    <x v="11"/>
    <x v="26"/>
    <x v="0"/>
    <x v="0"/>
    <x v="0"/>
    <x v="33"/>
  </r>
  <r>
    <x v="253"/>
    <x v="0"/>
    <x v="28"/>
    <x v="28"/>
    <x v="28"/>
    <x v="8"/>
    <x v="7"/>
    <x v="0"/>
    <x v="0"/>
    <x v="0"/>
    <x v="0"/>
    <x v="141"/>
    <x v="5"/>
    <x v="5"/>
    <x v="1"/>
    <x v="1"/>
    <x v="0"/>
    <x v="0"/>
    <x v="0"/>
    <x v="0"/>
    <x v="0"/>
    <x v="0"/>
    <x v="0"/>
    <x v="2"/>
    <x v="2"/>
    <x v="0"/>
    <x v="0"/>
    <x v="0"/>
    <x v="2"/>
  </r>
  <r>
    <x v="254"/>
    <x v="0"/>
    <x v="28"/>
    <x v="28"/>
    <x v="28"/>
    <x v="8"/>
    <x v="7"/>
    <x v="0"/>
    <x v="1"/>
    <x v="0"/>
    <x v="0"/>
    <x v="141"/>
    <x v="5"/>
    <x v="5"/>
    <x v="10"/>
    <x v="10"/>
    <x v="6"/>
    <x v="3"/>
    <x v="50"/>
    <x v="0"/>
    <x v="0"/>
    <x v="3"/>
    <x v="50"/>
    <x v="3"/>
    <x v="11"/>
    <x v="0"/>
    <x v="0"/>
    <x v="0"/>
    <x v="29"/>
  </r>
  <r>
    <x v="255"/>
    <x v="0"/>
    <x v="73"/>
    <x v="73"/>
    <x v="73"/>
    <x v="7"/>
    <x v="6"/>
    <x v="2"/>
    <x v="0"/>
    <x v="0"/>
    <x v="1"/>
    <x v="142"/>
    <x v="5"/>
    <x v="5"/>
    <x v="1"/>
    <x v="1"/>
    <x v="4"/>
    <x v="11"/>
    <x v="74"/>
    <x v="0"/>
    <x v="0"/>
    <x v="11"/>
    <x v="74"/>
    <x v="0"/>
    <x v="0"/>
    <x v="0"/>
    <x v="0"/>
    <x v="0"/>
    <x v="0"/>
  </r>
  <r>
    <x v="256"/>
    <x v="0"/>
    <x v="77"/>
    <x v="77"/>
    <x v="77"/>
    <x v="14"/>
    <x v="7"/>
    <x v="0"/>
    <x v="1"/>
    <x v="0"/>
    <x v="4"/>
    <x v="143"/>
    <x v="5"/>
    <x v="5"/>
    <x v="12"/>
    <x v="12"/>
    <x v="6"/>
    <x v="22"/>
    <x v="69"/>
    <x v="0"/>
    <x v="0"/>
    <x v="22"/>
    <x v="69"/>
    <x v="19"/>
    <x v="34"/>
    <x v="0"/>
    <x v="0"/>
    <x v="0"/>
    <x v="37"/>
  </r>
  <r>
    <x v="257"/>
    <x v="0"/>
    <x v="77"/>
    <x v="77"/>
    <x v="77"/>
    <x v="14"/>
    <x v="7"/>
    <x v="0"/>
    <x v="0"/>
    <x v="0"/>
    <x v="4"/>
    <x v="143"/>
    <x v="5"/>
    <x v="5"/>
    <x v="6"/>
    <x v="6"/>
    <x v="0"/>
    <x v="34"/>
    <x v="86"/>
    <x v="0"/>
    <x v="0"/>
    <x v="34"/>
    <x v="86"/>
    <x v="30"/>
    <x v="40"/>
    <x v="0"/>
    <x v="0"/>
    <x v="0"/>
    <x v="44"/>
  </r>
  <r>
    <x v="258"/>
    <x v="0"/>
    <x v="77"/>
    <x v="77"/>
    <x v="77"/>
    <x v="14"/>
    <x v="7"/>
    <x v="0"/>
    <x v="1"/>
    <x v="0"/>
    <x v="4"/>
    <x v="143"/>
    <x v="5"/>
    <x v="5"/>
    <x v="47"/>
    <x v="47"/>
    <x v="6"/>
    <x v="21"/>
    <x v="39"/>
    <x v="0"/>
    <x v="0"/>
    <x v="21"/>
    <x v="39"/>
    <x v="0"/>
    <x v="0"/>
    <x v="0"/>
    <x v="0"/>
    <x v="0"/>
    <x v="0"/>
  </r>
  <r>
    <x v="259"/>
    <x v="0"/>
    <x v="77"/>
    <x v="77"/>
    <x v="77"/>
    <x v="14"/>
    <x v="7"/>
    <x v="0"/>
    <x v="0"/>
    <x v="0"/>
    <x v="4"/>
    <x v="143"/>
    <x v="5"/>
    <x v="5"/>
    <x v="42"/>
    <x v="42"/>
    <x v="0"/>
    <x v="20"/>
    <x v="81"/>
    <x v="0"/>
    <x v="0"/>
    <x v="20"/>
    <x v="81"/>
    <x v="0"/>
    <x v="0"/>
    <x v="0"/>
    <x v="0"/>
    <x v="0"/>
    <x v="0"/>
  </r>
  <r>
    <x v="260"/>
    <x v="0"/>
    <x v="43"/>
    <x v="43"/>
    <x v="43"/>
    <x v="7"/>
    <x v="6"/>
    <x v="2"/>
    <x v="0"/>
    <x v="0"/>
    <x v="1"/>
    <x v="144"/>
    <x v="5"/>
    <x v="5"/>
    <x v="40"/>
    <x v="40"/>
    <x v="25"/>
    <x v="6"/>
    <x v="76"/>
    <x v="0"/>
    <x v="0"/>
    <x v="6"/>
    <x v="76"/>
    <x v="0"/>
    <x v="0"/>
    <x v="0"/>
    <x v="0"/>
    <x v="0"/>
    <x v="0"/>
  </r>
  <r>
    <x v="261"/>
    <x v="0"/>
    <x v="63"/>
    <x v="63"/>
    <x v="63"/>
    <x v="14"/>
    <x v="7"/>
    <x v="0"/>
    <x v="0"/>
    <x v="0"/>
    <x v="4"/>
    <x v="145"/>
    <x v="5"/>
    <x v="5"/>
    <x v="7"/>
    <x v="7"/>
    <x v="0"/>
    <x v="6"/>
    <x v="6"/>
    <x v="0"/>
    <x v="0"/>
    <x v="6"/>
    <x v="6"/>
    <x v="0"/>
    <x v="0"/>
    <x v="0"/>
    <x v="0"/>
    <x v="0"/>
    <x v="0"/>
  </r>
  <r>
    <x v="262"/>
    <x v="0"/>
    <x v="63"/>
    <x v="63"/>
    <x v="63"/>
    <x v="14"/>
    <x v="7"/>
    <x v="0"/>
    <x v="0"/>
    <x v="0"/>
    <x v="4"/>
    <x v="145"/>
    <x v="5"/>
    <x v="5"/>
    <x v="40"/>
    <x v="40"/>
    <x v="0"/>
    <x v="6"/>
    <x v="6"/>
    <x v="0"/>
    <x v="0"/>
    <x v="6"/>
    <x v="6"/>
    <x v="0"/>
    <x v="0"/>
    <x v="0"/>
    <x v="0"/>
    <x v="0"/>
    <x v="0"/>
  </r>
  <r>
    <x v="263"/>
    <x v="0"/>
    <x v="34"/>
    <x v="34"/>
    <x v="34"/>
    <x v="14"/>
    <x v="7"/>
    <x v="0"/>
    <x v="1"/>
    <x v="0"/>
    <x v="4"/>
    <x v="146"/>
    <x v="5"/>
    <x v="5"/>
    <x v="10"/>
    <x v="10"/>
    <x v="6"/>
    <x v="10"/>
    <x v="13"/>
    <x v="0"/>
    <x v="0"/>
    <x v="10"/>
    <x v="13"/>
    <x v="7"/>
    <x v="9"/>
    <x v="0"/>
    <x v="0"/>
    <x v="0"/>
    <x v="9"/>
  </r>
  <r>
    <x v="264"/>
    <x v="0"/>
    <x v="34"/>
    <x v="34"/>
    <x v="34"/>
    <x v="14"/>
    <x v="7"/>
    <x v="0"/>
    <x v="0"/>
    <x v="0"/>
    <x v="4"/>
    <x v="146"/>
    <x v="5"/>
    <x v="5"/>
    <x v="7"/>
    <x v="7"/>
    <x v="0"/>
    <x v="6"/>
    <x v="6"/>
    <x v="0"/>
    <x v="0"/>
    <x v="6"/>
    <x v="6"/>
    <x v="0"/>
    <x v="0"/>
    <x v="0"/>
    <x v="0"/>
    <x v="0"/>
    <x v="0"/>
  </r>
  <r>
    <x v="265"/>
    <x v="0"/>
    <x v="34"/>
    <x v="34"/>
    <x v="34"/>
    <x v="14"/>
    <x v="7"/>
    <x v="0"/>
    <x v="0"/>
    <x v="0"/>
    <x v="4"/>
    <x v="146"/>
    <x v="5"/>
    <x v="5"/>
    <x v="1"/>
    <x v="1"/>
    <x v="0"/>
    <x v="3"/>
    <x v="3"/>
    <x v="0"/>
    <x v="0"/>
    <x v="3"/>
    <x v="3"/>
    <x v="3"/>
    <x v="3"/>
    <x v="0"/>
    <x v="0"/>
    <x v="0"/>
    <x v="3"/>
  </r>
  <r>
    <x v="266"/>
    <x v="0"/>
    <x v="78"/>
    <x v="78"/>
    <x v="78"/>
    <x v="3"/>
    <x v="3"/>
    <x v="0"/>
    <x v="0"/>
    <x v="0"/>
    <x v="0"/>
    <x v="147"/>
    <x v="5"/>
    <x v="5"/>
    <x v="4"/>
    <x v="4"/>
    <x v="0"/>
    <x v="14"/>
    <x v="20"/>
    <x v="0"/>
    <x v="0"/>
    <x v="14"/>
    <x v="20"/>
    <x v="10"/>
    <x v="11"/>
    <x v="0"/>
    <x v="0"/>
    <x v="0"/>
    <x v="12"/>
  </r>
  <r>
    <x v="267"/>
    <x v="0"/>
    <x v="78"/>
    <x v="78"/>
    <x v="78"/>
    <x v="3"/>
    <x v="3"/>
    <x v="0"/>
    <x v="0"/>
    <x v="0"/>
    <x v="0"/>
    <x v="147"/>
    <x v="5"/>
    <x v="5"/>
    <x v="21"/>
    <x v="21"/>
    <x v="0"/>
    <x v="6"/>
    <x v="6"/>
    <x v="0"/>
    <x v="0"/>
    <x v="6"/>
    <x v="6"/>
    <x v="0"/>
    <x v="0"/>
    <x v="0"/>
    <x v="0"/>
    <x v="0"/>
    <x v="0"/>
  </r>
  <r>
    <x v="268"/>
    <x v="0"/>
    <x v="21"/>
    <x v="21"/>
    <x v="21"/>
    <x v="11"/>
    <x v="2"/>
    <x v="0"/>
    <x v="0"/>
    <x v="0"/>
    <x v="0"/>
    <x v="148"/>
    <x v="5"/>
    <x v="5"/>
    <x v="6"/>
    <x v="6"/>
    <x v="0"/>
    <x v="8"/>
    <x v="8"/>
    <x v="0"/>
    <x v="0"/>
    <x v="8"/>
    <x v="8"/>
    <x v="5"/>
    <x v="6"/>
    <x v="0"/>
    <x v="0"/>
    <x v="0"/>
    <x v="6"/>
  </r>
  <r>
    <x v="269"/>
    <x v="0"/>
    <x v="72"/>
    <x v="72"/>
    <x v="72"/>
    <x v="15"/>
    <x v="4"/>
    <x v="1"/>
    <x v="0"/>
    <x v="0"/>
    <x v="2"/>
    <x v="149"/>
    <x v="5"/>
    <x v="5"/>
    <x v="31"/>
    <x v="31"/>
    <x v="17"/>
    <x v="6"/>
    <x v="59"/>
    <x v="0"/>
    <x v="0"/>
    <x v="6"/>
    <x v="59"/>
    <x v="4"/>
    <x v="5"/>
    <x v="0"/>
    <x v="0"/>
    <x v="0"/>
    <x v="5"/>
  </r>
  <r>
    <x v="270"/>
    <x v="0"/>
    <x v="72"/>
    <x v="72"/>
    <x v="72"/>
    <x v="15"/>
    <x v="4"/>
    <x v="1"/>
    <x v="0"/>
    <x v="0"/>
    <x v="2"/>
    <x v="150"/>
    <x v="5"/>
    <x v="5"/>
    <x v="6"/>
    <x v="6"/>
    <x v="0"/>
    <x v="0"/>
    <x v="0"/>
    <x v="0"/>
    <x v="0"/>
    <x v="0"/>
    <x v="0"/>
    <x v="2"/>
    <x v="2"/>
    <x v="0"/>
    <x v="0"/>
    <x v="0"/>
    <x v="2"/>
  </r>
  <r>
    <x v="271"/>
    <x v="0"/>
    <x v="72"/>
    <x v="72"/>
    <x v="72"/>
    <x v="15"/>
    <x v="4"/>
    <x v="1"/>
    <x v="0"/>
    <x v="0"/>
    <x v="2"/>
    <x v="150"/>
    <x v="5"/>
    <x v="5"/>
    <x v="1"/>
    <x v="1"/>
    <x v="0"/>
    <x v="0"/>
    <x v="0"/>
    <x v="0"/>
    <x v="0"/>
    <x v="0"/>
    <x v="0"/>
    <x v="2"/>
    <x v="2"/>
    <x v="0"/>
    <x v="0"/>
    <x v="0"/>
    <x v="2"/>
  </r>
  <r>
    <x v="272"/>
    <x v="0"/>
    <x v="79"/>
    <x v="79"/>
    <x v="79"/>
    <x v="0"/>
    <x v="0"/>
    <x v="0"/>
    <x v="6"/>
    <x v="0"/>
    <x v="0"/>
    <x v="151"/>
    <x v="5"/>
    <x v="5"/>
    <x v="30"/>
    <x v="30"/>
    <x v="16"/>
    <x v="5"/>
    <x v="42"/>
    <x v="0"/>
    <x v="0"/>
    <x v="5"/>
    <x v="42"/>
    <x v="0"/>
    <x v="0"/>
    <x v="0"/>
    <x v="0"/>
    <x v="0"/>
    <x v="0"/>
  </r>
  <r>
    <x v="273"/>
    <x v="0"/>
    <x v="79"/>
    <x v="79"/>
    <x v="79"/>
    <x v="0"/>
    <x v="0"/>
    <x v="0"/>
    <x v="5"/>
    <x v="0"/>
    <x v="0"/>
    <x v="151"/>
    <x v="5"/>
    <x v="5"/>
    <x v="26"/>
    <x v="26"/>
    <x v="12"/>
    <x v="6"/>
    <x v="87"/>
    <x v="0"/>
    <x v="0"/>
    <x v="6"/>
    <x v="87"/>
    <x v="0"/>
    <x v="0"/>
    <x v="0"/>
    <x v="0"/>
    <x v="0"/>
    <x v="0"/>
  </r>
  <r>
    <x v="274"/>
    <x v="0"/>
    <x v="79"/>
    <x v="79"/>
    <x v="79"/>
    <x v="0"/>
    <x v="0"/>
    <x v="0"/>
    <x v="6"/>
    <x v="0"/>
    <x v="0"/>
    <x v="151"/>
    <x v="5"/>
    <x v="5"/>
    <x v="33"/>
    <x v="33"/>
    <x v="20"/>
    <x v="5"/>
    <x v="88"/>
    <x v="0"/>
    <x v="0"/>
    <x v="5"/>
    <x v="88"/>
    <x v="0"/>
    <x v="0"/>
    <x v="0"/>
    <x v="0"/>
    <x v="0"/>
    <x v="0"/>
  </r>
  <r>
    <x v="275"/>
    <x v="0"/>
    <x v="79"/>
    <x v="79"/>
    <x v="79"/>
    <x v="0"/>
    <x v="0"/>
    <x v="0"/>
    <x v="6"/>
    <x v="0"/>
    <x v="0"/>
    <x v="151"/>
    <x v="5"/>
    <x v="5"/>
    <x v="29"/>
    <x v="29"/>
    <x v="15"/>
    <x v="5"/>
    <x v="51"/>
    <x v="0"/>
    <x v="0"/>
    <x v="5"/>
    <x v="51"/>
    <x v="0"/>
    <x v="0"/>
    <x v="0"/>
    <x v="0"/>
    <x v="0"/>
    <x v="0"/>
  </r>
  <r>
    <x v="276"/>
    <x v="0"/>
    <x v="79"/>
    <x v="79"/>
    <x v="79"/>
    <x v="0"/>
    <x v="0"/>
    <x v="0"/>
    <x v="5"/>
    <x v="0"/>
    <x v="0"/>
    <x v="151"/>
    <x v="5"/>
    <x v="5"/>
    <x v="28"/>
    <x v="28"/>
    <x v="14"/>
    <x v="5"/>
    <x v="89"/>
    <x v="0"/>
    <x v="0"/>
    <x v="5"/>
    <x v="89"/>
    <x v="0"/>
    <x v="0"/>
    <x v="0"/>
    <x v="0"/>
    <x v="0"/>
    <x v="0"/>
  </r>
  <r>
    <x v="277"/>
    <x v="0"/>
    <x v="79"/>
    <x v="79"/>
    <x v="79"/>
    <x v="0"/>
    <x v="0"/>
    <x v="0"/>
    <x v="6"/>
    <x v="0"/>
    <x v="0"/>
    <x v="151"/>
    <x v="5"/>
    <x v="5"/>
    <x v="48"/>
    <x v="48"/>
    <x v="30"/>
    <x v="15"/>
    <x v="90"/>
    <x v="0"/>
    <x v="0"/>
    <x v="15"/>
    <x v="90"/>
    <x v="0"/>
    <x v="0"/>
    <x v="0"/>
    <x v="0"/>
    <x v="0"/>
    <x v="0"/>
  </r>
  <r>
    <x v="278"/>
    <x v="0"/>
    <x v="66"/>
    <x v="66"/>
    <x v="66"/>
    <x v="13"/>
    <x v="3"/>
    <x v="0"/>
    <x v="5"/>
    <x v="0"/>
    <x v="0"/>
    <x v="152"/>
    <x v="5"/>
    <x v="5"/>
    <x v="28"/>
    <x v="28"/>
    <x v="14"/>
    <x v="6"/>
    <x v="91"/>
    <x v="0"/>
    <x v="0"/>
    <x v="6"/>
    <x v="91"/>
    <x v="0"/>
    <x v="0"/>
    <x v="0"/>
    <x v="0"/>
    <x v="0"/>
    <x v="0"/>
  </r>
  <r>
    <x v="279"/>
    <x v="0"/>
    <x v="80"/>
    <x v="80"/>
    <x v="80"/>
    <x v="17"/>
    <x v="2"/>
    <x v="0"/>
    <x v="0"/>
    <x v="0"/>
    <x v="0"/>
    <x v="153"/>
    <x v="5"/>
    <x v="5"/>
    <x v="1"/>
    <x v="1"/>
    <x v="0"/>
    <x v="0"/>
    <x v="0"/>
    <x v="0"/>
    <x v="0"/>
    <x v="0"/>
    <x v="0"/>
    <x v="2"/>
    <x v="2"/>
    <x v="0"/>
    <x v="0"/>
    <x v="0"/>
    <x v="2"/>
  </r>
  <r>
    <x v="280"/>
    <x v="0"/>
    <x v="80"/>
    <x v="80"/>
    <x v="80"/>
    <x v="17"/>
    <x v="2"/>
    <x v="0"/>
    <x v="1"/>
    <x v="0"/>
    <x v="0"/>
    <x v="153"/>
    <x v="5"/>
    <x v="5"/>
    <x v="10"/>
    <x v="10"/>
    <x v="6"/>
    <x v="0"/>
    <x v="67"/>
    <x v="0"/>
    <x v="0"/>
    <x v="0"/>
    <x v="67"/>
    <x v="2"/>
    <x v="33"/>
    <x v="0"/>
    <x v="0"/>
    <x v="0"/>
    <x v="36"/>
  </r>
  <r>
    <x v="281"/>
    <x v="0"/>
    <x v="80"/>
    <x v="80"/>
    <x v="80"/>
    <x v="17"/>
    <x v="2"/>
    <x v="0"/>
    <x v="1"/>
    <x v="0"/>
    <x v="0"/>
    <x v="153"/>
    <x v="5"/>
    <x v="5"/>
    <x v="11"/>
    <x v="11"/>
    <x v="6"/>
    <x v="17"/>
    <x v="29"/>
    <x v="0"/>
    <x v="0"/>
    <x v="17"/>
    <x v="29"/>
    <x v="14"/>
    <x v="17"/>
    <x v="0"/>
    <x v="0"/>
    <x v="0"/>
    <x v="18"/>
  </r>
  <r>
    <x v="282"/>
    <x v="0"/>
    <x v="74"/>
    <x v="74"/>
    <x v="74"/>
    <x v="2"/>
    <x v="2"/>
    <x v="0"/>
    <x v="3"/>
    <x v="0"/>
    <x v="0"/>
    <x v="154"/>
    <x v="5"/>
    <x v="5"/>
    <x v="8"/>
    <x v="8"/>
    <x v="3"/>
    <x v="20"/>
    <x v="92"/>
    <x v="0"/>
    <x v="0"/>
    <x v="20"/>
    <x v="92"/>
    <x v="0"/>
    <x v="0"/>
    <x v="0"/>
    <x v="0"/>
    <x v="0"/>
    <x v="0"/>
  </r>
  <r>
    <x v="283"/>
    <x v="0"/>
    <x v="34"/>
    <x v="34"/>
    <x v="34"/>
    <x v="14"/>
    <x v="7"/>
    <x v="0"/>
    <x v="1"/>
    <x v="0"/>
    <x v="4"/>
    <x v="155"/>
    <x v="21"/>
    <x v="21"/>
    <x v="10"/>
    <x v="10"/>
    <x v="6"/>
    <x v="11"/>
    <x v="14"/>
    <x v="0"/>
    <x v="0"/>
    <x v="11"/>
    <x v="14"/>
    <x v="11"/>
    <x v="26"/>
    <x v="0"/>
    <x v="0"/>
    <x v="0"/>
    <x v="33"/>
  </r>
  <r>
    <x v="284"/>
    <x v="0"/>
    <x v="34"/>
    <x v="34"/>
    <x v="34"/>
    <x v="14"/>
    <x v="7"/>
    <x v="0"/>
    <x v="0"/>
    <x v="0"/>
    <x v="4"/>
    <x v="155"/>
    <x v="21"/>
    <x v="21"/>
    <x v="1"/>
    <x v="1"/>
    <x v="0"/>
    <x v="0"/>
    <x v="0"/>
    <x v="0"/>
    <x v="0"/>
    <x v="0"/>
    <x v="0"/>
    <x v="2"/>
    <x v="2"/>
    <x v="0"/>
    <x v="0"/>
    <x v="0"/>
    <x v="2"/>
  </r>
  <r>
    <x v="285"/>
    <x v="0"/>
    <x v="34"/>
    <x v="34"/>
    <x v="34"/>
    <x v="14"/>
    <x v="7"/>
    <x v="0"/>
    <x v="0"/>
    <x v="0"/>
    <x v="4"/>
    <x v="155"/>
    <x v="21"/>
    <x v="21"/>
    <x v="7"/>
    <x v="7"/>
    <x v="0"/>
    <x v="0"/>
    <x v="0"/>
    <x v="0"/>
    <x v="0"/>
    <x v="0"/>
    <x v="0"/>
    <x v="0"/>
    <x v="0"/>
    <x v="0"/>
    <x v="0"/>
    <x v="0"/>
    <x v="0"/>
  </r>
  <r>
    <x v="286"/>
    <x v="0"/>
    <x v="63"/>
    <x v="63"/>
    <x v="63"/>
    <x v="14"/>
    <x v="7"/>
    <x v="0"/>
    <x v="0"/>
    <x v="0"/>
    <x v="4"/>
    <x v="156"/>
    <x v="21"/>
    <x v="21"/>
    <x v="1"/>
    <x v="1"/>
    <x v="0"/>
    <x v="6"/>
    <x v="6"/>
    <x v="0"/>
    <x v="0"/>
    <x v="6"/>
    <x v="6"/>
    <x v="4"/>
    <x v="5"/>
    <x v="0"/>
    <x v="0"/>
    <x v="0"/>
    <x v="5"/>
  </r>
  <r>
    <x v="287"/>
    <x v="0"/>
    <x v="28"/>
    <x v="28"/>
    <x v="28"/>
    <x v="8"/>
    <x v="7"/>
    <x v="0"/>
    <x v="4"/>
    <x v="0"/>
    <x v="0"/>
    <x v="157"/>
    <x v="21"/>
    <x v="21"/>
    <x v="35"/>
    <x v="35"/>
    <x v="21"/>
    <x v="5"/>
    <x v="93"/>
    <x v="0"/>
    <x v="0"/>
    <x v="5"/>
    <x v="93"/>
    <x v="31"/>
    <x v="41"/>
    <x v="11"/>
    <x v="3"/>
    <x v="1"/>
    <x v="45"/>
  </r>
  <r>
    <x v="288"/>
    <x v="0"/>
    <x v="28"/>
    <x v="28"/>
    <x v="28"/>
    <x v="8"/>
    <x v="7"/>
    <x v="0"/>
    <x v="0"/>
    <x v="0"/>
    <x v="0"/>
    <x v="157"/>
    <x v="21"/>
    <x v="21"/>
    <x v="7"/>
    <x v="7"/>
    <x v="0"/>
    <x v="6"/>
    <x v="6"/>
    <x v="0"/>
    <x v="0"/>
    <x v="6"/>
    <x v="6"/>
    <x v="0"/>
    <x v="0"/>
    <x v="0"/>
    <x v="0"/>
    <x v="0"/>
    <x v="0"/>
  </r>
  <r>
    <x v="289"/>
    <x v="0"/>
    <x v="66"/>
    <x v="66"/>
    <x v="66"/>
    <x v="13"/>
    <x v="3"/>
    <x v="0"/>
    <x v="0"/>
    <x v="0"/>
    <x v="0"/>
    <x v="158"/>
    <x v="21"/>
    <x v="21"/>
    <x v="1"/>
    <x v="1"/>
    <x v="0"/>
    <x v="3"/>
    <x v="3"/>
    <x v="0"/>
    <x v="0"/>
    <x v="3"/>
    <x v="3"/>
    <x v="3"/>
    <x v="3"/>
    <x v="0"/>
    <x v="0"/>
    <x v="0"/>
    <x v="3"/>
  </r>
  <r>
    <x v="290"/>
    <x v="0"/>
    <x v="66"/>
    <x v="66"/>
    <x v="66"/>
    <x v="13"/>
    <x v="3"/>
    <x v="0"/>
    <x v="5"/>
    <x v="0"/>
    <x v="0"/>
    <x v="158"/>
    <x v="21"/>
    <x v="21"/>
    <x v="28"/>
    <x v="28"/>
    <x v="14"/>
    <x v="0"/>
    <x v="94"/>
    <x v="0"/>
    <x v="0"/>
    <x v="0"/>
    <x v="94"/>
    <x v="0"/>
    <x v="0"/>
    <x v="0"/>
    <x v="0"/>
    <x v="0"/>
    <x v="0"/>
  </r>
  <r>
    <x v="291"/>
    <x v="0"/>
    <x v="72"/>
    <x v="72"/>
    <x v="72"/>
    <x v="15"/>
    <x v="4"/>
    <x v="1"/>
    <x v="1"/>
    <x v="0"/>
    <x v="2"/>
    <x v="159"/>
    <x v="21"/>
    <x v="21"/>
    <x v="10"/>
    <x v="10"/>
    <x v="6"/>
    <x v="3"/>
    <x v="50"/>
    <x v="0"/>
    <x v="0"/>
    <x v="3"/>
    <x v="50"/>
    <x v="3"/>
    <x v="11"/>
    <x v="0"/>
    <x v="0"/>
    <x v="0"/>
    <x v="29"/>
  </r>
  <r>
    <x v="292"/>
    <x v="0"/>
    <x v="59"/>
    <x v="59"/>
    <x v="59"/>
    <x v="5"/>
    <x v="0"/>
    <x v="0"/>
    <x v="1"/>
    <x v="0"/>
    <x v="0"/>
    <x v="160"/>
    <x v="6"/>
    <x v="6"/>
    <x v="3"/>
    <x v="3"/>
    <x v="1"/>
    <x v="33"/>
    <x v="95"/>
    <x v="0"/>
    <x v="0"/>
    <x v="33"/>
    <x v="95"/>
    <x v="0"/>
    <x v="0"/>
    <x v="0"/>
    <x v="0"/>
    <x v="0"/>
    <x v="0"/>
  </r>
  <r>
    <x v="293"/>
    <x v="0"/>
    <x v="81"/>
    <x v="81"/>
    <x v="81"/>
    <x v="7"/>
    <x v="6"/>
    <x v="2"/>
    <x v="2"/>
    <x v="0"/>
    <x v="1"/>
    <x v="161"/>
    <x v="6"/>
    <x v="6"/>
    <x v="5"/>
    <x v="5"/>
    <x v="31"/>
    <x v="6"/>
    <x v="96"/>
    <x v="0"/>
    <x v="0"/>
    <x v="6"/>
    <x v="96"/>
    <x v="0"/>
    <x v="0"/>
    <x v="0"/>
    <x v="0"/>
    <x v="0"/>
    <x v="0"/>
  </r>
  <r>
    <x v="294"/>
    <x v="0"/>
    <x v="81"/>
    <x v="81"/>
    <x v="81"/>
    <x v="7"/>
    <x v="6"/>
    <x v="2"/>
    <x v="2"/>
    <x v="0"/>
    <x v="1"/>
    <x v="161"/>
    <x v="6"/>
    <x v="6"/>
    <x v="49"/>
    <x v="49"/>
    <x v="32"/>
    <x v="24"/>
    <x v="97"/>
    <x v="0"/>
    <x v="0"/>
    <x v="24"/>
    <x v="97"/>
    <x v="0"/>
    <x v="0"/>
    <x v="0"/>
    <x v="0"/>
    <x v="0"/>
    <x v="0"/>
  </r>
  <r>
    <x v="295"/>
    <x v="0"/>
    <x v="81"/>
    <x v="81"/>
    <x v="81"/>
    <x v="7"/>
    <x v="6"/>
    <x v="2"/>
    <x v="2"/>
    <x v="0"/>
    <x v="1"/>
    <x v="161"/>
    <x v="6"/>
    <x v="6"/>
    <x v="50"/>
    <x v="50"/>
    <x v="33"/>
    <x v="15"/>
    <x v="98"/>
    <x v="0"/>
    <x v="0"/>
    <x v="15"/>
    <x v="98"/>
    <x v="0"/>
    <x v="0"/>
    <x v="0"/>
    <x v="0"/>
    <x v="0"/>
    <x v="0"/>
  </r>
  <r>
    <x v="296"/>
    <x v="0"/>
    <x v="43"/>
    <x v="43"/>
    <x v="43"/>
    <x v="7"/>
    <x v="6"/>
    <x v="2"/>
    <x v="0"/>
    <x v="0"/>
    <x v="1"/>
    <x v="162"/>
    <x v="6"/>
    <x v="6"/>
    <x v="22"/>
    <x v="22"/>
    <x v="25"/>
    <x v="6"/>
    <x v="76"/>
    <x v="0"/>
    <x v="0"/>
    <x v="6"/>
    <x v="76"/>
    <x v="0"/>
    <x v="0"/>
    <x v="0"/>
    <x v="0"/>
    <x v="0"/>
    <x v="0"/>
  </r>
  <r>
    <x v="297"/>
    <x v="0"/>
    <x v="34"/>
    <x v="34"/>
    <x v="34"/>
    <x v="14"/>
    <x v="7"/>
    <x v="0"/>
    <x v="0"/>
    <x v="0"/>
    <x v="4"/>
    <x v="163"/>
    <x v="6"/>
    <x v="6"/>
    <x v="7"/>
    <x v="7"/>
    <x v="0"/>
    <x v="14"/>
    <x v="20"/>
    <x v="0"/>
    <x v="0"/>
    <x v="14"/>
    <x v="20"/>
    <x v="0"/>
    <x v="0"/>
    <x v="0"/>
    <x v="0"/>
    <x v="0"/>
    <x v="0"/>
  </r>
  <r>
    <x v="298"/>
    <x v="0"/>
    <x v="34"/>
    <x v="34"/>
    <x v="34"/>
    <x v="14"/>
    <x v="7"/>
    <x v="0"/>
    <x v="0"/>
    <x v="0"/>
    <x v="4"/>
    <x v="163"/>
    <x v="6"/>
    <x v="6"/>
    <x v="2"/>
    <x v="2"/>
    <x v="0"/>
    <x v="0"/>
    <x v="0"/>
    <x v="0"/>
    <x v="0"/>
    <x v="0"/>
    <x v="0"/>
    <x v="0"/>
    <x v="0"/>
    <x v="0"/>
    <x v="0"/>
    <x v="0"/>
    <x v="0"/>
  </r>
  <r>
    <x v="299"/>
    <x v="0"/>
    <x v="34"/>
    <x v="34"/>
    <x v="34"/>
    <x v="14"/>
    <x v="7"/>
    <x v="0"/>
    <x v="0"/>
    <x v="0"/>
    <x v="4"/>
    <x v="163"/>
    <x v="6"/>
    <x v="6"/>
    <x v="1"/>
    <x v="1"/>
    <x v="0"/>
    <x v="0"/>
    <x v="0"/>
    <x v="0"/>
    <x v="0"/>
    <x v="0"/>
    <x v="0"/>
    <x v="2"/>
    <x v="2"/>
    <x v="0"/>
    <x v="0"/>
    <x v="0"/>
    <x v="2"/>
  </r>
  <r>
    <x v="300"/>
    <x v="0"/>
    <x v="34"/>
    <x v="34"/>
    <x v="34"/>
    <x v="14"/>
    <x v="7"/>
    <x v="0"/>
    <x v="1"/>
    <x v="0"/>
    <x v="4"/>
    <x v="163"/>
    <x v="6"/>
    <x v="6"/>
    <x v="10"/>
    <x v="10"/>
    <x v="6"/>
    <x v="10"/>
    <x v="13"/>
    <x v="0"/>
    <x v="0"/>
    <x v="10"/>
    <x v="13"/>
    <x v="7"/>
    <x v="9"/>
    <x v="0"/>
    <x v="0"/>
    <x v="0"/>
    <x v="9"/>
  </r>
  <r>
    <x v="301"/>
    <x v="0"/>
    <x v="34"/>
    <x v="34"/>
    <x v="34"/>
    <x v="14"/>
    <x v="7"/>
    <x v="0"/>
    <x v="0"/>
    <x v="0"/>
    <x v="4"/>
    <x v="163"/>
    <x v="6"/>
    <x v="6"/>
    <x v="16"/>
    <x v="16"/>
    <x v="0"/>
    <x v="6"/>
    <x v="6"/>
    <x v="0"/>
    <x v="0"/>
    <x v="6"/>
    <x v="6"/>
    <x v="0"/>
    <x v="0"/>
    <x v="0"/>
    <x v="0"/>
    <x v="0"/>
    <x v="0"/>
  </r>
  <r>
    <x v="302"/>
    <x v="0"/>
    <x v="77"/>
    <x v="77"/>
    <x v="77"/>
    <x v="14"/>
    <x v="7"/>
    <x v="0"/>
    <x v="0"/>
    <x v="0"/>
    <x v="4"/>
    <x v="164"/>
    <x v="6"/>
    <x v="6"/>
    <x v="6"/>
    <x v="6"/>
    <x v="0"/>
    <x v="13"/>
    <x v="19"/>
    <x v="0"/>
    <x v="0"/>
    <x v="13"/>
    <x v="19"/>
    <x v="32"/>
    <x v="42"/>
    <x v="0"/>
    <x v="0"/>
    <x v="0"/>
    <x v="46"/>
  </r>
  <r>
    <x v="303"/>
    <x v="0"/>
    <x v="77"/>
    <x v="77"/>
    <x v="77"/>
    <x v="14"/>
    <x v="7"/>
    <x v="0"/>
    <x v="1"/>
    <x v="0"/>
    <x v="4"/>
    <x v="164"/>
    <x v="6"/>
    <x v="6"/>
    <x v="12"/>
    <x v="12"/>
    <x v="6"/>
    <x v="17"/>
    <x v="29"/>
    <x v="0"/>
    <x v="0"/>
    <x v="17"/>
    <x v="29"/>
    <x v="14"/>
    <x v="17"/>
    <x v="0"/>
    <x v="0"/>
    <x v="0"/>
    <x v="18"/>
  </r>
  <r>
    <x v="304"/>
    <x v="0"/>
    <x v="40"/>
    <x v="40"/>
    <x v="40"/>
    <x v="14"/>
    <x v="7"/>
    <x v="0"/>
    <x v="0"/>
    <x v="0"/>
    <x v="4"/>
    <x v="165"/>
    <x v="6"/>
    <x v="6"/>
    <x v="1"/>
    <x v="1"/>
    <x v="0"/>
    <x v="6"/>
    <x v="6"/>
    <x v="0"/>
    <x v="0"/>
    <x v="6"/>
    <x v="6"/>
    <x v="4"/>
    <x v="5"/>
    <x v="0"/>
    <x v="0"/>
    <x v="0"/>
    <x v="5"/>
  </r>
  <r>
    <x v="305"/>
    <x v="0"/>
    <x v="67"/>
    <x v="67"/>
    <x v="67"/>
    <x v="2"/>
    <x v="2"/>
    <x v="0"/>
    <x v="0"/>
    <x v="0"/>
    <x v="0"/>
    <x v="166"/>
    <x v="6"/>
    <x v="6"/>
    <x v="42"/>
    <x v="42"/>
    <x v="0"/>
    <x v="10"/>
    <x v="25"/>
    <x v="0"/>
    <x v="0"/>
    <x v="10"/>
    <x v="25"/>
    <x v="0"/>
    <x v="0"/>
    <x v="0"/>
    <x v="0"/>
    <x v="0"/>
    <x v="0"/>
  </r>
  <r>
    <x v="306"/>
    <x v="0"/>
    <x v="67"/>
    <x v="67"/>
    <x v="67"/>
    <x v="2"/>
    <x v="2"/>
    <x v="0"/>
    <x v="1"/>
    <x v="0"/>
    <x v="0"/>
    <x v="166"/>
    <x v="6"/>
    <x v="6"/>
    <x v="12"/>
    <x v="12"/>
    <x v="6"/>
    <x v="10"/>
    <x v="13"/>
    <x v="0"/>
    <x v="0"/>
    <x v="10"/>
    <x v="13"/>
    <x v="7"/>
    <x v="9"/>
    <x v="0"/>
    <x v="0"/>
    <x v="0"/>
    <x v="9"/>
  </r>
  <r>
    <x v="307"/>
    <x v="0"/>
    <x v="67"/>
    <x v="67"/>
    <x v="67"/>
    <x v="2"/>
    <x v="2"/>
    <x v="0"/>
    <x v="1"/>
    <x v="0"/>
    <x v="0"/>
    <x v="166"/>
    <x v="6"/>
    <x v="6"/>
    <x v="10"/>
    <x v="10"/>
    <x v="6"/>
    <x v="3"/>
    <x v="50"/>
    <x v="0"/>
    <x v="0"/>
    <x v="3"/>
    <x v="50"/>
    <x v="3"/>
    <x v="11"/>
    <x v="0"/>
    <x v="0"/>
    <x v="0"/>
    <x v="29"/>
  </r>
  <r>
    <x v="308"/>
    <x v="0"/>
    <x v="82"/>
    <x v="82"/>
    <x v="82"/>
    <x v="2"/>
    <x v="2"/>
    <x v="0"/>
    <x v="4"/>
    <x v="0"/>
    <x v="0"/>
    <x v="167"/>
    <x v="6"/>
    <x v="6"/>
    <x v="18"/>
    <x v="18"/>
    <x v="9"/>
    <x v="6"/>
    <x v="79"/>
    <x v="0"/>
    <x v="0"/>
    <x v="6"/>
    <x v="79"/>
    <x v="29"/>
    <x v="37"/>
    <x v="9"/>
    <x v="0"/>
    <x v="8"/>
    <x v="41"/>
  </r>
  <r>
    <x v="309"/>
    <x v="0"/>
    <x v="83"/>
    <x v="83"/>
    <x v="83"/>
    <x v="2"/>
    <x v="2"/>
    <x v="0"/>
    <x v="5"/>
    <x v="0"/>
    <x v="0"/>
    <x v="168"/>
    <x v="6"/>
    <x v="6"/>
    <x v="28"/>
    <x v="28"/>
    <x v="14"/>
    <x v="5"/>
    <x v="89"/>
    <x v="0"/>
    <x v="0"/>
    <x v="5"/>
    <x v="89"/>
    <x v="0"/>
    <x v="0"/>
    <x v="0"/>
    <x v="0"/>
    <x v="0"/>
    <x v="0"/>
  </r>
  <r>
    <x v="310"/>
    <x v="0"/>
    <x v="83"/>
    <x v="83"/>
    <x v="83"/>
    <x v="2"/>
    <x v="2"/>
    <x v="0"/>
    <x v="5"/>
    <x v="0"/>
    <x v="0"/>
    <x v="168"/>
    <x v="6"/>
    <x v="6"/>
    <x v="26"/>
    <x v="26"/>
    <x v="12"/>
    <x v="8"/>
    <x v="99"/>
    <x v="0"/>
    <x v="0"/>
    <x v="8"/>
    <x v="99"/>
    <x v="0"/>
    <x v="0"/>
    <x v="0"/>
    <x v="0"/>
    <x v="0"/>
    <x v="0"/>
  </r>
  <r>
    <x v="311"/>
    <x v="0"/>
    <x v="84"/>
    <x v="84"/>
    <x v="84"/>
    <x v="13"/>
    <x v="3"/>
    <x v="0"/>
    <x v="0"/>
    <x v="0"/>
    <x v="0"/>
    <x v="169"/>
    <x v="6"/>
    <x v="6"/>
    <x v="14"/>
    <x v="14"/>
    <x v="0"/>
    <x v="0"/>
    <x v="0"/>
    <x v="0"/>
    <x v="0"/>
    <x v="0"/>
    <x v="0"/>
    <x v="2"/>
    <x v="2"/>
    <x v="0"/>
    <x v="0"/>
    <x v="0"/>
    <x v="2"/>
  </r>
  <r>
    <x v="312"/>
    <x v="0"/>
    <x v="66"/>
    <x v="66"/>
    <x v="66"/>
    <x v="13"/>
    <x v="3"/>
    <x v="0"/>
    <x v="2"/>
    <x v="0"/>
    <x v="0"/>
    <x v="170"/>
    <x v="6"/>
    <x v="6"/>
    <x v="49"/>
    <x v="49"/>
    <x v="34"/>
    <x v="0"/>
    <x v="100"/>
    <x v="0"/>
    <x v="0"/>
    <x v="0"/>
    <x v="100"/>
    <x v="0"/>
    <x v="36"/>
    <x v="12"/>
    <x v="0"/>
    <x v="2"/>
    <x v="47"/>
  </r>
  <r>
    <x v="313"/>
    <x v="0"/>
    <x v="66"/>
    <x v="66"/>
    <x v="66"/>
    <x v="13"/>
    <x v="3"/>
    <x v="0"/>
    <x v="5"/>
    <x v="0"/>
    <x v="0"/>
    <x v="170"/>
    <x v="6"/>
    <x v="6"/>
    <x v="27"/>
    <x v="27"/>
    <x v="13"/>
    <x v="11"/>
    <x v="37"/>
    <x v="0"/>
    <x v="0"/>
    <x v="11"/>
    <x v="37"/>
    <x v="0"/>
    <x v="0"/>
    <x v="0"/>
    <x v="0"/>
    <x v="0"/>
    <x v="0"/>
  </r>
  <r>
    <x v="314"/>
    <x v="0"/>
    <x v="28"/>
    <x v="28"/>
    <x v="28"/>
    <x v="8"/>
    <x v="7"/>
    <x v="0"/>
    <x v="0"/>
    <x v="0"/>
    <x v="0"/>
    <x v="171"/>
    <x v="6"/>
    <x v="6"/>
    <x v="7"/>
    <x v="7"/>
    <x v="0"/>
    <x v="0"/>
    <x v="0"/>
    <x v="0"/>
    <x v="0"/>
    <x v="0"/>
    <x v="0"/>
    <x v="0"/>
    <x v="0"/>
    <x v="0"/>
    <x v="0"/>
    <x v="0"/>
    <x v="0"/>
  </r>
  <r>
    <x v="315"/>
    <x v="0"/>
    <x v="28"/>
    <x v="28"/>
    <x v="28"/>
    <x v="8"/>
    <x v="7"/>
    <x v="0"/>
    <x v="1"/>
    <x v="0"/>
    <x v="0"/>
    <x v="171"/>
    <x v="6"/>
    <x v="6"/>
    <x v="10"/>
    <x v="10"/>
    <x v="6"/>
    <x v="3"/>
    <x v="50"/>
    <x v="0"/>
    <x v="0"/>
    <x v="3"/>
    <x v="50"/>
    <x v="3"/>
    <x v="11"/>
    <x v="0"/>
    <x v="0"/>
    <x v="0"/>
    <x v="29"/>
  </r>
  <r>
    <x v="316"/>
    <x v="0"/>
    <x v="72"/>
    <x v="72"/>
    <x v="72"/>
    <x v="15"/>
    <x v="4"/>
    <x v="1"/>
    <x v="0"/>
    <x v="0"/>
    <x v="2"/>
    <x v="172"/>
    <x v="6"/>
    <x v="6"/>
    <x v="51"/>
    <x v="51"/>
    <x v="0"/>
    <x v="0"/>
    <x v="0"/>
    <x v="0"/>
    <x v="0"/>
    <x v="0"/>
    <x v="0"/>
    <x v="0"/>
    <x v="0"/>
    <x v="0"/>
    <x v="0"/>
    <x v="0"/>
    <x v="0"/>
  </r>
  <r>
    <x v="317"/>
    <x v="0"/>
    <x v="72"/>
    <x v="72"/>
    <x v="72"/>
    <x v="15"/>
    <x v="4"/>
    <x v="1"/>
    <x v="0"/>
    <x v="0"/>
    <x v="2"/>
    <x v="172"/>
    <x v="6"/>
    <x v="6"/>
    <x v="37"/>
    <x v="37"/>
    <x v="0"/>
    <x v="13"/>
    <x v="19"/>
    <x v="0"/>
    <x v="0"/>
    <x v="13"/>
    <x v="19"/>
    <x v="0"/>
    <x v="0"/>
    <x v="0"/>
    <x v="0"/>
    <x v="0"/>
    <x v="0"/>
  </r>
  <r>
    <x v="318"/>
    <x v="0"/>
    <x v="72"/>
    <x v="72"/>
    <x v="72"/>
    <x v="15"/>
    <x v="4"/>
    <x v="1"/>
    <x v="1"/>
    <x v="0"/>
    <x v="2"/>
    <x v="173"/>
    <x v="6"/>
    <x v="6"/>
    <x v="10"/>
    <x v="10"/>
    <x v="6"/>
    <x v="3"/>
    <x v="50"/>
    <x v="0"/>
    <x v="0"/>
    <x v="3"/>
    <x v="50"/>
    <x v="3"/>
    <x v="11"/>
    <x v="0"/>
    <x v="0"/>
    <x v="0"/>
    <x v="29"/>
  </r>
  <r>
    <x v="319"/>
    <x v="0"/>
    <x v="72"/>
    <x v="72"/>
    <x v="72"/>
    <x v="15"/>
    <x v="4"/>
    <x v="1"/>
    <x v="1"/>
    <x v="0"/>
    <x v="2"/>
    <x v="174"/>
    <x v="6"/>
    <x v="6"/>
    <x v="10"/>
    <x v="10"/>
    <x v="6"/>
    <x v="11"/>
    <x v="14"/>
    <x v="0"/>
    <x v="0"/>
    <x v="11"/>
    <x v="14"/>
    <x v="11"/>
    <x v="26"/>
    <x v="0"/>
    <x v="0"/>
    <x v="0"/>
    <x v="33"/>
  </r>
  <r>
    <x v="320"/>
    <x v="0"/>
    <x v="85"/>
    <x v="85"/>
    <x v="85"/>
    <x v="7"/>
    <x v="6"/>
    <x v="2"/>
    <x v="0"/>
    <x v="0"/>
    <x v="1"/>
    <x v="175"/>
    <x v="6"/>
    <x v="6"/>
    <x v="21"/>
    <x v="21"/>
    <x v="4"/>
    <x v="6"/>
    <x v="10"/>
    <x v="0"/>
    <x v="0"/>
    <x v="6"/>
    <x v="10"/>
    <x v="0"/>
    <x v="0"/>
    <x v="0"/>
    <x v="0"/>
    <x v="0"/>
    <x v="0"/>
  </r>
  <r>
    <x v="321"/>
    <x v="0"/>
    <x v="86"/>
    <x v="86"/>
    <x v="86"/>
    <x v="1"/>
    <x v="1"/>
    <x v="1"/>
    <x v="0"/>
    <x v="0"/>
    <x v="1"/>
    <x v="176"/>
    <x v="6"/>
    <x v="6"/>
    <x v="1"/>
    <x v="1"/>
    <x v="0"/>
    <x v="0"/>
    <x v="0"/>
    <x v="0"/>
    <x v="0"/>
    <x v="0"/>
    <x v="0"/>
    <x v="2"/>
    <x v="2"/>
    <x v="0"/>
    <x v="0"/>
    <x v="0"/>
    <x v="2"/>
  </r>
  <r>
    <x v="322"/>
    <x v="0"/>
    <x v="31"/>
    <x v="31"/>
    <x v="31"/>
    <x v="12"/>
    <x v="1"/>
    <x v="1"/>
    <x v="0"/>
    <x v="0"/>
    <x v="1"/>
    <x v="177"/>
    <x v="6"/>
    <x v="6"/>
    <x v="1"/>
    <x v="1"/>
    <x v="0"/>
    <x v="11"/>
    <x v="21"/>
    <x v="0"/>
    <x v="0"/>
    <x v="11"/>
    <x v="21"/>
    <x v="11"/>
    <x v="12"/>
    <x v="0"/>
    <x v="0"/>
    <x v="0"/>
    <x v="13"/>
  </r>
  <r>
    <x v="323"/>
    <x v="0"/>
    <x v="59"/>
    <x v="59"/>
    <x v="59"/>
    <x v="5"/>
    <x v="0"/>
    <x v="0"/>
    <x v="1"/>
    <x v="0"/>
    <x v="0"/>
    <x v="178"/>
    <x v="6"/>
    <x v="6"/>
    <x v="3"/>
    <x v="3"/>
    <x v="1"/>
    <x v="32"/>
    <x v="101"/>
    <x v="0"/>
    <x v="0"/>
    <x v="32"/>
    <x v="101"/>
    <x v="0"/>
    <x v="0"/>
    <x v="0"/>
    <x v="0"/>
    <x v="0"/>
    <x v="0"/>
  </r>
  <r>
    <x v="324"/>
    <x v="0"/>
    <x v="80"/>
    <x v="80"/>
    <x v="80"/>
    <x v="17"/>
    <x v="2"/>
    <x v="0"/>
    <x v="1"/>
    <x v="0"/>
    <x v="0"/>
    <x v="179"/>
    <x v="6"/>
    <x v="6"/>
    <x v="10"/>
    <x v="10"/>
    <x v="6"/>
    <x v="3"/>
    <x v="50"/>
    <x v="0"/>
    <x v="0"/>
    <x v="3"/>
    <x v="50"/>
    <x v="3"/>
    <x v="11"/>
    <x v="0"/>
    <x v="0"/>
    <x v="0"/>
    <x v="29"/>
  </r>
  <r>
    <x v="325"/>
    <x v="0"/>
    <x v="83"/>
    <x v="83"/>
    <x v="83"/>
    <x v="2"/>
    <x v="2"/>
    <x v="0"/>
    <x v="3"/>
    <x v="0"/>
    <x v="0"/>
    <x v="180"/>
    <x v="6"/>
    <x v="6"/>
    <x v="8"/>
    <x v="8"/>
    <x v="35"/>
    <x v="29"/>
    <x v="102"/>
    <x v="0"/>
    <x v="0"/>
    <x v="29"/>
    <x v="102"/>
    <x v="0"/>
    <x v="0"/>
    <x v="0"/>
    <x v="0"/>
    <x v="0"/>
    <x v="0"/>
  </r>
  <r>
    <x v="326"/>
    <x v="0"/>
    <x v="62"/>
    <x v="62"/>
    <x v="62"/>
    <x v="0"/>
    <x v="0"/>
    <x v="0"/>
    <x v="1"/>
    <x v="0"/>
    <x v="0"/>
    <x v="181"/>
    <x v="7"/>
    <x v="7"/>
    <x v="39"/>
    <x v="39"/>
    <x v="6"/>
    <x v="17"/>
    <x v="29"/>
    <x v="0"/>
    <x v="0"/>
    <x v="17"/>
    <x v="29"/>
    <x v="14"/>
    <x v="17"/>
    <x v="0"/>
    <x v="0"/>
    <x v="0"/>
    <x v="18"/>
  </r>
  <r>
    <x v="327"/>
    <x v="0"/>
    <x v="48"/>
    <x v="48"/>
    <x v="48"/>
    <x v="13"/>
    <x v="3"/>
    <x v="0"/>
    <x v="0"/>
    <x v="0"/>
    <x v="0"/>
    <x v="182"/>
    <x v="7"/>
    <x v="7"/>
    <x v="14"/>
    <x v="14"/>
    <x v="0"/>
    <x v="6"/>
    <x v="6"/>
    <x v="0"/>
    <x v="0"/>
    <x v="6"/>
    <x v="6"/>
    <x v="4"/>
    <x v="5"/>
    <x v="0"/>
    <x v="0"/>
    <x v="0"/>
    <x v="5"/>
  </r>
  <r>
    <x v="328"/>
    <x v="0"/>
    <x v="48"/>
    <x v="48"/>
    <x v="48"/>
    <x v="13"/>
    <x v="3"/>
    <x v="0"/>
    <x v="1"/>
    <x v="0"/>
    <x v="0"/>
    <x v="182"/>
    <x v="7"/>
    <x v="7"/>
    <x v="10"/>
    <x v="10"/>
    <x v="6"/>
    <x v="3"/>
    <x v="50"/>
    <x v="0"/>
    <x v="0"/>
    <x v="3"/>
    <x v="50"/>
    <x v="3"/>
    <x v="11"/>
    <x v="0"/>
    <x v="0"/>
    <x v="0"/>
    <x v="29"/>
  </r>
  <r>
    <x v="329"/>
    <x v="0"/>
    <x v="48"/>
    <x v="48"/>
    <x v="48"/>
    <x v="13"/>
    <x v="3"/>
    <x v="0"/>
    <x v="6"/>
    <x v="0"/>
    <x v="0"/>
    <x v="182"/>
    <x v="7"/>
    <x v="7"/>
    <x v="30"/>
    <x v="30"/>
    <x v="16"/>
    <x v="5"/>
    <x v="42"/>
    <x v="0"/>
    <x v="0"/>
    <x v="5"/>
    <x v="42"/>
    <x v="0"/>
    <x v="0"/>
    <x v="0"/>
    <x v="0"/>
    <x v="0"/>
    <x v="0"/>
  </r>
  <r>
    <x v="330"/>
    <x v="0"/>
    <x v="48"/>
    <x v="48"/>
    <x v="48"/>
    <x v="13"/>
    <x v="3"/>
    <x v="0"/>
    <x v="0"/>
    <x v="0"/>
    <x v="0"/>
    <x v="182"/>
    <x v="7"/>
    <x v="7"/>
    <x v="1"/>
    <x v="1"/>
    <x v="0"/>
    <x v="26"/>
    <x v="57"/>
    <x v="0"/>
    <x v="0"/>
    <x v="26"/>
    <x v="57"/>
    <x v="24"/>
    <x v="29"/>
    <x v="0"/>
    <x v="0"/>
    <x v="0"/>
    <x v="31"/>
  </r>
  <r>
    <x v="331"/>
    <x v="0"/>
    <x v="84"/>
    <x v="84"/>
    <x v="84"/>
    <x v="13"/>
    <x v="3"/>
    <x v="0"/>
    <x v="0"/>
    <x v="0"/>
    <x v="0"/>
    <x v="183"/>
    <x v="7"/>
    <x v="7"/>
    <x v="14"/>
    <x v="14"/>
    <x v="0"/>
    <x v="0"/>
    <x v="0"/>
    <x v="0"/>
    <x v="0"/>
    <x v="0"/>
    <x v="0"/>
    <x v="2"/>
    <x v="2"/>
    <x v="0"/>
    <x v="0"/>
    <x v="0"/>
    <x v="2"/>
  </r>
  <r>
    <x v="332"/>
    <x v="0"/>
    <x v="84"/>
    <x v="84"/>
    <x v="84"/>
    <x v="13"/>
    <x v="3"/>
    <x v="0"/>
    <x v="1"/>
    <x v="0"/>
    <x v="0"/>
    <x v="183"/>
    <x v="7"/>
    <x v="7"/>
    <x v="10"/>
    <x v="10"/>
    <x v="6"/>
    <x v="35"/>
    <x v="103"/>
    <x v="0"/>
    <x v="0"/>
    <x v="35"/>
    <x v="103"/>
    <x v="33"/>
    <x v="43"/>
    <x v="0"/>
    <x v="0"/>
    <x v="0"/>
    <x v="48"/>
  </r>
  <r>
    <x v="333"/>
    <x v="0"/>
    <x v="45"/>
    <x v="45"/>
    <x v="45"/>
    <x v="13"/>
    <x v="3"/>
    <x v="0"/>
    <x v="0"/>
    <x v="0"/>
    <x v="0"/>
    <x v="184"/>
    <x v="7"/>
    <x v="7"/>
    <x v="1"/>
    <x v="1"/>
    <x v="0"/>
    <x v="1"/>
    <x v="1"/>
    <x v="0"/>
    <x v="0"/>
    <x v="1"/>
    <x v="1"/>
    <x v="1"/>
    <x v="1"/>
    <x v="0"/>
    <x v="0"/>
    <x v="0"/>
    <x v="1"/>
  </r>
  <r>
    <x v="334"/>
    <x v="0"/>
    <x v="21"/>
    <x v="21"/>
    <x v="21"/>
    <x v="11"/>
    <x v="2"/>
    <x v="0"/>
    <x v="1"/>
    <x v="0"/>
    <x v="0"/>
    <x v="185"/>
    <x v="7"/>
    <x v="7"/>
    <x v="10"/>
    <x v="10"/>
    <x v="6"/>
    <x v="11"/>
    <x v="14"/>
    <x v="0"/>
    <x v="0"/>
    <x v="11"/>
    <x v="14"/>
    <x v="11"/>
    <x v="26"/>
    <x v="0"/>
    <x v="0"/>
    <x v="0"/>
    <x v="33"/>
  </r>
  <r>
    <x v="335"/>
    <x v="0"/>
    <x v="21"/>
    <x v="21"/>
    <x v="21"/>
    <x v="11"/>
    <x v="2"/>
    <x v="0"/>
    <x v="0"/>
    <x v="0"/>
    <x v="0"/>
    <x v="185"/>
    <x v="7"/>
    <x v="7"/>
    <x v="6"/>
    <x v="6"/>
    <x v="0"/>
    <x v="6"/>
    <x v="6"/>
    <x v="0"/>
    <x v="0"/>
    <x v="6"/>
    <x v="6"/>
    <x v="4"/>
    <x v="5"/>
    <x v="0"/>
    <x v="0"/>
    <x v="0"/>
    <x v="5"/>
  </r>
  <r>
    <x v="336"/>
    <x v="0"/>
    <x v="25"/>
    <x v="25"/>
    <x v="25"/>
    <x v="3"/>
    <x v="3"/>
    <x v="0"/>
    <x v="0"/>
    <x v="0"/>
    <x v="0"/>
    <x v="186"/>
    <x v="7"/>
    <x v="7"/>
    <x v="0"/>
    <x v="0"/>
    <x v="0"/>
    <x v="0"/>
    <x v="0"/>
    <x v="0"/>
    <x v="0"/>
    <x v="0"/>
    <x v="0"/>
    <x v="0"/>
    <x v="0"/>
    <x v="0"/>
    <x v="0"/>
    <x v="0"/>
    <x v="0"/>
  </r>
  <r>
    <x v="337"/>
    <x v="0"/>
    <x v="25"/>
    <x v="25"/>
    <x v="25"/>
    <x v="3"/>
    <x v="3"/>
    <x v="0"/>
    <x v="0"/>
    <x v="0"/>
    <x v="0"/>
    <x v="186"/>
    <x v="7"/>
    <x v="7"/>
    <x v="2"/>
    <x v="2"/>
    <x v="0"/>
    <x v="6"/>
    <x v="6"/>
    <x v="0"/>
    <x v="0"/>
    <x v="6"/>
    <x v="6"/>
    <x v="0"/>
    <x v="0"/>
    <x v="0"/>
    <x v="0"/>
    <x v="0"/>
    <x v="0"/>
  </r>
  <r>
    <x v="338"/>
    <x v="0"/>
    <x v="25"/>
    <x v="25"/>
    <x v="25"/>
    <x v="3"/>
    <x v="3"/>
    <x v="0"/>
    <x v="0"/>
    <x v="0"/>
    <x v="0"/>
    <x v="186"/>
    <x v="7"/>
    <x v="7"/>
    <x v="1"/>
    <x v="1"/>
    <x v="0"/>
    <x v="3"/>
    <x v="3"/>
    <x v="0"/>
    <x v="0"/>
    <x v="3"/>
    <x v="3"/>
    <x v="3"/>
    <x v="3"/>
    <x v="0"/>
    <x v="0"/>
    <x v="0"/>
    <x v="3"/>
  </r>
  <r>
    <x v="339"/>
    <x v="0"/>
    <x v="87"/>
    <x v="87"/>
    <x v="87"/>
    <x v="3"/>
    <x v="3"/>
    <x v="0"/>
    <x v="6"/>
    <x v="0"/>
    <x v="0"/>
    <x v="187"/>
    <x v="7"/>
    <x v="7"/>
    <x v="33"/>
    <x v="33"/>
    <x v="20"/>
    <x v="8"/>
    <x v="52"/>
    <x v="0"/>
    <x v="0"/>
    <x v="8"/>
    <x v="52"/>
    <x v="0"/>
    <x v="0"/>
    <x v="0"/>
    <x v="0"/>
    <x v="0"/>
    <x v="0"/>
  </r>
  <r>
    <x v="340"/>
    <x v="0"/>
    <x v="88"/>
    <x v="88"/>
    <x v="88"/>
    <x v="3"/>
    <x v="3"/>
    <x v="0"/>
    <x v="1"/>
    <x v="0"/>
    <x v="0"/>
    <x v="188"/>
    <x v="7"/>
    <x v="7"/>
    <x v="10"/>
    <x v="10"/>
    <x v="6"/>
    <x v="11"/>
    <x v="14"/>
    <x v="0"/>
    <x v="0"/>
    <x v="11"/>
    <x v="14"/>
    <x v="11"/>
    <x v="26"/>
    <x v="0"/>
    <x v="0"/>
    <x v="0"/>
    <x v="33"/>
  </r>
  <r>
    <x v="341"/>
    <x v="0"/>
    <x v="88"/>
    <x v="88"/>
    <x v="88"/>
    <x v="3"/>
    <x v="3"/>
    <x v="0"/>
    <x v="0"/>
    <x v="0"/>
    <x v="0"/>
    <x v="188"/>
    <x v="7"/>
    <x v="7"/>
    <x v="1"/>
    <x v="1"/>
    <x v="0"/>
    <x v="10"/>
    <x v="25"/>
    <x v="0"/>
    <x v="0"/>
    <x v="10"/>
    <x v="25"/>
    <x v="7"/>
    <x v="15"/>
    <x v="0"/>
    <x v="0"/>
    <x v="0"/>
    <x v="16"/>
  </r>
  <r>
    <x v="342"/>
    <x v="0"/>
    <x v="23"/>
    <x v="23"/>
    <x v="23"/>
    <x v="3"/>
    <x v="3"/>
    <x v="0"/>
    <x v="0"/>
    <x v="0"/>
    <x v="0"/>
    <x v="189"/>
    <x v="7"/>
    <x v="7"/>
    <x v="7"/>
    <x v="7"/>
    <x v="0"/>
    <x v="3"/>
    <x v="3"/>
    <x v="0"/>
    <x v="0"/>
    <x v="3"/>
    <x v="3"/>
    <x v="0"/>
    <x v="0"/>
    <x v="0"/>
    <x v="0"/>
    <x v="0"/>
    <x v="0"/>
  </r>
  <r>
    <x v="343"/>
    <x v="0"/>
    <x v="23"/>
    <x v="23"/>
    <x v="23"/>
    <x v="3"/>
    <x v="3"/>
    <x v="0"/>
    <x v="0"/>
    <x v="0"/>
    <x v="0"/>
    <x v="189"/>
    <x v="7"/>
    <x v="7"/>
    <x v="21"/>
    <x v="21"/>
    <x v="0"/>
    <x v="0"/>
    <x v="0"/>
    <x v="0"/>
    <x v="0"/>
    <x v="0"/>
    <x v="0"/>
    <x v="0"/>
    <x v="0"/>
    <x v="0"/>
    <x v="0"/>
    <x v="0"/>
    <x v="0"/>
  </r>
  <r>
    <x v="344"/>
    <x v="0"/>
    <x v="23"/>
    <x v="23"/>
    <x v="23"/>
    <x v="3"/>
    <x v="3"/>
    <x v="0"/>
    <x v="0"/>
    <x v="0"/>
    <x v="0"/>
    <x v="189"/>
    <x v="7"/>
    <x v="7"/>
    <x v="4"/>
    <x v="4"/>
    <x v="0"/>
    <x v="0"/>
    <x v="0"/>
    <x v="0"/>
    <x v="0"/>
    <x v="0"/>
    <x v="0"/>
    <x v="2"/>
    <x v="2"/>
    <x v="0"/>
    <x v="0"/>
    <x v="0"/>
    <x v="2"/>
  </r>
  <r>
    <x v="345"/>
    <x v="0"/>
    <x v="23"/>
    <x v="23"/>
    <x v="23"/>
    <x v="3"/>
    <x v="3"/>
    <x v="0"/>
    <x v="0"/>
    <x v="0"/>
    <x v="0"/>
    <x v="189"/>
    <x v="7"/>
    <x v="7"/>
    <x v="6"/>
    <x v="6"/>
    <x v="0"/>
    <x v="1"/>
    <x v="1"/>
    <x v="0"/>
    <x v="0"/>
    <x v="1"/>
    <x v="1"/>
    <x v="1"/>
    <x v="1"/>
    <x v="0"/>
    <x v="0"/>
    <x v="0"/>
    <x v="1"/>
  </r>
  <r>
    <x v="346"/>
    <x v="0"/>
    <x v="23"/>
    <x v="23"/>
    <x v="23"/>
    <x v="3"/>
    <x v="3"/>
    <x v="0"/>
    <x v="0"/>
    <x v="0"/>
    <x v="0"/>
    <x v="189"/>
    <x v="7"/>
    <x v="7"/>
    <x v="2"/>
    <x v="2"/>
    <x v="0"/>
    <x v="6"/>
    <x v="6"/>
    <x v="0"/>
    <x v="0"/>
    <x v="6"/>
    <x v="6"/>
    <x v="0"/>
    <x v="0"/>
    <x v="0"/>
    <x v="0"/>
    <x v="0"/>
    <x v="0"/>
  </r>
  <r>
    <x v="347"/>
    <x v="0"/>
    <x v="43"/>
    <x v="43"/>
    <x v="43"/>
    <x v="7"/>
    <x v="6"/>
    <x v="2"/>
    <x v="0"/>
    <x v="0"/>
    <x v="1"/>
    <x v="190"/>
    <x v="7"/>
    <x v="7"/>
    <x v="40"/>
    <x v="40"/>
    <x v="25"/>
    <x v="0"/>
    <x v="77"/>
    <x v="0"/>
    <x v="0"/>
    <x v="0"/>
    <x v="77"/>
    <x v="0"/>
    <x v="0"/>
    <x v="0"/>
    <x v="0"/>
    <x v="0"/>
    <x v="0"/>
  </r>
  <r>
    <x v="348"/>
    <x v="0"/>
    <x v="43"/>
    <x v="43"/>
    <x v="43"/>
    <x v="7"/>
    <x v="6"/>
    <x v="2"/>
    <x v="0"/>
    <x v="0"/>
    <x v="1"/>
    <x v="190"/>
    <x v="7"/>
    <x v="7"/>
    <x v="22"/>
    <x v="22"/>
    <x v="25"/>
    <x v="0"/>
    <x v="77"/>
    <x v="0"/>
    <x v="0"/>
    <x v="0"/>
    <x v="77"/>
    <x v="0"/>
    <x v="0"/>
    <x v="0"/>
    <x v="0"/>
    <x v="0"/>
    <x v="0"/>
  </r>
  <r>
    <x v="349"/>
    <x v="0"/>
    <x v="43"/>
    <x v="43"/>
    <x v="43"/>
    <x v="7"/>
    <x v="6"/>
    <x v="2"/>
    <x v="1"/>
    <x v="0"/>
    <x v="1"/>
    <x v="190"/>
    <x v="7"/>
    <x v="7"/>
    <x v="13"/>
    <x v="13"/>
    <x v="19"/>
    <x v="3"/>
    <x v="104"/>
    <x v="0"/>
    <x v="0"/>
    <x v="3"/>
    <x v="104"/>
    <x v="0"/>
    <x v="0"/>
    <x v="0"/>
    <x v="0"/>
    <x v="0"/>
    <x v="0"/>
  </r>
  <r>
    <x v="350"/>
    <x v="0"/>
    <x v="89"/>
    <x v="89"/>
    <x v="89"/>
    <x v="14"/>
    <x v="7"/>
    <x v="0"/>
    <x v="0"/>
    <x v="0"/>
    <x v="4"/>
    <x v="191"/>
    <x v="7"/>
    <x v="7"/>
    <x v="21"/>
    <x v="21"/>
    <x v="0"/>
    <x v="0"/>
    <x v="0"/>
    <x v="0"/>
    <x v="0"/>
    <x v="0"/>
    <x v="0"/>
    <x v="0"/>
    <x v="0"/>
    <x v="0"/>
    <x v="0"/>
    <x v="0"/>
    <x v="0"/>
  </r>
  <r>
    <x v="351"/>
    <x v="0"/>
    <x v="89"/>
    <x v="89"/>
    <x v="89"/>
    <x v="14"/>
    <x v="7"/>
    <x v="0"/>
    <x v="0"/>
    <x v="0"/>
    <x v="4"/>
    <x v="191"/>
    <x v="7"/>
    <x v="7"/>
    <x v="4"/>
    <x v="4"/>
    <x v="0"/>
    <x v="0"/>
    <x v="0"/>
    <x v="0"/>
    <x v="0"/>
    <x v="0"/>
    <x v="0"/>
    <x v="2"/>
    <x v="2"/>
    <x v="0"/>
    <x v="0"/>
    <x v="0"/>
    <x v="2"/>
  </r>
  <r>
    <x v="352"/>
    <x v="0"/>
    <x v="63"/>
    <x v="63"/>
    <x v="63"/>
    <x v="14"/>
    <x v="7"/>
    <x v="0"/>
    <x v="0"/>
    <x v="0"/>
    <x v="4"/>
    <x v="192"/>
    <x v="7"/>
    <x v="7"/>
    <x v="1"/>
    <x v="1"/>
    <x v="0"/>
    <x v="6"/>
    <x v="6"/>
    <x v="0"/>
    <x v="0"/>
    <x v="6"/>
    <x v="6"/>
    <x v="4"/>
    <x v="5"/>
    <x v="0"/>
    <x v="0"/>
    <x v="0"/>
    <x v="5"/>
  </r>
  <r>
    <x v="353"/>
    <x v="0"/>
    <x v="63"/>
    <x v="63"/>
    <x v="63"/>
    <x v="14"/>
    <x v="7"/>
    <x v="0"/>
    <x v="0"/>
    <x v="0"/>
    <x v="4"/>
    <x v="192"/>
    <x v="7"/>
    <x v="7"/>
    <x v="40"/>
    <x v="40"/>
    <x v="0"/>
    <x v="6"/>
    <x v="6"/>
    <x v="0"/>
    <x v="0"/>
    <x v="6"/>
    <x v="6"/>
    <x v="0"/>
    <x v="0"/>
    <x v="0"/>
    <x v="0"/>
    <x v="0"/>
    <x v="0"/>
  </r>
  <r>
    <x v="354"/>
    <x v="0"/>
    <x v="34"/>
    <x v="34"/>
    <x v="34"/>
    <x v="14"/>
    <x v="7"/>
    <x v="0"/>
    <x v="0"/>
    <x v="0"/>
    <x v="4"/>
    <x v="193"/>
    <x v="7"/>
    <x v="7"/>
    <x v="7"/>
    <x v="7"/>
    <x v="0"/>
    <x v="0"/>
    <x v="0"/>
    <x v="0"/>
    <x v="0"/>
    <x v="0"/>
    <x v="0"/>
    <x v="0"/>
    <x v="0"/>
    <x v="0"/>
    <x v="0"/>
    <x v="0"/>
    <x v="0"/>
  </r>
  <r>
    <x v="355"/>
    <x v="0"/>
    <x v="34"/>
    <x v="34"/>
    <x v="34"/>
    <x v="14"/>
    <x v="7"/>
    <x v="0"/>
    <x v="0"/>
    <x v="0"/>
    <x v="4"/>
    <x v="193"/>
    <x v="7"/>
    <x v="7"/>
    <x v="16"/>
    <x v="16"/>
    <x v="0"/>
    <x v="0"/>
    <x v="0"/>
    <x v="0"/>
    <x v="0"/>
    <x v="0"/>
    <x v="0"/>
    <x v="0"/>
    <x v="0"/>
    <x v="0"/>
    <x v="0"/>
    <x v="0"/>
    <x v="0"/>
  </r>
  <r>
    <x v="356"/>
    <x v="0"/>
    <x v="34"/>
    <x v="34"/>
    <x v="34"/>
    <x v="14"/>
    <x v="7"/>
    <x v="0"/>
    <x v="0"/>
    <x v="0"/>
    <x v="4"/>
    <x v="193"/>
    <x v="7"/>
    <x v="7"/>
    <x v="1"/>
    <x v="1"/>
    <x v="0"/>
    <x v="0"/>
    <x v="0"/>
    <x v="0"/>
    <x v="0"/>
    <x v="0"/>
    <x v="0"/>
    <x v="2"/>
    <x v="2"/>
    <x v="0"/>
    <x v="0"/>
    <x v="0"/>
    <x v="2"/>
  </r>
  <r>
    <x v="357"/>
    <x v="0"/>
    <x v="73"/>
    <x v="73"/>
    <x v="73"/>
    <x v="7"/>
    <x v="6"/>
    <x v="2"/>
    <x v="0"/>
    <x v="0"/>
    <x v="1"/>
    <x v="194"/>
    <x v="7"/>
    <x v="7"/>
    <x v="40"/>
    <x v="40"/>
    <x v="4"/>
    <x v="8"/>
    <x v="105"/>
    <x v="0"/>
    <x v="0"/>
    <x v="8"/>
    <x v="105"/>
    <x v="0"/>
    <x v="0"/>
    <x v="0"/>
    <x v="0"/>
    <x v="0"/>
    <x v="0"/>
  </r>
  <r>
    <x v="358"/>
    <x v="0"/>
    <x v="90"/>
    <x v="90"/>
    <x v="90"/>
    <x v="6"/>
    <x v="5"/>
    <x v="0"/>
    <x v="0"/>
    <x v="0"/>
    <x v="0"/>
    <x v="195"/>
    <x v="7"/>
    <x v="7"/>
    <x v="1"/>
    <x v="1"/>
    <x v="0"/>
    <x v="0"/>
    <x v="0"/>
    <x v="0"/>
    <x v="0"/>
    <x v="0"/>
    <x v="0"/>
    <x v="2"/>
    <x v="2"/>
    <x v="0"/>
    <x v="0"/>
    <x v="0"/>
    <x v="2"/>
  </r>
  <r>
    <x v="359"/>
    <x v="0"/>
    <x v="28"/>
    <x v="28"/>
    <x v="28"/>
    <x v="8"/>
    <x v="7"/>
    <x v="0"/>
    <x v="0"/>
    <x v="0"/>
    <x v="0"/>
    <x v="196"/>
    <x v="7"/>
    <x v="7"/>
    <x v="7"/>
    <x v="7"/>
    <x v="0"/>
    <x v="6"/>
    <x v="6"/>
    <x v="0"/>
    <x v="0"/>
    <x v="6"/>
    <x v="6"/>
    <x v="0"/>
    <x v="0"/>
    <x v="0"/>
    <x v="0"/>
    <x v="0"/>
    <x v="0"/>
  </r>
  <r>
    <x v="360"/>
    <x v="0"/>
    <x v="28"/>
    <x v="28"/>
    <x v="28"/>
    <x v="8"/>
    <x v="7"/>
    <x v="0"/>
    <x v="6"/>
    <x v="0"/>
    <x v="0"/>
    <x v="196"/>
    <x v="7"/>
    <x v="7"/>
    <x v="33"/>
    <x v="33"/>
    <x v="20"/>
    <x v="8"/>
    <x v="52"/>
    <x v="0"/>
    <x v="0"/>
    <x v="8"/>
    <x v="52"/>
    <x v="0"/>
    <x v="0"/>
    <x v="0"/>
    <x v="0"/>
    <x v="0"/>
    <x v="0"/>
  </r>
  <r>
    <x v="361"/>
    <x v="0"/>
    <x v="28"/>
    <x v="28"/>
    <x v="28"/>
    <x v="8"/>
    <x v="7"/>
    <x v="0"/>
    <x v="5"/>
    <x v="0"/>
    <x v="0"/>
    <x v="196"/>
    <x v="7"/>
    <x v="7"/>
    <x v="26"/>
    <x v="26"/>
    <x v="12"/>
    <x v="5"/>
    <x v="71"/>
    <x v="0"/>
    <x v="0"/>
    <x v="5"/>
    <x v="71"/>
    <x v="0"/>
    <x v="0"/>
    <x v="0"/>
    <x v="0"/>
    <x v="0"/>
    <x v="0"/>
  </r>
  <r>
    <x v="362"/>
    <x v="0"/>
    <x v="28"/>
    <x v="28"/>
    <x v="28"/>
    <x v="8"/>
    <x v="7"/>
    <x v="0"/>
    <x v="6"/>
    <x v="0"/>
    <x v="0"/>
    <x v="196"/>
    <x v="7"/>
    <x v="7"/>
    <x v="48"/>
    <x v="48"/>
    <x v="30"/>
    <x v="5"/>
    <x v="106"/>
    <x v="0"/>
    <x v="0"/>
    <x v="5"/>
    <x v="106"/>
    <x v="0"/>
    <x v="0"/>
    <x v="0"/>
    <x v="0"/>
    <x v="0"/>
    <x v="0"/>
  </r>
  <r>
    <x v="363"/>
    <x v="0"/>
    <x v="28"/>
    <x v="28"/>
    <x v="28"/>
    <x v="8"/>
    <x v="7"/>
    <x v="0"/>
    <x v="1"/>
    <x v="0"/>
    <x v="0"/>
    <x v="196"/>
    <x v="7"/>
    <x v="7"/>
    <x v="10"/>
    <x v="10"/>
    <x v="6"/>
    <x v="17"/>
    <x v="29"/>
    <x v="0"/>
    <x v="0"/>
    <x v="17"/>
    <x v="29"/>
    <x v="14"/>
    <x v="17"/>
    <x v="0"/>
    <x v="0"/>
    <x v="0"/>
    <x v="18"/>
  </r>
  <r>
    <x v="364"/>
    <x v="0"/>
    <x v="91"/>
    <x v="91"/>
    <x v="91"/>
    <x v="8"/>
    <x v="7"/>
    <x v="0"/>
    <x v="4"/>
    <x v="0"/>
    <x v="0"/>
    <x v="197"/>
    <x v="7"/>
    <x v="7"/>
    <x v="35"/>
    <x v="35"/>
    <x v="21"/>
    <x v="5"/>
    <x v="93"/>
    <x v="0"/>
    <x v="0"/>
    <x v="5"/>
    <x v="93"/>
    <x v="31"/>
    <x v="41"/>
    <x v="11"/>
    <x v="3"/>
    <x v="1"/>
    <x v="45"/>
  </r>
  <r>
    <x v="365"/>
    <x v="0"/>
    <x v="91"/>
    <x v="91"/>
    <x v="91"/>
    <x v="8"/>
    <x v="7"/>
    <x v="0"/>
    <x v="4"/>
    <x v="0"/>
    <x v="0"/>
    <x v="197"/>
    <x v="7"/>
    <x v="7"/>
    <x v="18"/>
    <x v="18"/>
    <x v="9"/>
    <x v="11"/>
    <x v="107"/>
    <x v="0"/>
    <x v="0"/>
    <x v="11"/>
    <x v="107"/>
    <x v="34"/>
    <x v="44"/>
    <x v="13"/>
    <x v="0"/>
    <x v="6"/>
    <x v="49"/>
  </r>
  <r>
    <x v="366"/>
    <x v="0"/>
    <x v="27"/>
    <x v="27"/>
    <x v="27"/>
    <x v="8"/>
    <x v="7"/>
    <x v="0"/>
    <x v="0"/>
    <x v="0"/>
    <x v="0"/>
    <x v="198"/>
    <x v="7"/>
    <x v="7"/>
    <x v="0"/>
    <x v="0"/>
    <x v="0"/>
    <x v="24"/>
    <x v="48"/>
    <x v="0"/>
    <x v="0"/>
    <x v="24"/>
    <x v="48"/>
    <x v="0"/>
    <x v="0"/>
    <x v="0"/>
    <x v="0"/>
    <x v="0"/>
    <x v="0"/>
  </r>
  <r>
    <x v="367"/>
    <x v="0"/>
    <x v="10"/>
    <x v="10"/>
    <x v="10"/>
    <x v="4"/>
    <x v="4"/>
    <x v="1"/>
    <x v="2"/>
    <x v="0"/>
    <x v="2"/>
    <x v="199"/>
    <x v="7"/>
    <x v="7"/>
    <x v="41"/>
    <x v="41"/>
    <x v="36"/>
    <x v="8"/>
    <x v="108"/>
    <x v="0"/>
    <x v="0"/>
    <x v="8"/>
    <x v="108"/>
    <x v="0"/>
    <x v="0"/>
    <x v="0"/>
    <x v="0"/>
    <x v="0"/>
    <x v="0"/>
  </r>
  <r>
    <x v="368"/>
    <x v="0"/>
    <x v="92"/>
    <x v="92"/>
    <x v="92"/>
    <x v="1"/>
    <x v="1"/>
    <x v="1"/>
    <x v="0"/>
    <x v="0"/>
    <x v="1"/>
    <x v="200"/>
    <x v="7"/>
    <x v="7"/>
    <x v="52"/>
    <x v="52"/>
    <x v="0"/>
    <x v="14"/>
    <x v="20"/>
    <x v="0"/>
    <x v="0"/>
    <x v="14"/>
    <x v="20"/>
    <x v="0"/>
    <x v="0"/>
    <x v="0"/>
    <x v="0"/>
    <x v="0"/>
    <x v="0"/>
  </r>
  <r>
    <x v="369"/>
    <x v="0"/>
    <x v="57"/>
    <x v="57"/>
    <x v="57"/>
    <x v="5"/>
    <x v="0"/>
    <x v="0"/>
    <x v="1"/>
    <x v="0"/>
    <x v="0"/>
    <x v="201"/>
    <x v="7"/>
    <x v="7"/>
    <x v="10"/>
    <x v="10"/>
    <x v="6"/>
    <x v="17"/>
    <x v="29"/>
    <x v="0"/>
    <x v="0"/>
    <x v="17"/>
    <x v="29"/>
    <x v="14"/>
    <x v="17"/>
    <x v="0"/>
    <x v="0"/>
    <x v="0"/>
    <x v="18"/>
  </r>
  <r>
    <x v="370"/>
    <x v="0"/>
    <x v="73"/>
    <x v="73"/>
    <x v="73"/>
    <x v="7"/>
    <x v="6"/>
    <x v="2"/>
    <x v="0"/>
    <x v="0"/>
    <x v="1"/>
    <x v="202"/>
    <x v="8"/>
    <x v="8"/>
    <x v="1"/>
    <x v="1"/>
    <x v="4"/>
    <x v="24"/>
    <x v="109"/>
    <x v="0"/>
    <x v="0"/>
    <x v="24"/>
    <x v="109"/>
    <x v="0"/>
    <x v="0"/>
    <x v="0"/>
    <x v="0"/>
    <x v="0"/>
    <x v="0"/>
  </r>
  <r>
    <x v="371"/>
    <x v="0"/>
    <x v="45"/>
    <x v="45"/>
    <x v="45"/>
    <x v="13"/>
    <x v="3"/>
    <x v="0"/>
    <x v="0"/>
    <x v="0"/>
    <x v="0"/>
    <x v="203"/>
    <x v="8"/>
    <x v="8"/>
    <x v="1"/>
    <x v="1"/>
    <x v="0"/>
    <x v="1"/>
    <x v="1"/>
    <x v="0"/>
    <x v="0"/>
    <x v="1"/>
    <x v="1"/>
    <x v="1"/>
    <x v="1"/>
    <x v="0"/>
    <x v="0"/>
    <x v="0"/>
    <x v="1"/>
  </r>
  <r>
    <x v="372"/>
    <x v="0"/>
    <x v="84"/>
    <x v="84"/>
    <x v="84"/>
    <x v="13"/>
    <x v="3"/>
    <x v="0"/>
    <x v="1"/>
    <x v="0"/>
    <x v="0"/>
    <x v="204"/>
    <x v="8"/>
    <x v="8"/>
    <x v="10"/>
    <x v="10"/>
    <x v="6"/>
    <x v="19"/>
    <x v="110"/>
    <x v="0"/>
    <x v="0"/>
    <x v="19"/>
    <x v="110"/>
    <x v="18"/>
    <x v="45"/>
    <x v="0"/>
    <x v="0"/>
    <x v="0"/>
    <x v="50"/>
  </r>
  <r>
    <x v="373"/>
    <x v="0"/>
    <x v="48"/>
    <x v="48"/>
    <x v="48"/>
    <x v="13"/>
    <x v="3"/>
    <x v="0"/>
    <x v="5"/>
    <x v="0"/>
    <x v="0"/>
    <x v="205"/>
    <x v="8"/>
    <x v="8"/>
    <x v="27"/>
    <x v="27"/>
    <x v="13"/>
    <x v="0"/>
    <x v="68"/>
    <x v="0"/>
    <x v="0"/>
    <x v="0"/>
    <x v="68"/>
    <x v="0"/>
    <x v="0"/>
    <x v="0"/>
    <x v="0"/>
    <x v="0"/>
    <x v="0"/>
  </r>
  <r>
    <x v="374"/>
    <x v="0"/>
    <x v="48"/>
    <x v="48"/>
    <x v="48"/>
    <x v="13"/>
    <x v="3"/>
    <x v="0"/>
    <x v="5"/>
    <x v="0"/>
    <x v="0"/>
    <x v="205"/>
    <x v="8"/>
    <x v="8"/>
    <x v="26"/>
    <x v="26"/>
    <x v="12"/>
    <x v="5"/>
    <x v="71"/>
    <x v="0"/>
    <x v="0"/>
    <x v="5"/>
    <x v="71"/>
    <x v="0"/>
    <x v="0"/>
    <x v="0"/>
    <x v="0"/>
    <x v="0"/>
    <x v="0"/>
  </r>
  <r>
    <x v="375"/>
    <x v="0"/>
    <x v="34"/>
    <x v="34"/>
    <x v="34"/>
    <x v="14"/>
    <x v="7"/>
    <x v="0"/>
    <x v="0"/>
    <x v="0"/>
    <x v="4"/>
    <x v="206"/>
    <x v="8"/>
    <x v="8"/>
    <x v="0"/>
    <x v="0"/>
    <x v="0"/>
    <x v="0"/>
    <x v="0"/>
    <x v="0"/>
    <x v="0"/>
    <x v="0"/>
    <x v="0"/>
    <x v="0"/>
    <x v="0"/>
    <x v="0"/>
    <x v="0"/>
    <x v="0"/>
    <x v="0"/>
  </r>
  <r>
    <x v="376"/>
    <x v="0"/>
    <x v="34"/>
    <x v="34"/>
    <x v="34"/>
    <x v="14"/>
    <x v="7"/>
    <x v="0"/>
    <x v="0"/>
    <x v="0"/>
    <x v="4"/>
    <x v="206"/>
    <x v="8"/>
    <x v="8"/>
    <x v="1"/>
    <x v="1"/>
    <x v="0"/>
    <x v="26"/>
    <x v="57"/>
    <x v="0"/>
    <x v="0"/>
    <x v="26"/>
    <x v="57"/>
    <x v="24"/>
    <x v="29"/>
    <x v="0"/>
    <x v="0"/>
    <x v="0"/>
    <x v="31"/>
  </r>
  <r>
    <x v="377"/>
    <x v="0"/>
    <x v="34"/>
    <x v="34"/>
    <x v="34"/>
    <x v="14"/>
    <x v="7"/>
    <x v="0"/>
    <x v="0"/>
    <x v="0"/>
    <x v="4"/>
    <x v="206"/>
    <x v="8"/>
    <x v="8"/>
    <x v="7"/>
    <x v="7"/>
    <x v="0"/>
    <x v="36"/>
    <x v="111"/>
    <x v="0"/>
    <x v="0"/>
    <x v="36"/>
    <x v="111"/>
    <x v="0"/>
    <x v="0"/>
    <x v="0"/>
    <x v="0"/>
    <x v="0"/>
    <x v="0"/>
  </r>
  <r>
    <x v="378"/>
    <x v="0"/>
    <x v="34"/>
    <x v="34"/>
    <x v="34"/>
    <x v="14"/>
    <x v="7"/>
    <x v="0"/>
    <x v="1"/>
    <x v="0"/>
    <x v="4"/>
    <x v="206"/>
    <x v="8"/>
    <x v="8"/>
    <x v="10"/>
    <x v="10"/>
    <x v="6"/>
    <x v="25"/>
    <x v="112"/>
    <x v="0"/>
    <x v="0"/>
    <x v="25"/>
    <x v="112"/>
    <x v="35"/>
    <x v="15"/>
    <x v="0"/>
    <x v="0"/>
    <x v="0"/>
    <x v="51"/>
  </r>
  <r>
    <x v="379"/>
    <x v="0"/>
    <x v="63"/>
    <x v="63"/>
    <x v="63"/>
    <x v="14"/>
    <x v="7"/>
    <x v="0"/>
    <x v="0"/>
    <x v="0"/>
    <x v="4"/>
    <x v="207"/>
    <x v="8"/>
    <x v="8"/>
    <x v="40"/>
    <x v="40"/>
    <x v="0"/>
    <x v="3"/>
    <x v="3"/>
    <x v="0"/>
    <x v="0"/>
    <x v="3"/>
    <x v="3"/>
    <x v="0"/>
    <x v="0"/>
    <x v="0"/>
    <x v="0"/>
    <x v="0"/>
    <x v="0"/>
  </r>
  <r>
    <x v="380"/>
    <x v="0"/>
    <x v="42"/>
    <x v="42"/>
    <x v="42"/>
    <x v="14"/>
    <x v="7"/>
    <x v="0"/>
    <x v="1"/>
    <x v="0"/>
    <x v="4"/>
    <x v="208"/>
    <x v="8"/>
    <x v="8"/>
    <x v="12"/>
    <x v="12"/>
    <x v="6"/>
    <x v="17"/>
    <x v="29"/>
    <x v="0"/>
    <x v="0"/>
    <x v="17"/>
    <x v="29"/>
    <x v="14"/>
    <x v="17"/>
    <x v="0"/>
    <x v="0"/>
    <x v="0"/>
    <x v="18"/>
  </r>
  <r>
    <x v="381"/>
    <x v="0"/>
    <x v="89"/>
    <x v="89"/>
    <x v="89"/>
    <x v="14"/>
    <x v="7"/>
    <x v="0"/>
    <x v="0"/>
    <x v="0"/>
    <x v="4"/>
    <x v="209"/>
    <x v="8"/>
    <x v="8"/>
    <x v="1"/>
    <x v="1"/>
    <x v="0"/>
    <x v="0"/>
    <x v="0"/>
    <x v="0"/>
    <x v="0"/>
    <x v="0"/>
    <x v="0"/>
    <x v="2"/>
    <x v="2"/>
    <x v="0"/>
    <x v="0"/>
    <x v="0"/>
    <x v="2"/>
  </r>
  <r>
    <x v="382"/>
    <x v="0"/>
    <x v="89"/>
    <x v="89"/>
    <x v="89"/>
    <x v="14"/>
    <x v="7"/>
    <x v="0"/>
    <x v="1"/>
    <x v="0"/>
    <x v="4"/>
    <x v="209"/>
    <x v="8"/>
    <x v="8"/>
    <x v="45"/>
    <x v="45"/>
    <x v="6"/>
    <x v="25"/>
    <x v="112"/>
    <x v="0"/>
    <x v="0"/>
    <x v="25"/>
    <x v="112"/>
    <x v="0"/>
    <x v="0"/>
    <x v="0"/>
    <x v="0"/>
    <x v="0"/>
    <x v="0"/>
  </r>
  <r>
    <x v="383"/>
    <x v="0"/>
    <x v="89"/>
    <x v="89"/>
    <x v="89"/>
    <x v="14"/>
    <x v="7"/>
    <x v="0"/>
    <x v="0"/>
    <x v="0"/>
    <x v="4"/>
    <x v="209"/>
    <x v="8"/>
    <x v="8"/>
    <x v="6"/>
    <x v="6"/>
    <x v="0"/>
    <x v="0"/>
    <x v="0"/>
    <x v="0"/>
    <x v="0"/>
    <x v="0"/>
    <x v="0"/>
    <x v="2"/>
    <x v="2"/>
    <x v="0"/>
    <x v="0"/>
    <x v="0"/>
    <x v="2"/>
  </r>
  <r>
    <x v="384"/>
    <x v="0"/>
    <x v="30"/>
    <x v="30"/>
    <x v="30"/>
    <x v="7"/>
    <x v="6"/>
    <x v="2"/>
    <x v="0"/>
    <x v="0"/>
    <x v="1"/>
    <x v="210"/>
    <x v="8"/>
    <x v="8"/>
    <x v="42"/>
    <x v="42"/>
    <x v="25"/>
    <x v="14"/>
    <x v="113"/>
    <x v="0"/>
    <x v="0"/>
    <x v="14"/>
    <x v="113"/>
    <x v="0"/>
    <x v="0"/>
    <x v="0"/>
    <x v="0"/>
    <x v="0"/>
    <x v="0"/>
  </r>
  <r>
    <x v="385"/>
    <x v="0"/>
    <x v="21"/>
    <x v="21"/>
    <x v="21"/>
    <x v="11"/>
    <x v="2"/>
    <x v="0"/>
    <x v="1"/>
    <x v="0"/>
    <x v="0"/>
    <x v="211"/>
    <x v="8"/>
    <x v="8"/>
    <x v="13"/>
    <x v="13"/>
    <x v="6"/>
    <x v="0"/>
    <x v="67"/>
    <x v="1"/>
    <x v="1"/>
    <x v="8"/>
    <x v="85"/>
    <x v="0"/>
    <x v="0"/>
    <x v="0"/>
    <x v="0"/>
    <x v="0"/>
    <x v="0"/>
  </r>
  <r>
    <x v="386"/>
    <x v="0"/>
    <x v="23"/>
    <x v="23"/>
    <x v="23"/>
    <x v="3"/>
    <x v="3"/>
    <x v="0"/>
    <x v="0"/>
    <x v="0"/>
    <x v="0"/>
    <x v="212"/>
    <x v="8"/>
    <x v="8"/>
    <x v="4"/>
    <x v="4"/>
    <x v="0"/>
    <x v="0"/>
    <x v="0"/>
    <x v="0"/>
    <x v="0"/>
    <x v="0"/>
    <x v="0"/>
    <x v="2"/>
    <x v="2"/>
    <x v="0"/>
    <x v="0"/>
    <x v="0"/>
    <x v="2"/>
  </r>
  <r>
    <x v="387"/>
    <x v="0"/>
    <x v="23"/>
    <x v="23"/>
    <x v="23"/>
    <x v="3"/>
    <x v="3"/>
    <x v="0"/>
    <x v="0"/>
    <x v="0"/>
    <x v="0"/>
    <x v="213"/>
    <x v="8"/>
    <x v="8"/>
    <x v="21"/>
    <x v="21"/>
    <x v="0"/>
    <x v="14"/>
    <x v="20"/>
    <x v="0"/>
    <x v="0"/>
    <x v="14"/>
    <x v="20"/>
    <x v="0"/>
    <x v="0"/>
    <x v="0"/>
    <x v="0"/>
    <x v="0"/>
    <x v="0"/>
  </r>
  <r>
    <x v="388"/>
    <x v="0"/>
    <x v="23"/>
    <x v="23"/>
    <x v="23"/>
    <x v="3"/>
    <x v="3"/>
    <x v="0"/>
    <x v="0"/>
    <x v="0"/>
    <x v="0"/>
    <x v="213"/>
    <x v="8"/>
    <x v="8"/>
    <x v="2"/>
    <x v="2"/>
    <x v="0"/>
    <x v="0"/>
    <x v="0"/>
    <x v="0"/>
    <x v="0"/>
    <x v="0"/>
    <x v="0"/>
    <x v="0"/>
    <x v="0"/>
    <x v="0"/>
    <x v="0"/>
    <x v="0"/>
    <x v="0"/>
  </r>
  <r>
    <x v="389"/>
    <x v="0"/>
    <x v="23"/>
    <x v="23"/>
    <x v="23"/>
    <x v="3"/>
    <x v="3"/>
    <x v="0"/>
    <x v="0"/>
    <x v="0"/>
    <x v="0"/>
    <x v="213"/>
    <x v="8"/>
    <x v="8"/>
    <x v="6"/>
    <x v="6"/>
    <x v="0"/>
    <x v="26"/>
    <x v="57"/>
    <x v="0"/>
    <x v="0"/>
    <x v="26"/>
    <x v="57"/>
    <x v="24"/>
    <x v="29"/>
    <x v="0"/>
    <x v="0"/>
    <x v="0"/>
    <x v="31"/>
  </r>
  <r>
    <x v="390"/>
    <x v="0"/>
    <x v="23"/>
    <x v="23"/>
    <x v="23"/>
    <x v="3"/>
    <x v="3"/>
    <x v="0"/>
    <x v="0"/>
    <x v="0"/>
    <x v="0"/>
    <x v="213"/>
    <x v="8"/>
    <x v="8"/>
    <x v="1"/>
    <x v="1"/>
    <x v="0"/>
    <x v="3"/>
    <x v="3"/>
    <x v="0"/>
    <x v="0"/>
    <x v="3"/>
    <x v="3"/>
    <x v="3"/>
    <x v="3"/>
    <x v="0"/>
    <x v="0"/>
    <x v="0"/>
    <x v="3"/>
  </r>
  <r>
    <x v="391"/>
    <x v="0"/>
    <x v="93"/>
    <x v="93"/>
    <x v="93"/>
    <x v="2"/>
    <x v="2"/>
    <x v="0"/>
    <x v="0"/>
    <x v="0"/>
    <x v="0"/>
    <x v="214"/>
    <x v="8"/>
    <x v="8"/>
    <x v="7"/>
    <x v="7"/>
    <x v="0"/>
    <x v="14"/>
    <x v="20"/>
    <x v="0"/>
    <x v="0"/>
    <x v="14"/>
    <x v="20"/>
    <x v="0"/>
    <x v="0"/>
    <x v="0"/>
    <x v="0"/>
    <x v="0"/>
    <x v="0"/>
  </r>
  <r>
    <x v="392"/>
    <x v="0"/>
    <x v="93"/>
    <x v="93"/>
    <x v="93"/>
    <x v="2"/>
    <x v="2"/>
    <x v="0"/>
    <x v="0"/>
    <x v="0"/>
    <x v="0"/>
    <x v="214"/>
    <x v="8"/>
    <x v="8"/>
    <x v="1"/>
    <x v="1"/>
    <x v="0"/>
    <x v="37"/>
    <x v="114"/>
    <x v="0"/>
    <x v="0"/>
    <x v="37"/>
    <x v="114"/>
    <x v="36"/>
    <x v="46"/>
    <x v="0"/>
    <x v="0"/>
    <x v="0"/>
    <x v="52"/>
  </r>
  <r>
    <x v="393"/>
    <x v="0"/>
    <x v="50"/>
    <x v="50"/>
    <x v="50"/>
    <x v="15"/>
    <x v="4"/>
    <x v="1"/>
    <x v="0"/>
    <x v="0"/>
    <x v="2"/>
    <x v="215"/>
    <x v="8"/>
    <x v="8"/>
    <x v="34"/>
    <x v="34"/>
    <x v="0"/>
    <x v="14"/>
    <x v="20"/>
    <x v="0"/>
    <x v="0"/>
    <x v="14"/>
    <x v="20"/>
    <x v="0"/>
    <x v="0"/>
    <x v="0"/>
    <x v="0"/>
    <x v="0"/>
    <x v="0"/>
  </r>
  <r>
    <x v="394"/>
    <x v="0"/>
    <x v="85"/>
    <x v="85"/>
    <x v="85"/>
    <x v="7"/>
    <x v="6"/>
    <x v="2"/>
    <x v="0"/>
    <x v="0"/>
    <x v="1"/>
    <x v="216"/>
    <x v="8"/>
    <x v="8"/>
    <x v="21"/>
    <x v="21"/>
    <x v="4"/>
    <x v="6"/>
    <x v="10"/>
    <x v="0"/>
    <x v="0"/>
    <x v="6"/>
    <x v="10"/>
    <x v="0"/>
    <x v="0"/>
    <x v="0"/>
    <x v="0"/>
    <x v="0"/>
    <x v="0"/>
  </r>
  <r>
    <x v="395"/>
    <x v="0"/>
    <x v="94"/>
    <x v="94"/>
    <x v="94"/>
    <x v="12"/>
    <x v="1"/>
    <x v="1"/>
    <x v="4"/>
    <x v="0"/>
    <x v="1"/>
    <x v="217"/>
    <x v="8"/>
    <x v="8"/>
    <x v="35"/>
    <x v="35"/>
    <x v="21"/>
    <x v="8"/>
    <x v="54"/>
    <x v="0"/>
    <x v="0"/>
    <x v="8"/>
    <x v="54"/>
    <x v="23"/>
    <x v="28"/>
    <x v="8"/>
    <x v="2"/>
    <x v="7"/>
    <x v="30"/>
  </r>
  <r>
    <x v="396"/>
    <x v="0"/>
    <x v="90"/>
    <x v="90"/>
    <x v="90"/>
    <x v="6"/>
    <x v="5"/>
    <x v="0"/>
    <x v="0"/>
    <x v="0"/>
    <x v="0"/>
    <x v="218"/>
    <x v="8"/>
    <x v="8"/>
    <x v="1"/>
    <x v="1"/>
    <x v="0"/>
    <x v="3"/>
    <x v="3"/>
    <x v="0"/>
    <x v="0"/>
    <x v="3"/>
    <x v="3"/>
    <x v="3"/>
    <x v="3"/>
    <x v="0"/>
    <x v="0"/>
    <x v="0"/>
    <x v="3"/>
  </r>
  <r>
    <x v="397"/>
    <x v="0"/>
    <x v="90"/>
    <x v="90"/>
    <x v="90"/>
    <x v="6"/>
    <x v="5"/>
    <x v="0"/>
    <x v="2"/>
    <x v="0"/>
    <x v="0"/>
    <x v="218"/>
    <x v="8"/>
    <x v="8"/>
    <x v="5"/>
    <x v="5"/>
    <x v="2"/>
    <x v="15"/>
    <x v="115"/>
    <x v="0"/>
    <x v="0"/>
    <x v="15"/>
    <x v="115"/>
    <x v="0"/>
    <x v="47"/>
    <x v="14"/>
    <x v="0"/>
    <x v="3"/>
    <x v="53"/>
  </r>
  <r>
    <x v="398"/>
    <x v="0"/>
    <x v="90"/>
    <x v="90"/>
    <x v="90"/>
    <x v="6"/>
    <x v="5"/>
    <x v="0"/>
    <x v="0"/>
    <x v="0"/>
    <x v="0"/>
    <x v="218"/>
    <x v="8"/>
    <x v="8"/>
    <x v="14"/>
    <x v="14"/>
    <x v="0"/>
    <x v="14"/>
    <x v="20"/>
    <x v="0"/>
    <x v="0"/>
    <x v="14"/>
    <x v="20"/>
    <x v="10"/>
    <x v="11"/>
    <x v="0"/>
    <x v="0"/>
    <x v="0"/>
    <x v="12"/>
  </r>
  <r>
    <x v="399"/>
    <x v="0"/>
    <x v="90"/>
    <x v="90"/>
    <x v="90"/>
    <x v="6"/>
    <x v="5"/>
    <x v="0"/>
    <x v="5"/>
    <x v="0"/>
    <x v="0"/>
    <x v="218"/>
    <x v="8"/>
    <x v="8"/>
    <x v="28"/>
    <x v="28"/>
    <x v="14"/>
    <x v="8"/>
    <x v="38"/>
    <x v="0"/>
    <x v="0"/>
    <x v="8"/>
    <x v="38"/>
    <x v="0"/>
    <x v="0"/>
    <x v="0"/>
    <x v="0"/>
    <x v="0"/>
    <x v="0"/>
  </r>
  <r>
    <x v="400"/>
    <x v="0"/>
    <x v="90"/>
    <x v="90"/>
    <x v="90"/>
    <x v="6"/>
    <x v="5"/>
    <x v="0"/>
    <x v="5"/>
    <x v="0"/>
    <x v="0"/>
    <x v="218"/>
    <x v="8"/>
    <x v="8"/>
    <x v="27"/>
    <x v="27"/>
    <x v="13"/>
    <x v="5"/>
    <x v="80"/>
    <x v="0"/>
    <x v="0"/>
    <x v="5"/>
    <x v="80"/>
    <x v="0"/>
    <x v="0"/>
    <x v="0"/>
    <x v="0"/>
    <x v="0"/>
    <x v="0"/>
  </r>
  <r>
    <x v="401"/>
    <x v="0"/>
    <x v="90"/>
    <x v="90"/>
    <x v="90"/>
    <x v="6"/>
    <x v="5"/>
    <x v="0"/>
    <x v="6"/>
    <x v="0"/>
    <x v="0"/>
    <x v="218"/>
    <x v="8"/>
    <x v="8"/>
    <x v="33"/>
    <x v="33"/>
    <x v="20"/>
    <x v="15"/>
    <x v="116"/>
    <x v="0"/>
    <x v="0"/>
    <x v="15"/>
    <x v="116"/>
    <x v="0"/>
    <x v="0"/>
    <x v="0"/>
    <x v="0"/>
    <x v="0"/>
    <x v="0"/>
  </r>
  <r>
    <x v="402"/>
    <x v="0"/>
    <x v="90"/>
    <x v="90"/>
    <x v="90"/>
    <x v="6"/>
    <x v="5"/>
    <x v="0"/>
    <x v="5"/>
    <x v="0"/>
    <x v="0"/>
    <x v="218"/>
    <x v="8"/>
    <x v="8"/>
    <x v="26"/>
    <x v="26"/>
    <x v="12"/>
    <x v="5"/>
    <x v="71"/>
    <x v="0"/>
    <x v="0"/>
    <x v="5"/>
    <x v="71"/>
    <x v="0"/>
    <x v="0"/>
    <x v="0"/>
    <x v="0"/>
    <x v="0"/>
    <x v="0"/>
  </r>
  <r>
    <x v="403"/>
    <x v="0"/>
    <x v="90"/>
    <x v="90"/>
    <x v="90"/>
    <x v="6"/>
    <x v="5"/>
    <x v="0"/>
    <x v="5"/>
    <x v="0"/>
    <x v="0"/>
    <x v="219"/>
    <x v="8"/>
    <x v="8"/>
    <x v="27"/>
    <x v="27"/>
    <x v="13"/>
    <x v="5"/>
    <x v="80"/>
    <x v="0"/>
    <x v="0"/>
    <x v="5"/>
    <x v="80"/>
    <x v="0"/>
    <x v="0"/>
    <x v="0"/>
    <x v="0"/>
    <x v="0"/>
    <x v="0"/>
  </r>
  <r>
    <x v="404"/>
    <x v="0"/>
    <x v="60"/>
    <x v="60"/>
    <x v="60"/>
    <x v="17"/>
    <x v="2"/>
    <x v="0"/>
    <x v="0"/>
    <x v="0"/>
    <x v="0"/>
    <x v="220"/>
    <x v="9"/>
    <x v="9"/>
    <x v="31"/>
    <x v="31"/>
    <x v="17"/>
    <x v="6"/>
    <x v="59"/>
    <x v="0"/>
    <x v="0"/>
    <x v="6"/>
    <x v="59"/>
    <x v="4"/>
    <x v="5"/>
    <x v="0"/>
    <x v="0"/>
    <x v="0"/>
    <x v="5"/>
  </r>
  <r>
    <x v="405"/>
    <x v="0"/>
    <x v="62"/>
    <x v="62"/>
    <x v="62"/>
    <x v="0"/>
    <x v="0"/>
    <x v="0"/>
    <x v="0"/>
    <x v="0"/>
    <x v="0"/>
    <x v="221"/>
    <x v="9"/>
    <x v="9"/>
    <x v="31"/>
    <x v="31"/>
    <x v="17"/>
    <x v="5"/>
    <x v="117"/>
    <x v="0"/>
    <x v="0"/>
    <x v="5"/>
    <x v="117"/>
    <x v="8"/>
    <x v="16"/>
    <x v="0"/>
    <x v="0"/>
    <x v="0"/>
    <x v="17"/>
  </r>
  <r>
    <x v="406"/>
    <x v="0"/>
    <x v="66"/>
    <x v="66"/>
    <x v="66"/>
    <x v="13"/>
    <x v="3"/>
    <x v="0"/>
    <x v="0"/>
    <x v="0"/>
    <x v="0"/>
    <x v="222"/>
    <x v="9"/>
    <x v="9"/>
    <x v="1"/>
    <x v="1"/>
    <x v="0"/>
    <x v="38"/>
    <x v="118"/>
    <x v="0"/>
    <x v="0"/>
    <x v="38"/>
    <x v="118"/>
    <x v="37"/>
    <x v="48"/>
    <x v="0"/>
    <x v="0"/>
    <x v="0"/>
    <x v="54"/>
  </r>
  <r>
    <x v="407"/>
    <x v="0"/>
    <x v="66"/>
    <x v="66"/>
    <x v="66"/>
    <x v="13"/>
    <x v="3"/>
    <x v="0"/>
    <x v="0"/>
    <x v="0"/>
    <x v="0"/>
    <x v="222"/>
    <x v="9"/>
    <x v="9"/>
    <x v="4"/>
    <x v="4"/>
    <x v="0"/>
    <x v="14"/>
    <x v="20"/>
    <x v="0"/>
    <x v="0"/>
    <x v="14"/>
    <x v="20"/>
    <x v="10"/>
    <x v="11"/>
    <x v="0"/>
    <x v="0"/>
    <x v="0"/>
    <x v="12"/>
  </r>
  <r>
    <x v="408"/>
    <x v="0"/>
    <x v="66"/>
    <x v="66"/>
    <x v="66"/>
    <x v="13"/>
    <x v="3"/>
    <x v="0"/>
    <x v="6"/>
    <x v="0"/>
    <x v="0"/>
    <x v="222"/>
    <x v="9"/>
    <x v="9"/>
    <x v="33"/>
    <x v="33"/>
    <x v="20"/>
    <x v="6"/>
    <x v="119"/>
    <x v="0"/>
    <x v="0"/>
    <x v="6"/>
    <x v="119"/>
    <x v="0"/>
    <x v="0"/>
    <x v="0"/>
    <x v="0"/>
    <x v="0"/>
    <x v="0"/>
  </r>
  <r>
    <x v="409"/>
    <x v="0"/>
    <x v="66"/>
    <x v="66"/>
    <x v="66"/>
    <x v="13"/>
    <x v="3"/>
    <x v="0"/>
    <x v="0"/>
    <x v="0"/>
    <x v="0"/>
    <x v="222"/>
    <x v="9"/>
    <x v="9"/>
    <x v="22"/>
    <x v="22"/>
    <x v="0"/>
    <x v="14"/>
    <x v="20"/>
    <x v="0"/>
    <x v="0"/>
    <x v="14"/>
    <x v="20"/>
    <x v="0"/>
    <x v="0"/>
    <x v="0"/>
    <x v="0"/>
    <x v="0"/>
    <x v="0"/>
  </r>
  <r>
    <x v="410"/>
    <x v="0"/>
    <x v="66"/>
    <x v="66"/>
    <x v="66"/>
    <x v="13"/>
    <x v="3"/>
    <x v="0"/>
    <x v="0"/>
    <x v="0"/>
    <x v="0"/>
    <x v="222"/>
    <x v="9"/>
    <x v="9"/>
    <x v="7"/>
    <x v="7"/>
    <x v="0"/>
    <x v="13"/>
    <x v="19"/>
    <x v="0"/>
    <x v="0"/>
    <x v="13"/>
    <x v="19"/>
    <x v="0"/>
    <x v="0"/>
    <x v="0"/>
    <x v="0"/>
    <x v="0"/>
    <x v="0"/>
  </r>
  <r>
    <x v="411"/>
    <x v="0"/>
    <x v="66"/>
    <x v="66"/>
    <x v="66"/>
    <x v="13"/>
    <x v="3"/>
    <x v="0"/>
    <x v="0"/>
    <x v="0"/>
    <x v="0"/>
    <x v="222"/>
    <x v="9"/>
    <x v="9"/>
    <x v="14"/>
    <x v="14"/>
    <x v="0"/>
    <x v="0"/>
    <x v="0"/>
    <x v="0"/>
    <x v="0"/>
    <x v="0"/>
    <x v="0"/>
    <x v="2"/>
    <x v="2"/>
    <x v="0"/>
    <x v="0"/>
    <x v="0"/>
    <x v="2"/>
  </r>
  <r>
    <x v="412"/>
    <x v="0"/>
    <x v="95"/>
    <x v="95"/>
    <x v="95"/>
    <x v="3"/>
    <x v="3"/>
    <x v="0"/>
    <x v="0"/>
    <x v="0"/>
    <x v="0"/>
    <x v="223"/>
    <x v="9"/>
    <x v="9"/>
    <x v="7"/>
    <x v="7"/>
    <x v="0"/>
    <x v="11"/>
    <x v="21"/>
    <x v="0"/>
    <x v="0"/>
    <x v="11"/>
    <x v="21"/>
    <x v="0"/>
    <x v="0"/>
    <x v="0"/>
    <x v="0"/>
    <x v="0"/>
    <x v="0"/>
  </r>
  <r>
    <x v="413"/>
    <x v="0"/>
    <x v="95"/>
    <x v="95"/>
    <x v="95"/>
    <x v="3"/>
    <x v="3"/>
    <x v="0"/>
    <x v="0"/>
    <x v="0"/>
    <x v="0"/>
    <x v="223"/>
    <x v="9"/>
    <x v="9"/>
    <x v="1"/>
    <x v="1"/>
    <x v="0"/>
    <x v="10"/>
    <x v="25"/>
    <x v="0"/>
    <x v="0"/>
    <x v="10"/>
    <x v="25"/>
    <x v="7"/>
    <x v="15"/>
    <x v="0"/>
    <x v="0"/>
    <x v="0"/>
    <x v="16"/>
  </r>
  <r>
    <x v="414"/>
    <x v="0"/>
    <x v="88"/>
    <x v="88"/>
    <x v="88"/>
    <x v="3"/>
    <x v="3"/>
    <x v="0"/>
    <x v="1"/>
    <x v="0"/>
    <x v="0"/>
    <x v="224"/>
    <x v="9"/>
    <x v="9"/>
    <x v="10"/>
    <x v="10"/>
    <x v="6"/>
    <x v="11"/>
    <x v="14"/>
    <x v="0"/>
    <x v="0"/>
    <x v="11"/>
    <x v="14"/>
    <x v="11"/>
    <x v="26"/>
    <x v="0"/>
    <x v="0"/>
    <x v="0"/>
    <x v="33"/>
  </r>
  <r>
    <x v="415"/>
    <x v="0"/>
    <x v="88"/>
    <x v="88"/>
    <x v="88"/>
    <x v="3"/>
    <x v="3"/>
    <x v="0"/>
    <x v="0"/>
    <x v="0"/>
    <x v="0"/>
    <x v="224"/>
    <x v="9"/>
    <x v="9"/>
    <x v="1"/>
    <x v="1"/>
    <x v="0"/>
    <x v="10"/>
    <x v="25"/>
    <x v="0"/>
    <x v="0"/>
    <x v="10"/>
    <x v="25"/>
    <x v="7"/>
    <x v="15"/>
    <x v="0"/>
    <x v="0"/>
    <x v="0"/>
    <x v="16"/>
  </r>
  <r>
    <x v="416"/>
    <x v="0"/>
    <x v="96"/>
    <x v="96"/>
    <x v="96"/>
    <x v="3"/>
    <x v="3"/>
    <x v="0"/>
    <x v="0"/>
    <x v="0"/>
    <x v="0"/>
    <x v="225"/>
    <x v="9"/>
    <x v="9"/>
    <x v="1"/>
    <x v="1"/>
    <x v="0"/>
    <x v="25"/>
    <x v="53"/>
    <x v="0"/>
    <x v="0"/>
    <x v="25"/>
    <x v="53"/>
    <x v="35"/>
    <x v="49"/>
    <x v="0"/>
    <x v="0"/>
    <x v="0"/>
    <x v="55"/>
  </r>
  <r>
    <x v="417"/>
    <x v="0"/>
    <x v="90"/>
    <x v="90"/>
    <x v="90"/>
    <x v="6"/>
    <x v="5"/>
    <x v="0"/>
    <x v="0"/>
    <x v="0"/>
    <x v="0"/>
    <x v="226"/>
    <x v="9"/>
    <x v="9"/>
    <x v="31"/>
    <x v="31"/>
    <x v="17"/>
    <x v="6"/>
    <x v="59"/>
    <x v="0"/>
    <x v="0"/>
    <x v="6"/>
    <x v="59"/>
    <x v="4"/>
    <x v="5"/>
    <x v="0"/>
    <x v="0"/>
    <x v="0"/>
    <x v="5"/>
  </r>
  <r>
    <x v="418"/>
    <x v="0"/>
    <x v="73"/>
    <x v="73"/>
    <x v="73"/>
    <x v="7"/>
    <x v="6"/>
    <x v="2"/>
    <x v="0"/>
    <x v="0"/>
    <x v="1"/>
    <x v="227"/>
    <x v="9"/>
    <x v="9"/>
    <x v="1"/>
    <x v="1"/>
    <x v="4"/>
    <x v="11"/>
    <x v="74"/>
    <x v="0"/>
    <x v="0"/>
    <x v="11"/>
    <x v="74"/>
    <x v="0"/>
    <x v="0"/>
    <x v="0"/>
    <x v="0"/>
    <x v="0"/>
    <x v="0"/>
  </r>
  <r>
    <x v="419"/>
    <x v="0"/>
    <x v="34"/>
    <x v="34"/>
    <x v="34"/>
    <x v="14"/>
    <x v="7"/>
    <x v="0"/>
    <x v="1"/>
    <x v="0"/>
    <x v="4"/>
    <x v="228"/>
    <x v="9"/>
    <x v="9"/>
    <x v="53"/>
    <x v="53"/>
    <x v="6"/>
    <x v="20"/>
    <x v="35"/>
    <x v="0"/>
    <x v="0"/>
    <x v="20"/>
    <x v="35"/>
    <x v="0"/>
    <x v="0"/>
    <x v="0"/>
    <x v="0"/>
    <x v="0"/>
    <x v="0"/>
  </r>
  <r>
    <x v="420"/>
    <x v="0"/>
    <x v="34"/>
    <x v="34"/>
    <x v="34"/>
    <x v="14"/>
    <x v="7"/>
    <x v="0"/>
    <x v="0"/>
    <x v="0"/>
    <x v="4"/>
    <x v="228"/>
    <x v="9"/>
    <x v="9"/>
    <x v="16"/>
    <x v="16"/>
    <x v="0"/>
    <x v="0"/>
    <x v="0"/>
    <x v="0"/>
    <x v="0"/>
    <x v="0"/>
    <x v="0"/>
    <x v="0"/>
    <x v="0"/>
    <x v="0"/>
    <x v="0"/>
    <x v="0"/>
    <x v="0"/>
  </r>
  <r>
    <x v="421"/>
    <x v="0"/>
    <x v="34"/>
    <x v="34"/>
    <x v="34"/>
    <x v="14"/>
    <x v="7"/>
    <x v="0"/>
    <x v="0"/>
    <x v="0"/>
    <x v="4"/>
    <x v="228"/>
    <x v="9"/>
    <x v="9"/>
    <x v="1"/>
    <x v="1"/>
    <x v="0"/>
    <x v="20"/>
    <x v="81"/>
    <x v="0"/>
    <x v="0"/>
    <x v="20"/>
    <x v="81"/>
    <x v="28"/>
    <x v="38"/>
    <x v="0"/>
    <x v="0"/>
    <x v="0"/>
    <x v="42"/>
  </r>
  <r>
    <x v="422"/>
    <x v="0"/>
    <x v="34"/>
    <x v="34"/>
    <x v="34"/>
    <x v="14"/>
    <x v="7"/>
    <x v="0"/>
    <x v="1"/>
    <x v="0"/>
    <x v="4"/>
    <x v="228"/>
    <x v="9"/>
    <x v="9"/>
    <x v="10"/>
    <x v="10"/>
    <x v="6"/>
    <x v="10"/>
    <x v="13"/>
    <x v="0"/>
    <x v="0"/>
    <x v="10"/>
    <x v="13"/>
    <x v="7"/>
    <x v="9"/>
    <x v="0"/>
    <x v="0"/>
    <x v="0"/>
    <x v="9"/>
  </r>
  <r>
    <x v="423"/>
    <x v="0"/>
    <x v="34"/>
    <x v="34"/>
    <x v="34"/>
    <x v="14"/>
    <x v="7"/>
    <x v="0"/>
    <x v="0"/>
    <x v="0"/>
    <x v="4"/>
    <x v="228"/>
    <x v="9"/>
    <x v="9"/>
    <x v="7"/>
    <x v="7"/>
    <x v="0"/>
    <x v="0"/>
    <x v="0"/>
    <x v="0"/>
    <x v="0"/>
    <x v="0"/>
    <x v="0"/>
    <x v="0"/>
    <x v="0"/>
    <x v="0"/>
    <x v="0"/>
    <x v="0"/>
    <x v="0"/>
  </r>
  <r>
    <x v="424"/>
    <x v="0"/>
    <x v="43"/>
    <x v="43"/>
    <x v="43"/>
    <x v="7"/>
    <x v="6"/>
    <x v="2"/>
    <x v="1"/>
    <x v="0"/>
    <x v="1"/>
    <x v="229"/>
    <x v="9"/>
    <x v="9"/>
    <x v="13"/>
    <x v="13"/>
    <x v="19"/>
    <x v="17"/>
    <x v="49"/>
    <x v="0"/>
    <x v="0"/>
    <x v="17"/>
    <x v="49"/>
    <x v="0"/>
    <x v="0"/>
    <x v="0"/>
    <x v="0"/>
    <x v="0"/>
    <x v="0"/>
  </r>
  <r>
    <x v="425"/>
    <x v="0"/>
    <x v="43"/>
    <x v="43"/>
    <x v="43"/>
    <x v="7"/>
    <x v="6"/>
    <x v="2"/>
    <x v="0"/>
    <x v="0"/>
    <x v="1"/>
    <x v="229"/>
    <x v="9"/>
    <x v="9"/>
    <x v="40"/>
    <x v="40"/>
    <x v="25"/>
    <x v="6"/>
    <x v="76"/>
    <x v="0"/>
    <x v="0"/>
    <x v="6"/>
    <x v="76"/>
    <x v="0"/>
    <x v="0"/>
    <x v="0"/>
    <x v="0"/>
    <x v="0"/>
    <x v="0"/>
  </r>
  <r>
    <x v="426"/>
    <x v="0"/>
    <x v="21"/>
    <x v="21"/>
    <x v="21"/>
    <x v="11"/>
    <x v="2"/>
    <x v="0"/>
    <x v="0"/>
    <x v="0"/>
    <x v="0"/>
    <x v="230"/>
    <x v="9"/>
    <x v="9"/>
    <x v="6"/>
    <x v="6"/>
    <x v="0"/>
    <x v="8"/>
    <x v="8"/>
    <x v="0"/>
    <x v="0"/>
    <x v="8"/>
    <x v="8"/>
    <x v="5"/>
    <x v="6"/>
    <x v="0"/>
    <x v="0"/>
    <x v="0"/>
    <x v="6"/>
  </r>
  <r>
    <x v="427"/>
    <x v="0"/>
    <x v="67"/>
    <x v="67"/>
    <x v="67"/>
    <x v="2"/>
    <x v="2"/>
    <x v="0"/>
    <x v="0"/>
    <x v="0"/>
    <x v="0"/>
    <x v="231"/>
    <x v="9"/>
    <x v="9"/>
    <x v="42"/>
    <x v="42"/>
    <x v="0"/>
    <x v="3"/>
    <x v="3"/>
    <x v="0"/>
    <x v="0"/>
    <x v="3"/>
    <x v="3"/>
    <x v="0"/>
    <x v="0"/>
    <x v="0"/>
    <x v="0"/>
    <x v="0"/>
    <x v="0"/>
  </r>
  <r>
    <x v="428"/>
    <x v="0"/>
    <x v="67"/>
    <x v="67"/>
    <x v="67"/>
    <x v="2"/>
    <x v="2"/>
    <x v="0"/>
    <x v="1"/>
    <x v="0"/>
    <x v="0"/>
    <x v="231"/>
    <x v="9"/>
    <x v="9"/>
    <x v="12"/>
    <x v="12"/>
    <x v="6"/>
    <x v="11"/>
    <x v="14"/>
    <x v="0"/>
    <x v="0"/>
    <x v="11"/>
    <x v="14"/>
    <x v="11"/>
    <x v="26"/>
    <x v="0"/>
    <x v="0"/>
    <x v="0"/>
    <x v="33"/>
  </r>
  <r>
    <x v="429"/>
    <x v="0"/>
    <x v="67"/>
    <x v="67"/>
    <x v="67"/>
    <x v="2"/>
    <x v="2"/>
    <x v="0"/>
    <x v="1"/>
    <x v="0"/>
    <x v="0"/>
    <x v="231"/>
    <x v="9"/>
    <x v="9"/>
    <x v="10"/>
    <x v="10"/>
    <x v="6"/>
    <x v="3"/>
    <x v="50"/>
    <x v="0"/>
    <x v="0"/>
    <x v="3"/>
    <x v="50"/>
    <x v="3"/>
    <x v="11"/>
    <x v="0"/>
    <x v="0"/>
    <x v="0"/>
    <x v="29"/>
  </r>
  <r>
    <x v="430"/>
    <x v="0"/>
    <x v="93"/>
    <x v="93"/>
    <x v="93"/>
    <x v="2"/>
    <x v="2"/>
    <x v="0"/>
    <x v="0"/>
    <x v="0"/>
    <x v="0"/>
    <x v="232"/>
    <x v="9"/>
    <x v="9"/>
    <x v="7"/>
    <x v="7"/>
    <x v="0"/>
    <x v="6"/>
    <x v="6"/>
    <x v="0"/>
    <x v="0"/>
    <x v="6"/>
    <x v="6"/>
    <x v="0"/>
    <x v="0"/>
    <x v="0"/>
    <x v="0"/>
    <x v="0"/>
    <x v="0"/>
  </r>
  <r>
    <x v="431"/>
    <x v="0"/>
    <x v="93"/>
    <x v="93"/>
    <x v="93"/>
    <x v="2"/>
    <x v="2"/>
    <x v="0"/>
    <x v="0"/>
    <x v="0"/>
    <x v="0"/>
    <x v="233"/>
    <x v="9"/>
    <x v="9"/>
    <x v="7"/>
    <x v="7"/>
    <x v="0"/>
    <x v="6"/>
    <x v="6"/>
    <x v="0"/>
    <x v="0"/>
    <x v="6"/>
    <x v="6"/>
    <x v="0"/>
    <x v="0"/>
    <x v="0"/>
    <x v="0"/>
    <x v="0"/>
    <x v="0"/>
  </r>
  <r>
    <x v="432"/>
    <x v="0"/>
    <x v="93"/>
    <x v="93"/>
    <x v="93"/>
    <x v="2"/>
    <x v="2"/>
    <x v="0"/>
    <x v="0"/>
    <x v="0"/>
    <x v="0"/>
    <x v="233"/>
    <x v="9"/>
    <x v="9"/>
    <x v="1"/>
    <x v="1"/>
    <x v="0"/>
    <x v="10"/>
    <x v="25"/>
    <x v="0"/>
    <x v="0"/>
    <x v="10"/>
    <x v="25"/>
    <x v="7"/>
    <x v="15"/>
    <x v="0"/>
    <x v="0"/>
    <x v="0"/>
    <x v="16"/>
  </r>
  <r>
    <x v="433"/>
    <x v="0"/>
    <x v="93"/>
    <x v="93"/>
    <x v="93"/>
    <x v="2"/>
    <x v="2"/>
    <x v="0"/>
    <x v="0"/>
    <x v="0"/>
    <x v="0"/>
    <x v="233"/>
    <x v="9"/>
    <x v="9"/>
    <x v="4"/>
    <x v="4"/>
    <x v="0"/>
    <x v="0"/>
    <x v="0"/>
    <x v="0"/>
    <x v="0"/>
    <x v="0"/>
    <x v="0"/>
    <x v="2"/>
    <x v="2"/>
    <x v="0"/>
    <x v="0"/>
    <x v="0"/>
    <x v="2"/>
  </r>
  <r>
    <x v="434"/>
    <x v="0"/>
    <x v="28"/>
    <x v="28"/>
    <x v="28"/>
    <x v="8"/>
    <x v="7"/>
    <x v="0"/>
    <x v="1"/>
    <x v="0"/>
    <x v="0"/>
    <x v="234"/>
    <x v="9"/>
    <x v="9"/>
    <x v="10"/>
    <x v="10"/>
    <x v="6"/>
    <x v="3"/>
    <x v="50"/>
    <x v="0"/>
    <x v="0"/>
    <x v="3"/>
    <x v="50"/>
    <x v="3"/>
    <x v="11"/>
    <x v="0"/>
    <x v="0"/>
    <x v="0"/>
    <x v="29"/>
  </r>
  <r>
    <x v="435"/>
    <x v="0"/>
    <x v="28"/>
    <x v="28"/>
    <x v="28"/>
    <x v="8"/>
    <x v="7"/>
    <x v="0"/>
    <x v="0"/>
    <x v="0"/>
    <x v="0"/>
    <x v="234"/>
    <x v="9"/>
    <x v="9"/>
    <x v="7"/>
    <x v="7"/>
    <x v="0"/>
    <x v="6"/>
    <x v="6"/>
    <x v="0"/>
    <x v="0"/>
    <x v="6"/>
    <x v="6"/>
    <x v="0"/>
    <x v="0"/>
    <x v="0"/>
    <x v="0"/>
    <x v="0"/>
    <x v="0"/>
  </r>
  <r>
    <x v="436"/>
    <x v="0"/>
    <x v="97"/>
    <x v="97"/>
    <x v="97"/>
    <x v="7"/>
    <x v="6"/>
    <x v="2"/>
    <x v="5"/>
    <x v="0"/>
    <x v="1"/>
    <x v="235"/>
    <x v="9"/>
    <x v="9"/>
    <x v="27"/>
    <x v="27"/>
    <x v="13"/>
    <x v="5"/>
    <x v="80"/>
    <x v="0"/>
    <x v="0"/>
    <x v="5"/>
    <x v="80"/>
    <x v="0"/>
    <x v="0"/>
    <x v="0"/>
    <x v="0"/>
    <x v="0"/>
    <x v="0"/>
  </r>
  <r>
    <x v="437"/>
    <x v="0"/>
    <x v="97"/>
    <x v="97"/>
    <x v="97"/>
    <x v="7"/>
    <x v="6"/>
    <x v="2"/>
    <x v="6"/>
    <x v="0"/>
    <x v="1"/>
    <x v="235"/>
    <x v="9"/>
    <x v="9"/>
    <x v="33"/>
    <x v="33"/>
    <x v="20"/>
    <x v="8"/>
    <x v="52"/>
    <x v="0"/>
    <x v="0"/>
    <x v="8"/>
    <x v="52"/>
    <x v="0"/>
    <x v="0"/>
    <x v="0"/>
    <x v="0"/>
    <x v="0"/>
    <x v="0"/>
  </r>
  <r>
    <x v="438"/>
    <x v="0"/>
    <x v="74"/>
    <x v="74"/>
    <x v="74"/>
    <x v="2"/>
    <x v="2"/>
    <x v="0"/>
    <x v="0"/>
    <x v="0"/>
    <x v="0"/>
    <x v="236"/>
    <x v="9"/>
    <x v="9"/>
    <x v="31"/>
    <x v="31"/>
    <x v="17"/>
    <x v="17"/>
    <x v="43"/>
    <x v="0"/>
    <x v="0"/>
    <x v="17"/>
    <x v="43"/>
    <x v="14"/>
    <x v="22"/>
    <x v="0"/>
    <x v="0"/>
    <x v="0"/>
    <x v="23"/>
  </r>
  <r>
    <x v="439"/>
    <x v="0"/>
    <x v="25"/>
    <x v="25"/>
    <x v="25"/>
    <x v="3"/>
    <x v="3"/>
    <x v="0"/>
    <x v="6"/>
    <x v="0"/>
    <x v="0"/>
    <x v="237"/>
    <x v="9"/>
    <x v="9"/>
    <x v="33"/>
    <x v="33"/>
    <x v="20"/>
    <x v="15"/>
    <x v="116"/>
    <x v="0"/>
    <x v="0"/>
    <x v="15"/>
    <x v="116"/>
    <x v="0"/>
    <x v="0"/>
    <x v="0"/>
    <x v="0"/>
    <x v="0"/>
    <x v="0"/>
  </r>
  <r>
    <x v="440"/>
    <x v="0"/>
    <x v="25"/>
    <x v="25"/>
    <x v="25"/>
    <x v="3"/>
    <x v="3"/>
    <x v="0"/>
    <x v="6"/>
    <x v="0"/>
    <x v="0"/>
    <x v="237"/>
    <x v="9"/>
    <x v="9"/>
    <x v="48"/>
    <x v="48"/>
    <x v="30"/>
    <x v="5"/>
    <x v="106"/>
    <x v="0"/>
    <x v="0"/>
    <x v="5"/>
    <x v="106"/>
    <x v="0"/>
    <x v="0"/>
    <x v="0"/>
    <x v="0"/>
    <x v="0"/>
    <x v="0"/>
  </r>
  <r>
    <x v="441"/>
    <x v="0"/>
    <x v="98"/>
    <x v="98"/>
    <x v="98"/>
    <x v="9"/>
    <x v="8"/>
    <x v="1"/>
    <x v="0"/>
    <x v="0"/>
    <x v="3"/>
    <x v="238"/>
    <x v="9"/>
    <x v="9"/>
    <x v="54"/>
    <x v="54"/>
    <x v="0"/>
    <x v="0"/>
    <x v="0"/>
    <x v="0"/>
    <x v="0"/>
    <x v="0"/>
    <x v="0"/>
    <x v="0"/>
    <x v="0"/>
    <x v="0"/>
    <x v="0"/>
    <x v="0"/>
    <x v="0"/>
  </r>
  <r>
    <x v="442"/>
    <x v="0"/>
    <x v="70"/>
    <x v="70"/>
    <x v="70"/>
    <x v="5"/>
    <x v="0"/>
    <x v="0"/>
    <x v="0"/>
    <x v="0"/>
    <x v="0"/>
    <x v="239"/>
    <x v="10"/>
    <x v="10"/>
    <x v="1"/>
    <x v="1"/>
    <x v="0"/>
    <x v="0"/>
    <x v="0"/>
    <x v="0"/>
    <x v="0"/>
    <x v="0"/>
    <x v="0"/>
    <x v="2"/>
    <x v="2"/>
    <x v="0"/>
    <x v="0"/>
    <x v="0"/>
    <x v="2"/>
  </r>
  <r>
    <x v="443"/>
    <x v="0"/>
    <x v="25"/>
    <x v="25"/>
    <x v="25"/>
    <x v="3"/>
    <x v="3"/>
    <x v="0"/>
    <x v="0"/>
    <x v="0"/>
    <x v="0"/>
    <x v="240"/>
    <x v="10"/>
    <x v="10"/>
    <x v="1"/>
    <x v="1"/>
    <x v="0"/>
    <x v="19"/>
    <x v="34"/>
    <x v="0"/>
    <x v="0"/>
    <x v="19"/>
    <x v="34"/>
    <x v="18"/>
    <x v="21"/>
    <x v="0"/>
    <x v="0"/>
    <x v="0"/>
    <x v="22"/>
  </r>
  <r>
    <x v="444"/>
    <x v="0"/>
    <x v="25"/>
    <x v="25"/>
    <x v="25"/>
    <x v="3"/>
    <x v="3"/>
    <x v="0"/>
    <x v="0"/>
    <x v="0"/>
    <x v="0"/>
    <x v="240"/>
    <x v="10"/>
    <x v="10"/>
    <x v="0"/>
    <x v="0"/>
    <x v="0"/>
    <x v="6"/>
    <x v="6"/>
    <x v="0"/>
    <x v="0"/>
    <x v="6"/>
    <x v="6"/>
    <x v="0"/>
    <x v="0"/>
    <x v="0"/>
    <x v="0"/>
    <x v="0"/>
    <x v="0"/>
  </r>
  <r>
    <x v="445"/>
    <x v="0"/>
    <x v="23"/>
    <x v="23"/>
    <x v="23"/>
    <x v="3"/>
    <x v="3"/>
    <x v="0"/>
    <x v="0"/>
    <x v="0"/>
    <x v="0"/>
    <x v="241"/>
    <x v="10"/>
    <x v="10"/>
    <x v="1"/>
    <x v="1"/>
    <x v="0"/>
    <x v="0"/>
    <x v="0"/>
    <x v="0"/>
    <x v="0"/>
    <x v="0"/>
    <x v="0"/>
    <x v="2"/>
    <x v="2"/>
    <x v="0"/>
    <x v="0"/>
    <x v="0"/>
    <x v="2"/>
  </r>
  <r>
    <x v="446"/>
    <x v="0"/>
    <x v="23"/>
    <x v="23"/>
    <x v="23"/>
    <x v="3"/>
    <x v="3"/>
    <x v="0"/>
    <x v="0"/>
    <x v="0"/>
    <x v="0"/>
    <x v="241"/>
    <x v="10"/>
    <x v="10"/>
    <x v="6"/>
    <x v="6"/>
    <x v="0"/>
    <x v="0"/>
    <x v="0"/>
    <x v="0"/>
    <x v="0"/>
    <x v="0"/>
    <x v="0"/>
    <x v="2"/>
    <x v="2"/>
    <x v="0"/>
    <x v="0"/>
    <x v="0"/>
    <x v="2"/>
  </r>
  <r>
    <x v="447"/>
    <x v="0"/>
    <x v="99"/>
    <x v="99"/>
    <x v="99"/>
    <x v="3"/>
    <x v="3"/>
    <x v="0"/>
    <x v="6"/>
    <x v="0"/>
    <x v="0"/>
    <x v="242"/>
    <x v="10"/>
    <x v="10"/>
    <x v="33"/>
    <x v="33"/>
    <x v="20"/>
    <x v="5"/>
    <x v="88"/>
    <x v="0"/>
    <x v="0"/>
    <x v="5"/>
    <x v="88"/>
    <x v="0"/>
    <x v="0"/>
    <x v="0"/>
    <x v="0"/>
    <x v="0"/>
    <x v="0"/>
  </r>
  <r>
    <x v="448"/>
    <x v="0"/>
    <x v="99"/>
    <x v="99"/>
    <x v="99"/>
    <x v="3"/>
    <x v="3"/>
    <x v="0"/>
    <x v="5"/>
    <x v="0"/>
    <x v="0"/>
    <x v="242"/>
    <x v="10"/>
    <x v="10"/>
    <x v="27"/>
    <x v="27"/>
    <x v="13"/>
    <x v="5"/>
    <x v="80"/>
    <x v="0"/>
    <x v="0"/>
    <x v="5"/>
    <x v="80"/>
    <x v="0"/>
    <x v="0"/>
    <x v="0"/>
    <x v="0"/>
    <x v="0"/>
    <x v="0"/>
  </r>
  <r>
    <x v="449"/>
    <x v="0"/>
    <x v="99"/>
    <x v="99"/>
    <x v="99"/>
    <x v="3"/>
    <x v="3"/>
    <x v="0"/>
    <x v="0"/>
    <x v="0"/>
    <x v="0"/>
    <x v="242"/>
    <x v="10"/>
    <x v="10"/>
    <x v="21"/>
    <x v="21"/>
    <x v="0"/>
    <x v="6"/>
    <x v="6"/>
    <x v="0"/>
    <x v="0"/>
    <x v="6"/>
    <x v="6"/>
    <x v="0"/>
    <x v="0"/>
    <x v="0"/>
    <x v="0"/>
    <x v="0"/>
    <x v="0"/>
  </r>
  <r>
    <x v="450"/>
    <x v="0"/>
    <x v="89"/>
    <x v="89"/>
    <x v="89"/>
    <x v="14"/>
    <x v="7"/>
    <x v="0"/>
    <x v="0"/>
    <x v="0"/>
    <x v="4"/>
    <x v="243"/>
    <x v="10"/>
    <x v="10"/>
    <x v="7"/>
    <x v="7"/>
    <x v="0"/>
    <x v="6"/>
    <x v="6"/>
    <x v="0"/>
    <x v="0"/>
    <x v="6"/>
    <x v="6"/>
    <x v="0"/>
    <x v="0"/>
    <x v="0"/>
    <x v="0"/>
    <x v="0"/>
    <x v="0"/>
  </r>
  <r>
    <x v="451"/>
    <x v="0"/>
    <x v="89"/>
    <x v="89"/>
    <x v="89"/>
    <x v="14"/>
    <x v="7"/>
    <x v="0"/>
    <x v="0"/>
    <x v="0"/>
    <x v="4"/>
    <x v="243"/>
    <x v="10"/>
    <x v="10"/>
    <x v="4"/>
    <x v="4"/>
    <x v="0"/>
    <x v="17"/>
    <x v="27"/>
    <x v="0"/>
    <x v="0"/>
    <x v="17"/>
    <x v="27"/>
    <x v="14"/>
    <x v="22"/>
    <x v="0"/>
    <x v="0"/>
    <x v="0"/>
    <x v="23"/>
  </r>
  <r>
    <x v="452"/>
    <x v="0"/>
    <x v="34"/>
    <x v="34"/>
    <x v="34"/>
    <x v="14"/>
    <x v="7"/>
    <x v="0"/>
    <x v="1"/>
    <x v="0"/>
    <x v="4"/>
    <x v="244"/>
    <x v="10"/>
    <x v="10"/>
    <x v="10"/>
    <x v="10"/>
    <x v="6"/>
    <x v="10"/>
    <x v="13"/>
    <x v="0"/>
    <x v="0"/>
    <x v="10"/>
    <x v="13"/>
    <x v="7"/>
    <x v="9"/>
    <x v="0"/>
    <x v="0"/>
    <x v="0"/>
    <x v="9"/>
  </r>
  <r>
    <x v="453"/>
    <x v="0"/>
    <x v="34"/>
    <x v="34"/>
    <x v="34"/>
    <x v="14"/>
    <x v="7"/>
    <x v="0"/>
    <x v="0"/>
    <x v="0"/>
    <x v="4"/>
    <x v="244"/>
    <x v="10"/>
    <x v="10"/>
    <x v="1"/>
    <x v="1"/>
    <x v="0"/>
    <x v="14"/>
    <x v="20"/>
    <x v="0"/>
    <x v="0"/>
    <x v="14"/>
    <x v="20"/>
    <x v="10"/>
    <x v="11"/>
    <x v="0"/>
    <x v="0"/>
    <x v="0"/>
    <x v="12"/>
  </r>
  <r>
    <x v="454"/>
    <x v="0"/>
    <x v="43"/>
    <x v="43"/>
    <x v="43"/>
    <x v="7"/>
    <x v="6"/>
    <x v="2"/>
    <x v="1"/>
    <x v="0"/>
    <x v="1"/>
    <x v="245"/>
    <x v="10"/>
    <x v="10"/>
    <x v="13"/>
    <x v="13"/>
    <x v="19"/>
    <x v="10"/>
    <x v="120"/>
    <x v="0"/>
    <x v="0"/>
    <x v="10"/>
    <x v="120"/>
    <x v="0"/>
    <x v="0"/>
    <x v="0"/>
    <x v="0"/>
    <x v="0"/>
    <x v="0"/>
  </r>
  <r>
    <x v="455"/>
    <x v="0"/>
    <x v="45"/>
    <x v="45"/>
    <x v="45"/>
    <x v="13"/>
    <x v="3"/>
    <x v="0"/>
    <x v="0"/>
    <x v="0"/>
    <x v="0"/>
    <x v="246"/>
    <x v="10"/>
    <x v="10"/>
    <x v="1"/>
    <x v="1"/>
    <x v="0"/>
    <x v="3"/>
    <x v="3"/>
    <x v="0"/>
    <x v="0"/>
    <x v="3"/>
    <x v="3"/>
    <x v="3"/>
    <x v="3"/>
    <x v="0"/>
    <x v="0"/>
    <x v="0"/>
    <x v="3"/>
  </r>
  <r>
    <x v="456"/>
    <x v="0"/>
    <x v="66"/>
    <x v="66"/>
    <x v="66"/>
    <x v="13"/>
    <x v="3"/>
    <x v="0"/>
    <x v="0"/>
    <x v="0"/>
    <x v="0"/>
    <x v="247"/>
    <x v="10"/>
    <x v="10"/>
    <x v="19"/>
    <x v="19"/>
    <x v="0"/>
    <x v="14"/>
    <x v="20"/>
    <x v="0"/>
    <x v="0"/>
    <x v="14"/>
    <x v="20"/>
    <x v="0"/>
    <x v="0"/>
    <x v="0"/>
    <x v="0"/>
    <x v="0"/>
    <x v="0"/>
  </r>
  <r>
    <x v="457"/>
    <x v="0"/>
    <x v="100"/>
    <x v="100"/>
    <x v="100"/>
    <x v="2"/>
    <x v="2"/>
    <x v="0"/>
    <x v="0"/>
    <x v="0"/>
    <x v="0"/>
    <x v="248"/>
    <x v="10"/>
    <x v="10"/>
    <x v="1"/>
    <x v="1"/>
    <x v="0"/>
    <x v="33"/>
    <x v="70"/>
    <x v="0"/>
    <x v="0"/>
    <x v="33"/>
    <x v="70"/>
    <x v="27"/>
    <x v="34"/>
    <x v="0"/>
    <x v="0"/>
    <x v="0"/>
    <x v="35"/>
  </r>
  <r>
    <x v="458"/>
    <x v="0"/>
    <x v="67"/>
    <x v="67"/>
    <x v="67"/>
    <x v="2"/>
    <x v="2"/>
    <x v="0"/>
    <x v="0"/>
    <x v="0"/>
    <x v="0"/>
    <x v="249"/>
    <x v="10"/>
    <x v="10"/>
    <x v="42"/>
    <x v="42"/>
    <x v="0"/>
    <x v="3"/>
    <x v="3"/>
    <x v="0"/>
    <x v="0"/>
    <x v="3"/>
    <x v="3"/>
    <x v="0"/>
    <x v="0"/>
    <x v="0"/>
    <x v="0"/>
    <x v="0"/>
    <x v="0"/>
  </r>
  <r>
    <x v="459"/>
    <x v="0"/>
    <x v="85"/>
    <x v="85"/>
    <x v="85"/>
    <x v="7"/>
    <x v="6"/>
    <x v="2"/>
    <x v="0"/>
    <x v="0"/>
    <x v="1"/>
    <x v="250"/>
    <x v="10"/>
    <x v="10"/>
    <x v="16"/>
    <x v="16"/>
    <x v="4"/>
    <x v="5"/>
    <x v="121"/>
    <x v="0"/>
    <x v="0"/>
    <x v="5"/>
    <x v="121"/>
    <x v="0"/>
    <x v="0"/>
    <x v="0"/>
    <x v="0"/>
    <x v="0"/>
    <x v="0"/>
  </r>
  <r>
    <x v="460"/>
    <x v="0"/>
    <x v="72"/>
    <x v="72"/>
    <x v="72"/>
    <x v="15"/>
    <x v="4"/>
    <x v="1"/>
    <x v="1"/>
    <x v="0"/>
    <x v="2"/>
    <x v="251"/>
    <x v="10"/>
    <x v="10"/>
    <x v="10"/>
    <x v="10"/>
    <x v="6"/>
    <x v="17"/>
    <x v="29"/>
    <x v="0"/>
    <x v="0"/>
    <x v="17"/>
    <x v="29"/>
    <x v="14"/>
    <x v="17"/>
    <x v="0"/>
    <x v="0"/>
    <x v="0"/>
    <x v="18"/>
  </r>
  <r>
    <x v="461"/>
    <x v="0"/>
    <x v="10"/>
    <x v="10"/>
    <x v="10"/>
    <x v="4"/>
    <x v="4"/>
    <x v="1"/>
    <x v="2"/>
    <x v="0"/>
    <x v="2"/>
    <x v="252"/>
    <x v="10"/>
    <x v="10"/>
    <x v="46"/>
    <x v="46"/>
    <x v="29"/>
    <x v="15"/>
    <x v="122"/>
    <x v="0"/>
    <x v="0"/>
    <x v="15"/>
    <x v="122"/>
    <x v="0"/>
    <x v="50"/>
    <x v="15"/>
    <x v="0"/>
    <x v="3"/>
    <x v="56"/>
  </r>
  <r>
    <x v="462"/>
    <x v="0"/>
    <x v="10"/>
    <x v="10"/>
    <x v="10"/>
    <x v="4"/>
    <x v="4"/>
    <x v="1"/>
    <x v="4"/>
    <x v="0"/>
    <x v="2"/>
    <x v="253"/>
    <x v="10"/>
    <x v="10"/>
    <x v="35"/>
    <x v="35"/>
    <x v="21"/>
    <x v="8"/>
    <x v="54"/>
    <x v="0"/>
    <x v="0"/>
    <x v="8"/>
    <x v="54"/>
    <x v="23"/>
    <x v="28"/>
    <x v="8"/>
    <x v="2"/>
    <x v="7"/>
    <x v="30"/>
  </r>
  <r>
    <x v="463"/>
    <x v="0"/>
    <x v="101"/>
    <x v="101"/>
    <x v="101"/>
    <x v="4"/>
    <x v="4"/>
    <x v="1"/>
    <x v="2"/>
    <x v="0"/>
    <x v="2"/>
    <x v="254"/>
    <x v="10"/>
    <x v="10"/>
    <x v="49"/>
    <x v="49"/>
    <x v="34"/>
    <x v="0"/>
    <x v="100"/>
    <x v="0"/>
    <x v="0"/>
    <x v="0"/>
    <x v="100"/>
    <x v="0"/>
    <x v="36"/>
    <x v="12"/>
    <x v="0"/>
    <x v="2"/>
    <x v="47"/>
  </r>
  <r>
    <x v="464"/>
    <x v="0"/>
    <x v="101"/>
    <x v="101"/>
    <x v="101"/>
    <x v="4"/>
    <x v="4"/>
    <x v="1"/>
    <x v="2"/>
    <x v="0"/>
    <x v="2"/>
    <x v="255"/>
    <x v="10"/>
    <x v="10"/>
    <x v="41"/>
    <x v="41"/>
    <x v="36"/>
    <x v="8"/>
    <x v="108"/>
    <x v="0"/>
    <x v="0"/>
    <x v="8"/>
    <x v="108"/>
    <x v="0"/>
    <x v="0"/>
    <x v="0"/>
    <x v="0"/>
    <x v="0"/>
    <x v="0"/>
  </r>
  <r>
    <x v="465"/>
    <x v="0"/>
    <x v="86"/>
    <x v="86"/>
    <x v="86"/>
    <x v="1"/>
    <x v="1"/>
    <x v="1"/>
    <x v="0"/>
    <x v="0"/>
    <x v="1"/>
    <x v="256"/>
    <x v="10"/>
    <x v="10"/>
    <x v="1"/>
    <x v="1"/>
    <x v="0"/>
    <x v="0"/>
    <x v="0"/>
    <x v="0"/>
    <x v="0"/>
    <x v="0"/>
    <x v="0"/>
    <x v="2"/>
    <x v="2"/>
    <x v="0"/>
    <x v="0"/>
    <x v="0"/>
    <x v="2"/>
  </r>
  <r>
    <x v="466"/>
    <x v="0"/>
    <x v="101"/>
    <x v="101"/>
    <x v="101"/>
    <x v="4"/>
    <x v="4"/>
    <x v="1"/>
    <x v="2"/>
    <x v="0"/>
    <x v="2"/>
    <x v="257"/>
    <x v="10"/>
    <x v="10"/>
    <x v="50"/>
    <x v="50"/>
    <x v="37"/>
    <x v="11"/>
    <x v="123"/>
    <x v="0"/>
    <x v="0"/>
    <x v="11"/>
    <x v="123"/>
    <x v="0"/>
    <x v="51"/>
    <x v="16"/>
    <x v="0"/>
    <x v="6"/>
    <x v="57"/>
  </r>
  <r>
    <x v="467"/>
    <x v="0"/>
    <x v="101"/>
    <x v="101"/>
    <x v="101"/>
    <x v="4"/>
    <x v="4"/>
    <x v="1"/>
    <x v="2"/>
    <x v="0"/>
    <x v="2"/>
    <x v="257"/>
    <x v="10"/>
    <x v="10"/>
    <x v="5"/>
    <x v="5"/>
    <x v="2"/>
    <x v="20"/>
    <x v="124"/>
    <x v="0"/>
    <x v="0"/>
    <x v="20"/>
    <x v="124"/>
    <x v="0"/>
    <x v="52"/>
    <x v="17"/>
    <x v="0"/>
    <x v="9"/>
    <x v="58"/>
  </r>
  <r>
    <x v="468"/>
    <x v="0"/>
    <x v="101"/>
    <x v="101"/>
    <x v="101"/>
    <x v="4"/>
    <x v="4"/>
    <x v="1"/>
    <x v="2"/>
    <x v="0"/>
    <x v="2"/>
    <x v="257"/>
    <x v="10"/>
    <x v="10"/>
    <x v="49"/>
    <x v="49"/>
    <x v="34"/>
    <x v="5"/>
    <x v="125"/>
    <x v="0"/>
    <x v="0"/>
    <x v="5"/>
    <x v="125"/>
    <x v="0"/>
    <x v="53"/>
    <x v="18"/>
    <x v="0"/>
    <x v="1"/>
    <x v="59"/>
  </r>
  <r>
    <x v="469"/>
    <x v="0"/>
    <x v="101"/>
    <x v="101"/>
    <x v="101"/>
    <x v="4"/>
    <x v="4"/>
    <x v="1"/>
    <x v="2"/>
    <x v="0"/>
    <x v="2"/>
    <x v="258"/>
    <x v="10"/>
    <x v="10"/>
    <x v="46"/>
    <x v="46"/>
    <x v="29"/>
    <x v="6"/>
    <x v="126"/>
    <x v="0"/>
    <x v="0"/>
    <x v="6"/>
    <x v="126"/>
    <x v="0"/>
    <x v="54"/>
    <x v="19"/>
    <x v="0"/>
    <x v="8"/>
    <x v="60"/>
  </r>
  <r>
    <x v="470"/>
    <x v="0"/>
    <x v="66"/>
    <x v="66"/>
    <x v="66"/>
    <x v="13"/>
    <x v="3"/>
    <x v="0"/>
    <x v="5"/>
    <x v="0"/>
    <x v="0"/>
    <x v="259"/>
    <x v="10"/>
    <x v="10"/>
    <x v="27"/>
    <x v="27"/>
    <x v="13"/>
    <x v="33"/>
    <x v="127"/>
    <x v="0"/>
    <x v="0"/>
    <x v="33"/>
    <x v="127"/>
    <x v="0"/>
    <x v="0"/>
    <x v="0"/>
    <x v="0"/>
    <x v="0"/>
    <x v="0"/>
  </r>
  <r>
    <x v="471"/>
    <x v="0"/>
    <x v="66"/>
    <x v="66"/>
    <x v="66"/>
    <x v="13"/>
    <x v="3"/>
    <x v="0"/>
    <x v="5"/>
    <x v="0"/>
    <x v="0"/>
    <x v="259"/>
    <x v="10"/>
    <x v="10"/>
    <x v="26"/>
    <x v="26"/>
    <x v="12"/>
    <x v="18"/>
    <x v="128"/>
    <x v="0"/>
    <x v="0"/>
    <x v="18"/>
    <x v="128"/>
    <x v="0"/>
    <x v="0"/>
    <x v="0"/>
    <x v="0"/>
    <x v="0"/>
    <x v="0"/>
  </r>
  <r>
    <x v="472"/>
    <x v="0"/>
    <x v="66"/>
    <x v="66"/>
    <x v="66"/>
    <x v="13"/>
    <x v="3"/>
    <x v="0"/>
    <x v="5"/>
    <x v="0"/>
    <x v="0"/>
    <x v="260"/>
    <x v="10"/>
    <x v="10"/>
    <x v="28"/>
    <x v="28"/>
    <x v="14"/>
    <x v="6"/>
    <x v="91"/>
    <x v="0"/>
    <x v="0"/>
    <x v="6"/>
    <x v="91"/>
    <x v="0"/>
    <x v="0"/>
    <x v="0"/>
    <x v="0"/>
    <x v="0"/>
    <x v="0"/>
  </r>
  <r>
    <x v="473"/>
    <x v="0"/>
    <x v="28"/>
    <x v="28"/>
    <x v="28"/>
    <x v="8"/>
    <x v="7"/>
    <x v="0"/>
    <x v="5"/>
    <x v="0"/>
    <x v="0"/>
    <x v="261"/>
    <x v="10"/>
    <x v="10"/>
    <x v="27"/>
    <x v="27"/>
    <x v="13"/>
    <x v="6"/>
    <x v="129"/>
    <x v="0"/>
    <x v="0"/>
    <x v="6"/>
    <x v="129"/>
    <x v="0"/>
    <x v="0"/>
    <x v="0"/>
    <x v="0"/>
    <x v="0"/>
    <x v="0"/>
  </r>
  <r>
    <x v="474"/>
    <x v="0"/>
    <x v="28"/>
    <x v="28"/>
    <x v="28"/>
    <x v="8"/>
    <x v="7"/>
    <x v="0"/>
    <x v="1"/>
    <x v="0"/>
    <x v="0"/>
    <x v="261"/>
    <x v="10"/>
    <x v="10"/>
    <x v="10"/>
    <x v="10"/>
    <x v="6"/>
    <x v="22"/>
    <x v="69"/>
    <x v="0"/>
    <x v="0"/>
    <x v="22"/>
    <x v="69"/>
    <x v="19"/>
    <x v="34"/>
    <x v="0"/>
    <x v="0"/>
    <x v="0"/>
    <x v="37"/>
  </r>
  <r>
    <x v="475"/>
    <x v="0"/>
    <x v="28"/>
    <x v="28"/>
    <x v="28"/>
    <x v="8"/>
    <x v="7"/>
    <x v="0"/>
    <x v="5"/>
    <x v="0"/>
    <x v="0"/>
    <x v="262"/>
    <x v="10"/>
    <x v="10"/>
    <x v="28"/>
    <x v="28"/>
    <x v="14"/>
    <x v="6"/>
    <x v="91"/>
    <x v="0"/>
    <x v="0"/>
    <x v="6"/>
    <x v="91"/>
    <x v="0"/>
    <x v="0"/>
    <x v="0"/>
    <x v="0"/>
    <x v="0"/>
    <x v="0"/>
  </r>
  <r>
    <x v="476"/>
    <x v="0"/>
    <x v="74"/>
    <x v="74"/>
    <x v="74"/>
    <x v="2"/>
    <x v="2"/>
    <x v="0"/>
    <x v="0"/>
    <x v="0"/>
    <x v="0"/>
    <x v="263"/>
    <x v="11"/>
    <x v="11"/>
    <x v="31"/>
    <x v="31"/>
    <x v="17"/>
    <x v="6"/>
    <x v="59"/>
    <x v="0"/>
    <x v="0"/>
    <x v="6"/>
    <x v="59"/>
    <x v="4"/>
    <x v="5"/>
    <x v="0"/>
    <x v="0"/>
    <x v="0"/>
    <x v="5"/>
  </r>
  <r>
    <x v="477"/>
    <x v="0"/>
    <x v="74"/>
    <x v="74"/>
    <x v="74"/>
    <x v="2"/>
    <x v="2"/>
    <x v="0"/>
    <x v="0"/>
    <x v="0"/>
    <x v="0"/>
    <x v="263"/>
    <x v="11"/>
    <x v="11"/>
    <x v="1"/>
    <x v="1"/>
    <x v="0"/>
    <x v="6"/>
    <x v="6"/>
    <x v="0"/>
    <x v="0"/>
    <x v="6"/>
    <x v="6"/>
    <x v="4"/>
    <x v="5"/>
    <x v="0"/>
    <x v="0"/>
    <x v="0"/>
    <x v="5"/>
  </r>
  <r>
    <x v="478"/>
    <x v="0"/>
    <x v="21"/>
    <x v="21"/>
    <x v="21"/>
    <x v="11"/>
    <x v="2"/>
    <x v="0"/>
    <x v="0"/>
    <x v="0"/>
    <x v="0"/>
    <x v="264"/>
    <x v="11"/>
    <x v="11"/>
    <x v="6"/>
    <x v="6"/>
    <x v="0"/>
    <x v="11"/>
    <x v="21"/>
    <x v="0"/>
    <x v="0"/>
    <x v="11"/>
    <x v="21"/>
    <x v="11"/>
    <x v="12"/>
    <x v="0"/>
    <x v="0"/>
    <x v="0"/>
    <x v="13"/>
  </r>
  <r>
    <x v="479"/>
    <x v="0"/>
    <x v="39"/>
    <x v="39"/>
    <x v="39"/>
    <x v="3"/>
    <x v="3"/>
    <x v="0"/>
    <x v="1"/>
    <x v="0"/>
    <x v="0"/>
    <x v="265"/>
    <x v="11"/>
    <x v="11"/>
    <x v="10"/>
    <x v="10"/>
    <x v="6"/>
    <x v="3"/>
    <x v="50"/>
    <x v="0"/>
    <x v="0"/>
    <x v="3"/>
    <x v="50"/>
    <x v="3"/>
    <x v="11"/>
    <x v="0"/>
    <x v="0"/>
    <x v="0"/>
    <x v="29"/>
  </r>
  <r>
    <x v="480"/>
    <x v="0"/>
    <x v="39"/>
    <x v="39"/>
    <x v="39"/>
    <x v="3"/>
    <x v="3"/>
    <x v="0"/>
    <x v="0"/>
    <x v="0"/>
    <x v="0"/>
    <x v="265"/>
    <x v="11"/>
    <x v="11"/>
    <x v="1"/>
    <x v="1"/>
    <x v="0"/>
    <x v="3"/>
    <x v="3"/>
    <x v="0"/>
    <x v="0"/>
    <x v="3"/>
    <x v="3"/>
    <x v="3"/>
    <x v="3"/>
    <x v="0"/>
    <x v="0"/>
    <x v="0"/>
    <x v="3"/>
  </r>
  <r>
    <x v="481"/>
    <x v="0"/>
    <x v="25"/>
    <x v="25"/>
    <x v="25"/>
    <x v="3"/>
    <x v="3"/>
    <x v="0"/>
    <x v="0"/>
    <x v="0"/>
    <x v="0"/>
    <x v="266"/>
    <x v="11"/>
    <x v="11"/>
    <x v="2"/>
    <x v="2"/>
    <x v="0"/>
    <x v="6"/>
    <x v="6"/>
    <x v="0"/>
    <x v="0"/>
    <x v="6"/>
    <x v="6"/>
    <x v="0"/>
    <x v="0"/>
    <x v="0"/>
    <x v="0"/>
    <x v="0"/>
    <x v="0"/>
  </r>
  <r>
    <x v="482"/>
    <x v="0"/>
    <x v="40"/>
    <x v="40"/>
    <x v="40"/>
    <x v="14"/>
    <x v="7"/>
    <x v="0"/>
    <x v="0"/>
    <x v="0"/>
    <x v="4"/>
    <x v="267"/>
    <x v="11"/>
    <x v="11"/>
    <x v="1"/>
    <x v="1"/>
    <x v="0"/>
    <x v="3"/>
    <x v="3"/>
    <x v="0"/>
    <x v="0"/>
    <x v="3"/>
    <x v="3"/>
    <x v="3"/>
    <x v="3"/>
    <x v="0"/>
    <x v="0"/>
    <x v="0"/>
    <x v="3"/>
  </r>
  <r>
    <x v="483"/>
    <x v="0"/>
    <x v="42"/>
    <x v="42"/>
    <x v="42"/>
    <x v="14"/>
    <x v="7"/>
    <x v="0"/>
    <x v="1"/>
    <x v="0"/>
    <x v="4"/>
    <x v="268"/>
    <x v="11"/>
    <x v="11"/>
    <x v="47"/>
    <x v="47"/>
    <x v="6"/>
    <x v="10"/>
    <x v="13"/>
    <x v="0"/>
    <x v="0"/>
    <x v="10"/>
    <x v="13"/>
    <x v="0"/>
    <x v="0"/>
    <x v="0"/>
    <x v="0"/>
    <x v="0"/>
    <x v="0"/>
  </r>
  <r>
    <x v="484"/>
    <x v="0"/>
    <x v="43"/>
    <x v="43"/>
    <x v="43"/>
    <x v="7"/>
    <x v="6"/>
    <x v="2"/>
    <x v="0"/>
    <x v="0"/>
    <x v="1"/>
    <x v="269"/>
    <x v="11"/>
    <x v="11"/>
    <x v="40"/>
    <x v="40"/>
    <x v="25"/>
    <x v="9"/>
    <x v="130"/>
    <x v="0"/>
    <x v="0"/>
    <x v="9"/>
    <x v="130"/>
    <x v="0"/>
    <x v="0"/>
    <x v="0"/>
    <x v="0"/>
    <x v="0"/>
    <x v="0"/>
  </r>
  <r>
    <x v="485"/>
    <x v="0"/>
    <x v="43"/>
    <x v="43"/>
    <x v="43"/>
    <x v="7"/>
    <x v="6"/>
    <x v="2"/>
    <x v="1"/>
    <x v="0"/>
    <x v="1"/>
    <x v="269"/>
    <x v="11"/>
    <x v="11"/>
    <x v="13"/>
    <x v="13"/>
    <x v="19"/>
    <x v="25"/>
    <x v="131"/>
    <x v="0"/>
    <x v="0"/>
    <x v="25"/>
    <x v="131"/>
    <x v="0"/>
    <x v="0"/>
    <x v="0"/>
    <x v="0"/>
    <x v="0"/>
    <x v="0"/>
  </r>
  <r>
    <x v="486"/>
    <x v="0"/>
    <x v="34"/>
    <x v="34"/>
    <x v="34"/>
    <x v="14"/>
    <x v="7"/>
    <x v="0"/>
    <x v="0"/>
    <x v="0"/>
    <x v="4"/>
    <x v="270"/>
    <x v="11"/>
    <x v="11"/>
    <x v="1"/>
    <x v="1"/>
    <x v="0"/>
    <x v="14"/>
    <x v="20"/>
    <x v="0"/>
    <x v="0"/>
    <x v="14"/>
    <x v="20"/>
    <x v="10"/>
    <x v="11"/>
    <x v="0"/>
    <x v="0"/>
    <x v="0"/>
    <x v="12"/>
  </r>
  <r>
    <x v="487"/>
    <x v="0"/>
    <x v="34"/>
    <x v="34"/>
    <x v="34"/>
    <x v="14"/>
    <x v="7"/>
    <x v="0"/>
    <x v="0"/>
    <x v="0"/>
    <x v="4"/>
    <x v="270"/>
    <x v="11"/>
    <x v="11"/>
    <x v="7"/>
    <x v="7"/>
    <x v="0"/>
    <x v="32"/>
    <x v="132"/>
    <x v="0"/>
    <x v="0"/>
    <x v="32"/>
    <x v="132"/>
    <x v="0"/>
    <x v="0"/>
    <x v="0"/>
    <x v="0"/>
    <x v="0"/>
    <x v="0"/>
  </r>
  <r>
    <x v="488"/>
    <x v="0"/>
    <x v="34"/>
    <x v="34"/>
    <x v="34"/>
    <x v="14"/>
    <x v="7"/>
    <x v="0"/>
    <x v="1"/>
    <x v="0"/>
    <x v="4"/>
    <x v="270"/>
    <x v="11"/>
    <x v="11"/>
    <x v="10"/>
    <x v="10"/>
    <x v="6"/>
    <x v="32"/>
    <x v="66"/>
    <x v="0"/>
    <x v="0"/>
    <x v="32"/>
    <x v="66"/>
    <x v="26"/>
    <x v="32"/>
    <x v="0"/>
    <x v="0"/>
    <x v="0"/>
    <x v="35"/>
  </r>
  <r>
    <x v="489"/>
    <x v="0"/>
    <x v="89"/>
    <x v="89"/>
    <x v="89"/>
    <x v="14"/>
    <x v="7"/>
    <x v="0"/>
    <x v="0"/>
    <x v="0"/>
    <x v="4"/>
    <x v="271"/>
    <x v="11"/>
    <x v="11"/>
    <x v="7"/>
    <x v="7"/>
    <x v="0"/>
    <x v="24"/>
    <x v="48"/>
    <x v="0"/>
    <x v="0"/>
    <x v="24"/>
    <x v="48"/>
    <x v="0"/>
    <x v="0"/>
    <x v="0"/>
    <x v="0"/>
    <x v="0"/>
    <x v="0"/>
  </r>
  <r>
    <x v="490"/>
    <x v="0"/>
    <x v="41"/>
    <x v="41"/>
    <x v="41"/>
    <x v="14"/>
    <x v="7"/>
    <x v="0"/>
    <x v="2"/>
    <x v="0"/>
    <x v="4"/>
    <x v="272"/>
    <x v="11"/>
    <x v="11"/>
    <x v="49"/>
    <x v="49"/>
    <x v="34"/>
    <x v="11"/>
    <x v="133"/>
    <x v="0"/>
    <x v="0"/>
    <x v="11"/>
    <x v="133"/>
    <x v="0"/>
    <x v="10"/>
    <x v="20"/>
    <x v="0"/>
    <x v="6"/>
    <x v="61"/>
  </r>
  <r>
    <x v="491"/>
    <x v="0"/>
    <x v="41"/>
    <x v="41"/>
    <x v="41"/>
    <x v="14"/>
    <x v="7"/>
    <x v="0"/>
    <x v="0"/>
    <x v="0"/>
    <x v="4"/>
    <x v="273"/>
    <x v="11"/>
    <x v="11"/>
    <x v="40"/>
    <x v="40"/>
    <x v="0"/>
    <x v="17"/>
    <x v="27"/>
    <x v="0"/>
    <x v="0"/>
    <x v="17"/>
    <x v="27"/>
    <x v="0"/>
    <x v="0"/>
    <x v="0"/>
    <x v="0"/>
    <x v="0"/>
    <x v="0"/>
  </r>
  <r>
    <x v="492"/>
    <x v="0"/>
    <x v="81"/>
    <x v="81"/>
    <x v="81"/>
    <x v="7"/>
    <x v="6"/>
    <x v="2"/>
    <x v="2"/>
    <x v="0"/>
    <x v="1"/>
    <x v="274"/>
    <x v="11"/>
    <x v="11"/>
    <x v="46"/>
    <x v="46"/>
    <x v="38"/>
    <x v="6"/>
    <x v="134"/>
    <x v="0"/>
    <x v="0"/>
    <x v="6"/>
    <x v="134"/>
    <x v="0"/>
    <x v="0"/>
    <x v="0"/>
    <x v="0"/>
    <x v="0"/>
    <x v="0"/>
  </r>
  <r>
    <x v="493"/>
    <x v="0"/>
    <x v="30"/>
    <x v="30"/>
    <x v="30"/>
    <x v="7"/>
    <x v="6"/>
    <x v="2"/>
    <x v="0"/>
    <x v="0"/>
    <x v="1"/>
    <x v="275"/>
    <x v="11"/>
    <x v="11"/>
    <x v="19"/>
    <x v="19"/>
    <x v="25"/>
    <x v="0"/>
    <x v="77"/>
    <x v="0"/>
    <x v="0"/>
    <x v="0"/>
    <x v="77"/>
    <x v="0"/>
    <x v="0"/>
    <x v="0"/>
    <x v="0"/>
    <x v="0"/>
    <x v="0"/>
  </r>
  <r>
    <x v="494"/>
    <x v="0"/>
    <x v="102"/>
    <x v="102"/>
    <x v="102"/>
    <x v="7"/>
    <x v="6"/>
    <x v="2"/>
    <x v="4"/>
    <x v="0"/>
    <x v="1"/>
    <x v="276"/>
    <x v="11"/>
    <x v="11"/>
    <x v="18"/>
    <x v="18"/>
    <x v="22"/>
    <x v="8"/>
    <x v="135"/>
    <x v="0"/>
    <x v="0"/>
    <x v="8"/>
    <x v="135"/>
    <x v="0"/>
    <x v="0"/>
    <x v="0"/>
    <x v="0"/>
    <x v="0"/>
    <x v="0"/>
  </r>
  <r>
    <x v="495"/>
    <x v="0"/>
    <x v="73"/>
    <x v="73"/>
    <x v="73"/>
    <x v="7"/>
    <x v="6"/>
    <x v="2"/>
    <x v="0"/>
    <x v="0"/>
    <x v="1"/>
    <x v="277"/>
    <x v="11"/>
    <x v="11"/>
    <x v="1"/>
    <x v="1"/>
    <x v="4"/>
    <x v="11"/>
    <x v="74"/>
    <x v="0"/>
    <x v="0"/>
    <x v="11"/>
    <x v="74"/>
    <x v="0"/>
    <x v="0"/>
    <x v="0"/>
    <x v="0"/>
    <x v="0"/>
    <x v="0"/>
  </r>
  <r>
    <x v="496"/>
    <x v="0"/>
    <x v="28"/>
    <x v="28"/>
    <x v="28"/>
    <x v="8"/>
    <x v="7"/>
    <x v="0"/>
    <x v="1"/>
    <x v="0"/>
    <x v="0"/>
    <x v="278"/>
    <x v="11"/>
    <x v="11"/>
    <x v="10"/>
    <x v="10"/>
    <x v="6"/>
    <x v="20"/>
    <x v="35"/>
    <x v="0"/>
    <x v="0"/>
    <x v="20"/>
    <x v="35"/>
    <x v="28"/>
    <x v="1"/>
    <x v="0"/>
    <x v="0"/>
    <x v="0"/>
    <x v="38"/>
  </r>
  <r>
    <x v="497"/>
    <x v="0"/>
    <x v="103"/>
    <x v="103"/>
    <x v="103"/>
    <x v="15"/>
    <x v="4"/>
    <x v="1"/>
    <x v="0"/>
    <x v="0"/>
    <x v="2"/>
    <x v="279"/>
    <x v="11"/>
    <x v="11"/>
    <x v="31"/>
    <x v="31"/>
    <x v="17"/>
    <x v="6"/>
    <x v="59"/>
    <x v="0"/>
    <x v="0"/>
    <x v="6"/>
    <x v="59"/>
    <x v="4"/>
    <x v="5"/>
    <x v="0"/>
    <x v="0"/>
    <x v="0"/>
    <x v="5"/>
  </r>
  <r>
    <x v="498"/>
    <x v="0"/>
    <x v="31"/>
    <x v="31"/>
    <x v="31"/>
    <x v="12"/>
    <x v="1"/>
    <x v="1"/>
    <x v="0"/>
    <x v="0"/>
    <x v="1"/>
    <x v="280"/>
    <x v="11"/>
    <x v="11"/>
    <x v="1"/>
    <x v="1"/>
    <x v="0"/>
    <x v="17"/>
    <x v="27"/>
    <x v="0"/>
    <x v="0"/>
    <x v="17"/>
    <x v="27"/>
    <x v="14"/>
    <x v="22"/>
    <x v="0"/>
    <x v="0"/>
    <x v="0"/>
    <x v="23"/>
  </r>
  <r>
    <x v="499"/>
    <x v="0"/>
    <x v="99"/>
    <x v="99"/>
    <x v="99"/>
    <x v="3"/>
    <x v="3"/>
    <x v="0"/>
    <x v="3"/>
    <x v="0"/>
    <x v="0"/>
    <x v="281"/>
    <x v="11"/>
    <x v="11"/>
    <x v="8"/>
    <x v="8"/>
    <x v="3"/>
    <x v="7"/>
    <x v="7"/>
    <x v="0"/>
    <x v="0"/>
    <x v="7"/>
    <x v="7"/>
    <x v="0"/>
    <x v="0"/>
    <x v="0"/>
    <x v="0"/>
    <x v="0"/>
    <x v="0"/>
  </r>
  <r>
    <x v="500"/>
    <x v="0"/>
    <x v="62"/>
    <x v="62"/>
    <x v="62"/>
    <x v="0"/>
    <x v="0"/>
    <x v="0"/>
    <x v="0"/>
    <x v="0"/>
    <x v="0"/>
    <x v="282"/>
    <x v="12"/>
    <x v="12"/>
    <x v="1"/>
    <x v="1"/>
    <x v="0"/>
    <x v="17"/>
    <x v="27"/>
    <x v="0"/>
    <x v="0"/>
    <x v="17"/>
    <x v="27"/>
    <x v="14"/>
    <x v="22"/>
    <x v="0"/>
    <x v="0"/>
    <x v="0"/>
    <x v="23"/>
  </r>
  <r>
    <x v="501"/>
    <x v="0"/>
    <x v="10"/>
    <x v="10"/>
    <x v="10"/>
    <x v="4"/>
    <x v="4"/>
    <x v="1"/>
    <x v="2"/>
    <x v="0"/>
    <x v="2"/>
    <x v="283"/>
    <x v="12"/>
    <x v="12"/>
    <x v="50"/>
    <x v="50"/>
    <x v="37"/>
    <x v="5"/>
    <x v="136"/>
    <x v="0"/>
    <x v="0"/>
    <x v="5"/>
    <x v="136"/>
    <x v="0"/>
    <x v="55"/>
    <x v="21"/>
    <x v="0"/>
    <x v="1"/>
    <x v="62"/>
  </r>
  <r>
    <x v="502"/>
    <x v="0"/>
    <x v="101"/>
    <x v="101"/>
    <x v="101"/>
    <x v="4"/>
    <x v="4"/>
    <x v="1"/>
    <x v="2"/>
    <x v="0"/>
    <x v="2"/>
    <x v="284"/>
    <x v="12"/>
    <x v="12"/>
    <x v="50"/>
    <x v="50"/>
    <x v="37"/>
    <x v="17"/>
    <x v="137"/>
    <x v="0"/>
    <x v="0"/>
    <x v="17"/>
    <x v="137"/>
    <x v="0"/>
    <x v="56"/>
    <x v="22"/>
    <x v="0"/>
    <x v="4"/>
    <x v="63"/>
  </r>
  <r>
    <x v="503"/>
    <x v="0"/>
    <x v="52"/>
    <x v="52"/>
    <x v="52"/>
    <x v="1"/>
    <x v="1"/>
    <x v="1"/>
    <x v="0"/>
    <x v="0"/>
    <x v="1"/>
    <x v="285"/>
    <x v="12"/>
    <x v="12"/>
    <x v="37"/>
    <x v="37"/>
    <x v="0"/>
    <x v="0"/>
    <x v="0"/>
    <x v="0"/>
    <x v="0"/>
    <x v="0"/>
    <x v="0"/>
    <x v="0"/>
    <x v="0"/>
    <x v="0"/>
    <x v="0"/>
    <x v="0"/>
    <x v="0"/>
  </r>
  <r>
    <x v="504"/>
    <x v="0"/>
    <x v="49"/>
    <x v="49"/>
    <x v="49"/>
    <x v="13"/>
    <x v="3"/>
    <x v="0"/>
    <x v="0"/>
    <x v="0"/>
    <x v="0"/>
    <x v="286"/>
    <x v="12"/>
    <x v="12"/>
    <x v="1"/>
    <x v="1"/>
    <x v="0"/>
    <x v="1"/>
    <x v="1"/>
    <x v="0"/>
    <x v="0"/>
    <x v="1"/>
    <x v="1"/>
    <x v="1"/>
    <x v="1"/>
    <x v="0"/>
    <x v="0"/>
    <x v="0"/>
    <x v="1"/>
  </r>
  <r>
    <x v="505"/>
    <x v="0"/>
    <x v="66"/>
    <x v="66"/>
    <x v="66"/>
    <x v="13"/>
    <x v="3"/>
    <x v="0"/>
    <x v="0"/>
    <x v="0"/>
    <x v="0"/>
    <x v="287"/>
    <x v="12"/>
    <x v="12"/>
    <x v="19"/>
    <x v="19"/>
    <x v="0"/>
    <x v="36"/>
    <x v="111"/>
    <x v="0"/>
    <x v="0"/>
    <x v="36"/>
    <x v="111"/>
    <x v="0"/>
    <x v="0"/>
    <x v="0"/>
    <x v="0"/>
    <x v="0"/>
    <x v="0"/>
  </r>
  <r>
    <x v="506"/>
    <x v="0"/>
    <x v="21"/>
    <x v="21"/>
    <x v="21"/>
    <x v="11"/>
    <x v="2"/>
    <x v="0"/>
    <x v="1"/>
    <x v="0"/>
    <x v="0"/>
    <x v="288"/>
    <x v="12"/>
    <x v="12"/>
    <x v="13"/>
    <x v="13"/>
    <x v="6"/>
    <x v="8"/>
    <x v="85"/>
    <x v="0"/>
    <x v="0"/>
    <x v="8"/>
    <x v="85"/>
    <x v="0"/>
    <x v="0"/>
    <x v="0"/>
    <x v="0"/>
    <x v="0"/>
    <x v="0"/>
  </r>
  <r>
    <x v="507"/>
    <x v="0"/>
    <x v="45"/>
    <x v="45"/>
    <x v="45"/>
    <x v="13"/>
    <x v="3"/>
    <x v="0"/>
    <x v="1"/>
    <x v="0"/>
    <x v="0"/>
    <x v="289"/>
    <x v="12"/>
    <x v="12"/>
    <x v="10"/>
    <x v="10"/>
    <x v="6"/>
    <x v="3"/>
    <x v="50"/>
    <x v="0"/>
    <x v="0"/>
    <x v="3"/>
    <x v="50"/>
    <x v="3"/>
    <x v="11"/>
    <x v="0"/>
    <x v="0"/>
    <x v="0"/>
    <x v="29"/>
  </r>
  <r>
    <x v="508"/>
    <x v="0"/>
    <x v="48"/>
    <x v="48"/>
    <x v="48"/>
    <x v="13"/>
    <x v="3"/>
    <x v="0"/>
    <x v="5"/>
    <x v="0"/>
    <x v="0"/>
    <x v="290"/>
    <x v="12"/>
    <x v="12"/>
    <x v="28"/>
    <x v="28"/>
    <x v="14"/>
    <x v="15"/>
    <x v="138"/>
    <x v="0"/>
    <x v="0"/>
    <x v="15"/>
    <x v="138"/>
    <x v="0"/>
    <x v="0"/>
    <x v="0"/>
    <x v="0"/>
    <x v="0"/>
    <x v="0"/>
  </r>
  <r>
    <x v="509"/>
    <x v="0"/>
    <x v="34"/>
    <x v="34"/>
    <x v="34"/>
    <x v="14"/>
    <x v="7"/>
    <x v="0"/>
    <x v="0"/>
    <x v="0"/>
    <x v="4"/>
    <x v="291"/>
    <x v="12"/>
    <x v="12"/>
    <x v="1"/>
    <x v="1"/>
    <x v="0"/>
    <x v="13"/>
    <x v="19"/>
    <x v="0"/>
    <x v="0"/>
    <x v="13"/>
    <x v="19"/>
    <x v="32"/>
    <x v="42"/>
    <x v="0"/>
    <x v="0"/>
    <x v="0"/>
    <x v="46"/>
  </r>
  <r>
    <x v="510"/>
    <x v="0"/>
    <x v="34"/>
    <x v="34"/>
    <x v="34"/>
    <x v="14"/>
    <x v="7"/>
    <x v="0"/>
    <x v="1"/>
    <x v="0"/>
    <x v="4"/>
    <x v="291"/>
    <x v="12"/>
    <x v="12"/>
    <x v="10"/>
    <x v="10"/>
    <x v="6"/>
    <x v="33"/>
    <x v="139"/>
    <x v="0"/>
    <x v="0"/>
    <x v="33"/>
    <x v="139"/>
    <x v="27"/>
    <x v="30"/>
    <x v="0"/>
    <x v="0"/>
    <x v="0"/>
    <x v="64"/>
  </r>
  <r>
    <x v="511"/>
    <x v="0"/>
    <x v="34"/>
    <x v="34"/>
    <x v="34"/>
    <x v="14"/>
    <x v="7"/>
    <x v="0"/>
    <x v="0"/>
    <x v="0"/>
    <x v="4"/>
    <x v="291"/>
    <x v="12"/>
    <x v="12"/>
    <x v="7"/>
    <x v="7"/>
    <x v="0"/>
    <x v="1"/>
    <x v="1"/>
    <x v="0"/>
    <x v="0"/>
    <x v="1"/>
    <x v="1"/>
    <x v="0"/>
    <x v="0"/>
    <x v="0"/>
    <x v="0"/>
    <x v="0"/>
    <x v="0"/>
  </r>
  <r>
    <x v="512"/>
    <x v="0"/>
    <x v="67"/>
    <x v="67"/>
    <x v="67"/>
    <x v="2"/>
    <x v="2"/>
    <x v="0"/>
    <x v="1"/>
    <x v="0"/>
    <x v="0"/>
    <x v="292"/>
    <x v="12"/>
    <x v="12"/>
    <x v="10"/>
    <x v="10"/>
    <x v="6"/>
    <x v="20"/>
    <x v="35"/>
    <x v="0"/>
    <x v="0"/>
    <x v="20"/>
    <x v="35"/>
    <x v="28"/>
    <x v="1"/>
    <x v="0"/>
    <x v="0"/>
    <x v="0"/>
    <x v="38"/>
  </r>
  <r>
    <x v="513"/>
    <x v="0"/>
    <x v="28"/>
    <x v="28"/>
    <x v="28"/>
    <x v="8"/>
    <x v="7"/>
    <x v="0"/>
    <x v="6"/>
    <x v="0"/>
    <x v="0"/>
    <x v="293"/>
    <x v="12"/>
    <x v="12"/>
    <x v="48"/>
    <x v="48"/>
    <x v="30"/>
    <x v="5"/>
    <x v="106"/>
    <x v="0"/>
    <x v="0"/>
    <x v="5"/>
    <x v="106"/>
    <x v="0"/>
    <x v="0"/>
    <x v="0"/>
    <x v="0"/>
    <x v="0"/>
    <x v="0"/>
  </r>
  <r>
    <x v="514"/>
    <x v="0"/>
    <x v="28"/>
    <x v="28"/>
    <x v="28"/>
    <x v="8"/>
    <x v="7"/>
    <x v="0"/>
    <x v="5"/>
    <x v="0"/>
    <x v="0"/>
    <x v="293"/>
    <x v="12"/>
    <x v="12"/>
    <x v="27"/>
    <x v="27"/>
    <x v="13"/>
    <x v="6"/>
    <x v="129"/>
    <x v="0"/>
    <x v="0"/>
    <x v="6"/>
    <x v="129"/>
    <x v="0"/>
    <x v="0"/>
    <x v="0"/>
    <x v="0"/>
    <x v="0"/>
    <x v="0"/>
  </r>
  <r>
    <x v="515"/>
    <x v="0"/>
    <x v="28"/>
    <x v="28"/>
    <x v="28"/>
    <x v="8"/>
    <x v="7"/>
    <x v="0"/>
    <x v="5"/>
    <x v="0"/>
    <x v="0"/>
    <x v="293"/>
    <x v="12"/>
    <x v="12"/>
    <x v="28"/>
    <x v="28"/>
    <x v="14"/>
    <x v="6"/>
    <x v="91"/>
    <x v="0"/>
    <x v="0"/>
    <x v="6"/>
    <x v="91"/>
    <x v="0"/>
    <x v="0"/>
    <x v="0"/>
    <x v="0"/>
    <x v="0"/>
    <x v="0"/>
  </r>
  <r>
    <x v="516"/>
    <x v="0"/>
    <x v="28"/>
    <x v="28"/>
    <x v="28"/>
    <x v="8"/>
    <x v="7"/>
    <x v="0"/>
    <x v="1"/>
    <x v="0"/>
    <x v="0"/>
    <x v="293"/>
    <x v="12"/>
    <x v="12"/>
    <x v="10"/>
    <x v="10"/>
    <x v="6"/>
    <x v="20"/>
    <x v="35"/>
    <x v="0"/>
    <x v="0"/>
    <x v="20"/>
    <x v="35"/>
    <x v="28"/>
    <x v="1"/>
    <x v="0"/>
    <x v="0"/>
    <x v="0"/>
    <x v="38"/>
  </r>
  <r>
    <x v="517"/>
    <x v="0"/>
    <x v="28"/>
    <x v="28"/>
    <x v="28"/>
    <x v="8"/>
    <x v="7"/>
    <x v="0"/>
    <x v="6"/>
    <x v="0"/>
    <x v="0"/>
    <x v="293"/>
    <x v="12"/>
    <x v="12"/>
    <x v="33"/>
    <x v="33"/>
    <x v="20"/>
    <x v="8"/>
    <x v="52"/>
    <x v="0"/>
    <x v="0"/>
    <x v="8"/>
    <x v="52"/>
    <x v="0"/>
    <x v="0"/>
    <x v="0"/>
    <x v="0"/>
    <x v="0"/>
    <x v="0"/>
  </r>
  <r>
    <x v="518"/>
    <x v="0"/>
    <x v="28"/>
    <x v="28"/>
    <x v="28"/>
    <x v="8"/>
    <x v="7"/>
    <x v="0"/>
    <x v="5"/>
    <x v="0"/>
    <x v="0"/>
    <x v="293"/>
    <x v="12"/>
    <x v="12"/>
    <x v="26"/>
    <x v="26"/>
    <x v="12"/>
    <x v="5"/>
    <x v="71"/>
    <x v="0"/>
    <x v="0"/>
    <x v="5"/>
    <x v="71"/>
    <x v="0"/>
    <x v="0"/>
    <x v="0"/>
    <x v="0"/>
    <x v="0"/>
    <x v="0"/>
  </r>
  <r>
    <x v="519"/>
    <x v="0"/>
    <x v="99"/>
    <x v="99"/>
    <x v="99"/>
    <x v="3"/>
    <x v="3"/>
    <x v="0"/>
    <x v="0"/>
    <x v="0"/>
    <x v="0"/>
    <x v="294"/>
    <x v="12"/>
    <x v="12"/>
    <x v="21"/>
    <x v="21"/>
    <x v="0"/>
    <x v="11"/>
    <x v="21"/>
    <x v="0"/>
    <x v="0"/>
    <x v="11"/>
    <x v="21"/>
    <x v="0"/>
    <x v="0"/>
    <x v="0"/>
    <x v="0"/>
    <x v="0"/>
    <x v="0"/>
  </r>
  <r>
    <x v="520"/>
    <x v="0"/>
    <x v="96"/>
    <x v="96"/>
    <x v="96"/>
    <x v="3"/>
    <x v="3"/>
    <x v="0"/>
    <x v="0"/>
    <x v="0"/>
    <x v="0"/>
    <x v="295"/>
    <x v="12"/>
    <x v="12"/>
    <x v="1"/>
    <x v="1"/>
    <x v="0"/>
    <x v="10"/>
    <x v="25"/>
    <x v="0"/>
    <x v="0"/>
    <x v="10"/>
    <x v="25"/>
    <x v="7"/>
    <x v="15"/>
    <x v="0"/>
    <x v="0"/>
    <x v="0"/>
    <x v="16"/>
  </r>
  <r>
    <x v="521"/>
    <x v="0"/>
    <x v="102"/>
    <x v="102"/>
    <x v="102"/>
    <x v="7"/>
    <x v="6"/>
    <x v="2"/>
    <x v="4"/>
    <x v="0"/>
    <x v="1"/>
    <x v="296"/>
    <x v="12"/>
    <x v="12"/>
    <x v="18"/>
    <x v="18"/>
    <x v="22"/>
    <x v="8"/>
    <x v="135"/>
    <x v="0"/>
    <x v="0"/>
    <x v="8"/>
    <x v="135"/>
    <x v="0"/>
    <x v="0"/>
    <x v="0"/>
    <x v="0"/>
    <x v="0"/>
    <x v="0"/>
  </r>
  <r>
    <x v="522"/>
    <x v="0"/>
    <x v="21"/>
    <x v="21"/>
    <x v="21"/>
    <x v="11"/>
    <x v="2"/>
    <x v="0"/>
    <x v="0"/>
    <x v="0"/>
    <x v="0"/>
    <x v="297"/>
    <x v="22"/>
    <x v="22"/>
    <x v="6"/>
    <x v="6"/>
    <x v="0"/>
    <x v="11"/>
    <x v="21"/>
    <x v="0"/>
    <x v="0"/>
    <x v="11"/>
    <x v="21"/>
    <x v="11"/>
    <x v="12"/>
    <x v="0"/>
    <x v="0"/>
    <x v="0"/>
    <x v="13"/>
  </r>
  <r>
    <x v="523"/>
    <x v="0"/>
    <x v="21"/>
    <x v="21"/>
    <x v="21"/>
    <x v="11"/>
    <x v="2"/>
    <x v="0"/>
    <x v="1"/>
    <x v="0"/>
    <x v="0"/>
    <x v="297"/>
    <x v="22"/>
    <x v="22"/>
    <x v="10"/>
    <x v="10"/>
    <x v="6"/>
    <x v="11"/>
    <x v="14"/>
    <x v="0"/>
    <x v="0"/>
    <x v="11"/>
    <x v="14"/>
    <x v="11"/>
    <x v="26"/>
    <x v="0"/>
    <x v="0"/>
    <x v="0"/>
    <x v="33"/>
  </r>
  <r>
    <x v="524"/>
    <x v="0"/>
    <x v="25"/>
    <x v="25"/>
    <x v="25"/>
    <x v="3"/>
    <x v="3"/>
    <x v="0"/>
    <x v="0"/>
    <x v="0"/>
    <x v="0"/>
    <x v="298"/>
    <x v="22"/>
    <x v="22"/>
    <x v="1"/>
    <x v="1"/>
    <x v="0"/>
    <x v="3"/>
    <x v="3"/>
    <x v="0"/>
    <x v="0"/>
    <x v="3"/>
    <x v="3"/>
    <x v="3"/>
    <x v="3"/>
    <x v="0"/>
    <x v="0"/>
    <x v="0"/>
    <x v="3"/>
  </r>
  <r>
    <x v="525"/>
    <x v="0"/>
    <x v="23"/>
    <x v="23"/>
    <x v="23"/>
    <x v="3"/>
    <x v="3"/>
    <x v="0"/>
    <x v="0"/>
    <x v="0"/>
    <x v="0"/>
    <x v="299"/>
    <x v="22"/>
    <x v="22"/>
    <x v="4"/>
    <x v="4"/>
    <x v="0"/>
    <x v="10"/>
    <x v="25"/>
    <x v="0"/>
    <x v="0"/>
    <x v="10"/>
    <x v="25"/>
    <x v="7"/>
    <x v="15"/>
    <x v="0"/>
    <x v="0"/>
    <x v="0"/>
    <x v="16"/>
  </r>
  <r>
    <x v="526"/>
    <x v="0"/>
    <x v="104"/>
    <x v="104"/>
    <x v="104"/>
    <x v="8"/>
    <x v="7"/>
    <x v="0"/>
    <x v="5"/>
    <x v="0"/>
    <x v="0"/>
    <x v="300"/>
    <x v="22"/>
    <x v="22"/>
    <x v="27"/>
    <x v="27"/>
    <x v="13"/>
    <x v="15"/>
    <x v="140"/>
    <x v="0"/>
    <x v="0"/>
    <x v="15"/>
    <x v="140"/>
    <x v="0"/>
    <x v="0"/>
    <x v="0"/>
    <x v="0"/>
    <x v="0"/>
    <x v="0"/>
  </r>
  <r>
    <x v="527"/>
    <x v="0"/>
    <x v="104"/>
    <x v="104"/>
    <x v="104"/>
    <x v="8"/>
    <x v="7"/>
    <x v="0"/>
    <x v="6"/>
    <x v="0"/>
    <x v="0"/>
    <x v="300"/>
    <x v="22"/>
    <x v="22"/>
    <x v="33"/>
    <x v="33"/>
    <x v="20"/>
    <x v="8"/>
    <x v="52"/>
    <x v="0"/>
    <x v="0"/>
    <x v="8"/>
    <x v="52"/>
    <x v="0"/>
    <x v="0"/>
    <x v="0"/>
    <x v="0"/>
    <x v="0"/>
    <x v="0"/>
  </r>
  <r>
    <x v="528"/>
    <x v="0"/>
    <x v="34"/>
    <x v="34"/>
    <x v="34"/>
    <x v="14"/>
    <x v="7"/>
    <x v="0"/>
    <x v="0"/>
    <x v="0"/>
    <x v="4"/>
    <x v="301"/>
    <x v="22"/>
    <x v="22"/>
    <x v="7"/>
    <x v="7"/>
    <x v="0"/>
    <x v="3"/>
    <x v="3"/>
    <x v="0"/>
    <x v="0"/>
    <x v="3"/>
    <x v="3"/>
    <x v="0"/>
    <x v="0"/>
    <x v="0"/>
    <x v="0"/>
    <x v="0"/>
    <x v="0"/>
  </r>
  <r>
    <x v="529"/>
    <x v="0"/>
    <x v="93"/>
    <x v="93"/>
    <x v="93"/>
    <x v="2"/>
    <x v="2"/>
    <x v="0"/>
    <x v="0"/>
    <x v="0"/>
    <x v="0"/>
    <x v="302"/>
    <x v="22"/>
    <x v="22"/>
    <x v="7"/>
    <x v="7"/>
    <x v="0"/>
    <x v="0"/>
    <x v="0"/>
    <x v="0"/>
    <x v="0"/>
    <x v="0"/>
    <x v="0"/>
    <x v="0"/>
    <x v="0"/>
    <x v="0"/>
    <x v="0"/>
    <x v="0"/>
    <x v="0"/>
  </r>
  <r>
    <x v="530"/>
    <x v="0"/>
    <x v="93"/>
    <x v="93"/>
    <x v="93"/>
    <x v="2"/>
    <x v="2"/>
    <x v="0"/>
    <x v="0"/>
    <x v="0"/>
    <x v="0"/>
    <x v="302"/>
    <x v="22"/>
    <x v="22"/>
    <x v="6"/>
    <x v="6"/>
    <x v="0"/>
    <x v="0"/>
    <x v="0"/>
    <x v="0"/>
    <x v="0"/>
    <x v="0"/>
    <x v="0"/>
    <x v="2"/>
    <x v="2"/>
    <x v="0"/>
    <x v="0"/>
    <x v="0"/>
    <x v="2"/>
  </r>
  <r>
    <x v="531"/>
    <x v="0"/>
    <x v="105"/>
    <x v="105"/>
    <x v="105"/>
    <x v="2"/>
    <x v="2"/>
    <x v="0"/>
    <x v="0"/>
    <x v="0"/>
    <x v="0"/>
    <x v="303"/>
    <x v="22"/>
    <x v="22"/>
    <x v="19"/>
    <x v="19"/>
    <x v="0"/>
    <x v="10"/>
    <x v="25"/>
    <x v="0"/>
    <x v="0"/>
    <x v="10"/>
    <x v="25"/>
    <x v="0"/>
    <x v="0"/>
    <x v="0"/>
    <x v="0"/>
    <x v="0"/>
    <x v="0"/>
  </r>
  <r>
    <x v="532"/>
    <x v="0"/>
    <x v="45"/>
    <x v="45"/>
    <x v="45"/>
    <x v="13"/>
    <x v="3"/>
    <x v="0"/>
    <x v="0"/>
    <x v="0"/>
    <x v="0"/>
    <x v="304"/>
    <x v="22"/>
    <x v="22"/>
    <x v="1"/>
    <x v="1"/>
    <x v="0"/>
    <x v="26"/>
    <x v="57"/>
    <x v="0"/>
    <x v="0"/>
    <x v="26"/>
    <x v="57"/>
    <x v="24"/>
    <x v="29"/>
    <x v="0"/>
    <x v="0"/>
    <x v="0"/>
    <x v="31"/>
  </r>
  <r>
    <x v="533"/>
    <x v="0"/>
    <x v="106"/>
    <x v="106"/>
    <x v="106"/>
    <x v="18"/>
    <x v="10"/>
    <x v="1"/>
    <x v="0"/>
    <x v="0"/>
    <x v="2"/>
    <x v="305"/>
    <x v="22"/>
    <x v="22"/>
    <x v="51"/>
    <x v="51"/>
    <x v="0"/>
    <x v="0"/>
    <x v="0"/>
    <x v="0"/>
    <x v="0"/>
    <x v="0"/>
    <x v="0"/>
    <x v="0"/>
    <x v="0"/>
    <x v="0"/>
    <x v="0"/>
    <x v="0"/>
    <x v="0"/>
  </r>
  <r>
    <x v="534"/>
    <x v="0"/>
    <x v="31"/>
    <x v="31"/>
    <x v="31"/>
    <x v="12"/>
    <x v="1"/>
    <x v="1"/>
    <x v="1"/>
    <x v="0"/>
    <x v="1"/>
    <x v="306"/>
    <x v="22"/>
    <x v="22"/>
    <x v="10"/>
    <x v="10"/>
    <x v="6"/>
    <x v="3"/>
    <x v="50"/>
    <x v="0"/>
    <x v="0"/>
    <x v="3"/>
    <x v="50"/>
    <x v="3"/>
    <x v="11"/>
    <x v="0"/>
    <x v="0"/>
    <x v="0"/>
    <x v="29"/>
  </r>
  <r>
    <x v="535"/>
    <x v="0"/>
    <x v="84"/>
    <x v="84"/>
    <x v="84"/>
    <x v="13"/>
    <x v="3"/>
    <x v="0"/>
    <x v="0"/>
    <x v="0"/>
    <x v="0"/>
    <x v="307"/>
    <x v="13"/>
    <x v="13"/>
    <x v="1"/>
    <x v="1"/>
    <x v="0"/>
    <x v="39"/>
    <x v="141"/>
    <x v="0"/>
    <x v="0"/>
    <x v="39"/>
    <x v="141"/>
    <x v="38"/>
    <x v="57"/>
    <x v="0"/>
    <x v="0"/>
    <x v="0"/>
    <x v="65"/>
  </r>
  <r>
    <x v="536"/>
    <x v="0"/>
    <x v="84"/>
    <x v="84"/>
    <x v="84"/>
    <x v="13"/>
    <x v="3"/>
    <x v="0"/>
    <x v="0"/>
    <x v="0"/>
    <x v="0"/>
    <x v="307"/>
    <x v="13"/>
    <x v="13"/>
    <x v="14"/>
    <x v="14"/>
    <x v="0"/>
    <x v="3"/>
    <x v="3"/>
    <x v="0"/>
    <x v="0"/>
    <x v="3"/>
    <x v="3"/>
    <x v="3"/>
    <x v="3"/>
    <x v="0"/>
    <x v="0"/>
    <x v="0"/>
    <x v="3"/>
  </r>
  <r>
    <x v="537"/>
    <x v="0"/>
    <x v="84"/>
    <x v="84"/>
    <x v="84"/>
    <x v="13"/>
    <x v="3"/>
    <x v="0"/>
    <x v="1"/>
    <x v="0"/>
    <x v="0"/>
    <x v="307"/>
    <x v="13"/>
    <x v="13"/>
    <x v="10"/>
    <x v="10"/>
    <x v="6"/>
    <x v="20"/>
    <x v="35"/>
    <x v="0"/>
    <x v="0"/>
    <x v="20"/>
    <x v="35"/>
    <x v="28"/>
    <x v="1"/>
    <x v="0"/>
    <x v="0"/>
    <x v="0"/>
    <x v="38"/>
  </r>
  <r>
    <x v="538"/>
    <x v="0"/>
    <x v="39"/>
    <x v="39"/>
    <x v="39"/>
    <x v="3"/>
    <x v="3"/>
    <x v="0"/>
    <x v="0"/>
    <x v="0"/>
    <x v="0"/>
    <x v="308"/>
    <x v="13"/>
    <x v="13"/>
    <x v="6"/>
    <x v="6"/>
    <x v="0"/>
    <x v="14"/>
    <x v="20"/>
    <x v="0"/>
    <x v="0"/>
    <x v="14"/>
    <x v="20"/>
    <x v="10"/>
    <x v="11"/>
    <x v="0"/>
    <x v="0"/>
    <x v="0"/>
    <x v="12"/>
  </r>
  <r>
    <x v="539"/>
    <x v="0"/>
    <x v="39"/>
    <x v="39"/>
    <x v="39"/>
    <x v="3"/>
    <x v="3"/>
    <x v="0"/>
    <x v="0"/>
    <x v="0"/>
    <x v="0"/>
    <x v="308"/>
    <x v="13"/>
    <x v="13"/>
    <x v="1"/>
    <x v="1"/>
    <x v="0"/>
    <x v="33"/>
    <x v="70"/>
    <x v="0"/>
    <x v="0"/>
    <x v="33"/>
    <x v="70"/>
    <x v="27"/>
    <x v="34"/>
    <x v="0"/>
    <x v="0"/>
    <x v="0"/>
    <x v="35"/>
  </r>
  <r>
    <x v="540"/>
    <x v="0"/>
    <x v="39"/>
    <x v="39"/>
    <x v="39"/>
    <x v="3"/>
    <x v="3"/>
    <x v="0"/>
    <x v="0"/>
    <x v="0"/>
    <x v="0"/>
    <x v="308"/>
    <x v="13"/>
    <x v="13"/>
    <x v="7"/>
    <x v="7"/>
    <x v="0"/>
    <x v="2"/>
    <x v="2"/>
    <x v="0"/>
    <x v="0"/>
    <x v="2"/>
    <x v="2"/>
    <x v="0"/>
    <x v="0"/>
    <x v="0"/>
    <x v="0"/>
    <x v="0"/>
    <x v="0"/>
  </r>
  <r>
    <x v="541"/>
    <x v="0"/>
    <x v="23"/>
    <x v="23"/>
    <x v="23"/>
    <x v="3"/>
    <x v="3"/>
    <x v="0"/>
    <x v="5"/>
    <x v="0"/>
    <x v="0"/>
    <x v="309"/>
    <x v="13"/>
    <x v="13"/>
    <x v="26"/>
    <x v="26"/>
    <x v="12"/>
    <x v="5"/>
    <x v="71"/>
    <x v="0"/>
    <x v="0"/>
    <x v="5"/>
    <x v="71"/>
    <x v="0"/>
    <x v="0"/>
    <x v="0"/>
    <x v="0"/>
    <x v="0"/>
    <x v="0"/>
  </r>
  <r>
    <x v="542"/>
    <x v="0"/>
    <x v="105"/>
    <x v="105"/>
    <x v="105"/>
    <x v="2"/>
    <x v="2"/>
    <x v="0"/>
    <x v="0"/>
    <x v="0"/>
    <x v="0"/>
    <x v="310"/>
    <x v="13"/>
    <x v="13"/>
    <x v="15"/>
    <x v="15"/>
    <x v="0"/>
    <x v="10"/>
    <x v="25"/>
    <x v="0"/>
    <x v="0"/>
    <x v="10"/>
    <x v="25"/>
    <x v="0"/>
    <x v="0"/>
    <x v="0"/>
    <x v="0"/>
    <x v="0"/>
    <x v="0"/>
  </r>
  <r>
    <x v="543"/>
    <x v="0"/>
    <x v="41"/>
    <x v="41"/>
    <x v="41"/>
    <x v="14"/>
    <x v="7"/>
    <x v="0"/>
    <x v="0"/>
    <x v="0"/>
    <x v="4"/>
    <x v="311"/>
    <x v="13"/>
    <x v="13"/>
    <x v="15"/>
    <x v="15"/>
    <x v="0"/>
    <x v="0"/>
    <x v="0"/>
    <x v="0"/>
    <x v="0"/>
    <x v="0"/>
    <x v="0"/>
    <x v="0"/>
    <x v="0"/>
    <x v="0"/>
    <x v="0"/>
    <x v="0"/>
    <x v="0"/>
  </r>
  <r>
    <x v="544"/>
    <x v="0"/>
    <x v="86"/>
    <x v="86"/>
    <x v="86"/>
    <x v="1"/>
    <x v="1"/>
    <x v="1"/>
    <x v="0"/>
    <x v="0"/>
    <x v="1"/>
    <x v="312"/>
    <x v="13"/>
    <x v="13"/>
    <x v="1"/>
    <x v="1"/>
    <x v="0"/>
    <x v="10"/>
    <x v="25"/>
    <x v="0"/>
    <x v="0"/>
    <x v="10"/>
    <x v="25"/>
    <x v="7"/>
    <x v="15"/>
    <x v="0"/>
    <x v="0"/>
    <x v="0"/>
    <x v="16"/>
  </r>
  <r>
    <x v="545"/>
    <x v="0"/>
    <x v="60"/>
    <x v="60"/>
    <x v="60"/>
    <x v="17"/>
    <x v="2"/>
    <x v="0"/>
    <x v="1"/>
    <x v="0"/>
    <x v="0"/>
    <x v="313"/>
    <x v="13"/>
    <x v="13"/>
    <x v="10"/>
    <x v="10"/>
    <x v="6"/>
    <x v="11"/>
    <x v="14"/>
    <x v="0"/>
    <x v="0"/>
    <x v="11"/>
    <x v="14"/>
    <x v="11"/>
    <x v="26"/>
    <x v="0"/>
    <x v="0"/>
    <x v="0"/>
    <x v="33"/>
  </r>
  <r>
    <x v="546"/>
    <x v="0"/>
    <x v="80"/>
    <x v="80"/>
    <x v="80"/>
    <x v="17"/>
    <x v="2"/>
    <x v="0"/>
    <x v="1"/>
    <x v="0"/>
    <x v="0"/>
    <x v="314"/>
    <x v="13"/>
    <x v="13"/>
    <x v="10"/>
    <x v="10"/>
    <x v="6"/>
    <x v="25"/>
    <x v="112"/>
    <x v="0"/>
    <x v="0"/>
    <x v="25"/>
    <x v="112"/>
    <x v="35"/>
    <x v="15"/>
    <x v="0"/>
    <x v="0"/>
    <x v="0"/>
    <x v="51"/>
  </r>
  <r>
    <x v="547"/>
    <x v="0"/>
    <x v="107"/>
    <x v="107"/>
    <x v="107"/>
    <x v="7"/>
    <x v="6"/>
    <x v="2"/>
    <x v="3"/>
    <x v="0"/>
    <x v="1"/>
    <x v="315"/>
    <x v="13"/>
    <x v="13"/>
    <x v="8"/>
    <x v="8"/>
    <x v="3"/>
    <x v="7"/>
    <x v="7"/>
    <x v="0"/>
    <x v="0"/>
    <x v="7"/>
    <x v="7"/>
    <x v="0"/>
    <x v="0"/>
    <x v="0"/>
    <x v="0"/>
    <x v="0"/>
    <x v="0"/>
  </r>
  <r>
    <x v="548"/>
    <x v="0"/>
    <x v="45"/>
    <x v="45"/>
    <x v="45"/>
    <x v="13"/>
    <x v="3"/>
    <x v="0"/>
    <x v="0"/>
    <x v="0"/>
    <x v="0"/>
    <x v="316"/>
    <x v="14"/>
    <x v="14"/>
    <x v="14"/>
    <x v="14"/>
    <x v="0"/>
    <x v="0"/>
    <x v="0"/>
    <x v="0"/>
    <x v="0"/>
    <x v="0"/>
    <x v="0"/>
    <x v="2"/>
    <x v="2"/>
    <x v="0"/>
    <x v="0"/>
    <x v="0"/>
    <x v="2"/>
  </r>
  <r>
    <x v="549"/>
    <x v="0"/>
    <x v="67"/>
    <x v="67"/>
    <x v="67"/>
    <x v="2"/>
    <x v="2"/>
    <x v="0"/>
    <x v="0"/>
    <x v="0"/>
    <x v="0"/>
    <x v="317"/>
    <x v="14"/>
    <x v="14"/>
    <x v="40"/>
    <x v="40"/>
    <x v="0"/>
    <x v="17"/>
    <x v="27"/>
    <x v="0"/>
    <x v="0"/>
    <x v="17"/>
    <x v="27"/>
    <x v="0"/>
    <x v="0"/>
    <x v="0"/>
    <x v="0"/>
    <x v="0"/>
    <x v="0"/>
  </r>
  <r>
    <x v="550"/>
    <x v="0"/>
    <x v="67"/>
    <x v="67"/>
    <x v="67"/>
    <x v="2"/>
    <x v="2"/>
    <x v="0"/>
    <x v="0"/>
    <x v="0"/>
    <x v="0"/>
    <x v="317"/>
    <x v="14"/>
    <x v="14"/>
    <x v="1"/>
    <x v="1"/>
    <x v="0"/>
    <x v="3"/>
    <x v="3"/>
    <x v="0"/>
    <x v="0"/>
    <x v="3"/>
    <x v="3"/>
    <x v="3"/>
    <x v="3"/>
    <x v="0"/>
    <x v="0"/>
    <x v="0"/>
    <x v="3"/>
  </r>
  <r>
    <x v="551"/>
    <x v="0"/>
    <x v="93"/>
    <x v="93"/>
    <x v="93"/>
    <x v="2"/>
    <x v="2"/>
    <x v="0"/>
    <x v="1"/>
    <x v="0"/>
    <x v="0"/>
    <x v="318"/>
    <x v="14"/>
    <x v="14"/>
    <x v="10"/>
    <x v="10"/>
    <x v="6"/>
    <x v="17"/>
    <x v="29"/>
    <x v="0"/>
    <x v="0"/>
    <x v="17"/>
    <x v="29"/>
    <x v="14"/>
    <x v="17"/>
    <x v="0"/>
    <x v="0"/>
    <x v="0"/>
    <x v="18"/>
  </r>
  <r>
    <x v="552"/>
    <x v="0"/>
    <x v="107"/>
    <x v="107"/>
    <x v="107"/>
    <x v="7"/>
    <x v="6"/>
    <x v="2"/>
    <x v="5"/>
    <x v="0"/>
    <x v="1"/>
    <x v="319"/>
    <x v="14"/>
    <x v="14"/>
    <x v="27"/>
    <x v="27"/>
    <x v="13"/>
    <x v="6"/>
    <x v="129"/>
    <x v="0"/>
    <x v="0"/>
    <x v="6"/>
    <x v="129"/>
    <x v="0"/>
    <x v="0"/>
    <x v="0"/>
    <x v="0"/>
    <x v="0"/>
    <x v="0"/>
  </r>
  <r>
    <x v="553"/>
    <x v="0"/>
    <x v="104"/>
    <x v="104"/>
    <x v="104"/>
    <x v="8"/>
    <x v="7"/>
    <x v="0"/>
    <x v="4"/>
    <x v="0"/>
    <x v="0"/>
    <x v="320"/>
    <x v="14"/>
    <x v="14"/>
    <x v="35"/>
    <x v="35"/>
    <x v="21"/>
    <x v="5"/>
    <x v="93"/>
    <x v="0"/>
    <x v="0"/>
    <x v="5"/>
    <x v="93"/>
    <x v="31"/>
    <x v="41"/>
    <x v="11"/>
    <x v="3"/>
    <x v="1"/>
    <x v="45"/>
  </r>
  <r>
    <x v="554"/>
    <x v="0"/>
    <x v="30"/>
    <x v="30"/>
    <x v="30"/>
    <x v="7"/>
    <x v="6"/>
    <x v="2"/>
    <x v="0"/>
    <x v="0"/>
    <x v="1"/>
    <x v="321"/>
    <x v="14"/>
    <x v="14"/>
    <x v="19"/>
    <x v="19"/>
    <x v="25"/>
    <x v="0"/>
    <x v="77"/>
    <x v="0"/>
    <x v="0"/>
    <x v="0"/>
    <x v="77"/>
    <x v="0"/>
    <x v="0"/>
    <x v="0"/>
    <x v="0"/>
    <x v="0"/>
    <x v="0"/>
  </r>
  <r>
    <x v="555"/>
    <x v="0"/>
    <x v="43"/>
    <x v="43"/>
    <x v="43"/>
    <x v="7"/>
    <x v="6"/>
    <x v="2"/>
    <x v="1"/>
    <x v="0"/>
    <x v="1"/>
    <x v="322"/>
    <x v="14"/>
    <x v="14"/>
    <x v="13"/>
    <x v="13"/>
    <x v="19"/>
    <x v="3"/>
    <x v="104"/>
    <x v="0"/>
    <x v="0"/>
    <x v="3"/>
    <x v="104"/>
    <x v="0"/>
    <x v="0"/>
    <x v="0"/>
    <x v="0"/>
    <x v="0"/>
    <x v="0"/>
  </r>
  <r>
    <x v="556"/>
    <x v="0"/>
    <x v="43"/>
    <x v="43"/>
    <x v="43"/>
    <x v="7"/>
    <x v="6"/>
    <x v="2"/>
    <x v="0"/>
    <x v="0"/>
    <x v="1"/>
    <x v="322"/>
    <x v="14"/>
    <x v="14"/>
    <x v="40"/>
    <x v="40"/>
    <x v="25"/>
    <x v="0"/>
    <x v="77"/>
    <x v="0"/>
    <x v="0"/>
    <x v="0"/>
    <x v="77"/>
    <x v="0"/>
    <x v="0"/>
    <x v="0"/>
    <x v="0"/>
    <x v="0"/>
    <x v="0"/>
  </r>
  <r>
    <x v="557"/>
    <x v="0"/>
    <x v="41"/>
    <x v="41"/>
    <x v="41"/>
    <x v="14"/>
    <x v="7"/>
    <x v="0"/>
    <x v="0"/>
    <x v="0"/>
    <x v="4"/>
    <x v="323"/>
    <x v="14"/>
    <x v="14"/>
    <x v="40"/>
    <x v="40"/>
    <x v="0"/>
    <x v="0"/>
    <x v="0"/>
    <x v="0"/>
    <x v="0"/>
    <x v="0"/>
    <x v="0"/>
    <x v="0"/>
    <x v="0"/>
    <x v="0"/>
    <x v="0"/>
    <x v="0"/>
    <x v="0"/>
  </r>
  <r>
    <x v="558"/>
    <x v="0"/>
    <x v="25"/>
    <x v="25"/>
    <x v="25"/>
    <x v="3"/>
    <x v="3"/>
    <x v="0"/>
    <x v="0"/>
    <x v="0"/>
    <x v="0"/>
    <x v="324"/>
    <x v="14"/>
    <x v="14"/>
    <x v="1"/>
    <x v="1"/>
    <x v="0"/>
    <x v="3"/>
    <x v="3"/>
    <x v="0"/>
    <x v="0"/>
    <x v="3"/>
    <x v="3"/>
    <x v="3"/>
    <x v="3"/>
    <x v="0"/>
    <x v="0"/>
    <x v="0"/>
    <x v="3"/>
  </r>
  <r>
    <x v="559"/>
    <x v="0"/>
    <x v="22"/>
    <x v="22"/>
    <x v="22"/>
    <x v="6"/>
    <x v="5"/>
    <x v="0"/>
    <x v="0"/>
    <x v="0"/>
    <x v="0"/>
    <x v="325"/>
    <x v="14"/>
    <x v="14"/>
    <x v="21"/>
    <x v="21"/>
    <x v="0"/>
    <x v="14"/>
    <x v="20"/>
    <x v="0"/>
    <x v="0"/>
    <x v="14"/>
    <x v="20"/>
    <x v="0"/>
    <x v="0"/>
    <x v="0"/>
    <x v="0"/>
    <x v="0"/>
    <x v="0"/>
  </r>
  <r>
    <x v="560"/>
    <x v="0"/>
    <x v="22"/>
    <x v="22"/>
    <x v="22"/>
    <x v="6"/>
    <x v="5"/>
    <x v="0"/>
    <x v="0"/>
    <x v="0"/>
    <x v="0"/>
    <x v="325"/>
    <x v="14"/>
    <x v="14"/>
    <x v="0"/>
    <x v="0"/>
    <x v="0"/>
    <x v="14"/>
    <x v="20"/>
    <x v="0"/>
    <x v="0"/>
    <x v="14"/>
    <x v="20"/>
    <x v="0"/>
    <x v="0"/>
    <x v="0"/>
    <x v="0"/>
    <x v="0"/>
    <x v="0"/>
  </r>
  <r>
    <x v="561"/>
    <x v="0"/>
    <x v="22"/>
    <x v="22"/>
    <x v="22"/>
    <x v="6"/>
    <x v="5"/>
    <x v="0"/>
    <x v="0"/>
    <x v="0"/>
    <x v="0"/>
    <x v="325"/>
    <x v="14"/>
    <x v="14"/>
    <x v="7"/>
    <x v="7"/>
    <x v="0"/>
    <x v="14"/>
    <x v="20"/>
    <x v="0"/>
    <x v="0"/>
    <x v="14"/>
    <x v="20"/>
    <x v="0"/>
    <x v="0"/>
    <x v="0"/>
    <x v="0"/>
    <x v="0"/>
    <x v="0"/>
  </r>
  <r>
    <x v="562"/>
    <x v="0"/>
    <x v="108"/>
    <x v="108"/>
    <x v="108"/>
    <x v="6"/>
    <x v="5"/>
    <x v="0"/>
    <x v="0"/>
    <x v="0"/>
    <x v="0"/>
    <x v="326"/>
    <x v="14"/>
    <x v="14"/>
    <x v="4"/>
    <x v="4"/>
    <x v="0"/>
    <x v="11"/>
    <x v="21"/>
    <x v="0"/>
    <x v="0"/>
    <x v="11"/>
    <x v="21"/>
    <x v="11"/>
    <x v="12"/>
    <x v="0"/>
    <x v="0"/>
    <x v="0"/>
    <x v="13"/>
  </r>
  <r>
    <x v="563"/>
    <x v="0"/>
    <x v="73"/>
    <x v="73"/>
    <x v="73"/>
    <x v="7"/>
    <x v="6"/>
    <x v="2"/>
    <x v="0"/>
    <x v="0"/>
    <x v="1"/>
    <x v="327"/>
    <x v="14"/>
    <x v="14"/>
    <x v="31"/>
    <x v="31"/>
    <x v="39"/>
    <x v="18"/>
    <x v="142"/>
    <x v="0"/>
    <x v="0"/>
    <x v="18"/>
    <x v="142"/>
    <x v="0"/>
    <x v="0"/>
    <x v="0"/>
    <x v="0"/>
    <x v="0"/>
    <x v="0"/>
  </r>
  <r>
    <x v="564"/>
    <x v="0"/>
    <x v="73"/>
    <x v="73"/>
    <x v="73"/>
    <x v="7"/>
    <x v="6"/>
    <x v="2"/>
    <x v="0"/>
    <x v="0"/>
    <x v="1"/>
    <x v="327"/>
    <x v="14"/>
    <x v="14"/>
    <x v="1"/>
    <x v="1"/>
    <x v="4"/>
    <x v="5"/>
    <x v="121"/>
    <x v="0"/>
    <x v="0"/>
    <x v="5"/>
    <x v="121"/>
    <x v="0"/>
    <x v="0"/>
    <x v="0"/>
    <x v="0"/>
    <x v="0"/>
    <x v="0"/>
  </r>
  <r>
    <x v="565"/>
    <x v="0"/>
    <x v="83"/>
    <x v="83"/>
    <x v="83"/>
    <x v="2"/>
    <x v="2"/>
    <x v="0"/>
    <x v="0"/>
    <x v="0"/>
    <x v="0"/>
    <x v="328"/>
    <x v="14"/>
    <x v="14"/>
    <x v="0"/>
    <x v="0"/>
    <x v="0"/>
    <x v="15"/>
    <x v="47"/>
    <x v="0"/>
    <x v="0"/>
    <x v="15"/>
    <x v="47"/>
    <x v="0"/>
    <x v="0"/>
    <x v="0"/>
    <x v="0"/>
    <x v="0"/>
    <x v="0"/>
  </r>
  <r>
    <x v="566"/>
    <x v="0"/>
    <x v="83"/>
    <x v="83"/>
    <x v="83"/>
    <x v="2"/>
    <x v="2"/>
    <x v="0"/>
    <x v="0"/>
    <x v="0"/>
    <x v="0"/>
    <x v="328"/>
    <x v="14"/>
    <x v="14"/>
    <x v="1"/>
    <x v="1"/>
    <x v="0"/>
    <x v="6"/>
    <x v="6"/>
    <x v="0"/>
    <x v="0"/>
    <x v="6"/>
    <x v="6"/>
    <x v="4"/>
    <x v="5"/>
    <x v="0"/>
    <x v="0"/>
    <x v="0"/>
    <x v="5"/>
  </r>
  <r>
    <x v="567"/>
    <x v="0"/>
    <x v="31"/>
    <x v="31"/>
    <x v="31"/>
    <x v="12"/>
    <x v="1"/>
    <x v="1"/>
    <x v="0"/>
    <x v="0"/>
    <x v="1"/>
    <x v="329"/>
    <x v="14"/>
    <x v="14"/>
    <x v="31"/>
    <x v="31"/>
    <x v="17"/>
    <x v="25"/>
    <x v="143"/>
    <x v="0"/>
    <x v="0"/>
    <x v="25"/>
    <x v="143"/>
    <x v="35"/>
    <x v="49"/>
    <x v="0"/>
    <x v="0"/>
    <x v="0"/>
    <x v="55"/>
  </r>
  <r>
    <x v="568"/>
    <x v="0"/>
    <x v="71"/>
    <x v="71"/>
    <x v="71"/>
    <x v="7"/>
    <x v="6"/>
    <x v="2"/>
    <x v="0"/>
    <x v="0"/>
    <x v="1"/>
    <x v="330"/>
    <x v="14"/>
    <x v="14"/>
    <x v="1"/>
    <x v="1"/>
    <x v="4"/>
    <x v="11"/>
    <x v="74"/>
    <x v="0"/>
    <x v="0"/>
    <x v="11"/>
    <x v="74"/>
    <x v="0"/>
    <x v="0"/>
    <x v="0"/>
    <x v="0"/>
    <x v="0"/>
    <x v="0"/>
  </r>
  <r>
    <x v="569"/>
    <x v="0"/>
    <x v="71"/>
    <x v="71"/>
    <x v="71"/>
    <x v="7"/>
    <x v="6"/>
    <x v="2"/>
    <x v="5"/>
    <x v="0"/>
    <x v="1"/>
    <x v="331"/>
    <x v="14"/>
    <x v="14"/>
    <x v="26"/>
    <x v="26"/>
    <x v="12"/>
    <x v="8"/>
    <x v="99"/>
    <x v="0"/>
    <x v="0"/>
    <x v="8"/>
    <x v="99"/>
    <x v="0"/>
    <x v="0"/>
    <x v="0"/>
    <x v="0"/>
    <x v="0"/>
    <x v="0"/>
  </r>
  <r>
    <x v="570"/>
    <x v="0"/>
    <x v="109"/>
    <x v="109"/>
    <x v="109"/>
    <x v="5"/>
    <x v="0"/>
    <x v="0"/>
    <x v="4"/>
    <x v="0"/>
    <x v="0"/>
    <x v="332"/>
    <x v="14"/>
    <x v="14"/>
    <x v="18"/>
    <x v="18"/>
    <x v="9"/>
    <x v="6"/>
    <x v="79"/>
    <x v="0"/>
    <x v="0"/>
    <x v="6"/>
    <x v="79"/>
    <x v="29"/>
    <x v="37"/>
    <x v="9"/>
    <x v="0"/>
    <x v="8"/>
    <x v="41"/>
  </r>
  <r>
    <x v="571"/>
    <x v="0"/>
    <x v="70"/>
    <x v="70"/>
    <x v="70"/>
    <x v="5"/>
    <x v="0"/>
    <x v="0"/>
    <x v="1"/>
    <x v="0"/>
    <x v="0"/>
    <x v="333"/>
    <x v="15"/>
    <x v="15"/>
    <x v="10"/>
    <x v="10"/>
    <x v="6"/>
    <x v="24"/>
    <x v="144"/>
    <x v="0"/>
    <x v="0"/>
    <x v="24"/>
    <x v="144"/>
    <x v="22"/>
    <x v="58"/>
    <x v="0"/>
    <x v="0"/>
    <x v="0"/>
    <x v="66"/>
  </r>
  <r>
    <x v="572"/>
    <x v="0"/>
    <x v="70"/>
    <x v="70"/>
    <x v="70"/>
    <x v="5"/>
    <x v="0"/>
    <x v="0"/>
    <x v="0"/>
    <x v="0"/>
    <x v="0"/>
    <x v="333"/>
    <x v="15"/>
    <x v="15"/>
    <x v="1"/>
    <x v="1"/>
    <x v="0"/>
    <x v="17"/>
    <x v="27"/>
    <x v="0"/>
    <x v="0"/>
    <x v="17"/>
    <x v="27"/>
    <x v="14"/>
    <x v="22"/>
    <x v="0"/>
    <x v="0"/>
    <x v="0"/>
    <x v="23"/>
  </r>
  <r>
    <x v="573"/>
    <x v="0"/>
    <x v="21"/>
    <x v="21"/>
    <x v="21"/>
    <x v="11"/>
    <x v="2"/>
    <x v="0"/>
    <x v="0"/>
    <x v="0"/>
    <x v="0"/>
    <x v="334"/>
    <x v="15"/>
    <x v="15"/>
    <x v="6"/>
    <x v="6"/>
    <x v="0"/>
    <x v="15"/>
    <x v="47"/>
    <x v="0"/>
    <x v="0"/>
    <x v="15"/>
    <x v="47"/>
    <x v="21"/>
    <x v="26"/>
    <x v="0"/>
    <x v="0"/>
    <x v="0"/>
    <x v="27"/>
  </r>
  <r>
    <x v="574"/>
    <x v="0"/>
    <x v="22"/>
    <x v="22"/>
    <x v="22"/>
    <x v="6"/>
    <x v="5"/>
    <x v="0"/>
    <x v="0"/>
    <x v="0"/>
    <x v="0"/>
    <x v="335"/>
    <x v="15"/>
    <x v="15"/>
    <x v="7"/>
    <x v="7"/>
    <x v="0"/>
    <x v="0"/>
    <x v="0"/>
    <x v="0"/>
    <x v="0"/>
    <x v="0"/>
    <x v="0"/>
    <x v="0"/>
    <x v="0"/>
    <x v="0"/>
    <x v="0"/>
    <x v="0"/>
    <x v="0"/>
  </r>
  <r>
    <x v="575"/>
    <x v="0"/>
    <x v="25"/>
    <x v="25"/>
    <x v="25"/>
    <x v="3"/>
    <x v="3"/>
    <x v="0"/>
    <x v="4"/>
    <x v="0"/>
    <x v="0"/>
    <x v="336"/>
    <x v="15"/>
    <x v="15"/>
    <x v="18"/>
    <x v="18"/>
    <x v="9"/>
    <x v="6"/>
    <x v="79"/>
    <x v="0"/>
    <x v="0"/>
    <x v="6"/>
    <x v="79"/>
    <x v="29"/>
    <x v="37"/>
    <x v="9"/>
    <x v="0"/>
    <x v="8"/>
    <x v="41"/>
  </r>
  <r>
    <x v="576"/>
    <x v="0"/>
    <x v="25"/>
    <x v="25"/>
    <x v="25"/>
    <x v="3"/>
    <x v="3"/>
    <x v="0"/>
    <x v="5"/>
    <x v="0"/>
    <x v="0"/>
    <x v="336"/>
    <x v="15"/>
    <x v="15"/>
    <x v="27"/>
    <x v="27"/>
    <x v="13"/>
    <x v="15"/>
    <x v="140"/>
    <x v="0"/>
    <x v="0"/>
    <x v="15"/>
    <x v="140"/>
    <x v="0"/>
    <x v="0"/>
    <x v="0"/>
    <x v="0"/>
    <x v="0"/>
    <x v="0"/>
  </r>
  <r>
    <x v="577"/>
    <x v="0"/>
    <x v="25"/>
    <x v="25"/>
    <x v="25"/>
    <x v="3"/>
    <x v="3"/>
    <x v="0"/>
    <x v="0"/>
    <x v="0"/>
    <x v="0"/>
    <x v="336"/>
    <x v="15"/>
    <x v="15"/>
    <x v="1"/>
    <x v="1"/>
    <x v="0"/>
    <x v="3"/>
    <x v="3"/>
    <x v="0"/>
    <x v="0"/>
    <x v="3"/>
    <x v="3"/>
    <x v="3"/>
    <x v="3"/>
    <x v="0"/>
    <x v="0"/>
    <x v="0"/>
    <x v="3"/>
  </r>
  <r>
    <x v="578"/>
    <x v="0"/>
    <x v="34"/>
    <x v="34"/>
    <x v="34"/>
    <x v="14"/>
    <x v="7"/>
    <x v="0"/>
    <x v="0"/>
    <x v="0"/>
    <x v="4"/>
    <x v="337"/>
    <x v="15"/>
    <x v="15"/>
    <x v="7"/>
    <x v="7"/>
    <x v="0"/>
    <x v="3"/>
    <x v="3"/>
    <x v="0"/>
    <x v="0"/>
    <x v="3"/>
    <x v="3"/>
    <x v="0"/>
    <x v="0"/>
    <x v="0"/>
    <x v="0"/>
    <x v="0"/>
    <x v="0"/>
  </r>
  <r>
    <x v="579"/>
    <x v="0"/>
    <x v="34"/>
    <x v="34"/>
    <x v="34"/>
    <x v="14"/>
    <x v="7"/>
    <x v="0"/>
    <x v="0"/>
    <x v="0"/>
    <x v="4"/>
    <x v="337"/>
    <x v="15"/>
    <x v="15"/>
    <x v="1"/>
    <x v="1"/>
    <x v="0"/>
    <x v="10"/>
    <x v="25"/>
    <x v="0"/>
    <x v="0"/>
    <x v="10"/>
    <x v="25"/>
    <x v="7"/>
    <x v="15"/>
    <x v="0"/>
    <x v="0"/>
    <x v="0"/>
    <x v="16"/>
  </r>
  <r>
    <x v="580"/>
    <x v="0"/>
    <x v="34"/>
    <x v="34"/>
    <x v="34"/>
    <x v="14"/>
    <x v="7"/>
    <x v="0"/>
    <x v="0"/>
    <x v="0"/>
    <x v="4"/>
    <x v="337"/>
    <x v="15"/>
    <x v="15"/>
    <x v="0"/>
    <x v="0"/>
    <x v="0"/>
    <x v="0"/>
    <x v="0"/>
    <x v="0"/>
    <x v="0"/>
    <x v="0"/>
    <x v="0"/>
    <x v="0"/>
    <x v="0"/>
    <x v="0"/>
    <x v="0"/>
    <x v="0"/>
    <x v="0"/>
  </r>
  <r>
    <x v="581"/>
    <x v="0"/>
    <x v="40"/>
    <x v="40"/>
    <x v="40"/>
    <x v="14"/>
    <x v="7"/>
    <x v="0"/>
    <x v="0"/>
    <x v="0"/>
    <x v="4"/>
    <x v="338"/>
    <x v="15"/>
    <x v="15"/>
    <x v="1"/>
    <x v="1"/>
    <x v="0"/>
    <x v="17"/>
    <x v="27"/>
    <x v="0"/>
    <x v="0"/>
    <x v="17"/>
    <x v="27"/>
    <x v="14"/>
    <x v="22"/>
    <x v="0"/>
    <x v="0"/>
    <x v="0"/>
    <x v="23"/>
  </r>
  <r>
    <x v="582"/>
    <x v="0"/>
    <x v="83"/>
    <x v="83"/>
    <x v="83"/>
    <x v="2"/>
    <x v="2"/>
    <x v="0"/>
    <x v="4"/>
    <x v="0"/>
    <x v="0"/>
    <x v="339"/>
    <x v="15"/>
    <x v="15"/>
    <x v="18"/>
    <x v="18"/>
    <x v="9"/>
    <x v="5"/>
    <x v="23"/>
    <x v="0"/>
    <x v="0"/>
    <x v="5"/>
    <x v="23"/>
    <x v="13"/>
    <x v="14"/>
    <x v="4"/>
    <x v="0"/>
    <x v="1"/>
    <x v="15"/>
  </r>
  <r>
    <x v="583"/>
    <x v="0"/>
    <x v="74"/>
    <x v="74"/>
    <x v="74"/>
    <x v="2"/>
    <x v="2"/>
    <x v="0"/>
    <x v="0"/>
    <x v="0"/>
    <x v="0"/>
    <x v="340"/>
    <x v="15"/>
    <x v="15"/>
    <x v="1"/>
    <x v="1"/>
    <x v="0"/>
    <x v="10"/>
    <x v="25"/>
    <x v="0"/>
    <x v="0"/>
    <x v="10"/>
    <x v="25"/>
    <x v="7"/>
    <x v="15"/>
    <x v="0"/>
    <x v="0"/>
    <x v="0"/>
    <x v="16"/>
  </r>
  <r>
    <x v="584"/>
    <x v="0"/>
    <x v="104"/>
    <x v="104"/>
    <x v="104"/>
    <x v="8"/>
    <x v="7"/>
    <x v="0"/>
    <x v="4"/>
    <x v="0"/>
    <x v="0"/>
    <x v="341"/>
    <x v="15"/>
    <x v="15"/>
    <x v="18"/>
    <x v="18"/>
    <x v="9"/>
    <x v="5"/>
    <x v="23"/>
    <x v="0"/>
    <x v="0"/>
    <x v="5"/>
    <x v="23"/>
    <x v="13"/>
    <x v="14"/>
    <x v="4"/>
    <x v="0"/>
    <x v="1"/>
    <x v="15"/>
  </r>
  <r>
    <x v="585"/>
    <x v="0"/>
    <x v="28"/>
    <x v="28"/>
    <x v="28"/>
    <x v="8"/>
    <x v="7"/>
    <x v="0"/>
    <x v="4"/>
    <x v="0"/>
    <x v="0"/>
    <x v="342"/>
    <x v="15"/>
    <x v="15"/>
    <x v="18"/>
    <x v="18"/>
    <x v="9"/>
    <x v="17"/>
    <x v="145"/>
    <x v="0"/>
    <x v="0"/>
    <x v="17"/>
    <x v="145"/>
    <x v="39"/>
    <x v="59"/>
    <x v="5"/>
    <x v="0"/>
    <x v="4"/>
    <x v="67"/>
  </r>
  <r>
    <x v="586"/>
    <x v="0"/>
    <x v="28"/>
    <x v="28"/>
    <x v="28"/>
    <x v="8"/>
    <x v="7"/>
    <x v="0"/>
    <x v="4"/>
    <x v="0"/>
    <x v="0"/>
    <x v="342"/>
    <x v="15"/>
    <x v="15"/>
    <x v="35"/>
    <x v="35"/>
    <x v="21"/>
    <x v="5"/>
    <x v="93"/>
    <x v="0"/>
    <x v="0"/>
    <x v="5"/>
    <x v="93"/>
    <x v="31"/>
    <x v="41"/>
    <x v="11"/>
    <x v="3"/>
    <x v="1"/>
    <x v="45"/>
  </r>
  <r>
    <x v="587"/>
    <x v="0"/>
    <x v="85"/>
    <x v="85"/>
    <x v="85"/>
    <x v="7"/>
    <x v="6"/>
    <x v="2"/>
    <x v="0"/>
    <x v="0"/>
    <x v="1"/>
    <x v="343"/>
    <x v="15"/>
    <x v="15"/>
    <x v="21"/>
    <x v="21"/>
    <x v="4"/>
    <x v="11"/>
    <x v="74"/>
    <x v="0"/>
    <x v="0"/>
    <x v="11"/>
    <x v="74"/>
    <x v="0"/>
    <x v="0"/>
    <x v="0"/>
    <x v="0"/>
    <x v="0"/>
    <x v="0"/>
  </r>
  <r>
    <x v="588"/>
    <x v="0"/>
    <x v="80"/>
    <x v="80"/>
    <x v="80"/>
    <x v="17"/>
    <x v="2"/>
    <x v="0"/>
    <x v="1"/>
    <x v="0"/>
    <x v="0"/>
    <x v="344"/>
    <x v="15"/>
    <x v="15"/>
    <x v="10"/>
    <x v="10"/>
    <x v="6"/>
    <x v="10"/>
    <x v="13"/>
    <x v="0"/>
    <x v="0"/>
    <x v="10"/>
    <x v="13"/>
    <x v="7"/>
    <x v="9"/>
    <x v="0"/>
    <x v="0"/>
    <x v="0"/>
    <x v="9"/>
  </r>
  <r>
    <x v="589"/>
    <x v="0"/>
    <x v="80"/>
    <x v="80"/>
    <x v="80"/>
    <x v="17"/>
    <x v="2"/>
    <x v="0"/>
    <x v="1"/>
    <x v="0"/>
    <x v="0"/>
    <x v="344"/>
    <x v="15"/>
    <x v="15"/>
    <x v="11"/>
    <x v="11"/>
    <x v="6"/>
    <x v="11"/>
    <x v="14"/>
    <x v="0"/>
    <x v="0"/>
    <x v="11"/>
    <x v="14"/>
    <x v="11"/>
    <x v="26"/>
    <x v="0"/>
    <x v="0"/>
    <x v="0"/>
    <x v="33"/>
  </r>
  <r>
    <x v="590"/>
    <x v="0"/>
    <x v="80"/>
    <x v="80"/>
    <x v="80"/>
    <x v="17"/>
    <x v="2"/>
    <x v="0"/>
    <x v="1"/>
    <x v="0"/>
    <x v="0"/>
    <x v="344"/>
    <x v="15"/>
    <x v="15"/>
    <x v="45"/>
    <x v="45"/>
    <x v="6"/>
    <x v="11"/>
    <x v="14"/>
    <x v="0"/>
    <x v="0"/>
    <x v="11"/>
    <x v="14"/>
    <x v="0"/>
    <x v="0"/>
    <x v="0"/>
    <x v="0"/>
    <x v="0"/>
    <x v="0"/>
  </r>
  <r>
    <x v="591"/>
    <x v="0"/>
    <x v="80"/>
    <x v="80"/>
    <x v="80"/>
    <x v="17"/>
    <x v="2"/>
    <x v="0"/>
    <x v="0"/>
    <x v="0"/>
    <x v="0"/>
    <x v="344"/>
    <x v="15"/>
    <x v="15"/>
    <x v="1"/>
    <x v="1"/>
    <x v="0"/>
    <x v="6"/>
    <x v="6"/>
    <x v="0"/>
    <x v="0"/>
    <x v="6"/>
    <x v="6"/>
    <x v="4"/>
    <x v="5"/>
    <x v="0"/>
    <x v="0"/>
    <x v="0"/>
    <x v="5"/>
  </r>
  <r>
    <x v="592"/>
    <x v="0"/>
    <x v="109"/>
    <x v="109"/>
    <x v="109"/>
    <x v="5"/>
    <x v="0"/>
    <x v="0"/>
    <x v="4"/>
    <x v="0"/>
    <x v="0"/>
    <x v="345"/>
    <x v="15"/>
    <x v="15"/>
    <x v="18"/>
    <x v="18"/>
    <x v="9"/>
    <x v="0"/>
    <x v="146"/>
    <x v="0"/>
    <x v="0"/>
    <x v="0"/>
    <x v="146"/>
    <x v="40"/>
    <x v="60"/>
    <x v="23"/>
    <x v="0"/>
    <x v="2"/>
    <x v="68"/>
  </r>
  <r>
    <x v="593"/>
    <x v="0"/>
    <x v="39"/>
    <x v="39"/>
    <x v="39"/>
    <x v="3"/>
    <x v="3"/>
    <x v="0"/>
    <x v="4"/>
    <x v="0"/>
    <x v="0"/>
    <x v="346"/>
    <x v="16"/>
    <x v="16"/>
    <x v="18"/>
    <x v="18"/>
    <x v="9"/>
    <x v="5"/>
    <x v="23"/>
    <x v="0"/>
    <x v="0"/>
    <x v="5"/>
    <x v="23"/>
    <x v="13"/>
    <x v="14"/>
    <x v="4"/>
    <x v="0"/>
    <x v="1"/>
    <x v="15"/>
  </r>
  <r>
    <x v="594"/>
    <x v="0"/>
    <x v="25"/>
    <x v="25"/>
    <x v="25"/>
    <x v="3"/>
    <x v="3"/>
    <x v="0"/>
    <x v="0"/>
    <x v="0"/>
    <x v="0"/>
    <x v="347"/>
    <x v="16"/>
    <x v="16"/>
    <x v="1"/>
    <x v="1"/>
    <x v="0"/>
    <x v="26"/>
    <x v="57"/>
    <x v="0"/>
    <x v="0"/>
    <x v="26"/>
    <x v="57"/>
    <x v="24"/>
    <x v="29"/>
    <x v="0"/>
    <x v="0"/>
    <x v="0"/>
    <x v="31"/>
  </r>
  <r>
    <x v="595"/>
    <x v="0"/>
    <x v="22"/>
    <x v="22"/>
    <x v="22"/>
    <x v="6"/>
    <x v="5"/>
    <x v="0"/>
    <x v="0"/>
    <x v="0"/>
    <x v="0"/>
    <x v="348"/>
    <x v="16"/>
    <x v="16"/>
    <x v="21"/>
    <x v="21"/>
    <x v="0"/>
    <x v="6"/>
    <x v="6"/>
    <x v="0"/>
    <x v="0"/>
    <x v="6"/>
    <x v="6"/>
    <x v="0"/>
    <x v="0"/>
    <x v="0"/>
    <x v="0"/>
    <x v="0"/>
    <x v="0"/>
  </r>
  <r>
    <x v="596"/>
    <x v="0"/>
    <x v="22"/>
    <x v="22"/>
    <x v="22"/>
    <x v="6"/>
    <x v="5"/>
    <x v="0"/>
    <x v="0"/>
    <x v="0"/>
    <x v="0"/>
    <x v="348"/>
    <x v="16"/>
    <x v="16"/>
    <x v="0"/>
    <x v="0"/>
    <x v="0"/>
    <x v="6"/>
    <x v="6"/>
    <x v="0"/>
    <x v="0"/>
    <x v="6"/>
    <x v="6"/>
    <x v="0"/>
    <x v="0"/>
    <x v="0"/>
    <x v="0"/>
    <x v="0"/>
    <x v="0"/>
  </r>
  <r>
    <x v="597"/>
    <x v="0"/>
    <x v="73"/>
    <x v="73"/>
    <x v="73"/>
    <x v="7"/>
    <x v="6"/>
    <x v="2"/>
    <x v="0"/>
    <x v="0"/>
    <x v="1"/>
    <x v="349"/>
    <x v="16"/>
    <x v="16"/>
    <x v="4"/>
    <x v="4"/>
    <x v="4"/>
    <x v="11"/>
    <x v="74"/>
    <x v="0"/>
    <x v="0"/>
    <x v="11"/>
    <x v="74"/>
    <x v="0"/>
    <x v="0"/>
    <x v="0"/>
    <x v="0"/>
    <x v="0"/>
    <x v="0"/>
  </r>
  <r>
    <x v="598"/>
    <x v="0"/>
    <x v="67"/>
    <x v="67"/>
    <x v="67"/>
    <x v="2"/>
    <x v="2"/>
    <x v="0"/>
    <x v="0"/>
    <x v="0"/>
    <x v="0"/>
    <x v="350"/>
    <x v="16"/>
    <x v="16"/>
    <x v="42"/>
    <x v="42"/>
    <x v="0"/>
    <x v="26"/>
    <x v="57"/>
    <x v="0"/>
    <x v="0"/>
    <x v="26"/>
    <x v="57"/>
    <x v="0"/>
    <x v="0"/>
    <x v="0"/>
    <x v="0"/>
    <x v="0"/>
    <x v="0"/>
  </r>
  <r>
    <x v="599"/>
    <x v="0"/>
    <x v="82"/>
    <x v="82"/>
    <x v="82"/>
    <x v="2"/>
    <x v="2"/>
    <x v="0"/>
    <x v="4"/>
    <x v="0"/>
    <x v="0"/>
    <x v="351"/>
    <x v="16"/>
    <x v="16"/>
    <x v="18"/>
    <x v="18"/>
    <x v="9"/>
    <x v="5"/>
    <x v="23"/>
    <x v="0"/>
    <x v="0"/>
    <x v="5"/>
    <x v="23"/>
    <x v="13"/>
    <x v="14"/>
    <x v="4"/>
    <x v="0"/>
    <x v="1"/>
    <x v="15"/>
  </r>
  <r>
    <x v="600"/>
    <x v="0"/>
    <x v="79"/>
    <x v="79"/>
    <x v="79"/>
    <x v="0"/>
    <x v="0"/>
    <x v="0"/>
    <x v="5"/>
    <x v="0"/>
    <x v="0"/>
    <x v="352"/>
    <x v="16"/>
    <x v="16"/>
    <x v="28"/>
    <x v="28"/>
    <x v="14"/>
    <x v="5"/>
    <x v="89"/>
    <x v="0"/>
    <x v="0"/>
    <x v="5"/>
    <x v="89"/>
    <x v="0"/>
    <x v="0"/>
    <x v="0"/>
    <x v="0"/>
    <x v="0"/>
    <x v="0"/>
  </r>
  <r>
    <x v="601"/>
    <x v="0"/>
    <x v="43"/>
    <x v="43"/>
    <x v="43"/>
    <x v="7"/>
    <x v="6"/>
    <x v="2"/>
    <x v="0"/>
    <x v="0"/>
    <x v="1"/>
    <x v="353"/>
    <x v="16"/>
    <x v="16"/>
    <x v="22"/>
    <x v="22"/>
    <x v="25"/>
    <x v="6"/>
    <x v="76"/>
    <x v="0"/>
    <x v="0"/>
    <x v="6"/>
    <x v="76"/>
    <x v="0"/>
    <x v="0"/>
    <x v="0"/>
    <x v="0"/>
    <x v="0"/>
    <x v="0"/>
  </r>
  <r>
    <x v="602"/>
    <x v="0"/>
    <x v="110"/>
    <x v="110"/>
    <x v="110"/>
    <x v="16"/>
    <x v="8"/>
    <x v="1"/>
    <x v="6"/>
    <x v="0"/>
    <x v="1"/>
    <x v="354"/>
    <x v="16"/>
    <x v="16"/>
    <x v="33"/>
    <x v="33"/>
    <x v="20"/>
    <x v="11"/>
    <x v="147"/>
    <x v="0"/>
    <x v="0"/>
    <x v="11"/>
    <x v="147"/>
    <x v="0"/>
    <x v="0"/>
    <x v="0"/>
    <x v="0"/>
    <x v="0"/>
    <x v="0"/>
  </r>
  <r>
    <x v="603"/>
    <x v="0"/>
    <x v="110"/>
    <x v="110"/>
    <x v="110"/>
    <x v="16"/>
    <x v="8"/>
    <x v="1"/>
    <x v="6"/>
    <x v="0"/>
    <x v="1"/>
    <x v="354"/>
    <x v="16"/>
    <x v="16"/>
    <x v="29"/>
    <x v="29"/>
    <x v="15"/>
    <x v="8"/>
    <x v="41"/>
    <x v="0"/>
    <x v="0"/>
    <x v="8"/>
    <x v="41"/>
    <x v="0"/>
    <x v="0"/>
    <x v="0"/>
    <x v="0"/>
    <x v="0"/>
    <x v="0"/>
  </r>
  <r>
    <x v="604"/>
    <x v="0"/>
    <x v="110"/>
    <x v="110"/>
    <x v="110"/>
    <x v="16"/>
    <x v="8"/>
    <x v="1"/>
    <x v="6"/>
    <x v="0"/>
    <x v="1"/>
    <x v="354"/>
    <x v="16"/>
    <x v="16"/>
    <x v="30"/>
    <x v="30"/>
    <x v="16"/>
    <x v="8"/>
    <x v="148"/>
    <x v="0"/>
    <x v="0"/>
    <x v="8"/>
    <x v="148"/>
    <x v="0"/>
    <x v="0"/>
    <x v="0"/>
    <x v="0"/>
    <x v="0"/>
    <x v="0"/>
  </r>
  <r>
    <x v="605"/>
    <x v="0"/>
    <x v="110"/>
    <x v="110"/>
    <x v="110"/>
    <x v="16"/>
    <x v="8"/>
    <x v="1"/>
    <x v="5"/>
    <x v="0"/>
    <x v="1"/>
    <x v="354"/>
    <x v="16"/>
    <x v="16"/>
    <x v="28"/>
    <x v="28"/>
    <x v="14"/>
    <x v="8"/>
    <x v="38"/>
    <x v="0"/>
    <x v="0"/>
    <x v="8"/>
    <x v="38"/>
    <x v="0"/>
    <x v="0"/>
    <x v="0"/>
    <x v="0"/>
    <x v="0"/>
    <x v="0"/>
  </r>
  <r>
    <x v="606"/>
    <x v="0"/>
    <x v="110"/>
    <x v="110"/>
    <x v="110"/>
    <x v="16"/>
    <x v="8"/>
    <x v="1"/>
    <x v="5"/>
    <x v="0"/>
    <x v="1"/>
    <x v="354"/>
    <x v="16"/>
    <x v="16"/>
    <x v="26"/>
    <x v="26"/>
    <x v="12"/>
    <x v="8"/>
    <x v="99"/>
    <x v="0"/>
    <x v="0"/>
    <x v="8"/>
    <x v="99"/>
    <x v="0"/>
    <x v="0"/>
    <x v="0"/>
    <x v="0"/>
    <x v="0"/>
    <x v="0"/>
  </r>
  <r>
    <x v="607"/>
    <x v="0"/>
    <x v="94"/>
    <x v="94"/>
    <x v="94"/>
    <x v="12"/>
    <x v="1"/>
    <x v="1"/>
    <x v="4"/>
    <x v="0"/>
    <x v="1"/>
    <x v="355"/>
    <x v="16"/>
    <x v="16"/>
    <x v="25"/>
    <x v="25"/>
    <x v="10"/>
    <x v="40"/>
    <x v="149"/>
    <x v="0"/>
    <x v="0"/>
    <x v="40"/>
    <x v="149"/>
    <x v="41"/>
    <x v="61"/>
    <x v="24"/>
    <x v="4"/>
    <x v="10"/>
    <x v="69"/>
  </r>
  <r>
    <x v="608"/>
    <x v="0"/>
    <x v="94"/>
    <x v="94"/>
    <x v="94"/>
    <x v="12"/>
    <x v="1"/>
    <x v="1"/>
    <x v="4"/>
    <x v="0"/>
    <x v="1"/>
    <x v="355"/>
    <x v="16"/>
    <x v="16"/>
    <x v="18"/>
    <x v="18"/>
    <x v="9"/>
    <x v="17"/>
    <x v="145"/>
    <x v="0"/>
    <x v="0"/>
    <x v="17"/>
    <x v="145"/>
    <x v="39"/>
    <x v="59"/>
    <x v="5"/>
    <x v="0"/>
    <x v="4"/>
    <x v="67"/>
  </r>
  <r>
    <x v="609"/>
    <x v="0"/>
    <x v="94"/>
    <x v="94"/>
    <x v="94"/>
    <x v="12"/>
    <x v="1"/>
    <x v="1"/>
    <x v="4"/>
    <x v="0"/>
    <x v="1"/>
    <x v="355"/>
    <x v="16"/>
    <x v="16"/>
    <x v="35"/>
    <x v="35"/>
    <x v="21"/>
    <x v="6"/>
    <x v="150"/>
    <x v="0"/>
    <x v="0"/>
    <x v="6"/>
    <x v="150"/>
    <x v="42"/>
    <x v="62"/>
    <x v="25"/>
    <x v="5"/>
    <x v="8"/>
    <x v="70"/>
  </r>
  <r>
    <x v="610"/>
    <x v="0"/>
    <x v="111"/>
    <x v="111"/>
    <x v="111"/>
    <x v="6"/>
    <x v="5"/>
    <x v="0"/>
    <x v="0"/>
    <x v="0"/>
    <x v="0"/>
    <x v="356"/>
    <x v="16"/>
    <x v="16"/>
    <x v="31"/>
    <x v="31"/>
    <x v="17"/>
    <x v="11"/>
    <x v="151"/>
    <x v="0"/>
    <x v="0"/>
    <x v="11"/>
    <x v="151"/>
    <x v="11"/>
    <x v="12"/>
    <x v="0"/>
    <x v="0"/>
    <x v="0"/>
    <x v="13"/>
  </r>
  <r>
    <x v="611"/>
    <x v="0"/>
    <x v="70"/>
    <x v="70"/>
    <x v="70"/>
    <x v="5"/>
    <x v="0"/>
    <x v="0"/>
    <x v="1"/>
    <x v="0"/>
    <x v="0"/>
    <x v="357"/>
    <x v="16"/>
    <x v="16"/>
    <x v="10"/>
    <x v="10"/>
    <x v="6"/>
    <x v="11"/>
    <x v="14"/>
    <x v="0"/>
    <x v="0"/>
    <x v="11"/>
    <x v="14"/>
    <x v="11"/>
    <x v="26"/>
    <x v="0"/>
    <x v="0"/>
    <x v="0"/>
    <x v="33"/>
  </r>
  <r>
    <x v="612"/>
    <x v="0"/>
    <x v="70"/>
    <x v="70"/>
    <x v="70"/>
    <x v="5"/>
    <x v="0"/>
    <x v="0"/>
    <x v="0"/>
    <x v="0"/>
    <x v="0"/>
    <x v="357"/>
    <x v="16"/>
    <x v="16"/>
    <x v="1"/>
    <x v="1"/>
    <x v="0"/>
    <x v="6"/>
    <x v="6"/>
    <x v="0"/>
    <x v="0"/>
    <x v="6"/>
    <x v="6"/>
    <x v="4"/>
    <x v="5"/>
    <x v="0"/>
    <x v="0"/>
    <x v="0"/>
    <x v="5"/>
  </r>
  <r>
    <x v="613"/>
    <x v="0"/>
    <x v="65"/>
    <x v="65"/>
    <x v="65"/>
    <x v="16"/>
    <x v="8"/>
    <x v="1"/>
    <x v="0"/>
    <x v="0"/>
    <x v="1"/>
    <x v="358"/>
    <x v="16"/>
    <x v="16"/>
    <x v="6"/>
    <x v="6"/>
    <x v="0"/>
    <x v="3"/>
    <x v="3"/>
    <x v="0"/>
    <x v="0"/>
    <x v="3"/>
    <x v="3"/>
    <x v="3"/>
    <x v="3"/>
    <x v="0"/>
    <x v="0"/>
    <x v="0"/>
    <x v="3"/>
  </r>
  <r>
    <x v="614"/>
    <x v="0"/>
    <x v="67"/>
    <x v="67"/>
    <x v="67"/>
    <x v="2"/>
    <x v="2"/>
    <x v="0"/>
    <x v="0"/>
    <x v="0"/>
    <x v="0"/>
    <x v="359"/>
    <x v="16"/>
    <x v="16"/>
    <x v="1"/>
    <x v="1"/>
    <x v="0"/>
    <x v="3"/>
    <x v="3"/>
    <x v="0"/>
    <x v="0"/>
    <x v="3"/>
    <x v="3"/>
    <x v="3"/>
    <x v="3"/>
    <x v="0"/>
    <x v="0"/>
    <x v="0"/>
    <x v="3"/>
  </r>
  <r>
    <x v="615"/>
    <x v="0"/>
    <x v="73"/>
    <x v="73"/>
    <x v="73"/>
    <x v="7"/>
    <x v="6"/>
    <x v="2"/>
    <x v="0"/>
    <x v="0"/>
    <x v="1"/>
    <x v="360"/>
    <x v="16"/>
    <x v="16"/>
    <x v="31"/>
    <x v="31"/>
    <x v="39"/>
    <x v="12"/>
    <x v="152"/>
    <x v="0"/>
    <x v="0"/>
    <x v="12"/>
    <x v="152"/>
    <x v="0"/>
    <x v="0"/>
    <x v="0"/>
    <x v="0"/>
    <x v="0"/>
    <x v="0"/>
  </r>
  <r>
    <x v="616"/>
    <x v="0"/>
    <x v="67"/>
    <x v="67"/>
    <x v="67"/>
    <x v="2"/>
    <x v="2"/>
    <x v="0"/>
    <x v="1"/>
    <x v="0"/>
    <x v="0"/>
    <x v="361"/>
    <x v="16"/>
    <x v="16"/>
    <x v="10"/>
    <x v="10"/>
    <x v="6"/>
    <x v="41"/>
    <x v="153"/>
    <x v="0"/>
    <x v="0"/>
    <x v="41"/>
    <x v="153"/>
    <x v="43"/>
    <x v="63"/>
    <x v="0"/>
    <x v="0"/>
    <x v="0"/>
    <x v="71"/>
  </r>
  <r>
    <x v="617"/>
    <x v="0"/>
    <x v="74"/>
    <x v="74"/>
    <x v="74"/>
    <x v="2"/>
    <x v="2"/>
    <x v="0"/>
    <x v="0"/>
    <x v="0"/>
    <x v="0"/>
    <x v="362"/>
    <x v="16"/>
    <x v="16"/>
    <x v="31"/>
    <x v="31"/>
    <x v="17"/>
    <x v="12"/>
    <x v="154"/>
    <x v="0"/>
    <x v="0"/>
    <x v="12"/>
    <x v="154"/>
    <x v="9"/>
    <x v="9"/>
    <x v="0"/>
    <x v="0"/>
    <x v="0"/>
    <x v="11"/>
  </r>
  <r>
    <x v="618"/>
    <x v="0"/>
    <x v="43"/>
    <x v="43"/>
    <x v="43"/>
    <x v="7"/>
    <x v="6"/>
    <x v="2"/>
    <x v="1"/>
    <x v="0"/>
    <x v="1"/>
    <x v="363"/>
    <x v="16"/>
    <x v="16"/>
    <x v="13"/>
    <x v="13"/>
    <x v="19"/>
    <x v="10"/>
    <x v="120"/>
    <x v="0"/>
    <x v="0"/>
    <x v="10"/>
    <x v="120"/>
    <x v="0"/>
    <x v="0"/>
    <x v="0"/>
    <x v="0"/>
    <x v="0"/>
    <x v="0"/>
  </r>
  <r>
    <x v="619"/>
    <x v="0"/>
    <x v="63"/>
    <x v="63"/>
    <x v="63"/>
    <x v="14"/>
    <x v="7"/>
    <x v="0"/>
    <x v="1"/>
    <x v="0"/>
    <x v="4"/>
    <x v="364"/>
    <x v="16"/>
    <x v="16"/>
    <x v="10"/>
    <x v="10"/>
    <x v="6"/>
    <x v="11"/>
    <x v="14"/>
    <x v="0"/>
    <x v="0"/>
    <x v="11"/>
    <x v="14"/>
    <x v="11"/>
    <x v="26"/>
    <x v="0"/>
    <x v="0"/>
    <x v="0"/>
    <x v="33"/>
  </r>
  <r>
    <x v="620"/>
    <x v="0"/>
    <x v="45"/>
    <x v="45"/>
    <x v="45"/>
    <x v="13"/>
    <x v="3"/>
    <x v="0"/>
    <x v="1"/>
    <x v="0"/>
    <x v="0"/>
    <x v="365"/>
    <x v="16"/>
    <x v="16"/>
    <x v="10"/>
    <x v="10"/>
    <x v="6"/>
    <x v="3"/>
    <x v="50"/>
    <x v="0"/>
    <x v="0"/>
    <x v="3"/>
    <x v="50"/>
    <x v="3"/>
    <x v="11"/>
    <x v="0"/>
    <x v="0"/>
    <x v="0"/>
    <x v="29"/>
  </r>
  <r>
    <x v="621"/>
    <x v="0"/>
    <x v="45"/>
    <x v="45"/>
    <x v="45"/>
    <x v="13"/>
    <x v="3"/>
    <x v="0"/>
    <x v="0"/>
    <x v="0"/>
    <x v="0"/>
    <x v="365"/>
    <x v="16"/>
    <x v="16"/>
    <x v="1"/>
    <x v="1"/>
    <x v="0"/>
    <x v="19"/>
    <x v="34"/>
    <x v="0"/>
    <x v="0"/>
    <x v="19"/>
    <x v="34"/>
    <x v="18"/>
    <x v="21"/>
    <x v="0"/>
    <x v="0"/>
    <x v="0"/>
    <x v="22"/>
  </r>
  <r>
    <x v="622"/>
    <x v="0"/>
    <x v="28"/>
    <x v="28"/>
    <x v="28"/>
    <x v="8"/>
    <x v="7"/>
    <x v="0"/>
    <x v="1"/>
    <x v="0"/>
    <x v="0"/>
    <x v="366"/>
    <x v="16"/>
    <x v="16"/>
    <x v="10"/>
    <x v="10"/>
    <x v="6"/>
    <x v="3"/>
    <x v="50"/>
    <x v="0"/>
    <x v="0"/>
    <x v="3"/>
    <x v="50"/>
    <x v="3"/>
    <x v="11"/>
    <x v="0"/>
    <x v="0"/>
    <x v="0"/>
    <x v="29"/>
  </r>
  <r>
    <x v="623"/>
    <x v="0"/>
    <x v="28"/>
    <x v="28"/>
    <x v="28"/>
    <x v="8"/>
    <x v="7"/>
    <x v="0"/>
    <x v="4"/>
    <x v="0"/>
    <x v="0"/>
    <x v="366"/>
    <x v="16"/>
    <x v="16"/>
    <x v="18"/>
    <x v="18"/>
    <x v="9"/>
    <x v="6"/>
    <x v="79"/>
    <x v="0"/>
    <x v="0"/>
    <x v="6"/>
    <x v="79"/>
    <x v="29"/>
    <x v="37"/>
    <x v="9"/>
    <x v="0"/>
    <x v="8"/>
    <x v="41"/>
  </r>
  <r>
    <x v="624"/>
    <x v="0"/>
    <x v="28"/>
    <x v="28"/>
    <x v="28"/>
    <x v="8"/>
    <x v="7"/>
    <x v="0"/>
    <x v="0"/>
    <x v="0"/>
    <x v="0"/>
    <x v="366"/>
    <x v="16"/>
    <x v="16"/>
    <x v="7"/>
    <x v="7"/>
    <x v="0"/>
    <x v="0"/>
    <x v="0"/>
    <x v="0"/>
    <x v="0"/>
    <x v="0"/>
    <x v="0"/>
    <x v="0"/>
    <x v="0"/>
    <x v="0"/>
    <x v="0"/>
    <x v="0"/>
    <x v="0"/>
  </r>
  <r>
    <x v="625"/>
    <x v="0"/>
    <x v="28"/>
    <x v="28"/>
    <x v="28"/>
    <x v="8"/>
    <x v="7"/>
    <x v="0"/>
    <x v="1"/>
    <x v="0"/>
    <x v="0"/>
    <x v="366"/>
    <x v="16"/>
    <x v="16"/>
    <x v="39"/>
    <x v="39"/>
    <x v="6"/>
    <x v="17"/>
    <x v="29"/>
    <x v="0"/>
    <x v="0"/>
    <x v="17"/>
    <x v="29"/>
    <x v="14"/>
    <x v="17"/>
    <x v="0"/>
    <x v="0"/>
    <x v="0"/>
    <x v="18"/>
  </r>
  <r>
    <x v="626"/>
    <x v="0"/>
    <x v="91"/>
    <x v="91"/>
    <x v="91"/>
    <x v="8"/>
    <x v="7"/>
    <x v="0"/>
    <x v="4"/>
    <x v="0"/>
    <x v="0"/>
    <x v="367"/>
    <x v="16"/>
    <x v="16"/>
    <x v="18"/>
    <x v="18"/>
    <x v="9"/>
    <x v="6"/>
    <x v="79"/>
    <x v="0"/>
    <x v="0"/>
    <x v="6"/>
    <x v="79"/>
    <x v="29"/>
    <x v="37"/>
    <x v="9"/>
    <x v="0"/>
    <x v="8"/>
    <x v="41"/>
  </r>
  <r>
    <x v="627"/>
    <x v="0"/>
    <x v="25"/>
    <x v="25"/>
    <x v="25"/>
    <x v="3"/>
    <x v="3"/>
    <x v="0"/>
    <x v="0"/>
    <x v="0"/>
    <x v="0"/>
    <x v="368"/>
    <x v="16"/>
    <x v="16"/>
    <x v="0"/>
    <x v="0"/>
    <x v="0"/>
    <x v="17"/>
    <x v="27"/>
    <x v="0"/>
    <x v="0"/>
    <x v="17"/>
    <x v="27"/>
    <x v="0"/>
    <x v="0"/>
    <x v="0"/>
    <x v="0"/>
    <x v="0"/>
    <x v="0"/>
  </r>
  <r>
    <x v="628"/>
    <x v="0"/>
    <x v="65"/>
    <x v="65"/>
    <x v="65"/>
    <x v="16"/>
    <x v="8"/>
    <x v="1"/>
    <x v="1"/>
    <x v="0"/>
    <x v="1"/>
    <x v="369"/>
    <x v="16"/>
    <x v="16"/>
    <x v="10"/>
    <x v="10"/>
    <x v="6"/>
    <x v="26"/>
    <x v="55"/>
    <x v="0"/>
    <x v="0"/>
    <x v="26"/>
    <x v="55"/>
    <x v="24"/>
    <x v="64"/>
    <x v="0"/>
    <x v="0"/>
    <x v="0"/>
    <x v="72"/>
  </r>
  <r>
    <x v="629"/>
    <x v="0"/>
    <x v="65"/>
    <x v="65"/>
    <x v="65"/>
    <x v="16"/>
    <x v="8"/>
    <x v="1"/>
    <x v="0"/>
    <x v="0"/>
    <x v="1"/>
    <x v="369"/>
    <x v="16"/>
    <x v="16"/>
    <x v="16"/>
    <x v="16"/>
    <x v="0"/>
    <x v="20"/>
    <x v="81"/>
    <x v="0"/>
    <x v="0"/>
    <x v="20"/>
    <x v="81"/>
    <x v="0"/>
    <x v="0"/>
    <x v="0"/>
    <x v="0"/>
    <x v="0"/>
    <x v="0"/>
  </r>
  <r>
    <x v="630"/>
    <x v="0"/>
    <x v="65"/>
    <x v="65"/>
    <x v="65"/>
    <x v="16"/>
    <x v="8"/>
    <x v="1"/>
    <x v="0"/>
    <x v="0"/>
    <x v="1"/>
    <x v="369"/>
    <x v="16"/>
    <x v="16"/>
    <x v="6"/>
    <x v="6"/>
    <x v="0"/>
    <x v="42"/>
    <x v="155"/>
    <x v="0"/>
    <x v="0"/>
    <x v="42"/>
    <x v="155"/>
    <x v="44"/>
    <x v="65"/>
    <x v="0"/>
    <x v="0"/>
    <x v="0"/>
    <x v="73"/>
  </r>
  <r>
    <x v="631"/>
    <x v="0"/>
    <x v="65"/>
    <x v="65"/>
    <x v="65"/>
    <x v="16"/>
    <x v="8"/>
    <x v="1"/>
    <x v="0"/>
    <x v="0"/>
    <x v="1"/>
    <x v="369"/>
    <x v="16"/>
    <x v="16"/>
    <x v="22"/>
    <x v="22"/>
    <x v="0"/>
    <x v="3"/>
    <x v="3"/>
    <x v="0"/>
    <x v="0"/>
    <x v="3"/>
    <x v="3"/>
    <x v="0"/>
    <x v="0"/>
    <x v="0"/>
    <x v="0"/>
    <x v="0"/>
    <x v="0"/>
  </r>
  <r>
    <x v="632"/>
    <x v="0"/>
    <x v="65"/>
    <x v="65"/>
    <x v="65"/>
    <x v="16"/>
    <x v="8"/>
    <x v="1"/>
    <x v="0"/>
    <x v="0"/>
    <x v="1"/>
    <x v="370"/>
    <x v="16"/>
    <x v="16"/>
    <x v="6"/>
    <x v="6"/>
    <x v="0"/>
    <x v="15"/>
    <x v="47"/>
    <x v="0"/>
    <x v="0"/>
    <x v="15"/>
    <x v="47"/>
    <x v="21"/>
    <x v="26"/>
    <x v="0"/>
    <x v="0"/>
    <x v="0"/>
    <x v="27"/>
  </r>
  <r>
    <x v="633"/>
    <x v="0"/>
    <x v="31"/>
    <x v="31"/>
    <x v="31"/>
    <x v="12"/>
    <x v="1"/>
    <x v="1"/>
    <x v="0"/>
    <x v="0"/>
    <x v="1"/>
    <x v="371"/>
    <x v="16"/>
    <x v="16"/>
    <x v="31"/>
    <x v="31"/>
    <x v="17"/>
    <x v="6"/>
    <x v="59"/>
    <x v="0"/>
    <x v="0"/>
    <x v="6"/>
    <x v="59"/>
    <x v="4"/>
    <x v="5"/>
    <x v="0"/>
    <x v="0"/>
    <x v="0"/>
    <x v="5"/>
  </r>
  <r>
    <x v="634"/>
    <x v="0"/>
    <x v="60"/>
    <x v="60"/>
    <x v="60"/>
    <x v="17"/>
    <x v="2"/>
    <x v="0"/>
    <x v="1"/>
    <x v="0"/>
    <x v="0"/>
    <x v="372"/>
    <x v="16"/>
    <x v="16"/>
    <x v="10"/>
    <x v="10"/>
    <x v="6"/>
    <x v="17"/>
    <x v="29"/>
    <x v="0"/>
    <x v="0"/>
    <x v="17"/>
    <x v="29"/>
    <x v="14"/>
    <x v="17"/>
    <x v="0"/>
    <x v="0"/>
    <x v="0"/>
    <x v="18"/>
  </r>
  <r>
    <x v="635"/>
    <x v="0"/>
    <x v="80"/>
    <x v="80"/>
    <x v="80"/>
    <x v="17"/>
    <x v="2"/>
    <x v="0"/>
    <x v="0"/>
    <x v="0"/>
    <x v="0"/>
    <x v="373"/>
    <x v="16"/>
    <x v="16"/>
    <x v="1"/>
    <x v="1"/>
    <x v="0"/>
    <x v="6"/>
    <x v="6"/>
    <x v="0"/>
    <x v="0"/>
    <x v="6"/>
    <x v="6"/>
    <x v="4"/>
    <x v="5"/>
    <x v="0"/>
    <x v="0"/>
    <x v="0"/>
    <x v="5"/>
  </r>
  <r>
    <x v="636"/>
    <x v="0"/>
    <x v="57"/>
    <x v="57"/>
    <x v="57"/>
    <x v="5"/>
    <x v="0"/>
    <x v="0"/>
    <x v="1"/>
    <x v="0"/>
    <x v="0"/>
    <x v="374"/>
    <x v="16"/>
    <x v="16"/>
    <x v="10"/>
    <x v="10"/>
    <x v="6"/>
    <x v="11"/>
    <x v="14"/>
    <x v="0"/>
    <x v="0"/>
    <x v="11"/>
    <x v="14"/>
    <x v="11"/>
    <x v="26"/>
    <x v="0"/>
    <x v="0"/>
    <x v="0"/>
    <x v="33"/>
  </r>
  <r>
    <x v="637"/>
    <x v="0"/>
    <x v="80"/>
    <x v="80"/>
    <x v="80"/>
    <x v="17"/>
    <x v="2"/>
    <x v="0"/>
    <x v="0"/>
    <x v="0"/>
    <x v="0"/>
    <x v="375"/>
    <x v="17"/>
    <x v="17"/>
    <x v="1"/>
    <x v="1"/>
    <x v="0"/>
    <x v="6"/>
    <x v="6"/>
    <x v="0"/>
    <x v="0"/>
    <x v="6"/>
    <x v="6"/>
    <x v="4"/>
    <x v="5"/>
    <x v="0"/>
    <x v="0"/>
    <x v="0"/>
    <x v="5"/>
  </r>
  <r>
    <x v="638"/>
    <x v="0"/>
    <x v="43"/>
    <x v="43"/>
    <x v="43"/>
    <x v="7"/>
    <x v="6"/>
    <x v="2"/>
    <x v="0"/>
    <x v="0"/>
    <x v="1"/>
    <x v="376"/>
    <x v="17"/>
    <x v="17"/>
    <x v="40"/>
    <x v="40"/>
    <x v="25"/>
    <x v="0"/>
    <x v="77"/>
    <x v="0"/>
    <x v="0"/>
    <x v="0"/>
    <x v="77"/>
    <x v="0"/>
    <x v="0"/>
    <x v="0"/>
    <x v="0"/>
    <x v="0"/>
    <x v="0"/>
  </r>
  <r>
    <x v="639"/>
    <x v="0"/>
    <x v="43"/>
    <x v="43"/>
    <x v="43"/>
    <x v="7"/>
    <x v="6"/>
    <x v="2"/>
    <x v="0"/>
    <x v="0"/>
    <x v="1"/>
    <x v="376"/>
    <x v="17"/>
    <x v="17"/>
    <x v="22"/>
    <x v="22"/>
    <x v="25"/>
    <x v="6"/>
    <x v="76"/>
    <x v="0"/>
    <x v="0"/>
    <x v="6"/>
    <x v="76"/>
    <x v="0"/>
    <x v="0"/>
    <x v="0"/>
    <x v="0"/>
    <x v="0"/>
    <x v="0"/>
  </r>
  <r>
    <x v="640"/>
    <x v="0"/>
    <x v="63"/>
    <x v="63"/>
    <x v="63"/>
    <x v="14"/>
    <x v="7"/>
    <x v="0"/>
    <x v="0"/>
    <x v="0"/>
    <x v="4"/>
    <x v="377"/>
    <x v="17"/>
    <x v="17"/>
    <x v="1"/>
    <x v="1"/>
    <x v="0"/>
    <x v="0"/>
    <x v="0"/>
    <x v="0"/>
    <x v="0"/>
    <x v="0"/>
    <x v="0"/>
    <x v="2"/>
    <x v="2"/>
    <x v="0"/>
    <x v="0"/>
    <x v="0"/>
    <x v="2"/>
  </r>
  <r>
    <x v="641"/>
    <x v="0"/>
    <x v="23"/>
    <x v="23"/>
    <x v="23"/>
    <x v="3"/>
    <x v="3"/>
    <x v="0"/>
    <x v="0"/>
    <x v="0"/>
    <x v="0"/>
    <x v="378"/>
    <x v="17"/>
    <x v="17"/>
    <x v="6"/>
    <x v="6"/>
    <x v="0"/>
    <x v="17"/>
    <x v="27"/>
    <x v="0"/>
    <x v="0"/>
    <x v="17"/>
    <x v="27"/>
    <x v="14"/>
    <x v="22"/>
    <x v="0"/>
    <x v="0"/>
    <x v="0"/>
    <x v="23"/>
  </r>
  <r>
    <x v="642"/>
    <x v="0"/>
    <x v="25"/>
    <x v="25"/>
    <x v="25"/>
    <x v="3"/>
    <x v="3"/>
    <x v="0"/>
    <x v="0"/>
    <x v="0"/>
    <x v="0"/>
    <x v="379"/>
    <x v="17"/>
    <x v="17"/>
    <x v="21"/>
    <x v="21"/>
    <x v="0"/>
    <x v="6"/>
    <x v="6"/>
    <x v="0"/>
    <x v="0"/>
    <x v="6"/>
    <x v="6"/>
    <x v="0"/>
    <x v="0"/>
    <x v="0"/>
    <x v="0"/>
    <x v="0"/>
    <x v="0"/>
  </r>
  <r>
    <x v="643"/>
    <x v="0"/>
    <x v="112"/>
    <x v="112"/>
    <x v="112"/>
    <x v="2"/>
    <x v="2"/>
    <x v="0"/>
    <x v="1"/>
    <x v="0"/>
    <x v="0"/>
    <x v="380"/>
    <x v="17"/>
    <x v="17"/>
    <x v="10"/>
    <x v="10"/>
    <x v="6"/>
    <x v="25"/>
    <x v="112"/>
    <x v="0"/>
    <x v="0"/>
    <x v="25"/>
    <x v="112"/>
    <x v="35"/>
    <x v="15"/>
    <x v="0"/>
    <x v="0"/>
    <x v="0"/>
    <x v="51"/>
  </r>
  <r>
    <x v="644"/>
    <x v="0"/>
    <x v="112"/>
    <x v="112"/>
    <x v="112"/>
    <x v="2"/>
    <x v="2"/>
    <x v="0"/>
    <x v="4"/>
    <x v="0"/>
    <x v="0"/>
    <x v="381"/>
    <x v="17"/>
    <x v="17"/>
    <x v="18"/>
    <x v="18"/>
    <x v="9"/>
    <x v="18"/>
    <x v="31"/>
    <x v="0"/>
    <x v="0"/>
    <x v="18"/>
    <x v="31"/>
    <x v="16"/>
    <x v="19"/>
    <x v="6"/>
    <x v="0"/>
    <x v="5"/>
    <x v="20"/>
  </r>
  <r>
    <x v="645"/>
    <x v="0"/>
    <x v="113"/>
    <x v="113"/>
    <x v="113"/>
    <x v="2"/>
    <x v="2"/>
    <x v="0"/>
    <x v="0"/>
    <x v="0"/>
    <x v="0"/>
    <x v="382"/>
    <x v="17"/>
    <x v="17"/>
    <x v="1"/>
    <x v="1"/>
    <x v="0"/>
    <x v="3"/>
    <x v="3"/>
    <x v="0"/>
    <x v="0"/>
    <x v="3"/>
    <x v="3"/>
    <x v="3"/>
    <x v="3"/>
    <x v="0"/>
    <x v="0"/>
    <x v="0"/>
    <x v="3"/>
  </r>
  <r>
    <x v="646"/>
    <x v="0"/>
    <x v="73"/>
    <x v="73"/>
    <x v="73"/>
    <x v="7"/>
    <x v="6"/>
    <x v="2"/>
    <x v="0"/>
    <x v="0"/>
    <x v="1"/>
    <x v="383"/>
    <x v="17"/>
    <x v="17"/>
    <x v="4"/>
    <x v="4"/>
    <x v="4"/>
    <x v="6"/>
    <x v="10"/>
    <x v="0"/>
    <x v="0"/>
    <x v="6"/>
    <x v="10"/>
    <x v="0"/>
    <x v="0"/>
    <x v="0"/>
    <x v="0"/>
    <x v="0"/>
    <x v="0"/>
  </r>
  <r>
    <x v="647"/>
    <x v="0"/>
    <x v="31"/>
    <x v="31"/>
    <x v="31"/>
    <x v="12"/>
    <x v="1"/>
    <x v="1"/>
    <x v="0"/>
    <x v="0"/>
    <x v="1"/>
    <x v="384"/>
    <x v="17"/>
    <x v="17"/>
    <x v="31"/>
    <x v="31"/>
    <x v="17"/>
    <x v="0"/>
    <x v="156"/>
    <x v="0"/>
    <x v="0"/>
    <x v="0"/>
    <x v="156"/>
    <x v="2"/>
    <x v="2"/>
    <x v="0"/>
    <x v="0"/>
    <x v="0"/>
    <x v="2"/>
  </r>
  <r>
    <x v="648"/>
    <x v="0"/>
    <x v="53"/>
    <x v="53"/>
    <x v="53"/>
    <x v="7"/>
    <x v="6"/>
    <x v="2"/>
    <x v="4"/>
    <x v="0"/>
    <x v="1"/>
    <x v="385"/>
    <x v="17"/>
    <x v="17"/>
    <x v="35"/>
    <x v="35"/>
    <x v="40"/>
    <x v="5"/>
    <x v="157"/>
    <x v="0"/>
    <x v="0"/>
    <x v="5"/>
    <x v="157"/>
    <x v="0"/>
    <x v="0"/>
    <x v="0"/>
    <x v="0"/>
    <x v="0"/>
    <x v="0"/>
  </r>
  <r>
    <x v="649"/>
    <x v="0"/>
    <x v="25"/>
    <x v="25"/>
    <x v="25"/>
    <x v="3"/>
    <x v="3"/>
    <x v="0"/>
    <x v="0"/>
    <x v="0"/>
    <x v="0"/>
    <x v="386"/>
    <x v="18"/>
    <x v="18"/>
    <x v="21"/>
    <x v="21"/>
    <x v="0"/>
    <x v="0"/>
    <x v="0"/>
    <x v="0"/>
    <x v="0"/>
    <x v="0"/>
    <x v="0"/>
    <x v="0"/>
    <x v="0"/>
    <x v="0"/>
    <x v="0"/>
    <x v="0"/>
    <x v="0"/>
  </r>
  <r>
    <x v="650"/>
    <x v="0"/>
    <x v="23"/>
    <x v="23"/>
    <x v="23"/>
    <x v="3"/>
    <x v="3"/>
    <x v="0"/>
    <x v="0"/>
    <x v="0"/>
    <x v="0"/>
    <x v="387"/>
    <x v="18"/>
    <x v="18"/>
    <x v="6"/>
    <x v="6"/>
    <x v="0"/>
    <x v="25"/>
    <x v="53"/>
    <x v="0"/>
    <x v="0"/>
    <x v="25"/>
    <x v="53"/>
    <x v="35"/>
    <x v="49"/>
    <x v="0"/>
    <x v="0"/>
    <x v="0"/>
    <x v="55"/>
  </r>
  <r>
    <x v="651"/>
    <x v="0"/>
    <x v="39"/>
    <x v="39"/>
    <x v="39"/>
    <x v="3"/>
    <x v="3"/>
    <x v="0"/>
    <x v="1"/>
    <x v="0"/>
    <x v="0"/>
    <x v="388"/>
    <x v="18"/>
    <x v="18"/>
    <x v="10"/>
    <x v="10"/>
    <x v="6"/>
    <x v="10"/>
    <x v="13"/>
    <x v="0"/>
    <x v="0"/>
    <x v="10"/>
    <x v="13"/>
    <x v="7"/>
    <x v="9"/>
    <x v="0"/>
    <x v="0"/>
    <x v="0"/>
    <x v="9"/>
  </r>
  <r>
    <x v="652"/>
    <x v="0"/>
    <x v="43"/>
    <x v="43"/>
    <x v="43"/>
    <x v="7"/>
    <x v="6"/>
    <x v="2"/>
    <x v="0"/>
    <x v="0"/>
    <x v="1"/>
    <x v="389"/>
    <x v="18"/>
    <x v="18"/>
    <x v="40"/>
    <x v="40"/>
    <x v="25"/>
    <x v="0"/>
    <x v="77"/>
    <x v="0"/>
    <x v="0"/>
    <x v="0"/>
    <x v="77"/>
    <x v="0"/>
    <x v="0"/>
    <x v="0"/>
    <x v="0"/>
    <x v="0"/>
    <x v="0"/>
  </r>
  <r>
    <x v="653"/>
    <x v="0"/>
    <x v="28"/>
    <x v="28"/>
    <x v="28"/>
    <x v="8"/>
    <x v="7"/>
    <x v="0"/>
    <x v="0"/>
    <x v="0"/>
    <x v="0"/>
    <x v="390"/>
    <x v="18"/>
    <x v="18"/>
    <x v="1"/>
    <x v="1"/>
    <x v="0"/>
    <x v="0"/>
    <x v="0"/>
    <x v="0"/>
    <x v="0"/>
    <x v="0"/>
    <x v="0"/>
    <x v="2"/>
    <x v="2"/>
    <x v="0"/>
    <x v="0"/>
    <x v="0"/>
    <x v="2"/>
  </r>
  <r>
    <x v="654"/>
    <x v="0"/>
    <x v="28"/>
    <x v="28"/>
    <x v="28"/>
    <x v="8"/>
    <x v="7"/>
    <x v="0"/>
    <x v="1"/>
    <x v="0"/>
    <x v="0"/>
    <x v="390"/>
    <x v="18"/>
    <x v="18"/>
    <x v="39"/>
    <x v="39"/>
    <x v="6"/>
    <x v="11"/>
    <x v="14"/>
    <x v="0"/>
    <x v="0"/>
    <x v="11"/>
    <x v="14"/>
    <x v="11"/>
    <x v="26"/>
    <x v="0"/>
    <x v="0"/>
    <x v="0"/>
    <x v="33"/>
  </r>
  <r>
    <x v="655"/>
    <x v="0"/>
    <x v="28"/>
    <x v="28"/>
    <x v="28"/>
    <x v="8"/>
    <x v="7"/>
    <x v="0"/>
    <x v="0"/>
    <x v="0"/>
    <x v="0"/>
    <x v="390"/>
    <x v="18"/>
    <x v="18"/>
    <x v="7"/>
    <x v="7"/>
    <x v="0"/>
    <x v="0"/>
    <x v="0"/>
    <x v="0"/>
    <x v="0"/>
    <x v="0"/>
    <x v="0"/>
    <x v="0"/>
    <x v="0"/>
    <x v="0"/>
    <x v="0"/>
    <x v="0"/>
    <x v="0"/>
  </r>
  <r>
    <x v="656"/>
    <x v="0"/>
    <x v="56"/>
    <x v="56"/>
    <x v="56"/>
    <x v="16"/>
    <x v="8"/>
    <x v="1"/>
    <x v="0"/>
    <x v="0"/>
    <x v="1"/>
    <x v="391"/>
    <x v="18"/>
    <x v="18"/>
    <x v="2"/>
    <x v="2"/>
    <x v="0"/>
    <x v="26"/>
    <x v="57"/>
    <x v="0"/>
    <x v="0"/>
    <x v="26"/>
    <x v="57"/>
    <x v="0"/>
    <x v="0"/>
    <x v="0"/>
    <x v="0"/>
    <x v="0"/>
    <x v="0"/>
  </r>
  <r>
    <x v="657"/>
    <x v="0"/>
    <x v="31"/>
    <x v="31"/>
    <x v="31"/>
    <x v="12"/>
    <x v="1"/>
    <x v="1"/>
    <x v="0"/>
    <x v="0"/>
    <x v="1"/>
    <x v="392"/>
    <x v="18"/>
    <x v="18"/>
    <x v="1"/>
    <x v="1"/>
    <x v="0"/>
    <x v="43"/>
    <x v="158"/>
    <x v="0"/>
    <x v="0"/>
    <x v="43"/>
    <x v="158"/>
    <x v="45"/>
    <x v="66"/>
    <x v="0"/>
    <x v="0"/>
    <x v="0"/>
    <x v="74"/>
  </r>
  <r>
    <x v="658"/>
    <x v="0"/>
    <x v="31"/>
    <x v="31"/>
    <x v="31"/>
    <x v="12"/>
    <x v="1"/>
    <x v="1"/>
    <x v="0"/>
    <x v="0"/>
    <x v="1"/>
    <x v="392"/>
    <x v="18"/>
    <x v="18"/>
    <x v="31"/>
    <x v="31"/>
    <x v="17"/>
    <x v="6"/>
    <x v="59"/>
    <x v="0"/>
    <x v="0"/>
    <x v="6"/>
    <x v="59"/>
    <x v="4"/>
    <x v="5"/>
    <x v="0"/>
    <x v="0"/>
    <x v="0"/>
    <x v="5"/>
  </r>
  <r>
    <x v="659"/>
    <x v="0"/>
    <x v="55"/>
    <x v="55"/>
    <x v="55"/>
    <x v="9"/>
    <x v="8"/>
    <x v="1"/>
    <x v="0"/>
    <x v="0"/>
    <x v="3"/>
    <x v="393"/>
    <x v="18"/>
    <x v="18"/>
    <x v="1"/>
    <x v="1"/>
    <x v="0"/>
    <x v="1"/>
    <x v="1"/>
    <x v="0"/>
    <x v="0"/>
    <x v="1"/>
    <x v="1"/>
    <x v="1"/>
    <x v="1"/>
    <x v="0"/>
    <x v="0"/>
    <x v="0"/>
    <x v="1"/>
  </r>
  <r>
    <x v="660"/>
    <x v="0"/>
    <x v="39"/>
    <x v="39"/>
    <x v="39"/>
    <x v="3"/>
    <x v="3"/>
    <x v="0"/>
    <x v="1"/>
    <x v="0"/>
    <x v="0"/>
    <x v="394"/>
    <x v="18"/>
    <x v="18"/>
    <x v="10"/>
    <x v="10"/>
    <x v="6"/>
    <x v="2"/>
    <x v="159"/>
    <x v="0"/>
    <x v="0"/>
    <x v="2"/>
    <x v="159"/>
    <x v="46"/>
    <x v="67"/>
    <x v="0"/>
    <x v="0"/>
    <x v="0"/>
    <x v="75"/>
  </r>
  <r>
    <x v="661"/>
    <x v="0"/>
    <x v="39"/>
    <x v="39"/>
    <x v="39"/>
    <x v="3"/>
    <x v="3"/>
    <x v="0"/>
    <x v="1"/>
    <x v="0"/>
    <x v="0"/>
    <x v="395"/>
    <x v="18"/>
    <x v="18"/>
    <x v="10"/>
    <x v="10"/>
    <x v="6"/>
    <x v="24"/>
    <x v="144"/>
    <x v="0"/>
    <x v="0"/>
    <x v="24"/>
    <x v="144"/>
    <x v="22"/>
    <x v="58"/>
    <x v="0"/>
    <x v="0"/>
    <x v="0"/>
    <x v="66"/>
  </r>
  <r>
    <x v="662"/>
    <x v="0"/>
    <x v="21"/>
    <x v="21"/>
    <x v="21"/>
    <x v="11"/>
    <x v="2"/>
    <x v="0"/>
    <x v="2"/>
    <x v="0"/>
    <x v="0"/>
    <x v="396"/>
    <x v="18"/>
    <x v="18"/>
    <x v="55"/>
    <x v="55"/>
    <x v="41"/>
    <x v="8"/>
    <x v="160"/>
    <x v="0"/>
    <x v="0"/>
    <x v="8"/>
    <x v="160"/>
    <x v="0"/>
    <x v="68"/>
    <x v="26"/>
    <x v="0"/>
    <x v="7"/>
    <x v="76"/>
  </r>
  <r>
    <x v="663"/>
    <x v="0"/>
    <x v="21"/>
    <x v="21"/>
    <x v="21"/>
    <x v="11"/>
    <x v="2"/>
    <x v="0"/>
    <x v="1"/>
    <x v="0"/>
    <x v="0"/>
    <x v="397"/>
    <x v="18"/>
    <x v="18"/>
    <x v="13"/>
    <x v="13"/>
    <x v="6"/>
    <x v="8"/>
    <x v="85"/>
    <x v="0"/>
    <x v="0"/>
    <x v="8"/>
    <x v="85"/>
    <x v="0"/>
    <x v="0"/>
    <x v="0"/>
    <x v="0"/>
    <x v="0"/>
    <x v="0"/>
  </r>
  <r>
    <x v="664"/>
    <x v="0"/>
    <x v="98"/>
    <x v="98"/>
    <x v="98"/>
    <x v="9"/>
    <x v="8"/>
    <x v="1"/>
    <x v="0"/>
    <x v="0"/>
    <x v="3"/>
    <x v="398"/>
    <x v="18"/>
    <x v="18"/>
    <x v="54"/>
    <x v="54"/>
    <x v="0"/>
    <x v="22"/>
    <x v="40"/>
    <x v="0"/>
    <x v="0"/>
    <x v="22"/>
    <x v="40"/>
    <x v="0"/>
    <x v="0"/>
    <x v="0"/>
    <x v="0"/>
    <x v="0"/>
    <x v="0"/>
  </r>
  <r>
    <x v="665"/>
    <x v="0"/>
    <x v="110"/>
    <x v="110"/>
    <x v="110"/>
    <x v="16"/>
    <x v="8"/>
    <x v="1"/>
    <x v="1"/>
    <x v="0"/>
    <x v="1"/>
    <x v="399"/>
    <x v="18"/>
    <x v="18"/>
    <x v="56"/>
    <x v="56"/>
    <x v="42"/>
    <x v="0"/>
    <x v="161"/>
    <x v="0"/>
    <x v="0"/>
    <x v="0"/>
    <x v="161"/>
    <x v="0"/>
    <x v="0"/>
    <x v="0"/>
    <x v="0"/>
    <x v="0"/>
    <x v="0"/>
  </r>
  <r>
    <x v="666"/>
    <x v="0"/>
    <x v="110"/>
    <x v="110"/>
    <x v="110"/>
    <x v="16"/>
    <x v="8"/>
    <x v="1"/>
    <x v="1"/>
    <x v="0"/>
    <x v="1"/>
    <x v="400"/>
    <x v="18"/>
    <x v="18"/>
    <x v="56"/>
    <x v="56"/>
    <x v="42"/>
    <x v="6"/>
    <x v="162"/>
    <x v="0"/>
    <x v="0"/>
    <x v="6"/>
    <x v="162"/>
    <x v="0"/>
    <x v="0"/>
    <x v="0"/>
    <x v="0"/>
    <x v="0"/>
    <x v="0"/>
  </r>
  <r>
    <x v="667"/>
    <x v="0"/>
    <x v="110"/>
    <x v="110"/>
    <x v="110"/>
    <x v="16"/>
    <x v="8"/>
    <x v="1"/>
    <x v="1"/>
    <x v="0"/>
    <x v="1"/>
    <x v="400"/>
    <x v="18"/>
    <x v="18"/>
    <x v="10"/>
    <x v="10"/>
    <x v="6"/>
    <x v="26"/>
    <x v="55"/>
    <x v="0"/>
    <x v="0"/>
    <x v="26"/>
    <x v="55"/>
    <x v="24"/>
    <x v="64"/>
    <x v="0"/>
    <x v="0"/>
    <x v="0"/>
    <x v="72"/>
  </r>
  <r>
    <x v="668"/>
    <x v="0"/>
    <x v="110"/>
    <x v="110"/>
    <x v="110"/>
    <x v="16"/>
    <x v="8"/>
    <x v="1"/>
    <x v="0"/>
    <x v="0"/>
    <x v="1"/>
    <x v="400"/>
    <x v="18"/>
    <x v="18"/>
    <x v="32"/>
    <x v="32"/>
    <x v="0"/>
    <x v="3"/>
    <x v="3"/>
    <x v="0"/>
    <x v="0"/>
    <x v="3"/>
    <x v="3"/>
    <x v="0"/>
    <x v="0"/>
    <x v="0"/>
    <x v="0"/>
    <x v="0"/>
    <x v="0"/>
  </r>
  <r>
    <x v="669"/>
    <x v="0"/>
    <x v="110"/>
    <x v="110"/>
    <x v="110"/>
    <x v="16"/>
    <x v="8"/>
    <x v="1"/>
    <x v="0"/>
    <x v="0"/>
    <x v="1"/>
    <x v="400"/>
    <x v="18"/>
    <x v="18"/>
    <x v="24"/>
    <x v="24"/>
    <x v="0"/>
    <x v="3"/>
    <x v="3"/>
    <x v="0"/>
    <x v="0"/>
    <x v="3"/>
    <x v="3"/>
    <x v="0"/>
    <x v="0"/>
    <x v="0"/>
    <x v="0"/>
    <x v="0"/>
    <x v="0"/>
  </r>
  <r>
    <x v="670"/>
    <x v="0"/>
    <x v="110"/>
    <x v="110"/>
    <x v="110"/>
    <x v="16"/>
    <x v="8"/>
    <x v="1"/>
    <x v="0"/>
    <x v="0"/>
    <x v="1"/>
    <x v="400"/>
    <x v="18"/>
    <x v="18"/>
    <x v="1"/>
    <x v="1"/>
    <x v="0"/>
    <x v="26"/>
    <x v="57"/>
    <x v="0"/>
    <x v="0"/>
    <x v="26"/>
    <x v="57"/>
    <x v="24"/>
    <x v="29"/>
    <x v="0"/>
    <x v="0"/>
    <x v="0"/>
    <x v="31"/>
  </r>
  <r>
    <x v="671"/>
    <x v="0"/>
    <x v="41"/>
    <x v="41"/>
    <x v="41"/>
    <x v="14"/>
    <x v="7"/>
    <x v="0"/>
    <x v="3"/>
    <x v="0"/>
    <x v="4"/>
    <x v="401"/>
    <x v="18"/>
    <x v="18"/>
    <x v="8"/>
    <x v="8"/>
    <x v="43"/>
    <x v="44"/>
    <x v="163"/>
    <x v="0"/>
    <x v="0"/>
    <x v="44"/>
    <x v="163"/>
    <x v="0"/>
    <x v="0"/>
    <x v="0"/>
    <x v="0"/>
    <x v="0"/>
    <x v="0"/>
  </r>
  <r>
    <x v="672"/>
    <x v="0"/>
    <x v="89"/>
    <x v="89"/>
    <x v="89"/>
    <x v="14"/>
    <x v="7"/>
    <x v="0"/>
    <x v="3"/>
    <x v="0"/>
    <x v="4"/>
    <x v="402"/>
    <x v="18"/>
    <x v="18"/>
    <x v="8"/>
    <x v="8"/>
    <x v="43"/>
    <x v="45"/>
    <x v="164"/>
    <x v="0"/>
    <x v="0"/>
    <x v="45"/>
    <x v="164"/>
    <x v="0"/>
    <x v="0"/>
    <x v="0"/>
    <x v="0"/>
    <x v="0"/>
    <x v="0"/>
  </r>
  <r>
    <x v="673"/>
    <x v="0"/>
    <x v="30"/>
    <x v="30"/>
    <x v="30"/>
    <x v="7"/>
    <x v="6"/>
    <x v="2"/>
    <x v="3"/>
    <x v="0"/>
    <x v="1"/>
    <x v="403"/>
    <x v="18"/>
    <x v="18"/>
    <x v="8"/>
    <x v="8"/>
    <x v="43"/>
    <x v="45"/>
    <x v="164"/>
    <x v="0"/>
    <x v="0"/>
    <x v="45"/>
    <x v="164"/>
    <x v="0"/>
    <x v="0"/>
    <x v="0"/>
    <x v="0"/>
    <x v="0"/>
    <x v="0"/>
  </r>
  <r>
    <x v="674"/>
    <x v="0"/>
    <x v="80"/>
    <x v="80"/>
    <x v="80"/>
    <x v="17"/>
    <x v="2"/>
    <x v="0"/>
    <x v="3"/>
    <x v="0"/>
    <x v="0"/>
    <x v="404"/>
    <x v="18"/>
    <x v="18"/>
    <x v="8"/>
    <x v="8"/>
    <x v="3"/>
    <x v="28"/>
    <x v="60"/>
    <x v="0"/>
    <x v="0"/>
    <x v="28"/>
    <x v="60"/>
    <x v="0"/>
    <x v="0"/>
    <x v="0"/>
    <x v="0"/>
    <x v="0"/>
    <x v="0"/>
  </r>
  <r>
    <x v="675"/>
    <x v="0"/>
    <x v="43"/>
    <x v="43"/>
    <x v="43"/>
    <x v="7"/>
    <x v="6"/>
    <x v="2"/>
    <x v="1"/>
    <x v="0"/>
    <x v="1"/>
    <x v="405"/>
    <x v="19"/>
    <x v="19"/>
    <x v="13"/>
    <x v="13"/>
    <x v="19"/>
    <x v="10"/>
    <x v="120"/>
    <x v="0"/>
    <x v="0"/>
    <x v="10"/>
    <x v="120"/>
    <x v="0"/>
    <x v="0"/>
    <x v="0"/>
    <x v="0"/>
    <x v="0"/>
    <x v="0"/>
  </r>
  <r>
    <x v="676"/>
    <x v="0"/>
    <x v="63"/>
    <x v="63"/>
    <x v="63"/>
    <x v="14"/>
    <x v="7"/>
    <x v="0"/>
    <x v="0"/>
    <x v="0"/>
    <x v="4"/>
    <x v="406"/>
    <x v="19"/>
    <x v="19"/>
    <x v="7"/>
    <x v="7"/>
    <x v="0"/>
    <x v="11"/>
    <x v="21"/>
    <x v="0"/>
    <x v="0"/>
    <x v="11"/>
    <x v="21"/>
    <x v="0"/>
    <x v="0"/>
    <x v="0"/>
    <x v="0"/>
    <x v="0"/>
    <x v="0"/>
  </r>
  <r>
    <x v="677"/>
    <x v="0"/>
    <x v="48"/>
    <x v="48"/>
    <x v="48"/>
    <x v="13"/>
    <x v="3"/>
    <x v="0"/>
    <x v="0"/>
    <x v="0"/>
    <x v="0"/>
    <x v="407"/>
    <x v="19"/>
    <x v="19"/>
    <x v="1"/>
    <x v="1"/>
    <x v="0"/>
    <x v="26"/>
    <x v="57"/>
    <x v="0"/>
    <x v="0"/>
    <x v="26"/>
    <x v="57"/>
    <x v="24"/>
    <x v="29"/>
    <x v="0"/>
    <x v="0"/>
    <x v="0"/>
    <x v="31"/>
  </r>
  <r>
    <x v="678"/>
    <x v="0"/>
    <x v="39"/>
    <x v="39"/>
    <x v="39"/>
    <x v="3"/>
    <x v="3"/>
    <x v="0"/>
    <x v="1"/>
    <x v="0"/>
    <x v="0"/>
    <x v="408"/>
    <x v="19"/>
    <x v="19"/>
    <x v="10"/>
    <x v="10"/>
    <x v="6"/>
    <x v="10"/>
    <x v="13"/>
    <x v="0"/>
    <x v="0"/>
    <x v="10"/>
    <x v="13"/>
    <x v="7"/>
    <x v="9"/>
    <x v="0"/>
    <x v="0"/>
    <x v="0"/>
    <x v="9"/>
  </r>
  <r>
    <x v="679"/>
    <x v="0"/>
    <x v="72"/>
    <x v="72"/>
    <x v="72"/>
    <x v="15"/>
    <x v="4"/>
    <x v="1"/>
    <x v="0"/>
    <x v="0"/>
    <x v="2"/>
    <x v="409"/>
    <x v="19"/>
    <x v="19"/>
    <x v="1"/>
    <x v="1"/>
    <x v="0"/>
    <x v="6"/>
    <x v="6"/>
    <x v="0"/>
    <x v="0"/>
    <x v="6"/>
    <x v="6"/>
    <x v="4"/>
    <x v="5"/>
    <x v="0"/>
    <x v="0"/>
    <x v="0"/>
    <x v="5"/>
  </r>
  <r>
    <x v="680"/>
    <x v="0"/>
    <x v="75"/>
    <x v="75"/>
    <x v="75"/>
    <x v="7"/>
    <x v="6"/>
    <x v="2"/>
    <x v="4"/>
    <x v="0"/>
    <x v="1"/>
    <x v="410"/>
    <x v="19"/>
    <x v="19"/>
    <x v="35"/>
    <x v="35"/>
    <x v="40"/>
    <x v="8"/>
    <x v="165"/>
    <x v="0"/>
    <x v="0"/>
    <x v="8"/>
    <x v="165"/>
    <x v="0"/>
    <x v="0"/>
    <x v="0"/>
    <x v="0"/>
    <x v="0"/>
    <x v="0"/>
  </r>
  <r>
    <x v="681"/>
    <x v="0"/>
    <x v="74"/>
    <x v="74"/>
    <x v="74"/>
    <x v="2"/>
    <x v="2"/>
    <x v="0"/>
    <x v="4"/>
    <x v="0"/>
    <x v="0"/>
    <x v="411"/>
    <x v="19"/>
    <x v="19"/>
    <x v="18"/>
    <x v="18"/>
    <x v="9"/>
    <x v="6"/>
    <x v="79"/>
    <x v="0"/>
    <x v="0"/>
    <x v="6"/>
    <x v="79"/>
    <x v="29"/>
    <x v="37"/>
    <x v="9"/>
    <x v="0"/>
    <x v="8"/>
    <x v="41"/>
  </r>
  <r>
    <x v="682"/>
    <x v="0"/>
    <x v="112"/>
    <x v="112"/>
    <x v="112"/>
    <x v="2"/>
    <x v="2"/>
    <x v="0"/>
    <x v="4"/>
    <x v="0"/>
    <x v="0"/>
    <x v="412"/>
    <x v="19"/>
    <x v="19"/>
    <x v="18"/>
    <x v="18"/>
    <x v="9"/>
    <x v="8"/>
    <x v="166"/>
    <x v="0"/>
    <x v="0"/>
    <x v="8"/>
    <x v="166"/>
    <x v="47"/>
    <x v="69"/>
    <x v="27"/>
    <x v="0"/>
    <x v="7"/>
    <x v="77"/>
  </r>
  <r>
    <x v="683"/>
    <x v="0"/>
    <x v="114"/>
    <x v="114"/>
    <x v="114"/>
    <x v="2"/>
    <x v="2"/>
    <x v="0"/>
    <x v="4"/>
    <x v="0"/>
    <x v="0"/>
    <x v="413"/>
    <x v="19"/>
    <x v="19"/>
    <x v="18"/>
    <x v="18"/>
    <x v="9"/>
    <x v="0"/>
    <x v="146"/>
    <x v="0"/>
    <x v="0"/>
    <x v="0"/>
    <x v="146"/>
    <x v="40"/>
    <x v="60"/>
    <x v="23"/>
    <x v="0"/>
    <x v="2"/>
    <x v="68"/>
  </r>
  <r>
    <x v="684"/>
    <x v="0"/>
    <x v="93"/>
    <x v="93"/>
    <x v="93"/>
    <x v="2"/>
    <x v="2"/>
    <x v="0"/>
    <x v="0"/>
    <x v="0"/>
    <x v="0"/>
    <x v="414"/>
    <x v="19"/>
    <x v="19"/>
    <x v="1"/>
    <x v="1"/>
    <x v="0"/>
    <x v="1"/>
    <x v="1"/>
    <x v="0"/>
    <x v="0"/>
    <x v="1"/>
    <x v="1"/>
    <x v="1"/>
    <x v="1"/>
    <x v="0"/>
    <x v="0"/>
    <x v="0"/>
    <x v="1"/>
  </r>
  <r>
    <x v="685"/>
    <x v="0"/>
    <x v="93"/>
    <x v="93"/>
    <x v="93"/>
    <x v="2"/>
    <x v="2"/>
    <x v="0"/>
    <x v="0"/>
    <x v="0"/>
    <x v="0"/>
    <x v="414"/>
    <x v="19"/>
    <x v="19"/>
    <x v="7"/>
    <x v="7"/>
    <x v="0"/>
    <x v="3"/>
    <x v="3"/>
    <x v="0"/>
    <x v="0"/>
    <x v="3"/>
    <x v="3"/>
    <x v="0"/>
    <x v="0"/>
    <x v="0"/>
    <x v="0"/>
    <x v="0"/>
    <x v="0"/>
  </r>
  <r>
    <x v="686"/>
    <x v="0"/>
    <x v="80"/>
    <x v="80"/>
    <x v="80"/>
    <x v="17"/>
    <x v="2"/>
    <x v="0"/>
    <x v="0"/>
    <x v="0"/>
    <x v="0"/>
    <x v="415"/>
    <x v="19"/>
    <x v="19"/>
    <x v="1"/>
    <x v="1"/>
    <x v="0"/>
    <x v="0"/>
    <x v="0"/>
    <x v="0"/>
    <x v="0"/>
    <x v="0"/>
    <x v="0"/>
    <x v="2"/>
    <x v="2"/>
    <x v="0"/>
    <x v="0"/>
    <x v="0"/>
    <x v="2"/>
  </r>
  <r>
    <x v="687"/>
    <x v="0"/>
    <x v="115"/>
    <x v="115"/>
    <x v="115"/>
    <x v="2"/>
    <x v="2"/>
    <x v="0"/>
    <x v="3"/>
    <x v="0"/>
    <x v="0"/>
    <x v="416"/>
    <x v="19"/>
    <x v="19"/>
    <x v="8"/>
    <x v="8"/>
    <x v="35"/>
    <x v="7"/>
    <x v="167"/>
    <x v="0"/>
    <x v="0"/>
    <x v="7"/>
    <x v="167"/>
    <x v="0"/>
    <x v="0"/>
    <x v="0"/>
    <x v="0"/>
    <x v="0"/>
    <x v="0"/>
  </r>
  <r>
    <x v="688"/>
    <x v="0"/>
    <x v="82"/>
    <x v="82"/>
    <x v="82"/>
    <x v="2"/>
    <x v="2"/>
    <x v="0"/>
    <x v="3"/>
    <x v="0"/>
    <x v="0"/>
    <x v="417"/>
    <x v="19"/>
    <x v="19"/>
    <x v="8"/>
    <x v="8"/>
    <x v="35"/>
    <x v="45"/>
    <x v="168"/>
    <x v="0"/>
    <x v="0"/>
    <x v="45"/>
    <x v="168"/>
    <x v="0"/>
    <x v="0"/>
    <x v="0"/>
    <x v="0"/>
    <x v="0"/>
    <x v="0"/>
  </r>
  <r>
    <x v="689"/>
    <x v="0"/>
    <x v="115"/>
    <x v="115"/>
    <x v="115"/>
    <x v="2"/>
    <x v="2"/>
    <x v="0"/>
    <x v="3"/>
    <x v="0"/>
    <x v="0"/>
    <x v="418"/>
    <x v="19"/>
    <x v="19"/>
    <x v="8"/>
    <x v="8"/>
    <x v="35"/>
    <x v="7"/>
    <x v="167"/>
    <x v="0"/>
    <x v="0"/>
    <x v="7"/>
    <x v="167"/>
    <x v="0"/>
    <x v="0"/>
    <x v="0"/>
    <x v="0"/>
    <x v="0"/>
    <x v="0"/>
  </r>
  <r>
    <x v="690"/>
    <x v="0"/>
    <x v="93"/>
    <x v="93"/>
    <x v="93"/>
    <x v="2"/>
    <x v="2"/>
    <x v="0"/>
    <x v="0"/>
    <x v="0"/>
    <x v="0"/>
    <x v="419"/>
    <x v="19"/>
    <x v="19"/>
    <x v="1"/>
    <x v="1"/>
    <x v="0"/>
    <x v="46"/>
    <x v="169"/>
    <x v="0"/>
    <x v="0"/>
    <x v="46"/>
    <x v="169"/>
    <x v="48"/>
    <x v="70"/>
    <x v="0"/>
    <x v="0"/>
    <x v="0"/>
    <x v="78"/>
  </r>
  <r>
    <x v="691"/>
    <x v="0"/>
    <x v="93"/>
    <x v="93"/>
    <x v="93"/>
    <x v="2"/>
    <x v="2"/>
    <x v="0"/>
    <x v="0"/>
    <x v="0"/>
    <x v="0"/>
    <x v="419"/>
    <x v="19"/>
    <x v="19"/>
    <x v="4"/>
    <x v="4"/>
    <x v="0"/>
    <x v="3"/>
    <x v="3"/>
    <x v="0"/>
    <x v="0"/>
    <x v="3"/>
    <x v="3"/>
    <x v="3"/>
    <x v="3"/>
    <x v="0"/>
    <x v="0"/>
    <x v="0"/>
    <x v="3"/>
  </r>
  <r>
    <x v="692"/>
    <x v="0"/>
    <x v="93"/>
    <x v="93"/>
    <x v="93"/>
    <x v="2"/>
    <x v="2"/>
    <x v="0"/>
    <x v="0"/>
    <x v="0"/>
    <x v="0"/>
    <x v="419"/>
    <x v="19"/>
    <x v="19"/>
    <x v="7"/>
    <x v="7"/>
    <x v="0"/>
    <x v="20"/>
    <x v="81"/>
    <x v="0"/>
    <x v="0"/>
    <x v="20"/>
    <x v="81"/>
    <x v="0"/>
    <x v="0"/>
    <x v="0"/>
    <x v="0"/>
    <x v="0"/>
    <x v="0"/>
  </r>
  <r>
    <x v="693"/>
    <x v="0"/>
    <x v="74"/>
    <x v="74"/>
    <x v="74"/>
    <x v="2"/>
    <x v="2"/>
    <x v="0"/>
    <x v="0"/>
    <x v="0"/>
    <x v="0"/>
    <x v="420"/>
    <x v="19"/>
    <x v="19"/>
    <x v="31"/>
    <x v="31"/>
    <x v="17"/>
    <x v="6"/>
    <x v="59"/>
    <x v="0"/>
    <x v="0"/>
    <x v="6"/>
    <x v="59"/>
    <x v="4"/>
    <x v="5"/>
    <x v="0"/>
    <x v="0"/>
    <x v="0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97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6"/>
  </r>
  <r>
    <x v="8"/>
    <x v="8"/>
    <x v="7"/>
  </r>
  <r>
    <x v="9"/>
    <x v="9"/>
    <x v="8"/>
  </r>
  <r>
    <x v="10"/>
    <x v="10"/>
    <x v="9"/>
  </r>
  <r>
    <x v="11"/>
    <x v="11"/>
    <x v="10"/>
  </r>
  <r>
    <x v="12"/>
    <x v="12"/>
    <x v="11"/>
  </r>
  <r>
    <x v="13"/>
    <x v="13"/>
    <x v="12"/>
  </r>
  <r>
    <x v="14"/>
    <x v="14"/>
    <x v="13"/>
  </r>
  <r>
    <x v="15"/>
    <x v="15"/>
    <x v="14"/>
  </r>
  <r>
    <x v="16"/>
    <x v="16"/>
    <x v="15"/>
  </r>
  <r>
    <x v="17"/>
    <x v="17"/>
    <x v="16"/>
  </r>
  <r>
    <x v="18"/>
    <x v="18"/>
    <x v="17"/>
  </r>
  <r>
    <x v="19"/>
    <x v="19"/>
    <x v="18"/>
  </r>
  <r>
    <x v="20"/>
    <x v="20"/>
    <x v="19"/>
  </r>
  <r>
    <x v="21"/>
    <x v="21"/>
    <x v="19"/>
  </r>
  <r>
    <x v="22"/>
    <x v="22"/>
    <x v="20"/>
  </r>
  <r>
    <x v="23"/>
    <x v="23"/>
    <x v="21"/>
  </r>
  <r>
    <x v="24"/>
    <x v="24"/>
    <x v="22"/>
  </r>
  <r>
    <x v="25"/>
    <x v="25"/>
    <x v="23"/>
  </r>
  <r>
    <x v="26"/>
    <x v="26"/>
    <x v="24"/>
  </r>
  <r>
    <x v="27"/>
    <x v="27"/>
    <x v="25"/>
  </r>
  <r>
    <x v="28"/>
    <x v="28"/>
    <x v="26"/>
  </r>
  <r>
    <x v="29"/>
    <x v="29"/>
    <x v="27"/>
  </r>
  <r>
    <x v="30"/>
    <x v="30"/>
    <x v="28"/>
  </r>
  <r>
    <x v="31"/>
    <x v="31"/>
    <x v="29"/>
  </r>
  <r>
    <x v="32"/>
    <x v="32"/>
    <x v="30"/>
  </r>
  <r>
    <x v="33"/>
    <x v="33"/>
    <x v="31"/>
  </r>
  <r>
    <x v="34"/>
    <x v="34"/>
    <x v="32"/>
  </r>
  <r>
    <x v="35"/>
    <x v="35"/>
    <x v="33"/>
  </r>
  <r>
    <x v="36"/>
    <x v="36"/>
    <x v="34"/>
  </r>
  <r>
    <x v="37"/>
    <x v="37"/>
    <x v="35"/>
  </r>
  <r>
    <x v="38"/>
    <x v="38"/>
    <x v="36"/>
  </r>
  <r>
    <x v="39"/>
    <x v="39"/>
    <x v="37"/>
  </r>
  <r>
    <x v="40"/>
    <x v="40"/>
    <x v="38"/>
  </r>
  <r>
    <x v="41"/>
    <x v="41"/>
    <x v="39"/>
  </r>
  <r>
    <x v="42"/>
    <x v="42"/>
    <x v="40"/>
  </r>
  <r>
    <x v="43"/>
    <x v="43"/>
    <x v="41"/>
  </r>
  <r>
    <x v="44"/>
    <x v="44"/>
    <x v="17"/>
  </r>
  <r>
    <x v="45"/>
    <x v="45"/>
    <x v="42"/>
  </r>
  <r>
    <x v="46"/>
    <x v="46"/>
    <x v="43"/>
  </r>
  <r>
    <x v="47"/>
    <x v="47"/>
    <x v="44"/>
  </r>
  <r>
    <x v="48"/>
    <x v="48"/>
    <x v="45"/>
  </r>
  <r>
    <x v="49"/>
    <x v="49"/>
    <x v="46"/>
  </r>
  <r>
    <x v="50"/>
    <x v="50"/>
    <x v="47"/>
  </r>
  <r>
    <x v="51"/>
    <x v="51"/>
    <x v="22"/>
  </r>
  <r>
    <x v="52"/>
    <x v="52"/>
    <x v="48"/>
  </r>
  <r>
    <x v="53"/>
    <x v="53"/>
    <x v="49"/>
  </r>
  <r>
    <x v="54"/>
    <x v="54"/>
    <x v="50"/>
  </r>
  <r>
    <x v="55"/>
    <x v="55"/>
    <x v="51"/>
  </r>
  <r>
    <x v="56"/>
    <x v="56"/>
    <x v="52"/>
  </r>
  <r>
    <x v="57"/>
    <x v="57"/>
    <x v="53"/>
  </r>
  <r>
    <x v="58"/>
    <x v="58"/>
    <x v="32"/>
  </r>
  <r>
    <x v="59"/>
    <x v="59"/>
    <x v="54"/>
  </r>
  <r>
    <x v="60"/>
    <x v="60"/>
    <x v="55"/>
  </r>
  <r>
    <x v="61"/>
    <x v="61"/>
    <x v="56"/>
  </r>
  <r>
    <x v="62"/>
    <x v="62"/>
    <x v="17"/>
  </r>
  <r>
    <x v="63"/>
    <x v="63"/>
    <x v="57"/>
  </r>
  <r>
    <x v="64"/>
    <x v="64"/>
    <x v="58"/>
  </r>
  <r>
    <x v="65"/>
    <x v="65"/>
    <x v="59"/>
  </r>
  <r>
    <x v="66"/>
    <x v="66"/>
    <x v="48"/>
  </r>
  <r>
    <x v="67"/>
    <x v="67"/>
    <x v="60"/>
  </r>
  <r>
    <x v="68"/>
    <x v="68"/>
    <x v="61"/>
  </r>
  <r>
    <x v="69"/>
    <x v="69"/>
    <x v="62"/>
  </r>
  <r>
    <x v="70"/>
    <x v="70"/>
    <x v="63"/>
  </r>
  <r>
    <x v="71"/>
    <x v="71"/>
    <x v="64"/>
  </r>
  <r>
    <x v="72"/>
    <x v="72"/>
    <x v="65"/>
  </r>
  <r>
    <x v="73"/>
    <x v="73"/>
    <x v="29"/>
  </r>
  <r>
    <x v="74"/>
    <x v="74"/>
    <x v="29"/>
  </r>
  <r>
    <x v="75"/>
    <x v="75"/>
    <x v="29"/>
  </r>
  <r>
    <x v="76"/>
    <x v="76"/>
    <x v="29"/>
  </r>
  <r>
    <x v="77"/>
    <x v="77"/>
    <x v="29"/>
  </r>
  <r>
    <x v="78"/>
    <x v="78"/>
    <x v="29"/>
  </r>
  <r>
    <x v="79"/>
    <x v="79"/>
    <x v="29"/>
  </r>
  <r>
    <x v="80"/>
    <x v="80"/>
    <x v="45"/>
  </r>
  <r>
    <x v="81"/>
    <x v="81"/>
    <x v="66"/>
  </r>
  <r>
    <x v="82"/>
    <x v="82"/>
    <x v="67"/>
  </r>
  <r>
    <x v="83"/>
    <x v="83"/>
    <x v="68"/>
  </r>
  <r>
    <x v="84"/>
    <x v="84"/>
    <x v="69"/>
  </r>
  <r>
    <x v="85"/>
    <x v="85"/>
    <x v="70"/>
  </r>
  <r>
    <x v="86"/>
    <x v="86"/>
    <x v="50"/>
  </r>
  <r>
    <x v="87"/>
    <x v="87"/>
    <x v="71"/>
  </r>
  <r>
    <x v="88"/>
    <x v="88"/>
    <x v="72"/>
  </r>
  <r>
    <x v="89"/>
    <x v="89"/>
    <x v="73"/>
  </r>
  <r>
    <x v="0"/>
    <x v="0"/>
    <x v="74"/>
  </r>
  <r>
    <x v="1"/>
    <x v="1"/>
    <x v="26"/>
  </r>
  <r>
    <x v="2"/>
    <x v="2"/>
    <x v="75"/>
  </r>
  <r>
    <x v="3"/>
    <x v="3"/>
    <x v="76"/>
  </r>
  <r>
    <x v="4"/>
    <x v="4"/>
    <x v="29"/>
  </r>
  <r>
    <x v="5"/>
    <x v="5"/>
    <x v="77"/>
  </r>
  <r>
    <x v="6"/>
    <x v="6"/>
    <x v="7"/>
  </r>
  <r>
    <x v="7"/>
    <x v="7"/>
    <x v="7"/>
  </r>
  <r>
    <x v="8"/>
    <x v="8"/>
    <x v="78"/>
  </r>
  <r>
    <x v="9"/>
    <x v="9"/>
    <x v="79"/>
  </r>
  <r>
    <x v="10"/>
    <x v="10"/>
    <x v="80"/>
  </r>
  <r>
    <x v="11"/>
    <x v="11"/>
    <x v="81"/>
  </r>
  <r>
    <x v="12"/>
    <x v="12"/>
    <x v="82"/>
  </r>
  <r>
    <x v="13"/>
    <x v="13"/>
    <x v="83"/>
  </r>
  <r>
    <x v="14"/>
    <x v="14"/>
    <x v="84"/>
  </r>
  <r>
    <x v="15"/>
    <x v="15"/>
    <x v="85"/>
  </r>
  <r>
    <x v="16"/>
    <x v="16"/>
    <x v="86"/>
  </r>
  <r>
    <x v="17"/>
    <x v="17"/>
    <x v="87"/>
  </r>
  <r>
    <x v="18"/>
    <x v="18"/>
    <x v="88"/>
  </r>
  <r>
    <x v="19"/>
    <x v="19"/>
    <x v="89"/>
  </r>
  <r>
    <x v="20"/>
    <x v="20"/>
    <x v="19"/>
  </r>
  <r>
    <x v="21"/>
    <x v="21"/>
    <x v="90"/>
  </r>
  <r>
    <x v="22"/>
    <x v="22"/>
    <x v="91"/>
  </r>
  <r>
    <x v="23"/>
    <x v="23"/>
    <x v="37"/>
  </r>
  <r>
    <x v="24"/>
    <x v="24"/>
    <x v="17"/>
  </r>
  <r>
    <x v="25"/>
    <x v="25"/>
    <x v="92"/>
  </r>
  <r>
    <x v="26"/>
    <x v="26"/>
    <x v="93"/>
  </r>
  <r>
    <x v="27"/>
    <x v="27"/>
    <x v="94"/>
  </r>
  <r>
    <x v="28"/>
    <x v="28"/>
    <x v="29"/>
  </r>
  <r>
    <x v="29"/>
    <x v="29"/>
    <x v="95"/>
  </r>
  <r>
    <x v="30"/>
    <x v="30"/>
    <x v="25"/>
  </r>
  <r>
    <x v="31"/>
    <x v="31"/>
    <x v="29"/>
  </r>
  <r>
    <x v="32"/>
    <x v="32"/>
    <x v="96"/>
  </r>
  <r>
    <x v="33"/>
    <x v="33"/>
    <x v="97"/>
  </r>
  <r>
    <x v="34"/>
    <x v="34"/>
    <x v="29"/>
  </r>
  <r>
    <x v="35"/>
    <x v="35"/>
    <x v="98"/>
  </r>
  <r>
    <x v="36"/>
    <x v="36"/>
    <x v="80"/>
  </r>
  <r>
    <x v="37"/>
    <x v="37"/>
    <x v="35"/>
  </r>
  <r>
    <x v="38"/>
    <x v="38"/>
    <x v="36"/>
  </r>
  <r>
    <x v="39"/>
    <x v="39"/>
    <x v="99"/>
  </r>
  <r>
    <x v="40"/>
    <x v="40"/>
    <x v="100"/>
  </r>
  <r>
    <x v="41"/>
    <x v="41"/>
    <x v="101"/>
  </r>
  <r>
    <x v="42"/>
    <x v="42"/>
    <x v="102"/>
  </r>
  <r>
    <x v="43"/>
    <x v="43"/>
    <x v="103"/>
  </r>
  <r>
    <x v="44"/>
    <x v="44"/>
    <x v="104"/>
  </r>
  <r>
    <x v="45"/>
    <x v="45"/>
    <x v="42"/>
  </r>
  <r>
    <x v="46"/>
    <x v="46"/>
    <x v="23"/>
  </r>
  <r>
    <x v="47"/>
    <x v="47"/>
    <x v="105"/>
  </r>
  <r>
    <x v="48"/>
    <x v="48"/>
    <x v="106"/>
  </r>
  <r>
    <x v="49"/>
    <x v="49"/>
    <x v="46"/>
  </r>
  <r>
    <x v="50"/>
    <x v="50"/>
    <x v="107"/>
  </r>
  <r>
    <x v="51"/>
    <x v="51"/>
    <x v="47"/>
  </r>
  <r>
    <x v="52"/>
    <x v="52"/>
    <x v="108"/>
  </r>
  <r>
    <x v="53"/>
    <x v="53"/>
    <x v="109"/>
  </r>
  <r>
    <x v="54"/>
    <x v="54"/>
    <x v="52"/>
  </r>
  <r>
    <x v="55"/>
    <x v="55"/>
    <x v="110"/>
  </r>
  <r>
    <x v="56"/>
    <x v="56"/>
    <x v="109"/>
  </r>
  <r>
    <x v="57"/>
    <x v="57"/>
    <x v="111"/>
  </r>
  <r>
    <x v="58"/>
    <x v="58"/>
    <x v="112"/>
  </r>
  <r>
    <x v="59"/>
    <x v="59"/>
    <x v="113"/>
  </r>
  <r>
    <x v="60"/>
    <x v="60"/>
    <x v="18"/>
  </r>
  <r>
    <x v="61"/>
    <x v="61"/>
    <x v="114"/>
  </r>
  <r>
    <x v="62"/>
    <x v="62"/>
    <x v="115"/>
  </r>
  <r>
    <x v="63"/>
    <x v="63"/>
    <x v="116"/>
  </r>
  <r>
    <x v="64"/>
    <x v="64"/>
    <x v="117"/>
  </r>
  <r>
    <x v="65"/>
    <x v="65"/>
    <x v="118"/>
  </r>
  <r>
    <x v="66"/>
    <x v="66"/>
    <x v="119"/>
  </r>
  <r>
    <x v="67"/>
    <x v="67"/>
    <x v="120"/>
  </r>
  <r>
    <x v="68"/>
    <x v="68"/>
    <x v="121"/>
  </r>
  <r>
    <x v="69"/>
    <x v="69"/>
    <x v="122"/>
  </r>
  <r>
    <x v="70"/>
    <x v="70"/>
    <x v="123"/>
  </r>
  <r>
    <x v="71"/>
    <x v="71"/>
    <x v="124"/>
  </r>
  <r>
    <x v="72"/>
    <x v="72"/>
    <x v="125"/>
  </r>
  <r>
    <x v="73"/>
    <x v="73"/>
    <x v="29"/>
  </r>
  <r>
    <x v="74"/>
    <x v="74"/>
    <x v="29"/>
  </r>
  <r>
    <x v="75"/>
    <x v="75"/>
    <x v="29"/>
  </r>
  <r>
    <x v="76"/>
    <x v="76"/>
    <x v="126"/>
  </r>
  <r>
    <x v="77"/>
    <x v="77"/>
    <x v="29"/>
  </r>
  <r>
    <x v="78"/>
    <x v="78"/>
    <x v="53"/>
  </r>
  <r>
    <x v="79"/>
    <x v="79"/>
    <x v="29"/>
  </r>
  <r>
    <x v="80"/>
    <x v="80"/>
    <x v="127"/>
  </r>
  <r>
    <x v="81"/>
    <x v="81"/>
    <x v="128"/>
  </r>
  <r>
    <x v="82"/>
    <x v="82"/>
    <x v="129"/>
  </r>
  <r>
    <x v="83"/>
    <x v="83"/>
    <x v="130"/>
  </r>
  <r>
    <x v="84"/>
    <x v="84"/>
    <x v="126"/>
  </r>
  <r>
    <x v="85"/>
    <x v="85"/>
    <x v="131"/>
  </r>
  <r>
    <x v="86"/>
    <x v="86"/>
    <x v="132"/>
  </r>
  <r>
    <x v="87"/>
    <x v="87"/>
    <x v="133"/>
  </r>
  <r>
    <x v="88"/>
    <x v="88"/>
    <x v="90"/>
  </r>
  <r>
    <x v="89"/>
    <x v="89"/>
    <x v="134"/>
  </r>
  <r>
    <x v="90"/>
    <x v="90"/>
    <x v="135"/>
  </r>
  <r>
    <x v="91"/>
    <x v="91"/>
    <x v="136"/>
  </r>
  <r>
    <x v="92"/>
    <x v="92"/>
    <x v="61"/>
  </r>
  <r>
    <x v="93"/>
    <x v="93"/>
    <x v="137"/>
  </r>
  <r>
    <x v="94"/>
    <x v="94"/>
    <x v="138"/>
  </r>
  <r>
    <x v="95"/>
    <x v="95"/>
    <x v="139"/>
  </r>
  <r>
    <x v="96"/>
    <x v="96"/>
    <x v="45"/>
  </r>
  <r>
    <x v="97"/>
    <x v="97"/>
    <x v="127"/>
  </r>
  <r>
    <x v="98"/>
    <x v="98"/>
    <x v="47"/>
  </r>
  <r>
    <x v="99"/>
    <x v="99"/>
    <x v="140"/>
  </r>
  <r>
    <x v="100"/>
    <x v="100"/>
    <x v="141"/>
  </r>
  <r>
    <x v="101"/>
    <x v="101"/>
    <x v="142"/>
  </r>
  <r>
    <x v="102"/>
    <x v="102"/>
    <x v="1"/>
  </r>
  <r>
    <x v="103"/>
    <x v="103"/>
    <x v="143"/>
  </r>
  <r>
    <x v="104"/>
    <x v="104"/>
    <x v="62"/>
  </r>
  <r>
    <x v="105"/>
    <x v="105"/>
    <x v="2"/>
  </r>
  <r>
    <x v="106"/>
    <x v="106"/>
    <x v="144"/>
  </r>
  <r>
    <x v="107"/>
    <x v="107"/>
    <x v="145"/>
  </r>
  <r>
    <x v="108"/>
    <x v="108"/>
    <x v="146"/>
  </r>
  <r>
    <x v="109"/>
    <x v="109"/>
    <x v="147"/>
  </r>
  <r>
    <x v="110"/>
    <x v="110"/>
    <x v="148"/>
  </r>
  <r>
    <x v="111"/>
    <x v="111"/>
    <x v="149"/>
  </r>
  <r>
    <x v="112"/>
    <x v="112"/>
    <x v="150"/>
  </r>
  <r>
    <x v="113"/>
    <x v="113"/>
    <x v="151"/>
  </r>
  <r>
    <x v="114"/>
    <x v="114"/>
    <x v="152"/>
  </r>
  <r>
    <x v="115"/>
    <x v="115"/>
    <x v="153"/>
  </r>
  <r>
    <x v="116"/>
    <x v="116"/>
    <x v="154"/>
  </r>
  <r>
    <x v="117"/>
    <x v="117"/>
    <x v="155"/>
  </r>
  <r>
    <x v="118"/>
    <x v="118"/>
    <x v="156"/>
  </r>
  <r>
    <x v="119"/>
    <x v="119"/>
    <x v="157"/>
  </r>
  <r>
    <x v="120"/>
    <x v="120"/>
    <x v="158"/>
  </r>
  <r>
    <x v="121"/>
    <x v="121"/>
    <x v="159"/>
  </r>
  <r>
    <x v="122"/>
    <x v="122"/>
    <x v="160"/>
  </r>
  <r>
    <x v="123"/>
    <x v="123"/>
    <x v="17"/>
  </r>
  <r>
    <x v="124"/>
    <x v="124"/>
    <x v="161"/>
  </r>
  <r>
    <x v="125"/>
    <x v="125"/>
    <x v="161"/>
  </r>
  <r>
    <x v="126"/>
    <x v="126"/>
    <x v="162"/>
  </r>
  <r>
    <x v="127"/>
    <x v="127"/>
    <x v="61"/>
  </r>
  <r>
    <x v="128"/>
    <x v="128"/>
    <x v="163"/>
  </r>
  <r>
    <x v="129"/>
    <x v="129"/>
    <x v="164"/>
  </r>
  <r>
    <x v="130"/>
    <x v="130"/>
    <x v="165"/>
  </r>
  <r>
    <x v="131"/>
    <x v="131"/>
    <x v="78"/>
  </r>
  <r>
    <x v="132"/>
    <x v="132"/>
    <x v="166"/>
  </r>
  <r>
    <x v="133"/>
    <x v="133"/>
    <x v="48"/>
  </r>
  <r>
    <x v="134"/>
    <x v="134"/>
    <x v="167"/>
  </r>
  <r>
    <x v="135"/>
    <x v="135"/>
    <x v="2"/>
  </r>
  <r>
    <x v="136"/>
    <x v="136"/>
    <x v="106"/>
  </r>
  <r>
    <x v="137"/>
    <x v="137"/>
    <x v="168"/>
  </r>
  <r>
    <x v="138"/>
    <x v="138"/>
    <x v="169"/>
  </r>
  <r>
    <x v="139"/>
    <x v="139"/>
    <x v="170"/>
  </r>
  <r>
    <x v="140"/>
    <x v="140"/>
    <x v="171"/>
  </r>
  <r>
    <x v="141"/>
    <x v="141"/>
    <x v="172"/>
  </r>
  <r>
    <x v="142"/>
    <x v="142"/>
    <x v="171"/>
  </r>
  <r>
    <x v="143"/>
    <x v="143"/>
    <x v="173"/>
  </r>
  <r>
    <x v="144"/>
    <x v="144"/>
    <x v="174"/>
  </r>
  <r>
    <x v="145"/>
    <x v="145"/>
    <x v="64"/>
  </r>
  <r>
    <x v="146"/>
    <x v="146"/>
    <x v="48"/>
  </r>
  <r>
    <x v="147"/>
    <x v="147"/>
    <x v="58"/>
  </r>
  <r>
    <x v="148"/>
    <x v="148"/>
    <x v="175"/>
  </r>
  <r>
    <x v="149"/>
    <x v="149"/>
    <x v="176"/>
  </r>
  <r>
    <x v="150"/>
    <x v="150"/>
    <x v="136"/>
  </r>
  <r>
    <x v="151"/>
    <x v="151"/>
    <x v="177"/>
  </r>
  <r>
    <x v="152"/>
    <x v="152"/>
    <x v="146"/>
  </r>
  <r>
    <x v="153"/>
    <x v="153"/>
    <x v="178"/>
  </r>
  <r>
    <x v="154"/>
    <x v="154"/>
    <x v="179"/>
  </r>
  <r>
    <x v="155"/>
    <x v="155"/>
    <x v="180"/>
  </r>
  <r>
    <x v="156"/>
    <x v="156"/>
    <x v="181"/>
  </r>
  <r>
    <x v="157"/>
    <x v="157"/>
    <x v="182"/>
  </r>
  <r>
    <x v="158"/>
    <x v="158"/>
    <x v="183"/>
  </r>
  <r>
    <x v="159"/>
    <x v="159"/>
    <x v="80"/>
  </r>
  <r>
    <x v="160"/>
    <x v="160"/>
    <x v="184"/>
  </r>
  <r>
    <x v="161"/>
    <x v="161"/>
    <x v="185"/>
  </r>
  <r>
    <x v="162"/>
    <x v="162"/>
    <x v="95"/>
  </r>
  <r>
    <x v="163"/>
    <x v="163"/>
    <x v="186"/>
  </r>
  <r>
    <x v="164"/>
    <x v="164"/>
    <x v="187"/>
  </r>
  <r>
    <x v="165"/>
    <x v="165"/>
    <x v="188"/>
  </r>
  <r>
    <x v="166"/>
    <x v="166"/>
    <x v="189"/>
  </r>
  <r>
    <x v="167"/>
    <x v="167"/>
    <x v="190"/>
  </r>
  <r>
    <x v="13"/>
    <x v="13"/>
    <x v="191"/>
  </r>
  <r>
    <x v="59"/>
    <x v="59"/>
    <x v="192"/>
  </r>
  <r>
    <x v="64"/>
    <x v="64"/>
    <x v="193"/>
  </r>
  <r>
    <x v="85"/>
    <x v="85"/>
    <x v="194"/>
  </r>
  <r>
    <x v="168"/>
    <x v="168"/>
    <x v="195"/>
  </r>
  <r>
    <x v="164"/>
    <x v="164"/>
    <x v="196"/>
  </r>
  <r>
    <x v="169"/>
    <x v="169"/>
    <x v="197"/>
  </r>
  <r>
    <x v="170"/>
    <x v="170"/>
    <x v="198"/>
  </r>
  <r>
    <x v="171"/>
    <x v="171"/>
    <x v="199"/>
  </r>
  <r>
    <x v="9"/>
    <x v="9"/>
    <x v="200"/>
  </r>
  <r>
    <x v="172"/>
    <x v="172"/>
    <x v="201"/>
  </r>
  <r>
    <x v="19"/>
    <x v="19"/>
    <x v="202"/>
  </r>
  <r>
    <x v="23"/>
    <x v="23"/>
    <x v="203"/>
  </r>
  <r>
    <x v="173"/>
    <x v="173"/>
    <x v="203"/>
  </r>
  <r>
    <x v="25"/>
    <x v="25"/>
    <x v="204"/>
  </r>
  <r>
    <x v="174"/>
    <x v="174"/>
    <x v="205"/>
  </r>
  <r>
    <x v="41"/>
    <x v="41"/>
    <x v="202"/>
  </r>
  <r>
    <x v="42"/>
    <x v="42"/>
    <x v="206"/>
  </r>
  <r>
    <x v="175"/>
    <x v="175"/>
    <x v="207"/>
  </r>
  <r>
    <x v="176"/>
    <x v="176"/>
    <x v="208"/>
  </r>
  <r>
    <x v="177"/>
    <x v="177"/>
    <x v="209"/>
  </r>
  <r>
    <x v="169"/>
    <x v="169"/>
    <x v="210"/>
  </r>
  <r>
    <x v="9"/>
    <x v="9"/>
    <x v="211"/>
  </r>
  <r>
    <x v="19"/>
    <x v="19"/>
    <x v="212"/>
  </r>
  <r>
    <x v="40"/>
    <x v="40"/>
    <x v="213"/>
  </r>
  <r>
    <x v="41"/>
    <x v="41"/>
    <x v="213"/>
  </r>
  <r>
    <x v="42"/>
    <x v="42"/>
    <x v="214"/>
  </r>
  <r>
    <x v="45"/>
    <x v="45"/>
    <x v="215"/>
  </r>
  <r>
    <x v="178"/>
    <x v="178"/>
    <x v="216"/>
  </r>
  <r>
    <x v="179"/>
    <x v="179"/>
    <x v="217"/>
  </r>
  <r>
    <x v="59"/>
    <x v="59"/>
    <x v="218"/>
  </r>
  <r>
    <x v="71"/>
    <x v="71"/>
    <x v="219"/>
  </r>
  <r>
    <x v="180"/>
    <x v="180"/>
    <x v="220"/>
  </r>
  <r>
    <x v="181"/>
    <x v="181"/>
    <x v="221"/>
  </r>
  <r>
    <x v="78"/>
    <x v="78"/>
    <x v="29"/>
  </r>
  <r>
    <x v="82"/>
    <x v="82"/>
    <x v="222"/>
  </r>
  <r>
    <x v="182"/>
    <x v="182"/>
    <x v="223"/>
  </r>
  <r>
    <x v="85"/>
    <x v="85"/>
    <x v="224"/>
  </r>
  <r>
    <x v="183"/>
    <x v="183"/>
    <x v="2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113" firstHeaderRow="1" firstDataRow="2" firstDataCol="2"/>
  <pivotFields count="29">
    <pivotField compact="0" showAll="0">
      <items count="6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compact="0" showAll="0"/>
    <pivotField compact="0" showAll="0"/>
    <pivotField axis="axisRow" compact="0" showAll="0">
      <items count="117">
        <item x="68"/>
        <item x="35"/>
        <item x="97"/>
        <item x="59"/>
        <item x="36"/>
        <item x="54"/>
        <item x="60"/>
        <item x="92"/>
        <item x="95"/>
        <item x="31"/>
        <item x="0"/>
        <item x="67"/>
        <item x="114"/>
        <item x="61"/>
        <item x="43"/>
        <item x="65"/>
        <item x="10"/>
        <item x="38"/>
        <item x="44"/>
        <item x="24"/>
        <item x="18"/>
        <item x="104"/>
        <item x="103"/>
        <item x="20"/>
        <item x="9"/>
        <item x="63"/>
        <item x="107"/>
        <item x="23"/>
        <item x="111"/>
        <item x="2"/>
        <item x="46"/>
        <item x="52"/>
        <item x="84"/>
        <item x="39"/>
        <item x="25"/>
        <item x="64"/>
        <item x="72"/>
        <item x="48"/>
        <item x="14"/>
        <item x="40"/>
        <item x="21"/>
        <item x="19"/>
        <item x="42"/>
        <item x="90"/>
        <item x="85"/>
        <item x="108"/>
        <item x="27"/>
        <item x="41"/>
        <item x="115"/>
        <item x="83"/>
        <item x="105"/>
        <item x="98"/>
        <item x="70"/>
        <item x="57"/>
        <item x="51"/>
        <item x="6"/>
        <item x="16"/>
        <item x="100"/>
        <item x="93"/>
        <item x="45"/>
        <item x="37"/>
        <item x="17"/>
        <item x="62"/>
        <item x="30"/>
        <item x="3"/>
        <item x="7"/>
        <item x="29"/>
        <item x="33"/>
        <item x="50"/>
        <item x="75"/>
        <item x="55"/>
        <item x="99"/>
        <item x="12"/>
        <item x="1"/>
        <item x="13"/>
        <item x="112"/>
        <item x="113"/>
        <item x="47"/>
        <item x="87"/>
        <item x="82"/>
        <item x="94"/>
        <item x="110"/>
        <item x="58"/>
        <item x="8"/>
        <item x="79"/>
        <item x="53"/>
        <item x="66"/>
        <item x="56"/>
        <item x="109"/>
        <item x="91"/>
        <item x="15"/>
        <item x="74"/>
        <item x="11"/>
        <item x="80"/>
        <item x="28"/>
        <item x="96"/>
        <item x="34"/>
        <item x="77"/>
        <item x="86"/>
        <item x="88"/>
        <item x="106"/>
        <item x="5"/>
        <item x="26"/>
        <item x="76"/>
        <item x="69"/>
        <item x="78"/>
        <item x="22"/>
        <item x="89"/>
        <item x="32"/>
        <item x="101"/>
        <item x="73"/>
        <item x="4"/>
        <item x="49"/>
        <item x="81"/>
        <item x="71"/>
        <item x="102"/>
        <item t="default"/>
      </items>
    </pivotField>
    <pivotField compact="0" showAll="0"/>
    <pivotField axis="axisRow" compact="0" showAll="0">
      <items count="20">
        <item x="12"/>
        <item x="15"/>
        <item x="4"/>
        <item x="8"/>
        <item x="14"/>
        <item x="2"/>
        <item x="9"/>
        <item x="5"/>
        <item x="3"/>
        <item x="10"/>
        <item x="18"/>
        <item x="6"/>
        <item x="17"/>
        <item x="11"/>
        <item x="1"/>
        <item x="16"/>
        <item x="7"/>
        <item x="13"/>
        <item x="0"/>
        <item t="default"/>
      </items>
    </pivotField>
    <pivotField compact="0" showAll="0"/>
    <pivotField compact="0" showAll="0"/>
    <pivotField axis="axisCol" compact="0" multipleItemSelectionAllowed="1" showAll="0">
      <items count="8">
        <item h="1" x="6"/>
        <item x="0"/>
        <item h="1" x="4"/>
        <item h="1" x="5"/>
        <item x="1"/>
        <item h="1" x="2"/>
        <item h="1" x="3"/>
        <item t="default"/>
      </items>
    </pivotField>
    <pivotField compact="0" showAll="0"/>
    <pivotField compact="0" showAll="0"/>
    <pivotField compact="0" showAll="0"/>
    <pivotField compact="0" numFmtId="15" showAll="0"/>
    <pivotField compact="0" numFmtId="15" showAll="0"/>
    <pivotField compact="0" showAll="0"/>
    <pivotField compact="0" multipleItemSelectionAllowed="1" showAll="0">
      <items count="58">
        <item x="7"/>
        <item x="15"/>
        <item x="19"/>
        <item x="24"/>
        <item x="32"/>
        <item x="16"/>
        <item x="23"/>
        <item x="40"/>
        <item x="22"/>
        <item x="42"/>
        <item x="34"/>
        <item x="56"/>
        <item x="33"/>
        <item x="29"/>
        <item x="30"/>
        <item x="48"/>
        <item x="8"/>
        <item x="14"/>
        <item x="1"/>
        <item x="37"/>
        <item x="6"/>
        <item x="51"/>
        <item x="31"/>
        <item x="0"/>
        <item x="38"/>
        <item x="2"/>
        <item x="54"/>
        <item x="21"/>
        <item x="52"/>
        <item x="4"/>
        <item x="9"/>
        <item x="41"/>
        <item x="55"/>
        <item x="49"/>
        <item x="5"/>
        <item x="50"/>
        <item x="46"/>
        <item x="11"/>
        <item x="45"/>
        <item x="12"/>
        <item x="13"/>
        <item x="27"/>
        <item x="26"/>
        <item x="28"/>
        <item x="17"/>
        <item x="18"/>
        <item x="43"/>
        <item x="10"/>
        <item x="3"/>
        <item x="39"/>
        <item x="36"/>
        <item x="44"/>
        <item x="47"/>
        <item x="53"/>
        <item x="20"/>
        <item x="25"/>
        <item x="3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8">
        <item x="8"/>
        <item x="5"/>
        <item x="15"/>
        <item x="11"/>
        <item x="6"/>
        <item x="18"/>
        <item x="24"/>
        <item x="17"/>
        <item x="12"/>
        <item x="0"/>
        <item x="10"/>
        <item x="2"/>
        <item x="40"/>
        <item x="14"/>
        <item x="25"/>
        <item x="23"/>
        <item x="9"/>
        <item x="3"/>
        <item x="33"/>
        <item x="13"/>
        <item x="32"/>
        <item x="1"/>
        <item x="22"/>
        <item x="37"/>
        <item x="36"/>
        <item x="35"/>
        <item x="20"/>
        <item x="21"/>
        <item x="26"/>
        <item x="41"/>
        <item x="19"/>
        <item x="31"/>
        <item x="43"/>
        <item x="34"/>
        <item x="4"/>
        <item x="46"/>
        <item x="42"/>
        <item x="28"/>
        <item x="16"/>
        <item x="30"/>
        <item x="39"/>
        <item x="38"/>
        <item x="27"/>
        <item x="7"/>
        <item x="45"/>
        <item x="29"/>
        <item x="4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5"/>
    <field x="3"/>
  </rowFields>
  <rowItems count="109">
    <i>
      <x/>
    </i>
    <i r="1">
      <x v="9"/>
    </i>
    <i r="1">
      <x v="108"/>
    </i>
    <i>
      <x v="1"/>
    </i>
    <i r="1">
      <x v="22"/>
    </i>
    <i r="1">
      <x v="36"/>
    </i>
    <i r="1">
      <x v="54"/>
    </i>
    <i r="1">
      <x v="68"/>
    </i>
    <i>
      <x v="3"/>
    </i>
    <i r="1">
      <x v="35"/>
    </i>
    <i r="1">
      <x v="46"/>
    </i>
    <i r="1">
      <x v="74"/>
    </i>
    <i r="1">
      <x v="94"/>
    </i>
    <i>
      <x v="4"/>
    </i>
    <i r="1">
      <x v="25"/>
    </i>
    <i r="1">
      <x v="39"/>
    </i>
    <i r="1">
      <x v="42"/>
    </i>
    <i r="1">
      <x v="47"/>
    </i>
    <i r="1">
      <x v="96"/>
    </i>
    <i r="1">
      <x v="97"/>
    </i>
    <i r="1">
      <x v="107"/>
    </i>
    <i>
      <x v="5"/>
    </i>
    <i r="1">
      <x v="11"/>
    </i>
    <i r="1">
      <x v="29"/>
    </i>
    <i r="1">
      <x v="49"/>
    </i>
    <i r="1">
      <x v="50"/>
    </i>
    <i r="1">
      <x v="57"/>
    </i>
    <i r="1">
      <x v="58"/>
    </i>
    <i r="1">
      <x v="75"/>
    </i>
    <i r="1">
      <x v="76"/>
    </i>
    <i r="1">
      <x v="91"/>
    </i>
    <i>
      <x v="6"/>
    </i>
    <i r="1">
      <x v="38"/>
    </i>
    <i r="1">
      <x v="51"/>
    </i>
    <i r="1">
      <x v="60"/>
    </i>
    <i r="1">
      <x v="70"/>
    </i>
    <i>
      <x v="7"/>
    </i>
    <i r="1">
      <x v="3"/>
    </i>
    <i r="1">
      <x v="13"/>
    </i>
    <i r="1">
      <x v="52"/>
    </i>
    <i r="1">
      <x v="53"/>
    </i>
    <i r="1">
      <x v="56"/>
    </i>
    <i>
      <x v="8"/>
    </i>
    <i r="1">
      <x v="4"/>
    </i>
    <i r="1">
      <x v="5"/>
    </i>
    <i r="1">
      <x v="8"/>
    </i>
    <i r="1">
      <x v="17"/>
    </i>
    <i r="1">
      <x v="23"/>
    </i>
    <i r="1">
      <x v="27"/>
    </i>
    <i r="1">
      <x v="33"/>
    </i>
    <i r="1">
      <x v="34"/>
    </i>
    <i r="1">
      <x v="55"/>
    </i>
    <i r="1">
      <x v="65"/>
    </i>
    <i r="1">
      <x v="71"/>
    </i>
    <i r="1">
      <x v="95"/>
    </i>
    <i r="1">
      <x v="99"/>
    </i>
    <i r="1">
      <x v="105"/>
    </i>
    <i r="1">
      <x v="111"/>
    </i>
    <i>
      <x v="9"/>
    </i>
    <i r="1">
      <x v="19"/>
    </i>
    <i r="1">
      <x v="30"/>
    </i>
    <i r="1">
      <x v="90"/>
    </i>
    <i r="1">
      <x v="102"/>
    </i>
    <i r="1">
      <x v="104"/>
    </i>
    <i>
      <x v="10"/>
    </i>
    <i r="1">
      <x v="100"/>
    </i>
    <i>
      <x v="11"/>
    </i>
    <i r="1">
      <x v="20"/>
    </i>
    <i r="1">
      <x v="24"/>
    </i>
    <i r="1">
      <x v="28"/>
    </i>
    <i r="1">
      <x v="43"/>
    </i>
    <i r="1">
      <x v="45"/>
    </i>
    <i r="1">
      <x v="106"/>
    </i>
    <i>
      <x v="12"/>
    </i>
    <i r="1">
      <x v="6"/>
    </i>
    <i r="1">
      <x v="93"/>
    </i>
    <i>
      <x v="13"/>
    </i>
    <i r="1">
      <x v="40"/>
    </i>
    <i r="1">
      <x v="41"/>
    </i>
    <i>
      <x v="14"/>
    </i>
    <i r="1">
      <x v="7"/>
    </i>
    <i r="1">
      <x v="31"/>
    </i>
    <i r="1">
      <x v="73"/>
    </i>
    <i r="1">
      <x v="98"/>
    </i>
    <i>
      <x v="15"/>
    </i>
    <i r="1">
      <x v="15"/>
    </i>
    <i r="1">
      <x v="81"/>
    </i>
    <i r="1">
      <x v="87"/>
    </i>
    <i>
      <x v="16"/>
    </i>
    <i r="1">
      <x v="14"/>
    </i>
    <i r="1">
      <x v="44"/>
    </i>
    <i r="1">
      <x v="63"/>
    </i>
    <i r="1">
      <x v="72"/>
    </i>
    <i r="1">
      <x v="92"/>
    </i>
    <i r="1">
      <x v="110"/>
    </i>
    <i r="1">
      <x v="114"/>
    </i>
    <i>
      <x v="17"/>
    </i>
    <i r="1">
      <x v="18"/>
    </i>
    <i r="1">
      <x v="32"/>
    </i>
    <i r="1">
      <x v="37"/>
    </i>
    <i r="1">
      <x v="59"/>
    </i>
    <i r="1">
      <x v="77"/>
    </i>
    <i r="1">
      <x v="86"/>
    </i>
    <i r="1">
      <x v="112"/>
    </i>
    <i>
      <x v="18"/>
    </i>
    <i r="1">
      <x v="10"/>
    </i>
    <i r="1">
      <x v="62"/>
    </i>
    <i r="1">
      <x v="64"/>
    </i>
    <i t="grand">
      <x/>
    </i>
  </rowItems>
  <colFields count="1">
    <field x="8"/>
  </colFields>
  <colItems count="3">
    <i>
      <x v="1"/>
    </i>
    <i>
      <x v="4"/>
    </i>
    <i t="grand">
      <x/>
    </i>
  </colItems>
  <dataFields count="1">
    <dataField name="Sum of Actual Invoice Qunatity" fld="21" baseField="0" baseItem="0"/>
  </dataFields>
  <formats count="2">
    <format dxfId="0">
      <pivotArea dataOnly="0" labelOnly="1" fieldPosition="0">
        <references count="1">
          <reference field="8" count="1">
            <x v="1"/>
          </reference>
        </references>
      </pivotArea>
    </format>
    <format dxfId="1">
      <pivotArea dataOnly="0" labelOnly="1" fieldPosition="0">
        <references count="1">
          <reference field="8" count="1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24" firstHeaderRow="1" firstDataRow="3" firstDataCol="2"/>
  <pivotFields count="29">
    <pivotField compact="0" showAll="0">
      <items count="7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t="default"/>
      </items>
    </pivotField>
    <pivotField compact="0" showAll="0"/>
    <pivotField compact="0" showAll="0"/>
    <pivotField axis="axisRow" compact="0" showAll="0">
      <items count="75">
        <item x="55"/>
        <item x="36"/>
        <item x="27"/>
        <item x="66"/>
        <item x="9"/>
        <item x="3"/>
        <item x="2"/>
        <item x="21"/>
        <item x="49"/>
        <item x="18"/>
        <item x="35"/>
        <item x="60"/>
        <item x="28"/>
        <item x="19"/>
        <item x="22"/>
        <item x="56"/>
        <item x="42"/>
        <item x="59"/>
        <item x="25"/>
        <item x="69"/>
        <item x="0"/>
        <item x="37"/>
        <item x="50"/>
        <item x="61"/>
        <item x="45"/>
        <item x="48"/>
        <item x="51"/>
        <item x="16"/>
        <item x="14"/>
        <item x="47"/>
        <item x="15"/>
        <item x="38"/>
        <item x="70"/>
        <item x="31"/>
        <item x="58"/>
        <item x="67"/>
        <item x="29"/>
        <item x="1"/>
        <item x="68"/>
        <item x="71"/>
        <item x="54"/>
        <item x="39"/>
        <item x="63"/>
        <item x="72"/>
        <item x="24"/>
        <item x="53"/>
        <item x="41"/>
        <item x="20"/>
        <item x="10"/>
        <item x="12"/>
        <item x="40"/>
        <item x="73"/>
        <item x="26"/>
        <item x="13"/>
        <item x="64"/>
        <item x="34"/>
        <item x="33"/>
        <item x="65"/>
        <item x="44"/>
        <item x="8"/>
        <item x="30"/>
        <item x="11"/>
        <item x="62"/>
        <item x="32"/>
        <item x="6"/>
        <item x="5"/>
        <item x="4"/>
        <item x="23"/>
        <item x="57"/>
        <item x="7"/>
        <item x="17"/>
        <item x="46"/>
        <item x="43"/>
        <item x="52"/>
        <item t="default"/>
      </items>
    </pivotField>
    <pivotField compact="0" showAll="0"/>
    <pivotField axis="axisRow" compact="0" showAll="0">
      <items count="18">
        <item x="11"/>
        <item x="3"/>
        <item x="2"/>
        <item x="9"/>
        <item x="16"/>
        <item x="10"/>
        <item x="6"/>
        <item x="1"/>
        <item x="14"/>
        <item x="4"/>
        <item x="5"/>
        <item x="8"/>
        <item x="13"/>
        <item x="7"/>
        <item x="15"/>
        <item x="12"/>
        <item x="0"/>
        <item t="default"/>
      </items>
    </pivotField>
    <pivotField compact="0" showAll="0"/>
    <pivotField compact="0" showAll="0"/>
    <pivotField axis="axisCol" compact="0" multipleItemSelectionAllowed="1" showAll="0">
      <items count="3">
        <item x="1"/>
        <item h="1" x="0"/>
        <item t="default"/>
      </items>
    </pivotField>
    <pivotField compact="0" showAll="0"/>
    <pivotField compact="0" showAll="0"/>
    <pivotField compact="0" showAll="0"/>
    <pivotField compact="0" numFmtId="15" showAll="0"/>
    <pivotField compact="0" numFmtId="15" showAll="0"/>
    <pivotField compact="0" showAll="0"/>
    <pivotField axis="axisCol" compact="0" multipleItemSelectionAllowed="1" showAll="0">
      <items count="50">
        <item h="1" x="6"/>
        <item h="1" x="38"/>
        <item h="1" x="43"/>
        <item h="1" x="12"/>
        <item h="1" x="21"/>
        <item h="1" x="25"/>
        <item h="1" x="13"/>
        <item h="1" x="48"/>
        <item h="1" x="35"/>
        <item h="1" x="34"/>
        <item h="1" x="36"/>
        <item h="1" x="3"/>
        <item h="1" x="10"/>
        <item h="1" x="26"/>
        <item h="1" x="46"/>
        <item h="1" x="39"/>
        <item h="1" x="22"/>
        <item h="1" x="1"/>
        <item h="1" x="14"/>
        <item h="1" x="2"/>
        <item h="1" x="9"/>
        <item x="16"/>
        <item h="1" x="20"/>
        <item h="1" x="45"/>
        <item h="1" x="44"/>
        <item h="1" x="40"/>
        <item h="1" x="27"/>
        <item h="1" x="41"/>
        <item h="1" x="5"/>
        <item h="1" x="24"/>
        <item h="1" x="11"/>
        <item h="1" x="33"/>
        <item h="1" x="23"/>
        <item h="1" x="29"/>
        <item h="1" x="37"/>
        <item h="1" x="7"/>
        <item h="1" x="8"/>
        <item h="1" x="18"/>
        <item h="1" x="15"/>
        <item h="1" x="47"/>
        <item h="1" x="42"/>
        <item h="1" x="0"/>
        <item h="1" x="19"/>
        <item h="1" x="17"/>
        <item h="1" x="4"/>
        <item h="1" x="30"/>
        <item h="1" x="31"/>
        <item h="1" x="32"/>
        <item h="1" x="2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55">
        <item x="19"/>
        <item x="31"/>
        <item x="25"/>
        <item x="1"/>
        <item x="9"/>
        <item x="24"/>
        <item x="3"/>
        <item x="5"/>
        <item x="28"/>
        <item x="4"/>
        <item x="33"/>
        <item x="17"/>
        <item x="30"/>
        <item x="38"/>
        <item x="20"/>
        <item x="14"/>
        <item x="34"/>
        <item x="49"/>
        <item x="46"/>
        <item x="6"/>
        <item x="52"/>
        <item x="37"/>
        <item x="44"/>
        <item x="23"/>
        <item x="8"/>
        <item x="18"/>
        <item x="16"/>
        <item x="13"/>
        <item x="15"/>
        <item x="2"/>
        <item x="50"/>
        <item x="29"/>
        <item x="53"/>
        <item x="0"/>
        <item x="47"/>
        <item x="7"/>
        <item x="26"/>
        <item x="21"/>
        <item x="32"/>
        <item x="45"/>
        <item x="40"/>
        <item x="27"/>
        <item x="41"/>
        <item x="12"/>
        <item x="43"/>
        <item x="11"/>
        <item x="39"/>
        <item x="51"/>
        <item x="22"/>
        <item x="10"/>
        <item x="42"/>
        <item x="35"/>
        <item x="48"/>
        <item x="3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5"/>
    <field x="3"/>
  </rowFields>
  <rowItems count="19">
    <i>
      <x/>
    </i>
    <i r="1">
      <x v="57"/>
    </i>
    <i>
      <x v="2"/>
    </i>
    <i r="1">
      <x v="21"/>
    </i>
    <i>
      <x v="3"/>
    </i>
    <i r="1">
      <x v="47"/>
    </i>
    <i>
      <x v="7"/>
    </i>
    <i r="1">
      <x v="5"/>
    </i>
    <i>
      <x v="10"/>
    </i>
    <i r="1">
      <x v="53"/>
    </i>
    <i>
      <x v="11"/>
    </i>
    <i r="1">
      <x v="9"/>
    </i>
    <i r="1">
      <x v="52"/>
    </i>
    <i>
      <x v="16"/>
    </i>
    <i r="1">
      <x v="6"/>
    </i>
    <i r="1">
      <x v="25"/>
    </i>
    <i r="1">
      <x v="44"/>
    </i>
    <i r="1">
      <x v="67"/>
    </i>
    <i t="grand">
      <x/>
    </i>
  </rowItems>
  <colFields count="2">
    <field x="8"/>
    <field x="15"/>
  </colFields>
  <colItems count="3">
    <i>
      <x/>
      <x v="21"/>
    </i>
    <i t="default">
      <x/>
    </i>
    <i t="grand">
      <x/>
    </i>
  </colItems>
  <dataFields count="1">
    <dataField name="Sum of Actual Invoice Qunatity" fld="2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88" firstHeaderRow="1" firstDataRow="1" firstDataCol="1"/>
  <pivotFields count="3">
    <pivotField axis="axisRow" compact="0" showAll="0">
      <items count="185">
        <item x="113"/>
        <item x="95"/>
        <item x="129"/>
        <item x="148"/>
        <item x="179"/>
        <item x="180"/>
        <item x="96"/>
        <item x="30"/>
        <item x="121"/>
        <item x="35"/>
        <item x="36"/>
        <item x="62"/>
        <item x="66"/>
        <item x="37"/>
        <item x="0"/>
        <item x="87"/>
        <item x="17"/>
        <item x="154"/>
        <item x="172"/>
        <item x="114"/>
        <item x="31"/>
        <item x="122"/>
        <item x="73"/>
        <item x="70"/>
        <item x="164"/>
        <item x="38"/>
        <item x="80"/>
        <item x="138"/>
        <item x="50"/>
        <item x="56"/>
        <item x="109"/>
        <item x="169"/>
        <item x="146"/>
        <item x="149"/>
        <item x="2"/>
        <item x="39"/>
        <item x="57"/>
        <item x="10"/>
        <item x="181"/>
        <item x="110"/>
        <item x="90"/>
        <item x="40"/>
        <item x="119"/>
        <item x="58"/>
        <item x="18"/>
        <item x="51"/>
        <item x="67"/>
        <item x="81"/>
        <item x="41"/>
        <item x="42"/>
        <item x="128"/>
        <item x="6"/>
        <item x="143"/>
        <item x="3"/>
        <item x="82"/>
        <item x="26"/>
        <item x="123"/>
        <item x="11"/>
        <item x="124"/>
        <item x="64"/>
        <item x="65"/>
        <item x="155"/>
        <item x="12"/>
        <item x="59"/>
        <item x="74"/>
        <item x="103"/>
        <item x="150"/>
        <item x="130"/>
        <item x="60"/>
        <item x="131"/>
        <item x="7"/>
        <item x="13"/>
        <item x="156"/>
        <item x="115"/>
        <item x="144"/>
        <item x="19"/>
        <item x="20"/>
        <item x="136"/>
        <item x="125"/>
        <item x="27"/>
        <item x="120"/>
        <item x="32"/>
        <item x="91"/>
        <item x="97"/>
        <item x="33"/>
        <item x="4"/>
        <item x="43"/>
        <item x="34"/>
        <item x="21"/>
        <item x="22"/>
        <item x="83"/>
        <item x="28"/>
        <item x="170"/>
        <item x="157"/>
        <item x="88"/>
        <item x="75"/>
        <item x="132"/>
        <item x="116"/>
        <item x="104"/>
        <item x="89"/>
        <item x="158"/>
        <item x="44"/>
        <item x="147"/>
        <item x="175"/>
        <item x="98"/>
        <item x="159"/>
        <item x="151"/>
        <item x="182"/>
        <item x="5"/>
        <item x="176"/>
        <item x="29"/>
        <item x="152"/>
        <item x="45"/>
        <item x="76"/>
        <item x="68"/>
        <item x="8"/>
        <item x="23"/>
        <item x="24"/>
        <item x="84"/>
        <item x="178"/>
        <item x="173"/>
        <item x="168"/>
        <item x="71"/>
        <item x="153"/>
        <item x="183"/>
        <item x="160"/>
        <item x="177"/>
        <item x="85"/>
        <item x="72"/>
        <item x="161"/>
        <item x="174"/>
        <item x="126"/>
        <item x="171"/>
        <item x="111"/>
        <item x="52"/>
        <item x="99"/>
        <item x="133"/>
        <item x="25"/>
        <item x="117"/>
        <item x="134"/>
        <item x="139"/>
        <item x="137"/>
        <item x="77"/>
        <item x="112"/>
        <item x="118"/>
        <item x="92"/>
        <item x="93"/>
        <item x="140"/>
        <item x="63"/>
        <item x="9"/>
        <item x="105"/>
        <item x="142"/>
        <item x="46"/>
        <item x="100"/>
        <item x="14"/>
        <item x="15"/>
        <item x="69"/>
        <item x="47"/>
        <item x="135"/>
        <item x="162"/>
        <item x="55"/>
        <item x="165"/>
        <item x="106"/>
        <item x="53"/>
        <item x="166"/>
        <item x="107"/>
        <item x="127"/>
        <item x="54"/>
        <item x="48"/>
        <item x="163"/>
        <item x="61"/>
        <item x="16"/>
        <item x="94"/>
        <item x="1"/>
        <item x="167"/>
        <item x="108"/>
        <item x="145"/>
        <item x="101"/>
        <item x="141"/>
        <item x="78"/>
        <item x="49"/>
        <item x="102"/>
        <item x="86"/>
        <item x="79"/>
        <item t="default"/>
      </items>
    </pivotField>
    <pivotField compact="0" showAll="0"/>
    <pivotField dataField="1" compact="0" showAll="0">
      <items count="227">
        <item x="29"/>
        <item x="167"/>
        <item x="188"/>
        <item x="26"/>
        <item x="192"/>
        <item x="193"/>
        <item x="55"/>
        <item x="189"/>
        <item x="216"/>
        <item x="191"/>
        <item x="213"/>
        <item x="4"/>
        <item x="164"/>
        <item x="111"/>
        <item x="32"/>
        <item x="220"/>
        <item x="18"/>
        <item x="221"/>
        <item x="2"/>
        <item x="210"/>
        <item x="75"/>
        <item x="112"/>
        <item x="212"/>
        <item x="53"/>
        <item x="194"/>
        <item x="108"/>
        <item x="215"/>
        <item x="202"/>
        <item x="133"/>
        <item x="208"/>
        <item x="127"/>
        <item x="42"/>
        <item x="1"/>
        <item x="51"/>
        <item x="89"/>
        <item x="47"/>
        <item x="94"/>
        <item x="107"/>
        <item x="223"/>
        <item x="22"/>
        <item x="110"/>
        <item x="143"/>
        <item x="146"/>
        <item x="142"/>
        <item x="21"/>
        <item x="187"/>
        <item x="35"/>
        <item x="196"/>
        <item x="48"/>
        <item x="6"/>
        <item x="69"/>
        <item x="218"/>
        <item x="37"/>
        <item x="119"/>
        <item x="157"/>
        <item x="206"/>
        <item x="99"/>
        <item x="45"/>
        <item x="7"/>
        <item x="5"/>
        <item x="214"/>
        <item x="104"/>
        <item x="219"/>
        <item x="17"/>
        <item x="140"/>
        <item x="106"/>
        <item x="19"/>
        <item x="88"/>
        <item x="97"/>
        <item x="115"/>
        <item x="139"/>
        <item x="31"/>
        <item x="60"/>
        <item x="23"/>
        <item x="160"/>
        <item x="207"/>
        <item x="81"/>
        <item x="120"/>
        <item x="217"/>
        <item x="105"/>
        <item x="222"/>
        <item x="43"/>
        <item x="71"/>
        <item x="90"/>
        <item x="54"/>
        <item x="83"/>
        <item x="78"/>
        <item x="44"/>
        <item x="172"/>
        <item x="126"/>
        <item x="62"/>
        <item x="46"/>
        <item x="58"/>
        <item x="36"/>
        <item x="150"/>
        <item x="82"/>
        <item x="117"/>
        <item x="138"/>
        <item x="197"/>
        <item x="25"/>
        <item x="165"/>
        <item x="30"/>
        <item x="49"/>
        <item x="122"/>
        <item x="86"/>
        <item x="10"/>
        <item x="72"/>
        <item x="109"/>
        <item x="225"/>
        <item x="65"/>
        <item x="34"/>
        <item x="12"/>
        <item x="205"/>
        <item x="27"/>
        <item x="11"/>
        <item x="190"/>
        <item x="144"/>
        <item x="33"/>
        <item x="80"/>
        <item x="132"/>
        <item x="203"/>
        <item x="28"/>
        <item x="77"/>
        <item x="50"/>
        <item x="96"/>
        <item x="113"/>
        <item x="95"/>
        <item x="98"/>
        <item x="52"/>
        <item x="92"/>
        <item x="73"/>
        <item x="171"/>
        <item x="170"/>
        <item x="15"/>
        <item x="137"/>
        <item x="211"/>
        <item x="204"/>
        <item x="158"/>
        <item x="161"/>
        <item x="166"/>
        <item x="64"/>
        <item x="201"/>
        <item x="145"/>
        <item x="134"/>
        <item x="125"/>
        <item x="141"/>
        <item x="41"/>
        <item x="9"/>
        <item x="178"/>
        <item x="57"/>
        <item x="199"/>
        <item x="61"/>
        <item x="56"/>
        <item x="116"/>
        <item x="168"/>
        <item x="3"/>
        <item x="224"/>
        <item x="114"/>
        <item x="85"/>
        <item x="67"/>
        <item x="103"/>
        <item x="182"/>
        <item x="177"/>
        <item x="14"/>
        <item x="198"/>
        <item x="24"/>
        <item x="121"/>
        <item x="175"/>
        <item x="162"/>
        <item x="63"/>
        <item x="39"/>
        <item x="169"/>
        <item x="76"/>
        <item x="124"/>
        <item x="151"/>
        <item x="154"/>
        <item x="153"/>
        <item x="20"/>
        <item x="176"/>
        <item x="101"/>
        <item x="0"/>
        <item x="186"/>
        <item x="200"/>
        <item x="100"/>
        <item x="183"/>
        <item x="136"/>
        <item x="185"/>
        <item x="129"/>
        <item x="38"/>
        <item x="66"/>
        <item x="93"/>
        <item x="79"/>
        <item x="209"/>
        <item x="70"/>
        <item x="159"/>
        <item x="184"/>
        <item x="16"/>
        <item x="180"/>
        <item x="195"/>
        <item x="147"/>
        <item x="131"/>
        <item x="8"/>
        <item x="123"/>
        <item x="74"/>
        <item x="91"/>
        <item x="128"/>
        <item x="68"/>
        <item x="59"/>
        <item x="87"/>
        <item x="40"/>
        <item x="156"/>
        <item x="130"/>
        <item x="152"/>
        <item x="179"/>
        <item x="181"/>
        <item x="13"/>
        <item x="135"/>
        <item x="102"/>
        <item x="148"/>
        <item x="84"/>
        <item x="174"/>
        <item x="163"/>
        <item x="118"/>
        <item x="155"/>
        <item x="173"/>
        <item x="149"/>
        <item t="default"/>
      </items>
    </pivotField>
  </pivotFields>
  <rowFields count="1">
    <field x="0"/>
  </rowFields>
  <rowItems count="1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 t="grand">
      <x/>
    </i>
  </rowItems>
  <colItems count="1">
    <i/>
  </colItems>
  <dataFields count="1">
    <dataField name="Sum of TK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113"/>
  <sheetViews>
    <sheetView topLeftCell="A88" workbookViewId="0">
      <selection activeCell="F63" sqref="F63"/>
    </sheetView>
  </sheetViews>
  <sheetFormatPr defaultColWidth="8.88888888888889" defaultRowHeight="14.4" outlineLevelCol="7"/>
  <cols>
    <col min="1" max="1" width="26.2222222222222" customWidth="1"/>
    <col min="2" max="2" width="44.4444444444444"/>
    <col min="3" max="4" width="18.8888888888889"/>
    <col min="5" max="5" width="11.4444444444444"/>
    <col min="6" max="27" width="30.8888888888889"/>
    <col min="28" max="28" width="8.33333333333333"/>
    <col min="29" max="42" width="28.2222222222222"/>
    <col min="43" max="43" width="14.4444444444444"/>
    <col min="44" max="44" width="11.4444444444444"/>
  </cols>
  <sheetData>
    <row r="3" spans="1:3">
      <c r="A3" t="s">
        <v>0</v>
      </c>
      <c r="C3" t="s">
        <v>1</v>
      </c>
    </row>
    <row r="4" spans="1:5">
      <c r="A4" t="s">
        <v>2</v>
      </c>
      <c r="B4" t="s">
        <v>3</v>
      </c>
      <c r="C4" s="16" t="s">
        <v>4</v>
      </c>
      <c r="D4" s="16" t="s">
        <v>5</v>
      </c>
      <c r="E4" t="s">
        <v>6</v>
      </c>
    </row>
    <row r="5" spans="1:5">
      <c r="A5" t="s">
        <v>7</v>
      </c>
      <c r="C5">
        <v>202</v>
      </c>
      <c r="D5">
        <v>28</v>
      </c>
      <c r="E5">
        <v>230</v>
      </c>
    </row>
    <row r="6" spans="2:8">
      <c r="B6" t="s">
        <v>8</v>
      </c>
      <c r="C6">
        <v>194</v>
      </c>
      <c r="D6">
        <v>28</v>
      </c>
      <c r="E6">
        <v>222</v>
      </c>
      <c r="H6">
        <f>G6-F6</f>
        <v>0</v>
      </c>
    </row>
    <row r="7" spans="2:8">
      <c r="B7" t="s">
        <v>9</v>
      </c>
      <c r="C7">
        <v>8</v>
      </c>
      <c r="E7">
        <v>8</v>
      </c>
      <c r="H7">
        <f t="shared" ref="H7:H38" si="0">G7-F7</f>
        <v>0</v>
      </c>
    </row>
    <row r="8" spans="1:5">
      <c r="A8" t="s">
        <v>10</v>
      </c>
      <c r="C8">
        <v>126</v>
      </c>
      <c r="D8">
        <v>56</v>
      </c>
      <c r="E8">
        <v>182</v>
      </c>
    </row>
    <row r="9" spans="2:8">
      <c r="B9" t="s">
        <v>11</v>
      </c>
      <c r="C9">
        <v>5</v>
      </c>
      <c r="E9">
        <v>5</v>
      </c>
      <c r="H9">
        <f t="shared" si="0"/>
        <v>0</v>
      </c>
    </row>
    <row r="10" spans="2:8">
      <c r="B10" t="s">
        <v>12</v>
      </c>
      <c r="C10">
        <v>85</v>
      </c>
      <c r="D10">
        <v>56</v>
      </c>
      <c r="E10">
        <v>141</v>
      </c>
      <c r="H10">
        <f t="shared" si="0"/>
        <v>0</v>
      </c>
    </row>
    <row r="11" spans="2:8">
      <c r="B11" t="s">
        <v>13</v>
      </c>
      <c r="C11">
        <v>5</v>
      </c>
      <c r="E11">
        <v>5</v>
      </c>
      <c r="H11">
        <f t="shared" si="0"/>
        <v>0</v>
      </c>
    </row>
    <row r="12" spans="2:8">
      <c r="B12" t="s">
        <v>14</v>
      </c>
      <c r="C12">
        <v>31</v>
      </c>
      <c r="E12">
        <v>31</v>
      </c>
      <c r="H12">
        <f t="shared" si="0"/>
        <v>0</v>
      </c>
    </row>
    <row r="13" spans="1:5">
      <c r="A13" t="s">
        <v>15</v>
      </c>
      <c r="C13">
        <v>194</v>
      </c>
      <c r="D13">
        <v>328</v>
      </c>
      <c r="E13">
        <v>522</v>
      </c>
    </row>
    <row r="14" spans="2:8">
      <c r="B14" t="s">
        <v>16</v>
      </c>
      <c r="C14">
        <v>27</v>
      </c>
      <c r="E14">
        <v>27</v>
      </c>
      <c r="H14">
        <f t="shared" si="0"/>
        <v>0</v>
      </c>
    </row>
    <row r="15" spans="2:8">
      <c r="B15" t="s">
        <v>17</v>
      </c>
      <c r="C15">
        <v>27</v>
      </c>
      <c r="E15">
        <v>27</v>
      </c>
      <c r="H15">
        <f t="shared" si="0"/>
        <v>0</v>
      </c>
    </row>
    <row r="16" spans="2:8">
      <c r="B16" t="s">
        <v>18</v>
      </c>
      <c r="D16">
        <v>36</v>
      </c>
      <c r="E16">
        <v>36</v>
      </c>
      <c r="H16">
        <f t="shared" si="0"/>
        <v>0</v>
      </c>
    </row>
    <row r="17" spans="2:8">
      <c r="B17" t="s">
        <v>19</v>
      </c>
      <c r="C17">
        <v>140</v>
      </c>
      <c r="D17">
        <v>292</v>
      </c>
      <c r="E17">
        <v>432</v>
      </c>
      <c r="H17">
        <f t="shared" si="0"/>
        <v>0</v>
      </c>
    </row>
    <row r="18" spans="1:5">
      <c r="A18" t="s">
        <v>20</v>
      </c>
      <c r="C18">
        <v>1106</v>
      </c>
      <c r="D18">
        <v>392</v>
      </c>
      <c r="E18">
        <v>1498</v>
      </c>
    </row>
    <row r="19" spans="2:8">
      <c r="B19" t="s">
        <v>21</v>
      </c>
      <c r="C19">
        <v>78</v>
      </c>
      <c r="D19">
        <v>13</v>
      </c>
      <c r="E19">
        <v>91</v>
      </c>
      <c r="H19">
        <f t="shared" si="0"/>
        <v>0</v>
      </c>
    </row>
    <row r="20" spans="2:8">
      <c r="B20" t="s">
        <v>22</v>
      </c>
      <c r="C20">
        <v>46</v>
      </c>
      <c r="E20">
        <v>46</v>
      </c>
      <c r="H20">
        <f t="shared" si="0"/>
        <v>0</v>
      </c>
    </row>
    <row r="21" spans="2:8">
      <c r="B21" t="s">
        <v>23</v>
      </c>
      <c r="C21">
        <v>23</v>
      </c>
      <c r="D21">
        <v>36</v>
      </c>
      <c r="E21">
        <v>59</v>
      </c>
      <c r="H21">
        <f t="shared" si="0"/>
        <v>0</v>
      </c>
    </row>
    <row r="22" spans="2:8">
      <c r="B22" t="s">
        <v>24</v>
      </c>
      <c r="C22">
        <v>51</v>
      </c>
      <c r="E22">
        <v>51</v>
      </c>
      <c r="H22">
        <f t="shared" si="0"/>
        <v>0</v>
      </c>
    </row>
    <row r="23" spans="2:8">
      <c r="B23" t="s">
        <v>25</v>
      </c>
      <c r="C23">
        <v>703</v>
      </c>
      <c r="D23">
        <v>239</v>
      </c>
      <c r="E23">
        <v>942</v>
      </c>
      <c r="H23">
        <f t="shared" si="0"/>
        <v>0</v>
      </c>
    </row>
    <row r="24" spans="2:8">
      <c r="B24" t="s">
        <v>26</v>
      </c>
      <c r="C24">
        <v>145</v>
      </c>
      <c r="D24">
        <v>88</v>
      </c>
      <c r="E24">
        <v>233</v>
      </c>
      <c r="H24">
        <f t="shared" si="0"/>
        <v>0</v>
      </c>
    </row>
    <row r="25" spans="2:8">
      <c r="B25" t="s">
        <v>27</v>
      </c>
      <c r="C25">
        <v>60</v>
      </c>
      <c r="D25">
        <v>16</v>
      </c>
      <c r="E25">
        <v>76</v>
      </c>
      <c r="H25">
        <f t="shared" si="0"/>
        <v>0</v>
      </c>
    </row>
    <row r="26" spans="1:5">
      <c r="A26" t="s">
        <v>28</v>
      </c>
      <c r="C26">
        <v>634</v>
      </c>
      <c r="D26">
        <v>212</v>
      </c>
      <c r="E26">
        <v>846</v>
      </c>
    </row>
    <row r="27" spans="2:8">
      <c r="B27" t="s">
        <v>29</v>
      </c>
      <c r="C27">
        <v>194</v>
      </c>
      <c r="D27">
        <v>188</v>
      </c>
      <c r="E27">
        <v>382</v>
      </c>
      <c r="H27">
        <f t="shared" si="0"/>
        <v>0</v>
      </c>
    </row>
    <row r="28" spans="2:8">
      <c r="B28" t="s">
        <v>30</v>
      </c>
      <c r="C28">
        <v>20</v>
      </c>
      <c r="E28">
        <v>20</v>
      </c>
      <c r="H28">
        <f t="shared" si="0"/>
        <v>0</v>
      </c>
    </row>
    <row r="29" spans="2:8">
      <c r="B29" t="s">
        <v>31</v>
      </c>
      <c r="C29">
        <v>8</v>
      </c>
      <c r="E29">
        <v>8</v>
      </c>
      <c r="H29">
        <f t="shared" si="0"/>
        <v>0</v>
      </c>
    </row>
    <row r="30" spans="2:8">
      <c r="B30" t="s">
        <v>32</v>
      </c>
      <c r="C30">
        <v>24</v>
      </c>
      <c r="E30">
        <v>24</v>
      </c>
      <c r="H30">
        <f t="shared" si="0"/>
        <v>0</v>
      </c>
    </row>
    <row r="31" spans="2:8">
      <c r="B31" t="s">
        <v>33</v>
      </c>
      <c r="C31">
        <v>24</v>
      </c>
      <c r="E31">
        <v>24</v>
      </c>
      <c r="H31">
        <f t="shared" si="0"/>
        <v>0</v>
      </c>
    </row>
    <row r="32" spans="2:8">
      <c r="B32" t="s">
        <v>34</v>
      </c>
      <c r="C32">
        <v>300</v>
      </c>
      <c r="D32">
        <v>8</v>
      </c>
      <c r="E32">
        <v>308</v>
      </c>
      <c r="H32">
        <f t="shared" si="0"/>
        <v>0</v>
      </c>
    </row>
    <row r="33" spans="2:8">
      <c r="B33" t="s">
        <v>35</v>
      </c>
      <c r="D33">
        <v>16</v>
      </c>
      <c r="E33">
        <v>16</v>
      </c>
      <c r="H33">
        <f t="shared" si="0"/>
        <v>0</v>
      </c>
    </row>
    <row r="34" spans="2:8">
      <c r="B34" t="s">
        <v>36</v>
      </c>
      <c r="C34">
        <v>20</v>
      </c>
      <c r="E34">
        <v>20</v>
      </c>
      <c r="H34">
        <f t="shared" si="0"/>
        <v>0</v>
      </c>
    </row>
    <row r="35" spans="2:8">
      <c r="B35" t="s">
        <v>37</v>
      </c>
      <c r="C35">
        <v>44</v>
      </c>
      <c r="E35">
        <v>44</v>
      </c>
      <c r="H35">
        <f t="shared" si="0"/>
        <v>0</v>
      </c>
    </row>
    <row r="36" spans="1:5">
      <c r="A36" t="s">
        <v>38</v>
      </c>
      <c r="C36">
        <v>244</v>
      </c>
      <c r="E36">
        <v>244</v>
      </c>
    </row>
    <row r="37" spans="2:8">
      <c r="B37" t="s">
        <v>39</v>
      </c>
      <c r="C37">
        <v>140</v>
      </c>
      <c r="E37">
        <v>140</v>
      </c>
      <c r="H37">
        <f t="shared" si="0"/>
        <v>0</v>
      </c>
    </row>
    <row r="38" spans="2:8">
      <c r="B38" t="s">
        <v>40</v>
      </c>
      <c r="C38">
        <v>42</v>
      </c>
      <c r="E38">
        <v>42</v>
      </c>
      <c r="H38">
        <f t="shared" si="0"/>
        <v>0</v>
      </c>
    </row>
    <row r="39" spans="2:8">
      <c r="B39" t="s">
        <v>41</v>
      </c>
      <c r="C39">
        <v>2</v>
      </c>
      <c r="E39">
        <v>2</v>
      </c>
      <c r="H39">
        <f t="shared" ref="H39:H70" si="1">G39-F39</f>
        <v>0</v>
      </c>
    </row>
    <row r="40" spans="2:8">
      <c r="B40" t="s">
        <v>42</v>
      </c>
      <c r="C40">
        <v>60</v>
      </c>
      <c r="E40">
        <v>60</v>
      </c>
      <c r="H40">
        <f t="shared" si="1"/>
        <v>0</v>
      </c>
    </row>
    <row r="41" spans="1:5">
      <c r="A41" t="s">
        <v>43</v>
      </c>
      <c r="C41">
        <v>47</v>
      </c>
      <c r="D41">
        <v>167</v>
      </c>
      <c r="E41">
        <v>214</v>
      </c>
    </row>
    <row r="42" spans="2:8">
      <c r="B42" t="s">
        <v>44</v>
      </c>
      <c r="D42">
        <v>84</v>
      </c>
      <c r="E42">
        <v>84</v>
      </c>
      <c r="H42">
        <f t="shared" si="1"/>
        <v>0</v>
      </c>
    </row>
    <row r="43" spans="2:8">
      <c r="B43" t="s">
        <v>45</v>
      </c>
      <c r="D43">
        <v>8</v>
      </c>
      <c r="E43">
        <v>8</v>
      </c>
      <c r="H43">
        <f t="shared" si="1"/>
        <v>0</v>
      </c>
    </row>
    <row r="44" spans="2:8">
      <c r="B44" t="s">
        <v>46</v>
      </c>
      <c r="C44">
        <v>33</v>
      </c>
      <c r="D44">
        <v>51</v>
      </c>
      <c r="E44">
        <v>84</v>
      </c>
      <c r="H44">
        <f t="shared" si="1"/>
        <v>0</v>
      </c>
    </row>
    <row r="45" spans="2:8">
      <c r="B45" t="s">
        <v>47</v>
      </c>
      <c r="C45">
        <v>10</v>
      </c>
      <c r="D45">
        <v>24</v>
      </c>
      <c r="E45">
        <v>34</v>
      </c>
      <c r="H45">
        <f t="shared" si="1"/>
        <v>0</v>
      </c>
    </row>
    <row r="46" spans="2:8">
      <c r="B46" t="s">
        <v>48</v>
      </c>
      <c r="C46">
        <v>4</v>
      </c>
      <c r="E46">
        <v>4</v>
      </c>
      <c r="H46">
        <f t="shared" si="1"/>
        <v>0</v>
      </c>
    </row>
    <row r="47" spans="1:5">
      <c r="A47" t="s">
        <v>49</v>
      </c>
      <c r="C47">
        <v>1188</v>
      </c>
      <c r="D47">
        <v>72</v>
      </c>
      <c r="E47">
        <v>1260</v>
      </c>
    </row>
    <row r="48" spans="2:8">
      <c r="B48" t="s">
        <v>50</v>
      </c>
      <c r="C48">
        <v>61</v>
      </c>
      <c r="E48">
        <v>61</v>
      </c>
      <c r="H48">
        <f t="shared" si="1"/>
        <v>0</v>
      </c>
    </row>
    <row r="49" spans="2:8">
      <c r="B49" t="s">
        <v>51</v>
      </c>
      <c r="C49">
        <v>50</v>
      </c>
      <c r="E49">
        <v>50</v>
      </c>
      <c r="H49">
        <f t="shared" si="1"/>
        <v>0</v>
      </c>
    </row>
    <row r="50" spans="2:8">
      <c r="B50" t="s">
        <v>52</v>
      </c>
      <c r="C50">
        <v>16</v>
      </c>
      <c r="E50">
        <v>16</v>
      </c>
      <c r="H50">
        <f t="shared" si="1"/>
        <v>0</v>
      </c>
    </row>
    <row r="51" spans="2:8">
      <c r="B51" t="s">
        <v>53</v>
      </c>
      <c r="C51">
        <v>40</v>
      </c>
      <c r="E51">
        <v>40</v>
      </c>
      <c r="H51">
        <f t="shared" si="1"/>
        <v>0</v>
      </c>
    </row>
    <row r="52" spans="2:8">
      <c r="B52" t="s">
        <v>54</v>
      </c>
      <c r="C52">
        <v>16</v>
      </c>
      <c r="E52">
        <v>16</v>
      </c>
      <c r="H52">
        <f t="shared" si="1"/>
        <v>0</v>
      </c>
    </row>
    <row r="53" spans="2:8">
      <c r="B53" t="s">
        <v>55</v>
      </c>
      <c r="C53">
        <v>246</v>
      </c>
      <c r="E53">
        <v>246</v>
      </c>
      <c r="H53">
        <f t="shared" si="1"/>
        <v>0</v>
      </c>
    </row>
    <row r="54" spans="2:8">
      <c r="B54" t="s">
        <v>56</v>
      </c>
      <c r="C54">
        <v>102</v>
      </c>
      <c r="D54">
        <v>64</v>
      </c>
      <c r="E54">
        <v>166</v>
      </c>
      <c r="H54">
        <f t="shared" si="1"/>
        <v>0</v>
      </c>
    </row>
    <row r="55" spans="2:8">
      <c r="B55" t="s">
        <v>57</v>
      </c>
      <c r="C55">
        <v>418</v>
      </c>
      <c r="E55">
        <v>418</v>
      </c>
      <c r="H55">
        <f t="shared" si="1"/>
        <v>0</v>
      </c>
    </row>
    <row r="56" spans="2:8">
      <c r="B56" t="s">
        <v>58</v>
      </c>
      <c r="C56">
        <v>100</v>
      </c>
      <c r="E56">
        <v>100</v>
      </c>
      <c r="H56">
        <f t="shared" si="1"/>
        <v>0</v>
      </c>
    </row>
    <row r="57" spans="2:8">
      <c r="B57" t="s">
        <v>59</v>
      </c>
      <c r="C57">
        <v>20</v>
      </c>
      <c r="E57">
        <v>20</v>
      </c>
      <c r="H57">
        <f t="shared" si="1"/>
        <v>0</v>
      </c>
    </row>
    <row r="58" spans="2:8">
      <c r="B58" t="s">
        <v>60</v>
      </c>
      <c r="C58">
        <v>9</v>
      </c>
      <c r="E58">
        <v>9</v>
      </c>
      <c r="H58">
        <f t="shared" si="1"/>
        <v>0</v>
      </c>
    </row>
    <row r="59" spans="2:8">
      <c r="B59" t="s">
        <v>61</v>
      </c>
      <c r="C59">
        <v>28</v>
      </c>
      <c r="E59">
        <v>28</v>
      </c>
      <c r="H59">
        <f t="shared" si="1"/>
        <v>0</v>
      </c>
    </row>
    <row r="60" spans="2:8">
      <c r="B60" t="s">
        <v>62</v>
      </c>
      <c r="C60">
        <v>24</v>
      </c>
      <c r="D60">
        <v>8</v>
      </c>
      <c r="E60">
        <v>32</v>
      </c>
      <c r="H60">
        <f t="shared" si="1"/>
        <v>0</v>
      </c>
    </row>
    <row r="61" spans="2:8">
      <c r="B61" t="s">
        <v>63</v>
      </c>
      <c r="C61">
        <v>20</v>
      </c>
      <c r="E61">
        <v>20</v>
      </c>
      <c r="H61">
        <f t="shared" si="1"/>
        <v>0</v>
      </c>
    </row>
    <row r="62" spans="2:8">
      <c r="B62" t="s">
        <v>64</v>
      </c>
      <c r="C62">
        <v>38</v>
      </c>
      <c r="E62">
        <v>38</v>
      </c>
      <c r="H62">
        <f t="shared" si="1"/>
        <v>0</v>
      </c>
    </row>
    <row r="63" spans="1:5">
      <c r="A63" t="s">
        <v>65</v>
      </c>
      <c r="C63">
        <v>150</v>
      </c>
      <c r="E63">
        <v>150</v>
      </c>
    </row>
    <row r="64" spans="2:8">
      <c r="B64" t="s">
        <v>66</v>
      </c>
      <c r="C64">
        <v>10</v>
      </c>
      <c r="E64">
        <v>10</v>
      </c>
      <c r="H64">
        <f t="shared" si="1"/>
        <v>0</v>
      </c>
    </row>
    <row r="65" spans="2:8">
      <c r="B65" t="s">
        <v>67</v>
      </c>
      <c r="C65">
        <v>20</v>
      </c>
      <c r="E65">
        <v>20</v>
      </c>
      <c r="H65">
        <f t="shared" si="1"/>
        <v>0</v>
      </c>
    </row>
    <row r="66" spans="2:8">
      <c r="B66" t="s">
        <v>68</v>
      </c>
      <c r="C66">
        <v>15</v>
      </c>
      <c r="E66">
        <v>15</v>
      </c>
      <c r="H66">
        <f t="shared" si="1"/>
        <v>0</v>
      </c>
    </row>
    <row r="67" spans="2:8">
      <c r="B67" t="s">
        <v>69</v>
      </c>
      <c r="C67">
        <v>45</v>
      </c>
      <c r="E67">
        <v>45</v>
      </c>
      <c r="H67">
        <f t="shared" si="1"/>
        <v>0</v>
      </c>
    </row>
    <row r="68" spans="2:8">
      <c r="B68" t="s">
        <v>70</v>
      </c>
      <c r="C68">
        <v>60</v>
      </c>
      <c r="E68">
        <v>60</v>
      </c>
      <c r="H68">
        <f t="shared" si="1"/>
        <v>0</v>
      </c>
    </row>
    <row r="69" spans="1:5">
      <c r="A69" t="s">
        <v>71</v>
      </c>
      <c r="C69">
        <v>10</v>
      </c>
      <c r="E69">
        <v>10</v>
      </c>
    </row>
    <row r="70" spans="2:8">
      <c r="B70" t="s">
        <v>72</v>
      </c>
      <c r="C70">
        <v>10</v>
      </c>
      <c r="E70">
        <v>10</v>
      </c>
      <c r="H70">
        <f t="shared" si="1"/>
        <v>0</v>
      </c>
    </row>
    <row r="71" spans="1:5">
      <c r="A71" t="s">
        <v>73</v>
      </c>
      <c r="C71">
        <v>246</v>
      </c>
      <c r="E71">
        <v>246</v>
      </c>
    </row>
    <row r="72" spans="2:8">
      <c r="B72" t="s">
        <v>74</v>
      </c>
      <c r="C72">
        <v>65</v>
      </c>
      <c r="E72">
        <v>65</v>
      </c>
      <c r="H72">
        <f t="shared" ref="H71:H108" si="2">G72-F72</f>
        <v>0</v>
      </c>
    </row>
    <row r="73" spans="2:8">
      <c r="B73" t="s">
        <v>75</v>
      </c>
      <c r="C73">
        <v>6</v>
      </c>
      <c r="E73">
        <v>6</v>
      </c>
      <c r="H73">
        <f t="shared" si="2"/>
        <v>0</v>
      </c>
    </row>
    <row r="74" spans="2:8">
      <c r="B74" t="s">
        <v>76</v>
      </c>
      <c r="C74">
        <v>4</v>
      </c>
      <c r="E74">
        <v>4</v>
      </c>
      <c r="H74">
        <f t="shared" si="2"/>
        <v>0</v>
      </c>
    </row>
    <row r="75" spans="2:8">
      <c r="B75" t="s">
        <v>77</v>
      </c>
      <c r="C75">
        <v>50</v>
      </c>
      <c r="E75">
        <v>50</v>
      </c>
      <c r="H75">
        <f t="shared" si="2"/>
        <v>0</v>
      </c>
    </row>
    <row r="76" spans="2:8">
      <c r="B76" t="s">
        <v>78</v>
      </c>
      <c r="C76">
        <v>4</v>
      </c>
      <c r="E76">
        <v>4</v>
      </c>
      <c r="H76">
        <f t="shared" si="2"/>
        <v>0</v>
      </c>
    </row>
    <row r="77" spans="2:8">
      <c r="B77" t="s">
        <v>79</v>
      </c>
      <c r="C77">
        <v>117</v>
      </c>
      <c r="E77">
        <v>117</v>
      </c>
      <c r="H77">
        <f t="shared" si="2"/>
        <v>0</v>
      </c>
    </row>
    <row r="78" spans="1:5">
      <c r="A78" t="s">
        <v>80</v>
      </c>
      <c r="C78">
        <v>45</v>
      </c>
      <c r="D78">
        <v>86</v>
      </c>
      <c r="E78">
        <v>131</v>
      </c>
    </row>
    <row r="79" spans="2:8">
      <c r="B79" t="s">
        <v>81</v>
      </c>
      <c r="C79">
        <v>10</v>
      </c>
      <c r="D79">
        <v>12</v>
      </c>
      <c r="E79">
        <v>22</v>
      </c>
      <c r="H79">
        <f t="shared" si="2"/>
        <v>0</v>
      </c>
    </row>
    <row r="80" spans="2:8">
      <c r="B80" t="s">
        <v>82</v>
      </c>
      <c r="C80">
        <v>35</v>
      </c>
      <c r="D80">
        <v>74</v>
      </c>
      <c r="E80">
        <v>109</v>
      </c>
      <c r="H80">
        <f t="shared" si="2"/>
        <v>0</v>
      </c>
    </row>
    <row r="81" spans="1:5">
      <c r="A81" t="s">
        <v>83</v>
      </c>
      <c r="C81">
        <v>40</v>
      </c>
      <c r="D81">
        <v>440</v>
      </c>
      <c r="E81">
        <v>480</v>
      </c>
    </row>
    <row r="82" spans="2:8">
      <c r="B82" t="s">
        <v>84</v>
      </c>
      <c r="C82">
        <v>20</v>
      </c>
      <c r="D82">
        <v>16</v>
      </c>
      <c r="E82">
        <v>36</v>
      </c>
      <c r="H82">
        <f t="shared" si="2"/>
        <v>0</v>
      </c>
    </row>
    <row r="83" spans="2:8">
      <c r="B83" t="s">
        <v>85</v>
      </c>
      <c r="C83">
        <v>20</v>
      </c>
      <c r="D83">
        <v>424</v>
      </c>
      <c r="E83">
        <v>444</v>
      </c>
      <c r="H83">
        <f t="shared" si="2"/>
        <v>0</v>
      </c>
    </row>
    <row r="84" spans="1:5">
      <c r="A84" t="s">
        <v>86</v>
      </c>
      <c r="C84">
        <v>172</v>
      </c>
      <c r="E84">
        <v>172</v>
      </c>
    </row>
    <row r="85" spans="2:8">
      <c r="B85" t="s">
        <v>87</v>
      </c>
      <c r="C85">
        <v>15</v>
      </c>
      <c r="E85">
        <v>15</v>
      </c>
      <c r="H85">
        <f t="shared" si="2"/>
        <v>0</v>
      </c>
    </row>
    <row r="86" spans="2:8">
      <c r="B86" t="s">
        <v>88</v>
      </c>
      <c r="C86">
        <v>25</v>
      </c>
      <c r="E86">
        <v>25</v>
      </c>
      <c r="H86">
        <f t="shared" si="2"/>
        <v>0</v>
      </c>
    </row>
    <row r="87" spans="2:8">
      <c r="B87" t="s">
        <v>89</v>
      </c>
      <c r="C87">
        <v>100</v>
      </c>
      <c r="E87">
        <v>100</v>
      </c>
      <c r="H87">
        <f t="shared" si="2"/>
        <v>0</v>
      </c>
    </row>
    <row r="88" spans="2:8">
      <c r="B88" t="s">
        <v>90</v>
      </c>
      <c r="C88">
        <v>32</v>
      </c>
      <c r="E88">
        <v>32</v>
      </c>
      <c r="H88">
        <f t="shared" si="2"/>
        <v>0</v>
      </c>
    </row>
    <row r="89" spans="1:5">
      <c r="A89" t="s">
        <v>91</v>
      </c>
      <c r="C89">
        <v>371</v>
      </c>
      <c r="D89">
        <v>147</v>
      </c>
      <c r="E89">
        <v>518</v>
      </c>
    </row>
    <row r="90" spans="2:8">
      <c r="B90" t="s">
        <v>92</v>
      </c>
      <c r="C90">
        <v>206</v>
      </c>
      <c r="D90">
        <v>70</v>
      </c>
      <c r="E90">
        <v>276</v>
      </c>
      <c r="H90">
        <f t="shared" si="2"/>
        <v>0</v>
      </c>
    </row>
    <row r="91" spans="2:8">
      <c r="B91" t="s">
        <v>93</v>
      </c>
      <c r="C91">
        <v>90</v>
      </c>
      <c r="D91">
        <v>65</v>
      </c>
      <c r="E91">
        <v>155</v>
      </c>
      <c r="H91">
        <f t="shared" si="2"/>
        <v>0</v>
      </c>
    </row>
    <row r="92" spans="2:8">
      <c r="B92" t="s">
        <v>94</v>
      </c>
      <c r="C92">
        <v>75</v>
      </c>
      <c r="D92">
        <v>12</v>
      </c>
      <c r="E92">
        <v>87</v>
      </c>
      <c r="H92">
        <f t="shared" si="2"/>
        <v>0</v>
      </c>
    </row>
    <row r="93" spans="1:5">
      <c r="A93" t="s">
        <v>95</v>
      </c>
      <c r="C93">
        <v>282</v>
      </c>
      <c r="D93">
        <v>136</v>
      </c>
      <c r="E93">
        <v>418</v>
      </c>
    </row>
    <row r="94" spans="2:8">
      <c r="B94" t="s">
        <v>96</v>
      </c>
      <c r="C94">
        <v>98</v>
      </c>
      <c r="D94">
        <v>116</v>
      </c>
      <c r="E94">
        <v>214</v>
      </c>
      <c r="H94">
        <f t="shared" si="2"/>
        <v>0</v>
      </c>
    </row>
    <row r="95" spans="2:8">
      <c r="B95" t="s">
        <v>97</v>
      </c>
      <c r="C95">
        <v>16</v>
      </c>
      <c r="E95">
        <v>16</v>
      </c>
      <c r="H95">
        <f t="shared" si="2"/>
        <v>0</v>
      </c>
    </row>
    <row r="96" spans="2:8">
      <c r="B96" t="s">
        <v>98</v>
      </c>
      <c r="C96">
        <v>55</v>
      </c>
      <c r="E96">
        <v>55</v>
      </c>
      <c r="H96">
        <f t="shared" si="2"/>
        <v>0</v>
      </c>
    </row>
    <row r="97" spans="2:8">
      <c r="B97" t="s">
        <v>99</v>
      </c>
      <c r="C97">
        <v>35</v>
      </c>
      <c r="D97">
        <v>20</v>
      </c>
      <c r="E97">
        <v>55</v>
      </c>
      <c r="H97">
        <f t="shared" si="2"/>
        <v>0</v>
      </c>
    </row>
    <row r="98" spans="2:8">
      <c r="B98" t="s">
        <v>100</v>
      </c>
      <c r="C98">
        <v>19</v>
      </c>
      <c r="E98">
        <v>19</v>
      </c>
      <c r="H98">
        <f t="shared" si="2"/>
        <v>0</v>
      </c>
    </row>
    <row r="99" spans="2:8">
      <c r="B99" t="s">
        <v>101</v>
      </c>
      <c r="C99">
        <v>51</v>
      </c>
      <c r="E99">
        <v>51</v>
      </c>
      <c r="H99">
        <f t="shared" si="2"/>
        <v>0</v>
      </c>
    </row>
    <row r="100" spans="2:8">
      <c r="B100" t="s">
        <v>102</v>
      </c>
      <c r="C100">
        <v>8</v>
      </c>
      <c r="E100">
        <v>8</v>
      </c>
      <c r="H100">
        <f t="shared" si="2"/>
        <v>0</v>
      </c>
    </row>
    <row r="101" spans="1:5">
      <c r="A101" t="s">
        <v>103</v>
      </c>
      <c r="C101">
        <v>1065</v>
      </c>
      <c r="D101">
        <v>268</v>
      </c>
      <c r="E101">
        <v>1333</v>
      </c>
    </row>
    <row r="102" spans="2:8">
      <c r="B102" t="s">
        <v>104</v>
      </c>
      <c r="C102">
        <v>20</v>
      </c>
      <c r="E102">
        <v>20</v>
      </c>
      <c r="H102">
        <f t="shared" si="2"/>
        <v>0</v>
      </c>
    </row>
    <row r="103" spans="2:8">
      <c r="B103" t="s">
        <v>105</v>
      </c>
      <c r="C103">
        <v>190</v>
      </c>
      <c r="D103">
        <v>136</v>
      </c>
      <c r="E103">
        <v>326</v>
      </c>
      <c r="H103">
        <f t="shared" si="2"/>
        <v>0</v>
      </c>
    </row>
    <row r="104" spans="2:8">
      <c r="B104" t="s">
        <v>106</v>
      </c>
      <c r="C104">
        <v>185</v>
      </c>
      <c r="D104">
        <v>20</v>
      </c>
      <c r="E104">
        <v>205</v>
      </c>
      <c r="H104">
        <f t="shared" si="2"/>
        <v>0</v>
      </c>
    </row>
    <row r="105" spans="2:8">
      <c r="B105" t="s">
        <v>107</v>
      </c>
      <c r="C105">
        <v>290</v>
      </c>
      <c r="D105">
        <v>92</v>
      </c>
      <c r="E105">
        <v>382</v>
      </c>
      <c r="H105">
        <f t="shared" si="2"/>
        <v>0</v>
      </c>
    </row>
    <row r="106" spans="2:8">
      <c r="B106" t="s">
        <v>108</v>
      </c>
      <c r="C106">
        <v>10</v>
      </c>
      <c r="D106">
        <v>20</v>
      </c>
      <c r="E106">
        <v>30</v>
      </c>
      <c r="H106">
        <f t="shared" si="2"/>
        <v>0</v>
      </c>
    </row>
    <row r="107" spans="2:8">
      <c r="B107" t="s">
        <v>109</v>
      </c>
      <c r="C107">
        <v>310</v>
      </c>
      <c r="E107">
        <v>310</v>
      </c>
      <c r="H107">
        <f t="shared" si="2"/>
        <v>0</v>
      </c>
    </row>
    <row r="108" spans="2:8">
      <c r="B108" t="s">
        <v>110</v>
      </c>
      <c r="C108">
        <v>60</v>
      </c>
      <c r="E108">
        <v>60</v>
      </c>
      <c r="H108">
        <f t="shared" si="2"/>
        <v>0</v>
      </c>
    </row>
    <row r="109" spans="1:5">
      <c r="A109" t="s">
        <v>111</v>
      </c>
      <c r="C109">
        <v>71</v>
      </c>
      <c r="D109">
        <v>124</v>
      </c>
      <c r="E109">
        <v>195</v>
      </c>
    </row>
    <row r="110" spans="2:8">
      <c r="B110" t="s">
        <v>112</v>
      </c>
      <c r="C110">
        <v>33</v>
      </c>
      <c r="E110">
        <v>33</v>
      </c>
      <c r="H110">
        <f>G110-F110</f>
        <v>0</v>
      </c>
    </row>
    <row r="111" spans="2:8">
      <c r="B111" t="s">
        <v>113</v>
      </c>
      <c r="C111">
        <v>38</v>
      </c>
      <c r="D111">
        <v>20</v>
      </c>
      <c r="E111">
        <v>58</v>
      </c>
      <c r="H111">
        <f>G111-F111</f>
        <v>0</v>
      </c>
    </row>
    <row r="112" spans="2:8">
      <c r="B112" t="s">
        <v>114</v>
      </c>
      <c r="D112">
        <v>104</v>
      </c>
      <c r="E112">
        <v>104</v>
      </c>
      <c r="H112">
        <f>G112-F112</f>
        <v>0</v>
      </c>
    </row>
    <row r="113" spans="1:8">
      <c r="A113" t="s">
        <v>6</v>
      </c>
      <c r="C113">
        <v>6193</v>
      </c>
      <c r="D113">
        <v>2456</v>
      </c>
      <c r="E113">
        <v>8649</v>
      </c>
      <c r="H113">
        <f>G113-F113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02"/>
  <sheetViews>
    <sheetView zoomScaleSheetLayoutView="60" topLeftCell="D1" workbookViewId="0">
      <selection activeCell="D8" sqref="$A8:$XFD8"/>
    </sheetView>
  </sheetViews>
  <sheetFormatPr defaultColWidth="10" defaultRowHeight="14.4"/>
  <cols>
    <col min="4" max="4" width="21.1111111111111" customWidth="1"/>
    <col min="8" max="11" width="10" customWidth="1"/>
    <col min="12" max="12" width="10.6666666666667" customWidth="1"/>
    <col min="13" max="13" width="10.1111111111111" customWidth="1"/>
    <col min="14" max="14" width="10.1111111111111"/>
    <col min="16" max="16" width="25.2222222222222" customWidth="1"/>
  </cols>
  <sheetData>
    <row r="1" spans="1:16">
      <c r="A1" t="s">
        <v>115</v>
      </c>
      <c r="N1" t="s">
        <v>116</v>
      </c>
      <c r="P1">
        <v>10003</v>
      </c>
    </row>
    <row r="2" spans="1:16">
      <c r="A2" t="s">
        <v>117</v>
      </c>
      <c r="N2" t="s">
        <v>118</v>
      </c>
      <c r="P2">
        <v>4486</v>
      </c>
    </row>
    <row r="3" spans="1:16">
      <c r="A3" t="s">
        <v>119</v>
      </c>
      <c r="N3" t="s">
        <v>116</v>
      </c>
      <c r="P3">
        <v>10982</v>
      </c>
    </row>
    <row r="4" spans="1:16">
      <c r="A4" t="s">
        <v>120</v>
      </c>
      <c r="N4" t="s">
        <v>118</v>
      </c>
      <c r="P4">
        <v>4486</v>
      </c>
    </row>
    <row r="5" spans="1:16">
      <c r="A5" t="s">
        <v>121</v>
      </c>
      <c r="N5" t="s">
        <v>122</v>
      </c>
      <c r="P5">
        <v>6213</v>
      </c>
    </row>
    <row r="8" spans="1:29">
      <c r="A8" t="s">
        <v>123</v>
      </c>
      <c r="B8" t="s">
        <v>124</v>
      </c>
      <c r="C8" t="s">
        <v>125</v>
      </c>
      <c r="D8" t="s">
        <v>3</v>
      </c>
      <c r="E8" t="s">
        <v>126</v>
      </c>
      <c r="F8" t="s">
        <v>2</v>
      </c>
      <c r="G8" t="s">
        <v>127</v>
      </c>
      <c r="H8" t="s">
        <v>128</v>
      </c>
      <c r="I8" t="s">
        <v>1</v>
      </c>
      <c r="J8" t="s">
        <v>129</v>
      </c>
      <c r="K8" t="s">
        <v>130</v>
      </c>
      <c r="L8" t="s">
        <v>131</v>
      </c>
      <c r="M8" t="s">
        <v>132</v>
      </c>
      <c r="N8" t="s">
        <v>133</v>
      </c>
      <c r="O8" t="s">
        <v>134</v>
      </c>
      <c r="P8" t="s">
        <v>135</v>
      </c>
      <c r="Q8" t="s">
        <v>136</v>
      </c>
      <c r="R8" t="s">
        <v>137</v>
      </c>
      <c r="S8" t="s">
        <v>138</v>
      </c>
      <c r="T8" t="s">
        <v>139</v>
      </c>
      <c r="U8" t="s">
        <v>140</v>
      </c>
      <c r="V8" t="s">
        <v>141</v>
      </c>
      <c r="W8" t="s">
        <v>142</v>
      </c>
      <c r="X8" t="s">
        <v>143</v>
      </c>
      <c r="Y8" t="s">
        <v>144</v>
      </c>
      <c r="Z8" t="s">
        <v>145</v>
      </c>
      <c r="AA8" t="s">
        <v>146</v>
      </c>
      <c r="AB8" t="s">
        <v>147</v>
      </c>
      <c r="AC8" t="s">
        <v>148</v>
      </c>
    </row>
    <row r="9" spans="1:29">
      <c r="A9">
        <v>1</v>
      </c>
      <c r="B9" t="s">
        <v>149</v>
      </c>
      <c r="C9">
        <v>1088</v>
      </c>
      <c r="D9" t="s">
        <v>112</v>
      </c>
      <c r="E9" t="str">
        <f t="shared" ref="E9:E70" si="0">TEXT(C9,"00000")</f>
        <v>01088</v>
      </c>
      <c r="F9" t="s">
        <v>111</v>
      </c>
      <c r="G9" t="s">
        <v>150</v>
      </c>
      <c r="H9" t="s">
        <v>151</v>
      </c>
      <c r="I9" t="s">
        <v>4</v>
      </c>
      <c r="J9" t="s">
        <v>152</v>
      </c>
      <c r="K9" t="s">
        <v>153</v>
      </c>
      <c r="L9">
        <v>251200001</v>
      </c>
      <c r="M9" s="84">
        <v>45993</v>
      </c>
      <c r="N9" s="84">
        <v>45993</v>
      </c>
      <c r="O9" t="s">
        <v>154</v>
      </c>
      <c r="P9" t="s">
        <v>155</v>
      </c>
      <c r="Q9">
        <v>14250</v>
      </c>
      <c r="R9">
        <v>10</v>
      </c>
      <c r="S9">
        <v>142500</v>
      </c>
      <c r="T9">
        <v>0</v>
      </c>
      <c r="U9">
        <v>0</v>
      </c>
      <c r="V9">
        <v>10</v>
      </c>
      <c r="W9">
        <v>142500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>
        <v>2</v>
      </c>
      <c r="B10" t="s">
        <v>149</v>
      </c>
      <c r="C10">
        <v>537</v>
      </c>
      <c r="D10" t="s">
        <v>89</v>
      </c>
      <c r="E10" t="str">
        <f t="shared" si="0"/>
        <v>00537</v>
      </c>
      <c r="F10" t="s">
        <v>86</v>
      </c>
      <c r="G10" t="s">
        <v>156</v>
      </c>
      <c r="H10" t="s">
        <v>157</v>
      </c>
      <c r="I10" t="s">
        <v>4</v>
      </c>
      <c r="J10" t="s">
        <v>158</v>
      </c>
      <c r="K10" t="s">
        <v>159</v>
      </c>
      <c r="L10">
        <v>251200001</v>
      </c>
      <c r="M10" s="84">
        <v>45993</v>
      </c>
      <c r="N10" s="84">
        <v>45993</v>
      </c>
      <c r="O10" t="s">
        <v>160</v>
      </c>
      <c r="P10" t="s">
        <v>161</v>
      </c>
      <c r="Q10">
        <v>14250</v>
      </c>
      <c r="R10">
        <v>30</v>
      </c>
      <c r="S10">
        <v>427500</v>
      </c>
      <c r="T10">
        <v>0</v>
      </c>
      <c r="U10">
        <v>0</v>
      </c>
      <c r="V10">
        <v>30</v>
      </c>
      <c r="W10">
        <v>427500</v>
      </c>
      <c r="X10">
        <v>4500</v>
      </c>
      <c r="Y10">
        <v>6000</v>
      </c>
      <c r="Z10">
        <v>0</v>
      </c>
      <c r="AA10">
        <v>0</v>
      </c>
      <c r="AB10">
        <v>0</v>
      </c>
      <c r="AC10">
        <v>10500</v>
      </c>
    </row>
    <row r="11" spans="1:29">
      <c r="A11">
        <v>3</v>
      </c>
      <c r="B11" t="s">
        <v>149</v>
      </c>
      <c r="C11">
        <v>1088</v>
      </c>
      <c r="D11" t="s">
        <v>112</v>
      </c>
      <c r="E11" t="str">
        <f t="shared" si="0"/>
        <v>01088</v>
      </c>
      <c r="F11" t="s">
        <v>111</v>
      </c>
      <c r="G11" t="s">
        <v>150</v>
      </c>
      <c r="H11" t="s">
        <v>151</v>
      </c>
      <c r="I11" t="s">
        <v>4</v>
      </c>
      <c r="J11" t="s">
        <v>152</v>
      </c>
      <c r="K11" t="s">
        <v>153</v>
      </c>
      <c r="L11">
        <v>251200001</v>
      </c>
      <c r="M11" s="84">
        <v>45993</v>
      </c>
      <c r="N11" s="84">
        <v>45993</v>
      </c>
      <c r="O11" t="s">
        <v>160</v>
      </c>
      <c r="P11" t="s">
        <v>161</v>
      </c>
      <c r="Q11">
        <v>14250</v>
      </c>
      <c r="R11">
        <v>10</v>
      </c>
      <c r="S11">
        <v>142500</v>
      </c>
      <c r="T11">
        <v>0</v>
      </c>
      <c r="U11">
        <v>0</v>
      </c>
      <c r="V11">
        <v>10</v>
      </c>
      <c r="W11">
        <v>142500</v>
      </c>
      <c r="X11">
        <v>1500</v>
      </c>
      <c r="Y11">
        <v>2000</v>
      </c>
      <c r="Z11">
        <v>0</v>
      </c>
      <c r="AA11">
        <v>0</v>
      </c>
      <c r="AB11">
        <v>0</v>
      </c>
      <c r="AC11">
        <v>3500</v>
      </c>
    </row>
    <row r="12" spans="1:29">
      <c r="A12">
        <v>4</v>
      </c>
      <c r="B12" t="s">
        <v>149</v>
      </c>
      <c r="C12">
        <v>1088</v>
      </c>
      <c r="D12" t="s">
        <v>112</v>
      </c>
      <c r="E12" t="str">
        <f t="shared" si="0"/>
        <v>01088</v>
      </c>
      <c r="F12" t="s">
        <v>111</v>
      </c>
      <c r="G12" t="s">
        <v>150</v>
      </c>
      <c r="H12" t="s">
        <v>151</v>
      </c>
      <c r="I12" t="s">
        <v>4</v>
      </c>
      <c r="J12" t="s">
        <v>152</v>
      </c>
      <c r="K12" t="s">
        <v>153</v>
      </c>
      <c r="L12">
        <v>251200001</v>
      </c>
      <c r="M12" s="84">
        <v>45993</v>
      </c>
      <c r="N12" s="84">
        <v>45993</v>
      </c>
      <c r="O12" t="s">
        <v>162</v>
      </c>
      <c r="P12" t="s">
        <v>163</v>
      </c>
      <c r="Q12">
        <v>14250</v>
      </c>
      <c r="R12">
        <v>13</v>
      </c>
      <c r="S12">
        <v>185250</v>
      </c>
      <c r="T12">
        <v>0</v>
      </c>
      <c r="U12">
        <v>0</v>
      </c>
      <c r="V12">
        <v>13</v>
      </c>
      <c r="W12">
        <v>185250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>
        <v>5</v>
      </c>
      <c r="B13" t="s">
        <v>149</v>
      </c>
      <c r="C13">
        <v>1147</v>
      </c>
      <c r="D13" t="s">
        <v>30</v>
      </c>
      <c r="E13" t="str">
        <f t="shared" si="0"/>
        <v>01147</v>
      </c>
      <c r="F13" t="s">
        <v>28</v>
      </c>
      <c r="G13" t="s">
        <v>164</v>
      </c>
      <c r="H13" t="s">
        <v>151</v>
      </c>
      <c r="I13" t="s">
        <v>4</v>
      </c>
      <c r="J13" t="s">
        <v>158</v>
      </c>
      <c r="K13" t="s">
        <v>153</v>
      </c>
      <c r="L13">
        <v>251200002</v>
      </c>
      <c r="M13" s="84">
        <v>45993</v>
      </c>
      <c r="N13" s="84">
        <v>45993</v>
      </c>
      <c r="O13" t="s">
        <v>160</v>
      </c>
      <c r="P13" t="s">
        <v>161</v>
      </c>
      <c r="Q13">
        <v>14250</v>
      </c>
      <c r="R13">
        <v>20</v>
      </c>
      <c r="S13">
        <v>285000</v>
      </c>
      <c r="T13">
        <v>0</v>
      </c>
      <c r="U13">
        <v>0</v>
      </c>
      <c r="V13">
        <v>20</v>
      </c>
      <c r="W13">
        <v>285000</v>
      </c>
      <c r="X13">
        <v>3000</v>
      </c>
      <c r="Y13">
        <v>4000</v>
      </c>
      <c r="Z13">
        <v>0</v>
      </c>
      <c r="AA13">
        <v>0</v>
      </c>
      <c r="AB13">
        <v>0</v>
      </c>
      <c r="AC13">
        <v>7000</v>
      </c>
    </row>
    <row r="14" spans="1:29">
      <c r="A14">
        <v>7</v>
      </c>
      <c r="B14" t="s">
        <v>149</v>
      </c>
      <c r="C14">
        <v>1</v>
      </c>
      <c r="D14" t="s">
        <v>114</v>
      </c>
      <c r="E14" t="str">
        <f t="shared" si="0"/>
        <v>00001</v>
      </c>
      <c r="F14" t="s">
        <v>111</v>
      </c>
      <c r="G14" t="s">
        <v>150</v>
      </c>
      <c r="H14" t="s">
        <v>151</v>
      </c>
      <c r="I14" t="s">
        <v>5</v>
      </c>
      <c r="J14" t="s">
        <v>152</v>
      </c>
      <c r="K14" t="s">
        <v>153</v>
      </c>
      <c r="L14">
        <v>251200003</v>
      </c>
      <c r="M14" s="84">
        <v>45993</v>
      </c>
      <c r="N14" s="84">
        <v>45993</v>
      </c>
      <c r="O14" t="s">
        <v>165</v>
      </c>
      <c r="P14" t="s">
        <v>166</v>
      </c>
      <c r="Q14">
        <v>8500</v>
      </c>
      <c r="R14">
        <v>84</v>
      </c>
      <c r="S14">
        <v>714000</v>
      </c>
      <c r="T14">
        <v>0</v>
      </c>
      <c r="U14">
        <v>0</v>
      </c>
      <c r="V14">
        <v>84</v>
      </c>
      <c r="W14">
        <v>714000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>
        <v>8</v>
      </c>
      <c r="B15" t="s">
        <v>149</v>
      </c>
      <c r="C15">
        <v>160</v>
      </c>
      <c r="D15" t="s">
        <v>64</v>
      </c>
      <c r="E15" t="str">
        <f t="shared" si="0"/>
        <v>00160</v>
      </c>
      <c r="F15" t="s">
        <v>49</v>
      </c>
      <c r="G15" t="s">
        <v>167</v>
      </c>
      <c r="H15" t="s">
        <v>151</v>
      </c>
      <c r="I15" t="s">
        <v>4</v>
      </c>
      <c r="J15" t="s">
        <v>158</v>
      </c>
      <c r="K15" t="s">
        <v>153</v>
      </c>
      <c r="L15">
        <v>251200003</v>
      </c>
      <c r="M15" s="84">
        <v>45994</v>
      </c>
      <c r="N15" s="84">
        <v>45994</v>
      </c>
      <c r="O15" t="s">
        <v>168</v>
      </c>
      <c r="P15" t="s">
        <v>169</v>
      </c>
      <c r="Q15">
        <v>14250</v>
      </c>
      <c r="R15">
        <v>10</v>
      </c>
      <c r="S15">
        <v>142500</v>
      </c>
      <c r="T15">
        <v>0</v>
      </c>
      <c r="U15">
        <v>0</v>
      </c>
      <c r="V15">
        <v>10</v>
      </c>
      <c r="W15">
        <v>142500</v>
      </c>
      <c r="X15">
        <v>1500</v>
      </c>
      <c r="Y15">
        <v>2000</v>
      </c>
      <c r="Z15">
        <v>0</v>
      </c>
      <c r="AA15">
        <v>0</v>
      </c>
      <c r="AB15">
        <v>0</v>
      </c>
      <c r="AC15">
        <v>3500</v>
      </c>
    </row>
    <row r="16" spans="1:29">
      <c r="A16">
        <v>10</v>
      </c>
      <c r="B16" t="s">
        <v>149</v>
      </c>
      <c r="C16">
        <v>749</v>
      </c>
      <c r="D16" t="s">
        <v>170</v>
      </c>
      <c r="E16" t="str">
        <f t="shared" si="0"/>
        <v>00749</v>
      </c>
      <c r="F16" t="s">
        <v>171</v>
      </c>
      <c r="G16" t="s">
        <v>172</v>
      </c>
      <c r="H16" t="s">
        <v>157</v>
      </c>
      <c r="I16" t="s">
        <v>173</v>
      </c>
      <c r="J16" t="s">
        <v>158</v>
      </c>
      <c r="K16" t="s">
        <v>174</v>
      </c>
      <c r="L16">
        <v>251200004</v>
      </c>
      <c r="M16" s="84">
        <v>45994</v>
      </c>
      <c r="N16" s="84">
        <v>45994</v>
      </c>
      <c r="O16" t="s">
        <v>175</v>
      </c>
      <c r="P16" t="s">
        <v>176</v>
      </c>
      <c r="Q16">
        <v>4452</v>
      </c>
      <c r="R16">
        <v>2</v>
      </c>
      <c r="S16">
        <v>8904</v>
      </c>
      <c r="T16">
        <v>0</v>
      </c>
      <c r="U16">
        <v>0</v>
      </c>
      <c r="V16">
        <v>2</v>
      </c>
      <c r="W16">
        <v>8904</v>
      </c>
      <c r="X16">
        <v>0</v>
      </c>
      <c r="Y16">
        <v>178</v>
      </c>
      <c r="Z16">
        <v>446</v>
      </c>
      <c r="AA16">
        <v>0</v>
      </c>
      <c r="AB16">
        <v>200</v>
      </c>
      <c r="AC16">
        <v>824</v>
      </c>
    </row>
    <row r="17" spans="1:29">
      <c r="A17">
        <v>15</v>
      </c>
      <c r="B17" t="s">
        <v>149</v>
      </c>
      <c r="C17">
        <v>1152</v>
      </c>
      <c r="D17" t="s">
        <v>58</v>
      </c>
      <c r="E17" t="str">
        <f t="shared" si="0"/>
        <v>01152</v>
      </c>
      <c r="F17" t="s">
        <v>49</v>
      </c>
      <c r="G17" t="s">
        <v>167</v>
      </c>
      <c r="H17" t="s">
        <v>151</v>
      </c>
      <c r="I17" t="s">
        <v>4</v>
      </c>
      <c r="J17" t="s">
        <v>158</v>
      </c>
      <c r="K17" t="s">
        <v>153</v>
      </c>
      <c r="L17">
        <v>251200005</v>
      </c>
      <c r="M17" s="84">
        <v>45994</v>
      </c>
      <c r="N17" s="84">
        <v>45994</v>
      </c>
      <c r="O17" t="s">
        <v>177</v>
      </c>
      <c r="P17" t="s">
        <v>178</v>
      </c>
      <c r="Q17">
        <v>14250</v>
      </c>
      <c r="R17">
        <v>5</v>
      </c>
      <c r="S17">
        <v>71250</v>
      </c>
      <c r="T17">
        <v>0</v>
      </c>
      <c r="U17">
        <v>0</v>
      </c>
      <c r="V17">
        <v>5</v>
      </c>
      <c r="W17">
        <v>71250</v>
      </c>
      <c r="X17">
        <v>750</v>
      </c>
      <c r="Y17">
        <v>1000</v>
      </c>
      <c r="Z17">
        <v>0</v>
      </c>
      <c r="AA17">
        <v>0</v>
      </c>
      <c r="AB17">
        <v>0</v>
      </c>
      <c r="AC17">
        <v>1750</v>
      </c>
    </row>
    <row r="18" spans="1:29">
      <c r="A18">
        <v>16</v>
      </c>
      <c r="B18" t="s">
        <v>149</v>
      </c>
      <c r="C18">
        <v>1152</v>
      </c>
      <c r="D18" t="s">
        <v>58</v>
      </c>
      <c r="E18" t="str">
        <f t="shared" si="0"/>
        <v>01152</v>
      </c>
      <c r="F18" t="s">
        <v>49</v>
      </c>
      <c r="G18" t="s">
        <v>167</v>
      </c>
      <c r="H18" t="s">
        <v>151</v>
      </c>
      <c r="I18" t="s">
        <v>4</v>
      </c>
      <c r="J18" t="s">
        <v>158</v>
      </c>
      <c r="K18" t="s">
        <v>153</v>
      </c>
      <c r="L18">
        <v>251200005</v>
      </c>
      <c r="M18" s="84">
        <v>45994</v>
      </c>
      <c r="N18" s="84">
        <v>45994</v>
      </c>
      <c r="O18" t="s">
        <v>160</v>
      </c>
      <c r="P18" t="s">
        <v>161</v>
      </c>
      <c r="Q18">
        <v>14250</v>
      </c>
      <c r="R18">
        <v>20</v>
      </c>
      <c r="S18">
        <v>285000</v>
      </c>
      <c r="T18">
        <v>0</v>
      </c>
      <c r="U18">
        <v>0</v>
      </c>
      <c r="V18">
        <v>20</v>
      </c>
      <c r="W18">
        <v>285000</v>
      </c>
      <c r="X18">
        <v>3000</v>
      </c>
      <c r="Y18">
        <v>4000</v>
      </c>
      <c r="Z18">
        <v>0</v>
      </c>
      <c r="AA18">
        <v>0</v>
      </c>
      <c r="AB18">
        <v>0</v>
      </c>
      <c r="AC18">
        <v>7000</v>
      </c>
    </row>
    <row r="19" spans="1:29">
      <c r="A19">
        <v>18</v>
      </c>
      <c r="B19" t="s">
        <v>149</v>
      </c>
      <c r="C19">
        <v>1152</v>
      </c>
      <c r="D19" t="s">
        <v>58</v>
      </c>
      <c r="E19" t="str">
        <f t="shared" si="0"/>
        <v>01152</v>
      </c>
      <c r="F19" t="s">
        <v>49</v>
      </c>
      <c r="G19" t="s">
        <v>167</v>
      </c>
      <c r="H19" t="s">
        <v>151</v>
      </c>
      <c r="I19" t="s">
        <v>4</v>
      </c>
      <c r="J19" t="s">
        <v>158</v>
      </c>
      <c r="K19" t="s">
        <v>153</v>
      </c>
      <c r="L19">
        <v>251200005</v>
      </c>
      <c r="M19" s="84">
        <v>45994</v>
      </c>
      <c r="N19" s="84">
        <v>45994</v>
      </c>
      <c r="O19" t="s">
        <v>179</v>
      </c>
      <c r="P19" t="s">
        <v>180</v>
      </c>
      <c r="Q19">
        <v>14250</v>
      </c>
      <c r="R19">
        <v>5</v>
      </c>
      <c r="S19">
        <v>71250</v>
      </c>
      <c r="T19">
        <v>0</v>
      </c>
      <c r="U19">
        <v>0</v>
      </c>
      <c r="V19">
        <v>5</v>
      </c>
      <c r="W19">
        <v>71250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19</v>
      </c>
      <c r="B20" t="s">
        <v>149</v>
      </c>
      <c r="C20">
        <v>1248</v>
      </c>
      <c r="D20" t="s">
        <v>59</v>
      </c>
      <c r="E20" t="str">
        <f t="shared" si="0"/>
        <v>01248</v>
      </c>
      <c r="F20" t="s">
        <v>49</v>
      </c>
      <c r="G20" t="s">
        <v>167</v>
      </c>
      <c r="H20" t="s">
        <v>151</v>
      </c>
      <c r="I20" t="s">
        <v>4</v>
      </c>
      <c r="J20" t="s">
        <v>158</v>
      </c>
      <c r="K20" t="s">
        <v>153</v>
      </c>
      <c r="L20">
        <v>251200006</v>
      </c>
      <c r="M20" s="84">
        <v>45994</v>
      </c>
      <c r="N20" s="84">
        <v>45994</v>
      </c>
      <c r="O20" t="s">
        <v>160</v>
      </c>
      <c r="P20" t="s">
        <v>161</v>
      </c>
      <c r="Q20">
        <v>14250</v>
      </c>
      <c r="R20">
        <v>20</v>
      </c>
      <c r="S20">
        <v>285000</v>
      </c>
      <c r="T20">
        <v>0</v>
      </c>
      <c r="U20">
        <v>0</v>
      </c>
      <c r="V20">
        <v>20</v>
      </c>
      <c r="W20">
        <v>285000</v>
      </c>
      <c r="X20">
        <v>3000</v>
      </c>
      <c r="Y20">
        <v>4000</v>
      </c>
      <c r="Z20">
        <v>0</v>
      </c>
      <c r="AA20">
        <v>0</v>
      </c>
      <c r="AB20">
        <v>0</v>
      </c>
      <c r="AC20">
        <v>7000</v>
      </c>
    </row>
    <row r="21" spans="1:29">
      <c r="A21">
        <v>27</v>
      </c>
      <c r="B21" t="s">
        <v>149</v>
      </c>
      <c r="C21">
        <v>333</v>
      </c>
      <c r="D21" t="s">
        <v>181</v>
      </c>
      <c r="E21" t="str">
        <f t="shared" si="0"/>
        <v>00333</v>
      </c>
      <c r="F21" t="s">
        <v>43</v>
      </c>
      <c r="G21" t="s">
        <v>150</v>
      </c>
      <c r="H21" t="s">
        <v>151</v>
      </c>
      <c r="I21" t="s">
        <v>182</v>
      </c>
      <c r="J21" t="s">
        <v>158</v>
      </c>
      <c r="K21" t="s">
        <v>153</v>
      </c>
      <c r="L21">
        <v>251200007</v>
      </c>
      <c r="M21" s="84">
        <v>45994</v>
      </c>
      <c r="N21" s="84">
        <v>45994</v>
      </c>
      <c r="O21" t="s">
        <v>183</v>
      </c>
      <c r="P21" t="s">
        <v>184</v>
      </c>
      <c r="Q21">
        <v>72</v>
      </c>
      <c r="R21">
        <v>300</v>
      </c>
      <c r="S21">
        <v>21600</v>
      </c>
      <c r="T21">
        <v>0</v>
      </c>
      <c r="U21">
        <v>0</v>
      </c>
      <c r="V21">
        <v>300</v>
      </c>
      <c r="W21">
        <v>21600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29</v>
      </c>
      <c r="B22" t="s">
        <v>149</v>
      </c>
      <c r="C22">
        <v>165</v>
      </c>
      <c r="D22" t="s">
        <v>75</v>
      </c>
      <c r="E22" t="str">
        <f t="shared" si="0"/>
        <v>00165</v>
      </c>
      <c r="F22" t="s">
        <v>73</v>
      </c>
      <c r="G22" t="s">
        <v>185</v>
      </c>
      <c r="H22" t="s">
        <v>151</v>
      </c>
      <c r="I22" t="s">
        <v>4</v>
      </c>
      <c r="J22" t="s">
        <v>158</v>
      </c>
      <c r="K22" t="s">
        <v>153</v>
      </c>
      <c r="L22">
        <v>251200008</v>
      </c>
      <c r="M22" s="84">
        <v>45995</v>
      </c>
      <c r="N22" s="84">
        <v>45995</v>
      </c>
      <c r="O22" t="s">
        <v>168</v>
      </c>
      <c r="P22" t="s">
        <v>169</v>
      </c>
      <c r="Q22">
        <v>14250</v>
      </c>
      <c r="R22">
        <v>1</v>
      </c>
      <c r="S22">
        <v>14250</v>
      </c>
      <c r="T22">
        <v>0</v>
      </c>
      <c r="U22">
        <v>0</v>
      </c>
      <c r="V22">
        <v>1</v>
      </c>
      <c r="W22">
        <v>14250</v>
      </c>
      <c r="X22">
        <v>150</v>
      </c>
      <c r="Y22">
        <v>200</v>
      </c>
      <c r="Z22">
        <v>0</v>
      </c>
      <c r="AA22">
        <v>0</v>
      </c>
      <c r="AB22">
        <v>0</v>
      </c>
      <c r="AC22">
        <v>350</v>
      </c>
    </row>
    <row r="23" spans="1:29">
      <c r="A23">
        <v>30</v>
      </c>
      <c r="B23" t="s">
        <v>149</v>
      </c>
      <c r="C23">
        <v>165</v>
      </c>
      <c r="D23" t="s">
        <v>75</v>
      </c>
      <c r="E23" t="str">
        <f t="shared" si="0"/>
        <v>00165</v>
      </c>
      <c r="F23" t="s">
        <v>73</v>
      </c>
      <c r="G23" t="s">
        <v>185</v>
      </c>
      <c r="H23" t="s">
        <v>151</v>
      </c>
      <c r="I23" t="s">
        <v>4</v>
      </c>
      <c r="J23" t="s">
        <v>158</v>
      </c>
      <c r="K23" t="s">
        <v>153</v>
      </c>
      <c r="L23">
        <v>251200008</v>
      </c>
      <c r="M23" s="84">
        <v>45995</v>
      </c>
      <c r="N23" s="84">
        <v>45995</v>
      </c>
      <c r="O23" t="s">
        <v>160</v>
      </c>
      <c r="P23" t="s">
        <v>161</v>
      </c>
      <c r="Q23">
        <v>14250</v>
      </c>
      <c r="R23">
        <v>5</v>
      </c>
      <c r="S23">
        <v>71250</v>
      </c>
      <c r="T23">
        <v>0</v>
      </c>
      <c r="U23">
        <v>0</v>
      </c>
      <c r="V23">
        <v>5</v>
      </c>
      <c r="W23">
        <v>71250</v>
      </c>
      <c r="X23">
        <v>750</v>
      </c>
      <c r="Y23">
        <v>1000</v>
      </c>
      <c r="Z23">
        <v>0</v>
      </c>
      <c r="AA23">
        <v>0</v>
      </c>
      <c r="AB23">
        <v>0</v>
      </c>
      <c r="AC23">
        <v>1750</v>
      </c>
    </row>
    <row r="24" spans="1:29">
      <c r="A24">
        <v>31</v>
      </c>
      <c r="B24" t="s">
        <v>149</v>
      </c>
      <c r="C24">
        <v>537</v>
      </c>
      <c r="D24" t="s">
        <v>89</v>
      </c>
      <c r="E24" t="str">
        <f t="shared" si="0"/>
        <v>00537</v>
      </c>
      <c r="F24" t="s">
        <v>86</v>
      </c>
      <c r="G24" t="s">
        <v>156</v>
      </c>
      <c r="H24" t="s">
        <v>157</v>
      </c>
      <c r="I24" t="s">
        <v>4</v>
      </c>
      <c r="J24" t="s">
        <v>158</v>
      </c>
      <c r="K24" t="s">
        <v>159</v>
      </c>
      <c r="L24">
        <v>251200009</v>
      </c>
      <c r="M24" s="84">
        <v>45995</v>
      </c>
      <c r="N24" s="84">
        <v>45995</v>
      </c>
      <c r="O24" t="s">
        <v>160</v>
      </c>
      <c r="P24" t="s">
        <v>161</v>
      </c>
      <c r="Q24">
        <v>14250</v>
      </c>
      <c r="R24">
        <v>20</v>
      </c>
      <c r="S24">
        <v>285000</v>
      </c>
      <c r="T24">
        <v>0</v>
      </c>
      <c r="U24">
        <v>0</v>
      </c>
      <c r="V24">
        <v>20</v>
      </c>
      <c r="W24">
        <v>285000</v>
      </c>
      <c r="X24">
        <v>3000</v>
      </c>
      <c r="Y24">
        <v>4000</v>
      </c>
      <c r="Z24">
        <v>0</v>
      </c>
      <c r="AA24">
        <v>0</v>
      </c>
      <c r="AB24">
        <v>0</v>
      </c>
      <c r="AC24">
        <v>7000</v>
      </c>
    </row>
    <row r="25" spans="1:29">
      <c r="A25">
        <v>32</v>
      </c>
      <c r="B25" t="s">
        <v>149</v>
      </c>
      <c r="C25">
        <v>1284</v>
      </c>
      <c r="D25" t="s">
        <v>186</v>
      </c>
      <c r="E25" t="str">
        <f t="shared" si="0"/>
        <v>01284</v>
      </c>
      <c r="F25" t="s">
        <v>171</v>
      </c>
      <c r="G25" t="s">
        <v>172</v>
      </c>
      <c r="H25" t="s">
        <v>157</v>
      </c>
      <c r="I25" t="s">
        <v>173</v>
      </c>
      <c r="J25" t="s">
        <v>152</v>
      </c>
      <c r="K25" t="s">
        <v>174</v>
      </c>
      <c r="L25">
        <v>251200009</v>
      </c>
      <c r="M25" s="84">
        <v>45993</v>
      </c>
      <c r="N25" s="84">
        <v>45993</v>
      </c>
      <c r="O25" t="s">
        <v>175</v>
      </c>
      <c r="P25" t="s">
        <v>176</v>
      </c>
      <c r="Q25">
        <v>4452</v>
      </c>
      <c r="R25">
        <v>10</v>
      </c>
      <c r="S25">
        <v>44520</v>
      </c>
      <c r="T25">
        <v>0</v>
      </c>
      <c r="U25">
        <v>0</v>
      </c>
      <c r="V25">
        <v>10</v>
      </c>
      <c r="W25">
        <v>44520</v>
      </c>
      <c r="X25">
        <v>0</v>
      </c>
      <c r="Y25">
        <v>890</v>
      </c>
      <c r="Z25">
        <v>2230</v>
      </c>
      <c r="AA25">
        <v>0</v>
      </c>
      <c r="AB25">
        <v>1000</v>
      </c>
      <c r="AC25">
        <v>4120</v>
      </c>
    </row>
    <row r="26" spans="1:29">
      <c r="A26">
        <v>34</v>
      </c>
      <c r="B26" t="s">
        <v>149</v>
      </c>
      <c r="C26">
        <v>1503</v>
      </c>
      <c r="D26" t="s">
        <v>100</v>
      </c>
      <c r="E26" t="str">
        <f t="shared" si="0"/>
        <v>01503</v>
      </c>
      <c r="F26" t="s">
        <v>95</v>
      </c>
      <c r="G26" t="s">
        <v>187</v>
      </c>
      <c r="H26" t="s">
        <v>188</v>
      </c>
      <c r="I26" t="s">
        <v>4</v>
      </c>
      <c r="J26" t="s">
        <v>158</v>
      </c>
      <c r="K26" t="s">
        <v>174</v>
      </c>
      <c r="L26">
        <v>251200010</v>
      </c>
      <c r="M26" s="84">
        <v>45995</v>
      </c>
      <c r="N26" s="84">
        <v>45995</v>
      </c>
      <c r="O26" t="s">
        <v>189</v>
      </c>
      <c r="P26" t="s">
        <v>190</v>
      </c>
      <c r="Q26">
        <v>13200</v>
      </c>
      <c r="R26">
        <v>5</v>
      </c>
      <c r="S26">
        <v>66000</v>
      </c>
      <c r="T26">
        <v>0</v>
      </c>
      <c r="U26">
        <v>0</v>
      </c>
      <c r="V26">
        <v>5</v>
      </c>
      <c r="W26">
        <v>66000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35</v>
      </c>
      <c r="B27" t="s">
        <v>149</v>
      </c>
      <c r="C27">
        <v>1508</v>
      </c>
      <c r="D27" t="s">
        <v>99</v>
      </c>
      <c r="E27" t="str">
        <f t="shared" si="0"/>
        <v>01508</v>
      </c>
      <c r="F27" t="s">
        <v>95</v>
      </c>
      <c r="G27" t="s">
        <v>187</v>
      </c>
      <c r="H27" t="s">
        <v>188</v>
      </c>
      <c r="I27" t="s">
        <v>5</v>
      </c>
      <c r="J27" t="s">
        <v>158</v>
      </c>
      <c r="K27" t="s">
        <v>174</v>
      </c>
      <c r="L27">
        <v>251200011</v>
      </c>
      <c r="M27" s="84">
        <v>45998</v>
      </c>
      <c r="N27" s="84">
        <v>45998</v>
      </c>
      <c r="O27" t="s">
        <v>191</v>
      </c>
      <c r="P27" t="s">
        <v>192</v>
      </c>
      <c r="Q27">
        <v>10900</v>
      </c>
      <c r="R27">
        <v>20</v>
      </c>
      <c r="S27">
        <v>218000</v>
      </c>
      <c r="T27">
        <v>0</v>
      </c>
      <c r="U27">
        <v>0</v>
      </c>
      <c r="V27">
        <v>20</v>
      </c>
      <c r="W27">
        <v>218000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>
        <v>37</v>
      </c>
      <c r="B28" t="s">
        <v>149</v>
      </c>
      <c r="C28">
        <v>1170</v>
      </c>
      <c r="D28" t="s">
        <v>18</v>
      </c>
      <c r="E28" t="str">
        <f t="shared" si="0"/>
        <v>01170</v>
      </c>
      <c r="F28" t="s">
        <v>15</v>
      </c>
      <c r="G28" t="s">
        <v>193</v>
      </c>
      <c r="H28" t="s">
        <v>151</v>
      </c>
      <c r="I28" t="s">
        <v>5</v>
      </c>
      <c r="J28" t="s">
        <v>158</v>
      </c>
      <c r="K28" t="s">
        <v>153</v>
      </c>
      <c r="L28">
        <v>251200012</v>
      </c>
      <c r="M28" s="84">
        <v>45998</v>
      </c>
      <c r="N28" s="84">
        <v>45998</v>
      </c>
      <c r="O28" t="s">
        <v>194</v>
      </c>
      <c r="P28" t="s">
        <v>195</v>
      </c>
      <c r="Q28">
        <v>11700</v>
      </c>
      <c r="R28">
        <v>18</v>
      </c>
      <c r="S28">
        <v>210600</v>
      </c>
      <c r="T28">
        <v>0</v>
      </c>
      <c r="U28">
        <v>0</v>
      </c>
      <c r="V28">
        <v>18</v>
      </c>
      <c r="W28">
        <v>210600</v>
      </c>
      <c r="X28">
        <v>2700</v>
      </c>
      <c r="Y28">
        <v>2700</v>
      </c>
      <c r="Z28">
        <v>0</v>
      </c>
      <c r="AA28">
        <v>0</v>
      </c>
      <c r="AB28">
        <v>0</v>
      </c>
      <c r="AC28">
        <v>5400</v>
      </c>
    </row>
    <row r="29" spans="1:29">
      <c r="A29">
        <v>39</v>
      </c>
      <c r="B29" t="s">
        <v>149</v>
      </c>
      <c r="C29">
        <v>1170</v>
      </c>
      <c r="D29" t="s">
        <v>18</v>
      </c>
      <c r="E29" t="str">
        <f t="shared" si="0"/>
        <v>01170</v>
      </c>
      <c r="F29" t="s">
        <v>15</v>
      </c>
      <c r="G29" t="s">
        <v>193</v>
      </c>
      <c r="H29" t="s">
        <v>151</v>
      </c>
      <c r="I29" t="s">
        <v>5</v>
      </c>
      <c r="J29" t="s">
        <v>158</v>
      </c>
      <c r="K29" t="s">
        <v>153</v>
      </c>
      <c r="L29">
        <v>251200012</v>
      </c>
      <c r="M29" s="84">
        <v>45998</v>
      </c>
      <c r="N29" s="84">
        <v>45998</v>
      </c>
      <c r="O29" t="s">
        <v>196</v>
      </c>
      <c r="P29" t="s">
        <v>197</v>
      </c>
      <c r="Q29">
        <v>11700</v>
      </c>
      <c r="R29">
        <v>12</v>
      </c>
      <c r="S29">
        <v>140400</v>
      </c>
      <c r="T29">
        <v>0</v>
      </c>
      <c r="U29">
        <v>0</v>
      </c>
      <c r="V29">
        <v>12</v>
      </c>
      <c r="W29">
        <v>140400</v>
      </c>
      <c r="X29">
        <v>1800</v>
      </c>
      <c r="Y29">
        <v>1800</v>
      </c>
      <c r="Z29">
        <v>0</v>
      </c>
      <c r="AA29">
        <v>0</v>
      </c>
      <c r="AB29">
        <v>0</v>
      </c>
      <c r="AC29">
        <v>3600</v>
      </c>
    </row>
    <row r="30" spans="1:29">
      <c r="A30">
        <v>40</v>
      </c>
      <c r="B30" t="s">
        <v>149</v>
      </c>
      <c r="C30">
        <v>1170</v>
      </c>
      <c r="D30" t="s">
        <v>18</v>
      </c>
      <c r="E30" t="str">
        <f t="shared" si="0"/>
        <v>01170</v>
      </c>
      <c r="F30" t="s">
        <v>15</v>
      </c>
      <c r="G30" t="s">
        <v>193</v>
      </c>
      <c r="H30" t="s">
        <v>151</v>
      </c>
      <c r="I30" t="s">
        <v>5</v>
      </c>
      <c r="J30" t="s">
        <v>158</v>
      </c>
      <c r="K30" t="s">
        <v>153</v>
      </c>
      <c r="L30">
        <v>251200012</v>
      </c>
      <c r="M30" s="84">
        <v>45998</v>
      </c>
      <c r="N30" s="84">
        <v>45998</v>
      </c>
      <c r="O30" t="s">
        <v>198</v>
      </c>
      <c r="P30" t="s">
        <v>199</v>
      </c>
      <c r="Q30">
        <v>11700</v>
      </c>
      <c r="R30">
        <v>4</v>
      </c>
      <c r="S30">
        <v>46800</v>
      </c>
      <c r="T30">
        <v>0</v>
      </c>
      <c r="U30">
        <v>0</v>
      </c>
      <c r="V30">
        <v>4</v>
      </c>
      <c r="W30">
        <v>46800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>
        <v>42</v>
      </c>
      <c r="B31" t="s">
        <v>149</v>
      </c>
      <c r="C31">
        <v>1170</v>
      </c>
      <c r="D31" t="s">
        <v>18</v>
      </c>
      <c r="E31" t="str">
        <f t="shared" si="0"/>
        <v>01170</v>
      </c>
      <c r="F31" t="s">
        <v>15</v>
      </c>
      <c r="G31" t="s">
        <v>193</v>
      </c>
      <c r="H31" t="s">
        <v>151</v>
      </c>
      <c r="I31" t="s">
        <v>5</v>
      </c>
      <c r="J31" t="s">
        <v>158</v>
      </c>
      <c r="K31" t="s">
        <v>153</v>
      </c>
      <c r="L31">
        <v>251200013</v>
      </c>
      <c r="M31" s="84">
        <v>45998</v>
      </c>
      <c r="N31" s="84">
        <v>45998</v>
      </c>
      <c r="O31" t="s">
        <v>194</v>
      </c>
      <c r="P31" t="s">
        <v>195</v>
      </c>
      <c r="Q31">
        <v>11700</v>
      </c>
      <c r="R31">
        <v>2</v>
      </c>
      <c r="S31">
        <v>23400</v>
      </c>
      <c r="T31">
        <v>0</v>
      </c>
      <c r="U31">
        <v>0</v>
      </c>
      <c r="V31">
        <v>2</v>
      </c>
      <c r="W31">
        <v>23400</v>
      </c>
      <c r="X31">
        <v>300</v>
      </c>
      <c r="Y31">
        <v>300</v>
      </c>
      <c r="Z31">
        <v>0</v>
      </c>
      <c r="AA31">
        <v>0</v>
      </c>
      <c r="AB31">
        <v>0</v>
      </c>
      <c r="AC31">
        <v>600</v>
      </c>
    </row>
    <row r="32" spans="1:29">
      <c r="A32">
        <v>43</v>
      </c>
      <c r="B32" t="s">
        <v>149</v>
      </c>
      <c r="C32">
        <v>1508</v>
      </c>
      <c r="D32" t="s">
        <v>99</v>
      </c>
      <c r="E32" t="str">
        <f t="shared" si="0"/>
        <v>01508</v>
      </c>
      <c r="F32" t="s">
        <v>95</v>
      </c>
      <c r="G32" t="s">
        <v>187</v>
      </c>
      <c r="H32" t="s">
        <v>188</v>
      </c>
      <c r="I32" t="s">
        <v>4</v>
      </c>
      <c r="J32" t="s">
        <v>158</v>
      </c>
      <c r="K32" t="s">
        <v>174</v>
      </c>
      <c r="L32">
        <v>251200014</v>
      </c>
      <c r="M32" s="84">
        <v>45998</v>
      </c>
      <c r="N32" s="84">
        <v>45998</v>
      </c>
      <c r="O32" t="s">
        <v>160</v>
      </c>
      <c r="P32" t="s">
        <v>161</v>
      </c>
      <c r="Q32">
        <v>13400</v>
      </c>
      <c r="R32">
        <v>20</v>
      </c>
      <c r="S32">
        <v>268000</v>
      </c>
      <c r="T32">
        <v>0</v>
      </c>
      <c r="U32">
        <v>0</v>
      </c>
      <c r="V32">
        <v>20</v>
      </c>
      <c r="W32">
        <v>268000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>
        <v>45</v>
      </c>
      <c r="B33" t="s">
        <v>149</v>
      </c>
      <c r="C33">
        <v>1508</v>
      </c>
      <c r="D33" t="s">
        <v>99</v>
      </c>
      <c r="E33" t="str">
        <f t="shared" si="0"/>
        <v>01508</v>
      </c>
      <c r="F33" t="s">
        <v>95</v>
      </c>
      <c r="G33" t="s">
        <v>187</v>
      </c>
      <c r="H33" t="s">
        <v>188</v>
      </c>
      <c r="I33" t="s">
        <v>4</v>
      </c>
      <c r="J33" t="s">
        <v>158</v>
      </c>
      <c r="K33" t="s">
        <v>174</v>
      </c>
      <c r="L33">
        <v>251200014</v>
      </c>
      <c r="M33" s="84">
        <v>45998</v>
      </c>
      <c r="N33" s="84">
        <v>45998</v>
      </c>
      <c r="O33" t="s">
        <v>200</v>
      </c>
      <c r="P33" t="s">
        <v>201</v>
      </c>
      <c r="Q33">
        <v>13400</v>
      </c>
      <c r="R33">
        <v>10</v>
      </c>
      <c r="S33">
        <v>134000</v>
      </c>
      <c r="T33">
        <v>0</v>
      </c>
      <c r="U33">
        <v>0</v>
      </c>
      <c r="V33">
        <v>10</v>
      </c>
      <c r="W33">
        <v>134000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>
        <v>48</v>
      </c>
      <c r="B34" t="s">
        <v>149</v>
      </c>
      <c r="C34">
        <v>160</v>
      </c>
      <c r="D34" t="s">
        <v>64</v>
      </c>
      <c r="E34" t="str">
        <f t="shared" si="0"/>
        <v>00160</v>
      </c>
      <c r="F34" t="s">
        <v>49</v>
      </c>
      <c r="G34" t="s">
        <v>167</v>
      </c>
      <c r="H34" t="s">
        <v>151</v>
      </c>
      <c r="I34" t="s">
        <v>4</v>
      </c>
      <c r="J34" t="s">
        <v>158</v>
      </c>
      <c r="K34" t="s">
        <v>153</v>
      </c>
      <c r="L34">
        <v>251200015</v>
      </c>
      <c r="M34" s="84">
        <v>45999</v>
      </c>
      <c r="N34" s="84">
        <v>45999</v>
      </c>
      <c r="O34" t="s">
        <v>168</v>
      </c>
      <c r="P34" t="s">
        <v>169</v>
      </c>
      <c r="Q34">
        <v>14250</v>
      </c>
      <c r="R34">
        <v>9</v>
      </c>
      <c r="S34">
        <v>128250</v>
      </c>
      <c r="T34">
        <v>0</v>
      </c>
      <c r="U34">
        <v>0</v>
      </c>
      <c r="V34">
        <v>9</v>
      </c>
      <c r="W34">
        <v>128250</v>
      </c>
      <c r="X34">
        <v>1350</v>
      </c>
      <c r="Y34">
        <v>1800</v>
      </c>
      <c r="Z34">
        <v>0</v>
      </c>
      <c r="AA34">
        <v>0</v>
      </c>
      <c r="AB34">
        <v>0</v>
      </c>
      <c r="AC34">
        <v>3150</v>
      </c>
    </row>
    <row r="35" spans="1:29">
      <c r="A35">
        <v>49</v>
      </c>
      <c r="B35" t="s">
        <v>149</v>
      </c>
      <c r="C35">
        <v>615</v>
      </c>
      <c r="D35" t="s">
        <v>39</v>
      </c>
      <c r="E35" t="str">
        <f t="shared" si="0"/>
        <v>00615</v>
      </c>
      <c r="F35" t="s">
        <v>38</v>
      </c>
      <c r="G35" t="s">
        <v>202</v>
      </c>
      <c r="H35" t="s">
        <v>157</v>
      </c>
      <c r="I35" t="s">
        <v>4</v>
      </c>
      <c r="J35" t="s">
        <v>158</v>
      </c>
      <c r="K35" t="s">
        <v>203</v>
      </c>
      <c r="L35">
        <v>251200016</v>
      </c>
      <c r="M35" s="84">
        <v>45999</v>
      </c>
      <c r="N35" s="84">
        <v>45999</v>
      </c>
      <c r="O35" t="s">
        <v>204</v>
      </c>
      <c r="P35" t="s">
        <v>205</v>
      </c>
      <c r="Q35">
        <v>14250</v>
      </c>
      <c r="R35">
        <v>10</v>
      </c>
      <c r="S35">
        <v>142500</v>
      </c>
      <c r="T35">
        <v>0</v>
      </c>
      <c r="U35">
        <v>0</v>
      </c>
      <c r="V35">
        <v>10</v>
      </c>
      <c r="W35">
        <v>142500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>
        <v>50</v>
      </c>
      <c r="B36" t="s">
        <v>149</v>
      </c>
      <c r="C36">
        <v>615</v>
      </c>
      <c r="D36" t="s">
        <v>39</v>
      </c>
      <c r="E36" t="str">
        <f t="shared" si="0"/>
        <v>00615</v>
      </c>
      <c r="F36" t="s">
        <v>38</v>
      </c>
      <c r="G36" t="s">
        <v>202</v>
      </c>
      <c r="H36" t="s">
        <v>157</v>
      </c>
      <c r="I36" t="s">
        <v>4</v>
      </c>
      <c r="J36" t="s">
        <v>158</v>
      </c>
      <c r="K36" t="s">
        <v>203</v>
      </c>
      <c r="L36">
        <v>251200016</v>
      </c>
      <c r="M36" s="84">
        <v>45999</v>
      </c>
      <c r="N36" s="84">
        <v>45999</v>
      </c>
      <c r="O36" t="s">
        <v>206</v>
      </c>
      <c r="P36" t="s">
        <v>207</v>
      </c>
      <c r="Q36">
        <v>14250</v>
      </c>
      <c r="R36">
        <v>25</v>
      </c>
      <c r="S36">
        <v>356250</v>
      </c>
      <c r="T36">
        <v>0</v>
      </c>
      <c r="U36">
        <v>0</v>
      </c>
      <c r="V36">
        <v>25</v>
      </c>
      <c r="W36">
        <v>356250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>
        <v>52</v>
      </c>
      <c r="B37" t="s">
        <v>149</v>
      </c>
      <c r="C37">
        <v>1057</v>
      </c>
      <c r="D37" t="s">
        <v>68</v>
      </c>
      <c r="E37" t="str">
        <f t="shared" si="0"/>
        <v>01057</v>
      </c>
      <c r="F37" t="s">
        <v>65</v>
      </c>
      <c r="G37" t="s">
        <v>208</v>
      </c>
      <c r="H37" t="s">
        <v>157</v>
      </c>
      <c r="I37" t="s">
        <v>4</v>
      </c>
      <c r="J37" t="s">
        <v>152</v>
      </c>
      <c r="K37" t="s">
        <v>174</v>
      </c>
      <c r="L37">
        <v>251200017</v>
      </c>
      <c r="M37" s="84">
        <v>45993</v>
      </c>
      <c r="N37" s="84">
        <v>45993</v>
      </c>
      <c r="O37" t="s">
        <v>160</v>
      </c>
      <c r="P37" t="s">
        <v>161</v>
      </c>
      <c r="Q37">
        <v>14250</v>
      </c>
      <c r="R37">
        <v>15</v>
      </c>
      <c r="S37">
        <v>213750</v>
      </c>
      <c r="T37">
        <v>0</v>
      </c>
      <c r="U37">
        <v>0</v>
      </c>
      <c r="V37">
        <v>15</v>
      </c>
      <c r="W37">
        <v>213750</v>
      </c>
      <c r="X37">
        <v>2250</v>
      </c>
      <c r="Y37">
        <v>3000</v>
      </c>
      <c r="Z37">
        <v>0</v>
      </c>
      <c r="AA37">
        <v>0</v>
      </c>
      <c r="AB37">
        <v>0</v>
      </c>
      <c r="AC37">
        <v>5250</v>
      </c>
    </row>
    <row r="38" spans="1:29">
      <c r="A38">
        <v>53</v>
      </c>
      <c r="B38" t="s">
        <v>149</v>
      </c>
      <c r="C38">
        <v>217</v>
      </c>
      <c r="D38" t="s">
        <v>48</v>
      </c>
      <c r="E38" t="str">
        <f t="shared" si="0"/>
        <v>00217</v>
      </c>
      <c r="F38" t="s">
        <v>43</v>
      </c>
      <c r="G38" t="s">
        <v>150</v>
      </c>
      <c r="H38" t="s">
        <v>151</v>
      </c>
      <c r="I38" t="s">
        <v>4</v>
      </c>
      <c r="J38" t="s">
        <v>158</v>
      </c>
      <c r="K38" t="s">
        <v>153</v>
      </c>
      <c r="L38">
        <v>251200017</v>
      </c>
      <c r="M38" s="84">
        <v>46000</v>
      </c>
      <c r="N38" s="84">
        <v>46000</v>
      </c>
      <c r="O38" t="s">
        <v>160</v>
      </c>
      <c r="P38" t="s">
        <v>161</v>
      </c>
      <c r="Q38">
        <v>14250</v>
      </c>
      <c r="R38">
        <v>4</v>
      </c>
      <c r="S38">
        <v>57000</v>
      </c>
      <c r="T38">
        <v>0</v>
      </c>
      <c r="U38">
        <v>0</v>
      </c>
      <c r="V38">
        <v>4</v>
      </c>
      <c r="W38">
        <v>57000</v>
      </c>
      <c r="X38">
        <v>600</v>
      </c>
      <c r="Y38">
        <v>800</v>
      </c>
      <c r="Z38">
        <v>0</v>
      </c>
      <c r="AA38">
        <v>0</v>
      </c>
      <c r="AB38">
        <v>0</v>
      </c>
      <c r="AC38">
        <v>1400</v>
      </c>
    </row>
    <row r="39" spans="1:29">
      <c r="A39">
        <v>54</v>
      </c>
      <c r="B39" t="s">
        <v>149</v>
      </c>
      <c r="C39">
        <v>441</v>
      </c>
      <c r="D39" t="s">
        <v>209</v>
      </c>
      <c r="E39" t="str">
        <f t="shared" si="0"/>
        <v>00441</v>
      </c>
      <c r="F39" t="s">
        <v>15</v>
      </c>
      <c r="G39" t="s">
        <v>193</v>
      </c>
      <c r="H39" t="s">
        <v>151</v>
      </c>
      <c r="I39" t="s">
        <v>210</v>
      </c>
      <c r="J39" t="s">
        <v>158</v>
      </c>
      <c r="K39" t="s">
        <v>153</v>
      </c>
      <c r="L39">
        <v>251200018</v>
      </c>
      <c r="M39" s="84">
        <v>46000</v>
      </c>
      <c r="N39" s="84">
        <v>46000</v>
      </c>
      <c r="O39" t="s">
        <v>211</v>
      </c>
      <c r="P39" t="s">
        <v>212</v>
      </c>
      <c r="Q39">
        <v>19427</v>
      </c>
      <c r="R39">
        <v>3</v>
      </c>
      <c r="S39">
        <v>58281</v>
      </c>
      <c r="T39">
        <v>0</v>
      </c>
      <c r="U39">
        <v>0</v>
      </c>
      <c r="V39">
        <v>3</v>
      </c>
      <c r="W39">
        <v>58281</v>
      </c>
      <c r="X39">
        <v>1167</v>
      </c>
      <c r="Y39">
        <v>1167</v>
      </c>
      <c r="Z39">
        <v>3000</v>
      </c>
      <c r="AA39">
        <v>0</v>
      </c>
      <c r="AB39">
        <v>300</v>
      </c>
      <c r="AC39">
        <v>5634</v>
      </c>
    </row>
    <row r="40" spans="1:29">
      <c r="A40">
        <v>57</v>
      </c>
      <c r="B40" t="s">
        <v>149</v>
      </c>
      <c r="C40">
        <v>441</v>
      </c>
      <c r="D40" t="s">
        <v>209</v>
      </c>
      <c r="E40" t="str">
        <f t="shared" si="0"/>
        <v>00441</v>
      </c>
      <c r="F40" t="s">
        <v>15</v>
      </c>
      <c r="G40" t="s">
        <v>193</v>
      </c>
      <c r="H40" t="s">
        <v>151</v>
      </c>
      <c r="I40" t="s">
        <v>210</v>
      </c>
      <c r="J40" t="s">
        <v>158</v>
      </c>
      <c r="K40" t="s">
        <v>153</v>
      </c>
      <c r="L40">
        <v>251200018</v>
      </c>
      <c r="M40" s="84">
        <v>46000</v>
      </c>
      <c r="N40" s="84">
        <v>46000</v>
      </c>
      <c r="O40" t="s">
        <v>213</v>
      </c>
      <c r="P40" t="s">
        <v>214</v>
      </c>
      <c r="Q40">
        <v>23802</v>
      </c>
      <c r="R40">
        <v>2</v>
      </c>
      <c r="S40">
        <v>47604</v>
      </c>
      <c r="T40">
        <v>0</v>
      </c>
      <c r="U40">
        <v>0</v>
      </c>
      <c r="V40">
        <v>2</v>
      </c>
      <c r="W40">
        <v>47604</v>
      </c>
      <c r="X40">
        <v>952</v>
      </c>
      <c r="Y40">
        <v>952</v>
      </c>
      <c r="Z40">
        <v>2000</v>
      </c>
      <c r="AA40">
        <v>0</v>
      </c>
      <c r="AB40">
        <v>200</v>
      </c>
      <c r="AC40">
        <v>4104</v>
      </c>
    </row>
    <row r="41" spans="1:29">
      <c r="A41">
        <v>59</v>
      </c>
      <c r="B41" t="s">
        <v>149</v>
      </c>
      <c r="C41">
        <v>1249</v>
      </c>
      <c r="D41" t="s">
        <v>74</v>
      </c>
      <c r="E41" t="str">
        <f t="shared" si="0"/>
        <v>01249</v>
      </c>
      <c r="F41" t="s">
        <v>73</v>
      </c>
      <c r="G41" t="s">
        <v>185</v>
      </c>
      <c r="H41" t="s">
        <v>151</v>
      </c>
      <c r="I41" t="s">
        <v>4</v>
      </c>
      <c r="J41" t="s">
        <v>158</v>
      </c>
      <c r="K41" t="s">
        <v>153</v>
      </c>
      <c r="L41">
        <v>251200019</v>
      </c>
      <c r="M41" s="84">
        <v>46000</v>
      </c>
      <c r="N41" s="84">
        <v>46000</v>
      </c>
      <c r="O41" t="s">
        <v>215</v>
      </c>
      <c r="P41" t="s">
        <v>216</v>
      </c>
      <c r="Q41">
        <v>14250</v>
      </c>
      <c r="R41">
        <v>15</v>
      </c>
      <c r="S41">
        <v>213750</v>
      </c>
      <c r="T41">
        <v>0</v>
      </c>
      <c r="U41">
        <v>0</v>
      </c>
      <c r="V41">
        <v>15</v>
      </c>
      <c r="W41">
        <v>213750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>
        <v>61</v>
      </c>
      <c r="B42" t="s">
        <v>149</v>
      </c>
      <c r="C42">
        <v>537</v>
      </c>
      <c r="D42" t="s">
        <v>89</v>
      </c>
      <c r="E42" t="str">
        <f t="shared" si="0"/>
        <v>00537</v>
      </c>
      <c r="F42" t="s">
        <v>86</v>
      </c>
      <c r="G42" t="s">
        <v>156</v>
      </c>
      <c r="H42" t="s">
        <v>157</v>
      </c>
      <c r="I42" t="s">
        <v>4</v>
      </c>
      <c r="J42" t="s">
        <v>158</v>
      </c>
      <c r="K42" t="s">
        <v>159</v>
      </c>
      <c r="L42">
        <v>251200020</v>
      </c>
      <c r="M42" s="84">
        <v>46000</v>
      </c>
      <c r="N42" s="84">
        <v>46000</v>
      </c>
      <c r="O42" t="s">
        <v>160</v>
      </c>
      <c r="P42" t="s">
        <v>161</v>
      </c>
      <c r="Q42">
        <v>14250</v>
      </c>
      <c r="R42">
        <v>20</v>
      </c>
      <c r="S42">
        <v>285000</v>
      </c>
      <c r="T42">
        <v>0</v>
      </c>
      <c r="U42">
        <v>0</v>
      </c>
      <c r="V42">
        <v>20</v>
      </c>
      <c r="W42">
        <v>285000</v>
      </c>
      <c r="X42">
        <v>3000</v>
      </c>
      <c r="Y42">
        <v>4000</v>
      </c>
      <c r="Z42">
        <v>0</v>
      </c>
      <c r="AA42">
        <v>0</v>
      </c>
      <c r="AB42">
        <v>0</v>
      </c>
      <c r="AC42">
        <v>7000</v>
      </c>
    </row>
    <row r="43" spans="1:29">
      <c r="A43">
        <v>65</v>
      </c>
      <c r="B43" t="s">
        <v>149</v>
      </c>
      <c r="C43">
        <v>315</v>
      </c>
      <c r="D43" t="s">
        <v>85</v>
      </c>
      <c r="E43" t="str">
        <f t="shared" si="0"/>
        <v>00315</v>
      </c>
      <c r="F43" t="s">
        <v>83</v>
      </c>
      <c r="G43" t="s">
        <v>164</v>
      </c>
      <c r="H43" t="s">
        <v>151</v>
      </c>
      <c r="I43" t="s">
        <v>5</v>
      </c>
      <c r="J43" t="s">
        <v>158</v>
      </c>
      <c r="K43" t="s">
        <v>153</v>
      </c>
      <c r="L43">
        <v>251200021</v>
      </c>
      <c r="M43" s="84">
        <v>46002</v>
      </c>
      <c r="N43" s="84">
        <v>46002</v>
      </c>
      <c r="O43" t="s">
        <v>217</v>
      </c>
      <c r="P43" t="s">
        <v>218</v>
      </c>
      <c r="Q43">
        <v>11700</v>
      </c>
      <c r="R43">
        <v>110</v>
      </c>
      <c r="S43">
        <v>1287000</v>
      </c>
      <c r="T43">
        <v>0</v>
      </c>
      <c r="U43">
        <v>0</v>
      </c>
      <c r="V43">
        <v>110</v>
      </c>
      <c r="W43">
        <v>1287000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>
        <v>68</v>
      </c>
      <c r="B44" t="s">
        <v>149</v>
      </c>
      <c r="C44">
        <v>823</v>
      </c>
      <c r="D44" t="s">
        <v>54</v>
      </c>
      <c r="E44" t="str">
        <f t="shared" si="0"/>
        <v>00823</v>
      </c>
      <c r="F44" t="s">
        <v>49</v>
      </c>
      <c r="G44" t="s">
        <v>167</v>
      </c>
      <c r="H44" t="s">
        <v>151</v>
      </c>
      <c r="I44" t="s">
        <v>4</v>
      </c>
      <c r="J44" t="s">
        <v>158</v>
      </c>
      <c r="K44" t="s">
        <v>153</v>
      </c>
      <c r="L44">
        <v>251200022</v>
      </c>
      <c r="M44" s="84">
        <v>46002</v>
      </c>
      <c r="N44" s="84">
        <v>46002</v>
      </c>
      <c r="O44" t="s">
        <v>168</v>
      </c>
      <c r="P44" t="s">
        <v>169</v>
      </c>
      <c r="Q44">
        <v>14250</v>
      </c>
      <c r="R44">
        <v>12</v>
      </c>
      <c r="S44">
        <v>171000</v>
      </c>
      <c r="T44">
        <v>0</v>
      </c>
      <c r="U44">
        <v>0</v>
      </c>
      <c r="V44">
        <v>12</v>
      </c>
      <c r="W44">
        <v>171000</v>
      </c>
      <c r="X44">
        <v>1800</v>
      </c>
      <c r="Y44">
        <v>2400</v>
      </c>
      <c r="Z44">
        <v>0</v>
      </c>
      <c r="AA44">
        <v>0</v>
      </c>
      <c r="AB44">
        <v>0</v>
      </c>
      <c r="AC44">
        <v>4200</v>
      </c>
    </row>
    <row r="45" spans="1:29">
      <c r="A45">
        <v>69</v>
      </c>
      <c r="B45" t="s">
        <v>149</v>
      </c>
      <c r="C45">
        <v>827</v>
      </c>
      <c r="D45" t="s">
        <v>84</v>
      </c>
      <c r="E45" t="str">
        <f t="shared" si="0"/>
        <v>00827</v>
      </c>
      <c r="F45" t="s">
        <v>83</v>
      </c>
      <c r="G45" t="s">
        <v>164</v>
      </c>
      <c r="H45" t="s">
        <v>151</v>
      </c>
      <c r="I45" t="s">
        <v>4</v>
      </c>
      <c r="J45" t="s">
        <v>152</v>
      </c>
      <c r="K45" t="s">
        <v>153</v>
      </c>
      <c r="L45">
        <v>251200023</v>
      </c>
      <c r="M45" s="84">
        <v>45993</v>
      </c>
      <c r="N45" s="84">
        <v>45993</v>
      </c>
      <c r="O45" t="s">
        <v>177</v>
      </c>
      <c r="P45" t="s">
        <v>178</v>
      </c>
      <c r="Q45">
        <v>14250</v>
      </c>
      <c r="R45">
        <v>2</v>
      </c>
      <c r="S45">
        <v>28500</v>
      </c>
      <c r="T45">
        <v>0</v>
      </c>
      <c r="U45">
        <v>0</v>
      </c>
      <c r="V45">
        <v>2</v>
      </c>
      <c r="W45">
        <v>28500</v>
      </c>
      <c r="X45">
        <v>300</v>
      </c>
      <c r="Y45">
        <v>400</v>
      </c>
      <c r="Z45">
        <v>0</v>
      </c>
      <c r="AA45">
        <v>0</v>
      </c>
      <c r="AB45">
        <v>0</v>
      </c>
      <c r="AC45">
        <v>700</v>
      </c>
    </row>
    <row r="46" spans="1:29">
      <c r="A46">
        <v>70</v>
      </c>
      <c r="B46" t="s">
        <v>149</v>
      </c>
      <c r="C46">
        <v>1152</v>
      </c>
      <c r="D46" t="s">
        <v>58</v>
      </c>
      <c r="E46" t="str">
        <f t="shared" si="0"/>
        <v>01152</v>
      </c>
      <c r="F46" t="s">
        <v>49</v>
      </c>
      <c r="G46" t="s">
        <v>167</v>
      </c>
      <c r="H46" t="s">
        <v>151</v>
      </c>
      <c r="I46" t="s">
        <v>4</v>
      </c>
      <c r="J46" t="s">
        <v>158</v>
      </c>
      <c r="K46" t="s">
        <v>153</v>
      </c>
      <c r="L46">
        <v>251200023</v>
      </c>
      <c r="M46" s="84">
        <v>46002</v>
      </c>
      <c r="N46" s="84">
        <v>46002</v>
      </c>
      <c r="O46" t="s">
        <v>160</v>
      </c>
      <c r="P46" t="s">
        <v>161</v>
      </c>
      <c r="Q46">
        <v>14250</v>
      </c>
      <c r="R46">
        <v>20</v>
      </c>
      <c r="S46">
        <v>285000</v>
      </c>
      <c r="T46">
        <v>0</v>
      </c>
      <c r="U46">
        <v>0</v>
      </c>
      <c r="V46">
        <v>20</v>
      </c>
      <c r="W46">
        <v>285000</v>
      </c>
      <c r="X46">
        <v>3000</v>
      </c>
      <c r="Y46">
        <v>4000</v>
      </c>
      <c r="Z46">
        <v>0</v>
      </c>
      <c r="AA46">
        <v>0</v>
      </c>
      <c r="AB46">
        <v>0</v>
      </c>
      <c r="AC46">
        <v>7000</v>
      </c>
    </row>
    <row r="47" spans="1:29">
      <c r="A47">
        <v>71</v>
      </c>
      <c r="B47" t="s">
        <v>149</v>
      </c>
      <c r="C47">
        <v>1249</v>
      </c>
      <c r="D47" t="s">
        <v>74</v>
      </c>
      <c r="E47" t="str">
        <f t="shared" si="0"/>
        <v>01249</v>
      </c>
      <c r="F47" t="s">
        <v>73</v>
      </c>
      <c r="G47" t="s">
        <v>185</v>
      </c>
      <c r="H47" t="s">
        <v>151</v>
      </c>
      <c r="I47" t="s">
        <v>4</v>
      </c>
      <c r="J47" t="s">
        <v>158</v>
      </c>
      <c r="K47" t="s">
        <v>153</v>
      </c>
      <c r="L47">
        <v>251200024</v>
      </c>
      <c r="M47" s="84">
        <v>46002</v>
      </c>
      <c r="N47" s="84">
        <v>46002</v>
      </c>
      <c r="O47" t="s">
        <v>215</v>
      </c>
      <c r="P47" t="s">
        <v>216</v>
      </c>
      <c r="Q47">
        <v>14250</v>
      </c>
      <c r="R47">
        <v>5</v>
      </c>
      <c r="S47">
        <v>71250</v>
      </c>
      <c r="T47">
        <v>0</v>
      </c>
      <c r="U47">
        <v>0</v>
      </c>
      <c r="V47">
        <v>5</v>
      </c>
      <c r="W47">
        <v>71250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>
        <v>75</v>
      </c>
      <c r="B48" t="s">
        <v>149</v>
      </c>
      <c r="C48">
        <v>134</v>
      </c>
      <c r="D48" t="s">
        <v>79</v>
      </c>
      <c r="E48" t="str">
        <f t="shared" si="0"/>
        <v>00134</v>
      </c>
      <c r="F48" t="s">
        <v>73</v>
      </c>
      <c r="G48" t="s">
        <v>185</v>
      </c>
      <c r="H48" t="s">
        <v>151</v>
      </c>
      <c r="I48" t="s">
        <v>4</v>
      </c>
      <c r="J48" t="s">
        <v>152</v>
      </c>
      <c r="K48" t="s">
        <v>153</v>
      </c>
      <c r="L48">
        <v>251200025</v>
      </c>
      <c r="M48" s="84">
        <v>45993</v>
      </c>
      <c r="N48" s="84">
        <v>45993</v>
      </c>
      <c r="O48" t="s">
        <v>154</v>
      </c>
      <c r="P48" t="s">
        <v>155</v>
      </c>
      <c r="Q48">
        <v>14250</v>
      </c>
      <c r="R48">
        <v>8</v>
      </c>
      <c r="S48">
        <v>114000</v>
      </c>
      <c r="T48">
        <v>0</v>
      </c>
      <c r="U48">
        <v>0</v>
      </c>
      <c r="V48">
        <v>8</v>
      </c>
      <c r="W48">
        <v>114000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>
        <v>76</v>
      </c>
      <c r="B49" t="s">
        <v>149</v>
      </c>
      <c r="C49">
        <v>134</v>
      </c>
      <c r="D49" t="s">
        <v>79</v>
      </c>
      <c r="E49" t="str">
        <f t="shared" si="0"/>
        <v>00134</v>
      </c>
      <c r="F49" t="s">
        <v>73</v>
      </c>
      <c r="G49" t="s">
        <v>185</v>
      </c>
      <c r="H49" t="s">
        <v>151</v>
      </c>
      <c r="I49" t="s">
        <v>4</v>
      </c>
      <c r="J49" t="s">
        <v>152</v>
      </c>
      <c r="K49" t="s">
        <v>153</v>
      </c>
      <c r="L49">
        <v>251200025</v>
      </c>
      <c r="M49" s="84">
        <v>45993</v>
      </c>
      <c r="N49" s="84">
        <v>45993</v>
      </c>
      <c r="O49" t="s">
        <v>219</v>
      </c>
      <c r="P49" t="s">
        <v>220</v>
      </c>
      <c r="Q49">
        <v>14250</v>
      </c>
      <c r="R49">
        <v>20</v>
      </c>
      <c r="S49">
        <v>285000</v>
      </c>
      <c r="T49">
        <v>0</v>
      </c>
      <c r="U49">
        <v>0</v>
      </c>
      <c r="V49">
        <v>20</v>
      </c>
      <c r="W49">
        <v>285000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77</v>
      </c>
      <c r="B50" t="s">
        <v>149</v>
      </c>
      <c r="C50">
        <v>1508</v>
      </c>
      <c r="D50" t="s">
        <v>99</v>
      </c>
      <c r="E50" t="str">
        <f t="shared" si="0"/>
        <v>01508</v>
      </c>
      <c r="F50" t="s">
        <v>95</v>
      </c>
      <c r="G50" t="s">
        <v>187</v>
      </c>
      <c r="H50" t="s">
        <v>188</v>
      </c>
      <c r="I50" t="s">
        <v>4</v>
      </c>
      <c r="J50" t="s">
        <v>158</v>
      </c>
      <c r="K50" t="s">
        <v>174</v>
      </c>
      <c r="L50">
        <v>251200025</v>
      </c>
      <c r="M50" s="84">
        <v>46002</v>
      </c>
      <c r="N50" s="84">
        <v>46002</v>
      </c>
      <c r="O50" t="s">
        <v>200</v>
      </c>
      <c r="P50" t="s">
        <v>201</v>
      </c>
      <c r="Q50">
        <v>13400</v>
      </c>
      <c r="R50">
        <v>5</v>
      </c>
      <c r="S50">
        <v>67000</v>
      </c>
      <c r="T50">
        <v>0</v>
      </c>
      <c r="U50">
        <v>0</v>
      </c>
      <c r="V50">
        <v>5</v>
      </c>
      <c r="W50">
        <v>67000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78</v>
      </c>
      <c r="B51" t="s">
        <v>149</v>
      </c>
      <c r="C51">
        <v>134</v>
      </c>
      <c r="D51" t="s">
        <v>79</v>
      </c>
      <c r="E51" t="str">
        <f t="shared" si="0"/>
        <v>00134</v>
      </c>
      <c r="F51" t="s">
        <v>73</v>
      </c>
      <c r="G51" t="s">
        <v>185</v>
      </c>
      <c r="H51" t="s">
        <v>151</v>
      </c>
      <c r="I51" t="s">
        <v>4</v>
      </c>
      <c r="J51" t="s">
        <v>152</v>
      </c>
      <c r="K51" t="s">
        <v>153</v>
      </c>
      <c r="L51">
        <v>251200025</v>
      </c>
      <c r="M51" s="84">
        <v>45993</v>
      </c>
      <c r="N51" s="84">
        <v>45993</v>
      </c>
      <c r="O51" t="s">
        <v>179</v>
      </c>
      <c r="P51" t="s">
        <v>180</v>
      </c>
      <c r="Q51">
        <v>14250</v>
      </c>
      <c r="R51">
        <v>20</v>
      </c>
      <c r="S51">
        <v>285000</v>
      </c>
      <c r="T51">
        <v>0</v>
      </c>
      <c r="U51">
        <v>0</v>
      </c>
      <c r="V51">
        <v>20</v>
      </c>
      <c r="W51">
        <v>285000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79</v>
      </c>
      <c r="B52" t="s">
        <v>149</v>
      </c>
      <c r="C52">
        <v>1149</v>
      </c>
      <c r="D52" t="s">
        <v>55</v>
      </c>
      <c r="E52" t="str">
        <f t="shared" si="0"/>
        <v>01149</v>
      </c>
      <c r="F52" t="s">
        <v>49</v>
      </c>
      <c r="G52" t="s">
        <v>167</v>
      </c>
      <c r="H52" t="s">
        <v>151</v>
      </c>
      <c r="I52" t="s">
        <v>4</v>
      </c>
      <c r="J52" t="s">
        <v>152</v>
      </c>
      <c r="K52" t="s">
        <v>153</v>
      </c>
      <c r="L52">
        <v>251200026</v>
      </c>
      <c r="M52" s="84">
        <v>45993</v>
      </c>
      <c r="N52" s="84">
        <v>45993</v>
      </c>
      <c r="O52" t="s">
        <v>221</v>
      </c>
      <c r="P52" t="s">
        <v>222</v>
      </c>
      <c r="Q52">
        <v>14250</v>
      </c>
      <c r="R52">
        <v>10</v>
      </c>
      <c r="S52">
        <v>142500</v>
      </c>
      <c r="T52">
        <v>0</v>
      </c>
      <c r="U52">
        <v>0</v>
      </c>
      <c r="V52">
        <v>10</v>
      </c>
      <c r="W52">
        <v>142500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>
        <v>80</v>
      </c>
      <c r="B53" t="s">
        <v>149</v>
      </c>
      <c r="C53">
        <v>618</v>
      </c>
      <c r="D53" t="s">
        <v>66</v>
      </c>
      <c r="E53" t="str">
        <f t="shared" si="0"/>
        <v>00618</v>
      </c>
      <c r="F53" t="s">
        <v>65</v>
      </c>
      <c r="G53" t="s">
        <v>208</v>
      </c>
      <c r="H53" t="s">
        <v>157</v>
      </c>
      <c r="I53" t="s">
        <v>4</v>
      </c>
      <c r="J53" t="s">
        <v>158</v>
      </c>
      <c r="K53" t="s">
        <v>174</v>
      </c>
      <c r="L53">
        <v>251200026</v>
      </c>
      <c r="M53" s="84">
        <v>46002</v>
      </c>
      <c r="N53" s="84">
        <v>46002</v>
      </c>
      <c r="O53" t="s">
        <v>168</v>
      </c>
      <c r="P53" t="s">
        <v>169</v>
      </c>
      <c r="Q53">
        <v>14250</v>
      </c>
      <c r="R53">
        <v>5</v>
      </c>
      <c r="S53">
        <v>71250</v>
      </c>
      <c r="T53">
        <v>0</v>
      </c>
      <c r="U53">
        <v>0</v>
      </c>
      <c r="V53">
        <v>5</v>
      </c>
      <c r="W53">
        <v>71250</v>
      </c>
      <c r="X53">
        <v>750</v>
      </c>
      <c r="Y53">
        <v>1000</v>
      </c>
      <c r="Z53">
        <v>0</v>
      </c>
      <c r="AA53">
        <v>0</v>
      </c>
      <c r="AB53">
        <v>0</v>
      </c>
      <c r="AC53">
        <v>1750</v>
      </c>
    </row>
    <row r="54" spans="1:29">
      <c r="A54">
        <v>81</v>
      </c>
      <c r="B54" t="s">
        <v>149</v>
      </c>
      <c r="C54">
        <v>337</v>
      </c>
      <c r="D54" t="s">
        <v>57</v>
      </c>
      <c r="E54" t="str">
        <f t="shared" si="0"/>
        <v>00337</v>
      </c>
      <c r="F54" t="s">
        <v>49</v>
      </c>
      <c r="G54" t="s">
        <v>167</v>
      </c>
      <c r="H54" t="s">
        <v>151</v>
      </c>
      <c r="I54" t="s">
        <v>4</v>
      </c>
      <c r="J54" t="s">
        <v>152</v>
      </c>
      <c r="K54" t="s">
        <v>153</v>
      </c>
      <c r="L54">
        <v>251200027</v>
      </c>
      <c r="M54" s="84">
        <v>45993</v>
      </c>
      <c r="N54" s="84">
        <v>45993</v>
      </c>
      <c r="O54" t="s">
        <v>160</v>
      </c>
      <c r="P54" t="s">
        <v>161</v>
      </c>
      <c r="Q54">
        <v>14250</v>
      </c>
      <c r="R54">
        <v>20</v>
      </c>
      <c r="S54">
        <v>285000</v>
      </c>
      <c r="T54">
        <v>0</v>
      </c>
      <c r="U54">
        <v>0</v>
      </c>
      <c r="V54">
        <v>20</v>
      </c>
      <c r="W54">
        <v>285000</v>
      </c>
      <c r="X54">
        <v>3000</v>
      </c>
      <c r="Y54">
        <v>4000</v>
      </c>
      <c r="Z54">
        <v>0</v>
      </c>
      <c r="AA54">
        <v>0</v>
      </c>
      <c r="AB54">
        <v>0</v>
      </c>
      <c r="AC54">
        <v>7000</v>
      </c>
    </row>
    <row r="55" spans="1:29">
      <c r="A55">
        <v>82</v>
      </c>
      <c r="B55" t="s">
        <v>149</v>
      </c>
      <c r="C55">
        <v>337</v>
      </c>
      <c r="D55" t="s">
        <v>57</v>
      </c>
      <c r="E55" t="str">
        <f t="shared" si="0"/>
        <v>00337</v>
      </c>
      <c r="F55" t="s">
        <v>49</v>
      </c>
      <c r="G55" t="s">
        <v>167</v>
      </c>
      <c r="H55" t="s">
        <v>151</v>
      </c>
      <c r="I55" t="s">
        <v>4</v>
      </c>
      <c r="J55" t="s">
        <v>152</v>
      </c>
      <c r="K55" t="s">
        <v>153</v>
      </c>
      <c r="L55">
        <v>251200027</v>
      </c>
      <c r="M55" s="84">
        <v>45993</v>
      </c>
      <c r="N55" s="84">
        <v>45993</v>
      </c>
      <c r="O55" t="s">
        <v>219</v>
      </c>
      <c r="P55" t="s">
        <v>220</v>
      </c>
      <c r="Q55">
        <v>14250</v>
      </c>
      <c r="R55">
        <v>10</v>
      </c>
      <c r="S55">
        <v>142500</v>
      </c>
      <c r="T55">
        <v>0</v>
      </c>
      <c r="U55">
        <v>0</v>
      </c>
      <c r="V55">
        <v>10</v>
      </c>
      <c r="W55">
        <v>142500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>
        <v>83</v>
      </c>
      <c r="B56" t="s">
        <v>149</v>
      </c>
      <c r="C56">
        <v>1249</v>
      </c>
      <c r="D56" t="s">
        <v>74</v>
      </c>
      <c r="E56" t="str">
        <f t="shared" si="0"/>
        <v>01249</v>
      </c>
      <c r="F56" t="s">
        <v>73</v>
      </c>
      <c r="G56" t="s">
        <v>185</v>
      </c>
      <c r="H56" t="s">
        <v>151</v>
      </c>
      <c r="I56" t="s">
        <v>4</v>
      </c>
      <c r="J56" t="s">
        <v>158</v>
      </c>
      <c r="K56" t="s">
        <v>153</v>
      </c>
      <c r="L56">
        <v>251200027</v>
      </c>
      <c r="M56" s="84">
        <v>46002</v>
      </c>
      <c r="N56" s="84">
        <v>46002</v>
      </c>
      <c r="O56" t="s">
        <v>215</v>
      </c>
      <c r="P56" t="s">
        <v>216</v>
      </c>
      <c r="Q56">
        <v>14250</v>
      </c>
      <c r="R56">
        <v>5</v>
      </c>
      <c r="S56">
        <v>71250</v>
      </c>
      <c r="T56">
        <v>0</v>
      </c>
      <c r="U56">
        <v>0</v>
      </c>
      <c r="V56">
        <v>5</v>
      </c>
      <c r="W56">
        <v>71250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>
        <v>84</v>
      </c>
      <c r="B57" t="s">
        <v>149</v>
      </c>
      <c r="C57">
        <v>1493</v>
      </c>
      <c r="D57" t="s">
        <v>69</v>
      </c>
      <c r="E57" t="str">
        <f t="shared" si="0"/>
        <v>01493</v>
      </c>
      <c r="F57" t="s">
        <v>65</v>
      </c>
      <c r="G57" t="s">
        <v>208</v>
      </c>
      <c r="H57" t="s">
        <v>157</v>
      </c>
      <c r="I57" t="s">
        <v>4</v>
      </c>
      <c r="J57" t="s">
        <v>158</v>
      </c>
      <c r="K57" t="s">
        <v>174</v>
      </c>
      <c r="L57">
        <v>251200028</v>
      </c>
      <c r="M57" s="84">
        <v>46002</v>
      </c>
      <c r="N57" s="84">
        <v>46002</v>
      </c>
      <c r="O57" t="s">
        <v>160</v>
      </c>
      <c r="P57" t="s">
        <v>161</v>
      </c>
      <c r="Q57">
        <v>14250</v>
      </c>
      <c r="R57">
        <v>30</v>
      </c>
      <c r="S57">
        <v>427500</v>
      </c>
      <c r="T57">
        <v>0</v>
      </c>
      <c r="U57">
        <v>0</v>
      </c>
      <c r="V57">
        <v>30</v>
      </c>
      <c r="W57">
        <v>427500</v>
      </c>
      <c r="X57">
        <v>4500</v>
      </c>
      <c r="Y57">
        <v>6000</v>
      </c>
      <c r="Z57">
        <v>0</v>
      </c>
      <c r="AA57">
        <v>0</v>
      </c>
      <c r="AB57">
        <v>0</v>
      </c>
      <c r="AC57">
        <v>10500</v>
      </c>
    </row>
    <row r="58" spans="1:29">
      <c r="A58">
        <v>90</v>
      </c>
      <c r="B58" t="s">
        <v>149</v>
      </c>
      <c r="C58">
        <v>615</v>
      </c>
      <c r="D58" t="s">
        <v>39</v>
      </c>
      <c r="E58" t="str">
        <f t="shared" si="0"/>
        <v>00615</v>
      </c>
      <c r="F58" t="s">
        <v>38</v>
      </c>
      <c r="G58" t="s">
        <v>202</v>
      </c>
      <c r="H58" t="s">
        <v>157</v>
      </c>
      <c r="I58" t="s">
        <v>4</v>
      </c>
      <c r="J58" t="s">
        <v>158</v>
      </c>
      <c r="K58" t="s">
        <v>203</v>
      </c>
      <c r="L58">
        <v>251200029</v>
      </c>
      <c r="M58" s="84">
        <v>46004</v>
      </c>
      <c r="N58" s="84">
        <v>46004</v>
      </c>
      <c r="O58" t="s">
        <v>223</v>
      </c>
      <c r="P58" t="s">
        <v>224</v>
      </c>
      <c r="Q58">
        <v>14250</v>
      </c>
      <c r="R58">
        <v>10</v>
      </c>
      <c r="S58">
        <v>142500</v>
      </c>
      <c r="T58">
        <v>0</v>
      </c>
      <c r="U58">
        <v>0</v>
      </c>
      <c r="V58">
        <v>10</v>
      </c>
      <c r="W58">
        <v>142500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>
        <v>92</v>
      </c>
      <c r="B59" t="s">
        <v>149</v>
      </c>
      <c r="C59">
        <v>615</v>
      </c>
      <c r="D59" t="s">
        <v>39</v>
      </c>
      <c r="E59" t="str">
        <f t="shared" si="0"/>
        <v>00615</v>
      </c>
      <c r="F59" t="s">
        <v>38</v>
      </c>
      <c r="G59" t="s">
        <v>202</v>
      </c>
      <c r="H59" t="s">
        <v>157</v>
      </c>
      <c r="I59" t="s">
        <v>4</v>
      </c>
      <c r="J59" t="s">
        <v>158</v>
      </c>
      <c r="K59" t="s">
        <v>203</v>
      </c>
      <c r="L59">
        <v>251200030</v>
      </c>
      <c r="M59" s="84">
        <v>46004</v>
      </c>
      <c r="N59" s="84">
        <v>46004</v>
      </c>
      <c r="O59" t="s">
        <v>225</v>
      </c>
      <c r="P59" t="s">
        <v>226</v>
      </c>
      <c r="Q59">
        <v>14250</v>
      </c>
      <c r="R59">
        <v>20</v>
      </c>
      <c r="S59">
        <v>285000</v>
      </c>
      <c r="T59">
        <v>0</v>
      </c>
      <c r="U59">
        <v>0</v>
      </c>
      <c r="V59">
        <v>20</v>
      </c>
      <c r="W59">
        <v>285000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97</v>
      </c>
      <c r="B60" t="s">
        <v>149</v>
      </c>
      <c r="C60">
        <v>615</v>
      </c>
      <c r="D60" t="s">
        <v>39</v>
      </c>
      <c r="E60" t="str">
        <f t="shared" si="0"/>
        <v>00615</v>
      </c>
      <c r="F60" t="s">
        <v>38</v>
      </c>
      <c r="G60" t="s">
        <v>202</v>
      </c>
      <c r="H60" t="s">
        <v>157</v>
      </c>
      <c r="I60" t="s">
        <v>4</v>
      </c>
      <c r="J60" t="s">
        <v>158</v>
      </c>
      <c r="K60" t="s">
        <v>203</v>
      </c>
      <c r="L60">
        <v>251200031</v>
      </c>
      <c r="M60" s="84">
        <v>46004</v>
      </c>
      <c r="N60" s="84">
        <v>46004</v>
      </c>
      <c r="O60" t="s">
        <v>223</v>
      </c>
      <c r="P60" t="s">
        <v>224</v>
      </c>
      <c r="Q60">
        <v>14250</v>
      </c>
      <c r="R60">
        <v>20</v>
      </c>
      <c r="S60">
        <v>285000</v>
      </c>
      <c r="T60">
        <v>0</v>
      </c>
      <c r="U60">
        <v>0</v>
      </c>
      <c r="V60">
        <v>20</v>
      </c>
      <c r="W60">
        <v>285000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>
        <v>98</v>
      </c>
      <c r="B61" t="s">
        <v>149</v>
      </c>
      <c r="C61">
        <v>420</v>
      </c>
      <c r="D61" t="s">
        <v>17</v>
      </c>
      <c r="E61" t="str">
        <f t="shared" si="0"/>
        <v>00420</v>
      </c>
      <c r="F61" t="s">
        <v>15</v>
      </c>
      <c r="G61" t="s">
        <v>193</v>
      </c>
      <c r="H61" t="s">
        <v>151</v>
      </c>
      <c r="I61" t="s">
        <v>4</v>
      </c>
      <c r="J61" t="s">
        <v>152</v>
      </c>
      <c r="K61" t="s">
        <v>153</v>
      </c>
      <c r="L61">
        <v>251200031</v>
      </c>
      <c r="M61" s="84">
        <v>45993</v>
      </c>
      <c r="N61" s="84">
        <v>45993</v>
      </c>
      <c r="O61" t="s">
        <v>206</v>
      </c>
      <c r="P61" t="s">
        <v>207</v>
      </c>
      <c r="Q61">
        <v>14250</v>
      </c>
      <c r="R61">
        <v>20</v>
      </c>
      <c r="S61">
        <v>285000</v>
      </c>
      <c r="T61">
        <v>0</v>
      </c>
      <c r="U61">
        <v>0</v>
      </c>
      <c r="V61">
        <v>20</v>
      </c>
      <c r="W61">
        <v>285000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>
        <v>99</v>
      </c>
      <c r="B62" t="s">
        <v>149</v>
      </c>
      <c r="C62">
        <v>988</v>
      </c>
      <c r="D62" t="s">
        <v>19</v>
      </c>
      <c r="E62" t="str">
        <f t="shared" si="0"/>
        <v>00988</v>
      </c>
      <c r="F62" t="s">
        <v>15</v>
      </c>
      <c r="G62" t="s">
        <v>193</v>
      </c>
      <c r="H62" t="s">
        <v>151</v>
      </c>
      <c r="I62" t="s">
        <v>5</v>
      </c>
      <c r="J62" t="s">
        <v>152</v>
      </c>
      <c r="K62" t="s">
        <v>153</v>
      </c>
      <c r="L62">
        <v>251200032</v>
      </c>
      <c r="M62" s="84">
        <v>45993</v>
      </c>
      <c r="N62" s="84">
        <v>45993</v>
      </c>
      <c r="O62" t="s">
        <v>191</v>
      </c>
      <c r="P62" t="s">
        <v>192</v>
      </c>
      <c r="Q62">
        <v>11700</v>
      </c>
      <c r="R62">
        <v>8</v>
      </c>
      <c r="S62">
        <v>93600</v>
      </c>
      <c r="T62">
        <v>0</v>
      </c>
      <c r="U62">
        <v>0</v>
      </c>
      <c r="V62">
        <v>8</v>
      </c>
      <c r="W62">
        <v>93600</v>
      </c>
      <c r="X62">
        <v>1200</v>
      </c>
      <c r="Y62">
        <v>1200</v>
      </c>
      <c r="Z62">
        <v>0</v>
      </c>
      <c r="AA62">
        <v>0</v>
      </c>
      <c r="AB62">
        <v>0</v>
      </c>
      <c r="AC62">
        <v>2400</v>
      </c>
    </row>
    <row r="63" spans="1:29">
      <c r="A63">
        <v>100</v>
      </c>
      <c r="B63" t="s">
        <v>149</v>
      </c>
      <c r="C63">
        <v>988</v>
      </c>
      <c r="D63" t="s">
        <v>19</v>
      </c>
      <c r="E63" t="str">
        <f t="shared" si="0"/>
        <v>00988</v>
      </c>
      <c r="F63" t="s">
        <v>15</v>
      </c>
      <c r="G63" t="s">
        <v>193</v>
      </c>
      <c r="H63" t="s">
        <v>151</v>
      </c>
      <c r="I63" t="s">
        <v>4</v>
      </c>
      <c r="J63" t="s">
        <v>152</v>
      </c>
      <c r="K63" t="s">
        <v>153</v>
      </c>
      <c r="L63">
        <v>251200032</v>
      </c>
      <c r="M63" s="84">
        <v>45993</v>
      </c>
      <c r="N63" s="84">
        <v>45993</v>
      </c>
      <c r="O63" t="s">
        <v>179</v>
      </c>
      <c r="P63" t="s">
        <v>180</v>
      </c>
      <c r="Q63">
        <v>14250</v>
      </c>
      <c r="R63">
        <v>10</v>
      </c>
      <c r="S63">
        <v>142500</v>
      </c>
      <c r="T63">
        <v>0</v>
      </c>
      <c r="U63">
        <v>0</v>
      </c>
      <c r="V63">
        <v>10</v>
      </c>
      <c r="W63">
        <v>142500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>
        <v>101</v>
      </c>
      <c r="B64" t="s">
        <v>149</v>
      </c>
      <c r="C64">
        <v>988</v>
      </c>
      <c r="D64" t="s">
        <v>19</v>
      </c>
      <c r="E64" t="str">
        <f t="shared" si="0"/>
        <v>00988</v>
      </c>
      <c r="F64" t="s">
        <v>15</v>
      </c>
      <c r="G64" t="s">
        <v>193</v>
      </c>
      <c r="H64" t="s">
        <v>151</v>
      </c>
      <c r="I64" t="s">
        <v>4</v>
      </c>
      <c r="J64" t="s">
        <v>152</v>
      </c>
      <c r="K64" t="s">
        <v>153</v>
      </c>
      <c r="L64">
        <v>251200032</v>
      </c>
      <c r="M64" s="84">
        <v>45993</v>
      </c>
      <c r="N64" s="84">
        <v>45993</v>
      </c>
      <c r="O64" t="s">
        <v>160</v>
      </c>
      <c r="P64" t="s">
        <v>161</v>
      </c>
      <c r="Q64">
        <v>14250</v>
      </c>
      <c r="R64">
        <v>10</v>
      </c>
      <c r="S64">
        <v>142500</v>
      </c>
      <c r="T64">
        <v>0</v>
      </c>
      <c r="U64">
        <v>0</v>
      </c>
      <c r="V64">
        <v>10</v>
      </c>
      <c r="W64">
        <v>142500</v>
      </c>
      <c r="X64">
        <v>1500</v>
      </c>
      <c r="Y64">
        <v>2000</v>
      </c>
      <c r="Z64">
        <v>0</v>
      </c>
      <c r="AA64">
        <v>0</v>
      </c>
      <c r="AB64">
        <v>0</v>
      </c>
      <c r="AC64">
        <v>3500</v>
      </c>
    </row>
    <row r="65" spans="1:29">
      <c r="A65">
        <v>102</v>
      </c>
      <c r="B65" t="s">
        <v>149</v>
      </c>
      <c r="C65">
        <v>615</v>
      </c>
      <c r="D65" t="s">
        <v>39</v>
      </c>
      <c r="E65" t="str">
        <f t="shared" si="0"/>
        <v>00615</v>
      </c>
      <c r="F65" t="s">
        <v>38</v>
      </c>
      <c r="G65" t="s">
        <v>202</v>
      </c>
      <c r="H65" t="s">
        <v>157</v>
      </c>
      <c r="I65" t="s">
        <v>4</v>
      </c>
      <c r="J65" t="s">
        <v>158</v>
      </c>
      <c r="K65" t="s">
        <v>203</v>
      </c>
      <c r="L65">
        <v>251200032</v>
      </c>
      <c r="M65" s="84">
        <v>46004</v>
      </c>
      <c r="N65" s="84">
        <v>46004</v>
      </c>
      <c r="O65" t="s">
        <v>223</v>
      </c>
      <c r="P65" t="s">
        <v>224</v>
      </c>
      <c r="Q65">
        <v>14250</v>
      </c>
      <c r="R65">
        <v>10</v>
      </c>
      <c r="S65">
        <v>142500</v>
      </c>
      <c r="T65">
        <v>0</v>
      </c>
      <c r="U65">
        <v>0</v>
      </c>
      <c r="V65">
        <v>10</v>
      </c>
      <c r="W65">
        <v>142500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>
        <v>104</v>
      </c>
      <c r="B66" t="s">
        <v>149</v>
      </c>
      <c r="C66">
        <v>441</v>
      </c>
      <c r="D66" t="s">
        <v>209</v>
      </c>
      <c r="E66" t="str">
        <f t="shared" si="0"/>
        <v>00441</v>
      </c>
      <c r="F66" t="s">
        <v>15</v>
      </c>
      <c r="G66" t="s">
        <v>193</v>
      </c>
      <c r="H66" t="s">
        <v>151</v>
      </c>
      <c r="I66" t="s">
        <v>210</v>
      </c>
      <c r="J66" t="s">
        <v>158</v>
      </c>
      <c r="K66" t="s">
        <v>153</v>
      </c>
      <c r="L66">
        <v>251200033</v>
      </c>
      <c r="M66" s="84">
        <v>46005</v>
      </c>
      <c r="N66" s="84">
        <v>46005</v>
      </c>
      <c r="O66" t="s">
        <v>211</v>
      </c>
      <c r="P66" t="s">
        <v>212</v>
      </c>
      <c r="Q66">
        <v>19427</v>
      </c>
      <c r="R66">
        <v>8</v>
      </c>
      <c r="S66">
        <v>155416</v>
      </c>
      <c r="T66">
        <v>0</v>
      </c>
      <c r="U66">
        <v>0</v>
      </c>
      <c r="V66">
        <v>8</v>
      </c>
      <c r="W66">
        <v>155416</v>
      </c>
      <c r="X66">
        <v>3112</v>
      </c>
      <c r="Y66">
        <v>3112</v>
      </c>
      <c r="Z66">
        <v>8000</v>
      </c>
      <c r="AA66">
        <v>0</v>
      </c>
      <c r="AB66">
        <v>800</v>
      </c>
      <c r="AC66">
        <v>15024</v>
      </c>
    </row>
    <row r="67" spans="1:29">
      <c r="A67">
        <v>105</v>
      </c>
      <c r="B67" t="s">
        <v>149</v>
      </c>
      <c r="C67">
        <v>441</v>
      </c>
      <c r="D67" t="s">
        <v>209</v>
      </c>
      <c r="E67" t="str">
        <f t="shared" si="0"/>
        <v>00441</v>
      </c>
      <c r="F67" t="s">
        <v>15</v>
      </c>
      <c r="G67" t="s">
        <v>193</v>
      </c>
      <c r="H67" t="s">
        <v>151</v>
      </c>
      <c r="I67" t="s">
        <v>210</v>
      </c>
      <c r="J67" t="s">
        <v>158</v>
      </c>
      <c r="K67" t="s">
        <v>153</v>
      </c>
      <c r="L67">
        <v>251200033</v>
      </c>
      <c r="M67" s="84">
        <v>46005</v>
      </c>
      <c r="N67" s="84">
        <v>46005</v>
      </c>
      <c r="O67" t="s">
        <v>213</v>
      </c>
      <c r="P67" t="s">
        <v>214</v>
      </c>
      <c r="Q67">
        <v>23802</v>
      </c>
      <c r="R67">
        <v>6</v>
      </c>
      <c r="S67">
        <v>142812</v>
      </c>
      <c r="T67">
        <v>0</v>
      </c>
      <c r="U67">
        <v>0</v>
      </c>
      <c r="V67">
        <v>6</v>
      </c>
      <c r="W67">
        <v>142812</v>
      </c>
      <c r="X67">
        <v>2856</v>
      </c>
      <c r="Y67">
        <v>2856</v>
      </c>
      <c r="Z67">
        <v>6000</v>
      </c>
      <c r="AA67">
        <v>0</v>
      </c>
      <c r="AB67">
        <v>600</v>
      </c>
      <c r="AC67">
        <v>12312</v>
      </c>
    </row>
    <row r="68" spans="1:29">
      <c r="A68">
        <v>107</v>
      </c>
      <c r="B68" t="s">
        <v>149</v>
      </c>
      <c r="C68">
        <v>160</v>
      </c>
      <c r="D68" t="s">
        <v>64</v>
      </c>
      <c r="E68" t="str">
        <f t="shared" si="0"/>
        <v>00160</v>
      </c>
      <c r="F68" t="s">
        <v>49</v>
      </c>
      <c r="G68" t="s">
        <v>167</v>
      </c>
      <c r="H68" t="s">
        <v>151</v>
      </c>
      <c r="I68" t="s">
        <v>4</v>
      </c>
      <c r="J68" t="s">
        <v>158</v>
      </c>
      <c r="K68" t="s">
        <v>153</v>
      </c>
      <c r="L68">
        <v>251200034</v>
      </c>
      <c r="M68" s="84">
        <v>46005</v>
      </c>
      <c r="N68" s="84">
        <v>46005</v>
      </c>
      <c r="O68" t="s">
        <v>168</v>
      </c>
      <c r="P68" t="s">
        <v>169</v>
      </c>
      <c r="Q68">
        <v>14250</v>
      </c>
      <c r="R68">
        <v>12</v>
      </c>
      <c r="S68">
        <v>171000</v>
      </c>
      <c r="T68">
        <v>0</v>
      </c>
      <c r="U68">
        <v>0</v>
      </c>
      <c r="V68">
        <v>12</v>
      </c>
      <c r="W68">
        <v>171000</v>
      </c>
      <c r="X68">
        <v>1800</v>
      </c>
      <c r="Y68">
        <v>2400</v>
      </c>
      <c r="Z68">
        <v>0</v>
      </c>
      <c r="AA68">
        <v>0</v>
      </c>
      <c r="AB68">
        <v>0</v>
      </c>
      <c r="AC68">
        <v>4200</v>
      </c>
    </row>
    <row r="69" spans="1:29">
      <c r="A69">
        <v>111</v>
      </c>
      <c r="B69" t="s">
        <v>149</v>
      </c>
      <c r="C69">
        <v>141</v>
      </c>
      <c r="D69" t="s">
        <v>227</v>
      </c>
      <c r="E69" t="str">
        <f t="shared" si="0"/>
        <v>00141</v>
      </c>
      <c r="F69" t="s">
        <v>73</v>
      </c>
      <c r="G69" t="s">
        <v>185</v>
      </c>
      <c r="H69" t="s">
        <v>151</v>
      </c>
      <c r="I69" t="s">
        <v>210</v>
      </c>
      <c r="J69" t="s">
        <v>158</v>
      </c>
      <c r="K69" t="s">
        <v>153</v>
      </c>
      <c r="L69">
        <v>251200035</v>
      </c>
      <c r="M69" s="84">
        <v>46006</v>
      </c>
      <c r="N69" s="84">
        <v>46006</v>
      </c>
      <c r="O69" t="s">
        <v>228</v>
      </c>
      <c r="P69" t="s">
        <v>229</v>
      </c>
      <c r="Q69">
        <v>27674</v>
      </c>
      <c r="R69">
        <v>4</v>
      </c>
      <c r="S69">
        <v>110696</v>
      </c>
      <c r="T69">
        <v>0</v>
      </c>
      <c r="U69">
        <v>0</v>
      </c>
      <c r="V69">
        <v>4</v>
      </c>
      <c r="W69">
        <v>110696</v>
      </c>
      <c r="X69">
        <v>3320</v>
      </c>
      <c r="Y69">
        <v>4428</v>
      </c>
      <c r="Z69">
        <v>2212</v>
      </c>
      <c r="AA69">
        <v>5536</v>
      </c>
      <c r="AB69">
        <v>400</v>
      </c>
      <c r="AC69">
        <v>15896</v>
      </c>
    </row>
    <row r="70" spans="1:29">
      <c r="A70">
        <v>112</v>
      </c>
      <c r="B70" t="s">
        <v>149</v>
      </c>
      <c r="C70">
        <v>1356</v>
      </c>
      <c r="D70" t="s">
        <v>98</v>
      </c>
      <c r="E70" t="str">
        <f t="shared" si="0"/>
        <v>01356</v>
      </c>
      <c r="F70" t="s">
        <v>95</v>
      </c>
      <c r="G70" t="s">
        <v>187</v>
      </c>
      <c r="H70" t="s">
        <v>188</v>
      </c>
      <c r="I70" t="s">
        <v>4</v>
      </c>
      <c r="J70" t="s">
        <v>152</v>
      </c>
      <c r="K70" t="s">
        <v>159</v>
      </c>
      <c r="L70">
        <v>251200035</v>
      </c>
      <c r="M70" s="84">
        <v>45993</v>
      </c>
      <c r="N70" s="84">
        <v>45993</v>
      </c>
      <c r="O70" t="s">
        <v>215</v>
      </c>
      <c r="P70" t="s">
        <v>216</v>
      </c>
      <c r="Q70">
        <v>13350</v>
      </c>
      <c r="R70">
        <v>10</v>
      </c>
      <c r="S70">
        <v>133500</v>
      </c>
      <c r="T70">
        <v>0</v>
      </c>
      <c r="U70">
        <v>0</v>
      </c>
      <c r="V70">
        <v>10</v>
      </c>
      <c r="W70">
        <v>133500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116</v>
      </c>
      <c r="B71" t="s">
        <v>149</v>
      </c>
      <c r="C71">
        <v>618</v>
      </c>
      <c r="D71" t="s">
        <v>66</v>
      </c>
      <c r="E71" t="str">
        <f t="shared" ref="E71:E85" si="1">TEXT(C71,"00000")</f>
        <v>00618</v>
      </c>
      <c r="F71" t="s">
        <v>65</v>
      </c>
      <c r="G71" t="s">
        <v>208</v>
      </c>
      <c r="H71" t="s">
        <v>157</v>
      </c>
      <c r="I71" t="s">
        <v>4</v>
      </c>
      <c r="J71" t="s">
        <v>158</v>
      </c>
      <c r="K71" t="s">
        <v>174</v>
      </c>
      <c r="L71">
        <v>251200036</v>
      </c>
      <c r="M71" s="84">
        <v>46006</v>
      </c>
      <c r="N71" s="84">
        <v>46006</v>
      </c>
      <c r="O71" t="s">
        <v>168</v>
      </c>
      <c r="P71" t="s">
        <v>169</v>
      </c>
      <c r="Q71">
        <v>14250</v>
      </c>
      <c r="R71">
        <v>5</v>
      </c>
      <c r="S71">
        <v>71250</v>
      </c>
      <c r="T71">
        <v>0</v>
      </c>
      <c r="U71">
        <v>0</v>
      </c>
      <c r="V71">
        <v>5</v>
      </c>
      <c r="W71">
        <v>71250</v>
      </c>
      <c r="X71">
        <v>750</v>
      </c>
      <c r="Y71">
        <v>1000</v>
      </c>
      <c r="Z71">
        <v>0</v>
      </c>
      <c r="AA71">
        <v>0</v>
      </c>
      <c r="AB71">
        <v>0</v>
      </c>
      <c r="AC71">
        <v>1750</v>
      </c>
    </row>
    <row r="72" spans="1:29">
      <c r="A72">
        <v>117</v>
      </c>
      <c r="B72" t="s">
        <v>149</v>
      </c>
      <c r="C72">
        <v>496</v>
      </c>
      <c r="D72" t="s">
        <v>8</v>
      </c>
      <c r="E72" t="str">
        <f t="shared" si="1"/>
        <v>00496</v>
      </c>
      <c r="F72" t="s">
        <v>7</v>
      </c>
      <c r="G72" t="s">
        <v>156</v>
      </c>
      <c r="H72" t="s">
        <v>157</v>
      </c>
      <c r="I72" t="s">
        <v>4</v>
      </c>
      <c r="J72" t="s">
        <v>152</v>
      </c>
      <c r="K72" t="s">
        <v>159</v>
      </c>
      <c r="L72">
        <v>251200037</v>
      </c>
      <c r="M72" s="84">
        <v>45993</v>
      </c>
      <c r="N72" s="84">
        <v>45993</v>
      </c>
      <c r="O72" t="s">
        <v>160</v>
      </c>
      <c r="P72" t="s">
        <v>161</v>
      </c>
      <c r="Q72">
        <v>14250</v>
      </c>
      <c r="R72">
        <v>60</v>
      </c>
      <c r="S72">
        <v>855000</v>
      </c>
      <c r="T72">
        <v>0</v>
      </c>
      <c r="U72">
        <v>0</v>
      </c>
      <c r="V72">
        <v>60</v>
      </c>
      <c r="W72">
        <v>855000</v>
      </c>
      <c r="X72">
        <v>9000</v>
      </c>
      <c r="Y72">
        <v>12000</v>
      </c>
      <c r="Z72">
        <v>0</v>
      </c>
      <c r="AA72">
        <v>0</v>
      </c>
      <c r="AB72">
        <v>0</v>
      </c>
      <c r="AC72">
        <v>21000</v>
      </c>
    </row>
    <row r="73" spans="1:29">
      <c r="A73">
        <v>118</v>
      </c>
      <c r="B73" t="s">
        <v>149</v>
      </c>
      <c r="C73">
        <v>496</v>
      </c>
      <c r="D73" t="s">
        <v>8</v>
      </c>
      <c r="E73" t="str">
        <f t="shared" si="1"/>
        <v>00496</v>
      </c>
      <c r="F73" t="s">
        <v>7</v>
      </c>
      <c r="G73" t="s">
        <v>156</v>
      </c>
      <c r="H73" t="s">
        <v>157</v>
      </c>
      <c r="I73" t="s">
        <v>5</v>
      </c>
      <c r="J73" t="s">
        <v>152</v>
      </c>
      <c r="K73" t="s">
        <v>159</v>
      </c>
      <c r="L73">
        <v>251200037</v>
      </c>
      <c r="M73" s="84">
        <v>45993</v>
      </c>
      <c r="N73" s="84">
        <v>45993</v>
      </c>
      <c r="O73" t="s">
        <v>191</v>
      </c>
      <c r="P73" t="s">
        <v>192</v>
      </c>
      <c r="Q73">
        <v>11700</v>
      </c>
      <c r="R73">
        <v>8</v>
      </c>
      <c r="S73">
        <v>93600</v>
      </c>
      <c r="T73">
        <v>0</v>
      </c>
      <c r="U73">
        <v>0</v>
      </c>
      <c r="V73">
        <v>8</v>
      </c>
      <c r="W73">
        <v>93600</v>
      </c>
      <c r="X73">
        <v>1200</v>
      </c>
      <c r="Y73">
        <v>1200</v>
      </c>
      <c r="Z73">
        <v>0</v>
      </c>
      <c r="AA73">
        <v>0</v>
      </c>
      <c r="AB73">
        <v>0</v>
      </c>
      <c r="AC73">
        <v>2400</v>
      </c>
    </row>
    <row r="74" spans="1:29">
      <c r="A74">
        <v>119</v>
      </c>
      <c r="B74" t="s">
        <v>149</v>
      </c>
      <c r="C74">
        <v>315</v>
      </c>
      <c r="D74" t="s">
        <v>85</v>
      </c>
      <c r="E74" t="str">
        <f t="shared" si="1"/>
        <v>00315</v>
      </c>
      <c r="F74" t="s">
        <v>83</v>
      </c>
      <c r="G74" t="s">
        <v>164</v>
      </c>
      <c r="H74" t="s">
        <v>151</v>
      </c>
      <c r="I74" t="s">
        <v>5</v>
      </c>
      <c r="J74" t="s">
        <v>158</v>
      </c>
      <c r="K74" t="s">
        <v>153</v>
      </c>
      <c r="L74">
        <v>251200037</v>
      </c>
      <c r="M74" s="84">
        <v>46007</v>
      </c>
      <c r="N74" s="84">
        <v>46007</v>
      </c>
      <c r="O74" t="s">
        <v>217</v>
      </c>
      <c r="P74" t="s">
        <v>218</v>
      </c>
      <c r="Q74">
        <v>11700</v>
      </c>
      <c r="R74">
        <v>40</v>
      </c>
      <c r="S74">
        <v>468000</v>
      </c>
      <c r="T74">
        <v>0</v>
      </c>
      <c r="U74">
        <v>0</v>
      </c>
      <c r="V74">
        <v>40</v>
      </c>
      <c r="W74">
        <v>468000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>
        <v>120</v>
      </c>
      <c r="B75" t="s">
        <v>149</v>
      </c>
      <c r="C75">
        <v>615</v>
      </c>
      <c r="D75" t="s">
        <v>39</v>
      </c>
      <c r="E75" t="str">
        <f t="shared" si="1"/>
        <v>00615</v>
      </c>
      <c r="F75" t="s">
        <v>38</v>
      </c>
      <c r="G75" t="s">
        <v>202</v>
      </c>
      <c r="H75" t="s">
        <v>157</v>
      </c>
      <c r="I75" t="s">
        <v>4</v>
      </c>
      <c r="J75" t="s">
        <v>158</v>
      </c>
      <c r="K75" t="s">
        <v>203</v>
      </c>
      <c r="L75">
        <v>251200038</v>
      </c>
      <c r="M75" s="84">
        <v>46007</v>
      </c>
      <c r="N75" s="84">
        <v>46007</v>
      </c>
      <c r="O75" t="s">
        <v>223</v>
      </c>
      <c r="P75" t="s">
        <v>224</v>
      </c>
      <c r="Q75">
        <v>14250</v>
      </c>
      <c r="R75">
        <v>10</v>
      </c>
      <c r="S75">
        <v>142500</v>
      </c>
      <c r="T75">
        <v>0</v>
      </c>
      <c r="U75">
        <v>0</v>
      </c>
      <c r="V75">
        <v>10</v>
      </c>
      <c r="W75">
        <v>142500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121</v>
      </c>
      <c r="B76" t="s">
        <v>149</v>
      </c>
      <c r="C76">
        <v>495</v>
      </c>
      <c r="D76" t="s">
        <v>9</v>
      </c>
      <c r="E76" t="str">
        <f t="shared" si="1"/>
        <v>00495</v>
      </c>
      <c r="F76" t="s">
        <v>7</v>
      </c>
      <c r="G76" t="s">
        <v>156</v>
      </c>
      <c r="H76" t="s">
        <v>157</v>
      </c>
      <c r="I76" t="s">
        <v>4</v>
      </c>
      <c r="J76" t="s">
        <v>152</v>
      </c>
      <c r="K76" t="s">
        <v>159</v>
      </c>
      <c r="L76">
        <v>251200038</v>
      </c>
      <c r="M76" s="84">
        <v>45993</v>
      </c>
      <c r="N76" s="84">
        <v>45993</v>
      </c>
      <c r="O76" t="s">
        <v>160</v>
      </c>
      <c r="P76" t="s">
        <v>161</v>
      </c>
      <c r="Q76">
        <v>14250</v>
      </c>
      <c r="R76">
        <v>8</v>
      </c>
      <c r="S76">
        <v>114000</v>
      </c>
      <c r="T76">
        <v>0</v>
      </c>
      <c r="U76">
        <v>0</v>
      </c>
      <c r="V76">
        <v>8</v>
      </c>
      <c r="W76">
        <v>114000</v>
      </c>
      <c r="X76">
        <v>1200</v>
      </c>
      <c r="Y76">
        <v>1600</v>
      </c>
      <c r="Z76">
        <v>0</v>
      </c>
      <c r="AA76">
        <v>0</v>
      </c>
      <c r="AB76">
        <v>0</v>
      </c>
      <c r="AC76">
        <v>2800</v>
      </c>
    </row>
    <row r="77" spans="1:29">
      <c r="A77">
        <v>126</v>
      </c>
      <c r="B77" t="s">
        <v>149</v>
      </c>
      <c r="C77">
        <v>615</v>
      </c>
      <c r="D77" t="s">
        <v>39</v>
      </c>
      <c r="E77" t="str">
        <f t="shared" si="1"/>
        <v>00615</v>
      </c>
      <c r="F77" t="s">
        <v>38</v>
      </c>
      <c r="G77" t="s">
        <v>202</v>
      </c>
      <c r="H77" t="s">
        <v>157</v>
      </c>
      <c r="I77" t="s">
        <v>4</v>
      </c>
      <c r="J77" t="s">
        <v>158</v>
      </c>
      <c r="K77" t="s">
        <v>203</v>
      </c>
      <c r="L77">
        <v>251200039</v>
      </c>
      <c r="M77" s="84">
        <v>46007</v>
      </c>
      <c r="N77" s="84">
        <v>46007</v>
      </c>
      <c r="O77" t="s">
        <v>225</v>
      </c>
      <c r="P77" t="s">
        <v>226</v>
      </c>
      <c r="Q77">
        <v>14250</v>
      </c>
      <c r="R77">
        <v>10</v>
      </c>
      <c r="S77">
        <v>142500</v>
      </c>
      <c r="T77">
        <v>0</v>
      </c>
      <c r="U77">
        <v>0</v>
      </c>
      <c r="V77">
        <v>10</v>
      </c>
      <c r="W77">
        <v>142500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>
        <v>131</v>
      </c>
      <c r="B78" t="s">
        <v>149</v>
      </c>
      <c r="C78">
        <v>615</v>
      </c>
      <c r="D78" t="s">
        <v>39</v>
      </c>
      <c r="E78" t="str">
        <f t="shared" si="1"/>
        <v>00615</v>
      </c>
      <c r="F78" t="s">
        <v>38</v>
      </c>
      <c r="G78" t="s">
        <v>202</v>
      </c>
      <c r="H78" t="s">
        <v>157</v>
      </c>
      <c r="I78" t="s">
        <v>4</v>
      </c>
      <c r="J78" t="s">
        <v>158</v>
      </c>
      <c r="K78" t="s">
        <v>203</v>
      </c>
      <c r="L78">
        <v>251200040</v>
      </c>
      <c r="M78" s="84">
        <v>46007</v>
      </c>
      <c r="N78" s="84">
        <v>46007</v>
      </c>
      <c r="O78" t="s">
        <v>223</v>
      </c>
      <c r="P78" t="s">
        <v>224</v>
      </c>
      <c r="Q78">
        <v>14250</v>
      </c>
      <c r="R78">
        <v>10</v>
      </c>
      <c r="S78">
        <v>142500</v>
      </c>
      <c r="T78">
        <v>0</v>
      </c>
      <c r="U78">
        <v>0</v>
      </c>
      <c r="V78">
        <v>10</v>
      </c>
      <c r="W78">
        <v>142500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>
        <v>139</v>
      </c>
      <c r="B79" t="s">
        <v>149</v>
      </c>
      <c r="C79">
        <v>400</v>
      </c>
      <c r="D79" t="s">
        <v>230</v>
      </c>
      <c r="E79" t="str">
        <f t="shared" si="1"/>
        <v>00400</v>
      </c>
      <c r="F79" t="s">
        <v>103</v>
      </c>
      <c r="G79" t="s">
        <v>167</v>
      </c>
      <c r="H79" t="s">
        <v>151</v>
      </c>
      <c r="I79" t="s">
        <v>231</v>
      </c>
      <c r="J79" t="s">
        <v>158</v>
      </c>
      <c r="K79" t="s">
        <v>153</v>
      </c>
      <c r="L79">
        <v>251200041</v>
      </c>
      <c r="M79" s="84">
        <v>46007</v>
      </c>
      <c r="N79" s="84">
        <v>46007</v>
      </c>
      <c r="O79" t="s">
        <v>232</v>
      </c>
      <c r="P79" t="s">
        <v>122</v>
      </c>
      <c r="Q79">
        <v>6213</v>
      </c>
      <c r="R79">
        <v>4</v>
      </c>
      <c r="S79">
        <v>24852</v>
      </c>
      <c r="T79">
        <v>0</v>
      </c>
      <c r="U79">
        <v>0</v>
      </c>
      <c r="V79">
        <v>4</v>
      </c>
      <c r="W79">
        <v>24852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>
        <v>141</v>
      </c>
      <c r="B80" t="s">
        <v>149</v>
      </c>
      <c r="C80">
        <v>400</v>
      </c>
      <c r="D80" t="s">
        <v>230</v>
      </c>
      <c r="E80" t="str">
        <f t="shared" si="1"/>
        <v>00400</v>
      </c>
      <c r="F80" t="s">
        <v>103</v>
      </c>
      <c r="G80" t="s">
        <v>167</v>
      </c>
      <c r="H80" t="s">
        <v>151</v>
      </c>
      <c r="I80" t="s">
        <v>231</v>
      </c>
      <c r="J80" t="s">
        <v>158</v>
      </c>
      <c r="K80" t="s">
        <v>153</v>
      </c>
      <c r="L80">
        <v>251200041</v>
      </c>
      <c r="M80" s="84">
        <v>46007</v>
      </c>
      <c r="N80" s="84">
        <v>46007</v>
      </c>
      <c r="O80" t="s">
        <v>233</v>
      </c>
      <c r="P80" t="s">
        <v>118</v>
      </c>
      <c r="Q80">
        <v>4486</v>
      </c>
      <c r="R80">
        <v>4</v>
      </c>
      <c r="S80">
        <v>17944</v>
      </c>
      <c r="T80">
        <v>0</v>
      </c>
      <c r="U80">
        <v>0</v>
      </c>
      <c r="V80">
        <v>4</v>
      </c>
      <c r="W80">
        <v>17944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>
        <v>142</v>
      </c>
      <c r="B81" t="s">
        <v>149</v>
      </c>
      <c r="C81">
        <v>400</v>
      </c>
      <c r="D81" t="s">
        <v>230</v>
      </c>
      <c r="E81" t="str">
        <f t="shared" si="1"/>
        <v>00400</v>
      </c>
      <c r="F81" t="s">
        <v>103</v>
      </c>
      <c r="G81" t="s">
        <v>167</v>
      </c>
      <c r="H81" t="s">
        <v>151</v>
      </c>
      <c r="I81" t="s">
        <v>231</v>
      </c>
      <c r="J81" t="s">
        <v>158</v>
      </c>
      <c r="K81" t="s">
        <v>153</v>
      </c>
      <c r="L81">
        <v>251200042</v>
      </c>
      <c r="M81" s="84">
        <v>46007</v>
      </c>
      <c r="N81" s="84">
        <v>46007</v>
      </c>
      <c r="O81" t="s">
        <v>234</v>
      </c>
      <c r="P81" t="s">
        <v>235</v>
      </c>
      <c r="Q81">
        <v>10432</v>
      </c>
      <c r="R81">
        <v>1</v>
      </c>
      <c r="S81">
        <v>10432</v>
      </c>
      <c r="T81">
        <v>0</v>
      </c>
      <c r="U81">
        <v>0</v>
      </c>
      <c r="V81">
        <v>1</v>
      </c>
      <c r="W81">
        <v>10432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>
        <v>144</v>
      </c>
      <c r="B82" t="s">
        <v>149</v>
      </c>
      <c r="C82">
        <v>615</v>
      </c>
      <c r="D82" t="s">
        <v>39</v>
      </c>
      <c r="E82" t="str">
        <f t="shared" si="1"/>
        <v>00615</v>
      </c>
      <c r="F82" t="s">
        <v>38</v>
      </c>
      <c r="G82" t="s">
        <v>202</v>
      </c>
      <c r="H82" t="s">
        <v>157</v>
      </c>
      <c r="I82" t="s">
        <v>4</v>
      </c>
      <c r="J82" t="s">
        <v>158</v>
      </c>
      <c r="K82" t="s">
        <v>203</v>
      </c>
      <c r="L82">
        <v>251200043</v>
      </c>
      <c r="M82" s="84">
        <v>46009</v>
      </c>
      <c r="N82" s="84">
        <v>46009</v>
      </c>
      <c r="O82" t="s">
        <v>223</v>
      </c>
      <c r="P82" t="s">
        <v>224</v>
      </c>
      <c r="Q82">
        <v>14250</v>
      </c>
      <c r="R82">
        <v>15</v>
      </c>
      <c r="S82">
        <v>213750</v>
      </c>
      <c r="T82">
        <v>0</v>
      </c>
      <c r="U82">
        <v>0</v>
      </c>
      <c r="V82">
        <v>15</v>
      </c>
      <c r="W82">
        <v>213750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146</v>
      </c>
      <c r="B83" t="s">
        <v>149</v>
      </c>
      <c r="C83">
        <v>1493</v>
      </c>
      <c r="D83" t="s">
        <v>69</v>
      </c>
      <c r="E83" t="str">
        <f t="shared" si="1"/>
        <v>01493</v>
      </c>
      <c r="F83" t="s">
        <v>65</v>
      </c>
      <c r="G83" t="s">
        <v>208</v>
      </c>
      <c r="H83" t="s">
        <v>157</v>
      </c>
      <c r="I83" t="s">
        <v>4</v>
      </c>
      <c r="J83" t="s">
        <v>158</v>
      </c>
      <c r="K83" t="s">
        <v>174</v>
      </c>
      <c r="L83">
        <v>251200044</v>
      </c>
      <c r="M83" s="84">
        <v>46011</v>
      </c>
      <c r="N83" s="84">
        <v>46011</v>
      </c>
      <c r="O83" t="s">
        <v>160</v>
      </c>
      <c r="P83" t="s">
        <v>161</v>
      </c>
      <c r="Q83">
        <v>14250</v>
      </c>
      <c r="R83">
        <v>15</v>
      </c>
      <c r="S83">
        <v>213750</v>
      </c>
      <c r="T83">
        <v>0</v>
      </c>
      <c r="U83">
        <v>0</v>
      </c>
      <c r="V83">
        <v>15</v>
      </c>
      <c r="W83">
        <v>213750</v>
      </c>
      <c r="X83">
        <v>2250</v>
      </c>
      <c r="Y83">
        <v>3000</v>
      </c>
      <c r="Z83">
        <v>0</v>
      </c>
      <c r="AA83">
        <v>0</v>
      </c>
      <c r="AB83">
        <v>0</v>
      </c>
      <c r="AC83">
        <v>5250</v>
      </c>
    </row>
    <row r="84" spans="1:29">
      <c r="A84">
        <v>149</v>
      </c>
      <c r="B84" t="s">
        <v>149</v>
      </c>
      <c r="C84">
        <v>315</v>
      </c>
      <c r="D84" t="s">
        <v>85</v>
      </c>
      <c r="E84" t="str">
        <f t="shared" si="1"/>
        <v>00315</v>
      </c>
      <c r="F84" t="s">
        <v>83</v>
      </c>
      <c r="G84" t="s">
        <v>164</v>
      </c>
      <c r="H84" t="s">
        <v>151</v>
      </c>
      <c r="I84" t="s">
        <v>5</v>
      </c>
      <c r="J84" t="s">
        <v>158</v>
      </c>
      <c r="K84" t="s">
        <v>153</v>
      </c>
      <c r="L84">
        <v>251200045</v>
      </c>
      <c r="M84" s="84">
        <v>46011</v>
      </c>
      <c r="N84" s="84">
        <v>46011</v>
      </c>
      <c r="O84" t="s">
        <v>217</v>
      </c>
      <c r="P84" t="s">
        <v>218</v>
      </c>
      <c r="Q84">
        <v>11700</v>
      </c>
      <c r="R84">
        <v>48</v>
      </c>
      <c r="S84">
        <v>561600</v>
      </c>
      <c r="T84">
        <v>0</v>
      </c>
      <c r="U84">
        <v>0</v>
      </c>
      <c r="V84">
        <v>48</v>
      </c>
      <c r="W84">
        <v>561600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>
        <v>152</v>
      </c>
      <c r="B85" t="s">
        <v>149</v>
      </c>
      <c r="C85">
        <v>1152</v>
      </c>
      <c r="D85" t="s">
        <v>58</v>
      </c>
      <c r="E85" t="str">
        <f t="shared" si="1"/>
        <v>01152</v>
      </c>
      <c r="F85" t="s">
        <v>49</v>
      </c>
      <c r="G85" t="s">
        <v>167</v>
      </c>
      <c r="H85" t="s">
        <v>151</v>
      </c>
      <c r="I85" t="s">
        <v>4</v>
      </c>
      <c r="J85" t="s">
        <v>158</v>
      </c>
      <c r="K85" t="s">
        <v>153</v>
      </c>
      <c r="L85">
        <v>251200046</v>
      </c>
      <c r="M85" s="84">
        <v>46011</v>
      </c>
      <c r="N85" s="84">
        <v>46011</v>
      </c>
      <c r="O85" t="s">
        <v>160</v>
      </c>
      <c r="P85" t="s">
        <v>161</v>
      </c>
      <c r="Q85">
        <v>14250</v>
      </c>
      <c r="R85">
        <v>32</v>
      </c>
      <c r="S85">
        <v>456000</v>
      </c>
      <c r="T85">
        <v>0</v>
      </c>
      <c r="U85">
        <v>0</v>
      </c>
      <c r="V85">
        <v>32</v>
      </c>
      <c r="W85">
        <v>456000</v>
      </c>
      <c r="X85">
        <v>4800</v>
      </c>
      <c r="Y85">
        <v>6400</v>
      </c>
      <c r="Z85">
        <v>0</v>
      </c>
      <c r="AA85">
        <v>0</v>
      </c>
      <c r="AB85">
        <v>0</v>
      </c>
      <c r="AC85">
        <v>11200</v>
      </c>
    </row>
    <row r="86" spans="1:29">
      <c r="A86">
        <v>156</v>
      </c>
      <c r="B86" t="s">
        <v>149</v>
      </c>
      <c r="C86">
        <v>471</v>
      </c>
      <c r="D86" t="s">
        <v>25</v>
      </c>
      <c r="E86" t="str">
        <f t="shared" ref="E86:E149" si="2">TEXT(C86,"00000")</f>
        <v>00471</v>
      </c>
      <c r="F86" t="s">
        <v>20</v>
      </c>
      <c r="G86" t="s">
        <v>193</v>
      </c>
      <c r="H86" t="s">
        <v>151</v>
      </c>
      <c r="I86" t="s">
        <v>4</v>
      </c>
      <c r="J86" t="s">
        <v>152</v>
      </c>
      <c r="K86" t="s">
        <v>236</v>
      </c>
      <c r="L86">
        <v>251200047</v>
      </c>
      <c r="M86" s="84">
        <v>45994</v>
      </c>
      <c r="N86" s="84">
        <v>45994</v>
      </c>
      <c r="O86" t="s">
        <v>206</v>
      </c>
      <c r="P86" t="s">
        <v>207</v>
      </c>
      <c r="Q86">
        <v>14250</v>
      </c>
      <c r="R86">
        <v>10</v>
      </c>
      <c r="S86">
        <v>142500</v>
      </c>
      <c r="T86">
        <v>0</v>
      </c>
      <c r="U86">
        <v>0</v>
      </c>
      <c r="V86">
        <v>10</v>
      </c>
      <c r="W86">
        <v>142500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>
        <v>157</v>
      </c>
      <c r="B87" t="s">
        <v>149</v>
      </c>
      <c r="C87">
        <v>471</v>
      </c>
      <c r="D87" t="s">
        <v>25</v>
      </c>
      <c r="E87" t="str">
        <f t="shared" si="2"/>
        <v>00471</v>
      </c>
      <c r="F87" t="s">
        <v>20</v>
      </c>
      <c r="G87" t="s">
        <v>193</v>
      </c>
      <c r="H87" t="s">
        <v>151</v>
      </c>
      <c r="I87" t="s">
        <v>4</v>
      </c>
      <c r="J87" t="s">
        <v>152</v>
      </c>
      <c r="K87" t="s">
        <v>236</v>
      </c>
      <c r="L87">
        <v>251200047</v>
      </c>
      <c r="M87" s="84">
        <v>45994</v>
      </c>
      <c r="N87" s="84">
        <v>45994</v>
      </c>
      <c r="O87" t="s">
        <v>162</v>
      </c>
      <c r="P87" t="s">
        <v>163</v>
      </c>
      <c r="Q87">
        <v>14250</v>
      </c>
      <c r="R87">
        <v>10</v>
      </c>
      <c r="S87">
        <v>142500</v>
      </c>
      <c r="T87">
        <v>0</v>
      </c>
      <c r="U87">
        <v>0</v>
      </c>
      <c r="V87">
        <v>10</v>
      </c>
      <c r="W87">
        <v>142500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>
        <v>158</v>
      </c>
      <c r="B88" t="s">
        <v>149</v>
      </c>
      <c r="C88">
        <v>471</v>
      </c>
      <c r="D88" t="s">
        <v>25</v>
      </c>
      <c r="E88" t="str">
        <f t="shared" si="2"/>
        <v>00471</v>
      </c>
      <c r="F88" t="s">
        <v>20</v>
      </c>
      <c r="G88" t="s">
        <v>193</v>
      </c>
      <c r="H88" t="s">
        <v>151</v>
      </c>
      <c r="I88" t="s">
        <v>4</v>
      </c>
      <c r="J88" t="s">
        <v>152</v>
      </c>
      <c r="K88" t="s">
        <v>236</v>
      </c>
      <c r="L88">
        <v>251200047</v>
      </c>
      <c r="M88" s="84">
        <v>45994</v>
      </c>
      <c r="N88" s="84">
        <v>45994</v>
      </c>
      <c r="O88" t="s">
        <v>154</v>
      </c>
      <c r="P88" t="s">
        <v>155</v>
      </c>
      <c r="Q88">
        <v>14250</v>
      </c>
      <c r="R88">
        <v>10</v>
      </c>
      <c r="S88">
        <v>142500</v>
      </c>
      <c r="T88">
        <v>0</v>
      </c>
      <c r="U88">
        <v>0</v>
      </c>
      <c r="V88">
        <v>10</v>
      </c>
      <c r="W88">
        <v>142500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>
        <v>159</v>
      </c>
      <c r="B89" t="s">
        <v>149</v>
      </c>
      <c r="C89">
        <v>471</v>
      </c>
      <c r="D89" t="s">
        <v>25</v>
      </c>
      <c r="E89" t="str">
        <f t="shared" si="2"/>
        <v>00471</v>
      </c>
      <c r="F89" t="s">
        <v>20</v>
      </c>
      <c r="G89" t="s">
        <v>193</v>
      </c>
      <c r="H89" t="s">
        <v>151</v>
      </c>
      <c r="I89" t="s">
        <v>4</v>
      </c>
      <c r="J89" t="s">
        <v>152</v>
      </c>
      <c r="K89" t="s">
        <v>236</v>
      </c>
      <c r="L89">
        <v>251200047</v>
      </c>
      <c r="M89" s="84">
        <v>45994</v>
      </c>
      <c r="N89" s="84">
        <v>45994</v>
      </c>
      <c r="O89" t="s">
        <v>204</v>
      </c>
      <c r="P89" t="s">
        <v>205</v>
      </c>
      <c r="Q89">
        <v>14250</v>
      </c>
      <c r="R89">
        <v>10</v>
      </c>
      <c r="S89">
        <v>142500</v>
      </c>
      <c r="T89">
        <v>0</v>
      </c>
      <c r="U89">
        <v>0</v>
      </c>
      <c r="V89">
        <v>10</v>
      </c>
      <c r="W89">
        <v>142500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160</v>
      </c>
      <c r="B90" t="s">
        <v>149</v>
      </c>
      <c r="C90">
        <v>647</v>
      </c>
      <c r="D90" t="s">
        <v>237</v>
      </c>
      <c r="E90" t="str">
        <f t="shared" si="2"/>
        <v>00647</v>
      </c>
      <c r="F90" t="s">
        <v>65</v>
      </c>
      <c r="G90" t="s">
        <v>208</v>
      </c>
      <c r="H90" t="s">
        <v>157</v>
      </c>
      <c r="I90" t="s">
        <v>238</v>
      </c>
      <c r="J90" t="s">
        <v>158</v>
      </c>
      <c r="K90" t="s">
        <v>174</v>
      </c>
      <c r="L90">
        <v>251200047</v>
      </c>
      <c r="M90" s="84">
        <v>46011</v>
      </c>
      <c r="N90" s="84">
        <v>46011</v>
      </c>
      <c r="O90" t="s">
        <v>239</v>
      </c>
      <c r="P90" t="s">
        <v>240</v>
      </c>
      <c r="Q90">
        <v>13684</v>
      </c>
      <c r="R90">
        <v>1</v>
      </c>
      <c r="S90">
        <v>13684</v>
      </c>
      <c r="T90">
        <v>0</v>
      </c>
      <c r="U90">
        <v>0</v>
      </c>
      <c r="V90">
        <v>1</v>
      </c>
      <c r="W90">
        <v>13684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>
        <v>161</v>
      </c>
      <c r="B91" t="s">
        <v>149</v>
      </c>
      <c r="C91">
        <v>471</v>
      </c>
      <c r="D91" t="s">
        <v>25</v>
      </c>
      <c r="E91" t="str">
        <f t="shared" si="2"/>
        <v>00471</v>
      </c>
      <c r="F91" t="s">
        <v>20</v>
      </c>
      <c r="G91" t="s">
        <v>193</v>
      </c>
      <c r="H91" t="s">
        <v>151</v>
      </c>
      <c r="I91" t="s">
        <v>4</v>
      </c>
      <c r="J91" t="s">
        <v>152</v>
      </c>
      <c r="K91" t="s">
        <v>236</v>
      </c>
      <c r="L91">
        <v>251200047</v>
      </c>
      <c r="M91" s="84">
        <v>45994</v>
      </c>
      <c r="N91" s="84">
        <v>45994</v>
      </c>
      <c r="O91" t="s">
        <v>179</v>
      </c>
      <c r="P91" t="s">
        <v>180</v>
      </c>
      <c r="Q91">
        <v>14250</v>
      </c>
      <c r="R91">
        <v>25</v>
      </c>
      <c r="S91">
        <v>356250</v>
      </c>
      <c r="T91">
        <v>0</v>
      </c>
      <c r="U91">
        <v>0</v>
      </c>
      <c r="V91">
        <v>25</v>
      </c>
      <c r="W91">
        <v>356250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>
        <v>162</v>
      </c>
      <c r="B92" t="s">
        <v>149</v>
      </c>
      <c r="C92">
        <v>647</v>
      </c>
      <c r="D92" t="s">
        <v>237</v>
      </c>
      <c r="E92" t="str">
        <f t="shared" si="2"/>
        <v>00647</v>
      </c>
      <c r="F92" t="s">
        <v>65</v>
      </c>
      <c r="G92" t="s">
        <v>208</v>
      </c>
      <c r="H92" t="s">
        <v>157</v>
      </c>
      <c r="I92" t="s">
        <v>238</v>
      </c>
      <c r="J92" t="s">
        <v>158</v>
      </c>
      <c r="K92" t="s">
        <v>174</v>
      </c>
      <c r="L92">
        <v>251200047</v>
      </c>
      <c r="M92" s="84">
        <v>46011</v>
      </c>
      <c r="N92" s="84">
        <v>46011</v>
      </c>
      <c r="O92" t="s">
        <v>241</v>
      </c>
      <c r="P92" t="s">
        <v>242</v>
      </c>
      <c r="Q92">
        <v>17156</v>
      </c>
      <c r="R92">
        <v>2</v>
      </c>
      <c r="S92">
        <v>34312</v>
      </c>
      <c r="T92">
        <v>0</v>
      </c>
      <c r="U92">
        <v>0</v>
      </c>
      <c r="V92">
        <v>2</v>
      </c>
      <c r="W92">
        <v>34312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>
        <v>163</v>
      </c>
      <c r="B93" t="s">
        <v>149</v>
      </c>
      <c r="C93">
        <v>471</v>
      </c>
      <c r="D93" t="s">
        <v>25</v>
      </c>
      <c r="E93" t="str">
        <f t="shared" si="2"/>
        <v>00471</v>
      </c>
      <c r="F93" t="s">
        <v>20</v>
      </c>
      <c r="G93" t="s">
        <v>193</v>
      </c>
      <c r="H93" t="s">
        <v>151</v>
      </c>
      <c r="I93" t="s">
        <v>4</v>
      </c>
      <c r="J93" t="s">
        <v>152</v>
      </c>
      <c r="K93" t="s">
        <v>236</v>
      </c>
      <c r="L93">
        <v>251200047</v>
      </c>
      <c r="M93" s="84">
        <v>45994</v>
      </c>
      <c r="N93" s="84">
        <v>45994</v>
      </c>
      <c r="O93" t="s">
        <v>160</v>
      </c>
      <c r="P93" t="s">
        <v>161</v>
      </c>
      <c r="Q93">
        <v>14250</v>
      </c>
      <c r="R93">
        <v>60</v>
      </c>
      <c r="S93">
        <v>855000</v>
      </c>
      <c r="T93">
        <v>0</v>
      </c>
      <c r="U93">
        <v>0</v>
      </c>
      <c r="V93">
        <v>60</v>
      </c>
      <c r="W93">
        <v>855000</v>
      </c>
      <c r="X93">
        <v>9000</v>
      </c>
      <c r="Y93">
        <v>12000</v>
      </c>
      <c r="Z93">
        <v>0</v>
      </c>
      <c r="AA93">
        <v>0</v>
      </c>
      <c r="AB93">
        <v>0</v>
      </c>
      <c r="AC93">
        <v>21000</v>
      </c>
    </row>
    <row r="94" spans="1:29">
      <c r="A94">
        <v>164</v>
      </c>
      <c r="B94" t="s">
        <v>149</v>
      </c>
      <c r="C94">
        <v>471</v>
      </c>
      <c r="D94" t="s">
        <v>25</v>
      </c>
      <c r="E94" t="str">
        <f t="shared" si="2"/>
        <v>00471</v>
      </c>
      <c r="F94" t="s">
        <v>20</v>
      </c>
      <c r="G94" t="s">
        <v>193</v>
      </c>
      <c r="H94" t="s">
        <v>151</v>
      </c>
      <c r="I94" t="s">
        <v>4</v>
      </c>
      <c r="J94" t="s">
        <v>152</v>
      </c>
      <c r="K94" t="s">
        <v>236</v>
      </c>
      <c r="L94">
        <v>251200047</v>
      </c>
      <c r="M94" s="84">
        <v>45994</v>
      </c>
      <c r="N94" s="84">
        <v>45994</v>
      </c>
      <c r="O94" t="s">
        <v>243</v>
      </c>
      <c r="P94" t="s">
        <v>244</v>
      </c>
      <c r="Q94">
        <v>15050</v>
      </c>
      <c r="R94">
        <v>8</v>
      </c>
      <c r="S94">
        <v>120400</v>
      </c>
      <c r="T94">
        <v>0</v>
      </c>
      <c r="U94">
        <v>0</v>
      </c>
      <c r="V94">
        <v>8</v>
      </c>
      <c r="W94">
        <v>120400</v>
      </c>
      <c r="X94">
        <v>1200</v>
      </c>
      <c r="Y94">
        <v>1600</v>
      </c>
      <c r="Z94">
        <v>0</v>
      </c>
      <c r="AA94">
        <v>0</v>
      </c>
      <c r="AB94">
        <v>0</v>
      </c>
      <c r="AC94">
        <v>2800</v>
      </c>
    </row>
    <row r="95" spans="1:29">
      <c r="A95">
        <v>165</v>
      </c>
      <c r="B95" t="s">
        <v>149</v>
      </c>
      <c r="C95">
        <v>471</v>
      </c>
      <c r="D95" t="s">
        <v>25</v>
      </c>
      <c r="E95" t="str">
        <f t="shared" si="2"/>
        <v>00471</v>
      </c>
      <c r="F95" t="s">
        <v>20</v>
      </c>
      <c r="G95" t="s">
        <v>193</v>
      </c>
      <c r="H95" t="s">
        <v>151</v>
      </c>
      <c r="I95" t="s">
        <v>5</v>
      </c>
      <c r="J95" t="s">
        <v>152</v>
      </c>
      <c r="K95" t="s">
        <v>236</v>
      </c>
      <c r="L95">
        <v>251200047</v>
      </c>
      <c r="M95" s="84">
        <v>45994</v>
      </c>
      <c r="N95" s="84">
        <v>45994</v>
      </c>
      <c r="O95" t="s">
        <v>191</v>
      </c>
      <c r="P95" t="s">
        <v>192</v>
      </c>
      <c r="Q95">
        <v>11700</v>
      </c>
      <c r="R95">
        <v>17</v>
      </c>
      <c r="S95">
        <v>198900</v>
      </c>
      <c r="T95">
        <v>0</v>
      </c>
      <c r="U95">
        <v>0</v>
      </c>
      <c r="V95">
        <v>17</v>
      </c>
      <c r="W95">
        <v>198900</v>
      </c>
      <c r="X95">
        <v>2550</v>
      </c>
      <c r="Y95">
        <v>2550</v>
      </c>
      <c r="Z95">
        <v>0</v>
      </c>
      <c r="AA95">
        <v>0</v>
      </c>
      <c r="AB95">
        <v>0</v>
      </c>
      <c r="AC95">
        <v>5100</v>
      </c>
    </row>
    <row r="96" spans="1:29">
      <c r="A96">
        <v>166</v>
      </c>
      <c r="B96" t="s">
        <v>149</v>
      </c>
      <c r="C96">
        <v>315</v>
      </c>
      <c r="D96" t="s">
        <v>85</v>
      </c>
      <c r="E96" t="str">
        <f t="shared" si="2"/>
        <v>00315</v>
      </c>
      <c r="F96" t="s">
        <v>83</v>
      </c>
      <c r="G96" t="s">
        <v>164</v>
      </c>
      <c r="H96" t="s">
        <v>151</v>
      </c>
      <c r="I96" t="s">
        <v>5</v>
      </c>
      <c r="J96" t="s">
        <v>158</v>
      </c>
      <c r="K96" t="s">
        <v>153</v>
      </c>
      <c r="L96">
        <v>251200048</v>
      </c>
      <c r="M96" s="84">
        <v>46013</v>
      </c>
      <c r="N96" s="84">
        <v>46013</v>
      </c>
      <c r="O96" t="s">
        <v>217</v>
      </c>
      <c r="P96" t="s">
        <v>218</v>
      </c>
      <c r="Q96">
        <v>11700</v>
      </c>
      <c r="R96">
        <v>48</v>
      </c>
      <c r="S96">
        <v>561600</v>
      </c>
      <c r="T96">
        <v>0</v>
      </c>
      <c r="U96">
        <v>0</v>
      </c>
      <c r="V96">
        <v>48</v>
      </c>
      <c r="W96">
        <v>561600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>
        <v>167</v>
      </c>
      <c r="B97" t="s">
        <v>149</v>
      </c>
      <c r="C97">
        <v>471</v>
      </c>
      <c r="D97" t="s">
        <v>25</v>
      </c>
      <c r="E97" t="str">
        <f t="shared" si="2"/>
        <v>00471</v>
      </c>
      <c r="F97" t="s">
        <v>20</v>
      </c>
      <c r="G97" t="s">
        <v>193</v>
      </c>
      <c r="H97" t="s">
        <v>151</v>
      </c>
      <c r="I97" t="s">
        <v>5</v>
      </c>
      <c r="J97" t="s">
        <v>152</v>
      </c>
      <c r="K97" t="s">
        <v>236</v>
      </c>
      <c r="L97">
        <v>251200048</v>
      </c>
      <c r="M97" s="84">
        <v>45994</v>
      </c>
      <c r="N97" s="84">
        <v>45994</v>
      </c>
      <c r="O97" t="s">
        <v>191</v>
      </c>
      <c r="P97" t="s">
        <v>192</v>
      </c>
      <c r="Q97">
        <v>11700</v>
      </c>
      <c r="R97">
        <v>3</v>
      </c>
      <c r="S97">
        <v>35100</v>
      </c>
      <c r="T97">
        <v>0</v>
      </c>
      <c r="U97">
        <v>0</v>
      </c>
      <c r="V97">
        <v>3</v>
      </c>
      <c r="W97">
        <v>35100</v>
      </c>
      <c r="X97">
        <v>450</v>
      </c>
      <c r="Y97">
        <v>450</v>
      </c>
      <c r="Z97">
        <v>0</v>
      </c>
      <c r="AA97">
        <v>0</v>
      </c>
      <c r="AB97">
        <v>0</v>
      </c>
      <c r="AC97">
        <v>900</v>
      </c>
    </row>
    <row r="98" spans="1:29">
      <c r="A98">
        <v>168</v>
      </c>
      <c r="B98" t="s">
        <v>149</v>
      </c>
      <c r="C98">
        <v>159</v>
      </c>
      <c r="D98" t="s">
        <v>50</v>
      </c>
      <c r="E98" t="str">
        <f t="shared" si="2"/>
        <v>00159</v>
      </c>
      <c r="F98" t="s">
        <v>49</v>
      </c>
      <c r="G98" t="s">
        <v>167</v>
      </c>
      <c r="H98" t="s">
        <v>151</v>
      </c>
      <c r="I98" t="s">
        <v>4</v>
      </c>
      <c r="J98" t="s">
        <v>152</v>
      </c>
      <c r="K98" t="s">
        <v>153</v>
      </c>
      <c r="L98">
        <v>251200049</v>
      </c>
      <c r="M98" s="84">
        <v>45994</v>
      </c>
      <c r="N98" s="84">
        <v>45994</v>
      </c>
      <c r="O98" t="s">
        <v>215</v>
      </c>
      <c r="P98" t="s">
        <v>216</v>
      </c>
      <c r="Q98">
        <v>14250</v>
      </c>
      <c r="R98">
        <v>4</v>
      </c>
      <c r="S98">
        <v>57000</v>
      </c>
      <c r="T98">
        <v>0</v>
      </c>
      <c r="U98">
        <v>0</v>
      </c>
      <c r="V98">
        <v>4</v>
      </c>
      <c r="W98">
        <v>57000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>
      <c r="A99">
        <v>169</v>
      </c>
      <c r="B99" t="s">
        <v>149</v>
      </c>
      <c r="C99">
        <v>1499</v>
      </c>
      <c r="D99" t="s">
        <v>41</v>
      </c>
      <c r="E99" t="str">
        <f t="shared" si="2"/>
        <v>01499</v>
      </c>
      <c r="F99" t="s">
        <v>38</v>
      </c>
      <c r="G99" t="s">
        <v>202</v>
      </c>
      <c r="H99" t="s">
        <v>157</v>
      </c>
      <c r="I99" t="s">
        <v>4</v>
      </c>
      <c r="J99" t="s">
        <v>158</v>
      </c>
      <c r="K99" t="s">
        <v>203</v>
      </c>
      <c r="L99">
        <v>251200049</v>
      </c>
      <c r="M99" s="84">
        <v>46013</v>
      </c>
      <c r="N99" s="84">
        <v>46013</v>
      </c>
      <c r="O99" t="s">
        <v>160</v>
      </c>
      <c r="P99" t="s">
        <v>161</v>
      </c>
      <c r="Q99">
        <v>14250</v>
      </c>
      <c r="R99">
        <v>2</v>
      </c>
      <c r="S99">
        <v>28500</v>
      </c>
      <c r="T99">
        <v>0</v>
      </c>
      <c r="U99">
        <v>0</v>
      </c>
      <c r="V99">
        <v>2</v>
      </c>
      <c r="W99">
        <v>28500</v>
      </c>
      <c r="X99">
        <v>300</v>
      </c>
      <c r="Y99">
        <v>400</v>
      </c>
      <c r="Z99">
        <v>0</v>
      </c>
      <c r="AA99">
        <v>0</v>
      </c>
      <c r="AB99">
        <v>0</v>
      </c>
      <c r="AC99">
        <v>700</v>
      </c>
    </row>
    <row r="100" spans="1:29">
      <c r="A100">
        <v>170</v>
      </c>
      <c r="B100" t="s">
        <v>149</v>
      </c>
      <c r="C100">
        <v>1130</v>
      </c>
      <c r="D100" t="s">
        <v>53</v>
      </c>
      <c r="E100" t="str">
        <f t="shared" si="2"/>
        <v>01130</v>
      </c>
      <c r="F100" t="s">
        <v>49</v>
      </c>
      <c r="G100" t="s">
        <v>167</v>
      </c>
      <c r="H100" t="s">
        <v>151</v>
      </c>
      <c r="I100" t="s">
        <v>4</v>
      </c>
      <c r="J100" t="s">
        <v>152</v>
      </c>
      <c r="K100" t="s">
        <v>153</v>
      </c>
      <c r="L100">
        <v>251200050</v>
      </c>
      <c r="M100" s="84">
        <v>45994</v>
      </c>
      <c r="N100" s="84">
        <v>45994</v>
      </c>
      <c r="O100" t="s">
        <v>179</v>
      </c>
      <c r="P100" t="s">
        <v>180</v>
      </c>
      <c r="Q100">
        <v>14250</v>
      </c>
      <c r="R100">
        <v>5</v>
      </c>
      <c r="S100">
        <v>71250</v>
      </c>
      <c r="T100">
        <v>0</v>
      </c>
      <c r="U100">
        <v>0</v>
      </c>
      <c r="V100">
        <v>5</v>
      </c>
      <c r="W100">
        <v>71250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>
        <v>171</v>
      </c>
      <c r="B101" t="s">
        <v>149</v>
      </c>
      <c r="C101">
        <v>1130</v>
      </c>
      <c r="D101" t="s">
        <v>53</v>
      </c>
      <c r="E101" t="str">
        <f t="shared" si="2"/>
        <v>01130</v>
      </c>
      <c r="F101" t="s">
        <v>49</v>
      </c>
      <c r="G101" t="s">
        <v>167</v>
      </c>
      <c r="H101" t="s">
        <v>151</v>
      </c>
      <c r="I101" t="s">
        <v>4</v>
      </c>
      <c r="J101" t="s">
        <v>152</v>
      </c>
      <c r="K101" t="s">
        <v>153</v>
      </c>
      <c r="L101">
        <v>251200050</v>
      </c>
      <c r="M101" s="84">
        <v>45994</v>
      </c>
      <c r="N101" s="84">
        <v>45994</v>
      </c>
      <c r="O101" t="s">
        <v>204</v>
      </c>
      <c r="P101" t="s">
        <v>205</v>
      </c>
      <c r="Q101">
        <v>14250</v>
      </c>
      <c r="R101">
        <v>10</v>
      </c>
      <c r="S101">
        <v>142500</v>
      </c>
      <c r="T101">
        <v>0</v>
      </c>
      <c r="U101">
        <v>0</v>
      </c>
      <c r="V101">
        <v>10</v>
      </c>
      <c r="W101">
        <v>142500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>
        <v>172</v>
      </c>
      <c r="B102" t="s">
        <v>149</v>
      </c>
      <c r="C102">
        <v>1249</v>
      </c>
      <c r="D102" t="s">
        <v>74</v>
      </c>
      <c r="E102" t="str">
        <f t="shared" si="2"/>
        <v>01249</v>
      </c>
      <c r="F102" t="s">
        <v>73</v>
      </c>
      <c r="G102" t="s">
        <v>185</v>
      </c>
      <c r="H102" t="s">
        <v>151</v>
      </c>
      <c r="I102" t="s">
        <v>4</v>
      </c>
      <c r="J102" t="s">
        <v>158</v>
      </c>
      <c r="K102" t="s">
        <v>153</v>
      </c>
      <c r="L102">
        <v>251200050</v>
      </c>
      <c r="M102" s="84">
        <v>46014</v>
      </c>
      <c r="N102" s="84">
        <v>46014</v>
      </c>
      <c r="O102" t="s">
        <v>215</v>
      </c>
      <c r="P102" t="s">
        <v>216</v>
      </c>
      <c r="Q102">
        <v>14250</v>
      </c>
      <c r="R102">
        <v>15</v>
      </c>
      <c r="S102">
        <v>213750</v>
      </c>
      <c r="T102">
        <v>0</v>
      </c>
      <c r="U102">
        <v>0</v>
      </c>
      <c r="V102">
        <v>15</v>
      </c>
      <c r="W102">
        <v>213750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>
        <v>173</v>
      </c>
      <c r="B103" t="s">
        <v>149</v>
      </c>
      <c r="C103">
        <v>1503</v>
      </c>
      <c r="D103" t="s">
        <v>100</v>
      </c>
      <c r="E103" t="str">
        <f t="shared" si="2"/>
        <v>01503</v>
      </c>
      <c r="F103" t="s">
        <v>95</v>
      </c>
      <c r="G103" t="s">
        <v>187</v>
      </c>
      <c r="H103" t="s">
        <v>188</v>
      </c>
      <c r="I103" t="s">
        <v>4</v>
      </c>
      <c r="J103" t="s">
        <v>158</v>
      </c>
      <c r="K103" t="s">
        <v>174</v>
      </c>
      <c r="L103">
        <v>251200051</v>
      </c>
      <c r="M103" s="84">
        <v>46014</v>
      </c>
      <c r="N103" s="84">
        <v>46014</v>
      </c>
      <c r="O103" t="s">
        <v>189</v>
      </c>
      <c r="P103" t="s">
        <v>190</v>
      </c>
      <c r="Q103">
        <v>13000</v>
      </c>
      <c r="R103">
        <v>4</v>
      </c>
      <c r="S103">
        <v>52000</v>
      </c>
      <c r="T103">
        <v>0</v>
      </c>
      <c r="U103">
        <v>0</v>
      </c>
      <c r="V103">
        <v>4</v>
      </c>
      <c r="W103">
        <v>52000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>
        <v>174</v>
      </c>
      <c r="B104" t="s">
        <v>149</v>
      </c>
      <c r="C104">
        <v>334</v>
      </c>
      <c r="D104" t="s">
        <v>56</v>
      </c>
      <c r="E104" t="str">
        <f t="shared" si="2"/>
        <v>00334</v>
      </c>
      <c r="F104" t="s">
        <v>49</v>
      </c>
      <c r="G104" t="s">
        <v>167</v>
      </c>
      <c r="H104" t="s">
        <v>151</v>
      </c>
      <c r="I104" t="s">
        <v>4</v>
      </c>
      <c r="J104" t="s">
        <v>152</v>
      </c>
      <c r="K104" t="s">
        <v>153</v>
      </c>
      <c r="L104">
        <v>251200051</v>
      </c>
      <c r="M104" s="84">
        <v>45994</v>
      </c>
      <c r="N104" s="84">
        <v>45994</v>
      </c>
      <c r="O104" t="s">
        <v>160</v>
      </c>
      <c r="P104" t="s">
        <v>161</v>
      </c>
      <c r="Q104">
        <v>14250</v>
      </c>
      <c r="R104">
        <v>10</v>
      </c>
      <c r="S104">
        <v>142500</v>
      </c>
      <c r="T104">
        <v>0</v>
      </c>
      <c r="U104">
        <v>0</v>
      </c>
      <c r="V104">
        <v>10</v>
      </c>
      <c r="W104">
        <v>142500</v>
      </c>
      <c r="X104">
        <v>1500</v>
      </c>
      <c r="Y104">
        <v>2000</v>
      </c>
      <c r="Z104">
        <v>0</v>
      </c>
      <c r="AA104">
        <v>0</v>
      </c>
      <c r="AB104">
        <v>0</v>
      </c>
      <c r="AC104">
        <v>3500</v>
      </c>
    </row>
    <row r="105" spans="1:29">
      <c r="A105">
        <v>175</v>
      </c>
      <c r="B105" t="s">
        <v>149</v>
      </c>
      <c r="C105">
        <v>334</v>
      </c>
      <c r="D105" t="s">
        <v>56</v>
      </c>
      <c r="E105" t="str">
        <f t="shared" si="2"/>
        <v>00334</v>
      </c>
      <c r="F105" t="s">
        <v>49</v>
      </c>
      <c r="G105" t="s">
        <v>167</v>
      </c>
      <c r="H105" t="s">
        <v>151</v>
      </c>
      <c r="I105" t="s">
        <v>4</v>
      </c>
      <c r="J105" t="s">
        <v>152</v>
      </c>
      <c r="K105" t="s">
        <v>153</v>
      </c>
      <c r="L105">
        <v>251200051</v>
      </c>
      <c r="M105" s="84">
        <v>45994</v>
      </c>
      <c r="N105" s="84">
        <v>45994</v>
      </c>
      <c r="O105" t="s">
        <v>179</v>
      </c>
      <c r="P105" t="s">
        <v>180</v>
      </c>
      <c r="Q105">
        <v>14250</v>
      </c>
      <c r="R105">
        <v>10</v>
      </c>
      <c r="S105">
        <v>142500</v>
      </c>
      <c r="T105">
        <v>0</v>
      </c>
      <c r="U105">
        <v>0</v>
      </c>
      <c r="V105">
        <v>10</v>
      </c>
      <c r="W105">
        <v>142500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176</v>
      </c>
      <c r="B106" t="s">
        <v>149</v>
      </c>
      <c r="C106">
        <v>1368</v>
      </c>
      <c r="D106" t="s">
        <v>22</v>
      </c>
      <c r="E106" t="str">
        <f t="shared" si="2"/>
        <v>01368</v>
      </c>
      <c r="F106" t="s">
        <v>20</v>
      </c>
      <c r="G106" t="s">
        <v>193</v>
      </c>
      <c r="H106" t="s">
        <v>151</v>
      </c>
      <c r="I106" t="s">
        <v>4</v>
      </c>
      <c r="J106" t="s">
        <v>152</v>
      </c>
      <c r="K106" t="s">
        <v>236</v>
      </c>
      <c r="L106">
        <v>251200052</v>
      </c>
      <c r="M106" s="84">
        <v>45994</v>
      </c>
      <c r="N106" s="84">
        <v>45994</v>
      </c>
      <c r="O106" t="s">
        <v>177</v>
      </c>
      <c r="P106" t="s">
        <v>178</v>
      </c>
      <c r="Q106">
        <v>14250</v>
      </c>
      <c r="R106">
        <v>3</v>
      </c>
      <c r="S106">
        <v>42750</v>
      </c>
      <c r="T106">
        <v>0</v>
      </c>
      <c r="U106">
        <v>0</v>
      </c>
      <c r="V106">
        <v>3</v>
      </c>
      <c r="W106">
        <v>42750</v>
      </c>
      <c r="X106">
        <v>450</v>
      </c>
      <c r="Y106">
        <v>600</v>
      </c>
      <c r="Z106">
        <v>0</v>
      </c>
      <c r="AA106">
        <v>0</v>
      </c>
      <c r="AB106">
        <v>0</v>
      </c>
      <c r="AC106">
        <v>1050</v>
      </c>
    </row>
    <row r="107" spans="1:29">
      <c r="A107">
        <v>177</v>
      </c>
      <c r="B107" t="s">
        <v>149</v>
      </c>
      <c r="C107">
        <v>1341</v>
      </c>
      <c r="D107" t="s">
        <v>24</v>
      </c>
      <c r="E107" t="str">
        <f t="shared" si="2"/>
        <v>01341</v>
      </c>
      <c r="F107" t="s">
        <v>20</v>
      </c>
      <c r="G107" t="s">
        <v>193</v>
      </c>
      <c r="H107" t="s">
        <v>151</v>
      </c>
      <c r="I107" t="s">
        <v>4</v>
      </c>
      <c r="J107" t="s">
        <v>152</v>
      </c>
      <c r="K107" t="s">
        <v>236</v>
      </c>
      <c r="L107">
        <v>251200053</v>
      </c>
      <c r="M107" s="84">
        <v>45994</v>
      </c>
      <c r="N107" s="84">
        <v>45994</v>
      </c>
      <c r="O107" t="s">
        <v>221</v>
      </c>
      <c r="P107" t="s">
        <v>222</v>
      </c>
      <c r="Q107">
        <v>14250</v>
      </c>
      <c r="R107">
        <v>4</v>
      </c>
      <c r="S107">
        <v>57000</v>
      </c>
      <c r="T107">
        <v>0</v>
      </c>
      <c r="U107">
        <v>0</v>
      </c>
      <c r="V107">
        <v>4</v>
      </c>
      <c r="W107">
        <v>57000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>
        <v>178</v>
      </c>
      <c r="B108" t="s">
        <v>149</v>
      </c>
      <c r="C108">
        <v>1341</v>
      </c>
      <c r="D108" t="s">
        <v>24</v>
      </c>
      <c r="E108" t="str">
        <f t="shared" si="2"/>
        <v>01341</v>
      </c>
      <c r="F108" t="s">
        <v>20</v>
      </c>
      <c r="G108" t="s">
        <v>193</v>
      </c>
      <c r="H108" t="s">
        <v>151</v>
      </c>
      <c r="I108" t="s">
        <v>4</v>
      </c>
      <c r="J108" t="s">
        <v>152</v>
      </c>
      <c r="K108" t="s">
        <v>236</v>
      </c>
      <c r="L108">
        <v>251200053</v>
      </c>
      <c r="M108" s="84">
        <v>45994</v>
      </c>
      <c r="N108" s="84">
        <v>45994</v>
      </c>
      <c r="O108" t="s">
        <v>215</v>
      </c>
      <c r="P108" t="s">
        <v>216</v>
      </c>
      <c r="Q108">
        <v>14250</v>
      </c>
      <c r="R108">
        <v>10</v>
      </c>
      <c r="S108">
        <v>142500</v>
      </c>
      <c r="T108">
        <v>0</v>
      </c>
      <c r="U108">
        <v>0</v>
      </c>
      <c r="V108">
        <v>10</v>
      </c>
      <c r="W108">
        <v>142500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179</v>
      </c>
      <c r="B109" t="s">
        <v>149</v>
      </c>
      <c r="C109">
        <v>160</v>
      </c>
      <c r="D109" t="s">
        <v>64</v>
      </c>
      <c r="E109" t="str">
        <f t="shared" si="2"/>
        <v>00160</v>
      </c>
      <c r="F109" t="s">
        <v>49</v>
      </c>
      <c r="G109" t="s">
        <v>167</v>
      </c>
      <c r="H109" t="s">
        <v>151</v>
      </c>
      <c r="I109" t="s">
        <v>4</v>
      </c>
      <c r="J109" t="s">
        <v>158</v>
      </c>
      <c r="K109" t="s">
        <v>153</v>
      </c>
      <c r="L109">
        <v>251200054</v>
      </c>
      <c r="M109" s="84">
        <v>46015</v>
      </c>
      <c r="N109" s="84">
        <v>46015</v>
      </c>
      <c r="O109" t="s">
        <v>168</v>
      </c>
      <c r="P109" t="s">
        <v>169</v>
      </c>
      <c r="Q109">
        <v>14250</v>
      </c>
      <c r="R109">
        <v>7</v>
      </c>
      <c r="S109">
        <v>99750</v>
      </c>
      <c r="T109">
        <v>0</v>
      </c>
      <c r="U109">
        <v>0</v>
      </c>
      <c r="V109">
        <v>7</v>
      </c>
      <c r="W109">
        <v>99750</v>
      </c>
      <c r="X109">
        <v>1050</v>
      </c>
      <c r="Y109">
        <v>1400</v>
      </c>
      <c r="Z109">
        <v>0</v>
      </c>
      <c r="AA109">
        <v>0</v>
      </c>
      <c r="AB109">
        <v>0</v>
      </c>
      <c r="AC109">
        <v>2450</v>
      </c>
    </row>
    <row r="110" spans="1:29">
      <c r="A110">
        <v>180</v>
      </c>
      <c r="B110" t="s">
        <v>149</v>
      </c>
      <c r="C110">
        <v>1441</v>
      </c>
      <c r="D110" t="s">
        <v>23</v>
      </c>
      <c r="E110" t="str">
        <f t="shared" si="2"/>
        <v>01441</v>
      </c>
      <c r="F110" t="s">
        <v>20</v>
      </c>
      <c r="G110" t="s">
        <v>193</v>
      </c>
      <c r="H110" t="s">
        <v>151</v>
      </c>
      <c r="I110" t="s">
        <v>5</v>
      </c>
      <c r="J110" t="s">
        <v>152</v>
      </c>
      <c r="K110" t="s">
        <v>236</v>
      </c>
      <c r="L110">
        <v>251200054</v>
      </c>
      <c r="M110" s="84">
        <v>45994</v>
      </c>
      <c r="N110" s="84">
        <v>45994</v>
      </c>
      <c r="O110" t="s">
        <v>196</v>
      </c>
      <c r="P110" t="s">
        <v>197</v>
      </c>
      <c r="Q110">
        <v>11700</v>
      </c>
      <c r="R110">
        <v>8</v>
      </c>
      <c r="S110">
        <v>93600</v>
      </c>
      <c r="T110">
        <v>0</v>
      </c>
      <c r="U110">
        <v>0</v>
      </c>
      <c r="V110">
        <v>8</v>
      </c>
      <c r="W110">
        <v>93600</v>
      </c>
      <c r="X110">
        <v>1200</v>
      </c>
      <c r="Y110">
        <v>1200</v>
      </c>
      <c r="Z110">
        <v>0</v>
      </c>
      <c r="AA110">
        <v>0</v>
      </c>
      <c r="AB110">
        <v>0</v>
      </c>
      <c r="AC110">
        <v>2400</v>
      </c>
    </row>
    <row r="111" spans="1:29">
      <c r="A111">
        <v>181</v>
      </c>
      <c r="B111" t="s">
        <v>149</v>
      </c>
      <c r="C111">
        <v>1441</v>
      </c>
      <c r="D111" t="s">
        <v>23</v>
      </c>
      <c r="E111" t="str">
        <f t="shared" si="2"/>
        <v>01441</v>
      </c>
      <c r="F111" t="s">
        <v>20</v>
      </c>
      <c r="G111" t="s">
        <v>193</v>
      </c>
      <c r="H111" t="s">
        <v>151</v>
      </c>
      <c r="I111" t="s">
        <v>4</v>
      </c>
      <c r="J111" t="s">
        <v>152</v>
      </c>
      <c r="K111" t="s">
        <v>236</v>
      </c>
      <c r="L111">
        <v>251200054</v>
      </c>
      <c r="M111" s="84">
        <v>45994</v>
      </c>
      <c r="N111" s="84">
        <v>45994</v>
      </c>
      <c r="O111" t="s">
        <v>177</v>
      </c>
      <c r="P111" t="s">
        <v>178</v>
      </c>
      <c r="Q111">
        <v>14250</v>
      </c>
      <c r="R111">
        <v>8</v>
      </c>
      <c r="S111">
        <v>114000</v>
      </c>
      <c r="T111">
        <v>0</v>
      </c>
      <c r="U111">
        <v>0</v>
      </c>
      <c r="V111">
        <v>8</v>
      </c>
      <c r="W111">
        <v>114000</v>
      </c>
      <c r="X111">
        <v>1200</v>
      </c>
      <c r="Y111">
        <v>1600</v>
      </c>
      <c r="Z111">
        <v>0</v>
      </c>
      <c r="AA111">
        <v>0</v>
      </c>
      <c r="AB111">
        <v>0</v>
      </c>
      <c r="AC111">
        <v>2800</v>
      </c>
    </row>
    <row r="112" spans="1:29">
      <c r="A112">
        <v>182</v>
      </c>
      <c r="B112" t="s">
        <v>149</v>
      </c>
      <c r="C112">
        <v>1581</v>
      </c>
      <c r="D112" t="s">
        <v>96</v>
      </c>
      <c r="E112" t="str">
        <f t="shared" si="2"/>
        <v>01581</v>
      </c>
      <c r="F112" t="s">
        <v>95</v>
      </c>
      <c r="G112" t="s">
        <v>187</v>
      </c>
      <c r="H112" t="s">
        <v>188</v>
      </c>
      <c r="I112" t="s">
        <v>5</v>
      </c>
      <c r="J112" t="s">
        <v>152</v>
      </c>
      <c r="K112" t="s">
        <v>159</v>
      </c>
      <c r="L112">
        <v>251200055</v>
      </c>
      <c r="M112" s="84">
        <v>45994</v>
      </c>
      <c r="N112" s="84">
        <v>45994</v>
      </c>
      <c r="O112" t="s">
        <v>198</v>
      </c>
      <c r="P112" t="s">
        <v>199</v>
      </c>
      <c r="Q112">
        <v>10800</v>
      </c>
      <c r="R112">
        <v>8</v>
      </c>
      <c r="S112">
        <v>86400</v>
      </c>
      <c r="T112">
        <v>0</v>
      </c>
      <c r="U112">
        <v>0</v>
      </c>
      <c r="V112">
        <v>8</v>
      </c>
      <c r="W112">
        <v>86400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>
        <v>183</v>
      </c>
      <c r="B113" t="s">
        <v>149</v>
      </c>
      <c r="C113">
        <v>1249</v>
      </c>
      <c r="D113" t="s">
        <v>74</v>
      </c>
      <c r="E113" t="str">
        <f t="shared" si="2"/>
        <v>01249</v>
      </c>
      <c r="F113" t="s">
        <v>73</v>
      </c>
      <c r="G113" t="s">
        <v>185</v>
      </c>
      <c r="H113" t="s">
        <v>151</v>
      </c>
      <c r="I113" t="s">
        <v>4</v>
      </c>
      <c r="J113" t="s">
        <v>158</v>
      </c>
      <c r="K113" t="s">
        <v>153</v>
      </c>
      <c r="L113">
        <v>251200055</v>
      </c>
      <c r="M113" s="84">
        <v>46015</v>
      </c>
      <c r="N113" s="84">
        <v>46015</v>
      </c>
      <c r="O113" t="s">
        <v>245</v>
      </c>
      <c r="P113" t="s">
        <v>246</v>
      </c>
      <c r="Q113">
        <v>14250</v>
      </c>
      <c r="R113">
        <v>25</v>
      </c>
      <c r="S113">
        <v>356250</v>
      </c>
      <c r="T113">
        <v>0</v>
      </c>
      <c r="U113">
        <v>0</v>
      </c>
      <c r="V113">
        <v>25</v>
      </c>
      <c r="W113">
        <v>356250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>
        <v>184</v>
      </c>
      <c r="B114" t="s">
        <v>149</v>
      </c>
      <c r="C114">
        <v>415</v>
      </c>
      <c r="D114" t="s">
        <v>104</v>
      </c>
      <c r="E114" t="str">
        <f t="shared" si="2"/>
        <v>00415</v>
      </c>
      <c r="F114" t="s">
        <v>103</v>
      </c>
      <c r="G114" t="s">
        <v>167</v>
      </c>
      <c r="H114" t="s">
        <v>151</v>
      </c>
      <c r="I114" t="s">
        <v>4</v>
      </c>
      <c r="J114" t="s">
        <v>158</v>
      </c>
      <c r="K114" t="s">
        <v>153</v>
      </c>
      <c r="L114">
        <v>251200056</v>
      </c>
      <c r="M114" s="84">
        <v>46015</v>
      </c>
      <c r="N114" s="84">
        <v>46015</v>
      </c>
      <c r="O114" t="s">
        <v>160</v>
      </c>
      <c r="P114" t="s">
        <v>161</v>
      </c>
      <c r="Q114">
        <v>14250</v>
      </c>
      <c r="R114">
        <v>20</v>
      </c>
      <c r="S114">
        <v>285000</v>
      </c>
      <c r="T114">
        <v>0</v>
      </c>
      <c r="U114">
        <v>0</v>
      </c>
      <c r="V114">
        <v>20</v>
      </c>
      <c r="W114">
        <v>285000</v>
      </c>
      <c r="X114">
        <v>3000</v>
      </c>
      <c r="Y114">
        <v>4000</v>
      </c>
      <c r="Z114">
        <v>0</v>
      </c>
      <c r="AA114">
        <v>0</v>
      </c>
      <c r="AB114">
        <v>0</v>
      </c>
      <c r="AC114">
        <v>7000</v>
      </c>
    </row>
    <row r="115" spans="1:29">
      <c r="A115">
        <v>185</v>
      </c>
      <c r="B115" t="s">
        <v>149</v>
      </c>
      <c r="C115">
        <v>1108</v>
      </c>
      <c r="D115" t="s">
        <v>107</v>
      </c>
      <c r="E115" t="str">
        <f t="shared" si="2"/>
        <v>01108</v>
      </c>
      <c r="F115" t="s">
        <v>103</v>
      </c>
      <c r="G115" t="s">
        <v>167</v>
      </c>
      <c r="H115" t="s">
        <v>151</v>
      </c>
      <c r="I115" t="s">
        <v>5</v>
      </c>
      <c r="J115" t="s">
        <v>152</v>
      </c>
      <c r="K115" t="s">
        <v>153</v>
      </c>
      <c r="L115">
        <v>251200056</v>
      </c>
      <c r="M115" s="84">
        <v>45994</v>
      </c>
      <c r="N115" s="84">
        <v>45994</v>
      </c>
      <c r="O115" t="s">
        <v>191</v>
      </c>
      <c r="P115" t="s">
        <v>192</v>
      </c>
      <c r="Q115">
        <v>11700</v>
      </c>
      <c r="R115">
        <v>12</v>
      </c>
      <c r="S115">
        <v>140400</v>
      </c>
      <c r="T115">
        <v>0</v>
      </c>
      <c r="U115">
        <v>0</v>
      </c>
      <c r="V115">
        <v>12</v>
      </c>
      <c r="W115">
        <v>140400</v>
      </c>
      <c r="X115">
        <v>1800</v>
      </c>
      <c r="Y115">
        <v>1800</v>
      </c>
      <c r="Z115">
        <v>0</v>
      </c>
      <c r="AA115">
        <v>0</v>
      </c>
      <c r="AB115">
        <v>0</v>
      </c>
      <c r="AC115">
        <v>3600</v>
      </c>
    </row>
    <row r="116" spans="1:29">
      <c r="A116">
        <v>186</v>
      </c>
      <c r="B116" t="s">
        <v>149</v>
      </c>
      <c r="C116">
        <v>617</v>
      </c>
      <c r="D116" t="s">
        <v>67</v>
      </c>
      <c r="E116" t="str">
        <f t="shared" si="2"/>
        <v>00617</v>
      </c>
      <c r="F116" t="s">
        <v>65</v>
      </c>
      <c r="G116" t="s">
        <v>208</v>
      </c>
      <c r="H116" t="s">
        <v>157</v>
      </c>
      <c r="I116" t="s">
        <v>4</v>
      </c>
      <c r="J116" t="s">
        <v>158</v>
      </c>
      <c r="K116" t="s">
        <v>174</v>
      </c>
      <c r="L116">
        <v>251200057</v>
      </c>
      <c r="M116" s="84">
        <v>46015</v>
      </c>
      <c r="N116" s="84">
        <v>46015</v>
      </c>
      <c r="O116" t="s">
        <v>160</v>
      </c>
      <c r="P116" t="s">
        <v>161</v>
      </c>
      <c r="Q116">
        <v>14250</v>
      </c>
      <c r="R116">
        <v>10</v>
      </c>
      <c r="S116">
        <v>142500</v>
      </c>
      <c r="T116">
        <v>0</v>
      </c>
      <c r="U116">
        <v>0</v>
      </c>
      <c r="V116">
        <v>10</v>
      </c>
      <c r="W116">
        <v>142500</v>
      </c>
      <c r="X116">
        <v>1500</v>
      </c>
      <c r="Y116">
        <v>2000</v>
      </c>
      <c r="Z116">
        <v>0</v>
      </c>
      <c r="AA116">
        <v>0</v>
      </c>
      <c r="AB116">
        <v>0</v>
      </c>
      <c r="AC116">
        <v>3500</v>
      </c>
    </row>
    <row r="117" spans="1:29">
      <c r="A117">
        <v>187</v>
      </c>
      <c r="B117" t="s">
        <v>149</v>
      </c>
      <c r="C117">
        <v>617</v>
      </c>
      <c r="D117" t="s">
        <v>67</v>
      </c>
      <c r="E117" t="str">
        <f t="shared" si="2"/>
        <v>00617</v>
      </c>
      <c r="F117" t="s">
        <v>65</v>
      </c>
      <c r="G117" t="s">
        <v>208</v>
      </c>
      <c r="H117" t="s">
        <v>157</v>
      </c>
      <c r="I117" t="s">
        <v>4</v>
      </c>
      <c r="J117" t="s">
        <v>158</v>
      </c>
      <c r="K117" t="s">
        <v>174</v>
      </c>
      <c r="L117">
        <v>251200057</v>
      </c>
      <c r="M117" s="84">
        <v>46015</v>
      </c>
      <c r="N117" s="84">
        <v>46015</v>
      </c>
      <c r="O117" t="s">
        <v>177</v>
      </c>
      <c r="P117" t="s">
        <v>178</v>
      </c>
      <c r="Q117">
        <v>14250</v>
      </c>
      <c r="R117">
        <v>10</v>
      </c>
      <c r="S117">
        <v>142500</v>
      </c>
      <c r="T117">
        <v>0</v>
      </c>
      <c r="U117">
        <v>0</v>
      </c>
      <c r="V117">
        <v>10</v>
      </c>
      <c r="W117">
        <v>142500</v>
      </c>
      <c r="X117">
        <v>1500</v>
      </c>
      <c r="Y117">
        <v>2000</v>
      </c>
      <c r="Z117">
        <v>0</v>
      </c>
      <c r="AA117">
        <v>0</v>
      </c>
      <c r="AB117">
        <v>0</v>
      </c>
      <c r="AC117">
        <v>3500</v>
      </c>
    </row>
    <row r="118" spans="1:29">
      <c r="A118">
        <v>188</v>
      </c>
      <c r="B118" t="s">
        <v>149</v>
      </c>
      <c r="C118">
        <v>410</v>
      </c>
      <c r="D118" t="s">
        <v>108</v>
      </c>
      <c r="E118" t="str">
        <f t="shared" si="2"/>
        <v>00410</v>
      </c>
      <c r="F118" t="s">
        <v>103</v>
      </c>
      <c r="G118" t="s">
        <v>167</v>
      </c>
      <c r="H118" t="s">
        <v>151</v>
      </c>
      <c r="I118" t="s">
        <v>5</v>
      </c>
      <c r="J118" t="s">
        <v>152</v>
      </c>
      <c r="K118" t="s">
        <v>153</v>
      </c>
      <c r="L118">
        <v>251200057</v>
      </c>
      <c r="M118" s="84">
        <v>45994</v>
      </c>
      <c r="N118" s="84">
        <v>45994</v>
      </c>
      <c r="O118" t="s">
        <v>191</v>
      </c>
      <c r="P118" t="s">
        <v>192</v>
      </c>
      <c r="Q118">
        <v>11700</v>
      </c>
      <c r="R118">
        <v>20</v>
      </c>
      <c r="S118">
        <v>234000</v>
      </c>
      <c r="T118">
        <v>0</v>
      </c>
      <c r="U118">
        <v>0</v>
      </c>
      <c r="V118">
        <v>20</v>
      </c>
      <c r="W118">
        <v>234000</v>
      </c>
      <c r="X118">
        <v>3000</v>
      </c>
      <c r="Y118">
        <v>3000</v>
      </c>
      <c r="Z118">
        <v>0</v>
      </c>
      <c r="AA118">
        <v>0</v>
      </c>
      <c r="AB118">
        <v>0</v>
      </c>
      <c r="AC118">
        <v>6000</v>
      </c>
    </row>
    <row r="119" spans="1:29">
      <c r="A119">
        <v>189</v>
      </c>
      <c r="B119" t="s">
        <v>149</v>
      </c>
      <c r="C119">
        <v>410</v>
      </c>
      <c r="D119" t="s">
        <v>108</v>
      </c>
      <c r="E119" t="str">
        <f t="shared" si="2"/>
        <v>00410</v>
      </c>
      <c r="F119" t="s">
        <v>103</v>
      </c>
      <c r="G119" t="s">
        <v>167</v>
      </c>
      <c r="H119" t="s">
        <v>151</v>
      </c>
      <c r="I119" t="s">
        <v>4</v>
      </c>
      <c r="J119" t="s">
        <v>152</v>
      </c>
      <c r="K119" t="s">
        <v>153</v>
      </c>
      <c r="L119">
        <v>251200057</v>
      </c>
      <c r="M119" s="84">
        <v>45994</v>
      </c>
      <c r="N119" s="84">
        <v>45994</v>
      </c>
      <c r="O119" t="s">
        <v>160</v>
      </c>
      <c r="P119" t="s">
        <v>161</v>
      </c>
      <c r="Q119">
        <v>14250</v>
      </c>
      <c r="R119">
        <v>10</v>
      </c>
      <c r="S119">
        <v>142500</v>
      </c>
      <c r="T119">
        <v>0</v>
      </c>
      <c r="U119">
        <v>0</v>
      </c>
      <c r="V119">
        <v>10</v>
      </c>
      <c r="W119">
        <v>142500</v>
      </c>
      <c r="X119">
        <v>1500</v>
      </c>
      <c r="Y119">
        <v>2000</v>
      </c>
      <c r="Z119">
        <v>0</v>
      </c>
      <c r="AA119">
        <v>0</v>
      </c>
      <c r="AB119">
        <v>0</v>
      </c>
      <c r="AC119">
        <v>3500</v>
      </c>
    </row>
    <row r="120" spans="1:29">
      <c r="A120">
        <v>190</v>
      </c>
      <c r="B120" t="s">
        <v>149</v>
      </c>
      <c r="C120">
        <v>388</v>
      </c>
      <c r="D120" t="s">
        <v>106</v>
      </c>
      <c r="E120" t="str">
        <f t="shared" si="2"/>
        <v>00388</v>
      </c>
      <c r="F120" t="s">
        <v>103</v>
      </c>
      <c r="G120" t="s">
        <v>167</v>
      </c>
      <c r="H120" t="s">
        <v>151</v>
      </c>
      <c r="I120" t="s">
        <v>4</v>
      </c>
      <c r="J120" t="s">
        <v>152</v>
      </c>
      <c r="K120" t="s">
        <v>153</v>
      </c>
      <c r="L120">
        <v>251200058</v>
      </c>
      <c r="M120" s="84">
        <v>45994</v>
      </c>
      <c r="N120" s="84">
        <v>45994</v>
      </c>
      <c r="O120" t="s">
        <v>160</v>
      </c>
      <c r="P120" t="s">
        <v>161</v>
      </c>
      <c r="Q120">
        <v>14250</v>
      </c>
      <c r="R120">
        <v>30</v>
      </c>
      <c r="S120">
        <v>427500</v>
      </c>
      <c r="T120">
        <v>0</v>
      </c>
      <c r="U120">
        <v>0</v>
      </c>
      <c r="V120">
        <v>30</v>
      </c>
      <c r="W120">
        <v>427500</v>
      </c>
      <c r="X120">
        <v>4500</v>
      </c>
      <c r="Y120">
        <v>6000</v>
      </c>
      <c r="Z120">
        <v>0</v>
      </c>
      <c r="AA120">
        <v>0</v>
      </c>
      <c r="AB120">
        <v>0</v>
      </c>
      <c r="AC120">
        <v>10500</v>
      </c>
    </row>
    <row r="121" spans="1:29">
      <c r="A121">
        <v>191</v>
      </c>
      <c r="B121" t="s">
        <v>149</v>
      </c>
      <c r="C121">
        <v>647</v>
      </c>
      <c r="D121" t="s">
        <v>237</v>
      </c>
      <c r="E121" t="str">
        <f t="shared" si="2"/>
        <v>00647</v>
      </c>
      <c r="F121" t="s">
        <v>65</v>
      </c>
      <c r="G121" t="s">
        <v>208</v>
      </c>
      <c r="H121" t="s">
        <v>157</v>
      </c>
      <c r="I121" t="s">
        <v>238</v>
      </c>
      <c r="J121" t="s">
        <v>158</v>
      </c>
      <c r="K121" t="s">
        <v>174</v>
      </c>
      <c r="L121">
        <v>251200058</v>
      </c>
      <c r="M121" s="84">
        <v>46019</v>
      </c>
      <c r="N121" s="84">
        <v>46019</v>
      </c>
      <c r="O121" t="s">
        <v>241</v>
      </c>
      <c r="P121" t="s">
        <v>242</v>
      </c>
      <c r="Q121">
        <v>17156</v>
      </c>
      <c r="R121">
        <v>2</v>
      </c>
      <c r="S121">
        <v>34312</v>
      </c>
      <c r="T121">
        <v>0</v>
      </c>
      <c r="U121">
        <v>0</v>
      </c>
      <c r="V121">
        <v>2</v>
      </c>
      <c r="W121">
        <v>34312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192</v>
      </c>
      <c r="B122" t="s">
        <v>149</v>
      </c>
      <c r="C122">
        <v>647</v>
      </c>
      <c r="D122" t="s">
        <v>237</v>
      </c>
      <c r="E122" t="str">
        <f t="shared" si="2"/>
        <v>00647</v>
      </c>
      <c r="F122" t="s">
        <v>65</v>
      </c>
      <c r="G122" t="s">
        <v>208</v>
      </c>
      <c r="H122" t="s">
        <v>157</v>
      </c>
      <c r="I122" t="s">
        <v>238</v>
      </c>
      <c r="J122" t="s">
        <v>158</v>
      </c>
      <c r="K122" t="s">
        <v>174</v>
      </c>
      <c r="L122">
        <v>251200058</v>
      </c>
      <c r="M122" s="84">
        <v>46019</v>
      </c>
      <c r="N122" s="84">
        <v>46019</v>
      </c>
      <c r="O122" t="s">
        <v>239</v>
      </c>
      <c r="P122" t="s">
        <v>240</v>
      </c>
      <c r="Q122">
        <v>13684</v>
      </c>
      <c r="R122">
        <v>2</v>
      </c>
      <c r="S122">
        <v>27368</v>
      </c>
      <c r="T122">
        <v>0</v>
      </c>
      <c r="U122">
        <v>0</v>
      </c>
      <c r="V122">
        <v>2</v>
      </c>
      <c r="W122">
        <v>27368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>
        <v>193</v>
      </c>
      <c r="B123" t="s">
        <v>149</v>
      </c>
      <c r="C123">
        <v>647</v>
      </c>
      <c r="D123" t="s">
        <v>237</v>
      </c>
      <c r="E123" t="str">
        <f t="shared" si="2"/>
        <v>00647</v>
      </c>
      <c r="F123" t="s">
        <v>65</v>
      </c>
      <c r="G123" t="s">
        <v>208</v>
      </c>
      <c r="H123" t="s">
        <v>157</v>
      </c>
      <c r="I123" t="s">
        <v>238</v>
      </c>
      <c r="J123" t="s">
        <v>158</v>
      </c>
      <c r="K123" t="s">
        <v>174</v>
      </c>
      <c r="L123">
        <v>251200058</v>
      </c>
      <c r="M123" s="84">
        <v>46019</v>
      </c>
      <c r="N123" s="84">
        <v>46019</v>
      </c>
      <c r="O123" t="s">
        <v>247</v>
      </c>
      <c r="P123" t="s">
        <v>116</v>
      </c>
      <c r="Q123">
        <v>10982</v>
      </c>
      <c r="R123">
        <v>1</v>
      </c>
      <c r="S123">
        <v>10982</v>
      </c>
      <c r="T123">
        <v>0</v>
      </c>
      <c r="U123">
        <v>0</v>
      </c>
      <c r="V123">
        <v>1</v>
      </c>
      <c r="W123">
        <v>10982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194</v>
      </c>
      <c r="B124" t="s">
        <v>149</v>
      </c>
      <c r="C124">
        <v>823</v>
      </c>
      <c r="D124" t="s">
        <v>54</v>
      </c>
      <c r="E124" t="str">
        <f t="shared" si="2"/>
        <v>00823</v>
      </c>
      <c r="F124" t="s">
        <v>49</v>
      </c>
      <c r="G124" t="s">
        <v>167</v>
      </c>
      <c r="H124" t="s">
        <v>151</v>
      </c>
      <c r="I124" t="s">
        <v>4</v>
      </c>
      <c r="J124" t="s">
        <v>158</v>
      </c>
      <c r="K124" t="s">
        <v>153</v>
      </c>
      <c r="L124">
        <v>251200059</v>
      </c>
      <c r="M124" s="84">
        <v>46019</v>
      </c>
      <c r="N124" s="84">
        <v>46019</v>
      </c>
      <c r="O124" t="s">
        <v>168</v>
      </c>
      <c r="P124" t="s">
        <v>169</v>
      </c>
      <c r="Q124">
        <v>14250</v>
      </c>
      <c r="R124">
        <v>4</v>
      </c>
      <c r="S124">
        <v>57000</v>
      </c>
      <c r="T124">
        <v>0</v>
      </c>
      <c r="U124">
        <v>0</v>
      </c>
      <c r="V124">
        <v>4</v>
      </c>
      <c r="W124">
        <v>57000</v>
      </c>
      <c r="X124">
        <v>600</v>
      </c>
      <c r="Y124">
        <v>800</v>
      </c>
      <c r="Z124">
        <v>0</v>
      </c>
      <c r="AA124">
        <v>0</v>
      </c>
      <c r="AB124">
        <v>0</v>
      </c>
      <c r="AC124">
        <v>1400</v>
      </c>
    </row>
    <row r="125" spans="1:29">
      <c r="A125">
        <v>195</v>
      </c>
      <c r="B125" t="s">
        <v>149</v>
      </c>
      <c r="C125">
        <v>1175</v>
      </c>
      <c r="D125" t="s">
        <v>110</v>
      </c>
      <c r="E125" t="str">
        <f t="shared" si="2"/>
        <v>01175</v>
      </c>
      <c r="F125" t="s">
        <v>103</v>
      </c>
      <c r="G125" t="s">
        <v>167</v>
      </c>
      <c r="H125" t="s">
        <v>151</v>
      </c>
      <c r="I125" t="s">
        <v>4</v>
      </c>
      <c r="J125" t="s">
        <v>152</v>
      </c>
      <c r="K125" t="s">
        <v>153</v>
      </c>
      <c r="L125">
        <v>251200059</v>
      </c>
      <c r="M125" s="84">
        <v>45994</v>
      </c>
      <c r="N125" s="84">
        <v>45994</v>
      </c>
      <c r="O125" t="s">
        <v>160</v>
      </c>
      <c r="P125" t="s">
        <v>161</v>
      </c>
      <c r="Q125">
        <v>14250</v>
      </c>
      <c r="R125">
        <v>30</v>
      </c>
      <c r="S125">
        <v>427500</v>
      </c>
      <c r="T125">
        <v>0</v>
      </c>
      <c r="U125">
        <v>0</v>
      </c>
      <c r="V125">
        <v>30</v>
      </c>
      <c r="W125">
        <v>427500</v>
      </c>
      <c r="X125">
        <v>4500</v>
      </c>
      <c r="Y125">
        <v>6000</v>
      </c>
      <c r="Z125">
        <v>0</v>
      </c>
      <c r="AA125">
        <v>0</v>
      </c>
      <c r="AB125">
        <v>0</v>
      </c>
      <c r="AC125">
        <v>10500</v>
      </c>
    </row>
    <row r="126" spans="1:29">
      <c r="A126">
        <v>196</v>
      </c>
      <c r="B126" t="s">
        <v>149</v>
      </c>
      <c r="C126">
        <v>739</v>
      </c>
      <c r="D126" t="s">
        <v>14</v>
      </c>
      <c r="E126" t="str">
        <f t="shared" si="2"/>
        <v>00739</v>
      </c>
      <c r="F126" t="s">
        <v>10</v>
      </c>
      <c r="G126" t="s">
        <v>172</v>
      </c>
      <c r="H126" t="s">
        <v>157</v>
      </c>
      <c r="I126" t="s">
        <v>4</v>
      </c>
      <c r="J126" t="s">
        <v>152</v>
      </c>
      <c r="K126" t="s">
        <v>174</v>
      </c>
      <c r="L126">
        <v>251200060</v>
      </c>
      <c r="M126" s="84">
        <v>45994</v>
      </c>
      <c r="N126" s="84">
        <v>45994</v>
      </c>
      <c r="O126" t="s">
        <v>248</v>
      </c>
      <c r="P126" t="s">
        <v>249</v>
      </c>
      <c r="Q126">
        <v>14250</v>
      </c>
      <c r="R126">
        <v>16</v>
      </c>
      <c r="S126">
        <v>228000</v>
      </c>
      <c r="T126">
        <v>0</v>
      </c>
      <c r="U126">
        <v>0</v>
      </c>
      <c r="V126">
        <v>16</v>
      </c>
      <c r="W126">
        <v>228000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>
        <v>197</v>
      </c>
      <c r="B127" t="s">
        <v>149</v>
      </c>
      <c r="C127">
        <v>833</v>
      </c>
      <c r="D127" t="s">
        <v>13</v>
      </c>
      <c r="E127" t="str">
        <f t="shared" si="2"/>
        <v>00833</v>
      </c>
      <c r="F127" t="s">
        <v>10</v>
      </c>
      <c r="G127" t="s">
        <v>172</v>
      </c>
      <c r="H127" t="s">
        <v>157</v>
      </c>
      <c r="I127" t="s">
        <v>4</v>
      </c>
      <c r="J127" t="s">
        <v>152</v>
      </c>
      <c r="K127" t="s">
        <v>174</v>
      </c>
      <c r="L127">
        <v>251200061</v>
      </c>
      <c r="M127" s="84">
        <v>45994</v>
      </c>
      <c r="N127" s="84">
        <v>45994</v>
      </c>
      <c r="O127" t="s">
        <v>160</v>
      </c>
      <c r="P127" t="s">
        <v>161</v>
      </c>
      <c r="Q127">
        <v>14250</v>
      </c>
      <c r="R127">
        <v>5</v>
      </c>
      <c r="S127">
        <v>71250</v>
      </c>
      <c r="T127">
        <v>0</v>
      </c>
      <c r="U127">
        <v>0</v>
      </c>
      <c r="V127">
        <v>5</v>
      </c>
      <c r="W127">
        <v>71250</v>
      </c>
      <c r="X127">
        <v>750</v>
      </c>
      <c r="Y127">
        <v>1000</v>
      </c>
      <c r="Z127">
        <v>0</v>
      </c>
      <c r="AA127">
        <v>0</v>
      </c>
      <c r="AB127">
        <v>0</v>
      </c>
      <c r="AC127">
        <v>1750</v>
      </c>
    </row>
    <row r="128" spans="1:29">
      <c r="A128">
        <v>199</v>
      </c>
      <c r="B128" t="s">
        <v>149</v>
      </c>
      <c r="C128">
        <v>1284</v>
      </c>
      <c r="D128" t="s">
        <v>186</v>
      </c>
      <c r="E128" t="str">
        <f t="shared" si="2"/>
        <v>01284</v>
      </c>
      <c r="F128" t="s">
        <v>171</v>
      </c>
      <c r="G128" t="s">
        <v>172</v>
      </c>
      <c r="H128" t="s">
        <v>157</v>
      </c>
      <c r="I128" t="s">
        <v>210</v>
      </c>
      <c r="J128" t="s">
        <v>152</v>
      </c>
      <c r="K128" t="s">
        <v>174</v>
      </c>
      <c r="L128">
        <v>251200063</v>
      </c>
      <c r="M128" s="84">
        <v>45994</v>
      </c>
      <c r="N128" s="84">
        <v>45994</v>
      </c>
      <c r="O128" t="s">
        <v>250</v>
      </c>
      <c r="P128" t="s">
        <v>251</v>
      </c>
      <c r="Q128">
        <v>30930</v>
      </c>
      <c r="R128">
        <v>1</v>
      </c>
      <c r="S128">
        <v>30930</v>
      </c>
      <c r="T128">
        <v>0</v>
      </c>
      <c r="U128">
        <v>0</v>
      </c>
      <c r="V128">
        <v>1</v>
      </c>
      <c r="W128">
        <v>30930</v>
      </c>
      <c r="X128">
        <v>928</v>
      </c>
      <c r="Y128">
        <v>1237</v>
      </c>
      <c r="Z128">
        <v>619</v>
      </c>
      <c r="AA128">
        <v>1547</v>
      </c>
      <c r="AB128">
        <v>100</v>
      </c>
      <c r="AC128">
        <v>4431</v>
      </c>
    </row>
    <row r="129" spans="1:29">
      <c r="A129">
        <v>200</v>
      </c>
      <c r="B129" t="s">
        <v>149</v>
      </c>
      <c r="C129">
        <v>315</v>
      </c>
      <c r="D129" t="s">
        <v>85</v>
      </c>
      <c r="E129" t="str">
        <f t="shared" si="2"/>
        <v>00315</v>
      </c>
      <c r="F129" t="s">
        <v>83</v>
      </c>
      <c r="G129" t="s">
        <v>164</v>
      </c>
      <c r="H129" t="s">
        <v>151</v>
      </c>
      <c r="I129" t="s">
        <v>5</v>
      </c>
      <c r="J129" t="s">
        <v>158</v>
      </c>
      <c r="K129" t="s">
        <v>153</v>
      </c>
      <c r="L129">
        <v>251200063</v>
      </c>
      <c r="M129" s="84">
        <v>46020</v>
      </c>
      <c r="N129" s="84">
        <v>46020</v>
      </c>
      <c r="O129" t="s">
        <v>217</v>
      </c>
      <c r="P129" t="s">
        <v>218</v>
      </c>
      <c r="Q129">
        <v>11700</v>
      </c>
      <c r="R129">
        <v>50</v>
      </c>
      <c r="S129">
        <v>585000</v>
      </c>
      <c r="T129">
        <v>0</v>
      </c>
      <c r="U129">
        <v>0</v>
      </c>
      <c r="V129">
        <v>50</v>
      </c>
      <c r="W129">
        <v>585000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>
        <v>201</v>
      </c>
      <c r="B130" t="s">
        <v>149</v>
      </c>
      <c r="C130">
        <v>1487</v>
      </c>
      <c r="D130" t="s">
        <v>88</v>
      </c>
      <c r="E130" t="str">
        <f t="shared" si="2"/>
        <v>01487</v>
      </c>
      <c r="F130" t="s">
        <v>86</v>
      </c>
      <c r="G130" t="s">
        <v>156</v>
      </c>
      <c r="H130" t="s">
        <v>157</v>
      </c>
      <c r="I130" t="s">
        <v>4</v>
      </c>
      <c r="J130" t="s">
        <v>152</v>
      </c>
      <c r="K130" t="s">
        <v>159</v>
      </c>
      <c r="L130">
        <v>251200064</v>
      </c>
      <c r="M130" s="84">
        <v>45994</v>
      </c>
      <c r="N130" s="84">
        <v>45994</v>
      </c>
      <c r="O130" t="s">
        <v>160</v>
      </c>
      <c r="P130" t="s">
        <v>161</v>
      </c>
      <c r="Q130">
        <v>14250</v>
      </c>
      <c r="R130">
        <v>15</v>
      </c>
      <c r="S130">
        <v>213750</v>
      </c>
      <c r="T130">
        <v>0</v>
      </c>
      <c r="U130">
        <v>0</v>
      </c>
      <c r="V130">
        <v>15</v>
      </c>
      <c r="W130">
        <v>213750</v>
      </c>
      <c r="X130">
        <v>2250</v>
      </c>
      <c r="Y130">
        <v>3000</v>
      </c>
      <c r="Z130">
        <v>0</v>
      </c>
      <c r="AA130">
        <v>0</v>
      </c>
      <c r="AB130">
        <v>0</v>
      </c>
      <c r="AC130">
        <v>5250</v>
      </c>
    </row>
    <row r="131" spans="1:29">
      <c r="A131">
        <v>202</v>
      </c>
      <c r="B131" t="s">
        <v>149</v>
      </c>
      <c r="C131">
        <v>1379</v>
      </c>
      <c r="D131" t="s">
        <v>252</v>
      </c>
      <c r="E131" t="str">
        <f t="shared" si="2"/>
        <v>01379</v>
      </c>
      <c r="F131" t="s">
        <v>95</v>
      </c>
      <c r="G131" t="s">
        <v>187</v>
      </c>
      <c r="H131" t="s">
        <v>188</v>
      </c>
      <c r="I131" t="s">
        <v>210</v>
      </c>
      <c r="J131" t="s">
        <v>152</v>
      </c>
      <c r="K131" t="s">
        <v>159</v>
      </c>
      <c r="L131">
        <v>251200065</v>
      </c>
      <c r="M131" s="84">
        <v>45994</v>
      </c>
      <c r="N131" s="84">
        <v>45994</v>
      </c>
      <c r="O131" t="s">
        <v>213</v>
      </c>
      <c r="P131" t="s">
        <v>214</v>
      </c>
      <c r="Q131">
        <v>21750</v>
      </c>
      <c r="R131">
        <v>50</v>
      </c>
      <c r="S131">
        <v>1087500</v>
      </c>
      <c r="T131">
        <v>0</v>
      </c>
      <c r="U131">
        <v>0</v>
      </c>
      <c r="V131">
        <v>50</v>
      </c>
      <c r="W131">
        <v>1087500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204</v>
      </c>
      <c r="B132" t="s">
        <v>149</v>
      </c>
      <c r="C132">
        <v>814</v>
      </c>
      <c r="D132" t="s">
        <v>51</v>
      </c>
      <c r="E132" t="str">
        <f t="shared" si="2"/>
        <v>00814</v>
      </c>
      <c r="F132" t="s">
        <v>49</v>
      </c>
      <c r="G132" t="s">
        <v>167</v>
      </c>
      <c r="H132" t="s">
        <v>151</v>
      </c>
      <c r="I132" t="s">
        <v>4</v>
      </c>
      <c r="J132" t="s">
        <v>158</v>
      </c>
      <c r="K132" t="s">
        <v>153</v>
      </c>
      <c r="L132">
        <v>251200067</v>
      </c>
      <c r="M132" s="84">
        <v>46021</v>
      </c>
      <c r="N132" s="84">
        <v>46021</v>
      </c>
      <c r="O132" t="s">
        <v>160</v>
      </c>
      <c r="P132" t="s">
        <v>161</v>
      </c>
      <c r="Q132">
        <v>14250</v>
      </c>
      <c r="R132">
        <v>50</v>
      </c>
      <c r="S132">
        <v>712500</v>
      </c>
      <c r="T132">
        <v>0</v>
      </c>
      <c r="U132">
        <v>0</v>
      </c>
      <c r="V132">
        <v>50</v>
      </c>
      <c r="W132">
        <v>712500</v>
      </c>
      <c r="X132">
        <v>7500</v>
      </c>
      <c r="Y132">
        <v>10000</v>
      </c>
      <c r="Z132">
        <v>0</v>
      </c>
      <c r="AA132">
        <v>0</v>
      </c>
      <c r="AB132">
        <v>0</v>
      </c>
      <c r="AC132">
        <v>17500</v>
      </c>
    </row>
    <row r="133" spans="1:29">
      <c r="A133">
        <v>205</v>
      </c>
      <c r="B133" t="s">
        <v>149</v>
      </c>
      <c r="C133">
        <v>1352</v>
      </c>
      <c r="D133" t="s">
        <v>42</v>
      </c>
      <c r="E133" t="str">
        <f t="shared" si="2"/>
        <v>01352</v>
      </c>
      <c r="F133" t="s">
        <v>38</v>
      </c>
      <c r="G133" t="s">
        <v>202</v>
      </c>
      <c r="H133" t="s">
        <v>157</v>
      </c>
      <c r="I133" t="s">
        <v>4</v>
      </c>
      <c r="J133" t="s">
        <v>152</v>
      </c>
      <c r="K133" t="s">
        <v>203</v>
      </c>
      <c r="L133">
        <v>251200067</v>
      </c>
      <c r="M133" s="84">
        <v>45994</v>
      </c>
      <c r="N133" s="84">
        <v>45994</v>
      </c>
      <c r="O133" t="s">
        <v>160</v>
      </c>
      <c r="P133" t="s">
        <v>161</v>
      </c>
      <c r="Q133">
        <v>14250</v>
      </c>
      <c r="R133">
        <v>30</v>
      </c>
      <c r="S133">
        <v>427500</v>
      </c>
      <c r="T133">
        <v>0</v>
      </c>
      <c r="U133">
        <v>0</v>
      </c>
      <c r="V133">
        <v>30</v>
      </c>
      <c r="W133">
        <v>427500</v>
      </c>
      <c r="X133">
        <v>4500</v>
      </c>
      <c r="Y133">
        <v>6000</v>
      </c>
      <c r="Z133">
        <v>0</v>
      </c>
      <c r="AA133">
        <v>0</v>
      </c>
      <c r="AB133">
        <v>0</v>
      </c>
      <c r="AC133">
        <v>10500</v>
      </c>
    </row>
    <row r="134" spans="1:29">
      <c r="A134">
        <v>206</v>
      </c>
      <c r="B134" t="s">
        <v>149</v>
      </c>
      <c r="C134">
        <v>1493</v>
      </c>
      <c r="D134" t="s">
        <v>69</v>
      </c>
      <c r="E134" t="str">
        <f t="shared" si="2"/>
        <v>01493</v>
      </c>
      <c r="F134" t="s">
        <v>65</v>
      </c>
      <c r="G134" t="s">
        <v>208</v>
      </c>
      <c r="H134" t="s">
        <v>157</v>
      </c>
      <c r="I134" t="s">
        <v>182</v>
      </c>
      <c r="J134" t="s">
        <v>158</v>
      </c>
      <c r="K134" t="s">
        <v>174</v>
      </c>
      <c r="L134">
        <v>251200068</v>
      </c>
      <c r="M134" s="84">
        <v>46021</v>
      </c>
      <c r="N134" s="84">
        <v>46021</v>
      </c>
      <c r="O134" t="s">
        <v>183</v>
      </c>
      <c r="P134" t="s">
        <v>184</v>
      </c>
      <c r="Q134">
        <v>72</v>
      </c>
      <c r="R134">
        <v>200</v>
      </c>
      <c r="S134">
        <v>14400</v>
      </c>
      <c r="T134">
        <v>0</v>
      </c>
      <c r="U134">
        <v>0</v>
      </c>
      <c r="V134">
        <v>200</v>
      </c>
      <c r="W134">
        <v>14400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>
        <v>207</v>
      </c>
      <c r="B135" t="s">
        <v>149</v>
      </c>
      <c r="C135">
        <v>496</v>
      </c>
      <c r="D135" t="s">
        <v>8</v>
      </c>
      <c r="E135" t="str">
        <f t="shared" si="2"/>
        <v>00496</v>
      </c>
      <c r="F135" t="s">
        <v>7</v>
      </c>
      <c r="G135" t="s">
        <v>156</v>
      </c>
      <c r="H135" t="s">
        <v>157</v>
      </c>
      <c r="I135" t="s">
        <v>4</v>
      </c>
      <c r="J135" t="s">
        <v>152</v>
      </c>
      <c r="K135" t="s">
        <v>159</v>
      </c>
      <c r="L135">
        <v>251200068</v>
      </c>
      <c r="M135" s="84">
        <v>45994</v>
      </c>
      <c r="N135" s="84">
        <v>45994</v>
      </c>
      <c r="O135" t="s">
        <v>243</v>
      </c>
      <c r="P135" t="s">
        <v>244</v>
      </c>
      <c r="Q135">
        <v>15050</v>
      </c>
      <c r="R135">
        <v>5</v>
      </c>
      <c r="S135">
        <v>75250</v>
      </c>
      <c r="T135">
        <v>0</v>
      </c>
      <c r="U135">
        <v>0</v>
      </c>
      <c r="V135">
        <v>5</v>
      </c>
      <c r="W135">
        <v>75250</v>
      </c>
      <c r="X135">
        <v>750</v>
      </c>
      <c r="Y135">
        <v>1000</v>
      </c>
      <c r="Z135">
        <v>0</v>
      </c>
      <c r="AA135">
        <v>0</v>
      </c>
      <c r="AB135">
        <v>0</v>
      </c>
      <c r="AC135">
        <v>1750</v>
      </c>
    </row>
    <row r="136" spans="1:29">
      <c r="A136">
        <v>208</v>
      </c>
      <c r="B136" t="s">
        <v>149</v>
      </c>
      <c r="C136">
        <v>846</v>
      </c>
      <c r="D136" t="s">
        <v>94</v>
      </c>
      <c r="E136" t="str">
        <f t="shared" si="2"/>
        <v>00846</v>
      </c>
      <c r="F136" t="s">
        <v>91</v>
      </c>
      <c r="G136" t="s">
        <v>202</v>
      </c>
      <c r="H136" t="s">
        <v>157</v>
      </c>
      <c r="I136" t="s">
        <v>5</v>
      </c>
      <c r="J136" t="s">
        <v>152</v>
      </c>
      <c r="K136" t="s">
        <v>159</v>
      </c>
      <c r="L136">
        <v>251200069</v>
      </c>
      <c r="M136" s="84">
        <v>45994</v>
      </c>
      <c r="N136" s="84">
        <v>45994</v>
      </c>
      <c r="O136" t="s">
        <v>253</v>
      </c>
      <c r="P136" t="s">
        <v>254</v>
      </c>
      <c r="Q136">
        <v>11700</v>
      </c>
      <c r="R136">
        <v>12</v>
      </c>
      <c r="S136">
        <v>140400</v>
      </c>
      <c r="T136">
        <v>0</v>
      </c>
      <c r="U136">
        <v>0</v>
      </c>
      <c r="V136">
        <v>12</v>
      </c>
      <c r="W136">
        <v>140400</v>
      </c>
      <c r="X136">
        <v>1800</v>
      </c>
      <c r="Y136">
        <v>1800</v>
      </c>
      <c r="Z136">
        <v>0</v>
      </c>
      <c r="AA136">
        <v>0</v>
      </c>
      <c r="AB136">
        <v>0</v>
      </c>
      <c r="AC136">
        <v>3600</v>
      </c>
    </row>
    <row r="137" spans="1:29">
      <c r="A137">
        <v>209</v>
      </c>
      <c r="B137" t="s">
        <v>149</v>
      </c>
      <c r="C137">
        <v>846</v>
      </c>
      <c r="D137" t="s">
        <v>94</v>
      </c>
      <c r="E137" t="str">
        <f t="shared" si="2"/>
        <v>00846</v>
      </c>
      <c r="F137" t="s">
        <v>91</v>
      </c>
      <c r="G137" t="s">
        <v>202</v>
      </c>
      <c r="H137" t="s">
        <v>157</v>
      </c>
      <c r="I137" t="s">
        <v>4</v>
      </c>
      <c r="J137" t="s">
        <v>152</v>
      </c>
      <c r="K137" t="s">
        <v>159</v>
      </c>
      <c r="L137">
        <v>251200069</v>
      </c>
      <c r="M137" s="84">
        <v>45994</v>
      </c>
      <c r="N137" s="84">
        <v>45994</v>
      </c>
      <c r="O137" t="s">
        <v>162</v>
      </c>
      <c r="P137" t="s">
        <v>163</v>
      </c>
      <c r="Q137">
        <v>14250</v>
      </c>
      <c r="R137">
        <v>25</v>
      </c>
      <c r="S137">
        <v>356250</v>
      </c>
      <c r="T137">
        <v>0</v>
      </c>
      <c r="U137">
        <v>0</v>
      </c>
      <c r="V137">
        <v>25</v>
      </c>
      <c r="W137">
        <v>356250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210</v>
      </c>
      <c r="B138" t="s">
        <v>149</v>
      </c>
      <c r="C138">
        <v>1493</v>
      </c>
      <c r="D138" t="s">
        <v>69</v>
      </c>
      <c r="E138" t="str">
        <f t="shared" si="2"/>
        <v>01493</v>
      </c>
      <c r="F138" t="s">
        <v>65</v>
      </c>
      <c r="G138" t="s">
        <v>208</v>
      </c>
      <c r="H138" t="s">
        <v>157</v>
      </c>
      <c r="I138" t="s">
        <v>182</v>
      </c>
      <c r="J138" t="s">
        <v>158</v>
      </c>
      <c r="K138" t="s">
        <v>174</v>
      </c>
      <c r="L138">
        <v>251200069</v>
      </c>
      <c r="M138" s="84">
        <v>46021</v>
      </c>
      <c r="N138" s="84">
        <v>46021</v>
      </c>
      <c r="O138" t="s">
        <v>183</v>
      </c>
      <c r="P138" t="s">
        <v>184</v>
      </c>
      <c r="Q138">
        <v>72</v>
      </c>
      <c r="R138">
        <v>100</v>
      </c>
      <c r="S138">
        <v>7200</v>
      </c>
      <c r="T138">
        <v>0</v>
      </c>
      <c r="U138">
        <v>0</v>
      </c>
      <c r="V138">
        <v>100</v>
      </c>
      <c r="W138">
        <v>7200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211</v>
      </c>
      <c r="B139" t="s">
        <v>149</v>
      </c>
      <c r="C139">
        <v>1429</v>
      </c>
      <c r="D139" t="s">
        <v>47</v>
      </c>
      <c r="E139" t="str">
        <f t="shared" si="2"/>
        <v>01429</v>
      </c>
      <c r="F139" t="s">
        <v>43</v>
      </c>
      <c r="G139" t="s">
        <v>150</v>
      </c>
      <c r="H139" t="s">
        <v>151</v>
      </c>
      <c r="I139" t="s">
        <v>5</v>
      </c>
      <c r="J139" t="s">
        <v>152</v>
      </c>
      <c r="K139" t="s">
        <v>153</v>
      </c>
      <c r="L139">
        <v>251200070</v>
      </c>
      <c r="M139" s="84">
        <v>45994</v>
      </c>
      <c r="N139" s="84">
        <v>45994</v>
      </c>
      <c r="O139" t="s">
        <v>191</v>
      </c>
      <c r="P139" t="s">
        <v>192</v>
      </c>
      <c r="Q139">
        <v>11700</v>
      </c>
      <c r="R139">
        <v>8</v>
      </c>
      <c r="S139">
        <v>93600</v>
      </c>
      <c r="T139">
        <v>0</v>
      </c>
      <c r="U139">
        <v>0</v>
      </c>
      <c r="V139">
        <v>8</v>
      </c>
      <c r="W139">
        <v>93600</v>
      </c>
      <c r="X139">
        <v>1200</v>
      </c>
      <c r="Y139">
        <v>1200</v>
      </c>
      <c r="Z139">
        <v>0</v>
      </c>
      <c r="AA139">
        <v>0</v>
      </c>
      <c r="AB139">
        <v>0</v>
      </c>
      <c r="AC139">
        <v>2400</v>
      </c>
    </row>
    <row r="140" spans="1:29">
      <c r="A140">
        <v>212</v>
      </c>
      <c r="B140" t="s">
        <v>149</v>
      </c>
      <c r="C140">
        <v>1429</v>
      </c>
      <c r="D140" t="s">
        <v>47</v>
      </c>
      <c r="E140" t="str">
        <f t="shared" si="2"/>
        <v>01429</v>
      </c>
      <c r="F140" t="s">
        <v>43</v>
      </c>
      <c r="G140" t="s">
        <v>150</v>
      </c>
      <c r="H140" t="s">
        <v>151</v>
      </c>
      <c r="I140" t="s">
        <v>4</v>
      </c>
      <c r="J140" t="s">
        <v>152</v>
      </c>
      <c r="K140" t="s">
        <v>153</v>
      </c>
      <c r="L140">
        <v>251200070</v>
      </c>
      <c r="M140" s="84">
        <v>45994</v>
      </c>
      <c r="N140" s="84">
        <v>45994</v>
      </c>
      <c r="O140" t="s">
        <v>160</v>
      </c>
      <c r="P140" t="s">
        <v>161</v>
      </c>
      <c r="Q140">
        <v>14250</v>
      </c>
      <c r="R140">
        <v>5</v>
      </c>
      <c r="S140">
        <v>71250</v>
      </c>
      <c r="T140">
        <v>0</v>
      </c>
      <c r="U140">
        <v>0</v>
      </c>
      <c r="V140">
        <v>5</v>
      </c>
      <c r="W140">
        <v>71250</v>
      </c>
      <c r="X140">
        <v>750</v>
      </c>
      <c r="Y140">
        <v>1000</v>
      </c>
      <c r="Z140">
        <v>0</v>
      </c>
      <c r="AA140">
        <v>0</v>
      </c>
      <c r="AB140">
        <v>0</v>
      </c>
      <c r="AC140">
        <v>1750</v>
      </c>
    </row>
    <row r="141" spans="1:29">
      <c r="A141">
        <v>219</v>
      </c>
      <c r="B141" t="s">
        <v>149</v>
      </c>
      <c r="C141">
        <v>159</v>
      </c>
      <c r="D141" t="s">
        <v>50</v>
      </c>
      <c r="E141" t="str">
        <f t="shared" si="2"/>
        <v>00159</v>
      </c>
      <c r="F141" t="s">
        <v>49</v>
      </c>
      <c r="G141" t="s">
        <v>167</v>
      </c>
      <c r="H141" t="s">
        <v>151</v>
      </c>
      <c r="I141" t="s">
        <v>4</v>
      </c>
      <c r="J141" t="s">
        <v>152</v>
      </c>
      <c r="K141" t="s">
        <v>153</v>
      </c>
      <c r="L141">
        <v>251200075</v>
      </c>
      <c r="M141" s="84">
        <v>45994</v>
      </c>
      <c r="N141" s="84">
        <v>45994</v>
      </c>
      <c r="O141" t="s">
        <v>160</v>
      </c>
      <c r="P141" t="s">
        <v>161</v>
      </c>
      <c r="Q141">
        <v>14250</v>
      </c>
      <c r="R141">
        <v>50</v>
      </c>
      <c r="S141">
        <v>712500</v>
      </c>
      <c r="T141">
        <v>0</v>
      </c>
      <c r="U141">
        <v>0</v>
      </c>
      <c r="V141">
        <v>50</v>
      </c>
      <c r="W141">
        <v>712500</v>
      </c>
      <c r="X141">
        <v>7500</v>
      </c>
      <c r="Y141">
        <v>10000</v>
      </c>
      <c r="Z141">
        <v>0</v>
      </c>
      <c r="AA141">
        <v>0</v>
      </c>
      <c r="AB141">
        <v>0</v>
      </c>
      <c r="AC141">
        <v>17500</v>
      </c>
    </row>
    <row r="142" spans="1:29">
      <c r="A142">
        <v>220</v>
      </c>
      <c r="B142" t="s">
        <v>149</v>
      </c>
      <c r="C142">
        <v>159</v>
      </c>
      <c r="D142" t="s">
        <v>50</v>
      </c>
      <c r="E142" t="str">
        <f t="shared" si="2"/>
        <v>00159</v>
      </c>
      <c r="F142" t="s">
        <v>49</v>
      </c>
      <c r="G142" t="s">
        <v>167</v>
      </c>
      <c r="H142" t="s">
        <v>151</v>
      </c>
      <c r="I142" t="s">
        <v>4</v>
      </c>
      <c r="J142" t="s">
        <v>152</v>
      </c>
      <c r="K142" t="s">
        <v>153</v>
      </c>
      <c r="L142">
        <v>251200075</v>
      </c>
      <c r="M142" s="84">
        <v>45994</v>
      </c>
      <c r="N142" s="84">
        <v>45994</v>
      </c>
      <c r="O142" t="s">
        <v>177</v>
      </c>
      <c r="P142" t="s">
        <v>178</v>
      </c>
      <c r="Q142">
        <v>14250</v>
      </c>
      <c r="R142">
        <v>2</v>
      </c>
      <c r="S142">
        <v>28500</v>
      </c>
      <c r="T142">
        <v>0</v>
      </c>
      <c r="U142">
        <v>0</v>
      </c>
      <c r="V142">
        <v>2</v>
      </c>
      <c r="W142">
        <v>28500</v>
      </c>
      <c r="X142">
        <v>300</v>
      </c>
      <c r="Y142">
        <v>400</v>
      </c>
      <c r="Z142">
        <v>0</v>
      </c>
      <c r="AA142">
        <v>0</v>
      </c>
      <c r="AB142">
        <v>0</v>
      </c>
      <c r="AC142">
        <v>700</v>
      </c>
    </row>
    <row r="143" spans="1:29">
      <c r="A143">
        <v>221</v>
      </c>
      <c r="B143" t="s">
        <v>149</v>
      </c>
      <c r="C143">
        <v>1152</v>
      </c>
      <c r="D143" t="s">
        <v>58</v>
      </c>
      <c r="E143" t="str">
        <f t="shared" si="2"/>
        <v>01152</v>
      </c>
      <c r="F143" t="s">
        <v>49</v>
      </c>
      <c r="G143" t="s">
        <v>167</v>
      </c>
      <c r="H143" t="s">
        <v>151</v>
      </c>
      <c r="I143" t="s">
        <v>4</v>
      </c>
      <c r="J143" t="s">
        <v>158</v>
      </c>
      <c r="K143" t="s">
        <v>153</v>
      </c>
      <c r="L143">
        <v>251200076</v>
      </c>
      <c r="M143" s="84">
        <v>46022</v>
      </c>
      <c r="N143" s="84">
        <v>46022</v>
      </c>
      <c r="O143" t="s">
        <v>160</v>
      </c>
      <c r="P143" t="s">
        <v>161</v>
      </c>
      <c r="Q143">
        <v>14250</v>
      </c>
      <c r="R143">
        <v>18</v>
      </c>
      <c r="S143">
        <v>256500</v>
      </c>
      <c r="T143">
        <v>0</v>
      </c>
      <c r="U143">
        <v>0</v>
      </c>
      <c r="V143">
        <v>18</v>
      </c>
      <c r="W143">
        <v>256500</v>
      </c>
      <c r="X143">
        <v>2700</v>
      </c>
      <c r="Y143">
        <v>3600</v>
      </c>
      <c r="Z143">
        <v>0</v>
      </c>
      <c r="AA143">
        <v>0</v>
      </c>
      <c r="AB143">
        <v>0</v>
      </c>
      <c r="AC143">
        <v>6300</v>
      </c>
    </row>
    <row r="144" spans="1:29">
      <c r="A144">
        <v>222</v>
      </c>
      <c r="B144" t="s">
        <v>149</v>
      </c>
      <c r="C144">
        <v>1108</v>
      </c>
      <c r="D144" t="s">
        <v>107</v>
      </c>
      <c r="E144" t="str">
        <f t="shared" si="2"/>
        <v>01108</v>
      </c>
      <c r="F144" t="s">
        <v>103</v>
      </c>
      <c r="G144" t="s">
        <v>167</v>
      </c>
      <c r="H144" t="s">
        <v>151</v>
      </c>
      <c r="I144" t="s">
        <v>5</v>
      </c>
      <c r="J144" t="s">
        <v>152</v>
      </c>
      <c r="K144" t="s">
        <v>153</v>
      </c>
      <c r="L144">
        <v>251200076</v>
      </c>
      <c r="M144" s="84">
        <v>45994</v>
      </c>
      <c r="N144" s="84">
        <v>45994</v>
      </c>
      <c r="O144" t="s">
        <v>191</v>
      </c>
      <c r="P144" t="s">
        <v>192</v>
      </c>
      <c r="Q144">
        <v>11700</v>
      </c>
      <c r="R144">
        <v>20</v>
      </c>
      <c r="S144">
        <v>234000</v>
      </c>
      <c r="T144">
        <v>0</v>
      </c>
      <c r="U144">
        <v>0</v>
      </c>
      <c r="V144">
        <v>20</v>
      </c>
      <c r="W144">
        <v>234000</v>
      </c>
      <c r="X144">
        <v>3000</v>
      </c>
      <c r="Y144">
        <v>3000</v>
      </c>
      <c r="Z144">
        <v>0</v>
      </c>
      <c r="AA144">
        <v>0</v>
      </c>
      <c r="AB144">
        <v>0</v>
      </c>
      <c r="AC144">
        <v>6000</v>
      </c>
    </row>
    <row r="145" spans="1:29">
      <c r="A145">
        <v>223</v>
      </c>
      <c r="B145" t="s">
        <v>149</v>
      </c>
      <c r="C145">
        <v>1108</v>
      </c>
      <c r="D145" t="s">
        <v>107</v>
      </c>
      <c r="E145" t="str">
        <f t="shared" si="2"/>
        <v>01108</v>
      </c>
      <c r="F145" t="s">
        <v>103</v>
      </c>
      <c r="G145" t="s">
        <v>167</v>
      </c>
      <c r="H145" t="s">
        <v>151</v>
      </c>
      <c r="I145" t="s">
        <v>4</v>
      </c>
      <c r="J145" t="s">
        <v>152</v>
      </c>
      <c r="K145" t="s">
        <v>153</v>
      </c>
      <c r="L145">
        <v>251200076</v>
      </c>
      <c r="M145" s="84">
        <v>45994</v>
      </c>
      <c r="N145" s="84">
        <v>45994</v>
      </c>
      <c r="O145" t="s">
        <v>160</v>
      </c>
      <c r="P145" t="s">
        <v>161</v>
      </c>
      <c r="Q145">
        <v>14250</v>
      </c>
      <c r="R145">
        <v>50</v>
      </c>
      <c r="S145">
        <v>712500</v>
      </c>
      <c r="T145">
        <v>0</v>
      </c>
      <c r="U145">
        <v>0</v>
      </c>
      <c r="V145">
        <v>50</v>
      </c>
      <c r="W145">
        <v>712500</v>
      </c>
      <c r="X145">
        <v>7500</v>
      </c>
      <c r="Y145">
        <v>10000</v>
      </c>
      <c r="Z145">
        <v>0</v>
      </c>
      <c r="AA145">
        <v>0</v>
      </c>
      <c r="AB145">
        <v>0</v>
      </c>
      <c r="AC145">
        <v>17500</v>
      </c>
    </row>
    <row r="146" spans="1:29">
      <c r="A146">
        <v>224</v>
      </c>
      <c r="B146" t="s">
        <v>149</v>
      </c>
      <c r="C146">
        <v>30</v>
      </c>
      <c r="D146" t="s">
        <v>255</v>
      </c>
      <c r="E146" t="str">
        <f t="shared" si="2"/>
        <v>00030</v>
      </c>
      <c r="F146" t="s">
        <v>111</v>
      </c>
      <c r="G146" t="s">
        <v>150</v>
      </c>
      <c r="H146" t="s">
        <v>151</v>
      </c>
      <c r="I146" t="s">
        <v>182</v>
      </c>
      <c r="J146" t="s">
        <v>152</v>
      </c>
      <c r="K146" t="s">
        <v>153</v>
      </c>
      <c r="L146">
        <v>251200077</v>
      </c>
      <c r="M146" s="84">
        <v>45994</v>
      </c>
      <c r="N146" s="84">
        <v>45994</v>
      </c>
      <c r="O146" t="s">
        <v>183</v>
      </c>
      <c r="P146" t="s">
        <v>184</v>
      </c>
      <c r="Q146">
        <v>72</v>
      </c>
      <c r="R146">
        <v>500</v>
      </c>
      <c r="S146">
        <v>36000</v>
      </c>
      <c r="T146">
        <v>0</v>
      </c>
      <c r="U146">
        <v>0</v>
      </c>
      <c r="V146">
        <v>500</v>
      </c>
      <c r="W146">
        <v>36000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>
        <v>225</v>
      </c>
      <c r="B147" t="s">
        <v>149</v>
      </c>
      <c r="C147">
        <v>537</v>
      </c>
      <c r="D147" t="s">
        <v>89</v>
      </c>
      <c r="E147" t="str">
        <f t="shared" si="2"/>
        <v>00537</v>
      </c>
      <c r="F147" t="s">
        <v>86</v>
      </c>
      <c r="G147" t="s">
        <v>156</v>
      </c>
      <c r="H147" t="s">
        <v>157</v>
      </c>
      <c r="I147" t="s">
        <v>4</v>
      </c>
      <c r="J147" t="s">
        <v>158</v>
      </c>
      <c r="K147" t="s">
        <v>159</v>
      </c>
      <c r="L147">
        <v>251200077</v>
      </c>
      <c r="M147" s="84">
        <v>46022</v>
      </c>
      <c r="N147" s="84">
        <v>46022</v>
      </c>
      <c r="O147" t="s">
        <v>160</v>
      </c>
      <c r="P147" t="s">
        <v>161</v>
      </c>
      <c r="Q147">
        <v>14250</v>
      </c>
      <c r="R147">
        <v>30</v>
      </c>
      <c r="S147">
        <v>427500</v>
      </c>
      <c r="T147">
        <v>0</v>
      </c>
      <c r="U147">
        <v>0</v>
      </c>
      <c r="V147">
        <v>30</v>
      </c>
      <c r="W147">
        <v>427500</v>
      </c>
      <c r="X147">
        <v>4500</v>
      </c>
      <c r="Y147">
        <v>6000</v>
      </c>
      <c r="Z147">
        <v>0</v>
      </c>
      <c r="AA147">
        <v>0</v>
      </c>
      <c r="AB147">
        <v>0</v>
      </c>
      <c r="AC147">
        <v>10500</v>
      </c>
    </row>
    <row r="148" spans="1:29">
      <c r="A148">
        <v>226</v>
      </c>
      <c r="B148" t="s">
        <v>149</v>
      </c>
      <c r="C148">
        <v>1112</v>
      </c>
      <c r="D148" t="s">
        <v>44</v>
      </c>
      <c r="E148" t="str">
        <f t="shared" si="2"/>
        <v>01112</v>
      </c>
      <c r="F148" t="s">
        <v>43</v>
      </c>
      <c r="G148" t="s">
        <v>150</v>
      </c>
      <c r="H148" t="s">
        <v>151</v>
      </c>
      <c r="I148" t="s">
        <v>182</v>
      </c>
      <c r="J148" t="s">
        <v>152</v>
      </c>
      <c r="K148" t="s">
        <v>153</v>
      </c>
      <c r="L148">
        <v>251200078</v>
      </c>
      <c r="M148" s="84">
        <v>45994</v>
      </c>
      <c r="N148" s="84">
        <v>45994</v>
      </c>
      <c r="O148" t="s">
        <v>183</v>
      </c>
      <c r="P148" t="s">
        <v>184</v>
      </c>
      <c r="Q148">
        <v>72</v>
      </c>
      <c r="R148">
        <v>300</v>
      </c>
      <c r="S148">
        <v>21600</v>
      </c>
      <c r="T148">
        <v>0</v>
      </c>
      <c r="U148">
        <v>0</v>
      </c>
      <c r="V148">
        <v>300</v>
      </c>
      <c r="W148">
        <v>21600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>
        <v>227</v>
      </c>
      <c r="B149" t="s">
        <v>149</v>
      </c>
      <c r="C149">
        <v>1503</v>
      </c>
      <c r="D149" t="s">
        <v>100</v>
      </c>
      <c r="E149" t="str">
        <f t="shared" si="2"/>
        <v>01503</v>
      </c>
      <c r="F149" t="s">
        <v>95</v>
      </c>
      <c r="G149" t="s">
        <v>187</v>
      </c>
      <c r="H149" t="s">
        <v>188</v>
      </c>
      <c r="I149" t="s">
        <v>4</v>
      </c>
      <c r="J149" t="s">
        <v>158</v>
      </c>
      <c r="K149" t="s">
        <v>174</v>
      </c>
      <c r="L149">
        <v>251200078</v>
      </c>
      <c r="M149" s="84">
        <v>46022</v>
      </c>
      <c r="N149" s="84">
        <v>46022</v>
      </c>
      <c r="O149" t="s">
        <v>256</v>
      </c>
      <c r="P149" t="s">
        <v>257</v>
      </c>
      <c r="Q149">
        <v>12700</v>
      </c>
      <c r="R149">
        <v>10</v>
      </c>
      <c r="S149">
        <v>127000</v>
      </c>
      <c r="T149">
        <v>0</v>
      </c>
      <c r="U149">
        <v>0</v>
      </c>
      <c r="V149">
        <v>10</v>
      </c>
      <c r="W149">
        <v>127000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>
        <v>228</v>
      </c>
      <c r="B150" t="s">
        <v>149</v>
      </c>
      <c r="C150">
        <v>315</v>
      </c>
      <c r="D150" t="s">
        <v>85</v>
      </c>
      <c r="E150" t="str">
        <f t="shared" ref="E150:E159" si="3">TEXT(C150,"00000")</f>
        <v>00315</v>
      </c>
      <c r="F150" t="s">
        <v>83</v>
      </c>
      <c r="G150" t="s">
        <v>164</v>
      </c>
      <c r="H150" t="s">
        <v>151</v>
      </c>
      <c r="I150" t="s">
        <v>5</v>
      </c>
      <c r="J150" t="s">
        <v>158</v>
      </c>
      <c r="K150" t="s">
        <v>153</v>
      </c>
      <c r="L150">
        <v>251200079</v>
      </c>
      <c r="M150" s="84">
        <v>46022</v>
      </c>
      <c r="N150" s="84">
        <v>46022</v>
      </c>
      <c r="O150" t="s">
        <v>191</v>
      </c>
      <c r="P150" t="s">
        <v>192</v>
      </c>
      <c r="Q150">
        <v>11700</v>
      </c>
      <c r="R150">
        <v>8</v>
      </c>
      <c r="S150">
        <v>93600</v>
      </c>
      <c r="T150">
        <v>0</v>
      </c>
      <c r="U150">
        <v>0</v>
      </c>
      <c r="V150">
        <v>8</v>
      </c>
      <c r="W150">
        <v>93600</v>
      </c>
      <c r="X150">
        <v>1200</v>
      </c>
      <c r="Y150">
        <v>1200</v>
      </c>
      <c r="Z150">
        <v>0</v>
      </c>
      <c r="AA150">
        <v>0</v>
      </c>
      <c r="AB150">
        <v>0</v>
      </c>
      <c r="AC150">
        <v>2400</v>
      </c>
    </row>
    <row r="151" spans="1:29">
      <c r="A151">
        <v>229</v>
      </c>
      <c r="B151" t="s">
        <v>149</v>
      </c>
      <c r="C151">
        <v>315</v>
      </c>
      <c r="D151" t="s">
        <v>85</v>
      </c>
      <c r="E151" t="str">
        <f t="shared" si="3"/>
        <v>00315</v>
      </c>
      <c r="F151" t="s">
        <v>83</v>
      </c>
      <c r="G151" t="s">
        <v>164</v>
      </c>
      <c r="H151" t="s">
        <v>151</v>
      </c>
      <c r="I151" t="s">
        <v>4</v>
      </c>
      <c r="J151" t="s">
        <v>158</v>
      </c>
      <c r="K151" t="s">
        <v>153</v>
      </c>
      <c r="L151">
        <v>251200079</v>
      </c>
      <c r="M151" s="84">
        <v>46022</v>
      </c>
      <c r="N151" s="84">
        <v>46022</v>
      </c>
      <c r="O151" t="s">
        <v>258</v>
      </c>
      <c r="P151" t="s">
        <v>259</v>
      </c>
      <c r="Q151">
        <v>14250</v>
      </c>
      <c r="R151">
        <v>20</v>
      </c>
      <c r="S151">
        <v>285000</v>
      </c>
      <c r="T151">
        <v>0</v>
      </c>
      <c r="U151">
        <v>0</v>
      </c>
      <c r="V151">
        <v>20</v>
      </c>
      <c r="W151">
        <v>285000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>
        <v>231</v>
      </c>
      <c r="B152" t="s">
        <v>149</v>
      </c>
      <c r="C152">
        <v>315</v>
      </c>
      <c r="D152" t="s">
        <v>85</v>
      </c>
      <c r="E152" t="str">
        <f t="shared" si="3"/>
        <v>00315</v>
      </c>
      <c r="F152" t="s">
        <v>83</v>
      </c>
      <c r="G152" t="s">
        <v>164</v>
      </c>
      <c r="H152" t="s">
        <v>151</v>
      </c>
      <c r="I152" t="s">
        <v>5</v>
      </c>
      <c r="J152" t="s">
        <v>158</v>
      </c>
      <c r="K152" t="s">
        <v>153</v>
      </c>
      <c r="L152">
        <v>251200079</v>
      </c>
      <c r="M152" s="84">
        <v>46022</v>
      </c>
      <c r="N152" s="84">
        <v>46022</v>
      </c>
      <c r="O152" t="s">
        <v>217</v>
      </c>
      <c r="P152" t="s">
        <v>218</v>
      </c>
      <c r="Q152">
        <v>11700</v>
      </c>
      <c r="R152">
        <v>120</v>
      </c>
      <c r="S152">
        <v>1404000</v>
      </c>
      <c r="T152">
        <v>0</v>
      </c>
      <c r="U152">
        <v>0</v>
      </c>
      <c r="V152">
        <v>120</v>
      </c>
      <c r="W152">
        <v>1404000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>
      <c r="A153">
        <v>233</v>
      </c>
      <c r="B153" t="s">
        <v>149</v>
      </c>
      <c r="C153">
        <v>1466</v>
      </c>
      <c r="D153" t="s">
        <v>81</v>
      </c>
      <c r="E153" t="str">
        <f t="shared" si="3"/>
        <v>01466</v>
      </c>
      <c r="F153" t="s">
        <v>80</v>
      </c>
      <c r="G153" t="s">
        <v>164</v>
      </c>
      <c r="H153" t="s">
        <v>151</v>
      </c>
      <c r="I153" t="s">
        <v>4</v>
      </c>
      <c r="J153" t="s">
        <v>152</v>
      </c>
      <c r="K153" t="s">
        <v>153</v>
      </c>
      <c r="L153">
        <v>251200080</v>
      </c>
      <c r="M153" s="84">
        <v>45995</v>
      </c>
      <c r="N153" s="84">
        <v>45995</v>
      </c>
      <c r="O153" t="s">
        <v>160</v>
      </c>
      <c r="P153" t="s">
        <v>161</v>
      </c>
      <c r="Q153">
        <v>14250</v>
      </c>
      <c r="R153">
        <v>5</v>
      </c>
      <c r="S153">
        <v>71250</v>
      </c>
      <c r="T153">
        <v>0</v>
      </c>
      <c r="U153">
        <v>0</v>
      </c>
      <c r="V153">
        <v>5</v>
      </c>
      <c r="W153">
        <v>71250</v>
      </c>
      <c r="X153">
        <v>750</v>
      </c>
      <c r="Y153">
        <v>1000</v>
      </c>
      <c r="Z153">
        <v>0</v>
      </c>
      <c r="AA153">
        <v>0</v>
      </c>
      <c r="AB153">
        <v>0</v>
      </c>
      <c r="AC153">
        <v>1750</v>
      </c>
    </row>
    <row r="154" spans="1:29">
      <c r="A154">
        <v>234</v>
      </c>
      <c r="B154" t="s">
        <v>149</v>
      </c>
      <c r="C154">
        <v>1429</v>
      </c>
      <c r="D154" t="s">
        <v>47</v>
      </c>
      <c r="E154" t="str">
        <f t="shared" si="3"/>
        <v>01429</v>
      </c>
      <c r="F154" t="s">
        <v>43</v>
      </c>
      <c r="G154" t="s">
        <v>150</v>
      </c>
      <c r="H154" t="s">
        <v>151</v>
      </c>
      <c r="I154" t="s">
        <v>4</v>
      </c>
      <c r="J154" t="s">
        <v>152</v>
      </c>
      <c r="K154" t="s">
        <v>153</v>
      </c>
      <c r="L154">
        <v>251200081</v>
      </c>
      <c r="M154" s="84">
        <v>45995</v>
      </c>
      <c r="N154" s="84">
        <v>45995</v>
      </c>
      <c r="O154" t="s">
        <v>160</v>
      </c>
      <c r="P154" t="s">
        <v>161</v>
      </c>
      <c r="Q154">
        <v>14250</v>
      </c>
      <c r="R154">
        <v>5</v>
      </c>
      <c r="S154">
        <v>71250</v>
      </c>
      <c r="T154">
        <v>0</v>
      </c>
      <c r="U154">
        <v>0</v>
      </c>
      <c r="V154">
        <v>5</v>
      </c>
      <c r="W154">
        <v>71250</v>
      </c>
      <c r="X154">
        <v>750</v>
      </c>
      <c r="Y154">
        <v>1000</v>
      </c>
      <c r="Z154">
        <v>0</v>
      </c>
      <c r="AA154">
        <v>0</v>
      </c>
      <c r="AB154">
        <v>0</v>
      </c>
      <c r="AC154">
        <v>1750</v>
      </c>
    </row>
    <row r="155" spans="1:29">
      <c r="A155">
        <v>235</v>
      </c>
      <c r="B155" t="s">
        <v>149</v>
      </c>
      <c r="C155">
        <v>1429</v>
      </c>
      <c r="D155" t="s">
        <v>47</v>
      </c>
      <c r="E155" t="str">
        <f t="shared" si="3"/>
        <v>01429</v>
      </c>
      <c r="F155" t="s">
        <v>43</v>
      </c>
      <c r="G155" t="s">
        <v>150</v>
      </c>
      <c r="H155" t="s">
        <v>151</v>
      </c>
      <c r="I155" t="s">
        <v>5</v>
      </c>
      <c r="J155" t="s">
        <v>152</v>
      </c>
      <c r="K155" t="s">
        <v>153</v>
      </c>
      <c r="L155">
        <v>251200081</v>
      </c>
      <c r="M155" s="84">
        <v>45995</v>
      </c>
      <c r="N155" s="84">
        <v>45995</v>
      </c>
      <c r="O155" t="s">
        <v>191</v>
      </c>
      <c r="P155" t="s">
        <v>192</v>
      </c>
      <c r="Q155">
        <v>11700</v>
      </c>
      <c r="R155">
        <v>4</v>
      </c>
      <c r="S155">
        <v>46800</v>
      </c>
      <c r="T155">
        <v>0</v>
      </c>
      <c r="U155">
        <v>0</v>
      </c>
      <c r="V155">
        <v>4</v>
      </c>
      <c r="W155">
        <v>46800</v>
      </c>
      <c r="X155">
        <v>600</v>
      </c>
      <c r="Y155">
        <v>600</v>
      </c>
      <c r="Z155">
        <v>0</v>
      </c>
      <c r="AA155">
        <v>0</v>
      </c>
      <c r="AB155">
        <v>0</v>
      </c>
      <c r="AC155">
        <v>1200</v>
      </c>
    </row>
    <row r="156" spans="1:29">
      <c r="A156">
        <v>236</v>
      </c>
      <c r="B156" t="s">
        <v>149</v>
      </c>
      <c r="C156">
        <v>94</v>
      </c>
      <c r="D156" t="s">
        <v>45</v>
      </c>
      <c r="E156" t="str">
        <f t="shared" si="3"/>
        <v>00094</v>
      </c>
      <c r="F156" t="s">
        <v>43</v>
      </c>
      <c r="G156" t="s">
        <v>150</v>
      </c>
      <c r="H156" t="s">
        <v>151</v>
      </c>
      <c r="I156" t="s">
        <v>5</v>
      </c>
      <c r="J156" t="s">
        <v>152</v>
      </c>
      <c r="K156" t="s">
        <v>153</v>
      </c>
      <c r="L156">
        <v>251200082</v>
      </c>
      <c r="M156" s="84">
        <v>45995</v>
      </c>
      <c r="N156" s="84">
        <v>45995</v>
      </c>
      <c r="O156" t="s">
        <v>191</v>
      </c>
      <c r="P156" t="s">
        <v>192</v>
      </c>
      <c r="Q156">
        <v>11700</v>
      </c>
      <c r="R156">
        <v>8</v>
      </c>
      <c r="S156">
        <v>93600</v>
      </c>
      <c r="T156">
        <v>0</v>
      </c>
      <c r="U156">
        <v>0</v>
      </c>
      <c r="V156">
        <v>8</v>
      </c>
      <c r="W156">
        <v>93600</v>
      </c>
      <c r="X156">
        <v>1200</v>
      </c>
      <c r="Y156">
        <v>1200</v>
      </c>
      <c r="Z156">
        <v>0</v>
      </c>
      <c r="AA156">
        <v>0</v>
      </c>
      <c r="AB156">
        <v>0</v>
      </c>
      <c r="AC156">
        <v>2400</v>
      </c>
    </row>
    <row r="157" spans="1:29">
      <c r="A157">
        <v>240</v>
      </c>
      <c r="B157" t="s">
        <v>149</v>
      </c>
      <c r="C157">
        <v>1404</v>
      </c>
      <c r="D157" t="s">
        <v>113</v>
      </c>
      <c r="E157" t="str">
        <f t="shared" si="3"/>
        <v>01404</v>
      </c>
      <c r="F157" t="s">
        <v>111</v>
      </c>
      <c r="G157" t="s">
        <v>150</v>
      </c>
      <c r="H157" t="s">
        <v>151</v>
      </c>
      <c r="I157" t="s">
        <v>5</v>
      </c>
      <c r="J157" t="s">
        <v>152</v>
      </c>
      <c r="K157" t="s">
        <v>153</v>
      </c>
      <c r="L157">
        <v>251200085</v>
      </c>
      <c r="M157" s="84">
        <v>45995</v>
      </c>
      <c r="N157" s="84">
        <v>45995</v>
      </c>
      <c r="O157" t="s">
        <v>260</v>
      </c>
      <c r="P157" t="s">
        <v>261</v>
      </c>
      <c r="Q157">
        <v>11700</v>
      </c>
      <c r="R157">
        <v>8</v>
      </c>
      <c r="S157">
        <v>93600</v>
      </c>
      <c r="T157">
        <v>0</v>
      </c>
      <c r="U157">
        <v>0</v>
      </c>
      <c r="V157">
        <v>8</v>
      </c>
      <c r="W157">
        <v>93600</v>
      </c>
      <c r="X157">
        <v>1200</v>
      </c>
      <c r="Y157">
        <v>1200</v>
      </c>
      <c r="Z157">
        <v>0</v>
      </c>
      <c r="AA157">
        <v>0</v>
      </c>
      <c r="AB157">
        <v>0</v>
      </c>
      <c r="AC157">
        <v>2400</v>
      </c>
    </row>
    <row r="158" spans="1:29">
      <c r="A158">
        <v>241</v>
      </c>
      <c r="B158" t="s">
        <v>149</v>
      </c>
      <c r="C158">
        <v>1404</v>
      </c>
      <c r="D158" t="s">
        <v>113</v>
      </c>
      <c r="E158" t="str">
        <f t="shared" si="3"/>
        <v>01404</v>
      </c>
      <c r="F158" t="s">
        <v>111</v>
      </c>
      <c r="G158" t="s">
        <v>150</v>
      </c>
      <c r="H158" t="s">
        <v>151</v>
      </c>
      <c r="I158" t="s">
        <v>4</v>
      </c>
      <c r="J158" t="s">
        <v>152</v>
      </c>
      <c r="K158" t="s">
        <v>153</v>
      </c>
      <c r="L158">
        <v>251200085</v>
      </c>
      <c r="M158" s="84">
        <v>45995</v>
      </c>
      <c r="N158" s="84">
        <v>45995</v>
      </c>
      <c r="O158" t="s">
        <v>160</v>
      </c>
      <c r="P158" t="s">
        <v>161</v>
      </c>
      <c r="Q158">
        <v>14250</v>
      </c>
      <c r="R158">
        <v>8</v>
      </c>
      <c r="S158">
        <v>114000</v>
      </c>
      <c r="T158">
        <v>0</v>
      </c>
      <c r="U158">
        <v>0</v>
      </c>
      <c r="V158">
        <v>8</v>
      </c>
      <c r="W158">
        <v>114000</v>
      </c>
      <c r="X158">
        <v>1200</v>
      </c>
      <c r="Y158">
        <v>1600</v>
      </c>
      <c r="Z158">
        <v>0</v>
      </c>
      <c r="AA158">
        <v>0</v>
      </c>
      <c r="AB158">
        <v>0</v>
      </c>
      <c r="AC158">
        <v>2800</v>
      </c>
    </row>
    <row r="159" spans="1:29">
      <c r="A159">
        <v>242</v>
      </c>
      <c r="B159" t="s">
        <v>149</v>
      </c>
      <c r="C159">
        <v>1404</v>
      </c>
      <c r="D159" t="s">
        <v>113</v>
      </c>
      <c r="E159" t="str">
        <f t="shared" si="3"/>
        <v>01404</v>
      </c>
      <c r="F159" t="s">
        <v>111</v>
      </c>
      <c r="G159" t="s">
        <v>150</v>
      </c>
      <c r="H159" t="s">
        <v>151</v>
      </c>
      <c r="I159" t="s">
        <v>4</v>
      </c>
      <c r="J159" t="s">
        <v>152</v>
      </c>
      <c r="K159" t="s">
        <v>153</v>
      </c>
      <c r="L159">
        <v>251200085</v>
      </c>
      <c r="M159" s="84">
        <v>45995</v>
      </c>
      <c r="N159" s="84">
        <v>45995</v>
      </c>
      <c r="O159" t="s">
        <v>154</v>
      </c>
      <c r="P159" t="s">
        <v>155</v>
      </c>
      <c r="Q159">
        <v>14250</v>
      </c>
      <c r="R159">
        <v>10</v>
      </c>
      <c r="S159">
        <v>142500</v>
      </c>
      <c r="T159">
        <v>0</v>
      </c>
      <c r="U159">
        <v>0</v>
      </c>
      <c r="V159">
        <v>10</v>
      </c>
      <c r="W159">
        <v>142500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247</v>
      </c>
      <c r="B160" t="s">
        <v>149</v>
      </c>
      <c r="C160">
        <v>159</v>
      </c>
      <c r="D160" t="s">
        <v>50</v>
      </c>
      <c r="E160" t="str">
        <f t="shared" ref="E160:E203" si="4">TEXT(C160,"00000")</f>
        <v>00159</v>
      </c>
      <c r="F160" t="s">
        <v>49</v>
      </c>
      <c r="G160" t="s">
        <v>167</v>
      </c>
      <c r="H160" t="s">
        <v>151</v>
      </c>
      <c r="I160" t="s">
        <v>4</v>
      </c>
      <c r="J160" t="s">
        <v>152</v>
      </c>
      <c r="K160" t="s">
        <v>153</v>
      </c>
      <c r="L160">
        <v>251200090</v>
      </c>
      <c r="M160" s="84">
        <v>45995</v>
      </c>
      <c r="N160" s="84">
        <v>45995</v>
      </c>
      <c r="O160" t="s">
        <v>215</v>
      </c>
      <c r="P160" t="s">
        <v>216</v>
      </c>
      <c r="Q160">
        <v>14250</v>
      </c>
      <c r="R160">
        <v>1</v>
      </c>
      <c r="S160">
        <v>14250</v>
      </c>
      <c r="T160">
        <v>0</v>
      </c>
      <c r="U160">
        <v>0</v>
      </c>
      <c r="V160">
        <v>1</v>
      </c>
      <c r="W160">
        <v>14250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248</v>
      </c>
      <c r="B161" t="s">
        <v>149</v>
      </c>
      <c r="C161">
        <v>159</v>
      </c>
      <c r="D161" t="s">
        <v>50</v>
      </c>
      <c r="E161" t="str">
        <f t="shared" si="4"/>
        <v>00159</v>
      </c>
      <c r="F161" t="s">
        <v>49</v>
      </c>
      <c r="G161" t="s">
        <v>167</v>
      </c>
      <c r="H161" t="s">
        <v>151</v>
      </c>
      <c r="I161" t="s">
        <v>4</v>
      </c>
      <c r="J161" t="s">
        <v>152</v>
      </c>
      <c r="K161" t="s">
        <v>153</v>
      </c>
      <c r="L161">
        <v>251200090</v>
      </c>
      <c r="M161" s="84">
        <v>45995</v>
      </c>
      <c r="N161" s="84">
        <v>45995</v>
      </c>
      <c r="O161" t="s">
        <v>206</v>
      </c>
      <c r="P161" t="s">
        <v>207</v>
      </c>
      <c r="Q161">
        <v>14250</v>
      </c>
      <c r="R161">
        <v>4</v>
      </c>
      <c r="S161">
        <v>57000</v>
      </c>
      <c r="T161">
        <v>0</v>
      </c>
      <c r="U161">
        <v>0</v>
      </c>
      <c r="V161">
        <v>4</v>
      </c>
      <c r="W161">
        <v>57000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249</v>
      </c>
      <c r="B162" t="s">
        <v>149</v>
      </c>
      <c r="C162">
        <v>1130</v>
      </c>
      <c r="D162" t="s">
        <v>53</v>
      </c>
      <c r="E162" t="str">
        <f t="shared" si="4"/>
        <v>01130</v>
      </c>
      <c r="F162" t="s">
        <v>49</v>
      </c>
      <c r="G162" t="s">
        <v>167</v>
      </c>
      <c r="H162" t="s">
        <v>151</v>
      </c>
      <c r="I162" t="s">
        <v>4</v>
      </c>
      <c r="J162" t="s">
        <v>152</v>
      </c>
      <c r="K162" t="s">
        <v>153</v>
      </c>
      <c r="L162">
        <v>251200091</v>
      </c>
      <c r="M162" s="84">
        <v>45995</v>
      </c>
      <c r="N162" s="84">
        <v>45995</v>
      </c>
      <c r="O162" t="s">
        <v>168</v>
      </c>
      <c r="P162" t="s">
        <v>169</v>
      </c>
      <c r="Q162">
        <v>14250</v>
      </c>
      <c r="R162">
        <v>10</v>
      </c>
      <c r="S162">
        <v>142500</v>
      </c>
      <c r="T162">
        <v>0</v>
      </c>
      <c r="U162">
        <v>0</v>
      </c>
      <c r="V162">
        <v>10</v>
      </c>
      <c r="W162">
        <v>142500</v>
      </c>
      <c r="X162">
        <v>1500</v>
      </c>
      <c r="Y162">
        <v>2000</v>
      </c>
      <c r="Z162">
        <v>0</v>
      </c>
      <c r="AA162">
        <v>0</v>
      </c>
      <c r="AB162">
        <v>0</v>
      </c>
      <c r="AC162">
        <v>3500</v>
      </c>
    </row>
    <row r="163" spans="1:29">
      <c r="A163">
        <v>250</v>
      </c>
      <c r="B163" t="s">
        <v>149</v>
      </c>
      <c r="C163">
        <v>1130</v>
      </c>
      <c r="D163" t="s">
        <v>53</v>
      </c>
      <c r="E163" t="str">
        <f t="shared" si="4"/>
        <v>01130</v>
      </c>
      <c r="F163" t="s">
        <v>49</v>
      </c>
      <c r="G163" t="s">
        <v>167</v>
      </c>
      <c r="H163" t="s">
        <v>151</v>
      </c>
      <c r="I163" t="s">
        <v>4</v>
      </c>
      <c r="J163" t="s">
        <v>152</v>
      </c>
      <c r="K163" t="s">
        <v>153</v>
      </c>
      <c r="L163">
        <v>251200092</v>
      </c>
      <c r="M163" s="84">
        <v>45995</v>
      </c>
      <c r="N163" s="84">
        <v>45995</v>
      </c>
      <c r="O163" t="s">
        <v>177</v>
      </c>
      <c r="P163" t="s">
        <v>178</v>
      </c>
      <c r="Q163">
        <v>14250</v>
      </c>
      <c r="R163">
        <v>5</v>
      </c>
      <c r="S163">
        <v>71250</v>
      </c>
      <c r="T163">
        <v>0</v>
      </c>
      <c r="U163">
        <v>0</v>
      </c>
      <c r="V163">
        <v>5</v>
      </c>
      <c r="W163">
        <v>71250</v>
      </c>
      <c r="X163">
        <v>750</v>
      </c>
      <c r="Y163">
        <v>1000</v>
      </c>
      <c r="Z163">
        <v>0</v>
      </c>
      <c r="AA163">
        <v>0</v>
      </c>
      <c r="AB163">
        <v>0</v>
      </c>
      <c r="AC163">
        <v>1750</v>
      </c>
    </row>
    <row r="164" spans="1:29">
      <c r="A164">
        <v>251</v>
      </c>
      <c r="B164" t="s">
        <v>149</v>
      </c>
      <c r="C164">
        <v>1130</v>
      </c>
      <c r="D164" t="s">
        <v>53</v>
      </c>
      <c r="E164" t="str">
        <f t="shared" si="4"/>
        <v>01130</v>
      </c>
      <c r="F164" t="s">
        <v>49</v>
      </c>
      <c r="G164" t="s">
        <v>167</v>
      </c>
      <c r="H164" t="s">
        <v>151</v>
      </c>
      <c r="I164" t="s">
        <v>4</v>
      </c>
      <c r="J164" t="s">
        <v>152</v>
      </c>
      <c r="K164" t="s">
        <v>153</v>
      </c>
      <c r="L164">
        <v>251200092</v>
      </c>
      <c r="M164" s="84">
        <v>45995</v>
      </c>
      <c r="N164" s="84">
        <v>45995</v>
      </c>
      <c r="O164" t="s">
        <v>179</v>
      </c>
      <c r="P164" t="s">
        <v>180</v>
      </c>
      <c r="Q164">
        <v>14250</v>
      </c>
      <c r="R164">
        <v>10</v>
      </c>
      <c r="S164">
        <v>142500</v>
      </c>
      <c r="T164">
        <v>0</v>
      </c>
      <c r="U164">
        <v>0</v>
      </c>
      <c r="V164">
        <v>10</v>
      </c>
      <c r="W164">
        <v>142500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252</v>
      </c>
      <c r="B165" t="s">
        <v>149</v>
      </c>
      <c r="C165">
        <v>337</v>
      </c>
      <c r="D165" t="s">
        <v>57</v>
      </c>
      <c r="E165" t="str">
        <f t="shared" si="4"/>
        <v>00337</v>
      </c>
      <c r="F165" t="s">
        <v>49</v>
      </c>
      <c r="G165" t="s">
        <v>167</v>
      </c>
      <c r="H165" t="s">
        <v>151</v>
      </c>
      <c r="I165" t="s">
        <v>4</v>
      </c>
      <c r="J165" t="s">
        <v>152</v>
      </c>
      <c r="K165" t="s">
        <v>153</v>
      </c>
      <c r="L165">
        <v>251200093</v>
      </c>
      <c r="M165" s="84">
        <v>45995</v>
      </c>
      <c r="N165" s="84">
        <v>45995</v>
      </c>
      <c r="O165" t="s">
        <v>160</v>
      </c>
      <c r="P165" t="s">
        <v>161</v>
      </c>
      <c r="Q165">
        <v>14250</v>
      </c>
      <c r="R165">
        <v>65</v>
      </c>
      <c r="S165">
        <v>926250</v>
      </c>
      <c r="T165">
        <v>0</v>
      </c>
      <c r="U165">
        <v>0</v>
      </c>
      <c r="V165">
        <v>65</v>
      </c>
      <c r="W165">
        <v>926250</v>
      </c>
      <c r="X165">
        <v>9750</v>
      </c>
      <c r="Y165">
        <v>13000</v>
      </c>
      <c r="Z165">
        <v>0</v>
      </c>
      <c r="AA165">
        <v>0</v>
      </c>
      <c r="AB165">
        <v>0</v>
      </c>
      <c r="AC165">
        <v>22750</v>
      </c>
    </row>
    <row r="166" spans="1:29">
      <c r="A166">
        <v>253</v>
      </c>
      <c r="B166" t="s">
        <v>149</v>
      </c>
      <c r="C166">
        <v>471</v>
      </c>
      <c r="D166" t="s">
        <v>25</v>
      </c>
      <c r="E166" t="str">
        <f t="shared" si="4"/>
        <v>00471</v>
      </c>
      <c r="F166" t="s">
        <v>20</v>
      </c>
      <c r="G166" t="s">
        <v>193</v>
      </c>
      <c r="H166" t="s">
        <v>151</v>
      </c>
      <c r="I166" t="s">
        <v>5</v>
      </c>
      <c r="J166" t="s">
        <v>152</v>
      </c>
      <c r="K166" t="s">
        <v>236</v>
      </c>
      <c r="L166">
        <v>251200094</v>
      </c>
      <c r="M166" s="84">
        <v>45995</v>
      </c>
      <c r="N166" s="84">
        <v>45995</v>
      </c>
      <c r="O166" t="s">
        <v>191</v>
      </c>
      <c r="P166" t="s">
        <v>192</v>
      </c>
      <c r="Q166">
        <v>11700</v>
      </c>
      <c r="R166">
        <v>28</v>
      </c>
      <c r="S166">
        <v>327600</v>
      </c>
      <c r="T166">
        <v>0</v>
      </c>
      <c r="U166">
        <v>0</v>
      </c>
      <c r="V166">
        <v>28</v>
      </c>
      <c r="W166">
        <v>327600</v>
      </c>
      <c r="X166">
        <v>4200</v>
      </c>
      <c r="Y166">
        <v>4200</v>
      </c>
      <c r="Z166">
        <v>0</v>
      </c>
      <c r="AA166">
        <v>0</v>
      </c>
      <c r="AB166">
        <v>0</v>
      </c>
      <c r="AC166">
        <v>8400</v>
      </c>
    </row>
    <row r="167" spans="1:29">
      <c r="A167">
        <v>254</v>
      </c>
      <c r="B167" t="s">
        <v>149</v>
      </c>
      <c r="C167">
        <v>471</v>
      </c>
      <c r="D167" t="s">
        <v>25</v>
      </c>
      <c r="E167" t="str">
        <f t="shared" si="4"/>
        <v>00471</v>
      </c>
      <c r="F167" t="s">
        <v>20</v>
      </c>
      <c r="G167" t="s">
        <v>193</v>
      </c>
      <c r="H167" t="s">
        <v>151</v>
      </c>
      <c r="I167" t="s">
        <v>4</v>
      </c>
      <c r="J167" t="s">
        <v>152</v>
      </c>
      <c r="K167" t="s">
        <v>236</v>
      </c>
      <c r="L167">
        <v>251200094</v>
      </c>
      <c r="M167" s="84">
        <v>45995</v>
      </c>
      <c r="N167" s="84">
        <v>45995</v>
      </c>
      <c r="O167" t="s">
        <v>160</v>
      </c>
      <c r="P167" t="s">
        <v>161</v>
      </c>
      <c r="Q167">
        <v>14250</v>
      </c>
      <c r="R167">
        <v>10</v>
      </c>
      <c r="S167">
        <v>142500</v>
      </c>
      <c r="T167">
        <v>0</v>
      </c>
      <c r="U167">
        <v>0</v>
      </c>
      <c r="V167">
        <v>10</v>
      </c>
      <c r="W167">
        <v>142500</v>
      </c>
      <c r="X167">
        <v>1500</v>
      </c>
      <c r="Y167">
        <v>2000</v>
      </c>
      <c r="Z167">
        <v>0</v>
      </c>
      <c r="AA167">
        <v>0</v>
      </c>
      <c r="AB167">
        <v>0</v>
      </c>
      <c r="AC167">
        <v>3500</v>
      </c>
    </row>
    <row r="168" spans="1:29">
      <c r="A168">
        <v>255</v>
      </c>
      <c r="B168" t="s">
        <v>149</v>
      </c>
      <c r="C168">
        <v>1448</v>
      </c>
      <c r="D168" t="s">
        <v>21</v>
      </c>
      <c r="E168" t="str">
        <f t="shared" si="4"/>
        <v>01448</v>
      </c>
      <c r="F168" t="s">
        <v>20</v>
      </c>
      <c r="G168" t="s">
        <v>193</v>
      </c>
      <c r="H168" t="s">
        <v>151</v>
      </c>
      <c r="I168" t="s">
        <v>4</v>
      </c>
      <c r="J168" t="s">
        <v>152</v>
      </c>
      <c r="K168" t="s">
        <v>236</v>
      </c>
      <c r="L168">
        <v>251200095</v>
      </c>
      <c r="M168" s="84">
        <v>45995</v>
      </c>
      <c r="N168" s="84">
        <v>45995</v>
      </c>
      <c r="O168" t="s">
        <v>219</v>
      </c>
      <c r="P168" t="s">
        <v>220</v>
      </c>
      <c r="Q168">
        <v>14250</v>
      </c>
      <c r="R168">
        <v>4</v>
      </c>
      <c r="S168">
        <v>57000</v>
      </c>
      <c r="T168">
        <v>0</v>
      </c>
      <c r="U168">
        <v>0</v>
      </c>
      <c r="V168">
        <v>4</v>
      </c>
      <c r="W168">
        <v>57000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256</v>
      </c>
      <c r="B169" t="s">
        <v>149</v>
      </c>
      <c r="C169">
        <v>1448</v>
      </c>
      <c r="D169" t="s">
        <v>21</v>
      </c>
      <c r="E169" t="str">
        <f t="shared" si="4"/>
        <v>01448</v>
      </c>
      <c r="F169" t="s">
        <v>20</v>
      </c>
      <c r="G169" t="s">
        <v>193</v>
      </c>
      <c r="H169" t="s">
        <v>151</v>
      </c>
      <c r="I169" t="s">
        <v>4</v>
      </c>
      <c r="J169" t="s">
        <v>152</v>
      </c>
      <c r="K169" t="s">
        <v>236</v>
      </c>
      <c r="L169">
        <v>251200095</v>
      </c>
      <c r="M169" s="84">
        <v>45995</v>
      </c>
      <c r="N169" s="84">
        <v>45995</v>
      </c>
      <c r="O169" t="s">
        <v>160</v>
      </c>
      <c r="P169" t="s">
        <v>161</v>
      </c>
      <c r="Q169">
        <v>14250</v>
      </c>
      <c r="R169">
        <v>5</v>
      </c>
      <c r="S169">
        <v>71250</v>
      </c>
      <c r="T169">
        <v>0</v>
      </c>
      <c r="U169">
        <v>0</v>
      </c>
      <c r="V169">
        <v>5</v>
      </c>
      <c r="W169">
        <v>71250</v>
      </c>
      <c r="X169">
        <v>750</v>
      </c>
      <c r="Y169">
        <v>1000</v>
      </c>
      <c r="Z169">
        <v>0</v>
      </c>
      <c r="AA169">
        <v>0</v>
      </c>
      <c r="AB169">
        <v>0</v>
      </c>
      <c r="AC169">
        <v>1750</v>
      </c>
    </row>
    <row r="170" spans="1:29">
      <c r="A170">
        <v>257</v>
      </c>
      <c r="B170" t="s">
        <v>149</v>
      </c>
      <c r="C170">
        <v>1441</v>
      </c>
      <c r="D170" t="s">
        <v>23</v>
      </c>
      <c r="E170" t="str">
        <f t="shared" si="4"/>
        <v>01441</v>
      </c>
      <c r="F170" t="s">
        <v>20</v>
      </c>
      <c r="G170" t="s">
        <v>193</v>
      </c>
      <c r="H170" t="s">
        <v>151</v>
      </c>
      <c r="I170" t="s">
        <v>4</v>
      </c>
      <c r="J170" t="s">
        <v>152</v>
      </c>
      <c r="K170" t="s">
        <v>236</v>
      </c>
      <c r="L170">
        <v>251200096</v>
      </c>
      <c r="M170" s="84">
        <v>45995</v>
      </c>
      <c r="N170" s="84">
        <v>45995</v>
      </c>
      <c r="O170" t="s">
        <v>177</v>
      </c>
      <c r="P170" t="s">
        <v>178</v>
      </c>
      <c r="Q170">
        <v>14250</v>
      </c>
      <c r="R170">
        <v>10</v>
      </c>
      <c r="S170">
        <v>142500</v>
      </c>
      <c r="T170">
        <v>0</v>
      </c>
      <c r="U170">
        <v>0</v>
      </c>
      <c r="V170">
        <v>10</v>
      </c>
      <c r="W170">
        <v>142500</v>
      </c>
      <c r="X170">
        <v>1500</v>
      </c>
      <c r="Y170">
        <v>2000</v>
      </c>
      <c r="Z170">
        <v>0</v>
      </c>
      <c r="AA170">
        <v>0</v>
      </c>
      <c r="AB170">
        <v>0</v>
      </c>
      <c r="AC170">
        <v>3500</v>
      </c>
    </row>
    <row r="171" spans="1:29">
      <c r="A171">
        <v>258</v>
      </c>
      <c r="B171" t="s">
        <v>149</v>
      </c>
      <c r="C171">
        <v>1441</v>
      </c>
      <c r="D171" t="s">
        <v>23</v>
      </c>
      <c r="E171" t="str">
        <f t="shared" si="4"/>
        <v>01441</v>
      </c>
      <c r="F171" t="s">
        <v>20</v>
      </c>
      <c r="G171" t="s">
        <v>193</v>
      </c>
      <c r="H171" t="s">
        <v>151</v>
      </c>
      <c r="I171" t="s">
        <v>4</v>
      </c>
      <c r="J171" t="s">
        <v>152</v>
      </c>
      <c r="K171" t="s">
        <v>236</v>
      </c>
      <c r="L171">
        <v>251200096</v>
      </c>
      <c r="M171" s="84">
        <v>45995</v>
      </c>
      <c r="N171" s="84">
        <v>45995</v>
      </c>
      <c r="O171" t="s">
        <v>215</v>
      </c>
      <c r="P171" t="s">
        <v>216</v>
      </c>
      <c r="Q171">
        <v>14250</v>
      </c>
      <c r="R171">
        <v>5</v>
      </c>
      <c r="S171">
        <v>71250</v>
      </c>
      <c r="T171">
        <v>0</v>
      </c>
      <c r="U171">
        <v>0</v>
      </c>
      <c r="V171">
        <v>5</v>
      </c>
      <c r="W171">
        <v>71250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264</v>
      </c>
      <c r="B172" t="s">
        <v>149</v>
      </c>
      <c r="C172">
        <v>134</v>
      </c>
      <c r="D172" t="s">
        <v>79</v>
      </c>
      <c r="E172" t="str">
        <f t="shared" si="4"/>
        <v>00134</v>
      </c>
      <c r="F172" t="s">
        <v>73</v>
      </c>
      <c r="G172" t="s">
        <v>185</v>
      </c>
      <c r="H172" t="s">
        <v>151</v>
      </c>
      <c r="I172" t="s">
        <v>4</v>
      </c>
      <c r="J172" t="s">
        <v>152</v>
      </c>
      <c r="K172" t="s">
        <v>153</v>
      </c>
      <c r="L172">
        <v>251200099</v>
      </c>
      <c r="M172" s="84">
        <v>45995</v>
      </c>
      <c r="N172" s="84">
        <v>45995</v>
      </c>
      <c r="O172" t="s">
        <v>154</v>
      </c>
      <c r="P172" t="s">
        <v>155</v>
      </c>
      <c r="Q172">
        <v>14250</v>
      </c>
      <c r="R172">
        <v>4</v>
      </c>
      <c r="S172">
        <v>57000</v>
      </c>
      <c r="T172">
        <v>0</v>
      </c>
      <c r="U172">
        <v>0</v>
      </c>
      <c r="V172">
        <v>4</v>
      </c>
      <c r="W172">
        <v>57000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>
        <v>267</v>
      </c>
      <c r="B173" t="s">
        <v>149</v>
      </c>
      <c r="C173">
        <v>988</v>
      </c>
      <c r="D173" t="s">
        <v>19</v>
      </c>
      <c r="E173" t="str">
        <f t="shared" si="4"/>
        <v>00988</v>
      </c>
      <c r="F173" t="s">
        <v>15</v>
      </c>
      <c r="G173" t="s">
        <v>193</v>
      </c>
      <c r="H173" t="s">
        <v>151</v>
      </c>
      <c r="I173" t="s">
        <v>5</v>
      </c>
      <c r="J173" t="s">
        <v>152</v>
      </c>
      <c r="K173" t="s">
        <v>153</v>
      </c>
      <c r="L173">
        <v>251200101</v>
      </c>
      <c r="M173" s="84">
        <v>45995</v>
      </c>
      <c r="N173" s="84">
        <v>45995</v>
      </c>
      <c r="O173" t="s">
        <v>191</v>
      </c>
      <c r="P173" t="s">
        <v>192</v>
      </c>
      <c r="Q173">
        <v>11700</v>
      </c>
      <c r="R173">
        <v>20</v>
      </c>
      <c r="S173">
        <v>234000</v>
      </c>
      <c r="T173">
        <v>0</v>
      </c>
      <c r="U173">
        <v>0</v>
      </c>
      <c r="V173">
        <v>20</v>
      </c>
      <c r="W173">
        <v>234000</v>
      </c>
      <c r="X173">
        <v>3000</v>
      </c>
      <c r="Y173">
        <v>3000</v>
      </c>
      <c r="Z173">
        <v>0</v>
      </c>
      <c r="AA173">
        <v>0</v>
      </c>
      <c r="AB173">
        <v>0</v>
      </c>
      <c r="AC173">
        <v>6000</v>
      </c>
    </row>
    <row r="174" spans="1:29">
      <c r="A174">
        <v>268</v>
      </c>
      <c r="B174" t="s">
        <v>149</v>
      </c>
      <c r="C174">
        <v>988</v>
      </c>
      <c r="D174" t="s">
        <v>19</v>
      </c>
      <c r="E174" t="str">
        <f t="shared" si="4"/>
        <v>00988</v>
      </c>
      <c r="F174" t="s">
        <v>15</v>
      </c>
      <c r="G174" t="s">
        <v>193</v>
      </c>
      <c r="H174" t="s">
        <v>151</v>
      </c>
      <c r="I174" t="s">
        <v>4</v>
      </c>
      <c r="J174" t="s">
        <v>152</v>
      </c>
      <c r="K174" t="s">
        <v>153</v>
      </c>
      <c r="L174">
        <v>251200101</v>
      </c>
      <c r="M174" s="84">
        <v>45995</v>
      </c>
      <c r="N174" s="84">
        <v>45995</v>
      </c>
      <c r="O174" t="s">
        <v>160</v>
      </c>
      <c r="P174" t="s">
        <v>161</v>
      </c>
      <c r="Q174">
        <v>14250</v>
      </c>
      <c r="R174">
        <v>10</v>
      </c>
      <c r="S174">
        <v>142500</v>
      </c>
      <c r="T174">
        <v>0</v>
      </c>
      <c r="U174">
        <v>0</v>
      </c>
      <c r="V174">
        <v>10</v>
      </c>
      <c r="W174">
        <v>142500</v>
      </c>
      <c r="X174">
        <v>1500</v>
      </c>
      <c r="Y174">
        <v>2000</v>
      </c>
      <c r="Z174">
        <v>0</v>
      </c>
      <c r="AA174">
        <v>0</v>
      </c>
      <c r="AB174">
        <v>0</v>
      </c>
      <c r="AC174">
        <v>3500</v>
      </c>
    </row>
    <row r="175" spans="1:29">
      <c r="A175">
        <v>274</v>
      </c>
      <c r="B175" t="s">
        <v>149</v>
      </c>
      <c r="C175">
        <v>419</v>
      </c>
      <c r="D175" t="s">
        <v>16</v>
      </c>
      <c r="E175" t="str">
        <f t="shared" si="4"/>
        <v>00419</v>
      </c>
      <c r="F175" t="s">
        <v>15</v>
      </c>
      <c r="G175" t="s">
        <v>193</v>
      </c>
      <c r="H175" t="s">
        <v>151</v>
      </c>
      <c r="I175" t="s">
        <v>4</v>
      </c>
      <c r="J175" t="s">
        <v>152</v>
      </c>
      <c r="K175" t="s">
        <v>153</v>
      </c>
      <c r="L175">
        <v>251200105</v>
      </c>
      <c r="M175" s="84">
        <v>45995</v>
      </c>
      <c r="N175" s="84">
        <v>45995</v>
      </c>
      <c r="O175" t="s">
        <v>160</v>
      </c>
      <c r="P175" t="s">
        <v>161</v>
      </c>
      <c r="Q175">
        <v>14250</v>
      </c>
      <c r="R175">
        <v>20</v>
      </c>
      <c r="S175">
        <v>285000</v>
      </c>
      <c r="T175">
        <v>0</v>
      </c>
      <c r="U175">
        <v>0</v>
      </c>
      <c r="V175">
        <v>20</v>
      </c>
      <c r="W175">
        <v>285000</v>
      </c>
      <c r="X175">
        <v>3000</v>
      </c>
      <c r="Y175">
        <v>4000</v>
      </c>
      <c r="Z175">
        <v>0</v>
      </c>
      <c r="AA175">
        <v>0</v>
      </c>
      <c r="AB175">
        <v>0</v>
      </c>
      <c r="AC175">
        <v>7000</v>
      </c>
    </row>
    <row r="176" spans="1:29">
      <c r="A176">
        <v>281</v>
      </c>
      <c r="B176" t="s">
        <v>149</v>
      </c>
      <c r="C176">
        <v>496</v>
      </c>
      <c r="D176" t="s">
        <v>8</v>
      </c>
      <c r="E176" t="str">
        <f t="shared" si="4"/>
        <v>00496</v>
      </c>
      <c r="F176" t="s">
        <v>7</v>
      </c>
      <c r="G176" t="s">
        <v>156</v>
      </c>
      <c r="H176" t="s">
        <v>157</v>
      </c>
      <c r="I176" t="s">
        <v>4</v>
      </c>
      <c r="J176" t="s">
        <v>152</v>
      </c>
      <c r="K176" t="s">
        <v>159</v>
      </c>
      <c r="L176">
        <v>251200109</v>
      </c>
      <c r="M176" s="84">
        <v>45995</v>
      </c>
      <c r="N176" s="84">
        <v>45995</v>
      </c>
      <c r="O176" t="s">
        <v>243</v>
      </c>
      <c r="P176" t="s">
        <v>244</v>
      </c>
      <c r="Q176">
        <v>15050</v>
      </c>
      <c r="R176">
        <v>5</v>
      </c>
      <c r="S176">
        <v>75250</v>
      </c>
      <c r="T176">
        <v>0</v>
      </c>
      <c r="U176">
        <v>0</v>
      </c>
      <c r="V176">
        <v>5</v>
      </c>
      <c r="W176">
        <v>75250</v>
      </c>
      <c r="X176">
        <v>750</v>
      </c>
      <c r="Y176">
        <v>1000</v>
      </c>
      <c r="Z176">
        <v>0</v>
      </c>
      <c r="AA176">
        <v>0</v>
      </c>
      <c r="AB176">
        <v>0</v>
      </c>
      <c r="AC176">
        <v>1750</v>
      </c>
    </row>
    <row r="177" spans="1:29">
      <c r="A177">
        <v>282</v>
      </c>
      <c r="B177" t="s">
        <v>149</v>
      </c>
      <c r="C177">
        <v>496</v>
      </c>
      <c r="D177" t="s">
        <v>8</v>
      </c>
      <c r="E177" t="str">
        <f t="shared" si="4"/>
        <v>00496</v>
      </c>
      <c r="F177" t="s">
        <v>7</v>
      </c>
      <c r="G177" t="s">
        <v>156</v>
      </c>
      <c r="H177" t="s">
        <v>157</v>
      </c>
      <c r="I177" t="s">
        <v>4</v>
      </c>
      <c r="J177" t="s">
        <v>152</v>
      </c>
      <c r="K177" t="s">
        <v>159</v>
      </c>
      <c r="L177">
        <v>251200109</v>
      </c>
      <c r="M177" s="84">
        <v>45995</v>
      </c>
      <c r="N177" s="84">
        <v>45995</v>
      </c>
      <c r="O177" t="s">
        <v>154</v>
      </c>
      <c r="P177" t="s">
        <v>155</v>
      </c>
      <c r="Q177">
        <v>14250</v>
      </c>
      <c r="R177">
        <v>8</v>
      </c>
      <c r="S177">
        <v>114000</v>
      </c>
      <c r="T177">
        <v>0</v>
      </c>
      <c r="U177">
        <v>0</v>
      </c>
      <c r="V177">
        <v>8</v>
      </c>
      <c r="W177">
        <v>114000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290</v>
      </c>
      <c r="B178" t="s">
        <v>149</v>
      </c>
      <c r="C178">
        <v>562</v>
      </c>
      <c r="D178" t="s">
        <v>92</v>
      </c>
      <c r="E178" t="str">
        <f t="shared" si="4"/>
        <v>00562</v>
      </c>
      <c r="F178" t="s">
        <v>91</v>
      </c>
      <c r="G178" t="s">
        <v>202</v>
      </c>
      <c r="H178" t="s">
        <v>157</v>
      </c>
      <c r="I178" t="s">
        <v>4</v>
      </c>
      <c r="J178" t="s">
        <v>152</v>
      </c>
      <c r="K178" t="s">
        <v>159</v>
      </c>
      <c r="L178">
        <v>251200114</v>
      </c>
      <c r="M178" s="84">
        <v>45995</v>
      </c>
      <c r="N178" s="84">
        <v>45995</v>
      </c>
      <c r="O178" t="s">
        <v>177</v>
      </c>
      <c r="P178" t="s">
        <v>178</v>
      </c>
      <c r="Q178">
        <v>14250</v>
      </c>
      <c r="R178">
        <v>20</v>
      </c>
      <c r="S178">
        <v>285000</v>
      </c>
      <c r="T178">
        <v>0</v>
      </c>
      <c r="U178">
        <v>0</v>
      </c>
      <c r="V178">
        <v>20</v>
      </c>
      <c r="W178">
        <v>285000</v>
      </c>
      <c r="X178">
        <v>3000</v>
      </c>
      <c r="Y178">
        <v>4000</v>
      </c>
      <c r="Z178">
        <v>0</v>
      </c>
      <c r="AA178">
        <v>0</v>
      </c>
      <c r="AB178">
        <v>0</v>
      </c>
      <c r="AC178">
        <v>7000</v>
      </c>
    </row>
    <row r="179" spans="1:29">
      <c r="A179">
        <v>291</v>
      </c>
      <c r="B179" t="s">
        <v>149</v>
      </c>
      <c r="C179">
        <v>562</v>
      </c>
      <c r="D179" t="s">
        <v>92</v>
      </c>
      <c r="E179" t="str">
        <f t="shared" si="4"/>
        <v>00562</v>
      </c>
      <c r="F179" t="s">
        <v>91</v>
      </c>
      <c r="G179" t="s">
        <v>202</v>
      </c>
      <c r="H179" t="s">
        <v>157</v>
      </c>
      <c r="I179" t="s">
        <v>4</v>
      </c>
      <c r="J179" t="s">
        <v>152</v>
      </c>
      <c r="K179" t="s">
        <v>159</v>
      </c>
      <c r="L179">
        <v>251200114</v>
      </c>
      <c r="M179" s="84">
        <v>45995</v>
      </c>
      <c r="N179" s="84">
        <v>45995</v>
      </c>
      <c r="O179" t="s">
        <v>160</v>
      </c>
      <c r="P179" t="s">
        <v>161</v>
      </c>
      <c r="Q179">
        <v>14250</v>
      </c>
      <c r="R179">
        <v>1</v>
      </c>
      <c r="S179">
        <v>14250</v>
      </c>
      <c r="T179">
        <v>0</v>
      </c>
      <c r="U179">
        <v>0</v>
      </c>
      <c r="V179">
        <v>1</v>
      </c>
      <c r="W179">
        <v>14250</v>
      </c>
      <c r="X179">
        <v>150</v>
      </c>
      <c r="Y179">
        <v>200</v>
      </c>
      <c r="Z179">
        <v>0</v>
      </c>
      <c r="AA179">
        <v>0</v>
      </c>
      <c r="AB179">
        <v>0</v>
      </c>
      <c r="AC179">
        <v>350</v>
      </c>
    </row>
    <row r="180" spans="1:29">
      <c r="A180">
        <v>292</v>
      </c>
      <c r="B180" t="s">
        <v>149</v>
      </c>
      <c r="C180">
        <v>562</v>
      </c>
      <c r="D180" t="s">
        <v>92</v>
      </c>
      <c r="E180" t="str">
        <f t="shared" si="4"/>
        <v>00562</v>
      </c>
      <c r="F180" t="s">
        <v>91</v>
      </c>
      <c r="G180" t="s">
        <v>202</v>
      </c>
      <c r="H180" t="s">
        <v>157</v>
      </c>
      <c r="I180" t="s">
        <v>5</v>
      </c>
      <c r="J180" t="s">
        <v>152</v>
      </c>
      <c r="K180" t="s">
        <v>159</v>
      </c>
      <c r="L180">
        <v>251200114</v>
      </c>
      <c r="M180" s="84">
        <v>45995</v>
      </c>
      <c r="N180" s="84">
        <v>45995</v>
      </c>
      <c r="O180" t="s">
        <v>191</v>
      </c>
      <c r="P180" t="s">
        <v>192</v>
      </c>
      <c r="Q180">
        <v>11700</v>
      </c>
      <c r="R180">
        <v>10</v>
      </c>
      <c r="S180">
        <v>117000</v>
      </c>
      <c r="T180">
        <v>0</v>
      </c>
      <c r="U180">
        <v>0</v>
      </c>
      <c r="V180">
        <v>10</v>
      </c>
      <c r="W180">
        <v>117000</v>
      </c>
      <c r="X180">
        <v>1500</v>
      </c>
      <c r="Y180">
        <v>1500</v>
      </c>
      <c r="Z180">
        <v>0</v>
      </c>
      <c r="AA180">
        <v>0</v>
      </c>
      <c r="AB180">
        <v>0</v>
      </c>
      <c r="AC180">
        <v>3000</v>
      </c>
    </row>
    <row r="181" spans="1:29">
      <c r="A181">
        <v>293</v>
      </c>
      <c r="B181" t="s">
        <v>149</v>
      </c>
      <c r="C181">
        <v>387</v>
      </c>
      <c r="D181" t="s">
        <v>109</v>
      </c>
      <c r="E181" t="str">
        <f t="shared" si="4"/>
        <v>00387</v>
      </c>
      <c r="F181" t="s">
        <v>103</v>
      </c>
      <c r="G181" t="s">
        <v>167</v>
      </c>
      <c r="H181" t="s">
        <v>151</v>
      </c>
      <c r="I181" t="s">
        <v>231</v>
      </c>
      <c r="J181" t="s">
        <v>152</v>
      </c>
      <c r="K181" t="s">
        <v>153</v>
      </c>
      <c r="L181">
        <v>251200115</v>
      </c>
      <c r="M181" s="84">
        <v>45995</v>
      </c>
      <c r="N181" s="84">
        <v>45995</v>
      </c>
      <c r="O181" t="s">
        <v>233</v>
      </c>
      <c r="P181" t="s">
        <v>118</v>
      </c>
      <c r="Q181">
        <v>4486</v>
      </c>
      <c r="R181">
        <v>10</v>
      </c>
      <c r="S181">
        <v>44860</v>
      </c>
      <c r="T181">
        <v>0</v>
      </c>
      <c r="U181">
        <v>0</v>
      </c>
      <c r="V181">
        <v>10</v>
      </c>
      <c r="W181">
        <v>44860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>
        <v>301</v>
      </c>
      <c r="B182" t="s">
        <v>149</v>
      </c>
      <c r="C182">
        <v>1404</v>
      </c>
      <c r="D182" t="s">
        <v>113</v>
      </c>
      <c r="E182" t="str">
        <f t="shared" si="4"/>
        <v>01404</v>
      </c>
      <c r="F182" t="s">
        <v>111</v>
      </c>
      <c r="G182" t="s">
        <v>150</v>
      </c>
      <c r="H182" t="s">
        <v>151</v>
      </c>
      <c r="I182" t="s">
        <v>4</v>
      </c>
      <c r="J182" t="s">
        <v>152</v>
      </c>
      <c r="K182" t="s">
        <v>153</v>
      </c>
      <c r="L182">
        <v>251200119</v>
      </c>
      <c r="M182" s="84">
        <v>45997</v>
      </c>
      <c r="N182" s="84">
        <v>45997</v>
      </c>
      <c r="O182" t="s">
        <v>154</v>
      </c>
      <c r="P182" t="s">
        <v>155</v>
      </c>
      <c r="Q182">
        <v>14250</v>
      </c>
      <c r="R182">
        <v>10</v>
      </c>
      <c r="S182">
        <v>142500</v>
      </c>
      <c r="T182">
        <v>0</v>
      </c>
      <c r="U182">
        <v>0</v>
      </c>
      <c r="V182">
        <v>10</v>
      </c>
      <c r="W182">
        <v>142500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310</v>
      </c>
      <c r="B183" t="s">
        <v>149</v>
      </c>
      <c r="C183">
        <v>337</v>
      </c>
      <c r="D183" t="s">
        <v>57</v>
      </c>
      <c r="E183" t="str">
        <f t="shared" si="4"/>
        <v>00337</v>
      </c>
      <c r="F183" t="s">
        <v>49</v>
      </c>
      <c r="G183" t="s">
        <v>167</v>
      </c>
      <c r="H183" t="s">
        <v>151</v>
      </c>
      <c r="I183" t="s">
        <v>4</v>
      </c>
      <c r="J183" t="s">
        <v>152</v>
      </c>
      <c r="K183" t="s">
        <v>153</v>
      </c>
      <c r="L183">
        <v>251200124</v>
      </c>
      <c r="M183" s="84">
        <v>45997</v>
      </c>
      <c r="N183" s="84">
        <v>45997</v>
      </c>
      <c r="O183" t="s">
        <v>160</v>
      </c>
      <c r="P183" t="s">
        <v>161</v>
      </c>
      <c r="Q183">
        <v>14250</v>
      </c>
      <c r="R183">
        <v>15</v>
      </c>
      <c r="S183">
        <v>213750</v>
      </c>
      <c r="T183">
        <v>0</v>
      </c>
      <c r="U183">
        <v>0</v>
      </c>
      <c r="V183">
        <v>15</v>
      </c>
      <c r="W183">
        <v>213750</v>
      </c>
      <c r="X183">
        <v>2250</v>
      </c>
      <c r="Y183">
        <v>3000</v>
      </c>
      <c r="Z183">
        <v>0</v>
      </c>
      <c r="AA183">
        <v>0</v>
      </c>
      <c r="AB183">
        <v>0</v>
      </c>
      <c r="AC183">
        <v>5250</v>
      </c>
    </row>
    <row r="184" spans="1:29">
      <c r="A184">
        <v>311</v>
      </c>
      <c r="B184" t="s">
        <v>149</v>
      </c>
      <c r="C184">
        <v>337</v>
      </c>
      <c r="D184" t="s">
        <v>57</v>
      </c>
      <c r="E184" t="str">
        <f t="shared" si="4"/>
        <v>00337</v>
      </c>
      <c r="F184" t="s">
        <v>49</v>
      </c>
      <c r="G184" t="s">
        <v>167</v>
      </c>
      <c r="H184" t="s">
        <v>151</v>
      </c>
      <c r="I184" t="s">
        <v>4</v>
      </c>
      <c r="J184" t="s">
        <v>152</v>
      </c>
      <c r="K184" t="s">
        <v>153</v>
      </c>
      <c r="L184">
        <v>251200124</v>
      </c>
      <c r="M184" s="84">
        <v>45997</v>
      </c>
      <c r="N184" s="84">
        <v>45997</v>
      </c>
      <c r="O184" t="s">
        <v>206</v>
      </c>
      <c r="P184" t="s">
        <v>207</v>
      </c>
      <c r="Q184">
        <v>14250</v>
      </c>
      <c r="R184">
        <v>5</v>
      </c>
      <c r="S184">
        <v>71250</v>
      </c>
      <c r="T184">
        <v>0</v>
      </c>
      <c r="U184">
        <v>0</v>
      </c>
      <c r="V184">
        <v>5</v>
      </c>
      <c r="W184">
        <v>71250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>
      <c r="A185">
        <v>312</v>
      </c>
      <c r="B185" t="s">
        <v>149</v>
      </c>
      <c r="C185">
        <v>337</v>
      </c>
      <c r="D185" t="s">
        <v>57</v>
      </c>
      <c r="E185" t="str">
        <f t="shared" si="4"/>
        <v>00337</v>
      </c>
      <c r="F185" t="s">
        <v>49</v>
      </c>
      <c r="G185" t="s">
        <v>167</v>
      </c>
      <c r="H185" t="s">
        <v>151</v>
      </c>
      <c r="I185" t="s">
        <v>4</v>
      </c>
      <c r="J185" t="s">
        <v>152</v>
      </c>
      <c r="K185" t="s">
        <v>153</v>
      </c>
      <c r="L185">
        <v>251200124</v>
      </c>
      <c r="M185" s="84">
        <v>45997</v>
      </c>
      <c r="N185" s="84">
        <v>45997</v>
      </c>
      <c r="O185" t="s">
        <v>219</v>
      </c>
      <c r="P185" t="s">
        <v>220</v>
      </c>
      <c r="Q185">
        <v>14250</v>
      </c>
      <c r="R185">
        <v>20</v>
      </c>
      <c r="S185">
        <v>285000</v>
      </c>
      <c r="T185">
        <v>0</v>
      </c>
      <c r="U185">
        <v>0</v>
      </c>
      <c r="V185">
        <v>20</v>
      </c>
      <c r="W185">
        <v>285000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>
        <v>314</v>
      </c>
      <c r="B186" t="s">
        <v>149</v>
      </c>
      <c r="C186">
        <v>1401</v>
      </c>
      <c r="D186" t="s">
        <v>29</v>
      </c>
      <c r="E186" t="str">
        <f t="shared" si="4"/>
        <v>01401</v>
      </c>
      <c r="F186" t="s">
        <v>28</v>
      </c>
      <c r="G186" t="s">
        <v>164</v>
      </c>
      <c r="H186" t="s">
        <v>151</v>
      </c>
      <c r="I186" t="s">
        <v>5</v>
      </c>
      <c r="J186" t="s">
        <v>152</v>
      </c>
      <c r="K186" t="s">
        <v>153</v>
      </c>
      <c r="L186">
        <v>251200126</v>
      </c>
      <c r="M186" s="84">
        <v>45997</v>
      </c>
      <c r="N186" s="84">
        <v>45997</v>
      </c>
      <c r="O186" t="s">
        <v>196</v>
      </c>
      <c r="P186" t="s">
        <v>197</v>
      </c>
      <c r="Q186">
        <v>11700</v>
      </c>
      <c r="R186">
        <v>8</v>
      </c>
      <c r="S186">
        <v>93600</v>
      </c>
      <c r="T186">
        <v>0</v>
      </c>
      <c r="U186">
        <v>0</v>
      </c>
      <c r="V186">
        <v>8</v>
      </c>
      <c r="W186">
        <v>93600</v>
      </c>
      <c r="X186">
        <v>1200</v>
      </c>
      <c r="Y186">
        <v>1200</v>
      </c>
      <c r="Z186">
        <v>0</v>
      </c>
      <c r="AA186">
        <v>0</v>
      </c>
      <c r="AB186">
        <v>0</v>
      </c>
      <c r="AC186">
        <v>2400</v>
      </c>
    </row>
    <row r="187" spans="1:29">
      <c r="A187">
        <v>315</v>
      </c>
      <c r="B187" t="s">
        <v>149</v>
      </c>
      <c r="C187">
        <v>1401</v>
      </c>
      <c r="D187" t="s">
        <v>29</v>
      </c>
      <c r="E187" t="str">
        <f t="shared" si="4"/>
        <v>01401</v>
      </c>
      <c r="F187" t="s">
        <v>28</v>
      </c>
      <c r="G187" t="s">
        <v>164</v>
      </c>
      <c r="H187" t="s">
        <v>151</v>
      </c>
      <c r="I187" t="s">
        <v>5</v>
      </c>
      <c r="J187" t="s">
        <v>152</v>
      </c>
      <c r="K187" t="s">
        <v>153</v>
      </c>
      <c r="L187">
        <v>251200126</v>
      </c>
      <c r="M187" s="84">
        <v>45997</v>
      </c>
      <c r="N187" s="84">
        <v>45997</v>
      </c>
      <c r="O187" t="s">
        <v>191</v>
      </c>
      <c r="P187" t="s">
        <v>192</v>
      </c>
      <c r="Q187">
        <v>11700</v>
      </c>
      <c r="R187">
        <v>32</v>
      </c>
      <c r="S187">
        <v>374400</v>
      </c>
      <c r="T187">
        <v>0</v>
      </c>
      <c r="U187">
        <v>0</v>
      </c>
      <c r="V187">
        <v>32</v>
      </c>
      <c r="W187">
        <v>374400</v>
      </c>
      <c r="X187">
        <v>4800</v>
      </c>
      <c r="Y187">
        <v>4800</v>
      </c>
      <c r="Z187">
        <v>0</v>
      </c>
      <c r="AA187">
        <v>0</v>
      </c>
      <c r="AB187">
        <v>0</v>
      </c>
      <c r="AC187">
        <v>9600</v>
      </c>
    </row>
    <row r="188" spans="1:29">
      <c r="A188">
        <v>316</v>
      </c>
      <c r="B188" t="s">
        <v>149</v>
      </c>
      <c r="C188">
        <v>1401</v>
      </c>
      <c r="D188" t="s">
        <v>29</v>
      </c>
      <c r="E188" t="str">
        <f t="shared" si="4"/>
        <v>01401</v>
      </c>
      <c r="F188" t="s">
        <v>28</v>
      </c>
      <c r="G188" t="s">
        <v>164</v>
      </c>
      <c r="H188" t="s">
        <v>151</v>
      </c>
      <c r="I188" t="s">
        <v>4</v>
      </c>
      <c r="J188" t="s">
        <v>152</v>
      </c>
      <c r="K188" t="s">
        <v>153</v>
      </c>
      <c r="L188">
        <v>251200126</v>
      </c>
      <c r="M188" s="84">
        <v>45997</v>
      </c>
      <c r="N188" s="84">
        <v>45997</v>
      </c>
      <c r="O188" t="s">
        <v>160</v>
      </c>
      <c r="P188" t="s">
        <v>161</v>
      </c>
      <c r="Q188">
        <v>14250</v>
      </c>
      <c r="R188">
        <v>24</v>
      </c>
      <c r="S188">
        <v>342000</v>
      </c>
      <c r="T188">
        <v>0</v>
      </c>
      <c r="U188">
        <v>0</v>
      </c>
      <c r="V188">
        <v>24</v>
      </c>
      <c r="W188">
        <v>342000</v>
      </c>
      <c r="X188">
        <v>3600</v>
      </c>
      <c r="Y188">
        <v>4800</v>
      </c>
      <c r="Z188">
        <v>0</v>
      </c>
      <c r="AA188">
        <v>0</v>
      </c>
      <c r="AB188">
        <v>0</v>
      </c>
      <c r="AC188">
        <v>8400</v>
      </c>
    </row>
    <row r="189" spans="1:29">
      <c r="A189">
        <v>319</v>
      </c>
      <c r="B189" t="s">
        <v>149</v>
      </c>
      <c r="C189">
        <v>334</v>
      </c>
      <c r="D189" t="s">
        <v>56</v>
      </c>
      <c r="E189" t="str">
        <f t="shared" si="4"/>
        <v>00334</v>
      </c>
      <c r="F189" t="s">
        <v>49</v>
      </c>
      <c r="G189" t="s">
        <v>167</v>
      </c>
      <c r="H189" t="s">
        <v>151</v>
      </c>
      <c r="I189" t="s">
        <v>231</v>
      </c>
      <c r="J189" t="s">
        <v>152</v>
      </c>
      <c r="K189" t="s">
        <v>153</v>
      </c>
      <c r="L189">
        <v>251200129</v>
      </c>
      <c r="M189" s="84">
        <v>45997</v>
      </c>
      <c r="N189" s="84">
        <v>45997</v>
      </c>
      <c r="O189" t="s">
        <v>232</v>
      </c>
      <c r="P189" t="s">
        <v>122</v>
      </c>
      <c r="Q189">
        <v>6213</v>
      </c>
      <c r="R189">
        <v>2</v>
      </c>
      <c r="S189">
        <v>12426</v>
      </c>
      <c r="T189">
        <v>0</v>
      </c>
      <c r="U189">
        <v>0</v>
      </c>
      <c r="V189">
        <v>2</v>
      </c>
      <c r="W189">
        <v>12426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320</v>
      </c>
      <c r="B190" t="s">
        <v>149</v>
      </c>
      <c r="C190">
        <v>334</v>
      </c>
      <c r="D190" t="s">
        <v>56</v>
      </c>
      <c r="E190" t="str">
        <f t="shared" si="4"/>
        <v>00334</v>
      </c>
      <c r="F190" t="s">
        <v>49</v>
      </c>
      <c r="G190" t="s">
        <v>167</v>
      </c>
      <c r="H190" t="s">
        <v>151</v>
      </c>
      <c r="I190" t="s">
        <v>4</v>
      </c>
      <c r="J190" t="s">
        <v>152</v>
      </c>
      <c r="K190" t="s">
        <v>153</v>
      </c>
      <c r="L190">
        <v>251200129</v>
      </c>
      <c r="M190" s="84">
        <v>45997</v>
      </c>
      <c r="N190" s="84">
        <v>45997</v>
      </c>
      <c r="O190" t="s">
        <v>160</v>
      </c>
      <c r="P190" t="s">
        <v>161</v>
      </c>
      <c r="Q190">
        <v>14250</v>
      </c>
      <c r="R190">
        <v>10</v>
      </c>
      <c r="S190">
        <v>142500</v>
      </c>
      <c r="T190">
        <v>0</v>
      </c>
      <c r="U190">
        <v>0</v>
      </c>
      <c r="V190">
        <v>10</v>
      </c>
      <c r="W190">
        <v>142500</v>
      </c>
      <c r="X190">
        <v>1500</v>
      </c>
      <c r="Y190">
        <v>2000</v>
      </c>
      <c r="Z190">
        <v>0</v>
      </c>
      <c r="AA190">
        <v>0</v>
      </c>
      <c r="AB190">
        <v>0</v>
      </c>
      <c r="AC190">
        <v>3500</v>
      </c>
    </row>
    <row r="191" spans="1:29">
      <c r="A191">
        <v>321</v>
      </c>
      <c r="B191" t="s">
        <v>149</v>
      </c>
      <c r="C191">
        <v>471</v>
      </c>
      <c r="D191" t="s">
        <v>25</v>
      </c>
      <c r="E191" t="str">
        <f t="shared" si="4"/>
        <v>00471</v>
      </c>
      <c r="F191" t="s">
        <v>20</v>
      </c>
      <c r="G191" t="s">
        <v>193</v>
      </c>
      <c r="H191" t="s">
        <v>151</v>
      </c>
      <c r="I191" t="s">
        <v>4</v>
      </c>
      <c r="J191" t="s">
        <v>152</v>
      </c>
      <c r="K191" t="s">
        <v>236</v>
      </c>
      <c r="L191">
        <v>251200130</v>
      </c>
      <c r="M191" s="84">
        <v>45997</v>
      </c>
      <c r="N191" s="84">
        <v>45997</v>
      </c>
      <c r="O191" t="s">
        <v>162</v>
      </c>
      <c r="P191" t="s">
        <v>163</v>
      </c>
      <c r="Q191">
        <v>14250</v>
      </c>
      <c r="R191">
        <v>10</v>
      </c>
      <c r="S191">
        <v>142500</v>
      </c>
      <c r="T191">
        <v>0</v>
      </c>
      <c r="U191">
        <v>0</v>
      </c>
      <c r="V191">
        <v>10</v>
      </c>
      <c r="W191">
        <v>142500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>
        <v>322</v>
      </c>
      <c r="B192" t="s">
        <v>149</v>
      </c>
      <c r="C192">
        <v>471</v>
      </c>
      <c r="D192" t="s">
        <v>25</v>
      </c>
      <c r="E192" t="str">
        <f t="shared" si="4"/>
        <v>00471</v>
      </c>
      <c r="F192" t="s">
        <v>20</v>
      </c>
      <c r="G192" t="s">
        <v>193</v>
      </c>
      <c r="H192" t="s">
        <v>151</v>
      </c>
      <c r="I192" t="s">
        <v>4</v>
      </c>
      <c r="J192" t="s">
        <v>152</v>
      </c>
      <c r="K192" t="s">
        <v>236</v>
      </c>
      <c r="L192">
        <v>251200130</v>
      </c>
      <c r="M192" s="84">
        <v>45997</v>
      </c>
      <c r="N192" s="84">
        <v>45997</v>
      </c>
      <c r="O192" t="s">
        <v>160</v>
      </c>
      <c r="P192" t="s">
        <v>161</v>
      </c>
      <c r="Q192">
        <v>14250</v>
      </c>
      <c r="R192">
        <v>5</v>
      </c>
      <c r="S192">
        <v>71250</v>
      </c>
      <c r="T192">
        <v>0</v>
      </c>
      <c r="U192">
        <v>0</v>
      </c>
      <c r="V192">
        <v>5</v>
      </c>
      <c r="W192">
        <v>71250</v>
      </c>
      <c r="X192">
        <v>750</v>
      </c>
      <c r="Y192">
        <v>1000</v>
      </c>
      <c r="Z192">
        <v>0</v>
      </c>
      <c r="AA192">
        <v>0</v>
      </c>
      <c r="AB192">
        <v>0</v>
      </c>
      <c r="AC192">
        <v>1750</v>
      </c>
    </row>
    <row r="193" spans="1:29">
      <c r="A193">
        <v>323</v>
      </c>
      <c r="B193" t="s">
        <v>149</v>
      </c>
      <c r="C193">
        <v>471</v>
      </c>
      <c r="D193" t="s">
        <v>25</v>
      </c>
      <c r="E193" t="str">
        <f t="shared" si="4"/>
        <v>00471</v>
      </c>
      <c r="F193" t="s">
        <v>20</v>
      </c>
      <c r="G193" t="s">
        <v>193</v>
      </c>
      <c r="H193" t="s">
        <v>151</v>
      </c>
      <c r="I193" t="s">
        <v>5</v>
      </c>
      <c r="J193" t="s">
        <v>152</v>
      </c>
      <c r="K193" t="s">
        <v>236</v>
      </c>
      <c r="L193">
        <v>251200130</v>
      </c>
      <c r="M193" s="84">
        <v>45997</v>
      </c>
      <c r="N193" s="84">
        <v>45997</v>
      </c>
      <c r="O193" t="s">
        <v>191</v>
      </c>
      <c r="P193" t="s">
        <v>192</v>
      </c>
      <c r="Q193">
        <v>11700</v>
      </c>
      <c r="R193">
        <v>12</v>
      </c>
      <c r="S193">
        <v>140400</v>
      </c>
      <c r="T193">
        <v>0</v>
      </c>
      <c r="U193">
        <v>0</v>
      </c>
      <c r="V193">
        <v>12</v>
      </c>
      <c r="W193">
        <v>140400</v>
      </c>
      <c r="X193">
        <v>1800</v>
      </c>
      <c r="Y193">
        <v>1800</v>
      </c>
      <c r="Z193">
        <v>0</v>
      </c>
      <c r="AA193">
        <v>0</v>
      </c>
      <c r="AB193">
        <v>0</v>
      </c>
      <c r="AC193">
        <v>3600</v>
      </c>
    </row>
    <row r="194" spans="1:29">
      <c r="A194">
        <v>324</v>
      </c>
      <c r="B194" t="s">
        <v>149</v>
      </c>
      <c r="C194">
        <v>471</v>
      </c>
      <c r="D194" t="s">
        <v>25</v>
      </c>
      <c r="E194" t="str">
        <f t="shared" si="4"/>
        <v>00471</v>
      </c>
      <c r="F194" t="s">
        <v>20</v>
      </c>
      <c r="G194" t="s">
        <v>193</v>
      </c>
      <c r="H194" t="s">
        <v>151</v>
      </c>
      <c r="I194" t="s">
        <v>4</v>
      </c>
      <c r="J194" t="s">
        <v>152</v>
      </c>
      <c r="K194" t="s">
        <v>236</v>
      </c>
      <c r="L194">
        <v>251200130</v>
      </c>
      <c r="M194" s="84">
        <v>45997</v>
      </c>
      <c r="N194" s="84">
        <v>45997</v>
      </c>
      <c r="O194" t="s">
        <v>206</v>
      </c>
      <c r="P194" t="s">
        <v>207</v>
      </c>
      <c r="Q194">
        <v>14250</v>
      </c>
      <c r="R194">
        <v>20</v>
      </c>
      <c r="S194">
        <v>285000</v>
      </c>
      <c r="T194">
        <v>0</v>
      </c>
      <c r="U194">
        <v>0</v>
      </c>
      <c r="V194">
        <v>20</v>
      </c>
      <c r="W194">
        <v>285000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325</v>
      </c>
      <c r="B195" t="s">
        <v>149</v>
      </c>
      <c r="C195">
        <v>1448</v>
      </c>
      <c r="D195" t="s">
        <v>21</v>
      </c>
      <c r="E195" t="str">
        <f t="shared" si="4"/>
        <v>01448</v>
      </c>
      <c r="F195" t="s">
        <v>20</v>
      </c>
      <c r="G195" t="s">
        <v>193</v>
      </c>
      <c r="H195" t="s">
        <v>151</v>
      </c>
      <c r="I195" t="s">
        <v>4</v>
      </c>
      <c r="J195" t="s">
        <v>152</v>
      </c>
      <c r="K195" t="s">
        <v>236</v>
      </c>
      <c r="L195">
        <v>251200131</v>
      </c>
      <c r="M195" s="84">
        <v>45997</v>
      </c>
      <c r="N195" s="84">
        <v>45997</v>
      </c>
      <c r="O195" t="s">
        <v>262</v>
      </c>
      <c r="P195" t="s">
        <v>263</v>
      </c>
      <c r="Q195">
        <v>14250</v>
      </c>
      <c r="R195">
        <v>10</v>
      </c>
      <c r="S195">
        <v>142500</v>
      </c>
      <c r="T195">
        <v>0</v>
      </c>
      <c r="U195">
        <v>0</v>
      </c>
      <c r="V195">
        <v>10</v>
      </c>
      <c r="W195">
        <v>142500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>
      <c r="A196">
        <v>326</v>
      </c>
      <c r="B196" t="s">
        <v>149</v>
      </c>
      <c r="C196">
        <v>1368</v>
      </c>
      <c r="D196" t="s">
        <v>22</v>
      </c>
      <c r="E196" t="str">
        <f t="shared" si="4"/>
        <v>01368</v>
      </c>
      <c r="F196" t="s">
        <v>20</v>
      </c>
      <c r="G196" t="s">
        <v>193</v>
      </c>
      <c r="H196" t="s">
        <v>151</v>
      </c>
      <c r="I196" t="s">
        <v>4</v>
      </c>
      <c r="J196" t="s">
        <v>152</v>
      </c>
      <c r="K196" t="s">
        <v>236</v>
      </c>
      <c r="L196">
        <v>251200132</v>
      </c>
      <c r="M196" s="84">
        <v>45997</v>
      </c>
      <c r="N196" s="84">
        <v>45997</v>
      </c>
      <c r="O196" t="s">
        <v>160</v>
      </c>
      <c r="P196" t="s">
        <v>161</v>
      </c>
      <c r="Q196">
        <v>14250</v>
      </c>
      <c r="R196">
        <v>5</v>
      </c>
      <c r="S196">
        <v>71250</v>
      </c>
      <c r="T196">
        <v>0</v>
      </c>
      <c r="U196">
        <v>0</v>
      </c>
      <c r="V196">
        <v>5</v>
      </c>
      <c r="W196">
        <v>71250</v>
      </c>
      <c r="X196">
        <v>750</v>
      </c>
      <c r="Y196">
        <v>1000</v>
      </c>
      <c r="Z196">
        <v>0</v>
      </c>
      <c r="AA196">
        <v>0</v>
      </c>
      <c r="AB196">
        <v>0</v>
      </c>
      <c r="AC196">
        <v>1750</v>
      </c>
    </row>
    <row r="197" spans="1:29">
      <c r="A197">
        <v>331</v>
      </c>
      <c r="B197" t="s">
        <v>149</v>
      </c>
      <c r="C197">
        <v>419</v>
      </c>
      <c r="D197" t="s">
        <v>16</v>
      </c>
      <c r="E197" t="str">
        <f t="shared" si="4"/>
        <v>00419</v>
      </c>
      <c r="F197" t="s">
        <v>15</v>
      </c>
      <c r="G197" t="s">
        <v>193</v>
      </c>
      <c r="H197" t="s">
        <v>151</v>
      </c>
      <c r="I197" t="s">
        <v>4</v>
      </c>
      <c r="J197" t="s">
        <v>152</v>
      </c>
      <c r="K197" t="s">
        <v>153</v>
      </c>
      <c r="L197">
        <v>251200136</v>
      </c>
      <c r="M197" s="84">
        <v>45997</v>
      </c>
      <c r="N197" s="84">
        <v>45997</v>
      </c>
      <c r="O197" t="s">
        <v>160</v>
      </c>
      <c r="P197" t="s">
        <v>161</v>
      </c>
      <c r="Q197">
        <v>14250</v>
      </c>
      <c r="R197">
        <v>7</v>
      </c>
      <c r="S197">
        <v>99750</v>
      </c>
      <c r="T197">
        <v>0</v>
      </c>
      <c r="U197">
        <v>0</v>
      </c>
      <c r="V197">
        <v>7</v>
      </c>
      <c r="W197">
        <v>99750</v>
      </c>
      <c r="X197">
        <v>1050</v>
      </c>
      <c r="Y197">
        <v>1400</v>
      </c>
      <c r="Z197">
        <v>0</v>
      </c>
      <c r="AA197">
        <v>0</v>
      </c>
      <c r="AB197">
        <v>0</v>
      </c>
      <c r="AC197">
        <v>2450</v>
      </c>
    </row>
    <row r="198" spans="1:29">
      <c r="A198">
        <v>340</v>
      </c>
      <c r="B198" t="s">
        <v>149</v>
      </c>
      <c r="C198">
        <v>1465</v>
      </c>
      <c r="D198" t="s">
        <v>264</v>
      </c>
      <c r="E198" t="str">
        <f t="shared" si="4"/>
        <v>01465</v>
      </c>
      <c r="F198" t="s">
        <v>95</v>
      </c>
      <c r="G198" t="s">
        <v>187</v>
      </c>
      <c r="H198" t="s">
        <v>188</v>
      </c>
      <c r="I198" t="s">
        <v>173</v>
      </c>
      <c r="J198" t="s">
        <v>152</v>
      </c>
      <c r="K198" t="s">
        <v>159</v>
      </c>
      <c r="L198">
        <v>251200142</v>
      </c>
      <c r="M198" s="84">
        <v>45997</v>
      </c>
      <c r="N198" s="84">
        <v>45997</v>
      </c>
      <c r="O198" t="s">
        <v>265</v>
      </c>
      <c r="P198" t="s">
        <v>266</v>
      </c>
      <c r="Q198">
        <v>12780</v>
      </c>
      <c r="R198">
        <v>1</v>
      </c>
      <c r="S198">
        <v>12780</v>
      </c>
      <c r="T198">
        <v>0</v>
      </c>
      <c r="U198">
        <v>0</v>
      </c>
      <c r="V198">
        <v>1</v>
      </c>
      <c r="W198">
        <v>12780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>
      <c r="A199">
        <v>347</v>
      </c>
      <c r="B199" t="s">
        <v>149</v>
      </c>
      <c r="C199">
        <v>622</v>
      </c>
      <c r="D199" t="s">
        <v>70</v>
      </c>
      <c r="E199" t="str">
        <f t="shared" si="4"/>
        <v>00622</v>
      </c>
      <c r="F199" t="s">
        <v>65</v>
      </c>
      <c r="G199" t="s">
        <v>208</v>
      </c>
      <c r="H199" t="s">
        <v>157</v>
      </c>
      <c r="I199" t="s">
        <v>4</v>
      </c>
      <c r="J199" t="s">
        <v>152</v>
      </c>
      <c r="K199" t="s">
        <v>174</v>
      </c>
      <c r="L199">
        <v>251200148</v>
      </c>
      <c r="M199" s="84">
        <v>45997</v>
      </c>
      <c r="N199" s="84">
        <v>45997</v>
      </c>
      <c r="O199" t="s">
        <v>179</v>
      </c>
      <c r="P199" t="s">
        <v>180</v>
      </c>
      <c r="Q199">
        <v>14250</v>
      </c>
      <c r="R199">
        <v>5</v>
      </c>
      <c r="S199">
        <v>71250</v>
      </c>
      <c r="T199">
        <v>0</v>
      </c>
      <c r="U199">
        <v>0</v>
      </c>
      <c r="V199">
        <v>5</v>
      </c>
      <c r="W199">
        <v>71250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>
      <c r="A200">
        <v>348</v>
      </c>
      <c r="B200" t="s">
        <v>149</v>
      </c>
      <c r="C200">
        <v>622</v>
      </c>
      <c r="D200" t="s">
        <v>70</v>
      </c>
      <c r="E200" t="str">
        <f t="shared" si="4"/>
        <v>00622</v>
      </c>
      <c r="F200" t="s">
        <v>65</v>
      </c>
      <c r="G200" t="s">
        <v>208</v>
      </c>
      <c r="H200" t="s">
        <v>157</v>
      </c>
      <c r="I200" t="s">
        <v>4</v>
      </c>
      <c r="J200" t="s">
        <v>152</v>
      </c>
      <c r="K200" t="s">
        <v>174</v>
      </c>
      <c r="L200">
        <v>251200148</v>
      </c>
      <c r="M200" s="84">
        <v>45997</v>
      </c>
      <c r="N200" s="84">
        <v>45997</v>
      </c>
      <c r="O200" t="s">
        <v>206</v>
      </c>
      <c r="P200" t="s">
        <v>207</v>
      </c>
      <c r="Q200">
        <v>14250</v>
      </c>
      <c r="R200">
        <v>10</v>
      </c>
      <c r="S200">
        <v>142500</v>
      </c>
      <c r="T200">
        <v>0</v>
      </c>
      <c r="U200">
        <v>0</v>
      </c>
      <c r="V200">
        <v>10</v>
      </c>
      <c r="W200">
        <v>142500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349</v>
      </c>
      <c r="B201" t="s">
        <v>149</v>
      </c>
      <c r="C201">
        <v>562</v>
      </c>
      <c r="D201" t="s">
        <v>92</v>
      </c>
      <c r="E201" t="str">
        <f t="shared" si="4"/>
        <v>00562</v>
      </c>
      <c r="F201" t="s">
        <v>91</v>
      </c>
      <c r="G201" t="s">
        <v>202</v>
      </c>
      <c r="H201" t="s">
        <v>157</v>
      </c>
      <c r="I201" t="s">
        <v>5</v>
      </c>
      <c r="J201" t="s">
        <v>152</v>
      </c>
      <c r="K201" t="s">
        <v>159</v>
      </c>
      <c r="L201">
        <v>251200149</v>
      </c>
      <c r="M201" s="84">
        <v>45997</v>
      </c>
      <c r="N201" s="84">
        <v>45997</v>
      </c>
      <c r="O201" t="s">
        <v>191</v>
      </c>
      <c r="P201" t="s">
        <v>192</v>
      </c>
      <c r="Q201">
        <v>11700</v>
      </c>
      <c r="R201">
        <v>10</v>
      </c>
      <c r="S201">
        <v>117000</v>
      </c>
      <c r="T201">
        <v>0</v>
      </c>
      <c r="U201">
        <v>0</v>
      </c>
      <c r="V201">
        <v>10</v>
      </c>
      <c r="W201">
        <v>117000</v>
      </c>
      <c r="X201">
        <v>1500</v>
      </c>
      <c r="Y201">
        <v>1500</v>
      </c>
      <c r="Z201">
        <v>0</v>
      </c>
      <c r="AA201">
        <v>0</v>
      </c>
      <c r="AB201">
        <v>0</v>
      </c>
      <c r="AC201">
        <v>3000</v>
      </c>
    </row>
    <row r="202" spans="1:29">
      <c r="A202">
        <v>360</v>
      </c>
      <c r="B202" t="s">
        <v>149</v>
      </c>
      <c r="C202">
        <v>88</v>
      </c>
      <c r="D202" t="s">
        <v>46</v>
      </c>
      <c r="E202" t="str">
        <f t="shared" si="4"/>
        <v>00088</v>
      </c>
      <c r="F202" t="s">
        <v>43</v>
      </c>
      <c r="G202" t="s">
        <v>150</v>
      </c>
      <c r="H202" t="s">
        <v>151</v>
      </c>
      <c r="I202" t="s">
        <v>5</v>
      </c>
      <c r="J202" t="s">
        <v>152</v>
      </c>
      <c r="K202" t="s">
        <v>153</v>
      </c>
      <c r="L202">
        <v>251200153</v>
      </c>
      <c r="M202" s="84">
        <v>45998</v>
      </c>
      <c r="N202" s="84">
        <v>45998</v>
      </c>
      <c r="O202" t="s">
        <v>191</v>
      </c>
      <c r="P202" t="s">
        <v>192</v>
      </c>
      <c r="Q202">
        <v>11700</v>
      </c>
      <c r="R202">
        <v>40</v>
      </c>
      <c r="S202">
        <v>468000</v>
      </c>
      <c r="T202">
        <v>0</v>
      </c>
      <c r="U202">
        <v>0</v>
      </c>
      <c r="V202">
        <v>40</v>
      </c>
      <c r="W202">
        <v>468000</v>
      </c>
      <c r="X202">
        <v>6000</v>
      </c>
      <c r="Y202">
        <v>6000</v>
      </c>
      <c r="Z202">
        <v>0</v>
      </c>
      <c r="AA202">
        <v>0</v>
      </c>
      <c r="AB202">
        <v>0</v>
      </c>
      <c r="AC202">
        <v>12000</v>
      </c>
    </row>
    <row r="203" spans="1:29">
      <c r="A203">
        <v>361</v>
      </c>
      <c r="B203" t="s">
        <v>149</v>
      </c>
      <c r="C203">
        <v>1112</v>
      </c>
      <c r="D203" t="s">
        <v>44</v>
      </c>
      <c r="E203" t="str">
        <f t="shared" si="4"/>
        <v>01112</v>
      </c>
      <c r="F203" t="s">
        <v>43</v>
      </c>
      <c r="G203" t="s">
        <v>150</v>
      </c>
      <c r="H203" t="s">
        <v>151</v>
      </c>
      <c r="I203" t="s">
        <v>5</v>
      </c>
      <c r="J203" t="s">
        <v>152</v>
      </c>
      <c r="K203" t="s">
        <v>153</v>
      </c>
      <c r="L203">
        <v>251200154</v>
      </c>
      <c r="M203" s="84">
        <v>45998</v>
      </c>
      <c r="N203" s="84">
        <v>45998</v>
      </c>
      <c r="O203" t="s">
        <v>165</v>
      </c>
      <c r="P203" t="s">
        <v>166</v>
      </c>
      <c r="Q203">
        <v>8500</v>
      </c>
      <c r="R203">
        <v>20</v>
      </c>
      <c r="S203">
        <v>170000</v>
      </c>
      <c r="T203">
        <v>0</v>
      </c>
      <c r="U203">
        <v>0</v>
      </c>
      <c r="V203">
        <v>20</v>
      </c>
      <c r="W203">
        <v>170000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>
        <v>366</v>
      </c>
      <c r="B204" t="s">
        <v>149</v>
      </c>
      <c r="C204">
        <v>1355</v>
      </c>
      <c r="D204" t="s">
        <v>102</v>
      </c>
      <c r="E204" t="str">
        <f t="shared" ref="E204:E263" si="5">TEXT(C204,"00000")</f>
        <v>01355</v>
      </c>
      <c r="F204" t="s">
        <v>95</v>
      </c>
      <c r="G204" t="s">
        <v>187</v>
      </c>
      <c r="H204" t="s">
        <v>188</v>
      </c>
      <c r="I204" t="s">
        <v>4</v>
      </c>
      <c r="J204" t="s">
        <v>152</v>
      </c>
      <c r="K204" t="s">
        <v>159</v>
      </c>
      <c r="L204">
        <v>251200158</v>
      </c>
      <c r="M204" s="84">
        <v>45998</v>
      </c>
      <c r="N204" s="84">
        <v>45998</v>
      </c>
      <c r="O204" t="s">
        <v>160</v>
      </c>
      <c r="P204" t="s">
        <v>161</v>
      </c>
      <c r="Q204">
        <v>13200</v>
      </c>
      <c r="R204">
        <v>4</v>
      </c>
      <c r="S204">
        <v>52800</v>
      </c>
      <c r="T204">
        <v>0</v>
      </c>
      <c r="U204">
        <v>0</v>
      </c>
      <c r="V204">
        <v>4</v>
      </c>
      <c r="W204">
        <v>52800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>
      <c r="A205">
        <v>367</v>
      </c>
      <c r="B205" t="s">
        <v>149</v>
      </c>
      <c r="C205">
        <v>471</v>
      </c>
      <c r="D205" t="s">
        <v>25</v>
      </c>
      <c r="E205" t="str">
        <f t="shared" si="5"/>
        <v>00471</v>
      </c>
      <c r="F205" t="s">
        <v>20</v>
      </c>
      <c r="G205" t="s">
        <v>193</v>
      </c>
      <c r="H205" t="s">
        <v>151</v>
      </c>
      <c r="I205" t="s">
        <v>4</v>
      </c>
      <c r="J205" t="s">
        <v>152</v>
      </c>
      <c r="K205" t="s">
        <v>236</v>
      </c>
      <c r="L205">
        <v>251200159</v>
      </c>
      <c r="M205" s="84">
        <v>45998</v>
      </c>
      <c r="N205" s="84">
        <v>45998</v>
      </c>
      <c r="O205" t="s">
        <v>206</v>
      </c>
      <c r="P205" t="s">
        <v>207</v>
      </c>
      <c r="Q205">
        <v>14250</v>
      </c>
      <c r="R205">
        <v>15</v>
      </c>
      <c r="S205">
        <v>213750</v>
      </c>
      <c r="T205">
        <v>0</v>
      </c>
      <c r="U205">
        <v>0</v>
      </c>
      <c r="V205">
        <v>15</v>
      </c>
      <c r="W205">
        <v>213750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>
        <v>368</v>
      </c>
      <c r="B206" t="s">
        <v>149</v>
      </c>
      <c r="C206">
        <v>471</v>
      </c>
      <c r="D206" t="s">
        <v>25</v>
      </c>
      <c r="E206" t="str">
        <f t="shared" si="5"/>
        <v>00471</v>
      </c>
      <c r="F206" t="s">
        <v>20</v>
      </c>
      <c r="G206" t="s">
        <v>193</v>
      </c>
      <c r="H206" t="s">
        <v>151</v>
      </c>
      <c r="I206" t="s">
        <v>4</v>
      </c>
      <c r="J206" t="s">
        <v>152</v>
      </c>
      <c r="K206" t="s">
        <v>236</v>
      </c>
      <c r="L206">
        <v>251200160</v>
      </c>
      <c r="M206" s="84">
        <v>45998</v>
      </c>
      <c r="N206" s="84">
        <v>45998</v>
      </c>
      <c r="O206" t="s">
        <v>204</v>
      </c>
      <c r="P206" t="s">
        <v>205</v>
      </c>
      <c r="Q206">
        <v>14250</v>
      </c>
      <c r="R206">
        <v>5</v>
      </c>
      <c r="S206">
        <v>71250</v>
      </c>
      <c r="T206">
        <v>0</v>
      </c>
      <c r="U206">
        <v>0</v>
      </c>
      <c r="V206">
        <v>5</v>
      </c>
      <c r="W206">
        <v>71250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>
        <v>369</v>
      </c>
      <c r="B207" t="s">
        <v>149</v>
      </c>
      <c r="C207">
        <v>471</v>
      </c>
      <c r="D207" t="s">
        <v>25</v>
      </c>
      <c r="E207" t="str">
        <f t="shared" si="5"/>
        <v>00471</v>
      </c>
      <c r="F207" t="s">
        <v>20</v>
      </c>
      <c r="G207" t="s">
        <v>193</v>
      </c>
      <c r="H207" t="s">
        <v>151</v>
      </c>
      <c r="I207" t="s">
        <v>4</v>
      </c>
      <c r="J207" t="s">
        <v>152</v>
      </c>
      <c r="K207" t="s">
        <v>236</v>
      </c>
      <c r="L207">
        <v>251200160</v>
      </c>
      <c r="M207" s="84">
        <v>45998</v>
      </c>
      <c r="N207" s="84">
        <v>45998</v>
      </c>
      <c r="O207" t="s">
        <v>179</v>
      </c>
      <c r="P207" t="s">
        <v>180</v>
      </c>
      <c r="Q207">
        <v>14250</v>
      </c>
      <c r="R207">
        <v>10</v>
      </c>
      <c r="S207">
        <v>142500</v>
      </c>
      <c r="T207">
        <v>0</v>
      </c>
      <c r="U207">
        <v>0</v>
      </c>
      <c r="V207">
        <v>10</v>
      </c>
      <c r="W207">
        <v>142500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370</v>
      </c>
      <c r="B208" t="s">
        <v>149</v>
      </c>
      <c r="C208">
        <v>471</v>
      </c>
      <c r="D208" t="s">
        <v>25</v>
      </c>
      <c r="E208" t="str">
        <f t="shared" si="5"/>
        <v>00471</v>
      </c>
      <c r="F208" t="s">
        <v>20</v>
      </c>
      <c r="G208" t="s">
        <v>193</v>
      </c>
      <c r="H208" t="s">
        <v>151</v>
      </c>
      <c r="I208" t="s">
        <v>4</v>
      </c>
      <c r="J208" t="s">
        <v>152</v>
      </c>
      <c r="K208" t="s">
        <v>236</v>
      </c>
      <c r="L208">
        <v>251200160</v>
      </c>
      <c r="M208" s="84">
        <v>45998</v>
      </c>
      <c r="N208" s="84">
        <v>45998</v>
      </c>
      <c r="O208" t="s">
        <v>162</v>
      </c>
      <c r="P208" t="s">
        <v>163</v>
      </c>
      <c r="Q208">
        <v>14250</v>
      </c>
      <c r="R208">
        <v>10</v>
      </c>
      <c r="S208">
        <v>142500</v>
      </c>
      <c r="T208">
        <v>0</v>
      </c>
      <c r="U208">
        <v>0</v>
      </c>
      <c r="V208">
        <v>10</v>
      </c>
      <c r="W208">
        <v>142500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>
      <c r="A209">
        <v>371</v>
      </c>
      <c r="B209" t="s">
        <v>149</v>
      </c>
      <c r="C209">
        <v>471</v>
      </c>
      <c r="D209" t="s">
        <v>25</v>
      </c>
      <c r="E209" t="str">
        <f t="shared" si="5"/>
        <v>00471</v>
      </c>
      <c r="F209" t="s">
        <v>20</v>
      </c>
      <c r="G209" t="s">
        <v>193</v>
      </c>
      <c r="H209" t="s">
        <v>151</v>
      </c>
      <c r="I209" t="s">
        <v>4</v>
      </c>
      <c r="J209" t="s">
        <v>152</v>
      </c>
      <c r="K209" t="s">
        <v>236</v>
      </c>
      <c r="L209">
        <v>251200160</v>
      </c>
      <c r="M209" s="84">
        <v>45998</v>
      </c>
      <c r="N209" s="84">
        <v>45998</v>
      </c>
      <c r="O209" t="s">
        <v>160</v>
      </c>
      <c r="P209" t="s">
        <v>161</v>
      </c>
      <c r="Q209">
        <v>14250</v>
      </c>
      <c r="R209">
        <v>20</v>
      </c>
      <c r="S209">
        <v>285000</v>
      </c>
      <c r="T209">
        <v>0</v>
      </c>
      <c r="U209">
        <v>0</v>
      </c>
      <c r="V209">
        <v>20</v>
      </c>
      <c r="W209">
        <v>285000</v>
      </c>
      <c r="X209">
        <v>3000</v>
      </c>
      <c r="Y209">
        <v>4000</v>
      </c>
      <c r="Z209">
        <v>0</v>
      </c>
      <c r="AA209">
        <v>0</v>
      </c>
      <c r="AB209">
        <v>0</v>
      </c>
      <c r="AC209">
        <v>7000</v>
      </c>
    </row>
    <row r="210" spans="1:29">
      <c r="A210">
        <v>372</v>
      </c>
      <c r="B210" t="s">
        <v>149</v>
      </c>
      <c r="C210">
        <v>471</v>
      </c>
      <c r="D210" t="s">
        <v>25</v>
      </c>
      <c r="E210" t="str">
        <f t="shared" si="5"/>
        <v>00471</v>
      </c>
      <c r="F210" t="s">
        <v>20</v>
      </c>
      <c r="G210" t="s">
        <v>193</v>
      </c>
      <c r="H210" t="s">
        <v>151</v>
      </c>
      <c r="I210" t="s">
        <v>5</v>
      </c>
      <c r="J210" t="s">
        <v>152</v>
      </c>
      <c r="K210" t="s">
        <v>236</v>
      </c>
      <c r="L210">
        <v>251200160</v>
      </c>
      <c r="M210" s="84">
        <v>45998</v>
      </c>
      <c r="N210" s="84">
        <v>45998</v>
      </c>
      <c r="O210" t="s">
        <v>191</v>
      </c>
      <c r="P210" t="s">
        <v>192</v>
      </c>
      <c r="Q210">
        <v>11700</v>
      </c>
      <c r="R210">
        <v>15</v>
      </c>
      <c r="S210">
        <v>175500</v>
      </c>
      <c r="T210">
        <v>0</v>
      </c>
      <c r="U210">
        <v>0</v>
      </c>
      <c r="V210">
        <v>15</v>
      </c>
      <c r="W210">
        <v>175500</v>
      </c>
      <c r="X210">
        <v>2250</v>
      </c>
      <c r="Y210">
        <v>2250</v>
      </c>
      <c r="Z210">
        <v>0</v>
      </c>
      <c r="AA210">
        <v>0</v>
      </c>
      <c r="AB210">
        <v>0</v>
      </c>
      <c r="AC210">
        <v>4500</v>
      </c>
    </row>
    <row r="211" spans="1:29">
      <c r="A211">
        <v>373</v>
      </c>
      <c r="B211" t="s">
        <v>149</v>
      </c>
      <c r="C211">
        <v>1581</v>
      </c>
      <c r="D211" t="s">
        <v>96</v>
      </c>
      <c r="E211" t="str">
        <f t="shared" si="5"/>
        <v>01581</v>
      </c>
      <c r="F211" t="s">
        <v>95</v>
      </c>
      <c r="G211" t="s">
        <v>187</v>
      </c>
      <c r="H211" t="s">
        <v>188</v>
      </c>
      <c r="I211" t="s">
        <v>4</v>
      </c>
      <c r="J211" t="s">
        <v>152</v>
      </c>
      <c r="K211" t="s">
        <v>159</v>
      </c>
      <c r="L211">
        <v>251200161</v>
      </c>
      <c r="M211" s="84">
        <v>45998</v>
      </c>
      <c r="N211" s="84">
        <v>45998</v>
      </c>
      <c r="O211" t="s">
        <v>262</v>
      </c>
      <c r="P211" t="s">
        <v>263</v>
      </c>
      <c r="Q211">
        <v>13300</v>
      </c>
      <c r="R211">
        <v>5</v>
      </c>
      <c r="S211">
        <v>66500</v>
      </c>
      <c r="T211">
        <v>0</v>
      </c>
      <c r="U211">
        <v>0</v>
      </c>
      <c r="V211">
        <v>5</v>
      </c>
      <c r="W211">
        <v>66500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374</v>
      </c>
      <c r="B212" t="s">
        <v>149</v>
      </c>
      <c r="C212">
        <v>1356</v>
      </c>
      <c r="D212" t="s">
        <v>98</v>
      </c>
      <c r="E212" t="str">
        <f t="shared" si="5"/>
        <v>01356</v>
      </c>
      <c r="F212" t="s">
        <v>95</v>
      </c>
      <c r="G212" t="s">
        <v>187</v>
      </c>
      <c r="H212" t="s">
        <v>188</v>
      </c>
      <c r="I212" t="s">
        <v>4</v>
      </c>
      <c r="J212" t="s">
        <v>152</v>
      </c>
      <c r="K212" t="s">
        <v>159</v>
      </c>
      <c r="L212">
        <v>251200162</v>
      </c>
      <c r="M212" s="84">
        <v>45998</v>
      </c>
      <c r="N212" s="84">
        <v>45998</v>
      </c>
      <c r="O212" t="s">
        <v>168</v>
      </c>
      <c r="P212" t="s">
        <v>169</v>
      </c>
      <c r="Q212">
        <v>13300</v>
      </c>
      <c r="R212">
        <v>10</v>
      </c>
      <c r="S212">
        <v>133000</v>
      </c>
      <c r="T212">
        <v>0</v>
      </c>
      <c r="U212">
        <v>0</v>
      </c>
      <c r="V212">
        <v>10</v>
      </c>
      <c r="W212">
        <v>133000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375</v>
      </c>
      <c r="B213" t="s">
        <v>149</v>
      </c>
      <c r="C213">
        <v>1448</v>
      </c>
      <c r="D213" t="s">
        <v>21</v>
      </c>
      <c r="E213" t="str">
        <f t="shared" si="5"/>
        <v>01448</v>
      </c>
      <c r="F213" t="s">
        <v>20</v>
      </c>
      <c r="G213" t="s">
        <v>193</v>
      </c>
      <c r="H213" t="s">
        <v>151</v>
      </c>
      <c r="I213" t="s">
        <v>5</v>
      </c>
      <c r="J213" t="s">
        <v>152</v>
      </c>
      <c r="K213" t="s">
        <v>236</v>
      </c>
      <c r="L213">
        <v>251200163</v>
      </c>
      <c r="M213" s="84">
        <v>45998</v>
      </c>
      <c r="N213" s="84">
        <v>45998</v>
      </c>
      <c r="O213" t="s">
        <v>191</v>
      </c>
      <c r="P213" t="s">
        <v>192</v>
      </c>
      <c r="Q213">
        <v>11700</v>
      </c>
      <c r="R213">
        <v>5</v>
      </c>
      <c r="S213">
        <v>58500</v>
      </c>
      <c r="T213">
        <v>0</v>
      </c>
      <c r="U213">
        <v>0</v>
      </c>
      <c r="V213">
        <v>5</v>
      </c>
      <c r="W213">
        <v>58500</v>
      </c>
      <c r="X213">
        <v>750</v>
      </c>
      <c r="Y213">
        <v>750</v>
      </c>
      <c r="Z213">
        <v>0</v>
      </c>
      <c r="AA213">
        <v>0</v>
      </c>
      <c r="AB213">
        <v>0</v>
      </c>
      <c r="AC213">
        <v>1500</v>
      </c>
    </row>
    <row r="214" spans="1:29">
      <c r="A214">
        <v>379</v>
      </c>
      <c r="B214" t="s">
        <v>149</v>
      </c>
      <c r="C214">
        <v>988</v>
      </c>
      <c r="D214" t="s">
        <v>19</v>
      </c>
      <c r="E214" t="str">
        <f t="shared" si="5"/>
        <v>00988</v>
      </c>
      <c r="F214" t="s">
        <v>15</v>
      </c>
      <c r="G214" t="s">
        <v>193</v>
      </c>
      <c r="H214" t="s">
        <v>151</v>
      </c>
      <c r="I214" t="s">
        <v>5</v>
      </c>
      <c r="J214" t="s">
        <v>152</v>
      </c>
      <c r="K214" t="s">
        <v>153</v>
      </c>
      <c r="L214">
        <v>251200166</v>
      </c>
      <c r="M214" s="84">
        <v>45998</v>
      </c>
      <c r="N214" s="84">
        <v>45998</v>
      </c>
      <c r="O214" t="s">
        <v>253</v>
      </c>
      <c r="P214" t="s">
        <v>254</v>
      </c>
      <c r="Q214">
        <v>11700</v>
      </c>
      <c r="R214">
        <v>4</v>
      </c>
      <c r="S214">
        <v>46800</v>
      </c>
      <c r="T214">
        <v>0</v>
      </c>
      <c r="U214">
        <v>0</v>
      </c>
      <c r="V214">
        <v>4</v>
      </c>
      <c r="W214">
        <v>46800</v>
      </c>
      <c r="X214">
        <v>600</v>
      </c>
      <c r="Y214">
        <v>600</v>
      </c>
      <c r="Z214">
        <v>0</v>
      </c>
      <c r="AA214">
        <v>0</v>
      </c>
      <c r="AB214">
        <v>0</v>
      </c>
      <c r="AC214">
        <v>1200</v>
      </c>
    </row>
    <row r="215" spans="1:29">
      <c r="A215">
        <v>380</v>
      </c>
      <c r="B215" t="s">
        <v>149</v>
      </c>
      <c r="C215">
        <v>988</v>
      </c>
      <c r="D215" t="s">
        <v>19</v>
      </c>
      <c r="E215" t="str">
        <f t="shared" si="5"/>
        <v>00988</v>
      </c>
      <c r="F215" t="s">
        <v>15</v>
      </c>
      <c r="G215" t="s">
        <v>193</v>
      </c>
      <c r="H215" t="s">
        <v>151</v>
      </c>
      <c r="I215" t="s">
        <v>210</v>
      </c>
      <c r="J215" t="s">
        <v>152</v>
      </c>
      <c r="K215" t="s">
        <v>153</v>
      </c>
      <c r="L215">
        <v>251200166</v>
      </c>
      <c r="M215" s="84">
        <v>45998</v>
      </c>
      <c r="N215" s="84">
        <v>45998</v>
      </c>
      <c r="O215" t="s">
        <v>213</v>
      </c>
      <c r="P215" t="s">
        <v>214</v>
      </c>
      <c r="Q215">
        <v>23802</v>
      </c>
      <c r="R215">
        <v>5</v>
      </c>
      <c r="S215">
        <v>119010</v>
      </c>
      <c r="T215">
        <v>0</v>
      </c>
      <c r="U215">
        <v>0</v>
      </c>
      <c r="V215">
        <v>5</v>
      </c>
      <c r="W215">
        <v>119010</v>
      </c>
      <c r="X215">
        <v>2380</v>
      </c>
      <c r="Y215">
        <v>2380</v>
      </c>
      <c r="Z215">
        <v>5000</v>
      </c>
      <c r="AA215">
        <v>0</v>
      </c>
      <c r="AB215">
        <v>500</v>
      </c>
      <c r="AC215">
        <v>10260</v>
      </c>
    </row>
    <row r="216" spans="1:29">
      <c r="A216">
        <v>381</v>
      </c>
      <c r="B216" t="s">
        <v>149</v>
      </c>
      <c r="C216">
        <v>988</v>
      </c>
      <c r="D216" t="s">
        <v>19</v>
      </c>
      <c r="E216" t="str">
        <f t="shared" si="5"/>
        <v>00988</v>
      </c>
      <c r="F216" t="s">
        <v>15</v>
      </c>
      <c r="G216" t="s">
        <v>193</v>
      </c>
      <c r="H216" t="s">
        <v>151</v>
      </c>
      <c r="I216" t="s">
        <v>238</v>
      </c>
      <c r="J216" t="s">
        <v>152</v>
      </c>
      <c r="K216" t="s">
        <v>153</v>
      </c>
      <c r="L216">
        <v>251200166</v>
      </c>
      <c r="M216" s="84">
        <v>45998</v>
      </c>
      <c r="N216" s="84">
        <v>45998</v>
      </c>
      <c r="O216" t="s">
        <v>247</v>
      </c>
      <c r="P216" t="s">
        <v>116</v>
      </c>
      <c r="Q216">
        <v>10982</v>
      </c>
      <c r="R216">
        <v>1</v>
      </c>
      <c r="S216">
        <v>10982</v>
      </c>
      <c r="T216">
        <v>0</v>
      </c>
      <c r="U216">
        <v>0</v>
      </c>
      <c r="V216">
        <v>1</v>
      </c>
      <c r="W216">
        <v>10982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382</v>
      </c>
      <c r="B217" t="s">
        <v>149</v>
      </c>
      <c r="C217">
        <v>988</v>
      </c>
      <c r="D217" t="s">
        <v>19</v>
      </c>
      <c r="E217" t="str">
        <f t="shared" si="5"/>
        <v>00988</v>
      </c>
      <c r="F217" t="s">
        <v>15</v>
      </c>
      <c r="G217" t="s">
        <v>193</v>
      </c>
      <c r="H217" t="s">
        <v>151</v>
      </c>
      <c r="I217" t="s">
        <v>5</v>
      </c>
      <c r="J217" t="s">
        <v>152</v>
      </c>
      <c r="K217" t="s">
        <v>153</v>
      </c>
      <c r="L217">
        <v>251200166</v>
      </c>
      <c r="M217" s="84">
        <v>45998</v>
      </c>
      <c r="N217" s="84">
        <v>45998</v>
      </c>
      <c r="O217" t="s">
        <v>191</v>
      </c>
      <c r="P217" t="s">
        <v>192</v>
      </c>
      <c r="Q217">
        <v>11700</v>
      </c>
      <c r="R217">
        <v>40</v>
      </c>
      <c r="S217">
        <v>468000</v>
      </c>
      <c r="T217">
        <v>0</v>
      </c>
      <c r="U217">
        <v>0</v>
      </c>
      <c r="V217">
        <v>40</v>
      </c>
      <c r="W217">
        <v>468000</v>
      </c>
      <c r="X217">
        <v>6000</v>
      </c>
      <c r="Y217">
        <v>6000</v>
      </c>
      <c r="Z217">
        <v>0</v>
      </c>
      <c r="AA217">
        <v>0</v>
      </c>
      <c r="AB217">
        <v>0</v>
      </c>
      <c r="AC217">
        <v>12000</v>
      </c>
    </row>
    <row r="218" spans="1:29">
      <c r="A218">
        <v>383</v>
      </c>
      <c r="B218" t="s">
        <v>149</v>
      </c>
      <c r="C218">
        <v>988</v>
      </c>
      <c r="D218" t="s">
        <v>19</v>
      </c>
      <c r="E218" t="str">
        <f t="shared" si="5"/>
        <v>00988</v>
      </c>
      <c r="F218" t="s">
        <v>15</v>
      </c>
      <c r="G218" t="s">
        <v>193</v>
      </c>
      <c r="H218" t="s">
        <v>151</v>
      </c>
      <c r="I218" t="s">
        <v>238</v>
      </c>
      <c r="J218" t="s">
        <v>152</v>
      </c>
      <c r="K218" t="s">
        <v>153</v>
      </c>
      <c r="L218">
        <v>251200166</v>
      </c>
      <c r="M218" s="84">
        <v>45998</v>
      </c>
      <c r="N218" s="84">
        <v>45998</v>
      </c>
      <c r="O218" t="s">
        <v>241</v>
      </c>
      <c r="P218" t="s">
        <v>242</v>
      </c>
      <c r="Q218">
        <v>17156</v>
      </c>
      <c r="R218">
        <v>2</v>
      </c>
      <c r="S218">
        <v>34312</v>
      </c>
      <c r="T218">
        <v>0</v>
      </c>
      <c r="U218">
        <v>0</v>
      </c>
      <c r="V218">
        <v>2</v>
      </c>
      <c r="W218">
        <v>34312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384</v>
      </c>
      <c r="B219" t="s">
        <v>149</v>
      </c>
      <c r="C219">
        <v>988</v>
      </c>
      <c r="D219" t="s">
        <v>19</v>
      </c>
      <c r="E219" t="str">
        <f t="shared" si="5"/>
        <v>00988</v>
      </c>
      <c r="F219" t="s">
        <v>15</v>
      </c>
      <c r="G219" t="s">
        <v>193</v>
      </c>
      <c r="H219" t="s">
        <v>151</v>
      </c>
      <c r="I219" t="s">
        <v>4</v>
      </c>
      <c r="J219" t="s">
        <v>152</v>
      </c>
      <c r="K219" t="s">
        <v>153</v>
      </c>
      <c r="L219">
        <v>251200166</v>
      </c>
      <c r="M219" s="84">
        <v>45998</v>
      </c>
      <c r="N219" s="84">
        <v>45998</v>
      </c>
      <c r="O219" t="s">
        <v>179</v>
      </c>
      <c r="P219" t="s">
        <v>180</v>
      </c>
      <c r="Q219">
        <v>14250</v>
      </c>
      <c r="R219">
        <v>15</v>
      </c>
      <c r="S219">
        <v>213750</v>
      </c>
      <c r="T219">
        <v>0</v>
      </c>
      <c r="U219">
        <v>0</v>
      </c>
      <c r="V219">
        <v>15</v>
      </c>
      <c r="W219">
        <v>213750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>
        <v>385</v>
      </c>
      <c r="B220" t="s">
        <v>149</v>
      </c>
      <c r="C220">
        <v>988</v>
      </c>
      <c r="D220" t="s">
        <v>19</v>
      </c>
      <c r="E220" t="str">
        <f t="shared" si="5"/>
        <v>00988</v>
      </c>
      <c r="F220" t="s">
        <v>15</v>
      </c>
      <c r="G220" t="s">
        <v>193</v>
      </c>
      <c r="H220" t="s">
        <v>151</v>
      </c>
      <c r="I220" t="s">
        <v>231</v>
      </c>
      <c r="J220" t="s">
        <v>152</v>
      </c>
      <c r="K220" t="s">
        <v>153</v>
      </c>
      <c r="L220">
        <v>251200166</v>
      </c>
      <c r="M220" s="84">
        <v>45998</v>
      </c>
      <c r="N220" s="84">
        <v>45998</v>
      </c>
      <c r="O220" t="s">
        <v>233</v>
      </c>
      <c r="P220" t="s">
        <v>118</v>
      </c>
      <c r="Q220">
        <v>4486</v>
      </c>
      <c r="R220">
        <v>2</v>
      </c>
      <c r="S220">
        <v>8972</v>
      </c>
      <c r="T220">
        <v>0</v>
      </c>
      <c r="U220">
        <v>0</v>
      </c>
      <c r="V220">
        <v>2</v>
      </c>
      <c r="W220">
        <v>8972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386</v>
      </c>
      <c r="B221" t="s">
        <v>149</v>
      </c>
      <c r="C221">
        <v>988</v>
      </c>
      <c r="D221" t="s">
        <v>19</v>
      </c>
      <c r="E221" t="str">
        <f t="shared" si="5"/>
        <v>00988</v>
      </c>
      <c r="F221" t="s">
        <v>15</v>
      </c>
      <c r="G221" t="s">
        <v>193</v>
      </c>
      <c r="H221" t="s">
        <v>151</v>
      </c>
      <c r="I221" t="s">
        <v>4</v>
      </c>
      <c r="J221" t="s">
        <v>152</v>
      </c>
      <c r="K221" t="s">
        <v>153</v>
      </c>
      <c r="L221">
        <v>251200166</v>
      </c>
      <c r="M221" s="84">
        <v>45998</v>
      </c>
      <c r="N221" s="84">
        <v>45998</v>
      </c>
      <c r="O221" t="s">
        <v>160</v>
      </c>
      <c r="P221" t="s">
        <v>161</v>
      </c>
      <c r="Q221">
        <v>14250</v>
      </c>
      <c r="R221">
        <v>5</v>
      </c>
      <c r="S221">
        <v>71250</v>
      </c>
      <c r="T221">
        <v>0</v>
      </c>
      <c r="U221">
        <v>0</v>
      </c>
      <c r="V221">
        <v>5</v>
      </c>
      <c r="W221">
        <v>71250</v>
      </c>
      <c r="X221">
        <v>750</v>
      </c>
      <c r="Y221">
        <v>1000</v>
      </c>
      <c r="Z221">
        <v>0</v>
      </c>
      <c r="AA221">
        <v>0</v>
      </c>
      <c r="AB221">
        <v>0</v>
      </c>
      <c r="AC221">
        <v>1750</v>
      </c>
    </row>
    <row r="222" spans="1:29">
      <c r="A222">
        <v>403</v>
      </c>
      <c r="B222" t="s">
        <v>149</v>
      </c>
      <c r="C222">
        <v>1470</v>
      </c>
      <c r="D222" t="s">
        <v>12</v>
      </c>
      <c r="E222" t="str">
        <f t="shared" si="5"/>
        <v>01470</v>
      </c>
      <c r="F222" t="s">
        <v>10</v>
      </c>
      <c r="G222" t="s">
        <v>172</v>
      </c>
      <c r="H222" t="s">
        <v>157</v>
      </c>
      <c r="I222" t="s">
        <v>5</v>
      </c>
      <c r="J222" t="s">
        <v>152</v>
      </c>
      <c r="K222" t="s">
        <v>174</v>
      </c>
      <c r="L222">
        <v>251200175</v>
      </c>
      <c r="M222" s="84">
        <v>45998</v>
      </c>
      <c r="N222" s="84">
        <v>45998</v>
      </c>
      <c r="O222" t="s">
        <v>191</v>
      </c>
      <c r="P222" t="s">
        <v>192</v>
      </c>
      <c r="Q222">
        <v>11700</v>
      </c>
      <c r="R222">
        <v>4</v>
      </c>
      <c r="S222">
        <v>46800</v>
      </c>
      <c r="T222">
        <v>0</v>
      </c>
      <c r="U222">
        <v>0</v>
      </c>
      <c r="V222">
        <v>4</v>
      </c>
      <c r="W222">
        <v>46800</v>
      </c>
      <c r="X222">
        <v>600</v>
      </c>
      <c r="Y222">
        <v>600</v>
      </c>
      <c r="Z222">
        <v>0</v>
      </c>
      <c r="AA222">
        <v>0</v>
      </c>
      <c r="AB222">
        <v>0</v>
      </c>
      <c r="AC222">
        <v>1200</v>
      </c>
    </row>
    <row r="223" spans="1:29">
      <c r="A223">
        <v>405</v>
      </c>
      <c r="B223" t="s">
        <v>149</v>
      </c>
      <c r="C223">
        <v>622</v>
      </c>
      <c r="D223" t="s">
        <v>70</v>
      </c>
      <c r="E223" t="str">
        <f t="shared" si="5"/>
        <v>00622</v>
      </c>
      <c r="F223" t="s">
        <v>65</v>
      </c>
      <c r="G223" t="s">
        <v>208</v>
      </c>
      <c r="H223" t="s">
        <v>157</v>
      </c>
      <c r="I223" t="s">
        <v>4</v>
      </c>
      <c r="J223" t="s">
        <v>152</v>
      </c>
      <c r="K223" t="s">
        <v>174</v>
      </c>
      <c r="L223">
        <v>251200177</v>
      </c>
      <c r="M223" s="84">
        <v>45998</v>
      </c>
      <c r="N223" s="84">
        <v>45998</v>
      </c>
      <c r="O223" t="s">
        <v>179</v>
      </c>
      <c r="P223" t="s">
        <v>180</v>
      </c>
      <c r="Q223">
        <v>14250</v>
      </c>
      <c r="R223">
        <v>5</v>
      </c>
      <c r="S223">
        <v>71250</v>
      </c>
      <c r="T223">
        <v>0</v>
      </c>
      <c r="U223">
        <v>0</v>
      </c>
      <c r="V223">
        <v>5</v>
      </c>
      <c r="W223">
        <v>71250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406</v>
      </c>
      <c r="B224" t="s">
        <v>149</v>
      </c>
      <c r="C224">
        <v>622</v>
      </c>
      <c r="D224" t="s">
        <v>70</v>
      </c>
      <c r="E224" t="str">
        <f t="shared" si="5"/>
        <v>00622</v>
      </c>
      <c r="F224" t="s">
        <v>65</v>
      </c>
      <c r="G224" t="s">
        <v>208</v>
      </c>
      <c r="H224" t="s">
        <v>157</v>
      </c>
      <c r="I224" t="s">
        <v>4</v>
      </c>
      <c r="J224" t="s">
        <v>152</v>
      </c>
      <c r="K224" t="s">
        <v>174</v>
      </c>
      <c r="L224">
        <v>251200177</v>
      </c>
      <c r="M224" s="84">
        <v>45998</v>
      </c>
      <c r="N224" s="84">
        <v>45998</v>
      </c>
      <c r="O224" t="s">
        <v>160</v>
      </c>
      <c r="P224" t="s">
        <v>161</v>
      </c>
      <c r="Q224">
        <v>14250</v>
      </c>
      <c r="R224">
        <v>20</v>
      </c>
      <c r="S224">
        <v>285000</v>
      </c>
      <c r="T224">
        <v>0</v>
      </c>
      <c r="U224">
        <v>0</v>
      </c>
      <c r="V224">
        <v>20</v>
      </c>
      <c r="W224">
        <v>285000</v>
      </c>
      <c r="X224">
        <v>3000</v>
      </c>
      <c r="Y224">
        <v>4000</v>
      </c>
      <c r="Z224">
        <v>0</v>
      </c>
      <c r="AA224">
        <v>0</v>
      </c>
      <c r="AB224">
        <v>0</v>
      </c>
      <c r="AC224">
        <v>7000</v>
      </c>
    </row>
    <row r="225" spans="1:29">
      <c r="A225">
        <v>408</v>
      </c>
      <c r="B225" t="s">
        <v>149</v>
      </c>
      <c r="C225">
        <v>1395</v>
      </c>
      <c r="D225" t="s">
        <v>101</v>
      </c>
      <c r="E225" t="str">
        <f t="shared" si="5"/>
        <v>01395</v>
      </c>
      <c r="F225" t="s">
        <v>95</v>
      </c>
      <c r="G225" t="s">
        <v>187</v>
      </c>
      <c r="H225" t="s">
        <v>188</v>
      </c>
      <c r="I225" t="s">
        <v>4</v>
      </c>
      <c r="J225" t="s">
        <v>152</v>
      </c>
      <c r="K225" t="s">
        <v>159</v>
      </c>
      <c r="L225">
        <v>251200179</v>
      </c>
      <c r="M225" s="84">
        <v>45998</v>
      </c>
      <c r="N225" s="84">
        <v>45998</v>
      </c>
      <c r="O225" t="s">
        <v>160</v>
      </c>
      <c r="P225" t="s">
        <v>161</v>
      </c>
      <c r="Q225">
        <v>13200</v>
      </c>
      <c r="R225">
        <v>5</v>
      </c>
      <c r="S225">
        <v>66000</v>
      </c>
      <c r="T225">
        <v>0</v>
      </c>
      <c r="U225">
        <v>0</v>
      </c>
      <c r="V225">
        <v>5</v>
      </c>
      <c r="W225">
        <v>66000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415</v>
      </c>
      <c r="B226" t="s">
        <v>149</v>
      </c>
      <c r="C226">
        <v>1118</v>
      </c>
      <c r="D226" t="s">
        <v>37</v>
      </c>
      <c r="E226" t="str">
        <f t="shared" si="5"/>
        <v>01118</v>
      </c>
      <c r="F226" t="s">
        <v>28</v>
      </c>
      <c r="G226" t="s">
        <v>164</v>
      </c>
      <c r="H226" t="s">
        <v>151</v>
      </c>
      <c r="I226" t="s">
        <v>210</v>
      </c>
      <c r="J226" t="s">
        <v>152</v>
      </c>
      <c r="K226" t="s">
        <v>153</v>
      </c>
      <c r="L226">
        <v>251200183</v>
      </c>
      <c r="M226" s="84">
        <v>45998</v>
      </c>
      <c r="N226" s="84">
        <v>45998</v>
      </c>
      <c r="O226" t="s">
        <v>213</v>
      </c>
      <c r="P226" t="s">
        <v>214</v>
      </c>
      <c r="Q226">
        <v>23802</v>
      </c>
      <c r="R226">
        <v>5</v>
      </c>
      <c r="S226">
        <v>119010</v>
      </c>
      <c r="T226">
        <v>0</v>
      </c>
      <c r="U226">
        <v>0</v>
      </c>
      <c r="V226">
        <v>5</v>
      </c>
      <c r="W226">
        <v>119010</v>
      </c>
      <c r="X226">
        <v>2380</v>
      </c>
      <c r="Y226">
        <v>2380</v>
      </c>
      <c r="Z226">
        <v>5000</v>
      </c>
      <c r="AA226">
        <v>0</v>
      </c>
      <c r="AB226">
        <v>500</v>
      </c>
      <c r="AC226">
        <v>10260</v>
      </c>
    </row>
    <row r="227" spans="1:29">
      <c r="A227">
        <v>416</v>
      </c>
      <c r="B227" t="s">
        <v>149</v>
      </c>
      <c r="C227">
        <v>1401</v>
      </c>
      <c r="D227" t="s">
        <v>29</v>
      </c>
      <c r="E227" t="str">
        <f t="shared" si="5"/>
        <v>01401</v>
      </c>
      <c r="F227" t="s">
        <v>28</v>
      </c>
      <c r="G227" t="s">
        <v>164</v>
      </c>
      <c r="H227" t="s">
        <v>151</v>
      </c>
      <c r="I227" t="s">
        <v>4</v>
      </c>
      <c r="J227" t="s">
        <v>152</v>
      </c>
      <c r="K227" t="s">
        <v>153</v>
      </c>
      <c r="L227">
        <v>251200184</v>
      </c>
      <c r="M227" s="84">
        <v>45998</v>
      </c>
      <c r="N227" s="84">
        <v>45998</v>
      </c>
      <c r="O227" t="s">
        <v>267</v>
      </c>
      <c r="P227" t="s">
        <v>268</v>
      </c>
      <c r="Q227">
        <v>14250</v>
      </c>
      <c r="R227">
        <v>20</v>
      </c>
      <c r="S227">
        <v>285000</v>
      </c>
      <c r="T227">
        <v>0</v>
      </c>
      <c r="U227">
        <v>0</v>
      </c>
      <c r="V227">
        <v>20</v>
      </c>
      <c r="W227">
        <v>285000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420</v>
      </c>
      <c r="B228" t="s">
        <v>149</v>
      </c>
      <c r="C228">
        <v>337</v>
      </c>
      <c r="D228" t="s">
        <v>57</v>
      </c>
      <c r="E228" t="str">
        <f t="shared" si="5"/>
        <v>00337</v>
      </c>
      <c r="F228" t="s">
        <v>49</v>
      </c>
      <c r="G228" t="s">
        <v>167</v>
      </c>
      <c r="H228" t="s">
        <v>151</v>
      </c>
      <c r="I228" t="s">
        <v>4</v>
      </c>
      <c r="J228" t="s">
        <v>152</v>
      </c>
      <c r="K228" t="s">
        <v>153</v>
      </c>
      <c r="L228">
        <v>251200187</v>
      </c>
      <c r="M228" s="84">
        <v>45998</v>
      </c>
      <c r="N228" s="84">
        <v>45998</v>
      </c>
      <c r="O228" t="s">
        <v>160</v>
      </c>
      <c r="P228" t="s">
        <v>161</v>
      </c>
      <c r="Q228">
        <v>14250</v>
      </c>
      <c r="R228">
        <v>30</v>
      </c>
      <c r="S228">
        <v>427500</v>
      </c>
      <c r="T228">
        <v>0</v>
      </c>
      <c r="U228">
        <v>0</v>
      </c>
      <c r="V228">
        <v>30</v>
      </c>
      <c r="W228">
        <v>427500</v>
      </c>
      <c r="X228">
        <v>4500</v>
      </c>
      <c r="Y228">
        <v>6000</v>
      </c>
      <c r="Z228">
        <v>0</v>
      </c>
      <c r="AA228">
        <v>0</v>
      </c>
      <c r="AB228">
        <v>0</v>
      </c>
      <c r="AC228">
        <v>10500</v>
      </c>
    </row>
    <row r="229" spans="1:29">
      <c r="A229">
        <v>421</v>
      </c>
      <c r="B229" t="s">
        <v>149</v>
      </c>
      <c r="C229">
        <v>1108</v>
      </c>
      <c r="D229" t="s">
        <v>107</v>
      </c>
      <c r="E229" t="str">
        <f t="shared" si="5"/>
        <v>01108</v>
      </c>
      <c r="F229" t="s">
        <v>103</v>
      </c>
      <c r="G229" t="s">
        <v>167</v>
      </c>
      <c r="H229" t="s">
        <v>151</v>
      </c>
      <c r="I229" t="s">
        <v>4</v>
      </c>
      <c r="J229" t="s">
        <v>152</v>
      </c>
      <c r="K229" t="s">
        <v>153</v>
      </c>
      <c r="L229">
        <v>251200188</v>
      </c>
      <c r="M229" s="84">
        <v>45998</v>
      </c>
      <c r="N229" s="84">
        <v>45998</v>
      </c>
      <c r="O229" t="s">
        <v>160</v>
      </c>
      <c r="P229" t="s">
        <v>161</v>
      </c>
      <c r="Q229">
        <v>14250</v>
      </c>
      <c r="R229">
        <v>40</v>
      </c>
      <c r="S229">
        <v>570000</v>
      </c>
      <c r="T229">
        <v>0</v>
      </c>
      <c r="U229">
        <v>0</v>
      </c>
      <c r="V229">
        <v>40</v>
      </c>
      <c r="W229">
        <v>570000</v>
      </c>
      <c r="X229">
        <v>6000</v>
      </c>
      <c r="Y229">
        <v>8000</v>
      </c>
      <c r="Z229">
        <v>0</v>
      </c>
      <c r="AA229">
        <v>0</v>
      </c>
      <c r="AB229">
        <v>0</v>
      </c>
      <c r="AC229">
        <v>14000</v>
      </c>
    </row>
    <row r="230" spans="1:29">
      <c r="A230">
        <v>422</v>
      </c>
      <c r="B230" t="s">
        <v>149</v>
      </c>
      <c r="C230">
        <v>1108</v>
      </c>
      <c r="D230" t="s">
        <v>107</v>
      </c>
      <c r="E230" t="str">
        <f t="shared" si="5"/>
        <v>01108</v>
      </c>
      <c r="F230" t="s">
        <v>103</v>
      </c>
      <c r="G230" t="s">
        <v>167</v>
      </c>
      <c r="H230" t="s">
        <v>151</v>
      </c>
      <c r="I230" t="s">
        <v>5</v>
      </c>
      <c r="J230" t="s">
        <v>152</v>
      </c>
      <c r="K230" t="s">
        <v>153</v>
      </c>
      <c r="L230">
        <v>251200188</v>
      </c>
      <c r="M230" s="84">
        <v>45998</v>
      </c>
      <c r="N230" s="84">
        <v>45998</v>
      </c>
      <c r="O230" t="s">
        <v>191</v>
      </c>
      <c r="P230" t="s">
        <v>192</v>
      </c>
      <c r="Q230">
        <v>11700</v>
      </c>
      <c r="R230">
        <v>20</v>
      </c>
      <c r="S230">
        <v>234000</v>
      </c>
      <c r="T230">
        <v>0</v>
      </c>
      <c r="U230">
        <v>0</v>
      </c>
      <c r="V230">
        <v>20</v>
      </c>
      <c r="W230">
        <v>234000</v>
      </c>
      <c r="X230">
        <v>3000</v>
      </c>
      <c r="Y230">
        <v>3000</v>
      </c>
      <c r="Z230">
        <v>0</v>
      </c>
      <c r="AA230">
        <v>0</v>
      </c>
      <c r="AB230">
        <v>0</v>
      </c>
      <c r="AC230">
        <v>6000</v>
      </c>
    </row>
    <row r="231" spans="1:29">
      <c r="A231">
        <v>423</v>
      </c>
      <c r="B231" t="s">
        <v>149</v>
      </c>
      <c r="C231">
        <v>388</v>
      </c>
      <c r="D231" t="s">
        <v>106</v>
      </c>
      <c r="E231" t="str">
        <f t="shared" si="5"/>
        <v>00388</v>
      </c>
      <c r="F231" t="s">
        <v>103</v>
      </c>
      <c r="G231" t="s">
        <v>167</v>
      </c>
      <c r="H231" t="s">
        <v>151</v>
      </c>
      <c r="I231" t="s">
        <v>4</v>
      </c>
      <c r="J231" t="s">
        <v>152</v>
      </c>
      <c r="K231" t="s">
        <v>153</v>
      </c>
      <c r="L231">
        <v>251200189</v>
      </c>
      <c r="M231" s="84">
        <v>45998</v>
      </c>
      <c r="N231" s="84">
        <v>45998</v>
      </c>
      <c r="O231" t="s">
        <v>160</v>
      </c>
      <c r="P231" t="s">
        <v>161</v>
      </c>
      <c r="Q231">
        <v>14250</v>
      </c>
      <c r="R231">
        <v>50</v>
      </c>
      <c r="S231">
        <v>712500</v>
      </c>
      <c r="T231">
        <v>0</v>
      </c>
      <c r="U231">
        <v>0</v>
      </c>
      <c r="V231">
        <v>50</v>
      </c>
      <c r="W231">
        <v>712500</v>
      </c>
      <c r="X231">
        <v>7500</v>
      </c>
      <c r="Y231">
        <v>10000</v>
      </c>
      <c r="Z231">
        <v>0</v>
      </c>
      <c r="AA231">
        <v>0</v>
      </c>
      <c r="AB231">
        <v>0</v>
      </c>
      <c r="AC231">
        <v>17500</v>
      </c>
    </row>
    <row r="232" spans="1:29">
      <c r="A232">
        <v>435</v>
      </c>
      <c r="B232" t="s">
        <v>149</v>
      </c>
      <c r="C232">
        <v>1</v>
      </c>
      <c r="D232" t="s">
        <v>114</v>
      </c>
      <c r="E232" t="str">
        <f t="shared" si="5"/>
        <v>00001</v>
      </c>
      <c r="F232" t="s">
        <v>111</v>
      </c>
      <c r="G232" t="s">
        <v>150</v>
      </c>
      <c r="H232" t="s">
        <v>151</v>
      </c>
      <c r="I232" t="s">
        <v>5</v>
      </c>
      <c r="J232" t="s">
        <v>152</v>
      </c>
      <c r="K232" t="s">
        <v>153</v>
      </c>
      <c r="L232">
        <v>251200197</v>
      </c>
      <c r="M232" s="84">
        <v>45998</v>
      </c>
      <c r="N232" s="84">
        <v>45998</v>
      </c>
      <c r="O232" t="s">
        <v>165</v>
      </c>
      <c r="P232" t="s">
        <v>166</v>
      </c>
      <c r="Q232">
        <v>8500</v>
      </c>
      <c r="R232">
        <v>20</v>
      </c>
      <c r="S232">
        <v>170000</v>
      </c>
      <c r="T232">
        <v>0</v>
      </c>
      <c r="U232">
        <v>0</v>
      </c>
      <c r="V232">
        <v>20</v>
      </c>
      <c r="W232">
        <v>170000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436</v>
      </c>
      <c r="B233" t="s">
        <v>149</v>
      </c>
      <c r="C233">
        <v>334</v>
      </c>
      <c r="D233" t="s">
        <v>56</v>
      </c>
      <c r="E233" t="str">
        <f t="shared" si="5"/>
        <v>00334</v>
      </c>
      <c r="F233" t="s">
        <v>49</v>
      </c>
      <c r="G233" t="s">
        <v>167</v>
      </c>
      <c r="H233" t="s">
        <v>151</v>
      </c>
      <c r="I233" t="s">
        <v>182</v>
      </c>
      <c r="J233" t="s">
        <v>152</v>
      </c>
      <c r="K233" t="s">
        <v>153</v>
      </c>
      <c r="L233">
        <v>251200198</v>
      </c>
      <c r="M233" s="84">
        <v>45998</v>
      </c>
      <c r="N233" s="84">
        <v>45998</v>
      </c>
      <c r="O233" t="s">
        <v>183</v>
      </c>
      <c r="P233" t="s">
        <v>184</v>
      </c>
      <c r="Q233">
        <v>72</v>
      </c>
      <c r="R233">
        <v>100</v>
      </c>
      <c r="S233">
        <v>7200</v>
      </c>
      <c r="T233">
        <v>0</v>
      </c>
      <c r="U233">
        <v>0</v>
      </c>
      <c r="V233">
        <v>100</v>
      </c>
      <c r="W233">
        <v>7200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437</v>
      </c>
      <c r="B234" t="s">
        <v>149</v>
      </c>
      <c r="C234">
        <v>334</v>
      </c>
      <c r="D234" t="s">
        <v>56</v>
      </c>
      <c r="E234" t="str">
        <f t="shared" si="5"/>
        <v>00334</v>
      </c>
      <c r="F234" t="s">
        <v>49</v>
      </c>
      <c r="G234" t="s">
        <v>167</v>
      </c>
      <c r="H234" t="s">
        <v>151</v>
      </c>
      <c r="I234" t="s">
        <v>182</v>
      </c>
      <c r="J234" t="s">
        <v>152</v>
      </c>
      <c r="K234" t="s">
        <v>153</v>
      </c>
      <c r="L234">
        <v>251200199</v>
      </c>
      <c r="M234" s="84">
        <v>45998</v>
      </c>
      <c r="N234" s="84">
        <v>45998</v>
      </c>
      <c r="O234" t="s">
        <v>183</v>
      </c>
      <c r="P234" t="s">
        <v>184</v>
      </c>
      <c r="Q234">
        <v>72</v>
      </c>
      <c r="R234">
        <v>200</v>
      </c>
      <c r="S234">
        <v>14400</v>
      </c>
      <c r="T234">
        <v>0</v>
      </c>
      <c r="U234">
        <v>0</v>
      </c>
      <c r="V234">
        <v>200</v>
      </c>
      <c r="W234">
        <v>14400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438</v>
      </c>
      <c r="B235" t="s">
        <v>149</v>
      </c>
      <c r="C235">
        <v>88</v>
      </c>
      <c r="D235" t="s">
        <v>46</v>
      </c>
      <c r="E235" t="str">
        <f t="shared" si="5"/>
        <v>00088</v>
      </c>
      <c r="F235" t="s">
        <v>43</v>
      </c>
      <c r="G235" t="s">
        <v>150</v>
      </c>
      <c r="H235" t="s">
        <v>151</v>
      </c>
      <c r="I235" t="s">
        <v>4</v>
      </c>
      <c r="J235" t="s">
        <v>152</v>
      </c>
      <c r="K235" t="s">
        <v>153</v>
      </c>
      <c r="L235">
        <v>251200200</v>
      </c>
      <c r="M235" s="84">
        <v>45999</v>
      </c>
      <c r="N235" s="84">
        <v>45999</v>
      </c>
      <c r="O235" t="s">
        <v>160</v>
      </c>
      <c r="P235" t="s">
        <v>161</v>
      </c>
      <c r="Q235">
        <v>14250</v>
      </c>
      <c r="R235">
        <v>10</v>
      </c>
      <c r="S235">
        <v>142500</v>
      </c>
      <c r="T235">
        <v>0</v>
      </c>
      <c r="U235">
        <v>0</v>
      </c>
      <c r="V235">
        <v>10</v>
      </c>
      <c r="W235">
        <v>142500</v>
      </c>
      <c r="X235">
        <v>1500</v>
      </c>
      <c r="Y235">
        <v>2000</v>
      </c>
      <c r="Z235">
        <v>0</v>
      </c>
      <c r="AA235">
        <v>0</v>
      </c>
      <c r="AB235">
        <v>0</v>
      </c>
      <c r="AC235">
        <v>3500</v>
      </c>
    </row>
    <row r="236" spans="1:29">
      <c r="A236">
        <v>439</v>
      </c>
      <c r="B236" t="s">
        <v>149</v>
      </c>
      <c r="C236">
        <v>1112</v>
      </c>
      <c r="D236" t="s">
        <v>44</v>
      </c>
      <c r="E236" t="str">
        <f t="shared" si="5"/>
        <v>01112</v>
      </c>
      <c r="F236" t="s">
        <v>43</v>
      </c>
      <c r="G236" t="s">
        <v>150</v>
      </c>
      <c r="H236" t="s">
        <v>151</v>
      </c>
      <c r="I236" t="s">
        <v>5</v>
      </c>
      <c r="J236" t="s">
        <v>152</v>
      </c>
      <c r="K236" t="s">
        <v>153</v>
      </c>
      <c r="L236">
        <v>251200201</v>
      </c>
      <c r="M236" s="84">
        <v>45999</v>
      </c>
      <c r="N236" s="84">
        <v>45999</v>
      </c>
      <c r="O236" t="s">
        <v>269</v>
      </c>
      <c r="P236" t="s">
        <v>270</v>
      </c>
      <c r="Q236">
        <v>8700</v>
      </c>
      <c r="R236">
        <v>12</v>
      </c>
      <c r="S236">
        <v>104400</v>
      </c>
      <c r="T236">
        <v>0</v>
      </c>
      <c r="U236">
        <v>0</v>
      </c>
      <c r="V236">
        <v>12</v>
      </c>
      <c r="W236">
        <v>104400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447</v>
      </c>
      <c r="B237" t="s">
        <v>149</v>
      </c>
      <c r="C237">
        <v>988</v>
      </c>
      <c r="D237" t="s">
        <v>19</v>
      </c>
      <c r="E237" t="str">
        <f t="shared" si="5"/>
        <v>00988</v>
      </c>
      <c r="F237" t="s">
        <v>15</v>
      </c>
      <c r="G237" t="s">
        <v>193</v>
      </c>
      <c r="H237" t="s">
        <v>151</v>
      </c>
      <c r="I237" t="s">
        <v>4</v>
      </c>
      <c r="J237" t="s">
        <v>152</v>
      </c>
      <c r="K237" t="s">
        <v>153</v>
      </c>
      <c r="L237">
        <v>251200205</v>
      </c>
      <c r="M237" s="84">
        <v>45999</v>
      </c>
      <c r="N237" s="84">
        <v>45999</v>
      </c>
      <c r="O237" t="s">
        <v>179</v>
      </c>
      <c r="P237" t="s">
        <v>180</v>
      </c>
      <c r="Q237">
        <v>14250</v>
      </c>
      <c r="R237">
        <v>10</v>
      </c>
      <c r="S237">
        <v>142500</v>
      </c>
      <c r="T237">
        <v>0</v>
      </c>
      <c r="U237">
        <v>0</v>
      </c>
      <c r="V237">
        <v>10</v>
      </c>
      <c r="W237">
        <v>142500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448</v>
      </c>
      <c r="B238" t="s">
        <v>149</v>
      </c>
      <c r="C238">
        <v>988</v>
      </c>
      <c r="D238" t="s">
        <v>19</v>
      </c>
      <c r="E238" t="str">
        <f t="shared" si="5"/>
        <v>00988</v>
      </c>
      <c r="F238" t="s">
        <v>15</v>
      </c>
      <c r="G238" t="s">
        <v>193</v>
      </c>
      <c r="H238" t="s">
        <v>151</v>
      </c>
      <c r="I238" t="s">
        <v>5</v>
      </c>
      <c r="J238" t="s">
        <v>152</v>
      </c>
      <c r="K238" t="s">
        <v>153</v>
      </c>
      <c r="L238">
        <v>251200205</v>
      </c>
      <c r="M238" s="84">
        <v>45999</v>
      </c>
      <c r="N238" s="84">
        <v>45999</v>
      </c>
      <c r="O238" t="s">
        <v>191</v>
      </c>
      <c r="P238" t="s">
        <v>192</v>
      </c>
      <c r="Q238">
        <v>11700</v>
      </c>
      <c r="R238">
        <v>8</v>
      </c>
      <c r="S238">
        <v>93600</v>
      </c>
      <c r="T238">
        <v>0</v>
      </c>
      <c r="U238">
        <v>0</v>
      </c>
      <c r="V238">
        <v>8</v>
      </c>
      <c r="W238">
        <v>93600</v>
      </c>
      <c r="X238">
        <v>1200</v>
      </c>
      <c r="Y238">
        <v>1200</v>
      </c>
      <c r="Z238">
        <v>0</v>
      </c>
      <c r="AA238">
        <v>0</v>
      </c>
      <c r="AB238">
        <v>0</v>
      </c>
      <c r="AC238">
        <v>2400</v>
      </c>
    </row>
    <row r="239" spans="1:29">
      <c r="A239">
        <v>452</v>
      </c>
      <c r="B239" t="s">
        <v>149</v>
      </c>
      <c r="C239">
        <v>988</v>
      </c>
      <c r="D239" t="s">
        <v>19</v>
      </c>
      <c r="E239" t="str">
        <f t="shared" si="5"/>
        <v>00988</v>
      </c>
      <c r="F239" t="s">
        <v>15</v>
      </c>
      <c r="G239" t="s">
        <v>193</v>
      </c>
      <c r="H239" t="s">
        <v>151</v>
      </c>
      <c r="I239" t="s">
        <v>4</v>
      </c>
      <c r="J239" t="s">
        <v>152</v>
      </c>
      <c r="K239" t="s">
        <v>153</v>
      </c>
      <c r="L239">
        <v>251200207</v>
      </c>
      <c r="M239" s="84">
        <v>45999</v>
      </c>
      <c r="N239" s="84">
        <v>45999</v>
      </c>
      <c r="O239" t="s">
        <v>160</v>
      </c>
      <c r="P239" t="s">
        <v>161</v>
      </c>
      <c r="Q239">
        <v>14250</v>
      </c>
      <c r="R239">
        <v>15</v>
      </c>
      <c r="S239">
        <v>213750</v>
      </c>
      <c r="T239">
        <v>0</v>
      </c>
      <c r="U239">
        <v>0</v>
      </c>
      <c r="V239">
        <v>15</v>
      </c>
      <c r="W239">
        <v>213750</v>
      </c>
      <c r="X239">
        <v>2250</v>
      </c>
      <c r="Y239">
        <v>3000</v>
      </c>
      <c r="Z239">
        <v>0</v>
      </c>
      <c r="AA239">
        <v>0</v>
      </c>
      <c r="AB239">
        <v>0</v>
      </c>
      <c r="AC239">
        <v>5250</v>
      </c>
    </row>
    <row r="240" spans="1:29">
      <c r="A240">
        <v>453</v>
      </c>
      <c r="B240" t="s">
        <v>149</v>
      </c>
      <c r="C240">
        <v>337</v>
      </c>
      <c r="D240" t="s">
        <v>57</v>
      </c>
      <c r="E240" t="str">
        <f t="shared" si="5"/>
        <v>00337</v>
      </c>
      <c r="F240" t="s">
        <v>49</v>
      </c>
      <c r="G240" t="s">
        <v>167</v>
      </c>
      <c r="H240" t="s">
        <v>151</v>
      </c>
      <c r="I240" t="s">
        <v>4</v>
      </c>
      <c r="J240" t="s">
        <v>152</v>
      </c>
      <c r="K240" t="s">
        <v>153</v>
      </c>
      <c r="L240">
        <v>251200208</v>
      </c>
      <c r="M240" s="84">
        <v>45999</v>
      </c>
      <c r="N240" s="84">
        <v>45999</v>
      </c>
      <c r="O240" t="s">
        <v>160</v>
      </c>
      <c r="P240" t="s">
        <v>161</v>
      </c>
      <c r="Q240">
        <v>14250</v>
      </c>
      <c r="R240">
        <v>15</v>
      </c>
      <c r="S240">
        <v>213750</v>
      </c>
      <c r="T240">
        <v>0</v>
      </c>
      <c r="U240">
        <v>0</v>
      </c>
      <c r="V240">
        <v>15</v>
      </c>
      <c r="W240">
        <v>213750</v>
      </c>
      <c r="X240">
        <v>2250</v>
      </c>
      <c r="Y240">
        <v>3000</v>
      </c>
      <c r="Z240">
        <v>0</v>
      </c>
      <c r="AA240">
        <v>0</v>
      </c>
      <c r="AB240">
        <v>0</v>
      </c>
      <c r="AC240">
        <v>5250</v>
      </c>
    </row>
    <row r="241" spans="1:29">
      <c r="A241">
        <v>455</v>
      </c>
      <c r="B241" t="s">
        <v>149</v>
      </c>
      <c r="C241">
        <v>1395</v>
      </c>
      <c r="D241" t="s">
        <v>101</v>
      </c>
      <c r="E241" t="str">
        <f t="shared" si="5"/>
        <v>01395</v>
      </c>
      <c r="F241" t="s">
        <v>95</v>
      </c>
      <c r="G241" t="s">
        <v>187</v>
      </c>
      <c r="H241" t="s">
        <v>188</v>
      </c>
      <c r="I241" t="s">
        <v>238</v>
      </c>
      <c r="J241" t="s">
        <v>152</v>
      </c>
      <c r="K241" t="s">
        <v>159</v>
      </c>
      <c r="L241">
        <v>251200210</v>
      </c>
      <c r="M241" s="84">
        <v>45999</v>
      </c>
      <c r="N241" s="84">
        <v>45999</v>
      </c>
      <c r="O241" t="s">
        <v>247</v>
      </c>
      <c r="P241" t="s">
        <v>116</v>
      </c>
      <c r="Q241">
        <v>10003</v>
      </c>
      <c r="R241">
        <v>1</v>
      </c>
      <c r="S241">
        <v>10003</v>
      </c>
      <c r="T241">
        <v>0</v>
      </c>
      <c r="U241">
        <v>0</v>
      </c>
      <c r="V241">
        <v>1</v>
      </c>
      <c r="W241">
        <v>10003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>
        <v>456</v>
      </c>
      <c r="B242" t="s">
        <v>149</v>
      </c>
      <c r="C242">
        <v>1581</v>
      </c>
      <c r="D242" t="s">
        <v>96</v>
      </c>
      <c r="E242" t="str">
        <f t="shared" si="5"/>
        <v>01581</v>
      </c>
      <c r="F242" t="s">
        <v>95</v>
      </c>
      <c r="G242" t="s">
        <v>187</v>
      </c>
      <c r="H242" t="s">
        <v>188</v>
      </c>
      <c r="I242" t="s">
        <v>5</v>
      </c>
      <c r="J242" t="s">
        <v>152</v>
      </c>
      <c r="K242" t="s">
        <v>159</v>
      </c>
      <c r="L242">
        <v>251200211</v>
      </c>
      <c r="M242" s="84">
        <v>45999</v>
      </c>
      <c r="N242" s="84">
        <v>45999</v>
      </c>
      <c r="O242" t="s">
        <v>271</v>
      </c>
      <c r="P242" t="s">
        <v>272</v>
      </c>
      <c r="Q242">
        <v>10800</v>
      </c>
      <c r="R242">
        <v>8</v>
      </c>
      <c r="S242">
        <v>86400</v>
      </c>
      <c r="T242">
        <v>0</v>
      </c>
      <c r="U242">
        <v>0</v>
      </c>
      <c r="V242">
        <v>8</v>
      </c>
      <c r="W242">
        <v>86400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457</v>
      </c>
      <c r="B243" t="s">
        <v>149</v>
      </c>
      <c r="C243">
        <v>1341</v>
      </c>
      <c r="D243" t="s">
        <v>24</v>
      </c>
      <c r="E243" t="str">
        <f t="shared" si="5"/>
        <v>01341</v>
      </c>
      <c r="F243" t="s">
        <v>20</v>
      </c>
      <c r="G243" t="s">
        <v>193</v>
      </c>
      <c r="H243" t="s">
        <v>151</v>
      </c>
      <c r="I243" t="s">
        <v>4</v>
      </c>
      <c r="J243" t="s">
        <v>152</v>
      </c>
      <c r="K243" t="s">
        <v>236</v>
      </c>
      <c r="L243">
        <v>251200212</v>
      </c>
      <c r="M243" s="84">
        <v>45999</v>
      </c>
      <c r="N243" s="84">
        <v>45999</v>
      </c>
      <c r="O243" t="s">
        <v>219</v>
      </c>
      <c r="P243" t="s">
        <v>220</v>
      </c>
      <c r="Q243">
        <v>14250</v>
      </c>
      <c r="R243">
        <v>5</v>
      </c>
      <c r="S243">
        <v>71250</v>
      </c>
      <c r="T243">
        <v>0</v>
      </c>
      <c r="U243">
        <v>0</v>
      </c>
      <c r="V243">
        <v>5</v>
      </c>
      <c r="W243">
        <v>71250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458</v>
      </c>
      <c r="B244" t="s">
        <v>149</v>
      </c>
      <c r="C244">
        <v>1341</v>
      </c>
      <c r="D244" t="s">
        <v>24</v>
      </c>
      <c r="E244" t="str">
        <f t="shared" si="5"/>
        <v>01341</v>
      </c>
      <c r="F244" t="s">
        <v>20</v>
      </c>
      <c r="G244" t="s">
        <v>193</v>
      </c>
      <c r="H244" t="s">
        <v>151</v>
      </c>
      <c r="I244" t="s">
        <v>4</v>
      </c>
      <c r="J244" t="s">
        <v>152</v>
      </c>
      <c r="K244" t="s">
        <v>236</v>
      </c>
      <c r="L244">
        <v>251200212</v>
      </c>
      <c r="M244" s="84">
        <v>45999</v>
      </c>
      <c r="N244" s="84">
        <v>45999</v>
      </c>
      <c r="O244" t="s">
        <v>267</v>
      </c>
      <c r="P244" t="s">
        <v>268</v>
      </c>
      <c r="Q244">
        <v>14250</v>
      </c>
      <c r="R244">
        <v>4</v>
      </c>
      <c r="S244">
        <v>57000</v>
      </c>
      <c r="T244">
        <v>0</v>
      </c>
      <c r="U244">
        <v>0</v>
      </c>
      <c r="V244">
        <v>4</v>
      </c>
      <c r="W244">
        <v>57000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459</v>
      </c>
      <c r="B245" t="s">
        <v>149</v>
      </c>
      <c r="C245">
        <v>1368</v>
      </c>
      <c r="D245" t="s">
        <v>22</v>
      </c>
      <c r="E245" t="str">
        <f t="shared" si="5"/>
        <v>01368</v>
      </c>
      <c r="F245" t="s">
        <v>20</v>
      </c>
      <c r="G245" t="s">
        <v>193</v>
      </c>
      <c r="H245" t="s">
        <v>151</v>
      </c>
      <c r="I245" t="s">
        <v>4</v>
      </c>
      <c r="J245" t="s">
        <v>152</v>
      </c>
      <c r="K245" t="s">
        <v>236</v>
      </c>
      <c r="L245">
        <v>251200213</v>
      </c>
      <c r="M245" s="84">
        <v>45999</v>
      </c>
      <c r="N245" s="84">
        <v>45999</v>
      </c>
      <c r="O245" t="s">
        <v>179</v>
      </c>
      <c r="P245" t="s">
        <v>180</v>
      </c>
      <c r="Q245">
        <v>14250</v>
      </c>
      <c r="R245">
        <v>5</v>
      </c>
      <c r="S245">
        <v>71250</v>
      </c>
      <c r="T245">
        <v>0</v>
      </c>
      <c r="U245">
        <v>0</v>
      </c>
      <c r="V245">
        <v>5</v>
      </c>
      <c r="W245">
        <v>71250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>
        <v>460</v>
      </c>
      <c r="B246" t="s">
        <v>149</v>
      </c>
      <c r="C246">
        <v>471</v>
      </c>
      <c r="D246" t="s">
        <v>25</v>
      </c>
      <c r="E246" t="str">
        <f t="shared" si="5"/>
        <v>00471</v>
      </c>
      <c r="F246" t="s">
        <v>20</v>
      </c>
      <c r="G246" t="s">
        <v>193</v>
      </c>
      <c r="H246" t="s">
        <v>151</v>
      </c>
      <c r="I246" t="s">
        <v>4</v>
      </c>
      <c r="J246" t="s">
        <v>152</v>
      </c>
      <c r="K246" t="s">
        <v>236</v>
      </c>
      <c r="L246">
        <v>251200214</v>
      </c>
      <c r="M246" s="84">
        <v>45999</v>
      </c>
      <c r="N246" s="84">
        <v>45999</v>
      </c>
      <c r="O246" t="s">
        <v>179</v>
      </c>
      <c r="P246" t="s">
        <v>180</v>
      </c>
      <c r="Q246">
        <v>14250</v>
      </c>
      <c r="R246">
        <v>5</v>
      </c>
      <c r="S246">
        <v>71250</v>
      </c>
      <c r="T246">
        <v>0</v>
      </c>
      <c r="U246">
        <v>0</v>
      </c>
      <c r="V246">
        <v>5</v>
      </c>
      <c r="W246">
        <v>71250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461</v>
      </c>
      <c r="B247" t="s">
        <v>149</v>
      </c>
      <c r="C247">
        <v>471</v>
      </c>
      <c r="D247" t="s">
        <v>25</v>
      </c>
      <c r="E247" t="str">
        <f t="shared" si="5"/>
        <v>00471</v>
      </c>
      <c r="F247" t="s">
        <v>20</v>
      </c>
      <c r="G247" t="s">
        <v>193</v>
      </c>
      <c r="H247" t="s">
        <v>151</v>
      </c>
      <c r="I247" t="s">
        <v>4</v>
      </c>
      <c r="J247" t="s">
        <v>152</v>
      </c>
      <c r="K247" t="s">
        <v>236</v>
      </c>
      <c r="L247">
        <v>251200214</v>
      </c>
      <c r="M247" s="84">
        <v>45999</v>
      </c>
      <c r="N247" s="84">
        <v>45999</v>
      </c>
      <c r="O247" t="s">
        <v>206</v>
      </c>
      <c r="P247" t="s">
        <v>207</v>
      </c>
      <c r="Q247">
        <v>14250</v>
      </c>
      <c r="R247">
        <v>5</v>
      </c>
      <c r="S247">
        <v>71250</v>
      </c>
      <c r="T247">
        <v>0</v>
      </c>
      <c r="U247">
        <v>0</v>
      </c>
      <c r="V247">
        <v>5</v>
      </c>
      <c r="W247">
        <v>71250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462</v>
      </c>
      <c r="B248" t="s">
        <v>149</v>
      </c>
      <c r="C248">
        <v>471</v>
      </c>
      <c r="D248" t="s">
        <v>25</v>
      </c>
      <c r="E248" t="str">
        <f t="shared" si="5"/>
        <v>00471</v>
      </c>
      <c r="F248" t="s">
        <v>20</v>
      </c>
      <c r="G248" t="s">
        <v>193</v>
      </c>
      <c r="H248" t="s">
        <v>151</v>
      </c>
      <c r="I248" t="s">
        <v>4</v>
      </c>
      <c r="J248" t="s">
        <v>152</v>
      </c>
      <c r="K248" t="s">
        <v>236</v>
      </c>
      <c r="L248">
        <v>251200214</v>
      </c>
      <c r="M248" s="84">
        <v>45999</v>
      </c>
      <c r="N248" s="84">
        <v>45999</v>
      </c>
      <c r="O248" t="s">
        <v>160</v>
      </c>
      <c r="P248" t="s">
        <v>161</v>
      </c>
      <c r="Q248">
        <v>14250</v>
      </c>
      <c r="R248">
        <v>10</v>
      </c>
      <c r="S248">
        <v>142500</v>
      </c>
      <c r="T248">
        <v>0</v>
      </c>
      <c r="U248">
        <v>0</v>
      </c>
      <c r="V248">
        <v>10</v>
      </c>
      <c r="W248">
        <v>142500</v>
      </c>
      <c r="X248">
        <v>1500</v>
      </c>
      <c r="Y248">
        <v>2000</v>
      </c>
      <c r="Z248">
        <v>0</v>
      </c>
      <c r="AA248">
        <v>0</v>
      </c>
      <c r="AB248">
        <v>0</v>
      </c>
      <c r="AC248">
        <v>3500</v>
      </c>
    </row>
    <row r="249" spans="1:29">
      <c r="A249">
        <v>463</v>
      </c>
      <c r="B249" t="s">
        <v>149</v>
      </c>
      <c r="C249">
        <v>471</v>
      </c>
      <c r="D249" t="s">
        <v>25</v>
      </c>
      <c r="E249" t="str">
        <f t="shared" si="5"/>
        <v>00471</v>
      </c>
      <c r="F249" t="s">
        <v>20</v>
      </c>
      <c r="G249" t="s">
        <v>193</v>
      </c>
      <c r="H249" t="s">
        <v>151</v>
      </c>
      <c r="I249" t="s">
        <v>5</v>
      </c>
      <c r="J249" t="s">
        <v>152</v>
      </c>
      <c r="K249" t="s">
        <v>236</v>
      </c>
      <c r="L249">
        <v>251200214</v>
      </c>
      <c r="M249" s="84">
        <v>45999</v>
      </c>
      <c r="N249" s="84">
        <v>45999</v>
      </c>
      <c r="O249" t="s">
        <v>191</v>
      </c>
      <c r="P249" t="s">
        <v>192</v>
      </c>
      <c r="Q249">
        <v>11700</v>
      </c>
      <c r="R249">
        <v>4</v>
      </c>
      <c r="S249">
        <v>46800</v>
      </c>
      <c r="T249">
        <v>0</v>
      </c>
      <c r="U249">
        <v>0</v>
      </c>
      <c r="V249">
        <v>4</v>
      </c>
      <c r="W249">
        <v>46800</v>
      </c>
      <c r="X249">
        <v>600</v>
      </c>
      <c r="Y249">
        <v>600</v>
      </c>
      <c r="Z249">
        <v>0</v>
      </c>
      <c r="AA249">
        <v>0</v>
      </c>
      <c r="AB249">
        <v>0</v>
      </c>
      <c r="AC249">
        <v>1200</v>
      </c>
    </row>
    <row r="250" spans="1:29">
      <c r="A250">
        <v>464</v>
      </c>
      <c r="B250" t="s">
        <v>149</v>
      </c>
      <c r="C250">
        <v>1448</v>
      </c>
      <c r="D250" t="s">
        <v>21</v>
      </c>
      <c r="E250" t="str">
        <f t="shared" si="5"/>
        <v>01448</v>
      </c>
      <c r="F250" t="s">
        <v>20</v>
      </c>
      <c r="G250" t="s">
        <v>193</v>
      </c>
      <c r="H250" t="s">
        <v>151</v>
      </c>
      <c r="I250" t="s">
        <v>5</v>
      </c>
      <c r="J250" t="s">
        <v>152</v>
      </c>
      <c r="K250" t="s">
        <v>236</v>
      </c>
      <c r="L250">
        <v>251200215</v>
      </c>
      <c r="M250" s="84">
        <v>45999</v>
      </c>
      <c r="N250" s="84">
        <v>45999</v>
      </c>
      <c r="O250" t="s">
        <v>191</v>
      </c>
      <c r="P250" t="s">
        <v>192</v>
      </c>
      <c r="Q250">
        <v>11700</v>
      </c>
      <c r="R250">
        <v>4</v>
      </c>
      <c r="S250">
        <v>46800</v>
      </c>
      <c r="T250">
        <v>0</v>
      </c>
      <c r="U250">
        <v>0</v>
      </c>
      <c r="V250">
        <v>4</v>
      </c>
      <c r="W250">
        <v>46800</v>
      </c>
      <c r="X250">
        <v>600</v>
      </c>
      <c r="Y250">
        <v>600</v>
      </c>
      <c r="Z250">
        <v>0</v>
      </c>
      <c r="AA250">
        <v>0</v>
      </c>
      <c r="AB250">
        <v>0</v>
      </c>
      <c r="AC250">
        <v>1200</v>
      </c>
    </row>
    <row r="251" spans="1:29">
      <c r="A251">
        <v>465</v>
      </c>
      <c r="B251" t="s">
        <v>149</v>
      </c>
      <c r="C251">
        <v>1441</v>
      </c>
      <c r="D251" t="s">
        <v>23</v>
      </c>
      <c r="E251" t="str">
        <f t="shared" si="5"/>
        <v>01441</v>
      </c>
      <c r="F251" t="s">
        <v>20</v>
      </c>
      <c r="G251" t="s">
        <v>193</v>
      </c>
      <c r="H251" t="s">
        <v>151</v>
      </c>
      <c r="I251" t="s">
        <v>5</v>
      </c>
      <c r="J251" t="s">
        <v>152</v>
      </c>
      <c r="K251" t="s">
        <v>236</v>
      </c>
      <c r="L251">
        <v>251200216</v>
      </c>
      <c r="M251" s="84">
        <v>45999</v>
      </c>
      <c r="N251" s="84">
        <v>45999</v>
      </c>
      <c r="O251" t="s">
        <v>273</v>
      </c>
      <c r="P251" t="s">
        <v>274</v>
      </c>
      <c r="Q251">
        <v>11700</v>
      </c>
      <c r="R251">
        <v>8</v>
      </c>
      <c r="S251">
        <v>93600</v>
      </c>
      <c r="T251">
        <v>0</v>
      </c>
      <c r="U251">
        <v>0</v>
      </c>
      <c r="V251">
        <v>8</v>
      </c>
      <c r="W251">
        <v>93600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>
        <v>467</v>
      </c>
      <c r="B252" t="s">
        <v>149</v>
      </c>
      <c r="C252">
        <v>1470</v>
      </c>
      <c r="D252" t="s">
        <v>12</v>
      </c>
      <c r="E252" t="str">
        <f t="shared" si="5"/>
        <v>01470</v>
      </c>
      <c r="F252" t="s">
        <v>10</v>
      </c>
      <c r="G252" t="s">
        <v>172</v>
      </c>
      <c r="H252" t="s">
        <v>157</v>
      </c>
      <c r="I252" t="s">
        <v>4</v>
      </c>
      <c r="J252" t="s">
        <v>152</v>
      </c>
      <c r="K252" t="s">
        <v>174</v>
      </c>
      <c r="L252">
        <v>251200218</v>
      </c>
      <c r="M252" s="84">
        <v>45999</v>
      </c>
      <c r="N252" s="84">
        <v>45999</v>
      </c>
      <c r="O252" t="s">
        <v>160</v>
      </c>
      <c r="P252" t="s">
        <v>161</v>
      </c>
      <c r="Q252">
        <v>14250</v>
      </c>
      <c r="R252">
        <v>10</v>
      </c>
      <c r="S252">
        <v>142500</v>
      </c>
      <c r="T252">
        <v>0</v>
      </c>
      <c r="U252">
        <v>0</v>
      </c>
      <c r="V252">
        <v>10</v>
      </c>
      <c r="W252">
        <v>142500</v>
      </c>
      <c r="X252">
        <v>1500</v>
      </c>
      <c r="Y252">
        <v>2000</v>
      </c>
      <c r="Z252">
        <v>0</v>
      </c>
      <c r="AA252">
        <v>0</v>
      </c>
      <c r="AB252">
        <v>0</v>
      </c>
      <c r="AC252">
        <v>3500</v>
      </c>
    </row>
    <row r="253" spans="1:29">
      <c r="A253">
        <v>468</v>
      </c>
      <c r="B253" t="s">
        <v>149</v>
      </c>
      <c r="C253">
        <v>1470</v>
      </c>
      <c r="D253" t="s">
        <v>12</v>
      </c>
      <c r="E253" t="str">
        <f t="shared" si="5"/>
        <v>01470</v>
      </c>
      <c r="F253" t="s">
        <v>10</v>
      </c>
      <c r="G253" t="s">
        <v>172</v>
      </c>
      <c r="H253" t="s">
        <v>157</v>
      </c>
      <c r="I253" t="s">
        <v>4</v>
      </c>
      <c r="J253" t="s">
        <v>152</v>
      </c>
      <c r="K253" t="s">
        <v>174</v>
      </c>
      <c r="L253">
        <v>251200218</v>
      </c>
      <c r="M253" s="84">
        <v>45999</v>
      </c>
      <c r="N253" s="84">
        <v>45999</v>
      </c>
      <c r="O253" t="s">
        <v>177</v>
      </c>
      <c r="P253" t="s">
        <v>178</v>
      </c>
      <c r="Q253">
        <v>14250</v>
      </c>
      <c r="R253">
        <v>10</v>
      </c>
      <c r="S253">
        <v>142500</v>
      </c>
      <c r="T253">
        <v>0</v>
      </c>
      <c r="U253">
        <v>0</v>
      </c>
      <c r="V253">
        <v>10</v>
      </c>
      <c r="W253">
        <v>142500</v>
      </c>
      <c r="X253">
        <v>1500</v>
      </c>
      <c r="Y253">
        <v>2000</v>
      </c>
      <c r="Z253">
        <v>0</v>
      </c>
      <c r="AA253">
        <v>0</v>
      </c>
      <c r="AB253">
        <v>0</v>
      </c>
      <c r="AC253">
        <v>3500</v>
      </c>
    </row>
    <row r="254" spans="1:29">
      <c r="A254">
        <v>469</v>
      </c>
      <c r="B254" t="s">
        <v>149</v>
      </c>
      <c r="C254">
        <v>1485</v>
      </c>
      <c r="D254" t="s">
        <v>275</v>
      </c>
      <c r="E254" t="str">
        <f t="shared" si="5"/>
        <v>01485</v>
      </c>
      <c r="F254" t="s">
        <v>95</v>
      </c>
      <c r="G254" t="s">
        <v>187</v>
      </c>
      <c r="H254" t="s">
        <v>188</v>
      </c>
      <c r="I254" t="s">
        <v>210</v>
      </c>
      <c r="J254" t="s">
        <v>152</v>
      </c>
      <c r="K254" t="s">
        <v>159</v>
      </c>
      <c r="L254">
        <v>251200219</v>
      </c>
      <c r="M254" s="84">
        <v>45999</v>
      </c>
      <c r="N254" s="84">
        <v>45999</v>
      </c>
      <c r="O254" t="s">
        <v>211</v>
      </c>
      <c r="P254" t="s">
        <v>212</v>
      </c>
      <c r="Q254">
        <v>17550</v>
      </c>
      <c r="R254">
        <v>2</v>
      </c>
      <c r="S254">
        <v>35100</v>
      </c>
      <c r="T254">
        <v>0</v>
      </c>
      <c r="U254">
        <v>0</v>
      </c>
      <c r="V254">
        <v>2</v>
      </c>
      <c r="W254">
        <v>35100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>
        <v>470</v>
      </c>
      <c r="B255" t="s">
        <v>149</v>
      </c>
      <c r="C255">
        <v>740</v>
      </c>
      <c r="D255" t="s">
        <v>276</v>
      </c>
      <c r="E255" t="str">
        <f t="shared" si="5"/>
        <v>00740</v>
      </c>
      <c r="F255" t="s">
        <v>171</v>
      </c>
      <c r="G255" t="s">
        <v>172</v>
      </c>
      <c r="H255" t="s">
        <v>157</v>
      </c>
      <c r="I255" t="s">
        <v>173</v>
      </c>
      <c r="J255" t="s">
        <v>152</v>
      </c>
      <c r="K255" t="s">
        <v>174</v>
      </c>
      <c r="L255">
        <v>251200220</v>
      </c>
      <c r="M255" s="84">
        <v>45999</v>
      </c>
      <c r="N255" s="84">
        <v>45999</v>
      </c>
      <c r="O255" t="s">
        <v>277</v>
      </c>
      <c r="P255" t="s">
        <v>278</v>
      </c>
      <c r="Q255">
        <v>8632</v>
      </c>
      <c r="R255">
        <v>2</v>
      </c>
      <c r="S255">
        <v>17264</v>
      </c>
      <c r="T255">
        <v>0</v>
      </c>
      <c r="U255">
        <v>0</v>
      </c>
      <c r="V255">
        <v>2</v>
      </c>
      <c r="W255">
        <v>17264</v>
      </c>
      <c r="X255">
        <v>0</v>
      </c>
      <c r="Y255">
        <v>346</v>
      </c>
      <c r="Z255">
        <v>864</v>
      </c>
      <c r="AA255">
        <v>0</v>
      </c>
      <c r="AB255">
        <v>200</v>
      </c>
      <c r="AC255">
        <v>1410</v>
      </c>
    </row>
    <row r="256" spans="1:29">
      <c r="A256">
        <v>471</v>
      </c>
      <c r="B256" t="s">
        <v>149</v>
      </c>
      <c r="C256">
        <v>562</v>
      </c>
      <c r="D256" t="s">
        <v>92</v>
      </c>
      <c r="E256" t="str">
        <f t="shared" si="5"/>
        <v>00562</v>
      </c>
      <c r="F256" t="s">
        <v>91</v>
      </c>
      <c r="G256" t="s">
        <v>202</v>
      </c>
      <c r="H256" t="s">
        <v>157</v>
      </c>
      <c r="I256" t="s">
        <v>4</v>
      </c>
      <c r="J256" t="s">
        <v>152</v>
      </c>
      <c r="K256" t="s">
        <v>159</v>
      </c>
      <c r="L256">
        <v>251200221</v>
      </c>
      <c r="M256" s="84">
        <v>45999</v>
      </c>
      <c r="N256" s="84">
        <v>45999</v>
      </c>
      <c r="O256" t="s">
        <v>221</v>
      </c>
      <c r="P256" t="s">
        <v>222</v>
      </c>
      <c r="Q256">
        <v>14250</v>
      </c>
      <c r="R256">
        <v>5</v>
      </c>
      <c r="S256">
        <v>71250</v>
      </c>
      <c r="T256">
        <v>0</v>
      </c>
      <c r="U256">
        <v>0</v>
      </c>
      <c r="V256">
        <v>5</v>
      </c>
      <c r="W256">
        <v>71250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472</v>
      </c>
      <c r="B257" t="s">
        <v>149</v>
      </c>
      <c r="C257">
        <v>622</v>
      </c>
      <c r="D257" t="s">
        <v>70</v>
      </c>
      <c r="E257" t="str">
        <f t="shared" si="5"/>
        <v>00622</v>
      </c>
      <c r="F257" t="s">
        <v>65</v>
      </c>
      <c r="G257" t="s">
        <v>208</v>
      </c>
      <c r="H257" t="s">
        <v>157</v>
      </c>
      <c r="I257" t="s">
        <v>4</v>
      </c>
      <c r="J257" t="s">
        <v>152</v>
      </c>
      <c r="K257" t="s">
        <v>174</v>
      </c>
      <c r="L257">
        <v>251200222</v>
      </c>
      <c r="M257" s="84">
        <v>45999</v>
      </c>
      <c r="N257" s="84">
        <v>45999</v>
      </c>
      <c r="O257" t="s">
        <v>160</v>
      </c>
      <c r="P257" t="s">
        <v>161</v>
      </c>
      <c r="Q257">
        <v>14250</v>
      </c>
      <c r="R257">
        <v>15</v>
      </c>
      <c r="S257">
        <v>213750</v>
      </c>
      <c r="T257">
        <v>0</v>
      </c>
      <c r="U257">
        <v>0</v>
      </c>
      <c r="V257">
        <v>15</v>
      </c>
      <c r="W257">
        <v>213750</v>
      </c>
      <c r="X257">
        <v>2250</v>
      </c>
      <c r="Y257">
        <v>3000</v>
      </c>
      <c r="Z257">
        <v>0</v>
      </c>
      <c r="AA257">
        <v>0</v>
      </c>
      <c r="AB257">
        <v>0</v>
      </c>
      <c r="AC257">
        <v>5250</v>
      </c>
    </row>
    <row r="258" spans="1:29">
      <c r="A258">
        <v>473</v>
      </c>
      <c r="B258" t="s">
        <v>149</v>
      </c>
      <c r="C258">
        <v>622</v>
      </c>
      <c r="D258" t="s">
        <v>70</v>
      </c>
      <c r="E258" t="str">
        <f t="shared" si="5"/>
        <v>00622</v>
      </c>
      <c r="F258" t="s">
        <v>65</v>
      </c>
      <c r="G258" t="s">
        <v>208</v>
      </c>
      <c r="H258" t="s">
        <v>157</v>
      </c>
      <c r="I258" t="s">
        <v>4</v>
      </c>
      <c r="J258" t="s">
        <v>152</v>
      </c>
      <c r="K258" t="s">
        <v>174</v>
      </c>
      <c r="L258">
        <v>251200222</v>
      </c>
      <c r="M258" s="84">
        <v>45999</v>
      </c>
      <c r="N258" s="84">
        <v>45999</v>
      </c>
      <c r="O258" t="s">
        <v>179</v>
      </c>
      <c r="P258" t="s">
        <v>180</v>
      </c>
      <c r="Q258">
        <v>14250</v>
      </c>
      <c r="R258">
        <v>5</v>
      </c>
      <c r="S258">
        <v>71250</v>
      </c>
      <c r="T258">
        <v>0</v>
      </c>
      <c r="U258">
        <v>0</v>
      </c>
      <c r="V258">
        <v>5</v>
      </c>
      <c r="W258">
        <v>71250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>
        <v>476</v>
      </c>
      <c r="B259" t="s">
        <v>149</v>
      </c>
      <c r="C259">
        <v>827</v>
      </c>
      <c r="D259" t="s">
        <v>84</v>
      </c>
      <c r="E259" t="str">
        <f t="shared" si="5"/>
        <v>00827</v>
      </c>
      <c r="F259" t="s">
        <v>83</v>
      </c>
      <c r="G259" t="s">
        <v>164</v>
      </c>
      <c r="H259" t="s">
        <v>151</v>
      </c>
      <c r="I259" t="s">
        <v>5</v>
      </c>
      <c r="J259" t="s">
        <v>152</v>
      </c>
      <c r="K259" t="s">
        <v>153</v>
      </c>
      <c r="L259">
        <v>251200225</v>
      </c>
      <c r="M259" s="84">
        <v>45999</v>
      </c>
      <c r="N259" s="84">
        <v>45999</v>
      </c>
      <c r="O259" t="s">
        <v>191</v>
      </c>
      <c r="P259" t="s">
        <v>192</v>
      </c>
      <c r="Q259">
        <v>11700</v>
      </c>
      <c r="R259">
        <v>4</v>
      </c>
      <c r="S259">
        <v>46800</v>
      </c>
      <c r="T259">
        <v>0</v>
      </c>
      <c r="U259">
        <v>0</v>
      </c>
      <c r="V259">
        <v>4</v>
      </c>
      <c r="W259">
        <v>46800</v>
      </c>
      <c r="X259">
        <v>600</v>
      </c>
      <c r="Y259">
        <v>600</v>
      </c>
      <c r="Z259">
        <v>0</v>
      </c>
      <c r="AA259">
        <v>0</v>
      </c>
      <c r="AB259">
        <v>0</v>
      </c>
      <c r="AC259">
        <v>1200</v>
      </c>
    </row>
    <row r="260" spans="1:29">
      <c r="A260">
        <v>484</v>
      </c>
      <c r="B260" t="s">
        <v>149</v>
      </c>
      <c r="C260">
        <v>827</v>
      </c>
      <c r="D260" t="s">
        <v>84</v>
      </c>
      <c r="E260" t="str">
        <f t="shared" si="5"/>
        <v>00827</v>
      </c>
      <c r="F260" t="s">
        <v>83</v>
      </c>
      <c r="G260" t="s">
        <v>164</v>
      </c>
      <c r="H260" t="s">
        <v>151</v>
      </c>
      <c r="I260" t="s">
        <v>5</v>
      </c>
      <c r="J260" t="s">
        <v>152</v>
      </c>
      <c r="K260" t="s">
        <v>153</v>
      </c>
      <c r="L260">
        <v>251200231</v>
      </c>
      <c r="M260" s="84">
        <v>45999</v>
      </c>
      <c r="N260" s="84">
        <v>45999</v>
      </c>
      <c r="O260" t="s">
        <v>198</v>
      </c>
      <c r="P260" t="s">
        <v>199</v>
      </c>
      <c r="Q260">
        <v>11700</v>
      </c>
      <c r="R260">
        <v>1</v>
      </c>
      <c r="S260">
        <v>11700</v>
      </c>
      <c r="T260">
        <v>0</v>
      </c>
      <c r="U260">
        <v>0</v>
      </c>
      <c r="V260">
        <v>1</v>
      </c>
      <c r="W260">
        <v>11700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485</v>
      </c>
      <c r="B261" t="s">
        <v>149</v>
      </c>
      <c r="C261">
        <v>1404</v>
      </c>
      <c r="D261" t="s">
        <v>113</v>
      </c>
      <c r="E261" t="str">
        <f t="shared" si="5"/>
        <v>01404</v>
      </c>
      <c r="F261" t="s">
        <v>111</v>
      </c>
      <c r="G261" t="s">
        <v>150</v>
      </c>
      <c r="H261" t="s">
        <v>151</v>
      </c>
      <c r="I261" t="s">
        <v>5</v>
      </c>
      <c r="J261" t="s">
        <v>152</v>
      </c>
      <c r="K261" t="s">
        <v>153</v>
      </c>
      <c r="L261">
        <v>251200232</v>
      </c>
      <c r="M261" s="84">
        <v>46000</v>
      </c>
      <c r="N261" s="84">
        <v>46000</v>
      </c>
      <c r="O261" t="s">
        <v>191</v>
      </c>
      <c r="P261" t="s">
        <v>192</v>
      </c>
      <c r="Q261">
        <v>11700</v>
      </c>
      <c r="R261">
        <v>4</v>
      </c>
      <c r="S261">
        <v>46800</v>
      </c>
      <c r="T261">
        <v>0</v>
      </c>
      <c r="U261">
        <v>0</v>
      </c>
      <c r="V261">
        <v>4</v>
      </c>
      <c r="W261">
        <v>46800</v>
      </c>
      <c r="X261">
        <v>600</v>
      </c>
      <c r="Y261">
        <v>600</v>
      </c>
      <c r="Z261">
        <v>0</v>
      </c>
      <c r="AA261">
        <v>0</v>
      </c>
      <c r="AB261">
        <v>0</v>
      </c>
      <c r="AC261">
        <v>1200</v>
      </c>
    </row>
    <row r="262" spans="1:29">
      <c r="A262">
        <v>492</v>
      </c>
      <c r="B262" t="s">
        <v>149</v>
      </c>
      <c r="C262">
        <v>988</v>
      </c>
      <c r="D262" t="s">
        <v>19</v>
      </c>
      <c r="E262" t="str">
        <f t="shared" si="5"/>
        <v>00988</v>
      </c>
      <c r="F262" t="s">
        <v>15</v>
      </c>
      <c r="G262" t="s">
        <v>193</v>
      </c>
      <c r="H262" t="s">
        <v>151</v>
      </c>
      <c r="I262" t="s">
        <v>4</v>
      </c>
      <c r="J262" t="s">
        <v>152</v>
      </c>
      <c r="K262" t="s">
        <v>153</v>
      </c>
      <c r="L262">
        <v>251200237</v>
      </c>
      <c r="M262" s="84">
        <v>46000</v>
      </c>
      <c r="N262" s="84">
        <v>46000</v>
      </c>
      <c r="O262" t="s">
        <v>160</v>
      </c>
      <c r="P262" t="s">
        <v>161</v>
      </c>
      <c r="Q262">
        <v>14250</v>
      </c>
      <c r="R262">
        <v>10</v>
      </c>
      <c r="S262">
        <v>142500</v>
      </c>
      <c r="T262">
        <v>0</v>
      </c>
      <c r="U262">
        <v>0</v>
      </c>
      <c r="V262">
        <v>10</v>
      </c>
      <c r="W262">
        <v>142500</v>
      </c>
      <c r="X262">
        <v>1500</v>
      </c>
      <c r="Y262">
        <v>2000</v>
      </c>
      <c r="Z262">
        <v>0</v>
      </c>
      <c r="AA262">
        <v>0</v>
      </c>
      <c r="AB262">
        <v>0</v>
      </c>
      <c r="AC262">
        <v>3500</v>
      </c>
    </row>
    <row r="263" spans="1:29">
      <c r="A263">
        <v>493</v>
      </c>
      <c r="B263" t="s">
        <v>149</v>
      </c>
      <c r="C263">
        <v>988</v>
      </c>
      <c r="D263" t="s">
        <v>19</v>
      </c>
      <c r="E263" t="str">
        <f t="shared" si="5"/>
        <v>00988</v>
      </c>
      <c r="F263" t="s">
        <v>15</v>
      </c>
      <c r="G263" t="s">
        <v>193</v>
      </c>
      <c r="H263" t="s">
        <v>151</v>
      </c>
      <c r="I263" t="s">
        <v>5</v>
      </c>
      <c r="J263" t="s">
        <v>152</v>
      </c>
      <c r="K263" t="s">
        <v>153</v>
      </c>
      <c r="L263">
        <v>251200237</v>
      </c>
      <c r="M263" s="84">
        <v>46000</v>
      </c>
      <c r="N263" s="84">
        <v>46000</v>
      </c>
      <c r="O263" t="s">
        <v>191</v>
      </c>
      <c r="P263" t="s">
        <v>192</v>
      </c>
      <c r="Q263">
        <v>11700</v>
      </c>
      <c r="R263">
        <v>20</v>
      </c>
      <c r="S263">
        <v>234000</v>
      </c>
      <c r="T263">
        <v>0</v>
      </c>
      <c r="U263">
        <v>0</v>
      </c>
      <c r="V263">
        <v>20</v>
      </c>
      <c r="W263">
        <v>234000</v>
      </c>
      <c r="X263">
        <v>3000</v>
      </c>
      <c r="Y263">
        <v>3000</v>
      </c>
      <c r="Z263">
        <v>0</v>
      </c>
      <c r="AA263">
        <v>0</v>
      </c>
      <c r="AB263">
        <v>0</v>
      </c>
      <c r="AC263">
        <v>6000</v>
      </c>
    </row>
    <row r="264" spans="1:29">
      <c r="A264">
        <v>496</v>
      </c>
      <c r="B264" t="s">
        <v>149</v>
      </c>
      <c r="C264">
        <v>1395</v>
      </c>
      <c r="D264" t="s">
        <v>101</v>
      </c>
      <c r="E264" t="str">
        <f t="shared" ref="E264:E327" si="6">TEXT(C264,"00000")</f>
        <v>01395</v>
      </c>
      <c r="F264" t="s">
        <v>95</v>
      </c>
      <c r="G264" t="s">
        <v>187</v>
      </c>
      <c r="H264" t="s">
        <v>188</v>
      </c>
      <c r="I264" t="s">
        <v>4</v>
      </c>
      <c r="J264" t="s">
        <v>152</v>
      </c>
      <c r="K264" t="s">
        <v>159</v>
      </c>
      <c r="L264">
        <v>251200239</v>
      </c>
      <c r="M264" s="84">
        <v>46000</v>
      </c>
      <c r="N264" s="84">
        <v>46000</v>
      </c>
      <c r="O264" t="s">
        <v>160</v>
      </c>
      <c r="P264" t="s">
        <v>161</v>
      </c>
      <c r="Q264">
        <v>13200</v>
      </c>
      <c r="R264">
        <v>4</v>
      </c>
      <c r="S264">
        <v>52800</v>
      </c>
      <c r="T264">
        <v>0</v>
      </c>
      <c r="U264">
        <v>0</v>
      </c>
      <c r="V264">
        <v>4</v>
      </c>
      <c r="W264">
        <v>52800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>
        <v>497</v>
      </c>
      <c r="B265" t="s">
        <v>149</v>
      </c>
      <c r="C265">
        <v>842</v>
      </c>
      <c r="D265" t="s">
        <v>26</v>
      </c>
      <c r="E265" t="str">
        <f t="shared" si="6"/>
        <v>00842</v>
      </c>
      <c r="F265" t="s">
        <v>20</v>
      </c>
      <c r="G265" t="s">
        <v>193</v>
      </c>
      <c r="H265" t="s">
        <v>151</v>
      </c>
      <c r="I265" t="s">
        <v>5</v>
      </c>
      <c r="J265" t="s">
        <v>152</v>
      </c>
      <c r="K265" t="s">
        <v>236</v>
      </c>
      <c r="L265">
        <v>251200240</v>
      </c>
      <c r="M265" s="84">
        <v>46000</v>
      </c>
      <c r="N265" s="84">
        <v>46000</v>
      </c>
      <c r="O265" t="s">
        <v>196</v>
      </c>
      <c r="P265" t="s">
        <v>197</v>
      </c>
      <c r="Q265">
        <v>11700</v>
      </c>
      <c r="R265">
        <v>32</v>
      </c>
      <c r="S265">
        <v>374400</v>
      </c>
      <c r="T265">
        <v>0</v>
      </c>
      <c r="U265">
        <v>0</v>
      </c>
      <c r="V265">
        <v>32</v>
      </c>
      <c r="W265">
        <v>374400</v>
      </c>
      <c r="X265">
        <v>4800</v>
      </c>
      <c r="Y265">
        <v>4800</v>
      </c>
      <c r="Z265">
        <v>0</v>
      </c>
      <c r="AA265">
        <v>0</v>
      </c>
      <c r="AB265">
        <v>0</v>
      </c>
      <c r="AC265">
        <v>9600</v>
      </c>
    </row>
    <row r="266" spans="1:29">
      <c r="A266">
        <v>498</v>
      </c>
      <c r="B266" t="s">
        <v>149</v>
      </c>
      <c r="C266">
        <v>842</v>
      </c>
      <c r="D266" t="s">
        <v>26</v>
      </c>
      <c r="E266" t="str">
        <f t="shared" si="6"/>
        <v>00842</v>
      </c>
      <c r="F266" t="s">
        <v>20</v>
      </c>
      <c r="G266" t="s">
        <v>193</v>
      </c>
      <c r="H266" t="s">
        <v>151</v>
      </c>
      <c r="I266" t="s">
        <v>4</v>
      </c>
      <c r="J266" t="s">
        <v>152</v>
      </c>
      <c r="K266" t="s">
        <v>236</v>
      </c>
      <c r="L266">
        <v>251200240</v>
      </c>
      <c r="M266" s="84">
        <v>46000</v>
      </c>
      <c r="N266" s="84">
        <v>46000</v>
      </c>
      <c r="O266" t="s">
        <v>177</v>
      </c>
      <c r="P266" t="s">
        <v>178</v>
      </c>
      <c r="Q266">
        <v>14250</v>
      </c>
      <c r="R266">
        <v>80</v>
      </c>
      <c r="S266">
        <v>1140000</v>
      </c>
      <c r="T266">
        <v>0</v>
      </c>
      <c r="U266">
        <v>0</v>
      </c>
      <c r="V266">
        <v>80</v>
      </c>
      <c r="W266">
        <v>1140000</v>
      </c>
      <c r="X266">
        <v>12000</v>
      </c>
      <c r="Y266">
        <v>16000</v>
      </c>
      <c r="Z266">
        <v>0</v>
      </c>
      <c r="AA266">
        <v>0</v>
      </c>
      <c r="AB266">
        <v>0</v>
      </c>
      <c r="AC266">
        <v>28000</v>
      </c>
    </row>
    <row r="267" spans="1:29">
      <c r="A267">
        <v>499</v>
      </c>
      <c r="B267" t="s">
        <v>149</v>
      </c>
      <c r="C267">
        <v>842</v>
      </c>
      <c r="D267" t="s">
        <v>26</v>
      </c>
      <c r="E267" t="str">
        <f t="shared" si="6"/>
        <v>00842</v>
      </c>
      <c r="F267" t="s">
        <v>20</v>
      </c>
      <c r="G267" t="s">
        <v>193</v>
      </c>
      <c r="H267" t="s">
        <v>151</v>
      </c>
      <c r="I267" t="s">
        <v>5</v>
      </c>
      <c r="J267" t="s">
        <v>152</v>
      </c>
      <c r="K267" t="s">
        <v>236</v>
      </c>
      <c r="L267">
        <v>251200240</v>
      </c>
      <c r="M267" s="84">
        <v>46000</v>
      </c>
      <c r="N267" s="84">
        <v>46000</v>
      </c>
      <c r="O267" t="s">
        <v>279</v>
      </c>
      <c r="P267" t="s">
        <v>280</v>
      </c>
      <c r="Q267">
        <v>11700</v>
      </c>
      <c r="R267">
        <v>48</v>
      </c>
      <c r="S267">
        <v>561600</v>
      </c>
      <c r="T267">
        <v>0</v>
      </c>
      <c r="U267">
        <v>0</v>
      </c>
      <c r="V267">
        <v>48</v>
      </c>
      <c r="W267">
        <v>561600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500</v>
      </c>
      <c r="B268" t="s">
        <v>149</v>
      </c>
      <c r="C268">
        <v>842</v>
      </c>
      <c r="D268" t="s">
        <v>26</v>
      </c>
      <c r="E268" t="str">
        <f t="shared" si="6"/>
        <v>00842</v>
      </c>
      <c r="F268" t="s">
        <v>20</v>
      </c>
      <c r="G268" t="s">
        <v>193</v>
      </c>
      <c r="H268" t="s">
        <v>151</v>
      </c>
      <c r="I268" t="s">
        <v>4</v>
      </c>
      <c r="J268" t="s">
        <v>152</v>
      </c>
      <c r="K268" t="s">
        <v>236</v>
      </c>
      <c r="L268">
        <v>251200240</v>
      </c>
      <c r="M268" s="84">
        <v>46000</v>
      </c>
      <c r="N268" s="84">
        <v>46000</v>
      </c>
      <c r="O268" t="s">
        <v>267</v>
      </c>
      <c r="P268" t="s">
        <v>268</v>
      </c>
      <c r="Q268">
        <v>14250</v>
      </c>
      <c r="R268">
        <v>40</v>
      </c>
      <c r="S268">
        <v>570000</v>
      </c>
      <c r="T268">
        <v>0</v>
      </c>
      <c r="U268">
        <v>0</v>
      </c>
      <c r="V268">
        <v>40</v>
      </c>
      <c r="W268">
        <v>570000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501</v>
      </c>
      <c r="B269" t="s">
        <v>149</v>
      </c>
      <c r="C269">
        <v>1581</v>
      </c>
      <c r="D269" t="s">
        <v>96</v>
      </c>
      <c r="E269" t="str">
        <f t="shared" si="6"/>
        <v>01581</v>
      </c>
      <c r="F269" t="s">
        <v>95</v>
      </c>
      <c r="G269" t="s">
        <v>187</v>
      </c>
      <c r="H269" t="s">
        <v>188</v>
      </c>
      <c r="I269" t="s">
        <v>4</v>
      </c>
      <c r="J269" t="s">
        <v>152</v>
      </c>
      <c r="K269" t="s">
        <v>159</v>
      </c>
      <c r="L269">
        <v>251200241</v>
      </c>
      <c r="M269" s="84">
        <v>46000</v>
      </c>
      <c r="N269" s="84">
        <v>46000</v>
      </c>
      <c r="O269" t="s">
        <v>262</v>
      </c>
      <c r="P269" t="s">
        <v>263</v>
      </c>
      <c r="Q269">
        <v>13300</v>
      </c>
      <c r="R269">
        <v>5</v>
      </c>
      <c r="S269">
        <v>66500</v>
      </c>
      <c r="T269">
        <v>0</v>
      </c>
      <c r="U269">
        <v>0</v>
      </c>
      <c r="V269">
        <v>5</v>
      </c>
      <c r="W269">
        <v>66500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>
      <c r="A270">
        <v>502</v>
      </c>
      <c r="B270" t="s">
        <v>149</v>
      </c>
      <c r="C270">
        <v>1448</v>
      </c>
      <c r="D270" t="s">
        <v>21</v>
      </c>
      <c r="E270" t="str">
        <f t="shared" si="6"/>
        <v>01448</v>
      </c>
      <c r="F270" t="s">
        <v>20</v>
      </c>
      <c r="G270" t="s">
        <v>193</v>
      </c>
      <c r="H270" t="s">
        <v>151</v>
      </c>
      <c r="I270" t="s">
        <v>4</v>
      </c>
      <c r="J270" t="s">
        <v>152</v>
      </c>
      <c r="K270" t="s">
        <v>236</v>
      </c>
      <c r="L270">
        <v>251200242</v>
      </c>
      <c r="M270" s="84">
        <v>46000</v>
      </c>
      <c r="N270" s="84">
        <v>46000</v>
      </c>
      <c r="O270" t="s">
        <v>179</v>
      </c>
      <c r="P270" t="s">
        <v>180</v>
      </c>
      <c r="Q270">
        <v>14250</v>
      </c>
      <c r="R270">
        <v>5</v>
      </c>
      <c r="S270">
        <v>71250</v>
      </c>
      <c r="T270">
        <v>0</v>
      </c>
      <c r="U270">
        <v>0</v>
      </c>
      <c r="V270">
        <v>5</v>
      </c>
      <c r="W270">
        <v>71250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>
        <v>503</v>
      </c>
      <c r="B271" t="s">
        <v>149</v>
      </c>
      <c r="C271">
        <v>1448</v>
      </c>
      <c r="D271" t="s">
        <v>21</v>
      </c>
      <c r="E271" t="str">
        <f t="shared" si="6"/>
        <v>01448</v>
      </c>
      <c r="F271" t="s">
        <v>20</v>
      </c>
      <c r="G271" t="s">
        <v>193</v>
      </c>
      <c r="H271" t="s">
        <v>151</v>
      </c>
      <c r="I271" t="s">
        <v>4</v>
      </c>
      <c r="J271" t="s">
        <v>152</v>
      </c>
      <c r="K271" t="s">
        <v>236</v>
      </c>
      <c r="L271">
        <v>251200242</v>
      </c>
      <c r="M271" s="84">
        <v>46000</v>
      </c>
      <c r="N271" s="84">
        <v>46000</v>
      </c>
      <c r="O271" t="s">
        <v>262</v>
      </c>
      <c r="P271" t="s">
        <v>263</v>
      </c>
      <c r="Q271">
        <v>14250</v>
      </c>
      <c r="R271">
        <v>5</v>
      </c>
      <c r="S271">
        <v>71250</v>
      </c>
      <c r="T271">
        <v>0</v>
      </c>
      <c r="U271">
        <v>0</v>
      </c>
      <c r="V271">
        <v>5</v>
      </c>
      <c r="W271">
        <v>71250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504</v>
      </c>
      <c r="B272" t="s">
        <v>149</v>
      </c>
      <c r="C272">
        <v>471</v>
      </c>
      <c r="D272" t="s">
        <v>25</v>
      </c>
      <c r="E272" t="str">
        <f t="shared" si="6"/>
        <v>00471</v>
      </c>
      <c r="F272" t="s">
        <v>20</v>
      </c>
      <c r="G272" t="s">
        <v>193</v>
      </c>
      <c r="H272" t="s">
        <v>151</v>
      </c>
      <c r="I272" t="s">
        <v>5</v>
      </c>
      <c r="J272" t="s">
        <v>152</v>
      </c>
      <c r="K272" t="s">
        <v>236</v>
      </c>
      <c r="L272">
        <v>251200243</v>
      </c>
      <c r="M272" s="84">
        <v>46000</v>
      </c>
      <c r="N272" s="84">
        <v>46000</v>
      </c>
      <c r="O272" t="s">
        <v>191</v>
      </c>
      <c r="P272" t="s">
        <v>192</v>
      </c>
      <c r="Q272">
        <v>11700</v>
      </c>
      <c r="R272">
        <v>12</v>
      </c>
      <c r="S272">
        <v>140400</v>
      </c>
      <c r="T272">
        <v>0</v>
      </c>
      <c r="U272">
        <v>0</v>
      </c>
      <c r="V272">
        <v>12</v>
      </c>
      <c r="W272">
        <v>140400</v>
      </c>
      <c r="X272">
        <v>1800</v>
      </c>
      <c r="Y272">
        <v>1800</v>
      </c>
      <c r="Z272">
        <v>0</v>
      </c>
      <c r="AA272">
        <v>0</v>
      </c>
      <c r="AB272">
        <v>0</v>
      </c>
      <c r="AC272">
        <v>3600</v>
      </c>
    </row>
    <row r="273" spans="1:29">
      <c r="A273">
        <v>505</v>
      </c>
      <c r="B273" t="s">
        <v>149</v>
      </c>
      <c r="C273">
        <v>471</v>
      </c>
      <c r="D273" t="s">
        <v>25</v>
      </c>
      <c r="E273" t="str">
        <f t="shared" si="6"/>
        <v>00471</v>
      </c>
      <c r="F273" t="s">
        <v>20</v>
      </c>
      <c r="G273" t="s">
        <v>193</v>
      </c>
      <c r="H273" t="s">
        <v>151</v>
      </c>
      <c r="I273" t="s">
        <v>4</v>
      </c>
      <c r="J273" t="s">
        <v>152</v>
      </c>
      <c r="K273" t="s">
        <v>236</v>
      </c>
      <c r="L273">
        <v>251200243</v>
      </c>
      <c r="M273" s="84">
        <v>46000</v>
      </c>
      <c r="N273" s="84">
        <v>46000</v>
      </c>
      <c r="O273" t="s">
        <v>179</v>
      </c>
      <c r="P273" t="s">
        <v>180</v>
      </c>
      <c r="Q273">
        <v>14250</v>
      </c>
      <c r="R273">
        <v>5</v>
      </c>
      <c r="S273">
        <v>71250</v>
      </c>
      <c r="T273">
        <v>0</v>
      </c>
      <c r="U273">
        <v>0</v>
      </c>
      <c r="V273">
        <v>5</v>
      </c>
      <c r="W273">
        <v>71250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506</v>
      </c>
      <c r="B274" t="s">
        <v>149</v>
      </c>
      <c r="C274">
        <v>471</v>
      </c>
      <c r="D274" t="s">
        <v>25</v>
      </c>
      <c r="E274" t="str">
        <f t="shared" si="6"/>
        <v>00471</v>
      </c>
      <c r="F274" t="s">
        <v>20</v>
      </c>
      <c r="G274" t="s">
        <v>193</v>
      </c>
      <c r="H274" t="s">
        <v>151</v>
      </c>
      <c r="I274" t="s">
        <v>4</v>
      </c>
      <c r="J274" t="s">
        <v>152</v>
      </c>
      <c r="K274" t="s">
        <v>236</v>
      </c>
      <c r="L274">
        <v>251200243</v>
      </c>
      <c r="M274" s="84">
        <v>46000</v>
      </c>
      <c r="N274" s="84">
        <v>46000</v>
      </c>
      <c r="O274" t="s">
        <v>160</v>
      </c>
      <c r="P274" t="s">
        <v>161</v>
      </c>
      <c r="Q274">
        <v>14250</v>
      </c>
      <c r="R274">
        <v>20</v>
      </c>
      <c r="S274">
        <v>285000</v>
      </c>
      <c r="T274">
        <v>0</v>
      </c>
      <c r="U274">
        <v>0</v>
      </c>
      <c r="V274">
        <v>20</v>
      </c>
      <c r="W274">
        <v>285000</v>
      </c>
      <c r="X274">
        <v>3000</v>
      </c>
      <c r="Y274">
        <v>4000</v>
      </c>
      <c r="Z274">
        <v>0</v>
      </c>
      <c r="AA274">
        <v>0</v>
      </c>
      <c r="AB274">
        <v>0</v>
      </c>
      <c r="AC274">
        <v>7000</v>
      </c>
    </row>
    <row r="275" spans="1:29">
      <c r="A275">
        <v>507</v>
      </c>
      <c r="B275" t="s">
        <v>149</v>
      </c>
      <c r="C275">
        <v>367</v>
      </c>
      <c r="D275" t="s">
        <v>63</v>
      </c>
      <c r="E275" t="str">
        <f t="shared" si="6"/>
        <v>00367</v>
      </c>
      <c r="F275" t="s">
        <v>49</v>
      </c>
      <c r="G275" t="s">
        <v>167</v>
      </c>
      <c r="H275" t="s">
        <v>151</v>
      </c>
      <c r="I275" t="s">
        <v>4</v>
      </c>
      <c r="J275" t="s">
        <v>152</v>
      </c>
      <c r="K275" t="s">
        <v>153</v>
      </c>
      <c r="L275">
        <v>251200244</v>
      </c>
      <c r="M275" s="84">
        <v>46000</v>
      </c>
      <c r="N275" s="84">
        <v>46000</v>
      </c>
      <c r="O275" t="s">
        <v>168</v>
      </c>
      <c r="P275" t="s">
        <v>169</v>
      </c>
      <c r="Q275">
        <v>14250</v>
      </c>
      <c r="R275">
        <v>15</v>
      </c>
      <c r="S275">
        <v>213750</v>
      </c>
      <c r="T275">
        <v>0</v>
      </c>
      <c r="U275">
        <v>0</v>
      </c>
      <c r="V275">
        <v>15</v>
      </c>
      <c r="W275">
        <v>213750</v>
      </c>
      <c r="X275">
        <v>2250</v>
      </c>
      <c r="Y275">
        <v>3000</v>
      </c>
      <c r="Z275">
        <v>0</v>
      </c>
      <c r="AA275">
        <v>0</v>
      </c>
      <c r="AB275">
        <v>0</v>
      </c>
      <c r="AC275">
        <v>5250</v>
      </c>
    </row>
    <row r="276" spans="1:29">
      <c r="A276">
        <v>508</v>
      </c>
      <c r="B276" t="s">
        <v>149</v>
      </c>
      <c r="C276">
        <v>367</v>
      </c>
      <c r="D276" t="s">
        <v>63</v>
      </c>
      <c r="E276" t="str">
        <f t="shared" si="6"/>
        <v>00367</v>
      </c>
      <c r="F276" t="s">
        <v>49</v>
      </c>
      <c r="G276" t="s">
        <v>167</v>
      </c>
      <c r="H276" t="s">
        <v>151</v>
      </c>
      <c r="I276" t="s">
        <v>4</v>
      </c>
      <c r="J276" t="s">
        <v>152</v>
      </c>
      <c r="K276" t="s">
        <v>153</v>
      </c>
      <c r="L276">
        <v>251200244</v>
      </c>
      <c r="M276" s="84">
        <v>46000</v>
      </c>
      <c r="N276" s="84">
        <v>46000</v>
      </c>
      <c r="O276" t="s">
        <v>219</v>
      </c>
      <c r="P276" t="s">
        <v>220</v>
      </c>
      <c r="Q276">
        <v>14250</v>
      </c>
      <c r="R276">
        <v>5</v>
      </c>
      <c r="S276">
        <v>71250</v>
      </c>
      <c r="T276">
        <v>0</v>
      </c>
      <c r="U276">
        <v>0</v>
      </c>
      <c r="V276">
        <v>5</v>
      </c>
      <c r="W276">
        <v>71250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522</v>
      </c>
      <c r="B277" t="s">
        <v>149</v>
      </c>
      <c r="C277">
        <v>827</v>
      </c>
      <c r="D277" t="s">
        <v>84</v>
      </c>
      <c r="E277" t="str">
        <f t="shared" si="6"/>
        <v>00827</v>
      </c>
      <c r="F277" t="s">
        <v>83</v>
      </c>
      <c r="G277" t="s">
        <v>164</v>
      </c>
      <c r="H277" t="s">
        <v>151</v>
      </c>
      <c r="I277" t="s">
        <v>4</v>
      </c>
      <c r="J277" t="s">
        <v>152</v>
      </c>
      <c r="K277" t="s">
        <v>153</v>
      </c>
      <c r="L277">
        <v>251200253</v>
      </c>
      <c r="M277" s="84">
        <v>46000</v>
      </c>
      <c r="N277" s="84">
        <v>46000</v>
      </c>
      <c r="O277" t="s">
        <v>177</v>
      </c>
      <c r="P277" t="s">
        <v>178</v>
      </c>
      <c r="Q277">
        <v>14250</v>
      </c>
      <c r="R277">
        <v>1</v>
      </c>
      <c r="S277">
        <v>14250</v>
      </c>
      <c r="T277">
        <v>0</v>
      </c>
      <c r="U277">
        <v>0</v>
      </c>
      <c r="V277">
        <v>1</v>
      </c>
      <c r="W277">
        <v>14250</v>
      </c>
      <c r="X277">
        <v>150</v>
      </c>
      <c r="Y277">
        <v>200</v>
      </c>
      <c r="Z277">
        <v>0</v>
      </c>
      <c r="AA277">
        <v>0</v>
      </c>
      <c r="AB277">
        <v>0</v>
      </c>
      <c r="AC277">
        <v>350</v>
      </c>
    </row>
    <row r="278" spans="1:29">
      <c r="A278">
        <v>524</v>
      </c>
      <c r="B278" t="s">
        <v>149</v>
      </c>
      <c r="C278">
        <v>1470</v>
      </c>
      <c r="D278" t="s">
        <v>12</v>
      </c>
      <c r="E278" t="str">
        <f t="shared" si="6"/>
        <v>01470</v>
      </c>
      <c r="F278" t="s">
        <v>10</v>
      </c>
      <c r="G278" t="s">
        <v>172</v>
      </c>
      <c r="H278" t="s">
        <v>157</v>
      </c>
      <c r="I278" t="s">
        <v>4</v>
      </c>
      <c r="J278" t="s">
        <v>152</v>
      </c>
      <c r="K278" t="s">
        <v>174</v>
      </c>
      <c r="L278">
        <v>251200255</v>
      </c>
      <c r="M278" s="84">
        <v>46000</v>
      </c>
      <c r="N278" s="84">
        <v>46000</v>
      </c>
      <c r="O278" t="s">
        <v>243</v>
      </c>
      <c r="P278" t="s">
        <v>244</v>
      </c>
      <c r="Q278">
        <v>15050</v>
      </c>
      <c r="R278">
        <v>5</v>
      </c>
      <c r="S278">
        <v>75250</v>
      </c>
      <c r="T278">
        <v>0</v>
      </c>
      <c r="U278">
        <v>0</v>
      </c>
      <c r="V278">
        <v>5</v>
      </c>
      <c r="W278">
        <v>75250</v>
      </c>
      <c r="X278">
        <v>750</v>
      </c>
      <c r="Y278">
        <v>1000</v>
      </c>
      <c r="Z278">
        <v>0</v>
      </c>
      <c r="AA278">
        <v>0</v>
      </c>
      <c r="AB278">
        <v>0</v>
      </c>
      <c r="AC278">
        <v>1750</v>
      </c>
    </row>
    <row r="279" spans="1:29">
      <c r="A279">
        <v>525</v>
      </c>
      <c r="B279" t="s">
        <v>149</v>
      </c>
      <c r="C279">
        <v>1470</v>
      </c>
      <c r="D279" t="s">
        <v>12</v>
      </c>
      <c r="E279" t="str">
        <f t="shared" si="6"/>
        <v>01470</v>
      </c>
      <c r="F279" t="s">
        <v>10</v>
      </c>
      <c r="G279" t="s">
        <v>172</v>
      </c>
      <c r="H279" t="s">
        <v>157</v>
      </c>
      <c r="I279" t="s">
        <v>4</v>
      </c>
      <c r="J279" t="s">
        <v>152</v>
      </c>
      <c r="K279" t="s">
        <v>174</v>
      </c>
      <c r="L279">
        <v>251200256</v>
      </c>
      <c r="M279" s="84">
        <v>46000</v>
      </c>
      <c r="N279" s="84">
        <v>46000</v>
      </c>
      <c r="O279" t="s">
        <v>177</v>
      </c>
      <c r="P279" t="s">
        <v>178</v>
      </c>
      <c r="Q279">
        <v>14250</v>
      </c>
      <c r="R279">
        <v>10</v>
      </c>
      <c r="S279">
        <v>142500</v>
      </c>
      <c r="T279">
        <v>0</v>
      </c>
      <c r="U279">
        <v>0</v>
      </c>
      <c r="V279">
        <v>10</v>
      </c>
      <c r="W279">
        <v>142500</v>
      </c>
      <c r="X279">
        <v>1500</v>
      </c>
      <c r="Y279">
        <v>2000</v>
      </c>
      <c r="Z279">
        <v>0</v>
      </c>
      <c r="AA279">
        <v>0</v>
      </c>
      <c r="AB279">
        <v>0</v>
      </c>
      <c r="AC279">
        <v>3500</v>
      </c>
    </row>
    <row r="280" spans="1:29">
      <c r="A280">
        <v>526</v>
      </c>
      <c r="B280" t="s">
        <v>149</v>
      </c>
      <c r="C280">
        <v>1470</v>
      </c>
      <c r="D280" t="s">
        <v>12</v>
      </c>
      <c r="E280" t="str">
        <f t="shared" si="6"/>
        <v>01470</v>
      </c>
      <c r="F280" t="s">
        <v>10</v>
      </c>
      <c r="G280" t="s">
        <v>172</v>
      </c>
      <c r="H280" t="s">
        <v>157</v>
      </c>
      <c r="I280" t="s">
        <v>4</v>
      </c>
      <c r="J280" t="s">
        <v>152</v>
      </c>
      <c r="K280" t="s">
        <v>174</v>
      </c>
      <c r="L280">
        <v>251200256</v>
      </c>
      <c r="M280" s="84">
        <v>46000</v>
      </c>
      <c r="N280" s="84">
        <v>46000</v>
      </c>
      <c r="O280" t="s">
        <v>160</v>
      </c>
      <c r="P280" t="s">
        <v>161</v>
      </c>
      <c r="Q280">
        <v>14250</v>
      </c>
      <c r="R280">
        <v>10</v>
      </c>
      <c r="S280">
        <v>142500</v>
      </c>
      <c r="T280">
        <v>0</v>
      </c>
      <c r="U280">
        <v>0</v>
      </c>
      <c r="V280">
        <v>10</v>
      </c>
      <c r="W280">
        <v>142500</v>
      </c>
      <c r="X280">
        <v>1500</v>
      </c>
      <c r="Y280">
        <v>2000</v>
      </c>
      <c r="Z280">
        <v>0</v>
      </c>
      <c r="AA280">
        <v>0</v>
      </c>
      <c r="AB280">
        <v>0</v>
      </c>
      <c r="AC280">
        <v>3500</v>
      </c>
    </row>
    <row r="281" spans="1:29">
      <c r="A281">
        <v>532</v>
      </c>
      <c r="B281" t="s">
        <v>149</v>
      </c>
      <c r="C281">
        <v>2</v>
      </c>
      <c r="D281" t="s">
        <v>281</v>
      </c>
      <c r="E281" t="str">
        <f t="shared" si="6"/>
        <v>00002</v>
      </c>
      <c r="F281" t="s">
        <v>111</v>
      </c>
      <c r="G281" t="s">
        <v>150</v>
      </c>
      <c r="H281" t="s">
        <v>151</v>
      </c>
      <c r="I281" t="s">
        <v>238</v>
      </c>
      <c r="J281" t="s">
        <v>152</v>
      </c>
      <c r="K281" t="s">
        <v>153</v>
      </c>
      <c r="L281">
        <v>251200262</v>
      </c>
      <c r="M281" s="84">
        <v>46000</v>
      </c>
      <c r="N281" s="84">
        <v>46000</v>
      </c>
      <c r="O281" t="s">
        <v>241</v>
      </c>
      <c r="P281" t="s">
        <v>242</v>
      </c>
      <c r="Q281">
        <v>17156</v>
      </c>
      <c r="R281">
        <v>2</v>
      </c>
      <c r="S281">
        <v>34312</v>
      </c>
      <c r="T281">
        <v>0</v>
      </c>
      <c r="U281">
        <v>0</v>
      </c>
      <c r="V281">
        <v>2</v>
      </c>
      <c r="W281">
        <v>34312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>
      <c r="A282">
        <v>533</v>
      </c>
      <c r="B282" t="s">
        <v>149</v>
      </c>
      <c r="C282">
        <v>2</v>
      </c>
      <c r="D282" t="s">
        <v>281</v>
      </c>
      <c r="E282" t="str">
        <f t="shared" si="6"/>
        <v>00002</v>
      </c>
      <c r="F282" t="s">
        <v>111</v>
      </c>
      <c r="G282" t="s">
        <v>150</v>
      </c>
      <c r="H282" t="s">
        <v>151</v>
      </c>
      <c r="I282" t="s">
        <v>231</v>
      </c>
      <c r="J282" t="s">
        <v>152</v>
      </c>
      <c r="K282" t="s">
        <v>153</v>
      </c>
      <c r="L282">
        <v>251200262</v>
      </c>
      <c r="M282" s="84">
        <v>46000</v>
      </c>
      <c r="N282" s="84">
        <v>46000</v>
      </c>
      <c r="O282" t="s">
        <v>232</v>
      </c>
      <c r="P282" t="s">
        <v>122</v>
      </c>
      <c r="Q282">
        <v>6213</v>
      </c>
      <c r="R282">
        <v>5</v>
      </c>
      <c r="S282">
        <v>31065</v>
      </c>
      <c r="T282">
        <v>0</v>
      </c>
      <c r="U282">
        <v>0</v>
      </c>
      <c r="V282">
        <v>5</v>
      </c>
      <c r="W282">
        <v>31065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534</v>
      </c>
      <c r="B283" t="s">
        <v>149</v>
      </c>
      <c r="C283">
        <v>2</v>
      </c>
      <c r="D283" t="s">
        <v>281</v>
      </c>
      <c r="E283" t="str">
        <f t="shared" si="6"/>
        <v>00002</v>
      </c>
      <c r="F283" t="s">
        <v>111</v>
      </c>
      <c r="G283" t="s">
        <v>150</v>
      </c>
      <c r="H283" t="s">
        <v>151</v>
      </c>
      <c r="I283" t="s">
        <v>238</v>
      </c>
      <c r="J283" t="s">
        <v>152</v>
      </c>
      <c r="K283" t="s">
        <v>153</v>
      </c>
      <c r="L283">
        <v>251200262</v>
      </c>
      <c r="M283" s="84">
        <v>46000</v>
      </c>
      <c r="N283" s="84">
        <v>46000</v>
      </c>
      <c r="O283" t="s">
        <v>247</v>
      </c>
      <c r="P283" t="s">
        <v>116</v>
      </c>
      <c r="Q283">
        <v>10982</v>
      </c>
      <c r="R283">
        <v>2</v>
      </c>
      <c r="S283">
        <v>21964</v>
      </c>
      <c r="T283">
        <v>0</v>
      </c>
      <c r="U283">
        <v>0</v>
      </c>
      <c r="V283">
        <v>2</v>
      </c>
      <c r="W283">
        <v>21964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535</v>
      </c>
      <c r="B284" t="s">
        <v>149</v>
      </c>
      <c r="C284">
        <v>2</v>
      </c>
      <c r="D284" t="s">
        <v>281</v>
      </c>
      <c r="E284" t="str">
        <f t="shared" si="6"/>
        <v>00002</v>
      </c>
      <c r="F284" t="s">
        <v>111</v>
      </c>
      <c r="G284" t="s">
        <v>150</v>
      </c>
      <c r="H284" t="s">
        <v>151</v>
      </c>
      <c r="I284" t="s">
        <v>238</v>
      </c>
      <c r="J284" t="s">
        <v>152</v>
      </c>
      <c r="K284" t="s">
        <v>153</v>
      </c>
      <c r="L284">
        <v>251200262</v>
      </c>
      <c r="M284" s="84">
        <v>46000</v>
      </c>
      <c r="N284" s="84">
        <v>46000</v>
      </c>
      <c r="O284" t="s">
        <v>239</v>
      </c>
      <c r="P284" t="s">
        <v>240</v>
      </c>
      <c r="Q284">
        <v>13684</v>
      </c>
      <c r="R284">
        <v>2</v>
      </c>
      <c r="S284">
        <v>27368</v>
      </c>
      <c r="T284">
        <v>0</v>
      </c>
      <c r="U284">
        <v>0</v>
      </c>
      <c r="V284">
        <v>2</v>
      </c>
      <c r="W284">
        <v>27368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536</v>
      </c>
      <c r="B285" t="s">
        <v>149</v>
      </c>
      <c r="C285">
        <v>2</v>
      </c>
      <c r="D285" t="s">
        <v>281</v>
      </c>
      <c r="E285" t="str">
        <f t="shared" si="6"/>
        <v>00002</v>
      </c>
      <c r="F285" t="s">
        <v>111</v>
      </c>
      <c r="G285" t="s">
        <v>150</v>
      </c>
      <c r="H285" t="s">
        <v>151</v>
      </c>
      <c r="I285" t="s">
        <v>231</v>
      </c>
      <c r="J285" t="s">
        <v>152</v>
      </c>
      <c r="K285" t="s">
        <v>153</v>
      </c>
      <c r="L285">
        <v>251200262</v>
      </c>
      <c r="M285" s="84">
        <v>46000</v>
      </c>
      <c r="N285" s="84">
        <v>46000</v>
      </c>
      <c r="O285" t="s">
        <v>234</v>
      </c>
      <c r="P285" t="s">
        <v>235</v>
      </c>
      <c r="Q285">
        <v>10432</v>
      </c>
      <c r="R285">
        <v>2</v>
      </c>
      <c r="S285">
        <v>20864</v>
      </c>
      <c r="T285">
        <v>0</v>
      </c>
      <c r="U285">
        <v>0</v>
      </c>
      <c r="V285">
        <v>2</v>
      </c>
      <c r="W285">
        <v>20864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537</v>
      </c>
      <c r="B286" t="s">
        <v>149</v>
      </c>
      <c r="C286">
        <v>2</v>
      </c>
      <c r="D286" t="s">
        <v>281</v>
      </c>
      <c r="E286" t="str">
        <f t="shared" si="6"/>
        <v>00002</v>
      </c>
      <c r="F286" t="s">
        <v>111</v>
      </c>
      <c r="G286" t="s">
        <v>150</v>
      </c>
      <c r="H286" t="s">
        <v>151</v>
      </c>
      <c r="I286" t="s">
        <v>238</v>
      </c>
      <c r="J286" t="s">
        <v>152</v>
      </c>
      <c r="K286" t="s">
        <v>153</v>
      </c>
      <c r="L286">
        <v>251200262</v>
      </c>
      <c r="M286" s="84">
        <v>46000</v>
      </c>
      <c r="N286" s="84">
        <v>46000</v>
      </c>
      <c r="O286" t="s">
        <v>282</v>
      </c>
      <c r="P286" t="s">
        <v>283</v>
      </c>
      <c r="Q286">
        <v>18880</v>
      </c>
      <c r="R286">
        <v>3</v>
      </c>
      <c r="S286">
        <v>56640</v>
      </c>
      <c r="T286">
        <v>0</v>
      </c>
      <c r="U286">
        <v>0</v>
      </c>
      <c r="V286">
        <v>3</v>
      </c>
      <c r="W286">
        <v>56640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538</v>
      </c>
      <c r="B287" t="s">
        <v>149</v>
      </c>
      <c r="C287">
        <v>387</v>
      </c>
      <c r="D287" t="s">
        <v>109</v>
      </c>
      <c r="E287" t="str">
        <f t="shared" si="6"/>
        <v>00387</v>
      </c>
      <c r="F287" t="s">
        <v>103</v>
      </c>
      <c r="G287" t="s">
        <v>167</v>
      </c>
      <c r="H287" t="s">
        <v>151</v>
      </c>
      <c r="I287" t="s">
        <v>231</v>
      </c>
      <c r="J287" t="s">
        <v>152</v>
      </c>
      <c r="K287" t="s">
        <v>153</v>
      </c>
      <c r="L287">
        <v>251200263</v>
      </c>
      <c r="M287" s="84">
        <v>46000</v>
      </c>
      <c r="N287" s="84">
        <v>46000</v>
      </c>
      <c r="O287" t="s">
        <v>234</v>
      </c>
      <c r="P287" t="s">
        <v>235</v>
      </c>
      <c r="Q287">
        <v>10432</v>
      </c>
      <c r="R287">
        <v>5</v>
      </c>
      <c r="S287">
        <v>52160</v>
      </c>
      <c r="T287">
        <v>0</v>
      </c>
      <c r="U287">
        <v>0</v>
      </c>
      <c r="V287">
        <v>5</v>
      </c>
      <c r="W287">
        <v>52160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>
        <v>540</v>
      </c>
      <c r="B288" t="s">
        <v>149</v>
      </c>
      <c r="C288">
        <v>1450</v>
      </c>
      <c r="D288" t="s">
        <v>82</v>
      </c>
      <c r="E288" t="str">
        <f t="shared" si="6"/>
        <v>01450</v>
      </c>
      <c r="F288" t="s">
        <v>80</v>
      </c>
      <c r="G288" t="s">
        <v>164</v>
      </c>
      <c r="H288" t="s">
        <v>151</v>
      </c>
      <c r="I288" t="s">
        <v>4</v>
      </c>
      <c r="J288" t="s">
        <v>152</v>
      </c>
      <c r="K288" t="s">
        <v>153</v>
      </c>
      <c r="L288">
        <v>251200265</v>
      </c>
      <c r="M288" s="84">
        <v>46000</v>
      </c>
      <c r="N288" s="84">
        <v>46000</v>
      </c>
      <c r="O288" t="s">
        <v>160</v>
      </c>
      <c r="P288" t="s">
        <v>161</v>
      </c>
      <c r="Q288">
        <v>14250</v>
      </c>
      <c r="R288">
        <v>10</v>
      </c>
      <c r="S288">
        <v>142500</v>
      </c>
      <c r="T288">
        <v>0</v>
      </c>
      <c r="U288">
        <v>0</v>
      </c>
      <c r="V288">
        <v>10</v>
      </c>
      <c r="W288">
        <v>142500</v>
      </c>
      <c r="X288">
        <v>1500</v>
      </c>
      <c r="Y288">
        <v>2000</v>
      </c>
      <c r="Z288">
        <v>0</v>
      </c>
      <c r="AA288">
        <v>0</v>
      </c>
      <c r="AB288">
        <v>0</v>
      </c>
      <c r="AC288">
        <v>3500</v>
      </c>
    </row>
    <row r="289" spans="1:29">
      <c r="A289">
        <v>541</v>
      </c>
      <c r="B289" t="s">
        <v>149</v>
      </c>
      <c r="C289">
        <v>1450</v>
      </c>
      <c r="D289" t="s">
        <v>82</v>
      </c>
      <c r="E289" t="str">
        <f t="shared" si="6"/>
        <v>01450</v>
      </c>
      <c r="F289" t="s">
        <v>80</v>
      </c>
      <c r="G289" t="s">
        <v>164</v>
      </c>
      <c r="H289" t="s">
        <v>151</v>
      </c>
      <c r="I289" t="s">
        <v>5</v>
      </c>
      <c r="J289" t="s">
        <v>152</v>
      </c>
      <c r="K289" t="s">
        <v>153</v>
      </c>
      <c r="L289">
        <v>251200265</v>
      </c>
      <c r="M289" s="84">
        <v>46000</v>
      </c>
      <c r="N289" s="84">
        <v>46000</v>
      </c>
      <c r="O289" t="s">
        <v>191</v>
      </c>
      <c r="P289" t="s">
        <v>192</v>
      </c>
      <c r="Q289">
        <v>11700</v>
      </c>
      <c r="R289">
        <v>10</v>
      </c>
      <c r="S289">
        <v>117000</v>
      </c>
      <c r="T289">
        <v>0</v>
      </c>
      <c r="U289">
        <v>0</v>
      </c>
      <c r="V289">
        <v>10</v>
      </c>
      <c r="W289">
        <v>117000</v>
      </c>
      <c r="X289">
        <v>1500</v>
      </c>
      <c r="Y289">
        <v>1500</v>
      </c>
      <c r="Z289">
        <v>0</v>
      </c>
      <c r="AA289">
        <v>0</v>
      </c>
      <c r="AB289">
        <v>0</v>
      </c>
      <c r="AC289">
        <v>3000</v>
      </c>
    </row>
    <row r="290" spans="1:29">
      <c r="A290">
        <v>542</v>
      </c>
      <c r="B290" t="s">
        <v>149</v>
      </c>
      <c r="C290">
        <v>1450</v>
      </c>
      <c r="D290" t="s">
        <v>82</v>
      </c>
      <c r="E290" t="str">
        <f t="shared" si="6"/>
        <v>01450</v>
      </c>
      <c r="F290" t="s">
        <v>80</v>
      </c>
      <c r="G290" t="s">
        <v>164</v>
      </c>
      <c r="H290" t="s">
        <v>151</v>
      </c>
      <c r="I290" t="s">
        <v>5</v>
      </c>
      <c r="J290" t="s">
        <v>152</v>
      </c>
      <c r="K290" t="s">
        <v>153</v>
      </c>
      <c r="L290">
        <v>251200265</v>
      </c>
      <c r="M290" s="84">
        <v>46000</v>
      </c>
      <c r="N290" s="84">
        <v>46000</v>
      </c>
      <c r="O290" t="s">
        <v>194</v>
      </c>
      <c r="P290" t="s">
        <v>195</v>
      </c>
      <c r="Q290">
        <v>11700</v>
      </c>
      <c r="R290">
        <v>8</v>
      </c>
      <c r="S290">
        <v>93600</v>
      </c>
      <c r="T290">
        <v>0</v>
      </c>
      <c r="U290">
        <v>0</v>
      </c>
      <c r="V290">
        <v>8</v>
      </c>
      <c r="W290">
        <v>93600</v>
      </c>
      <c r="X290">
        <v>1200</v>
      </c>
      <c r="Y290">
        <v>1200</v>
      </c>
      <c r="Z290">
        <v>0</v>
      </c>
      <c r="AA290">
        <v>0</v>
      </c>
      <c r="AB290">
        <v>0</v>
      </c>
      <c r="AC290">
        <v>2400</v>
      </c>
    </row>
    <row r="291" spans="1:29">
      <c r="A291">
        <v>543</v>
      </c>
      <c r="B291" t="s">
        <v>149</v>
      </c>
      <c r="C291">
        <v>1118</v>
      </c>
      <c r="D291" t="s">
        <v>37</v>
      </c>
      <c r="E291" t="str">
        <f t="shared" si="6"/>
        <v>01118</v>
      </c>
      <c r="F291" t="s">
        <v>28</v>
      </c>
      <c r="G291" t="s">
        <v>164</v>
      </c>
      <c r="H291" t="s">
        <v>151</v>
      </c>
      <c r="I291" t="s">
        <v>182</v>
      </c>
      <c r="J291" t="s">
        <v>152</v>
      </c>
      <c r="K291" t="s">
        <v>153</v>
      </c>
      <c r="L291">
        <v>251200266</v>
      </c>
      <c r="M291" s="84">
        <v>46000</v>
      </c>
      <c r="N291" s="84">
        <v>46000</v>
      </c>
      <c r="O291" t="s">
        <v>183</v>
      </c>
      <c r="P291" t="s">
        <v>184</v>
      </c>
      <c r="Q291">
        <v>72</v>
      </c>
      <c r="R291">
        <v>40</v>
      </c>
      <c r="S291">
        <v>2880</v>
      </c>
      <c r="T291">
        <v>0</v>
      </c>
      <c r="U291">
        <v>0</v>
      </c>
      <c r="V291">
        <v>40</v>
      </c>
      <c r="W291">
        <v>2880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>
        <v>551</v>
      </c>
      <c r="B292" t="s">
        <v>149</v>
      </c>
      <c r="C292">
        <v>471</v>
      </c>
      <c r="D292" t="s">
        <v>25</v>
      </c>
      <c r="E292" t="str">
        <f t="shared" si="6"/>
        <v>00471</v>
      </c>
      <c r="F292" t="s">
        <v>20</v>
      </c>
      <c r="G292" t="s">
        <v>193</v>
      </c>
      <c r="H292" t="s">
        <v>151</v>
      </c>
      <c r="I292" t="s">
        <v>5</v>
      </c>
      <c r="J292" t="s">
        <v>152</v>
      </c>
      <c r="K292" t="s">
        <v>236</v>
      </c>
      <c r="L292">
        <v>251200271</v>
      </c>
      <c r="M292" s="84">
        <v>46001</v>
      </c>
      <c r="N292" s="84">
        <v>46001</v>
      </c>
      <c r="O292" t="s">
        <v>191</v>
      </c>
      <c r="P292" t="s">
        <v>192</v>
      </c>
      <c r="Q292">
        <v>11700</v>
      </c>
      <c r="R292">
        <v>4</v>
      </c>
      <c r="S292">
        <v>46800</v>
      </c>
      <c r="T292">
        <v>0</v>
      </c>
      <c r="U292">
        <v>0</v>
      </c>
      <c r="V292">
        <v>4</v>
      </c>
      <c r="W292">
        <v>46800</v>
      </c>
      <c r="X292">
        <v>600</v>
      </c>
      <c r="Y292">
        <v>600</v>
      </c>
      <c r="Z292">
        <v>0</v>
      </c>
      <c r="AA292">
        <v>0</v>
      </c>
      <c r="AB292">
        <v>0</v>
      </c>
      <c r="AC292">
        <v>1200</v>
      </c>
    </row>
    <row r="293" spans="1:29">
      <c r="A293">
        <v>552</v>
      </c>
      <c r="B293" t="s">
        <v>149</v>
      </c>
      <c r="C293">
        <v>471</v>
      </c>
      <c r="D293" t="s">
        <v>25</v>
      </c>
      <c r="E293" t="str">
        <f t="shared" si="6"/>
        <v>00471</v>
      </c>
      <c r="F293" t="s">
        <v>20</v>
      </c>
      <c r="G293" t="s">
        <v>193</v>
      </c>
      <c r="H293" t="s">
        <v>151</v>
      </c>
      <c r="I293" t="s">
        <v>4</v>
      </c>
      <c r="J293" t="s">
        <v>152</v>
      </c>
      <c r="K293" t="s">
        <v>236</v>
      </c>
      <c r="L293">
        <v>251200271</v>
      </c>
      <c r="M293" s="84">
        <v>46001</v>
      </c>
      <c r="N293" s="84">
        <v>46001</v>
      </c>
      <c r="O293" t="s">
        <v>160</v>
      </c>
      <c r="P293" t="s">
        <v>161</v>
      </c>
      <c r="Q293">
        <v>14250</v>
      </c>
      <c r="R293">
        <v>10</v>
      </c>
      <c r="S293">
        <v>142500</v>
      </c>
      <c r="T293">
        <v>0</v>
      </c>
      <c r="U293">
        <v>0</v>
      </c>
      <c r="V293">
        <v>10</v>
      </c>
      <c r="W293">
        <v>142500</v>
      </c>
      <c r="X293">
        <v>1500</v>
      </c>
      <c r="Y293">
        <v>2000</v>
      </c>
      <c r="Z293">
        <v>0</v>
      </c>
      <c r="AA293">
        <v>0</v>
      </c>
      <c r="AB293">
        <v>0</v>
      </c>
      <c r="AC293">
        <v>3500</v>
      </c>
    </row>
    <row r="294" spans="1:29">
      <c r="A294">
        <v>553</v>
      </c>
      <c r="B294" t="s">
        <v>149</v>
      </c>
      <c r="C294">
        <v>471</v>
      </c>
      <c r="D294" t="s">
        <v>25</v>
      </c>
      <c r="E294" t="str">
        <f t="shared" si="6"/>
        <v>00471</v>
      </c>
      <c r="F294" t="s">
        <v>20</v>
      </c>
      <c r="G294" t="s">
        <v>193</v>
      </c>
      <c r="H294" t="s">
        <v>151</v>
      </c>
      <c r="I294" t="s">
        <v>4</v>
      </c>
      <c r="J294" t="s">
        <v>152</v>
      </c>
      <c r="K294" t="s">
        <v>236</v>
      </c>
      <c r="L294">
        <v>251200271</v>
      </c>
      <c r="M294" s="84">
        <v>46001</v>
      </c>
      <c r="N294" s="84">
        <v>46001</v>
      </c>
      <c r="O294" t="s">
        <v>179</v>
      </c>
      <c r="P294" t="s">
        <v>180</v>
      </c>
      <c r="Q294">
        <v>14250</v>
      </c>
      <c r="R294">
        <v>10</v>
      </c>
      <c r="S294">
        <v>142500</v>
      </c>
      <c r="T294">
        <v>0</v>
      </c>
      <c r="U294">
        <v>0</v>
      </c>
      <c r="V294">
        <v>10</v>
      </c>
      <c r="W294">
        <v>142500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>
      <c r="A295">
        <v>554</v>
      </c>
      <c r="B295" t="s">
        <v>149</v>
      </c>
      <c r="C295">
        <v>1448</v>
      </c>
      <c r="D295" t="s">
        <v>21</v>
      </c>
      <c r="E295" t="str">
        <f t="shared" si="6"/>
        <v>01448</v>
      </c>
      <c r="F295" t="s">
        <v>20</v>
      </c>
      <c r="G295" t="s">
        <v>193</v>
      </c>
      <c r="H295" t="s">
        <v>151</v>
      </c>
      <c r="I295" t="s">
        <v>4</v>
      </c>
      <c r="J295" t="s">
        <v>152</v>
      </c>
      <c r="K295" t="s">
        <v>236</v>
      </c>
      <c r="L295">
        <v>251200272</v>
      </c>
      <c r="M295" s="84">
        <v>46001</v>
      </c>
      <c r="N295" s="84">
        <v>46001</v>
      </c>
      <c r="O295" t="s">
        <v>160</v>
      </c>
      <c r="P295" t="s">
        <v>161</v>
      </c>
      <c r="Q295">
        <v>14250</v>
      </c>
      <c r="R295">
        <v>5</v>
      </c>
      <c r="S295">
        <v>71250</v>
      </c>
      <c r="T295">
        <v>0</v>
      </c>
      <c r="U295">
        <v>0</v>
      </c>
      <c r="V295">
        <v>5</v>
      </c>
      <c r="W295">
        <v>71250</v>
      </c>
      <c r="X295">
        <v>750</v>
      </c>
      <c r="Y295">
        <v>1000</v>
      </c>
      <c r="Z295">
        <v>0</v>
      </c>
      <c r="AA295">
        <v>0</v>
      </c>
      <c r="AB295">
        <v>0</v>
      </c>
      <c r="AC295">
        <v>1750</v>
      </c>
    </row>
    <row r="296" spans="1:29">
      <c r="A296">
        <v>558</v>
      </c>
      <c r="B296" t="s">
        <v>149</v>
      </c>
      <c r="C296">
        <v>988</v>
      </c>
      <c r="D296" t="s">
        <v>19</v>
      </c>
      <c r="E296" t="str">
        <f t="shared" si="6"/>
        <v>00988</v>
      </c>
      <c r="F296" t="s">
        <v>15</v>
      </c>
      <c r="G296" t="s">
        <v>193</v>
      </c>
      <c r="H296" t="s">
        <v>151</v>
      </c>
      <c r="I296" t="s">
        <v>210</v>
      </c>
      <c r="J296" t="s">
        <v>152</v>
      </c>
      <c r="K296" t="s">
        <v>153</v>
      </c>
      <c r="L296">
        <v>251200275</v>
      </c>
      <c r="M296" s="84">
        <v>46001</v>
      </c>
      <c r="N296" s="84">
        <v>46001</v>
      </c>
      <c r="O296" t="s">
        <v>250</v>
      </c>
      <c r="P296" t="s">
        <v>251</v>
      </c>
      <c r="Q296">
        <v>30930</v>
      </c>
      <c r="R296">
        <v>2</v>
      </c>
      <c r="S296">
        <v>61860</v>
      </c>
      <c r="T296">
        <v>0</v>
      </c>
      <c r="U296">
        <v>0</v>
      </c>
      <c r="V296">
        <v>2</v>
      </c>
      <c r="W296">
        <v>61860</v>
      </c>
      <c r="X296">
        <v>1856</v>
      </c>
      <c r="Y296">
        <v>2474</v>
      </c>
      <c r="Z296">
        <v>1238</v>
      </c>
      <c r="AA296">
        <v>3094</v>
      </c>
      <c r="AB296">
        <v>200</v>
      </c>
      <c r="AC296">
        <v>8862</v>
      </c>
    </row>
    <row r="297" spans="1:29">
      <c r="A297">
        <v>559</v>
      </c>
      <c r="B297" t="s">
        <v>149</v>
      </c>
      <c r="C297">
        <v>988</v>
      </c>
      <c r="D297" t="s">
        <v>19</v>
      </c>
      <c r="E297" t="str">
        <f t="shared" si="6"/>
        <v>00988</v>
      </c>
      <c r="F297" t="s">
        <v>15</v>
      </c>
      <c r="G297" t="s">
        <v>193</v>
      </c>
      <c r="H297" t="s">
        <v>151</v>
      </c>
      <c r="I297" t="s">
        <v>4</v>
      </c>
      <c r="J297" t="s">
        <v>152</v>
      </c>
      <c r="K297" t="s">
        <v>153</v>
      </c>
      <c r="L297">
        <v>251200275</v>
      </c>
      <c r="M297" s="84">
        <v>46001</v>
      </c>
      <c r="N297" s="84">
        <v>46001</v>
      </c>
      <c r="O297" t="s">
        <v>179</v>
      </c>
      <c r="P297" t="s">
        <v>180</v>
      </c>
      <c r="Q297">
        <v>14250</v>
      </c>
      <c r="R297">
        <v>5</v>
      </c>
      <c r="S297">
        <v>71250</v>
      </c>
      <c r="T297">
        <v>0</v>
      </c>
      <c r="U297">
        <v>0</v>
      </c>
      <c r="V297">
        <v>5</v>
      </c>
      <c r="W297">
        <v>71250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>
        <v>565</v>
      </c>
      <c r="B298" t="s">
        <v>149</v>
      </c>
      <c r="C298">
        <v>387</v>
      </c>
      <c r="D298" t="s">
        <v>109</v>
      </c>
      <c r="E298" t="str">
        <f t="shared" si="6"/>
        <v>00387</v>
      </c>
      <c r="F298" t="s">
        <v>103</v>
      </c>
      <c r="G298" t="s">
        <v>167</v>
      </c>
      <c r="H298" t="s">
        <v>151</v>
      </c>
      <c r="I298" t="s">
        <v>4</v>
      </c>
      <c r="J298" t="s">
        <v>152</v>
      </c>
      <c r="K298" t="s">
        <v>153</v>
      </c>
      <c r="L298">
        <v>251200280</v>
      </c>
      <c r="M298" s="84">
        <v>46001</v>
      </c>
      <c r="N298" s="84">
        <v>46001</v>
      </c>
      <c r="O298" t="s">
        <v>160</v>
      </c>
      <c r="P298" t="s">
        <v>161</v>
      </c>
      <c r="Q298">
        <v>14250</v>
      </c>
      <c r="R298">
        <v>20</v>
      </c>
      <c r="S298">
        <v>285000</v>
      </c>
      <c r="T298">
        <v>0</v>
      </c>
      <c r="U298">
        <v>0</v>
      </c>
      <c r="V298">
        <v>20</v>
      </c>
      <c r="W298">
        <v>285000</v>
      </c>
      <c r="X298">
        <v>3000</v>
      </c>
      <c r="Y298">
        <v>4000</v>
      </c>
      <c r="Z298">
        <v>0</v>
      </c>
      <c r="AA298">
        <v>0</v>
      </c>
      <c r="AB298">
        <v>0</v>
      </c>
      <c r="AC298">
        <v>7000</v>
      </c>
    </row>
    <row r="299" spans="1:29">
      <c r="A299">
        <v>566</v>
      </c>
      <c r="B299" t="s">
        <v>149</v>
      </c>
      <c r="C299">
        <v>387</v>
      </c>
      <c r="D299" t="s">
        <v>109</v>
      </c>
      <c r="E299" t="str">
        <f t="shared" si="6"/>
        <v>00387</v>
      </c>
      <c r="F299" t="s">
        <v>103</v>
      </c>
      <c r="G299" t="s">
        <v>167</v>
      </c>
      <c r="H299" t="s">
        <v>151</v>
      </c>
      <c r="I299" t="s">
        <v>231</v>
      </c>
      <c r="J299" t="s">
        <v>152</v>
      </c>
      <c r="K299" t="s">
        <v>153</v>
      </c>
      <c r="L299">
        <v>251200280</v>
      </c>
      <c r="M299" s="84">
        <v>46001</v>
      </c>
      <c r="N299" s="84">
        <v>46001</v>
      </c>
      <c r="O299" t="s">
        <v>234</v>
      </c>
      <c r="P299" t="s">
        <v>235</v>
      </c>
      <c r="Q299">
        <v>10432</v>
      </c>
      <c r="R299">
        <v>10</v>
      </c>
      <c r="S299">
        <v>104320</v>
      </c>
      <c r="T299">
        <v>0</v>
      </c>
      <c r="U299">
        <v>0</v>
      </c>
      <c r="V299">
        <v>10</v>
      </c>
      <c r="W299">
        <v>104320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>
      <c r="A300">
        <v>568</v>
      </c>
      <c r="B300" t="s">
        <v>149</v>
      </c>
      <c r="C300">
        <v>1470</v>
      </c>
      <c r="D300" t="s">
        <v>12</v>
      </c>
      <c r="E300" t="str">
        <f t="shared" si="6"/>
        <v>01470</v>
      </c>
      <c r="F300" t="s">
        <v>10</v>
      </c>
      <c r="G300" t="s">
        <v>172</v>
      </c>
      <c r="H300" t="s">
        <v>157</v>
      </c>
      <c r="I300" t="s">
        <v>5</v>
      </c>
      <c r="J300" t="s">
        <v>152</v>
      </c>
      <c r="K300" t="s">
        <v>174</v>
      </c>
      <c r="L300">
        <v>251200282</v>
      </c>
      <c r="M300" s="84">
        <v>46001</v>
      </c>
      <c r="N300" s="84">
        <v>46001</v>
      </c>
      <c r="O300" t="s">
        <v>191</v>
      </c>
      <c r="P300" t="s">
        <v>192</v>
      </c>
      <c r="Q300">
        <v>11700</v>
      </c>
      <c r="R300">
        <v>20</v>
      </c>
      <c r="S300">
        <v>234000</v>
      </c>
      <c r="T300">
        <v>0</v>
      </c>
      <c r="U300">
        <v>0</v>
      </c>
      <c r="V300">
        <v>20</v>
      </c>
      <c r="W300">
        <v>234000</v>
      </c>
      <c r="X300">
        <v>3000</v>
      </c>
      <c r="Y300">
        <v>3000</v>
      </c>
      <c r="Z300">
        <v>0</v>
      </c>
      <c r="AA300">
        <v>0</v>
      </c>
      <c r="AB300">
        <v>0</v>
      </c>
      <c r="AC300">
        <v>6000</v>
      </c>
    </row>
    <row r="301" spans="1:29">
      <c r="A301">
        <v>575</v>
      </c>
      <c r="B301" t="s">
        <v>149</v>
      </c>
      <c r="C301">
        <v>1112</v>
      </c>
      <c r="D301" t="s">
        <v>44</v>
      </c>
      <c r="E301" t="str">
        <f t="shared" si="6"/>
        <v>01112</v>
      </c>
      <c r="F301" t="s">
        <v>43</v>
      </c>
      <c r="G301" t="s">
        <v>150</v>
      </c>
      <c r="H301" t="s">
        <v>151</v>
      </c>
      <c r="I301" t="s">
        <v>5</v>
      </c>
      <c r="J301" t="s">
        <v>152</v>
      </c>
      <c r="K301" t="s">
        <v>153</v>
      </c>
      <c r="L301">
        <v>251200288</v>
      </c>
      <c r="M301" s="84">
        <v>46002</v>
      </c>
      <c r="N301" s="84">
        <v>46002</v>
      </c>
      <c r="O301" t="s">
        <v>165</v>
      </c>
      <c r="P301" t="s">
        <v>166</v>
      </c>
      <c r="Q301">
        <v>8500</v>
      </c>
      <c r="R301">
        <v>24</v>
      </c>
      <c r="S301">
        <v>204000</v>
      </c>
      <c r="T301">
        <v>0</v>
      </c>
      <c r="U301">
        <v>0</v>
      </c>
      <c r="V301">
        <v>24</v>
      </c>
      <c r="W301">
        <v>204000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 s="85" customFormat="1" spans="1:29">
      <c r="A302" s="85">
        <v>586</v>
      </c>
      <c r="B302" s="85" t="s">
        <v>149</v>
      </c>
      <c r="C302" s="85">
        <v>1572</v>
      </c>
      <c r="D302" s="85" t="s">
        <v>284</v>
      </c>
      <c r="E302" s="85" t="str">
        <f t="shared" si="6"/>
        <v>01572</v>
      </c>
      <c r="F302" s="85" t="s">
        <v>95</v>
      </c>
      <c r="G302" s="85" t="s">
        <v>187</v>
      </c>
      <c r="H302" s="85" t="s">
        <v>188</v>
      </c>
      <c r="I302" s="85" t="s">
        <v>173</v>
      </c>
      <c r="J302" s="85" t="s">
        <v>152</v>
      </c>
      <c r="K302" s="85" t="s">
        <v>159</v>
      </c>
      <c r="L302" s="85">
        <v>251200293</v>
      </c>
      <c r="M302" s="86">
        <v>46002</v>
      </c>
      <c r="N302" s="86">
        <v>46002</v>
      </c>
      <c r="O302" s="85" t="s">
        <v>175</v>
      </c>
      <c r="P302" s="85" t="s">
        <v>176</v>
      </c>
      <c r="Q302" s="85">
        <v>4040</v>
      </c>
      <c r="R302" s="85">
        <v>5</v>
      </c>
      <c r="S302" s="85">
        <v>20200</v>
      </c>
      <c r="T302" s="85">
        <v>0</v>
      </c>
      <c r="U302" s="85">
        <v>0</v>
      </c>
      <c r="V302" s="85">
        <v>5</v>
      </c>
      <c r="W302" s="85">
        <v>20200</v>
      </c>
      <c r="X302" s="85">
        <v>0</v>
      </c>
      <c r="Y302" s="85">
        <v>0</v>
      </c>
      <c r="Z302" s="85">
        <v>0</v>
      </c>
      <c r="AA302" s="85">
        <v>0</v>
      </c>
      <c r="AB302" s="85">
        <v>0</v>
      </c>
      <c r="AC302" s="85">
        <v>0</v>
      </c>
    </row>
    <row r="303" s="85" customFormat="1" spans="1:29">
      <c r="A303" s="85">
        <v>587</v>
      </c>
      <c r="B303" s="85" t="s">
        <v>149</v>
      </c>
      <c r="C303" s="85">
        <v>1572</v>
      </c>
      <c r="D303" s="85" t="s">
        <v>284</v>
      </c>
      <c r="E303" s="85" t="str">
        <f t="shared" si="6"/>
        <v>01572</v>
      </c>
      <c r="F303" s="85" t="s">
        <v>95</v>
      </c>
      <c r="G303" s="85" t="s">
        <v>187</v>
      </c>
      <c r="H303" s="85" t="s">
        <v>188</v>
      </c>
      <c r="I303" s="85" t="s">
        <v>173</v>
      </c>
      <c r="J303" s="85" t="s">
        <v>152</v>
      </c>
      <c r="K303" s="85" t="s">
        <v>159</v>
      </c>
      <c r="L303" s="85">
        <v>251200293</v>
      </c>
      <c r="M303" s="86">
        <v>46002</v>
      </c>
      <c r="N303" s="86">
        <v>46002</v>
      </c>
      <c r="O303" s="85" t="s">
        <v>285</v>
      </c>
      <c r="P303" s="85" t="s">
        <v>286</v>
      </c>
      <c r="Q303" s="85">
        <v>3388</v>
      </c>
      <c r="R303" s="85">
        <v>7</v>
      </c>
      <c r="S303" s="85">
        <v>23716</v>
      </c>
      <c r="T303" s="85">
        <v>0</v>
      </c>
      <c r="U303" s="85">
        <v>0</v>
      </c>
      <c r="V303" s="85">
        <v>7</v>
      </c>
      <c r="W303" s="85">
        <v>23716</v>
      </c>
      <c r="X303" s="85">
        <v>0</v>
      </c>
      <c r="Y303" s="85">
        <v>0</v>
      </c>
      <c r="Z303" s="85">
        <v>0</v>
      </c>
      <c r="AA303" s="85">
        <v>0</v>
      </c>
      <c r="AB303" s="85">
        <v>0</v>
      </c>
      <c r="AC303" s="85">
        <v>0</v>
      </c>
    </row>
    <row r="304" s="85" customFormat="1" spans="1:29">
      <c r="A304" s="85">
        <v>588</v>
      </c>
      <c r="B304" s="85" t="s">
        <v>149</v>
      </c>
      <c r="C304" s="85">
        <v>1572</v>
      </c>
      <c r="D304" s="85" t="s">
        <v>284</v>
      </c>
      <c r="E304" s="85" t="str">
        <f t="shared" si="6"/>
        <v>01572</v>
      </c>
      <c r="F304" s="85" t="s">
        <v>95</v>
      </c>
      <c r="G304" s="85" t="s">
        <v>187</v>
      </c>
      <c r="H304" s="85" t="s">
        <v>188</v>
      </c>
      <c r="I304" s="85" t="s">
        <v>173</v>
      </c>
      <c r="J304" s="85" t="s">
        <v>152</v>
      </c>
      <c r="K304" s="85" t="s">
        <v>159</v>
      </c>
      <c r="L304" s="85">
        <v>251200293</v>
      </c>
      <c r="M304" s="86">
        <v>46002</v>
      </c>
      <c r="N304" s="86">
        <v>46002</v>
      </c>
      <c r="O304" s="85" t="s">
        <v>287</v>
      </c>
      <c r="P304" s="85" t="s">
        <v>288</v>
      </c>
      <c r="Q304" s="85">
        <v>5866</v>
      </c>
      <c r="R304" s="85">
        <v>3</v>
      </c>
      <c r="S304" s="85">
        <v>17598</v>
      </c>
      <c r="T304" s="85">
        <v>0</v>
      </c>
      <c r="U304" s="85">
        <v>0</v>
      </c>
      <c r="V304" s="85">
        <v>3</v>
      </c>
      <c r="W304" s="85">
        <v>17598</v>
      </c>
      <c r="X304" s="85">
        <v>0</v>
      </c>
      <c r="Y304" s="85">
        <v>0</v>
      </c>
      <c r="Z304" s="85">
        <v>0</v>
      </c>
      <c r="AA304" s="85">
        <v>0</v>
      </c>
      <c r="AB304" s="85">
        <v>0</v>
      </c>
      <c r="AC304" s="85">
        <v>0</v>
      </c>
    </row>
    <row r="305" spans="1:29">
      <c r="A305">
        <v>589</v>
      </c>
      <c r="B305" t="s">
        <v>149</v>
      </c>
      <c r="C305">
        <v>1581</v>
      </c>
      <c r="D305" t="s">
        <v>96</v>
      </c>
      <c r="E305" t="str">
        <f t="shared" si="6"/>
        <v>01581</v>
      </c>
      <c r="F305" t="s">
        <v>95</v>
      </c>
      <c r="G305" t="s">
        <v>187</v>
      </c>
      <c r="H305" t="s">
        <v>188</v>
      </c>
      <c r="I305" t="s">
        <v>4</v>
      </c>
      <c r="J305" t="s">
        <v>152</v>
      </c>
      <c r="K305" t="s">
        <v>159</v>
      </c>
      <c r="L305">
        <v>251200294</v>
      </c>
      <c r="M305" s="84">
        <v>46002</v>
      </c>
      <c r="N305" s="84">
        <v>46002</v>
      </c>
      <c r="O305" t="s">
        <v>221</v>
      </c>
      <c r="P305" t="s">
        <v>222</v>
      </c>
      <c r="Q305">
        <v>13300</v>
      </c>
      <c r="R305">
        <v>5</v>
      </c>
      <c r="S305">
        <v>66500</v>
      </c>
      <c r="T305">
        <v>0</v>
      </c>
      <c r="U305">
        <v>0</v>
      </c>
      <c r="V305">
        <v>5</v>
      </c>
      <c r="W305">
        <v>66500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>
      <c r="A306">
        <v>590</v>
      </c>
      <c r="B306" t="s">
        <v>149</v>
      </c>
      <c r="C306">
        <v>471</v>
      </c>
      <c r="D306" t="s">
        <v>25</v>
      </c>
      <c r="E306" t="str">
        <f t="shared" si="6"/>
        <v>00471</v>
      </c>
      <c r="F306" t="s">
        <v>20</v>
      </c>
      <c r="G306" t="s">
        <v>193</v>
      </c>
      <c r="H306" t="s">
        <v>151</v>
      </c>
      <c r="I306" t="s">
        <v>4</v>
      </c>
      <c r="J306" t="s">
        <v>152</v>
      </c>
      <c r="K306" t="s">
        <v>236</v>
      </c>
      <c r="L306">
        <v>251200295</v>
      </c>
      <c r="M306" s="84">
        <v>46002</v>
      </c>
      <c r="N306" s="84">
        <v>46002</v>
      </c>
      <c r="O306" t="s">
        <v>179</v>
      </c>
      <c r="P306" t="s">
        <v>180</v>
      </c>
      <c r="Q306">
        <v>14250</v>
      </c>
      <c r="R306">
        <v>15</v>
      </c>
      <c r="S306">
        <v>213750</v>
      </c>
      <c r="T306">
        <v>0</v>
      </c>
      <c r="U306">
        <v>0</v>
      </c>
      <c r="V306">
        <v>15</v>
      </c>
      <c r="W306">
        <v>213750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591</v>
      </c>
      <c r="B307" t="s">
        <v>149</v>
      </c>
      <c r="C307">
        <v>471</v>
      </c>
      <c r="D307" t="s">
        <v>25</v>
      </c>
      <c r="E307" t="str">
        <f t="shared" si="6"/>
        <v>00471</v>
      </c>
      <c r="F307" t="s">
        <v>20</v>
      </c>
      <c r="G307" t="s">
        <v>193</v>
      </c>
      <c r="H307" t="s">
        <v>151</v>
      </c>
      <c r="I307" t="s">
        <v>4</v>
      </c>
      <c r="J307" t="s">
        <v>152</v>
      </c>
      <c r="K307" t="s">
        <v>236</v>
      </c>
      <c r="L307">
        <v>251200295</v>
      </c>
      <c r="M307" s="84">
        <v>46002</v>
      </c>
      <c r="N307" s="84">
        <v>46002</v>
      </c>
      <c r="O307" t="s">
        <v>162</v>
      </c>
      <c r="P307" t="s">
        <v>163</v>
      </c>
      <c r="Q307">
        <v>14250</v>
      </c>
      <c r="R307">
        <v>10</v>
      </c>
      <c r="S307">
        <v>142500</v>
      </c>
      <c r="T307">
        <v>0</v>
      </c>
      <c r="U307">
        <v>0</v>
      </c>
      <c r="V307">
        <v>10</v>
      </c>
      <c r="W307">
        <v>142500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>
      <c r="A308">
        <v>592</v>
      </c>
      <c r="B308" t="s">
        <v>149</v>
      </c>
      <c r="C308">
        <v>471</v>
      </c>
      <c r="D308" t="s">
        <v>25</v>
      </c>
      <c r="E308" t="str">
        <f t="shared" si="6"/>
        <v>00471</v>
      </c>
      <c r="F308" t="s">
        <v>20</v>
      </c>
      <c r="G308" t="s">
        <v>193</v>
      </c>
      <c r="H308" t="s">
        <v>151</v>
      </c>
      <c r="I308" t="s">
        <v>4</v>
      </c>
      <c r="J308" t="s">
        <v>152</v>
      </c>
      <c r="K308" t="s">
        <v>236</v>
      </c>
      <c r="L308">
        <v>251200295</v>
      </c>
      <c r="M308" s="84">
        <v>46002</v>
      </c>
      <c r="N308" s="84">
        <v>46002</v>
      </c>
      <c r="O308" t="s">
        <v>160</v>
      </c>
      <c r="P308" t="s">
        <v>161</v>
      </c>
      <c r="Q308">
        <v>14250</v>
      </c>
      <c r="R308">
        <v>10</v>
      </c>
      <c r="S308">
        <v>142500</v>
      </c>
      <c r="T308">
        <v>0</v>
      </c>
      <c r="U308">
        <v>0</v>
      </c>
      <c r="V308">
        <v>10</v>
      </c>
      <c r="W308">
        <v>142500</v>
      </c>
      <c r="X308">
        <v>1500</v>
      </c>
      <c r="Y308">
        <v>2000</v>
      </c>
      <c r="Z308">
        <v>0</v>
      </c>
      <c r="AA308">
        <v>0</v>
      </c>
      <c r="AB308">
        <v>0</v>
      </c>
      <c r="AC308">
        <v>3500</v>
      </c>
    </row>
    <row r="309" spans="1:29">
      <c r="A309">
        <v>593</v>
      </c>
      <c r="B309" t="s">
        <v>149</v>
      </c>
      <c r="C309">
        <v>471</v>
      </c>
      <c r="D309" t="s">
        <v>25</v>
      </c>
      <c r="E309" t="str">
        <f t="shared" si="6"/>
        <v>00471</v>
      </c>
      <c r="F309" t="s">
        <v>20</v>
      </c>
      <c r="G309" t="s">
        <v>193</v>
      </c>
      <c r="H309" t="s">
        <v>151</v>
      </c>
      <c r="I309" t="s">
        <v>5</v>
      </c>
      <c r="J309" t="s">
        <v>152</v>
      </c>
      <c r="K309" t="s">
        <v>236</v>
      </c>
      <c r="L309">
        <v>251200295</v>
      </c>
      <c r="M309" s="84">
        <v>46002</v>
      </c>
      <c r="N309" s="84">
        <v>46002</v>
      </c>
      <c r="O309" t="s">
        <v>191</v>
      </c>
      <c r="P309" t="s">
        <v>192</v>
      </c>
      <c r="Q309">
        <v>11700</v>
      </c>
      <c r="R309">
        <v>12</v>
      </c>
      <c r="S309">
        <v>140400</v>
      </c>
      <c r="T309">
        <v>0</v>
      </c>
      <c r="U309">
        <v>0</v>
      </c>
      <c r="V309">
        <v>12</v>
      </c>
      <c r="W309">
        <v>140400</v>
      </c>
      <c r="X309">
        <v>1800</v>
      </c>
      <c r="Y309">
        <v>1800</v>
      </c>
      <c r="Z309">
        <v>0</v>
      </c>
      <c r="AA309">
        <v>0</v>
      </c>
      <c r="AB309">
        <v>0</v>
      </c>
      <c r="AC309">
        <v>3600</v>
      </c>
    </row>
    <row r="310" spans="1:29">
      <c r="A310">
        <v>594</v>
      </c>
      <c r="B310" t="s">
        <v>149</v>
      </c>
      <c r="C310">
        <v>471</v>
      </c>
      <c r="D310" t="s">
        <v>25</v>
      </c>
      <c r="E310" t="str">
        <f t="shared" si="6"/>
        <v>00471</v>
      </c>
      <c r="F310" t="s">
        <v>20</v>
      </c>
      <c r="G310" t="s">
        <v>193</v>
      </c>
      <c r="H310" t="s">
        <v>151</v>
      </c>
      <c r="I310" t="s">
        <v>4</v>
      </c>
      <c r="J310" t="s">
        <v>152</v>
      </c>
      <c r="K310" t="s">
        <v>236</v>
      </c>
      <c r="L310">
        <v>251200295</v>
      </c>
      <c r="M310" s="84">
        <v>46002</v>
      </c>
      <c r="N310" s="84">
        <v>46002</v>
      </c>
      <c r="O310" t="s">
        <v>206</v>
      </c>
      <c r="P310" t="s">
        <v>207</v>
      </c>
      <c r="Q310">
        <v>14250</v>
      </c>
      <c r="R310">
        <v>5</v>
      </c>
      <c r="S310">
        <v>71250</v>
      </c>
      <c r="T310">
        <v>0</v>
      </c>
      <c r="U310">
        <v>0</v>
      </c>
      <c r="V310">
        <v>5</v>
      </c>
      <c r="W310">
        <v>71250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>
        <v>595</v>
      </c>
      <c r="B311" t="s">
        <v>149</v>
      </c>
      <c r="C311">
        <v>842</v>
      </c>
      <c r="D311" t="s">
        <v>26</v>
      </c>
      <c r="E311" t="str">
        <f t="shared" si="6"/>
        <v>00842</v>
      </c>
      <c r="F311" t="s">
        <v>20</v>
      </c>
      <c r="G311" t="s">
        <v>193</v>
      </c>
      <c r="H311" t="s">
        <v>151</v>
      </c>
      <c r="I311" t="s">
        <v>4</v>
      </c>
      <c r="J311" t="s">
        <v>152</v>
      </c>
      <c r="K311" t="s">
        <v>236</v>
      </c>
      <c r="L311">
        <v>251200296</v>
      </c>
      <c r="M311" s="84">
        <v>46002</v>
      </c>
      <c r="N311" s="84">
        <v>46002</v>
      </c>
      <c r="O311" t="s">
        <v>177</v>
      </c>
      <c r="P311" t="s">
        <v>178</v>
      </c>
      <c r="Q311">
        <v>14250</v>
      </c>
      <c r="R311">
        <v>25</v>
      </c>
      <c r="S311">
        <v>356250</v>
      </c>
      <c r="T311">
        <v>0</v>
      </c>
      <c r="U311">
        <v>0</v>
      </c>
      <c r="V311">
        <v>25</v>
      </c>
      <c r="W311">
        <v>356250</v>
      </c>
      <c r="X311">
        <v>3750</v>
      </c>
      <c r="Y311">
        <v>5000</v>
      </c>
      <c r="Z311">
        <v>0</v>
      </c>
      <c r="AA311">
        <v>0</v>
      </c>
      <c r="AB311">
        <v>0</v>
      </c>
      <c r="AC311">
        <v>8750</v>
      </c>
    </row>
    <row r="312" spans="1:29">
      <c r="A312">
        <v>596</v>
      </c>
      <c r="B312" t="s">
        <v>149</v>
      </c>
      <c r="C312">
        <v>842</v>
      </c>
      <c r="D312" t="s">
        <v>26</v>
      </c>
      <c r="E312" t="str">
        <f t="shared" si="6"/>
        <v>00842</v>
      </c>
      <c r="F312" t="s">
        <v>20</v>
      </c>
      <c r="G312" t="s">
        <v>193</v>
      </c>
      <c r="H312" t="s">
        <v>151</v>
      </c>
      <c r="I312" t="s">
        <v>5</v>
      </c>
      <c r="J312" t="s">
        <v>152</v>
      </c>
      <c r="K312" t="s">
        <v>236</v>
      </c>
      <c r="L312">
        <v>251200296</v>
      </c>
      <c r="M312" s="84">
        <v>46002</v>
      </c>
      <c r="N312" s="84">
        <v>46002</v>
      </c>
      <c r="O312" t="s">
        <v>196</v>
      </c>
      <c r="P312" t="s">
        <v>197</v>
      </c>
      <c r="Q312">
        <v>11700</v>
      </c>
      <c r="R312">
        <v>8</v>
      </c>
      <c r="S312">
        <v>93600</v>
      </c>
      <c r="T312">
        <v>0</v>
      </c>
      <c r="U312">
        <v>0</v>
      </c>
      <c r="V312">
        <v>8</v>
      </c>
      <c r="W312">
        <v>93600</v>
      </c>
      <c r="X312">
        <v>1200</v>
      </c>
      <c r="Y312">
        <v>1200</v>
      </c>
      <c r="Z312">
        <v>0</v>
      </c>
      <c r="AA312">
        <v>0</v>
      </c>
      <c r="AB312">
        <v>0</v>
      </c>
      <c r="AC312">
        <v>2400</v>
      </c>
    </row>
    <row r="313" spans="1:29">
      <c r="A313">
        <v>597</v>
      </c>
      <c r="B313" t="s">
        <v>149</v>
      </c>
      <c r="C313">
        <v>1368</v>
      </c>
      <c r="D313" t="s">
        <v>22</v>
      </c>
      <c r="E313" t="str">
        <f t="shared" si="6"/>
        <v>01368</v>
      </c>
      <c r="F313" t="s">
        <v>20</v>
      </c>
      <c r="G313" t="s">
        <v>193</v>
      </c>
      <c r="H313" t="s">
        <v>151</v>
      </c>
      <c r="I313" t="s">
        <v>4</v>
      </c>
      <c r="J313" t="s">
        <v>152</v>
      </c>
      <c r="K313" t="s">
        <v>236</v>
      </c>
      <c r="L313">
        <v>251200297</v>
      </c>
      <c r="M313" s="84">
        <v>46002</v>
      </c>
      <c r="N313" s="84">
        <v>46002</v>
      </c>
      <c r="O313" t="s">
        <v>160</v>
      </c>
      <c r="P313" t="s">
        <v>161</v>
      </c>
      <c r="Q313">
        <v>14250</v>
      </c>
      <c r="R313">
        <v>5</v>
      </c>
      <c r="S313">
        <v>71250</v>
      </c>
      <c r="T313">
        <v>0</v>
      </c>
      <c r="U313">
        <v>0</v>
      </c>
      <c r="V313">
        <v>5</v>
      </c>
      <c r="W313">
        <v>71250</v>
      </c>
      <c r="X313">
        <v>750</v>
      </c>
      <c r="Y313">
        <v>1000</v>
      </c>
      <c r="Z313">
        <v>0</v>
      </c>
      <c r="AA313">
        <v>0</v>
      </c>
      <c r="AB313">
        <v>0</v>
      </c>
      <c r="AC313">
        <v>1750</v>
      </c>
    </row>
    <row r="314" spans="1:29">
      <c r="A314">
        <v>599</v>
      </c>
      <c r="B314" t="s">
        <v>149</v>
      </c>
      <c r="C314">
        <v>1401</v>
      </c>
      <c r="D314" t="s">
        <v>29</v>
      </c>
      <c r="E314" t="str">
        <f t="shared" si="6"/>
        <v>01401</v>
      </c>
      <c r="F314" t="s">
        <v>28</v>
      </c>
      <c r="G314" t="s">
        <v>164</v>
      </c>
      <c r="H314" t="s">
        <v>151</v>
      </c>
      <c r="I314" t="s">
        <v>4</v>
      </c>
      <c r="J314" t="s">
        <v>152</v>
      </c>
      <c r="K314" t="s">
        <v>153</v>
      </c>
      <c r="L314">
        <v>251200299</v>
      </c>
      <c r="M314" s="84">
        <v>46002</v>
      </c>
      <c r="N314" s="84">
        <v>46002</v>
      </c>
      <c r="O314" t="s">
        <v>267</v>
      </c>
      <c r="P314" t="s">
        <v>268</v>
      </c>
      <c r="Q314">
        <v>14250</v>
      </c>
      <c r="R314">
        <v>12</v>
      </c>
      <c r="S314">
        <v>171000</v>
      </c>
      <c r="T314">
        <v>0</v>
      </c>
      <c r="U314">
        <v>0</v>
      </c>
      <c r="V314">
        <v>12</v>
      </c>
      <c r="W314">
        <v>171000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>
      <c r="A315">
        <v>600</v>
      </c>
      <c r="B315" t="s">
        <v>149</v>
      </c>
      <c r="C315">
        <v>1401</v>
      </c>
      <c r="D315" t="s">
        <v>29</v>
      </c>
      <c r="E315" t="str">
        <f t="shared" si="6"/>
        <v>01401</v>
      </c>
      <c r="F315" t="s">
        <v>28</v>
      </c>
      <c r="G315" t="s">
        <v>164</v>
      </c>
      <c r="H315" t="s">
        <v>151</v>
      </c>
      <c r="I315" t="s">
        <v>5</v>
      </c>
      <c r="J315" t="s">
        <v>152</v>
      </c>
      <c r="K315" t="s">
        <v>153</v>
      </c>
      <c r="L315">
        <v>251200299</v>
      </c>
      <c r="M315" s="84">
        <v>46002</v>
      </c>
      <c r="N315" s="84">
        <v>46002</v>
      </c>
      <c r="O315" t="s">
        <v>196</v>
      </c>
      <c r="P315" t="s">
        <v>197</v>
      </c>
      <c r="Q315">
        <v>11700</v>
      </c>
      <c r="R315">
        <v>12</v>
      </c>
      <c r="S315">
        <v>140400</v>
      </c>
      <c r="T315">
        <v>0</v>
      </c>
      <c r="U315">
        <v>0</v>
      </c>
      <c r="V315">
        <v>12</v>
      </c>
      <c r="W315">
        <v>140400</v>
      </c>
      <c r="X315">
        <v>1800</v>
      </c>
      <c r="Y315">
        <v>1800</v>
      </c>
      <c r="Z315">
        <v>0</v>
      </c>
      <c r="AA315">
        <v>0</v>
      </c>
      <c r="AB315">
        <v>0</v>
      </c>
      <c r="AC315">
        <v>3600</v>
      </c>
    </row>
    <row r="316" spans="1:29">
      <c r="A316">
        <v>601</v>
      </c>
      <c r="B316" t="s">
        <v>149</v>
      </c>
      <c r="C316">
        <v>1401</v>
      </c>
      <c r="D316" t="s">
        <v>29</v>
      </c>
      <c r="E316" t="str">
        <f t="shared" si="6"/>
        <v>01401</v>
      </c>
      <c r="F316" t="s">
        <v>28</v>
      </c>
      <c r="G316" t="s">
        <v>164</v>
      </c>
      <c r="H316" t="s">
        <v>151</v>
      </c>
      <c r="I316" t="s">
        <v>5</v>
      </c>
      <c r="J316" t="s">
        <v>152</v>
      </c>
      <c r="K316" t="s">
        <v>153</v>
      </c>
      <c r="L316">
        <v>251200299</v>
      </c>
      <c r="M316" s="84">
        <v>46002</v>
      </c>
      <c r="N316" s="84">
        <v>46002</v>
      </c>
      <c r="O316" t="s">
        <v>191</v>
      </c>
      <c r="P316" t="s">
        <v>192</v>
      </c>
      <c r="Q316">
        <v>11700</v>
      </c>
      <c r="R316">
        <v>20</v>
      </c>
      <c r="S316">
        <v>234000</v>
      </c>
      <c r="T316">
        <v>0</v>
      </c>
      <c r="U316">
        <v>0</v>
      </c>
      <c r="V316">
        <v>20</v>
      </c>
      <c r="W316">
        <v>234000</v>
      </c>
      <c r="X316">
        <v>3000</v>
      </c>
      <c r="Y316">
        <v>3000</v>
      </c>
      <c r="Z316">
        <v>0</v>
      </c>
      <c r="AA316">
        <v>0</v>
      </c>
      <c r="AB316">
        <v>0</v>
      </c>
      <c r="AC316">
        <v>6000</v>
      </c>
    </row>
    <row r="317" spans="1:29">
      <c r="A317">
        <v>602</v>
      </c>
      <c r="B317" t="s">
        <v>149</v>
      </c>
      <c r="C317">
        <v>1400</v>
      </c>
      <c r="D317" t="s">
        <v>289</v>
      </c>
      <c r="E317" t="str">
        <f t="shared" si="6"/>
        <v>01400</v>
      </c>
      <c r="F317" t="s">
        <v>28</v>
      </c>
      <c r="G317" t="s">
        <v>164</v>
      </c>
      <c r="H317" t="s">
        <v>151</v>
      </c>
      <c r="I317" t="s">
        <v>210</v>
      </c>
      <c r="J317" t="s">
        <v>152</v>
      </c>
      <c r="K317" t="s">
        <v>153</v>
      </c>
      <c r="L317">
        <v>251200300</v>
      </c>
      <c r="M317" s="84">
        <v>46002</v>
      </c>
      <c r="N317" s="84">
        <v>46002</v>
      </c>
      <c r="O317" t="s">
        <v>213</v>
      </c>
      <c r="P317" t="s">
        <v>214</v>
      </c>
      <c r="Q317">
        <v>23802</v>
      </c>
      <c r="R317">
        <v>5</v>
      </c>
      <c r="S317">
        <v>119010</v>
      </c>
      <c r="T317">
        <v>0</v>
      </c>
      <c r="U317">
        <v>0</v>
      </c>
      <c r="V317">
        <v>5</v>
      </c>
      <c r="W317">
        <v>119010</v>
      </c>
      <c r="X317">
        <v>2380</v>
      </c>
      <c r="Y317">
        <v>2380</v>
      </c>
      <c r="Z317">
        <v>5000</v>
      </c>
      <c r="AA317">
        <v>0</v>
      </c>
      <c r="AB317">
        <v>500</v>
      </c>
      <c r="AC317">
        <v>10260</v>
      </c>
    </row>
    <row r="318" spans="1:29">
      <c r="A318">
        <v>603</v>
      </c>
      <c r="B318" t="s">
        <v>149</v>
      </c>
      <c r="C318">
        <v>336</v>
      </c>
      <c r="D318" t="s">
        <v>31</v>
      </c>
      <c r="E318" t="str">
        <f t="shared" si="6"/>
        <v>00336</v>
      </c>
      <c r="F318" t="s">
        <v>28</v>
      </c>
      <c r="G318" t="s">
        <v>164</v>
      </c>
      <c r="H318" t="s">
        <v>151</v>
      </c>
      <c r="I318" t="s">
        <v>231</v>
      </c>
      <c r="J318" t="s">
        <v>152</v>
      </c>
      <c r="K318" t="s">
        <v>153</v>
      </c>
      <c r="L318">
        <v>251200301</v>
      </c>
      <c r="M318" s="84">
        <v>46002</v>
      </c>
      <c r="N318" s="84">
        <v>46002</v>
      </c>
      <c r="O318" t="s">
        <v>234</v>
      </c>
      <c r="P318" t="s">
        <v>235</v>
      </c>
      <c r="Q318">
        <v>10432</v>
      </c>
      <c r="R318">
        <v>2</v>
      </c>
      <c r="S318">
        <v>20864</v>
      </c>
      <c r="T318">
        <v>0</v>
      </c>
      <c r="U318">
        <v>0</v>
      </c>
      <c r="V318">
        <v>2</v>
      </c>
      <c r="W318">
        <v>20864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604</v>
      </c>
      <c r="B319" t="s">
        <v>149</v>
      </c>
      <c r="C319">
        <v>336</v>
      </c>
      <c r="D319" t="s">
        <v>31</v>
      </c>
      <c r="E319" t="str">
        <f t="shared" si="6"/>
        <v>00336</v>
      </c>
      <c r="F319" t="s">
        <v>28</v>
      </c>
      <c r="G319" t="s">
        <v>164</v>
      </c>
      <c r="H319" t="s">
        <v>151</v>
      </c>
      <c r="I319" t="s">
        <v>231</v>
      </c>
      <c r="J319" t="s">
        <v>152</v>
      </c>
      <c r="K319" t="s">
        <v>153</v>
      </c>
      <c r="L319">
        <v>251200301</v>
      </c>
      <c r="M319" s="84">
        <v>46002</v>
      </c>
      <c r="N319" s="84">
        <v>46002</v>
      </c>
      <c r="O319" t="s">
        <v>232</v>
      </c>
      <c r="P319" t="s">
        <v>122</v>
      </c>
      <c r="Q319">
        <v>6213</v>
      </c>
      <c r="R319">
        <v>1</v>
      </c>
      <c r="S319">
        <v>6213</v>
      </c>
      <c r="T319">
        <v>0</v>
      </c>
      <c r="U319">
        <v>0</v>
      </c>
      <c r="V319">
        <v>1</v>
      </c>
      <c r="W319">
        <v>6213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>
        <v>606</v>
      </c>
      <c r="B320" t="s">
        <v>149</v>
      </c>
      <c r="C320">
        <v>398</v>
      </c>
      <c r="D320" t="s">
        <v>105</v>
      </c>
      <c r="E320" t="str">
        <f t="shared" si="6"/>
        <v>00398</v>
      </c>
      <c r="F320" t="s">
        <v>103</v>
      </c>
      <c r="G320" t="s">
        <v>167</v>
      </c>
      <c r="H320" t="s">
        <v>151</v>
      </c>
      <c r="I320" t="s">
        <v>4</v>
      </c>
      <c r="J320" t="s">
        <v>152</v>
      </c>
      <c r="K320" t="s">
        <v>153</v>
      </c>
      <c r="L320">
        <v>251200303</v>
      </c>
      <c r="M320" s="84">
        <v>46002</v>
      </c>
      <c r="N320" s="84">
        <v>46002</v>
      </c>
      <c r="O320" t="s">
        <v>200</v>
      </c>
      <c r="P320" t="s">
        <v>201</v>
      </c>
      <c r="Q320">
        <v>14250</v>
      </c>
      <c r="R320">
        <v>10</v>
      </c>
      <c r="S320">
        <v>142500</v>
      </c>
      <c r="T320">
        <v>0</v>
      </c>
      <c r="U320">
        <v>0</v>
      </c>
      <c r="V320">
        <v>10</v>
      </c>
      <c r="W320">
        <v>142500</v>
      </c>
      <c r="X320">
        <v>1500</v>
      </c>
      <c r="Y320">
        <v>2000</v>
      </c>
      <c r="Z320">
        <v>0</v>
      </c>
      <c r="AA320">
        <v>0</v>
      </c>
      <c r="AB320">
        <v>0</v>
      </c>
      <c r="AC320">
        <v>3500</v>
      </c>
    </row>
    <row r="321" spans="1:29">
      <c r="A321">
        <v>607</v>
      </c>
      <c r="B321" t="s">
        <v>149</v>
      </c>
      <c r="C321">
        <v>387</v>
      </c>
      <c r="D321" t="s">
        <v>109</v>
      </c>
      <c r="E321" t="str">
        <f t="shared" si="6"/>
        <v>00387</v>
      </c>
      <c r="F321" t="s">
        <v>103</v>
      </c>
      <c r="G321" t="s">
        <v>167</v>
      </c>
      <c r="H321" t="s">
        <v>151</v>
      </c>
      <c r="I321" t="s">
        <v>173</v>
      </c>
      <c r="J321" t="s">
        <v>152</v>
      </c>
      <c r="K321" t="s">
        <v>153</v>
      </c>
      <c r="L321">
        <v>251200304</v>
      </c>
      <c r="M321" s="84">
        <v>46002</v>
      </c>
      <c r="N321" s="84">
        <v>46002</v>
      </c>
      <c r="O321" t="s">
        <v>285</v>
      </c>
      <c r="P321" t="s">
        <v>286</v>
      </c>
      <c r="Q321">
        <v>3750</v>
      </c>
      <c r="R321">
        <v>10</v>
      </c>
      <c r="S321">
        <v>37500</v>
      </c>
      <c r="T321">
        <v>0</v>
      </c>
      <c r="U321">
        <v>0</v>
      </c>
      <c r="V321">
        <v>10</v>
      </c>
      <c r="W321">
        <v>37500</v>
      </c>
      <c r="X321">
        <v>0</v>
      </c>
      <c r="Y321">
        <v>750</v>
      </c>
      <c r="Z321">
        <v>1880</v>
      </c>
      <c r="AA321">
        <v>0</v>
      </c>
      <c r="AB321">
        <v>1000</v>
      </c>
      <c r="AC321">
        <v>3630</v>
      </c>
    </row>
    <row r="322" spans="1:29">
      <c r="A322">
        <v>608</v>
      </c>
      <c r="B322" t="s">
        <v>149</v>
      </c>
      <c r="C322">
        <v>387</v>
      </c>
      <c r="D322" t="s">
        <v>109</v>
      </c>
      <c r="E322" t="str">
        <f t="shared" si="6"/>
        <v>00387</v>
      </c>
      <c r="F322" t="s">
        <v>103</v>
      </c>
      <c r="G322" t="s">
        <v>167</v>
      </c>
      <c r="H322" t="s">
        <v>151</v>
      </c>
      <c r="I322" t="s">
        <v>231</v>
      </c>
      <c r="J322" t="s">
        <v>152</v>
      </c>
      <c r="K322" t="s">
        <v>153</v>
      </c>
      <c r="L322">
        <v>251200304</v>
      </c>
      <c r="M322" s="84">
        <v>46002</v>
      </c>
      <c r="N322" s="84">
        <v>46002</v>
      </c>
      <c r="O322" t="s">
        <v>233</v>
      </c>
      <c r="P322" t="s">
        <v>118</v>
      </c>
      <c r="Q322">
        <v>4486</v>
      </c>
      <c r="R322">
        <v>4</v>
      </c>
      <c r="S322">
        <v>17944</v>
      </c>
      <c r="T322">
        <v>0</v>
      </c>
      <c r="U322">
        <v>0</v>
      </c>
      <c r="V322">
        <v>4</v>
      </c>
      <c r="W322">
        <v>17944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612</v>
      </c>
      <c r="B323" t="s">
        <v>149</v>
      </c>
      <c r="C323">
        <v>988</v>
      </c>
      <c r="D323" t="s">
        <v>19</v>
      </c>
      <c r="E323" t="str">
        <f t="shared" si="6"/>
        <v>00988</v>
      </c>
      <c r="F323" t="s">
        <v>15</v>
      </c>
      <c r="G323" t="s">
        <v>193</v>
      </c>
      <c r="H323" t="s">
        <v>151</v>
      </c>
      <c r="I323" t="s">
        <v>4</v>
      </c>
      <c r="J323" t="s">
        <v>152</v>
      </c>
      <c r="K323" t="s">
        <v>153</v>
      </c>
      <c r="L323">
        <v>251200307</v>
      </c>
      <c r="M323" s="84">
        <v>46002</v>
      </c>
      <c r="N323" s="84">
        <v>46002</v>
      </c>
      <c r="O323" t="s">
        <v>179</v>
      </c>
      <c r="P323" t="s">
        <v>180</v>
      </c>
      <c r="Q323">
        <v>14250</v>
      </c>
      <c r="R323">
        <v>10</v>
      </c>
      <c r="S323">
        <v>142500</v>
      </c>
      <c r="T323">
        <v>0</v>
      </c>
      <c r="U323">
        <v>0</v>
      </c>
      <c r="V323">
        <v>10</v>
      </c>
      <c r="W323">
        <v>142500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>
        <v>613</v>
      </c>
      <c r="B324" t="s">
        <v>149</v>
      </c>
      <c r="C324">
        <v>988</v>
      </c>
      <c r="D324" t="s">
        <v>19</v>
      </c>
      <c r="E324" t="str">
        <f t="shared" si="6"/>
        <v>00988</v>
      </c>
      <c r="F324" t="s">
        <v>15</v>
      </c>
      <c r="G324" t="s">
        <v>193</v>
      </c>
      <c r="H324" t="s">
        <v>151</v>
      </c>
      <c r="I324" t="s">
        <v>5</v>
      </c>
      <c r="J324" t="s">
        <v>152</v>
      </c>
      <c r="K324" t="s">
        <v>153</v>
      </c>
      <c r="L324">
        <v>251200307</v>
      </c>
      <c r="M324" s="84">
        <v>46002</v>
      </c>
      <c r="N324" s="84">
        <v>46002</v>
      </c>
      <c r="O324" t="s">
        <v>191</v>
      </c>
      <c r="P324" t="s">
        <v>192</v>
      </c>
      <c r="Q324">
        <v>11700</v>
      </c>
      <c r="R324">
        <v>20</v>
      </c>
      <c r="S324">
        <v>234000</v>
      </c>
      <c r="T324">
        <v>0</v>
      </c>
      <c r="U324">
        <v>0</v>
      </c>
      <c r="V324">
        <v>20</v>
      </c>
      <c r="W324">
        <v>234000</v>
      </c>
      <c r="X324">
        <v>3000</v>
      </c>
      <c r="Y324">
        <v>3000</v>
      </c>
      <c r="Z324">
        <v>0</v>
      </c>
      <c r="AA324">
        <v>0</v>
      </c>
      <c r="AB324">
        <v>0</v>
      </c>
      <c r="AC324">
        <v>6000</v>
      </c>
    </row>
    <row r="325" spans="1:29">
      <c r="A325">
        <v>618</v>
      </c>
      <c r="B325" t="s">
        <v>149</v>
      </c>
      <c r="C325">
        <v>1470</v>
      </c>
      <c r="D325" t="s">
        <v>12</v>
      </c>
      <c r="E325" t="str">
        <f t="shared" si="6"/>
        <v>01470</v>
      </c>
      <c r="F325" t="s">
        <v>10</v>
      </c>
      <c r="G325" t="s">
        <v>172</v>
      </c>
      <c r="H325" t="s">
        <v>157</v>
      </c>
      <c r="I325" t="s">
        <v>4</v>
      </c>
      <c r="J325" t="s">
        <v>152</v>
      </c>
      <c r="K325" t="s">
        <v>174</v>
      </c>
      <c r="L325">
        <v>251200311</v>
      </c>
      <c r="M325" s="84">
        <v>46002</v>
      </c>
      <c r="N325" s="84">
        <v>46002</v>
      </c>
      <c r="O325" t="s">
        <v>290</v>
      </c>
      <c r="P325" t="s">
        <v>291</v>
      </c>
      <c r="Q325">
        <v>14250</v>
      </c>
      <c r="R325">
        <v>10</v>
      </c>
      <c r="S325">
        <v>142500</v>
      </c>
      <c r="T325">
        <v>0</v>
      </c>
      <c r="U325">
        <v>0</v>
      </c>
      <c r="V325">
        <v>10</v>
      </c>
      <c r="W325">
        <v>142500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619</v>
      </c>
      <c r="B326" t="s">
        <v>149</v>
      </c>
      <c r="C326">
        <v>1470</v>
      </c>
      <c r="D326" t="s">
        <v>12</v>
      </c>
      <c r="E326" t="str">
        <f t="shared" si="6"/>
        <v>01470</v>
      </c>
      <c r="F326" t="s">
        <v>10</v>
      </c>
      <c r="G326" t="s">
        <v>172</v>
      </c>
      <c r="H326" t="s">
        <v>157</v>
      </c>
      <c r="I326" t="s">
        <v>4</v>
      </c>
      <c r="J326" t="s">
        <v>152</v>
      </c>
      <c r="K326" t="s">
        <v>174</v>
      </c>
      <c r="L326">
        <v>251200311</v>
      </c>
      <c r="M326" s="84">
        <v>46002</v>
      </c>
      <c r="N326" s="84">
        <v>46002</v>
      </c>
      <c r="O326" t="s">
        <v>256</v>
      </c>
      <c r="P326" t="s">
        <v>257</v>
      </c>
      <c r="Q326">
        <v>14250</v>
      </c>
      <c r="R326">
        <v>25</v>
      </c>
      <c r="S326">
        <v>356250</v>
      </c>
      <c r="T326">
        <v>0</v>
      </c>
      <c r="U326">
        <v>0</v>
      </c>
      <c r="V326">
        <v>25</v>
      </c>
      <c r="W326">
        <v>356250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620</v>
      </c>
      <c r="B327" t="s">
        <v>149</v>
      </c>
      <c r="C327">
        <v>1470</v>
      </c>
      <c r="D327" t="s">
        <v>12</v>
      </c>
      <c r="E327" t="str">
        <f t="shared" si="6"/>
        <v>01470</v>
      </c>
      <c r="F327" t="s">
        <v>10</v>
      </c>
      <c r="G327" t="s">
        <v>172</v>
      </c>
      <c r="H327" t="s">
        <v>157</v>
      </c>
      <c r="I327" t="s">
        <v>5</v>
      </c>
      <c r="J327" t="s">
        <v>152</v>
      </c>
      <c r="K327" t="s">
        <v>174</v>
      </c>
      <c r="L327">
        <v>251200312</v>
      </c>
      <c r="M327" s="84">
        <v>46002</v>
      </c>
      <c r="N327" s="84">
        <v>46002</v>
      </c>
      <c r="O327" t="s">
        <v>191</v>
      </c>
      <c r="P327" t="s">
        <v>192</v>
      </c>
      <c r="Q327">
        <v>11700</v>
      </c>
      <c r="R327">
        <v>20</v>
      </c>
      <c r="S327">
        <v>234000</v>
      </c>
      <c r="T327">
        <v>0</v>
      </c>
      <c r="U327">
        <v>0</v>
      </c>
      <c r="V327">
        <v>20</v>
      </c>
      <c r="W327">
        <v>234000</v>
      </c>
      <c r="X327">
        <v>3000</v>
      </c>
      <c r="Y327">
        <v>3000</v>
      </c>
      <c r="Z327">
        <v>0</v>
      </c>
      <c r="AA327">
        <v>0</v>
      </c>
      <c r="AB327">
        <v>0</v>
      </c>
      <c r="AC327">
        <v>6000</v>
      </c>
    </row>
    <row r="328" spans="1:29">
      <c r="A328">
        <v>621</v>
      </c>
      <c r="B328" t="s">
        <v>149</v>
      </c>
      <c r="C328">
        <v>1470</v>
      </c>
      <c r="D328" t="s">
        <v>12</v>
      </c>
      <c r="E328" t="str">
        <f t="shared" ref="E328:E335" si="7">TEXT(C328,"00000")</f>
        <v>01470</v>
      </c>
      <c r="F328" t="s">
        <v>10</v>
      </c>
      <c r="G328" t="s">
        <v>172</v>
      </c>
      <c r="H328" t="s">
        <v>157</v>
      </c>
      <c r="I328" t="s">
        <v>5</v>
      </c>
      <c r="J328" t="s">
        <v>152</v>
      </c>
      <c r="K328" t="s">
        <v>174</v>
      </c>
      <c r="L328">
        <v>251200313</v>
      </c>
      <c r="M328" s="84">
        <v>46002</v>
      </c>
      <c r="N328" s="84">
        <v>46002</v>
      </c>
      <c r="O328" t="s">
        <v>191</v>
      </c>
      <c r="P328" t="s">
        <v>192</v>
      </c>
      <c r="Q328">
        <v>11700</v>
      </c>
      <c r="R328">
        <v>4</v>
      </c>
      <c r="S328">
        <v>46800</v>
      </c>
      <c r="T328">
        <v>0</v>
      </c>
      <c r="U328">
        <v>0</v>
      </c>
      <c r="V328">
        <v>4</v>
      </c>
      <c r="W328">
        <v>46800</v>
      </c>
      <c r="X328">
        <v>600</v>
      </c>
      <c r="Y328">
        <v>600</v>
      </c>
      <c r="Z328">
        <v>0</v>
      </c>
      <c r="AA328">
        <v>0</v>
      </c>
      <c r="AB328">
        <v>0</v>
      </c>
      <c r="AC328">
        <v>1200</v>
      </c>
    </row>
    <row r="329" spans="1:29">
      <c r="A329">
        <v>624</v>
      </c>
      <c r="B329" t="s">
        <v>149</v>
      </c>
      <c r="C329">
        <v>1391</v>
      </c>
      <c r="D329" t="s">
        <v>97</v>
      </c>
      <c r="E329" t="str">
        <f t="shared" si="7"/>
        <v>01391</v>
      </c>
      <c r="F329" t="s">
        <v>95</v>
      </c>
      <c r="G329" t="s">
        <v>187</v>
      </c>
      <c r="H329" t="s">
        <v>188</v>
      </c>
      <c r="I329" t="s">
        <v>4</v>
      </c>
      <c r="J329" t="s">
        <v>152</v>
      </c>
      <c r="K329" t="s">
        <v>159</v>
      </c>
      <c r="L329">
        <v>251200315</v>
      </c>
      <c r="M329" s="84">
        <v>46002</v>
      </c>
      <c r="N329" s="84">
        <v>46002</v>
      </c>
      <c r="O329" t="s">
        <v>219</v>
      </c>
      <c r="P329" t="s">
        <v>220</v>
      </c>
      <c r="Q329">
        <v>13200</v>
      </c>
      <c r="R329">
        <v>5</v>
      </c>
      <c r="S329">
        <v>66000</v>
      </c>
      <c r="T329">
        <v>0</v>
      </c>
      <c r="U329">
        <v>0</v>
      </c>
      <c r="V329">
        <v>5</v>
      </c>
      <c r="W329">
        <v>66000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625</v>
      </c>
      <c r="B330" t="s">
        <v>149</v>
      </c>
      <c r="C330">
        <v>1588</v>
      </c>
      <c r="D330" t="s">
        <v>90</v>
      </c>
      <c r="E330" t="str">
        <f t="shared" si="7"/>
        <v>01588</v>
      </c>
      <c r="F330" t="s">
        <v>86</v>
      </c>
      <c r="G330" t="s">
        <v>156</v>
      </c>
      <c r="H330" t="s">
        <v>157</v>
      </c>
      <c r="I330" t="s">
        <v>4</v>
      </c>
      <c r="J330" t="s">
        <v>152</v>
      </c>
      <c r="K330" t="s">
        <v>159</v>
      </c>
      <c r="L330">
        <v>251200316</v>
      </c>
      <c r="M330" s="84">
        <v>46002</v>
      </c>
      <c r="N330" s="84">
        <v>46002</v>
      </c>
      <c r="O330" t="s">
        <v>160</v>
      </c>
      <c r="P330" t="s">
        <v>161</v>
      </c>
      <c r="Q330">
        <v>14250</v>
      </c>
      <c r="R330">
        <v>10</v>
      </c>
      <c r="S330">
        <v>142500</v>
      </c>
      <c r="T330">
        <v>0</v>
      </c>
      <c r="U330">
        <v>0</v>
      </c>
      <c r="V330">
        <v>10</v>
      </c>
      <c r="W330">
        <v>142500</v>
      </c>
      <c r="X330">
        <v>1500</v>
      </c>
      <c r="Y330">
        <v>2000</v>
      </c>
      <c r="Z330">
        <v>0</v>
      </c>
      <c r="AA330">
        <v>0</v>
      </c>
      <c r="AB330">
        <v>0</v>
      </c>
      <c r="AC330">
        <v>3500</v>
      </c>
    </row>
    <row r="331" spans="1:29">
      <c r="A331">
        <v>626</v>
      </c>
      <c r="B331" t="s">
        <v>149</v>
      </c>
      <c r="C331">
        <v>496</v>
      </c>
      <c r="D331" t="s">
        <v>8</v>
      </c>
      <c r="E331" t="str">
        <f t="shared" si="7"/>
        <v>00496</v>
      </c>
      <c r="F331" t="s">
        <v>7</v>
      </c>
      <c r="G331" t="s">
        <v>156</v>
      </c>
      <c r="H331" t="s">
        <v>157</v>
      </c>
      <c r="I331" t="s">
        <v>4</v>
      </c>
      <c r="J331" t="s">
        <v>152</v>
      </c>
      <c r="K331" t="s">
        <v>159</v>
      </c>
      <c r="L331">
        <v>251200317</v>
      </c>
      <c r="M331" s="84">
        <v>46002</v>
      </c>
      <c r="N331" s="84">
        <v>46002</v>
      </c>
      <c r="O331" t="s">
        <v>160</v>
      </c>
      <c r="P331" t="s">
        <v>161</v>
      </c>
      <c r="Q331">
        <v>14250</v>
      </c>
      <c r="R331">
        <v>4</v>
      </c>
      <c r="S331">
        <v>57000</v>
      </c>
      <c r="T331">
        <v>0</v>
      </c>
      <c r="U331">
        <v>0</v>
      </c>
      <c r="V331">
        <v>4</v>
      </c>
      <c r="W331">
        <v>57000</v>
      </c>
      <c r="X331">
        <v>600</v>
      </c>
      <c r="Y331">
        <v>800</v>
      </c>
      <c r="Z331">
        <v>0</v>
      </c>
      <c r="AA331">
        <v>0</v>
      </c>
      <c r="AB331">
        <v>0</v>
      </c>
      <c r="AC331">
        <v>1400</v>
      </c>
    </row>
    <row r="332" spans="1:29">
      <c r="A332">
        <v>627</v>
      </c>
      <c r="B332" t="s">
        <v>149</v>
      </c>
      <c r="C332">
        <v>1112</v>
      </c>
      <c r="D332" t="s">
        <v>44</v>
      </c>
      <c r="E332" t="str">
        <f t="shared" si="7"/>
        <v>01112</v>
      </c>
      <c r="F332" t="s">
        <v>43</v>
      </c>
      <c r="G332" t="s">
        <v>150</v>
      </c>
      <c r="H332" t="s">
        <v>151</v>
      </c>
      <c r="I332" t="s">
        <v>5</v>
      </c>
      <c r="J332" t="s">
        <v>152</v>
      </c>
      <c r="K332" t="s">
        <v>153</v>
      </c>
      <c r="L332">
        <v>251200318</v>
      </c>
      <c r="M332" s="84">
        <v>46002</v>
      </c>
      <c r="N332" s="84">
        <v>46002</v>
      </c>
      <c r="O332" t="s">
        <v>165</v>
      </c>
      <c r="P332" t="s">
        <v>166</v>
      </c>
      <c r="Q332">
        <v>8500</v>
      </c>
      <c r="R332">
        <v>28</v>
      </c>
      <c r="S332">
        <v>238000</v>
      </c>
      <c r="T332">
        <v>0</v>
      </c>
      <c r="U332">
        <v>0</v>
      </c>
      <c r="V332">
        <v>28</v>
      </c>
      <c r="W332">
        <v>238000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632</v>
      </c>
      <c r="B333" t="s">
        <v>149</v>
      </c>
      <c r="C333">
        <v>1450</v>
      </c>
      <c r="D333" t="s">
        <v>82</v>
      </c>
      <c r="E333" t="str">
        <f t="shared" si="7"/>
        <v>01450</v>
      </c>
      <c r="F333" t="s">
        <v>80</v>
      </c>
      <c r="G333" t="s">
        <v>164</v>
      </c>
      <c r="H333" t="s">
        <v>151</v>
      </c>
      <c r="I333" t="s">
        <v>5</v>
      </c>
      <c r="J333" t="s">
        <v>152</v>
      </c>
      <c r="K333" t="s">
        <v>153</v>
      </c>
      <c r="L333">
        <v>251200322</v>
      </c>
      <c r="M333" s="84">
        <v>46002</v>
      </c>
      <c r="N333" s="84">
        <v>46002</v>
      </c>
      <c r="O333" t="s">
        <v>191</v>
      </c>
      <c r="P333" t="s">
        <v>192</v>
      </c>
      <c r="Q333">
        <v>11700</v>
      </c>
      <c r="R333">
        <v>20</v>
      </c>
      <c r="S333">
        <v>234000</v>
      </c>
      <c r="T333">
        <v>0</v>
      </c>
      <c r="U333">
        <v>0</v>
      </c>
      <c r="V333">
        <v>20</v>
      </c>
      <c r="W333">
        <v>234000</v>
      </c>
      <c r="X333">
        <v>3000</v>
      </c>
      <c r="Y333">
        <v>3000</v>
      </c>
      <c r="Z333">
        <v>0</v>
      </c>
      <c r="AA333">
        <v>0</v>
      </c>
      <c r="AB333">
        <v>0</v>
      </c>
      <c r="AC333">
        <v>6000</v>
      </c>
    </row>
    <row r="334" spans="1:29">
      <c r="A334">
        <v>636</v>
      </c>
      <c r="B334" t="s">
        <v>149</v>
      </c>
      <c r="C334">
        <v>336</v>
      </c>
      <c r="D334" t="s">
        <v>31</v>
      </c>
      <c r="E334" t="str">
        <f t="shared" si="7"/>
        <v>00336</v>
      </c>
      <c r="F334" t="s">
        <v>28</v>
      </c>
      <c r="G334" t="s">
        <v>164</v>
      </c>
      <c r="H334" t="s">
        <v>151</v>
      </c>
      <c r="I334" t="s">
        <v>182</v>
      </c>
      <c r="J334" t="s">
        <v>152</v>
      </c>
      <c r="K334" t="s">
        <v>153</v>
      </c>
      <c r="L334">
        <v>251200324</v>
      </c>
      <c r="M334" s="84">
        <v>46002</v>
      </c>
      <c r="N334" s="84">
        <v>46002</v>
      </c>
      <c r="O334" t="s">
        <v>183</v>
      </c>
      <c r="P334" t="s">
        <v>184</v>
      </c>
      <c r="Q334">
        <v>68</v>
      </c>
      <c r="R334">
        <v>500</v>
      </c>
      <c r="S334">
        <v>34000</v>
      </c>
      <c r="T334">
        <v>0</v>
      </c>
      <c r="U334">
        <v>0</v>
      </c>
      <c r="V334">
        <v>500</v>
      </c>
      <c r="W334">
        <v>34000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643</v>
      </c>
      <c r="B335" t="s">
        <v>149</v>
      </c>
      <c r="C335">
        <v>1404</v>
      </c>
      <c r="D335" t="s">
        <v>113</v>
      </c>
      <c r="E335" t="str">
        <f t="shared" si="7"/>
        <v>01404</v>
      </c>
      <c r="F335" t="s">
        <v>111</v>
      </c>
      <c r="G335" t="s">
        <v>150</v>
      </c>
      <c r="H335" t="s">
        <v>151</v>
      </c>
      <c r="I335" t="s">
        <v>5</v>
      </c>
      <c r="J335" t="s">
        <v>152</v>
      </c>
      <c r="K335" t="s">
        <v>153</v>
      </c>
      <c r="L335">
        <v>251200328</v>
      </c>
      <c r="M335" s="84">
        <v>46004</v>
      </c>
      <c r="N335" s="84">
        <v>46004</v>
      </c>
      <c r="O335" t="s">
        <v>260</v>
      </c>
      <c r="P335" t="s">
        <v>261</v>
      </c>
      <c r="Q335">
        <v>11700</v>
      </c>
      <c r="R335">
        <v>8</v>
      </c>
      <c r="S335">
        <v>93600</v>
      </c>
      <c r="T335">
        <v>0</v>
      </c>
      <c r="U335">
        <v>0</v>
      </c>
      <c r="V335">
        <v>8</v>
      </c>
      <c r="W335">
        <v>93600</v>
      </c>
      <c r="X335">
        <v>1200</v>
      </c>
      <c r="Y335">
        <v>1200</v>
      </c>
      <c r="Z335">
        <v>0</v>
      </c>
      <c r="AA335">
        <v>0</v>
      </c>
      <c r="AB335">
        <v>0</v>
      </c>
      <c r="AC335">
        <v>2400</v>
      </c>
    </row>
    <row r="336" spans="1:29">
      <c r="A336">
        <v>650</v>
      </c>
      <c r="B336" t="s">
        <v>149</v>
      </c>
      <c r="C336">
        <v>388</v>
      </c>
      <c r="D336" t="s">
        <v>106</v>
      </c>
      <c r="E336" t="str">
        <f t="shared" ref="E336:E383" si="8">TEXT(C336,"00000")</f>
        <v>00388</v>
      </c>
      <c r="F336" t="s">
        <v>103</v>
      </c>
      <c r="G336" t="s">
        <v>167</v>
      </c>
      <c r="H336" t="s">
        <v>151</v>
      </c>
      <c r="I336" t="s">
        <v>4</v>
      </c>
      <c r="J336" t="s">
        <v>152</v>
      </c>
      <c r="K336" t="s">
        <v>153</v>
      </c>
      <c r="L336">
        <v>251200332</v>
      </c>
      <c r="M336" s="84">
        <v>46004</v>
      </c>
      <c r="N336" s="84">
        <v>46004</v>
      </c>
      <c r="O336" t="s">
        <v>200</v>
      </c>
      <c r="P336" t="s">
        <v>201</v>
      </c>
      <c r="Q336">
        <v>14250</v>
      </c>
      <c r="R336">
        <v>5</v>
      </c>
      <c r="S336">
        <v>71250</v>
      </c>
      <c r="T336">
        <v>0</v>
      </c>
      <c r="U336">
        <v>0</v>
      </c>
      <c r="V336">
        <v>5</v>
      </c>
      <c r="W336">
        <v>71250</v>
      </c>
      <c r="X336">
        <v>750</v>
      </c>
      <c r="Y336">
        <v>1000</v>
      </c>
      <c r="Z336">
        <v>0</v>
      </c>
      <c r="AA336">
        <v>0</v>
      </c>
      <c r="AB336">
        <v>0</v>
      </c>
      <c r="AC336">
        <v>1750</v>
      </c>
    </row>
    <row r="337" spans="1:29">
      <c r="A337">
        <v>651</v>
      </c>
      <c r="B337" t="s">
        <v>149</v>
      </c>
      <c r="C337">
        <v>388</v>
      </c>
      <c r="D337" t="s">
        <v>106</v>
      </c>
      <c r="E337" t="str">
        <f t="shared" si="8"/>
        <v>00388</v>
      </c>
      <c r="F337" t="s">
        <v>103</v>
      </c>
      <c r="G337" t="s">
        <v>167</v>
      </c>
      <c r="H337" t="s">
        <v>151</v>
      </c>
      <c r="I337" t="s">
        <v>5</v>
      </c>
      <c r="J337" t="s">
        <v>152</v>
      </c>
      <c r="K337" t="s">
        <v>153</v>
      </c>
      <c r="L337">
        <v>251200332</v>
      </c>
      <c r="M337" s="84">
        <v>46004</v>
      </c>
      <c r="N337" s="84">
        <v>46004</v>
      </c>
      <c r="O337" t="s">
        <v>191</v>
      </c>
      <c r="P337" t="s">
        <v>192</v>
      </c>
      <c r="Q337">
        <v>11700</v>
      </c>
      <c r="R337">
        <v>20</v>
      </c>
      <c r="S337">
        <v>234000</v>
      </c>
      <c r="T337">
        <v>0</v>
      </c>
      <c r="U337">
        <v>0</v>
      </c>
      <c r="V337">
        <v>20</v>
      </c>
      <c r="W337">
        <v>234000</v>
      </c>
      <c r="X337">
        <v>3000</v>
      </c>
      <c r="Y337">
        <v>3000</v>
      </c>
      <c r="Z337">
        <v>0</v>
      </c>
      <c r="AA337">
        <v>0</v>
      </c>
      <c r="AB337">
        <v>0</v>
      </c>
      <c r="AC337">
        <v>6000</v>
      </c>
    </row>
    <row r="338" spans="1:29">
      <c r="A338">
        <v>652</v>
      </c>
      <c r="B338" t="s">
        <v>149</v>
      </c>
      <c r="C338">
        <v>388</v>
      </c>
      <c r="D338" t="s">
        <v>106</v>
      </c>
      <c r="E338" t="str">
        <f t="shared" si="8"/>
        <v>00388</v>
      </c>
      <c r="F338" t="s">
        <v>103</v>
      </c>
      <c r="G338" t="s">
        <v>167</v>
      </c>
      <c r="H338" t="s">
        <v>151</v>
      </c>
      <c r="I338" t="s">
        <v>238</v>
      </c>
      <c r="J338" t="s">
        <v>152</v>
      </c>
      <c r="K338" t="s">
        <v>153</v>
      </c>
      <c r="L338">
        <v>251200332</v>
      </c>
      <c r="M338" s="84">
        <v>46004</v>
      </c>
      <c r="N338" s="84">
        <v>46004</v>
      </c>
      <c r="O338" t="s">
        <v>241</v>
      </c>
      <c r="P338" t="s">
        <v>242</v>
      </c>
      <c r="Q338">
        <v>17156</v>
      </c>
      <c r="R338">
        <v>2</v>
      </c>
      <c r="S338">
        <v>34312</v>
      </c>
      <c r="T338">
        <v>0</v>
      </c>
      <c r="U338">
        <v>0</v>
      </c>
      <c r="V338">
        <v>2</v>
      </c>
      <c r="W338">
        <v>34312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>
      <c r="A339">
        <v>653</v>
      </c>
      <c r="B339" t="s">
        <v>149</v>
      </c>
      <c r="C339">
        <v>388</v>
      </c>
      <c r="D339" t="s">
        <v>106</v>
      </c>
      <c r="E339" t="str">
        <f t="shared" si="8"/>
        <v>00388</v>
      </c>
      <c r="F339" t="s">
        <v>103</v>
      </c>
      <c r="G339" t="s">
        <v>167</v>
      </c>
      <c r="H339" t="s">
        <v>151</v>
      </c>
      <c r="I339" t="s">
        <v>4</v>
      </c>
      <c r="J339" t="s">
        <v>152</v>
      </c>
      <c r="K339" t="s">
        <v>153</v>
      </c>
      <c r="L339">
        <v>251200332</v>
      </c>
      <c r="M339" s="84">
        <v>46004</v>
      </c>
      <c r="N339" s="84">
        <v>46004</v>
      </c>
      <c r="O339" t="s">
        <v>160</v>
      </c>
      <c r="P339" t="s">
        <v>161</v>
      </c>
      <c r="Q339">
        <v>14250</v>
      </c>
      <c r="R339">
        <v>50</v>
      </c>
      <c r="S339">
        <v>712500</v>
      </c>
      <c r="T339">
        <v>0</v>
      </c>
      <c r="U339">
        <v>0</v>
      </c>
      <c r="V339">
        <v>50</v>
      </c>
      <c r="W339">
        <v>712500</v>
      </c>
      <c r="X339">
        <v>7500</v>
      </c>
      <c r="Y339">
        <v>10000</v>
      </c>
      <c r="Z339">
        <v>0</v>
      </c>
      <c r="AA339">
        <v>0</v>
      </c>
      <c r="AB339">
        <v>0</v>
      </c>
      <c r="AC339">
        <v>17500</v>
      </c>
    </row>
    <row r="340" spans="1:29">
      <c r="A340">
        <v>654</v>
      </c>
      <c r="B340" t="s">
        <v>149</v>
      </c>
      <c r="C340">
        <v>398</v>
      </c>
      <c r="D340" t="s">
        <v>105</v>
      </c>
      <c r="E340" t="str">
        <f t="shared" si="8"/>
        <v>00398</v>
      </c>
      <c r="F340" t="s">
        <v>103</v>
      </c>
      <c r="G340" t="s">
        <v>167</v>
      </c>
      <c r="H340" t="s">
        <v>151</v>
      </c>
      <c r="I340" t="s">
        <v>4</v>
      </c>
      <c r="J340" t="s">
        <v>152</v>
      </c>
      <c r="K340" t="s">
        <v>153</v>
      </c>
      <c r="L340">
        <v>251200333</v>
      </c>
      <c r="M340" s="84">
        <v>46004</v>
      </c>
      <c r="N340" s="84">
        <v>46004</v>
      </c>
      <c r="O340" t="s">
        <v>200</v>
      </c>
      <c r="P340" t="s">
        <v>201</v>
      </c>
      <c r="Q340">
        <v>14250</v>
      </c>
      <c r="R340">
        <v>10</v>
      </c>
      <c r="S340">
        <v>142500</v>
      </c>
      <c r="T340">
        <v>0</v>
      </c>
      <c r="U340">
        <v>0</v>
      </c>
      <c r="V340">
        <v>10</v>
      </c>
      <c r="W340">
        <v>142500</v>
      </c>
      <c r="X340">
        <v>1500</v>
      </c>
      <c r="Y340">
        <v>2000</v>
      </c>
      <c r="Z340">
        <v>0</v>
      </c>
      <c r="AA340">
        <v>0</v>
      </c>
      <c r="AB340">
        <v>0</v>
      </c>
      <c r="AC340">
        <v>3500</v>
      </c>
    </row>
    <row r="341" spans="1:29">
      <c r="A341">
        <v>655</v>
      </c>
      <c r="B341" t="s">
        <v>149</v>
      </c>
      <c r="C341">
        <v>398</v>
      </c>
      <c r="D341" t="s">
        <v>105</v>
      </c>
      <c r="E341" t="str">
        <f t="shared" si="8"/>
        <v>00398</v>
      </c>
      <c r="F341" t="s">
        <v>103</v>
      </c>
      <c r="G341" t="s">
        <v>167</v>
      </c>
      <c r="H341" t="s">
        <v>151</v>
      </c>
      <c r="I341" t="s">
        <v>5</v>
      </c>
      <c r="J341" t="s">
        <v>152</v>
      </c>
      <c r="K341" t="s">
        <v>153</v>
      </c>
      <c r="L341">
        <v>251200333</v>
      </c>
      <c r="M341" s="84">
        <v>46004</v>
      </c>
      <c r="N341" s="84">
        <v>46004</v>
      </c>
      <c r="O341" t="s">
        <v>191</v>
      </c>
      <c r="P341" t="s">
        <v>192</v>
      </c>
      <c r="Q341">
        <v>11700</v>
      </c>
      <c r="R341">
        <v>36</v>
      </c>
      <c r="S341">
        <v>421200</v>
      </c>
      <c r="T341">
        <v>0</v>
      </c>
      <c r="U341">
        <v>0</v>
      </c>
      <c r="V341">
        <v>36</v>
      </c>
      <c r="W341">
        <v>421200</v>
      </c>
      <c r="X341">
        <v>5400</v>
      </c>
      <c r="Y341">
        <v>5400</v>
      </c>
      <c r="Z341">
        <v>0</v>
      </c>
      <c r="AA341">
        <v>0</v>
      </c>
      <c r="AB341">
        <v>0</v>
      </c>
      <c r="AC341">
        <v>10800</v>
      </c>
    </row>
    <row r="342" spans="1:29">
      <c r="A342">
        <v>656</v>
      </c>
      <c r="B342" t="s">
        <v>149</v>
      </c>
      <c r="C342">
        <v>1108</v>
      </c>
      <c r="D342" t="s">
        <v>107</v>
      </c>
      <c r="E342" t="str">
        <f t="shared" si="8"/>
        <v>01108</v>
      </c>
      <c r="F342" t="s">
        <v>103</v>
      </c>
      <c r="G342" t="s">
        <v>167</v>
      </c>
      <c r="H342" t="s">
        <v>151</v>
      </c>
      <c r="I342" t="s">
        <v>4</v>
      </c>
      <c r="J342" t="s">
        <v>152</v>
      </c>
      <c r="K342" t="s">
        <v>153</v>
      </c>
      <c r="L342">
        <v>251200334</v>
      </c>
      <c r="M342" s="84">
        <v>46004</v>
      </c>
      <c r="N342" s="84">
        <v>46004</v>
      </c>
      <c r="O342" t="s">
        <v>160</v>
      </c>
      <c r="P342" t="s">
        <v>161</v>
      </c>
      <c r="Q342">
        <v>14250</v>
      </c>
      <c r="R342">
        <v>30</v>
      </c>
      <c r="S342">
        <v>427500</v>
      </c>
      <c r="T342">
        <v>0</v>
      </c>
      <c r="U342">
        <v>0</v>
      </c>
      <c r="V342">
        <v>30</v>
      </c>
      <c r="W342">
        <v>427500</v>
      </c>
      <c r="X342">
        <v>4500</v>
      </c>
      <c r="Y342">
        <v>6000</v>
      </c>
      <c r="Z342">
        <v>0</v>
      </c>
      <c r="AA342">
        <v>0</v>
      </c>
      <c r="AB342">
        <v>0</v>
      </c>
      <c r="AC342">
        <v>10500</v>
      </c>
    </row>
    <row r="343" spans="1:29">
      <c r="A343">
        <v>657</v>
      </c>
      <c r="B343" t="s">
        <v>149</v>
      </c>
      <c r="C343">
        <v>827</v>
      </c>
      <c r="D343" t="s">
        <v>84</v>
      </c>
      <c r="E343" t="str">
        <f t="shared" si="8"/>
        <v>00827</v>
      </c>
      <c r="F343" t="s">
        <v>83</v>
      </c>
      <c r="G343" t="s">
        <v>164</v>
      </c>
      <c r="H343" t="s">
        <v>151</v>
      </c>
      <c r="I343" t="s">
        <v>5</v>
      </c>
      <c r="J343" t="s">
        <v>152</v>
      </c>
      <c r="K343" t="s">
        <v>153</v>
      </c>
      <c r="L343">
        <v>251200335</v>
      </c>
      <c r="M343" s="84">
        <v>46004</v>
      </c>
      <c r="N343" s="84">
        <v>46004</v>
      </c>
      <c r="O343" t="s">
        <v>191</v>
      </c>
      <c r="P343" t="s">
        <v>192</v>
      </c>
      <c r="Q343">
        <v>11700</v>
      </c>
      <c r="R343">
        <v>4</v>
      </c>
      <c r="S343">
        <v>46800</v>
      </c>
      <c r="T343">
        <v>0</v>
      </c>
      <c r="U343">
        <v>0</v>
      </c>
      <c r="V343">
        <v>4</v>
      </c>
      <c r="W343">
        <v>46800</v>
      </c>
      <c r="X343">
        <v>600</v>
      </c>
      <c r="Y343">
        <v>600</v>
      </c>
      <c r="Z343">
        <v>0</v>
      </c>
      <c r="AA343">
        <v>0</v>
      </c>
      <c r="AB343">
        <v>0</v>
      </c>
      <c r="AC343">
        <v>1200</v>
      </c>
    </row>
    <row r="344" spans="1:29">
      <c r="A344">
        <v>658</v>
      </c>
      <c r="B344" t="s">
        <v>149</v>
      </c>
      <c r="C344">
        <v>827</v>
      </c>
      <c r="D344" t="s">
        <v>84</v>
      </c>
      <c r="E344" t="str">
        <f t="shared" si="8"/>
        <v>00827</v>
      </c>
      <c r="F344" t="s">
        <v>83</v>
      </c>
      <c r="G344" t="s">
        <v>164</v>
      </c>
      <c r="H344" t="s">
        <v>151</v>
      </c>
      <c r="I344" t="s">
        <v>4</v>
      </c>
      <c r="J344" t="s">
        <v>152</v>
      </c>
      <c r="K344" t="s">
        <v>153</v>
      </c>
      <c r="L344">
        <v>251200335</v>
      </c>
      <c r="M344" s="84">
        <v>46004</v>
      </c>
      <c r="N344" s="84">
        <v>46004</v>
      </c>
      <c r="O344" t="s">
        <v>177</v>
      </c>
      <c r="P344" t="s">
        <v>178</v>
      </c>
      <c r="Q344">
        <v>14250</v>
      </c>
      <c r="R344">
        <v>5</v>
      </c>
      <c r="S344">
        <v>71250</v>
      </c>
      <c r="T344">
        <v>0</v>
      </c>
      <c r="U344">
        <v>0</v>
      </c>
      <c r="V344">
        <v>5</v>
      </c>
      <c r="W344">
        <v>71250</v>
      </c>
      <c r="X344">
        <v>750</v>
      </c>
      <c r="Y344">
        <v>1000</v>
      </c>
      <c r="Z344">
        <v>0</v>
      </c>
      <c r="AA344">
        <v>0</v>
      </c>
      <c r="AB344">
        <v>0</v>
      </c>
      <c r="AC344">
        <v>1750</v>
      </c>
    </row>
    <row r="345" spans="1:29">
      <c r="A345">
        <v>659</v>
      </c>
      <c r="B345" t="s">
        <v>149</v>
      </c>
      <c r="C345">
        <v>337</v>
      </c>
      <c r="D345" t="s">
        <v>57</v>
      </c>
      <c r="E345" t="str">
        <f t="shared" si="8"/>
        <v>00337</v>
      </c>
      <c r="F345" t="s">
        <v>49</v>
      </c>
      <c r="G345" t="s">
        <v>167</v>
      </c>
      <c r="H345" t="s">
        <v>151</v>
      </c>
      <c r="I345" t="s">
        <v>4</v>
      </c>
      <c r="J345" t="s">
        <v>152</v>
      </c>
      <c r="K345" t="s">
        <v>153</v>
      </c>
      <c r="L345">
        <v>251200336</v>
      </c>
      <c r="M345" s="84">
        <v>46004</v>
      </c>
      <c r="N345" s="84">
        <v>46004</v>
      </c>
      <c r="O345" t="s">
        <v>154</v>
      </c>
      <c r="P345" t="s">
        <v>155</v>
      </c>
      <c r="Q345">
        <v>14250</v>
      </c>
      <c r="R345">
        <v>10</v>
      </c>
      <c r="S345">
        <v>142500</v>
      </c>
      <c r="T345">
        <v>0</v>
      </c>
      <c r="U345">
        <v>0</v>
      </c>
      <c r="V345">
        <v>10</v>
      </c>
      <c r="W345">
        <v>142500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>
      <c r="A346">
        <v>660</v>
      </c>
      <c r="B346" t="s">
        <v>149</v>
      </c>
      <c r="C346">
        <v>337</v>
      </c>
      <c r="D346" t="s">
        <v>57</v>
      </c>
      <c r="E346" t="str">
        <f t="shared" si="8"/>
        <v>00337</v>
      </c>
      <c r="F346" t="s">
        <v>49</v>
      </c>
      <c r="G346" t="s">
        <v>167</v>
      </c>
      <c r="H346" t="s">
        <v>151</v>
      </c>
      <c r="I346" t="s">
        <v>4</v>
      </c>
      <c r="J346" t="s">
        <v>152</v>
      </c>
      <c r="K346" t="s">
        <v>153</v>
      </c>
      <c r="L346">
        <v>251200336</v>
      </c>
      <c r="M346" s="84">
        <v>46004</v>
      </c>
      <c r="N346" s="84">
        <v>46004</v>
      </c>
      <c r="O346" t="s">
        <v>162</v>
      </c>
      <c r="P346" t="s">
        <v>163</v>
      </c>
      <c r="Q346">
        <v>14250</v>
      </c>
      <c r="R346">
        <v>5</v>
      </c>
      <c r="S346">
        <v>71250</v>
      </c>
      <c r="T346">
        <v>0</v>
      </c>
      <c r="U346">
        <v>0</v>
      </c>
      <c r="V346">
        <v>5</v>
      </c>
      <c r="W346">
        <v>71250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>
      <c r="A347">
        <v>661</v>
      </c>
      <c r="B347" t="s">
        <v>149</v>
      </c>
      <c r="C347">
        <v>337</v>
      </c>
      <c r="D347" t="s">
        <v>57</v>
      </c>
      <c r="E347" t="str">
        <f t="shared" si="8"/>
        <v>00337</v>
      </c>
      <c r="F347" t="s">
        <v>49</v>
      </c>
      <c r="G347" t="s">
        <v>167</v>
      </c>
      <c r="H347" t="s">
        <v>151</v>
      </c>
      <c r="I347" t="s">
        <v>4</v>
      </c>
      <c r="J347" t="s">
        <v>152</v>
      </c>
      <c r="K347" t="s">
        <v>153</v>
      </c>
      <c r="L347">
        <v>251200336</v>
      </c>
      <c r="M347" s="84">
        <v>46004</v>
      </c>
      <c r="N347" s="84">
        <v>46004</v>
      </c>
      <c r="O347" t="s">
        <v>160</v>
      </c>
      <c r="P347" t="s">
        <v>161</v>
      </c>
      <c r="Q347">
        <v>14250</v>
      </c>
      <c r="R347">
        <v>20</v>
      </c>
      <c r="S347">
        <v>285000</v>
      </c>
      <c r="T347">
        <v>0</v>
      </c>
      <c r="U347">
        <v>0</v>
      </c>
      <c r="V347">
        <v>20</v>
      </c>
      <c r="W347">
        <v>285000</v>
      </c>
      <c r="X347">
        <v>3000</v>
      </c>
      <c r="Y347">
        <v>4000</v>
      </c>
      <c r="Z347">
        <v>0</v>
      </c>
      <c r="AA347">
        <v>0</v>
      </c>
      <c r="AB347">
        <v>0</v>
      </c>
      <c r="AC347">
        <v>7000</v>
      </c>
    </row>
    <row r="348" spans="1:29">
      <c r="A348">
        <v>662</v>
      </c>
      <c r="B348" t="s">
        <v>149</v>
      </c>
      <c r="C348">
        <v>867</v>
      </c>
      <c r="D348" t="s">
        <v>292</v>
      </c>
      <c r="E348" t="str">
        <f t="shared" si="8"/>
        <v>00867</v>
      </c>
      <c r="F348" t="s">
        <v>49</v>
      </c>
      <c r="G348" t="s">
        <v>167</v>
      </c>
      <c r="H348" t="s">
        <v>151</v>
      </c>
      <c r="I348" t="s">
        <v>238</v>
      </c>
      <c r="J348" t="s">
        <v>152</v>
      </c>
      <c r="K348" t="s">
        <v>153</v>
      </c>
      <c r="L348">
        <v>251200337</v>
      </c>
      <c r="M348" s="84">
        <v>46004</v>
      </c>
      <c r="N348" s="84">
        <v>46004</v>
      </c>
      <c r="O348" t="s">
        <v>247</v>
      </c>
      <c r="P348" t="s">
        <v>116</v>
      </c>
      <c r="Q348">
        <v>10982</v>
      </c>
      <c r="R348">
        <v>1</v>
      </c>
      <c r="S348">
        <v>10982</v>
      </c>
      <c r="T348">
        <v>0</v>
      </c>
      <c r="U348">
        <v>0</v>
      </c>
      <c r="V348">
        <v>1</v>
      </c>
      <c r="W348">
        <v>10982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>
      <c r="A349">
        <v>663</v>
      </c>
      <c r="B349" t="s">
        <v>149</v>
      </c>
      <c r="C349">
        <v>1362</v>
      </c>
      <c r="D349" t="s">
        <v>62</v>
      </c>
      <c r="E349" t="str">
        <f t="shared" si="8"/>
        <v>01362</v>
      </c>
      <c r="F349" t="s">
        <v>49</v>
      </c>
      <c r="G349" t="s">
        <v>167</v>
      </c>
      <c r="H349" t="s">
        <v>151</v>
      </c>
      <c r="I349" t="s">
        <v>5</v>
      </c>
      <c r="J349" t="s">
        <v>152</v>
      </c>
      <c r="K349" t="s">
        <v>153</v>
      </c>
      <c r="L349">
        <v>251200338</v>
      </c>
      <c r="M349" s="84">
        <v>46004</v>
      </c>
      <c r="N349" s="84">
        <v>46004</v>
      </c>
      <c r="O349" t="s">
        <v>191</v>
      </c>
      <c r="P349" t="s">
        <v>192</v>
      </c>
      <c r="Q349">
        <v>11700</v>
      </c>
      <c r="R349">
        <v>4</v>
      </c>
      <c r="S349">
        <v>46800</v>
      </c>
      <c r="T349">
        <v>0</v>
      </c>
      <c r="U349">
        <v>0</v>
      </c>
      <c r="V349">
        <v>4</v>
      </c>
      <c r="W349">
        <v>46800</v>
      </c>
      <c r="X349">
        <v>600</v>
      </c>
      <c r="Y349">
        <v>600</v>
      </c>
      <c r="Z349">
        <v>0</v>
      </c>
      <c r="AA349">
        <v>0</v>
      </c>
      <c r="AB349">
        <v>0</v>
      </c>
      <c r="AC349">
        <v>1200</v>
      </c>
    </row>
    <row r="350" spans="1:29">
      <c r="A350">
        <v>664</v>
      </c>
      <c r="B350" t="s">
        <v>149</v>
      </c>
      <c r="C350">
        <v>1362</v>
      </c>
      <c r="D350" t="s">
        <v>62</v>
      </c>
      <c r="E350" t="str">
        <f t="shared" si="8"/>
        <v>01362</v>
      </c>
      <c r="F350" t="s">
        <v>49</v>
      </c>
      <c r="G350" t="s">
        <v>167</v>
      </c>
      <c r="H350" t="s">
        <v>151</v>
      </c>
      <c r="I350" t="s">
        <v>4</v>
      </c>
      <c r="J350" t="s">
        <v>152</v>
      </c>
      <c r="K350" t="s">
        <v>153</v>
      </c>
      <c r="L350">
        <v>251200338</v>
      </c>
      <c r="M350" s="84">
        <v>46004</v>
      </c>
      <c r="N350" s="84">
        <v>46004</v>
      </c>
      <c r="O350" t="s">
        <v>160</v>
      </c>
      <c r="P350" t="s">
        <v>161</v>
      </c>
      <c r="Q350">
        <v>14250</v>
      </c>
      <c r="R350">
        <v>12</v>
      </c>
      <c r="S350">
        <v>171000</v>
      </c>
      <c r="T350">
        <v>0</v>
      </c>
      <c r="U350">
        <v>0</v>
      </c>
      <c r="V350">
        <v>12</v>
      </c>
      <c r="W350">
        <v>171000</v>
      </c>
      <c r="X350">
        <v>1800</v>
      </c>
      <c r="Y350">
        <v>2400</v>
      </c>
      <c r="Z350">
        <v>0</v>
      </c>
      <c r="AA350">
        <v>0</v>
      </c>
      <c r="AB350">
        <v>0</v>
      </c>
      <c r="AC350">
        <v>4200</v>
      </c>
    </row>
    <row r="351" spans="1:29">
      <c r="A351">
        <v>665</v>
      </c>
      <c r="B351" t="s">
        <v>149</v>
      </c>
      <c r="C351">
        <v>1149</v>
      </c>
      <c r="D351" t="s">
        <v>55</v>
      </c>
      <c r="E351" t="str">
        <f t="shared" si="8"/>
        <v>01149</v>
      </c>
      <c r="F351" t="s">
        <v>49</v>
      </c>
      <c r="G351" t="s">
        <v>167</v>
      </c>
      <c r="H351" t="s">
        <v>151</v>
      </c>
      <c r="I351" t="s">
        <v>4</v>
      </c>
      <c r="J351" t="s">
        <v>152</v>
      </c>
      <c r="K351" t="s">
        <v>153</v>
      </c>
      <c r="L351">
        <v>251200339</v>
      </c>
      <c r="M351" s="84">
        <v>46004</v>
      </c>
      <c r="N351" s="84">
        <v>46004</v>
      </c>
      <c r="O351" t="s">
        <v>179</v>
      </c>
      <c r="P351" t="s">
        <v>180</v>
      </c>
      <c r="Q351">
        <v>14250</v>
      </c>
      <c r="R351">
        <v>20</v>
      </c>
      <c r="S351">
        <v>285000</v>
      </c>
      <c r="T351">
        <v>0</v>
      </c>
      <c r="U351">
        <v>0</v>
      </c>
      <c r="V351">
        <v>20</v>
      </c>
      <c r="W351">
        <v>285000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>
      <c r="A352">
        <v>666</v>
      </c>
      <c r="B352" t="s">
        <v>149</v>
      </c>
      <c r="C352">
        <v>1149</v>
      </c>
      <c r="D352" t="s">
        <v>55</v>
      </c>
      <c r="E352" t="str">
        <f t="shared" si="8"/>
        <v>01149</v>
      </c>
      <c r="F352" t="s">
        <v>49</v>
      </c>
      <c r="G352" t="s">
        <v>167</v>
      </c>
      <c r="H352" t="s">
        <v>151</v>
      </c>
      <c r="I352" t="s">
        <v>4</v>
      </c>
      <c r="J352" t="s">
        <v>152</v>
      </c>
      <c r="K352" t="s">
        <v>153</v>
      </c>
      <c r="L352">
        <v>251200339</v>
      </c>
      <c r="M352" s="84">
        <v>46004</v>
      </c>
      <c r="N352" s="84">
        <v>46004</v>
      </c>
      <c r="O352" t="s">
        <v>219</v>
      </c>
      <c r="P352" t="s">
        <v>220</v>
      </c>
      <c r="Q352">
        <v>14250</v>
      </c>
      <c r="R352">
        <v>10</v>
      </c>
      <c r="S352">
        <v>142500</v>
      </c>
      <c r="T352">
        <v>0</v>
      </c>
      <c r="U352">
        <v>0</v>
      </c>
      <c r="V352">
        <v>10</v>
      </c>
      <c r="W352">
        <v>142500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>
      <c r="A353">
        <v>667</v>
      </c>
      <c r="B353" t="s">
        <v>149</v>
      </c>
      <c r="C353">
        <v>1149</v>
      </c>
      <c r="D353" t="s">
        <v>55</v>
      </c>
      <c r="E353" t="str">
        <f t="shared" si="8"/>
        <v>01149</v>
      </c>
      <c r="F353" t="s">
        <v>49</v>
      </c>
      <c r="G353" t="s">
        <v>167</v>
      </c>
      <c r="H353" t="s">
        <v>151</v>
      </c>
      <c r="I353" t="s">
        <v>4</v>
      </c>
      <c r="J353" t="s">
        <v>152</v>
      </c>
      <c r="K353" t="s">
        <v>153</v>
      </c>
      <c r="L353">
        <v>251200339</v>
      </c>
      <c r="M353" s="84">
        <v>46004</v>
      </c>
      <c r="N353" s="84">
        <v>46004</v>
      </c>
      <c r="O353" t="s">
        <v>168</v>
      </c>
      <c r="P353" t="s">
        <v>169</v>
      </c>
      <c r="Q353">
        <v>14250</v>
      </c>
      <c r="R353">
        <v>10</v>
      </c>
      <c r="S353">
        <v>142500</v>
      </c>
      <c r="T353">
        <v>0</v>
      </c>
      <c r="U353">
        <v>0</v>
      </c>
      <c r="V353">
        <v>10</v>
      </c>
      <c r="W353">
        <v>142500</v>
      </c>
      <c r="X353">
        <v>1500</v>
      </c>
      <c r="Y353">
        <v>2000</v>
      </c>
      <c r="Z353">
        <v>0</v>
      </c>
      <c r="AA353">
        <v>0</v>
      </c>
      <c r="AB353">
        <v>0</v>
      </c>
      <c r="AC353">
        <v>3500</v>
      </c>
    </row>
    <row r="354" spans="1:29">
      <c r="A354">
        <v>668</v>
      </c>
      <c r="B354" t="s">
        <v>149</v>
      </c>
      <c r="C354">
        <v>1149</v>
      </c>
      <c r="D354" t="s">
        <v>55</v>
      </c>
      <c r="E354" t="str">
        <f t="shared" si="8"/>
        <v>01149</v>
      </c>
      <c r="F354" t="s">
        <v>49</v>
      </c>
      <c r="G354" t="s">
        <v>167</v>
      </c>
      <c r="H354" t="s">
        <v>151</v>
      </c>
      <c r="I354" t="s">
        <v>4</v>
      </c>
      <c r="J354" t="s">
        <v>152</v>
      </c>
      <c r="K354" t="s">
        <v>153</v>
      </c>
      <c r="L354">
        <v>251200339</v>
      </c>
      <c r="M354" s="84">
        <v>46004</v>
      </c>
      <c r="N354" s="84">
        <v>46004</v>
      </c>
      <c r="O354" t="s">
        <v>177</v>
      </c>
      <c r="P354" t="s">
        <v>178</v>
      </c>
      <c r="Q354">
        <v>14250</v>
      </c>
      <c r="R354">
        <v>30</v>
      </c>
      <c r="S354">
        <v>427500</v>
      </c>
      <c r="T354">
        <v>0</v>
      </c>
      <c r="U354">
        <v>0</v>
      </c>
      <c r="V354">
        <v>30</v>
      </c>
      <c r="W354">
        <v>427500</v>
      </c>
      <c r="X354">
        <v>4500</v>
      </c>
      <c r="Y354">
        <v>6000</v>
      </c>
      <c r="Z354">
        <v>0</v>
      </c>
      <c r="AA354">
        <v>0</v>
      </c>
      <c r="AB354">
        <v>0</v>
      </c>
      <c r="AC354">
        <v>10500</v>
      </c>
    </row>
    <row r="355" spans="1:29">
      <c r="A355">
        <v>669</v>
      </c>
      <c r="B355" t="s">
        <v>149</v>
      </c>
      <c r="C355">
        <v>1149</v>
      </c>
      <c r="D355" t="s">
        <v>55</v>
      </c>
      <c r="E355" t="str">
        <f t="shared" si="8"/>
        <v>01149</v>
      </c>
      <c r="F355" t="s">
        <v>49</v>
      </c>
      <c r="G355" t="s">
        <v>167</v>
      </c>
      <c r="H355" t="s">
        <v>151</v>
      </c>
      <c r="I355" t="s">
        <v>4</v>
      </c>
      <c r="J355" t="s">
        <v>152</v>
      </c>
      <c r="K355" t="s">
        <v>153</v>
      </c>
      <c r="L355">
        <v>251200339</v>
      </c>
      <c r="M355" s="84">
        <v>46004</v>
      </c>
      <c r="N355" s="84">
        <v>46004</v>
      </c>
      <c r="O355" t="s">
        <v>162</v>
      </c>
      <c r="P355" t="s">
        <v>163</v>
      </c>
      <c r="Q355">
        <v>14250</v>
      </c>
      <c r="R355">
        <v>5</v>
      </c>
      <c r="S355">
        <v>71250</v>
      </c>
      <c r="T355">
        <v>0</v>
      </c>
      <c r="U355">
        <v>0</v>
      </c>
      <c r="V355">
        <v>5</v>
      </c>
      <c r="W355">
        <v>71250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>
      <c r="A356">
        <v>670</v>
      </c>
      <c r="B356" t="s">
        <v>149</v>
      </c>
      <c r="C356">
        <v>1581</v>
      </c>
      <c r="D356" t="s">
        <v>96</v>
      </c>
      <c r="E356" t="str">
        <f t="shared" si="8"/>
        <v>01581</v>
      </c>
      <c r="F356" t="s">
        <v>95</v>
      </c>
      <c r="G356" t="s">
        <v>187</v>
      </c>
      <c r="H356" t="s">
        <v>188</v>
      </c>
      <c r="I356" t="s">
        <v>4</v>
      </c>
      <c r="J356" t="s">
        <v>152</v>
      </c>
      <c r="K356" t="s">
        <v>159</v>
      </c>
      <c r="L356">
        <v>251200340</v>
      </c>
      <c r="M356" s="84">
        <v>46004</v>
      </c>
      <c r="N356" s="84">
        <v>46004</v>
      </c>
      <c r="O356" t="s">
        <v>262</v>
      </c>
      <c r="P356" t="s">
        <v>263</v>
      </c>
      <c r="Q356">
        <v>13300</v>
      </c>
      <c r="R356">
        <v>10</v>
      </c>
      <c r="S356">
        <v>133000</v>
      </c>
      <c r="T356">
        <v>0</v>
      </c>
      <c r="U356">
        <v>0</v>
      </c>
      <c r="V356">
        <v>10</v>
      </c>
      <c r="W356">
        <v>133000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>
      <c r="A357">
        <v>671</v>
      </c>
      <c r="B357" t="s">
        <v>149</v>
      </c>
      <c r="C357">
        <v>1581</v>
      </c>
      <c r="D357" t="s">
        <v>96</v>
      </c>
      <c r="E357" t="str">
        <f t="shared" si="8"/>
        <v>01581</v>
      </c>
      <c r="F357" t="s">
        <v>95</v>
      </c>
      <c r="G357" t="s">
        <v>187</v>
      </c>
      <c r="H357" t="s">
        <v>188</v>
      </c>
      <c r="I357" t="s">
        <v>4</v>
      </c>
      <c r="J357" t="s">
        <v>152</v>
      </c>
      <c r="K357" t="s">
        <v>159</v>
      </c>
      <c r="L357">
        <v>251200340</v>
      </c>
      <c r="M357" s="84">
        <v>46004</v>
      </c>
      <c r="N357" s="84">
        <v>46004</v>
      </c>
      <c r="O357" t="s">
        <v>221</v>
      </c>
      <c r="P357" t="s">
        <v>222</v>
      </c>
      <c r="Q357">
        <v>13300</v>
      </c>
      <c r="R357">
        <v>10</v>
      </c>
      <c r="S357">
        <v>133000</v>
      </c>
      <c r="T357">
        <v>0</v>
      </c>
      <c r="U357">
        <v>0</v>
      </c>
      <c r="V357">
        <v>10</v>
      </c>
      <c r="W357">
        <v>133000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>
      <c r="A358">
        <v>672</v>
      </c>
      <c r="B358" t="s">
        <v>149</v>
      </c>
      <c r="C358">
        <v>1581</v>
      </c>
      <c r="D358" t="s">
        <v>96</v>
      </c>
      <c r="E358" t="str">
        <f t="shared" si="8"/>
        <v>01581</v>
      </c>
      <c r="F358" t="s">
        <v>95</v>
      </c>
      <c r="G358" t="s">
        <v>187</v>
      </c>
      <c r="H358" t="s">
        <v>188</v>
      </c>
      <c r="I358" t="s">
        <v>5</v>
      </c>
      <c r="J358" t="s">
        <v>152</v>
      </c>
      <c r="K358" t="s">
        <v>159</v>
      </c>
      <c r="L358">
        <v>251200340</v>
      </c>
      <c r="M358" s="84">
        <v>46004</v>
      </c>
      <c r="N358" s="84">
        <v>46004</v>
      </c>
      <c r="O358" t="s">
        <v>198</v>
      </c>
      <c r="P358" t="s">
        <v>199</v>
      </c>
      <c r="Q358">
        <v>10800</v>
      </c>
      <c r="R358">
        <v>20</v>
      </c>
      <c r="S358">
        <v>216000</v>
      </c>
      <c r="T358">
        <v>0</v>
      </c>
      <c r="U358">
        <v>0</v>
      </c>
      <c r="V358">
        <v>20</v>
      </c>
      <c r="W358">
        <v>216000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>
      <c r="A359">
        <v>673</v>
      </c>
      <c r="B359" t="s">
        <v>149</v>
      </c>
      <c r="C359">
        <v>1385</v>
      </c>
      <c r="D359" t="s">
        <v>27</v>
      </c>
      <c r="E359" t="str">
        <f t="shared" si="8"/>
        <v>01385</v>
      </c>
      <c r="F359" t="s">
        <v>20</v>
      </c>
      <c r="G359" t="s">
        <v>193</v>
      </c>
      <c r="H359" t="s">
        <v>151</v>
      </c>
      <c r="I359" t="s">
        <v>4</v>
      </c>
      <c r="J359" t="s">
        <v>152</v>
      </c>
      <c r="K359" t="s">
        <v>236</v>
      </c>
      <c r="L359">
        <v>251200341</v>
      </c>
      <c r="M359" s="84">
        <v>46004</v>
      </c>
      <c r="N359" s="84">
        <v>46004</v>
      </c>
      <c r="O359" t="s">
        <v>219</v>
      </c>
      <c r="P359" t="s">
        <v>220</v>
      </c>
      <c r="Q359">
        <v>14250</v>
      </c>
      <c r="R359">
        <v>10</v>
      </c>
      <c r="S359">
        <v>142500</v>
      </c>
      <c r="T359">
        <v>0</v>
      </c>
      <c r="U359">
        <v>0</v>
      </c>
      <c r="V359">
        <v>10</v>
      </c>
      <c r="W359">
        <v>142500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>
      <c r="A360">
        <v>674</v>
      </c>
      <c r="B360" t="s">
        <v>149</v>
      </c>
      <c r="C360">
        <v>1385</v>
      </c>
      <c r="D360" t="s">
        <v>27</v>
      </c>
      <c r="E360" t="str">
        <f t="shared" si="8"/>
        <v>01385</v>
      </c>
      <c r="F360" t="s">
        <v>20</v>
      </c>
      <c r="G360" t="s">
        <v>193</v>
      </c>
      <c r="H360" t="s">
        <v>151</v>
      </c>
      <c r="I360" t="s">
        <v>4</v>
      </c>
      <c r="J360" t="s">
        <v>152</v>
      </c>
      <c r="K360" t="s">
        <v>236</v>
      </c>
      <c r="L360">
        <v>251200341</v>
      </c>
      <c r="M360" s="84">
        <v>46004</v>
      </c>
      <c r="N360" s="84">
        <v>46004</v>
      </c>
      <c r="O360" t="s">
        <v>168</v>
      </c>
      <c r="P360" t="s">
        <v>169</v>
      </c>
      <c r="Q360">
        <v>14250</v>
      </c>
      <c r="R360">
        <v>10</v>
      </c>
      <c r="S360">
        <v>142500</v>
      </c>
      <c r="T360">
        <v>0</v>
      </c>
      <c r="U360">
        <v>0</v>
      </c>
      <c r="V360">
        <v>10</v>
      </c>
      <c r="W360">
        <v>142500</v>
      </c>
      <c r="X360">
        <v>1500</v>
      </c>
      <c r="Y360">
        <v>2000</v>
      </c>
      <c r="Z360">
        <v>0</v>
      </c>
      <c r="AA360">
        <v>0</v>
      </c>
      <c r="AB360">
        <v>0</v>
      </c>
      <c r="AC360">
        <v>3500</v>
      </c>
    </row>
    <row r="361" spans="1:29">
      <c r="A361">
        <v>675</v>
      </c>
      <c r="B361" t="s">
        <v>149</v>
      </c>
      <c r="C361">
        <v>1448</v>
      </c>
      <c r="D361" t="s">
        <v>21</v>
      </c>
      <c r="E361" t="str">
        <f t="shared" si="8"/>
        <v>01448</v>
      </c>
      <c r="F361" t="s">
        <v>20</v>
      </c>
      <c r="G361" t="s">
        <v>193</v>
      </c>
      <c r="H361" t="s">
        <v>151</v>
      </c>
      <c r="I361" t="s">
        <v>4</v>
      </c>
      <c r="J361" t="s">
        <v>152</v>
      </c>
      <c r="K361" t="s">
        <v>236</v>
      </c>
      <c r="L361">
        <v>251200342</v>
      </c>
      <c r="M361" s="84">
        <v>46004</v>
      </c>
      <c r="N361" s="84">
        <v>46004</v>
      </c>
      <c r="O361" t="s">
        <v>160</v>
      </c>
      <c r="P361" t="s">
        <v>161</v>
      </c>
      <c r="Q361">
        <v>14250</v>
      </c>
      <c r="R361">
        <v>5</v>
      </c>
      <c r="S361">
        <v>71250</v>
      </c>
      <c r="T361">
        <v>0</v>
      </c>
      <c r="U361">
        <v>0</v>
      </c>
      <c r="V361">
        <v>5</v>
      </c>
      <c r="W361">
        <v>71250</v>
      </c>
      <c r="X361">
        <v>750</v>
      </c>
      <c r="Y361">
        <v>1000</v>
      </c>
      <c r="Z361">
        <v>0</v>
      </c>
      <c r="AA361">
        <v>0</v>
      </c>
      <c r="AB361">
        <v>0</v>
      </c>
      <c r="AC361">
        <v>1750</v>
      </c>
    </row>
    <row r="362" spans="1:29">
      <c r="A362">
        <v>676</v>
      </c>
      <c r="B362" t="s">
        <v>149</v>
      </c>
      <c r="C362">
        <v>1448</v>
      </c>
      <c r="D362" t="s">
        <v>21</v>
      </c>
      <c r="E362" t="str">
        <f t="shared" si="8"/>
        <v>01448</v>
      </c>
      <c r="F362" t="s">
        <v>20</v>
      </c>
      <c r="G362" t="s">
        <v>193</v>
      </c>
      <c r="H362" t="s">
        <v>151</v>
      </c>
      <c r="I362" t="s">
        <v>4</v>
      </c>
      <c r="J362" t="s">
        <v>152</v>
      </c>
      <c r="K362" t="s">
        <v>236</v>
      </c>
      <c r="L362">
        <v>251200342</v>
      </c>
      <c r="M362" s="84">
        <v>46004</v>
      </c>
      <c r="N362" s="84">
        <v>46004</v>
      </c>
      <c r="O362" t="s">
        <v>262</v>
      </c>
      <c r="P362" t="s">
        <v>263</v>
      </c>
      <c r="Q362">
        <v>14250</v>
      </c>
      <c r="R362">
        <v>5</v>
      </c>
      <c r="S362">
        <v>71250</v>
      </c>
      <c r="T362">
        <v>0</v>
      </c>
      <c r="U362">
        <v>0</v>
      </c>
      <c r="V362">
        <v>5</v>
      </c>
      <c r="W362">
        <v>71250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>
      <c r="A363">
        <v>677</v>
      </c>
      <c r="B363" t="s">
        <v>149</v>
      </c>
      <c r="C363">
        <v>471</v>
      </c>
      <c r="D363" t="s">
        <v>25</v>
      </c>
      <c r="E363" t="str">
        <f t="shared" si="8"/>
        <v>00471</v>
      </c>
      <c r="F363" t="s">
        <v>20</v>
      </c>
      <c r="G363" t="s">
        <v>193</v>
      </c>
      <c r="H363" t="s">
        <v>151</v>
      </c>
      <c r="I363" t="s">
        <v>4</v>
      </c>
      <c r="J363" t="s">
        <v>152</v>
      </c>
      <c r="K363" t="s">
        <v>236</v>
      </c>
      <c r="L363">
        <v>251200343</v>
      </c>
      <c r="M363" s="84">
        <v>46004</v>
      </c>
      <c r="N363" s="84">
        <v>46004</v>
      </c>
      <c r="O363" t="s">
        <v>179</v>
      </c>
      <c r="P363" t="s">
        <v>180</v>
      </c>
      <c r="Q363">
        <v>14250</v>
      </c>
      <c r="R363">
        <v>10</v>
      </c>
      <c r="S363">
        <v>142500</v>
      </c>
      <c r="T363">
        <v>0</v>
      </c>
      <c r="U363">
        <v>0</v>
      </c>
      <c r="V363">
        <v>10</v>
      </c>
      <c r="W363">
        <v>142500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>
      <c r="A364">
        <v>678</v>
      </c>
      <c r="B364" t="s">
        <v>149</v>
      </c>
      <c r="C364">
        <v>471</v>
      </c>
      <c r="D364" t="s">
        <v>25</v>
      </c>
      <c r="E364" t="str">
        <f t="shared" si="8"/>
        <v>00471</v>
      </c>
      <c r="F364" t="s">
        <v>20</v>
      </c>
      <c r="G364" t="s">
        <v>193</v>
      </c>
      <c r="H364" t="s">
        <v>151</v>
      </c>
      <c r="I364" t="s">
        <v>4</v>
      </c>
      <c r="J364" t="s">
        <v>152</v>
      </c>
      <c r="K364" t="s">
        <v>236</v>
      </c>
      <c r="L364">
        <v>251200343</v>
      </c>
      <c r="M364" s="84">
        <v>46004</v>
      </c>
      <c r="N364" s="84">
        <v>46004</v>
      </c>
      <c r="O364" t="s">
        <v>206</v>
      </c>
      <c r="P364" t="s">
        <v>207</v>
      </c>
      <c r="Q364">
        <v>14250</v>
      </c>
      <c r="R364">
        <v>10</v>
      </c>
      <c r="S364">
        <v>142500</v>
      </c>
      <c r="T364">
        <v>0</v>
      </c>
      <c r="U364">
        <v>0</v>
      </c>
      <c r="V364">
        <v>10</v>
      </c>
      <c r="W364">
        <v>142500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>
      <c r="A365">
        <v>679</v>
      </c>
      <c r="B365" t="s">
        <v>149</v>
      </c>
      <c r="C365">
        <v>471</v>
      </c>
      <c r="D365" t="s">
        <v>25</v>
      </c>
      <c r="E365" t="str">
        <f t="shared" si="8"/>
        <v>00471</v>
      </c>
      <c r="F365" t="s">
        <v>20</v>
      </c>
      <c r="G365" t="s">
        <v>193</v>
      </c>
      <c r="H365" t="s">
        <v>151</v>
      </c>
      <c r="I365" t="s">
        <v>4</v>
      </c>
      <c r="J365" t="s">
        <v>152</v>
      </c>
      <c r="K365" t="s">
        <v>236</v>
      </c>
      <c r="L365">
        <v>251200343</v>
      </c>
      <c r="M365" s="84">
        <v>46004</v>
      </c>
      <c r="N365" s="84">
        <v>46004</v>
      </c>
      <c r="O365" t="s">
        <v>160</v>
      </c>
      <c r="P365" t="s">
        <v>161</v>
      </c>
      <c r="Q365">
        <v>14250</v>
      </c>
      <c r="R365">
        <v>10</v>
      </c>
      <c r="S365">
        <v>142500</v>
      </c>
      <c r="T365">
        <v>0</v>
      </c>
      <c r="U365">
        <v>0</v>
      </c>
      <c r="V365">
        <v>10</v>
      </c>
      <c r="W365">
        <v>142500</v>
      </c>
      <c r="X365">
        <v>1500</v>
      </c>
      <c r="Y365">
        <v>2000</v>
      </c>
      <c r="Z365">
        <v>0</v>
      </c>
      <c r="AA365">
        <v>0</v>
      </c>
      <c r="AB365">
        <v>0</v>
      </c>
      <c r="AC365">
        <v>3500</v>
      </c>
    </row>
    <row r="366" spans="1:29">
      <c r="A366">
        <v>683</v>
      </c>
      <c r="B366" t="s">
        <v>149</v>
      </c>
      <c r="C366">
        <v>1395</v>
      </c>
      <c r="D366" t="s">
        <v>101</v>
      </c>
      <c r="E366" t="str">
        <f t="shared" si="8"/>
        <v>01395</v>
      </c>
      <c r="F366" t="s">
        <v>95</v>
      </c>
      <c r="G366" t="s">
        <v>187</v>
      </c>
      <c r="H366" t="s">
        <v>188</v>
      </c>
      <c r="I366" t="s">
        <v>4</v>
      </c>
      <c r="J366" t="s">
        <v>152</v>
      </c>
      <c r="K366" t="s">
        <v>159</v>
      </c>
      <c r="L366">
        <v>251200347</v>
      </c>
      <c r="M366" s="84">
        <v>46004</v>
      </c>
      <c r="N366" s="84">
        <v>46004</v>
      </c>
      <c r="O366" t="s">
        <v>262</v>
      </c>
      <c r="P366" t="s">
        <v>263</v>
      </c>
      <c r="Q366">
        <v>13200</v>
      </c>
      <c r="R366">
        <v>1</v>
      </c>
      <c r="S366">
        <v>13200</v>
      </c>
      <c r="T366">
        <v>0</v>
      </c>
      <c r="U366">
        <v>0</v>
      </c>
      <c r="V366">
        <v>1</v>
      </c>
      <c r="W366">
        <v>13200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>
      <c r="A367">
        <v>684</v>
      </c>
      <c r="B367" t="s">
        <v>149</v>
      </c>
      <c r="C367">
        <v>133</v>
      </c>
      <c r="D367" t="s">
        <v>77</v>
      </c>
      <c r="E367" t="str">
        <f t="shared" si="8"/>
        <v>00133</v>
      </c>
      <c r="F367" t="s">
        <v>73</v>
      </c>
      <c r="G367" t="s">
        <v>185</v>
      </c>
      <c r="H367" t="s">
        <v>151</v>
      </c>
      <c r="I367" t="s">
        <v>4</v>
      </c>
      <c r="J367" t="s">
        <v>152</v>
      </c>
      <c r="K367" t="s">
        <v>153</v>
      </c>
      <c r="L367">
        <v>251200348</v>
      </c>
      <c r="M367" s="84">
        <v>46004</v>
      </c>
      <c r="N367" s="84">
        <v>46004</v>
      </c>
      <c r="O367" t="s">
        <v>160</v>
      </c>
      <c r="P367" t="s">
        <v>161</v>
      </c>
      <c r="Q367">
        <v>14250</v>
      </c>
      <c r="R367">
        <v>10</v>
      </c>
      <c r="S367">
        <v>142500</v>
      </c>
      <c r="T367">
        <v>0</v>
      </c>
      <c r="U367">
        <v>0</v>
      </c>
      <c r="V367">
        <v>10</v>
      </c>
      <c r="W367">
        <v>142500</v>
      </c>
      <c r="X367">
        <v>1500</v>
      </c>
      <c r="Y367">
        <v>2000</v>
      </c>
      <c r="Z367">
        <v>0</v>
      </c>
      <c r="AA367">
        <v>0</v>
      </c>
      <c r="AB367">
        <v>0</v>
      </c>
      <c r="AC367">
        <v>3500</v>
      </c>
    </row>
    <row r="368" spans="1:29">
      <c r="A368">
        <v>686</v>
      </c>
      <c r="B368" t="s">
        <v>149</v>
      </c>
      <c r="C368">
        <v>988</v>
      </c>
      <c r="D368" t="s">
        <v>19</v>
      </c>
      <c r="E368" t="str">
        <f t="shared" si="8"/>
        <v>00988</v>
      </c>
      <c r="F368" t="s">
        <v>15</v>
      </c>
      <c r="G368" t="s">
        <v>193</v>
      </c>
      <c r="H368" t="s">
        <v>151</v>
      </c>
      <c r="I368" t="s">
        <v>4</v>
      </c>
      <c r="J368" t="s">
        <v>152</v>
      </c>
      <c r="K368" t="s">
        <v>153</v>
      </c>
      <c r="L368">
        <v>251200350</v>
      </c>
      <c r="M368" s="84">
        <v>46004</v>
      </c>
      <c r="N368" s="84">
        <v>46004</v>
      </c>
      <c r="O368" t="s">
        <v>179</v>
      </c>
      <c r="P368" t="s">
        <v>180</v>
      </c>
      <c r="Q368">
        <v>14250</v>
      </c>
      <c r="R368">
        <v>5</v>
      </c>
      <c r="S368">
        <v>71250</v>
      </c>
      <c r="T368">
        <v>0</v>
      </c>
      <c r="U368">
        <v>0</v>
      </c>
      <c r="V368">
        <v>5</v>
      </c>
      <c r="W368">
        <v>71250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>
      <c r="A369">
        <v>687</v>
      </c>
      <c r="B369" t="s">
        <v>149</v>
      </c>
      <c r="C369">
        <v>988</v>
      </c>
      <c r="D369" t="s">
        <v>19</v>
      </c>
      <c r="E369" t="str">
        <f t="shared" si="8"/>
        <v>00988</v>
      </c>
      <c r="F369" t="s">
        <v>15</v>
      </c>
      <c r="G369" t="s">
        <v>193</v>
      </c>
      <c r="H369" t="s">
        <v>151</v>
      </c>
      <c r="I369" t="s">
        <v>238</v>
      </c>
      <c r="J369" t="s">
        <v>152</v>
      </c>
      <c r="K369" t="s">
        <v>153</v>
      </c>
      <c r="L369">
        <v>251200350</v>
      </c>
      <c r="M369" s="84">
        <v>46004</v>
      </c>
      <c r="N369" s="84">
        <v>46004</v>
      </c>
      <c r="O369" t="s">
        <v>247</v>
      </c>
      <c r="P369" t="s">
        <v>116</v>
      </c>
      <c r="Q369">
        <v>10982</v>
      </c>
      <c r="R369">
        <v>1</v>
      </c>
      <c r="S369">
        <v>10982</v>
      </c>
      <c r="T369">
        <v>0</v>
      </c>
      <c r="U369">
        <v>0</v>
      </c>
      <c r="V369">
        <v>1</v>
      </c>
      <c r="W369">
        <v>10982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>
      <c r="A370">
        <v>688</v>
      </c>
      <c r="B370" t="s">
        <v>149</v>
      </c>
      <c r="C370">
        <v>988</v>
      </c>
      <c r="D370" t="s">
        <v>19</v>
      </c>
      <c r="E370" t="str">
        <f t="shared" si="8"/>
        <v>00988</v>
      </c>
      <c r="F370" t="s">
        <v>15</v>
      </c>
      <c r="G370" t="s">
        <v>193</v>
      </c>
      <c r="H370" t="s">
        <v>151</v>
      </c>
      <c r="I370" t="s">
        <v>231</v>
      </c>
      <c r="J370" t="s">
        <v>152</v>
      </c>
      <c r="K370" t="s">
        <v>153</v>
      </c>
      <c r="L370">
        <v>251200350</v>
      </c>
      <c r="M370" s="84">
        <v>46004</v>
      </c>
      <c r="N370" s="84">
        <v>46004</v>
      </c>
      <c r="O370" t="s">
        <v>232</v>
      </c>
      <c r="P370" t="s">
        <v>122</v>
      </c>
      <c r="Q370">
        <v>6213</v>
      </c>
      <c r="R370">
        <v>2</v>
      </c>
      <c r="S370">
        <v>12426</v>
      </c>
      <c r="T370">
        <v>0</v>
      </c>
      <c r="U370">
        <v>0</v>
      </c>
      <c r="V370">
        <v>2</v>
      </c>
      <c r="W370">
        <v>12426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>
      <c r="A371">
        <v>689</v>
      </c>
      <c r="B371" t="s">
        <v>149</v>
      </c>
      <c r="C371">
        <v>988</v>
      </c>
      <c r="D371" t="s">
        <v>19</v>
      </c>
      <c r="E371" t="str">
        <f t="shared" si="8"/>
        <v>00988</v>
      </c>
      <c r="F371" t="s">
        <v>15</v>
      </c>
      <c r="G371" t="s">
        <v>193</v>
      </c>
      <c r="H371" t="s">
        <v>151</v>
      </c>
      <c r="I371" t="s">
        <v>238</v>
      </c>
      <c r="J371" t="s">
        <v>152</v>
      </c>
      <c r="K371" t="s">
        <v>153</v>
      </c>
      <c r="L371">
        <v>251200350</v>
      </c>
      <c r="M371" s="84">
        <v>46004</v>
      </c>
      <c r="N371" s="84">
        <v>46004</v>
      </c>
      <c r="O371" t="s">
        <v>282</v>
      </c>
      <c r="P371" t="s">
        <v>283</v>
      </c>
      <c r="Q371">
        <v>18880</v>
      </c>
      <c r="R371">
        <v>2</v>
      </c>
      <c r="S371">
        <v>37760</v>
      </c>
      <c r="T371">
        <v>0</v>
      </c>
      <c r="U371">
        <v>0</v>
      </c>
      <c r="V371">
        <v>2</v>
      </c>
      <c r="W371">
        <v>37760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>
      <c r="A372">
        <v>690</v>
      </c>
      <c r="B372" t="s">
        <v>149</v>
      </c>
      <c r="C372">
        <v>988</v>
      </c>
      <c r="D372" t="s">
        <v>19</v>
      </c>
      <c r="E372" t="str">
        <f t="shared" si="8"/>
        <v>00988</v>
      </c>
      <c r="F372" t="s">
        <v>15</v>
      </c>
      <c r="G372" t="s">
        <v>193</v>
      </c>
      <c r="H372" t="s">
        <v>151</v>
      </c>
      <c r="I372" t="s">
        <v>5</v>
      </c>
      <c r="J372" t="s">
        <v>152</v>
      </c>
      <c r="K372" t="s">
        <v>153</v>
      </c>
      <c r="L372">
        <v>251200350</v>
      </c>
      <c r="M372" s="84">
        <v>46004</v>
      </c>
      <c r="N372" s="84">
        <v>46004</v>
      </c>
      <c r="O372" t="s">
        <v>191</v>
      </c>
      <c r="P372" t="s">
        <v>192</v>
      </c>
      <c r="Q372">
        <v>11700</v>
      </c>
      <c r="R372">
        <v>8</v>
      </c>
      <c r="S372">
        <v>93600</v>
      </c>
      <c r="T372">
        <v>0</v>
      </c>
      <c r="U372">
        <v>0</v>
      </c>
      <c r="V372">
        <v>8</v>
      </c>
      <c r="W372">
        <v>93600</v>
      </c>
      <c r="X372">
        <v>1200</v>
      </c>
      <c r="Y372">
        <v>1200</v>
      </c>
      <c r="Z372">
        <v>0</v>
      </c>
      <c r="AA372">
        <v>0</v>
      </c>
      <c r="AB372">
        <v>0</v>
      </c>
      <c r="AC372">
        <v>2400</v>
      </c>
    </row>
    <row r="373" spans="1:29">
      <c r="A373">
        <v>691</v>
      </c>
      <c r="B373" t="s">
        <v>149</v>
      </c>
      <c r="C373">
        <v>845</v>
      </c>
      <c r="D373" t="s">
        <v>293</v>
      </c>
      <c r="E373" t="str">
        <f t="shared" si="8"/>
        <v>00845</v>
      </c>
      <c r="F373" t="s">
        <v>15</v>
      </c>
      <c r="G373" t="s">
        <v>193</v>
      </c>
      <c r="H373" t="s">
        <v>151</v>
      </c>
      <c r="I373" t="s">
        <v>210</v>
      </c>
      <c r="J373" t="s">
        <v>152</v>
      </c>
      <c r="K373" t="s">
        <v>153</v>
      </c>
      <c r="L373">
        <v>251200351</v>
      </c>
      <c r="M373" s="84">
        <v>46004</v>
      </c>
      <c r="N373" s="84">
        <v>46004</v>
      </c>
      <c r="O373" t="s">
        <v>250</v>
      </c>
      <c r="P373" t="s">
        <v>251</v>
      </c>
      <c r="Q373">
        <v>30930</v>
      </c>
      <c r="R373">
        <v>2</v>
      </c>
      <c r="S373">
        <v>61860</v>
      </c>
      <c r="T373">
        <v>0</v>
      </c>
      <c r="U373">
        <v>0</v>
      </c>
      <c r="V373">
        <v>2</v>
      </c>
      <c r="W373">
        <v>61860</v>
      </c>
      <c r="X373">
        <v>1856</v>
      </c>
      <c r="Y373">
        <v>2474</v>
      </c>
      <c r="Z373">
        <v>1238</v>
      </c>
      <c r="AA373">
        <v>3094</v>
      </c>
      <c r="AB373">
        <v>200</v>
      </c>
      <c r="AC373">
        <v>8862</v>
      </c>
    </row>
    <row r="374" spans="1:29">
      <c r="A374">
        <v>692</v>
      </c>
      <c r="B374" t="s">
        <v>149</v>
      </c>
      <c r="C374">
        <v>845</v>
      </c>
      <c r="D374" t="s">
        <v>293</v>
      </c>
      <c r="E374" t="str">
        <f t="shared" si="8"/>
        <v>00845</v>
      </c>
      <c r="F374" t="s">
        <v>15</v>
      </c>
      <c r="G374" t="s">
        <v>193</v>
      </c>
      <c r="H374" t="s">
        <v>151</v>
      </c>
      <c r="I374" t="s">
        <v>210</v>
      </c>
      <c r="J374" t="s">
        <v>152</v>
      </c>
      <c r="K374" t="s">
        <v>153</v>
      </c>
      <c r="L374">
        <v>251200351</v>
      </c>
      <c r="M374" s="84">
        <v>46004</v>
      </c>
      <c r="N374" s="84">
        <v>46004</v>
      </c>
      <c r="O374" t="s">
        <v>213</v>
      </c>
      <c r="P374" t="s">
        <v>214</v>
      </c>
      <c r="Q374">
        <v>23802</v>
      </c>
      <c r="R374">
        <v>4</v>
      </c>
      <c r="S374">
        <v>95208</v>
      </c>
      <c r="T374">
        <v>0</v>
      </c>
      <c r="U374">
        <v>0</v>
      </c>
      <c r="V374">
        <v>4</v>
      </c>
      <c r="W374">
        <v>95208</v>
      </c>
      <c r="X374">
        <v>1904</v>
      </c>
      <c r="Y374">
        <v>1904</v>
      </c>
      <c r="Z374">
        <v>4000</v>
      </c>
      <c r="AA374">
        <v>0</v>
      </c>
      <c r="AB374">
        <v>400</v>
      </c>
      <c r="AC374">
        <v>8208</v>
      </c>
    </row>
    <row r="375" spans="1:29">
      <c r="A375">
        <v>695</v>
      </c>
      <c r="B375" t="s">
        <v>149</v>
      </c>
      <c r="C375">
        <v>420</v>
      </c>
      <c r="D375" t="s">
        <v>17</v>
      </c>
      <c r="E375" t="str">
        <f t="shared" si="8"/>
        <v>00420</v>
      </c>
      <c r="F375" t="s">
        <v>15</v>
      </c>
      <c r="G375" t="s">
        <v>193</v>
      </c>
      <c r="H375" t="s">
        <v>151</v>
      </c>
      <c r="I375" t="s">
        <v>4</v>
      </c>
      <c r="J375" t="s">
        <v>152</v>
      </c>
      <c r="K375" t="s">
        <v>153</v>
      </c>
      <c r="L375">
        <v>251200353</v>
      </c>
      <c r="M375" s="84">
        <v>46004</v>
      </c>
      <c r="N375" s="84">
        <v>46004</v>
      </c>
      <c r="O375" t="s">
        <v>154</v>
      </c>
      <c r="P375" t="s">
        <v>155</v>
      </c>
      <c r="Q375">
        <v>14250</v>
      </c>
      <c r="R375">
        <v>7</v>
      </c>
      <c r="S375">
        <v>99750</v>
      </c>
      <c r="T375">
        <v>0</v>
      </c>
      <c r="U375">
        <v>0</v>
      </c>
      <c r="V375">
        <v>7</v>
      </c>
      <c r="W375">
        <v>99750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>
      <c r="A376">
        <v>700</v>
      </c>
      <c r="B376" t="s">
        <v>149</v>
      </c>
      <c r="C376">
        <v>1284</v>
      </c>
      <c r="D376" t="s">
        <v>186</v>
      </c>
      <c r="E376" t="str">
        <f t="shared" si="8"/>
        <v>01284</v>
      </c>
      <c r="F376" t="s">
        <v>171</v>
      </c>
      <c r="G376" t="s">
        <v>172</v>
      </c>
      <c r="H376" t="s">
        <v>157</v>
      </c>
      <c r="I376" t="s">
        <v>173</v>
      </c>
      <c r="J376" t="s">
        <v>152</v>
      </c>
      <c r="K376" t="s">
        <v>174</v>
      </c>
      <c r="L376">
        <v>251200357</v>
      </c>
      <c r="M376" s="84">
        <v>46004</v>
      </c>
      <c r="N376" s="84">
        <v>46004</v>
      </c>
      <c r="O376" t="s">
        <v>265</v>
      </c>
      <c r="P376" t="s">
        <v>266</v>
      </c>
      <c r="Q376">
        <v>13849</v>
      </c>
      <c r="R376">
        <v>1</v>
      </c>
      <c r="S376">
        <v>13849</v>
      </c>
      <c r="T376">
        <v>0</v>
      </c>
      <c r="U376">
        <v>0</v>
      </c>
      <c r="V376">
        <v>1</v>
      </c>
      <c r="W376">
        <v>13849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>
      <c r="A377">
        <v>707</v>
      </c>
      <c r="B377" t="s">
        <v>149</v>
      </c>
      <c r="C377">
        <v>1250</v>
      </c>
      <c r="D377" t="s">
        <v>87</v>
      </c>
      <c r="E377" t="str">
        <f t="shared" si="8"/>
        <v>01250</v>
      </c>
      <c r="F377" t="s">
        <v>86</v>
      </c>
      <c r="G377" t="s">
        <v>156</v>
      </c>
      <c r="H377" t="s">
        <v>157</v>
      </c>
      <c r="I377" t="s">
        <v>4</v>
      </c>
      <c r="J377" t="s">
        <v>152</v>
      </c>
      <c r="K377" t="s">
        <v>159</v>
      </c>
      <c r="L377">
        <v>251200363</v>
      </c>
      <c r="M377" s="84">
        <v>46004</v>
      </c>
      <c r="N377" s="84">
        <v>46004</v>
      </c>
      <c r="O377" t="s">
        <v>294</v>
      </c>
      <c r="P377" t="s">
        <v>295</v>
      </c>
      <c r="Q377">
        <v>14250</v>
      </c>
      <c r="R377">
        <v>15</v>
      </c>
      <c r="S377">
        <v>213750</v>
      </c>
      <c r="T377">
        <v>0</v>
      </c>
      <c r="U377">
        <v>0</v>
      </c>
      <c r="V377">
        <v>15</v>
      </c>
      <c r="W377">
        <v>213750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>
      <c r="A378">
        <v>713</v>
      </c>
      <c r="B378" t="s">
        <v>149</v>
      </c>
      <c r="C378">
        <v>1429</v>
      </c>
      <c r="D378" t="s">
        <v>47</v>
      </c>
      <c r="E378" t="str">
        <f t="shared" si="8"/>
        <v>01429</v>
      </c>
      <c r="F378" t="s">
        <v>43</v>
      </c>
      <c r="G378" t="s">
        <v>150</v>
      </c>
      <c r="H378" t="s">
        <v>151</v>
      </c>
      <c r="I378" t="s">
        <v>5</v>
      </c>
      <c r="J378" t="s">
        <v>152</v>
      </c>
      <c r="K378" t="s">
        <v>153</v>
      </c>
      <c r="L378">
        <v>251200367</v>
      </c>
      <c r="M378" s="84">
        <v>46004</v>
      </c>
      <c r="N378" s="84">
        <v>46004</v>
      </c>
      <c r="O378" t="s">
        <v>191</v>
      </c>
      <c r="P378" t="s">
        <v>192</v>
      </c>
      <c r="Q378">
        <v>11700</v>
      </c>
      <c r="R378">
        <v>8</v>
      </c>
      <c r="S378">
        <v>93600</v>
      </c>
      <c r="T378">
        <v>0</v>
      </c>
      <c r="U378">
        <v>0</v>
      </c>
      <c r="V378">
        <v>8</v>
      </c>
      <c r="W378">
        <v>93600</v>
      </c>
      <c r="X378">
        <v>1200</v>
      </c>
      <c r="Y378">
        <v>1200</v>
      </c>
      <c r="Z378">
        <v>0</v>
      </c>
      <c r="AA378">
        <v>0</v>
      </c>
      <c r="AB378">
        <v>0</v>
      </c>
      <c r="AC378">
        <v>2400</v>
      </c>
    </row>
    <row r="379" spans="1:29">
      <c r="A379">
        <v>726</v>
      </c>
      <c r="B379" t="s">
        <v>149</v>
      </c>
      <c r="C379">
        <v>1395</v>
      </c>
      <c r="D379" t="s">
        <v>101</v>
      </c>
      <c r="E379" t="str">
        <f t="shared" si="8"/>
        <v>01395</v>
      </c>
      <c r="F379" t="s">
        <v>95</v>
      </c>
      <c r="G379" t="s">
        <v>187</v>
      </c>
      <c r="H379" t="s">
        <v>188</v>
      </c>
      <c r="I379" t="s">
        <v>4</v>
      </c>
      <c r="J379" t="s">
        <v>152</v>
      </c>
      <c r="K379" t="s">
        <v>159</v>
      </c>
      <c r="L379">
        <v>251200374</v>
      </c>
      <c r="M379" s="84">
        <v>46005</v>
      </c>
      <c r="N379" s="84">
        <v>46005</v>
      </c>
      <c r="O379" t="s">
        <v>160</v>
      </c>
      <c r="P379" t="s">
        <v>161</v>
      </c>
      <c r="Q379">
        <v>13200</v>
      </c>
      <c r="R379">
        <v>7</v>
      </c>
      <c r="S379">
        <v>92400</v>
      </c>
      <c r="T379">
        <v>0</v>
      </c>
      <c r="U379">
        <v>0</v>
      </c>
      <c r="V379">
        <v>7</v>
      </c>
      <c r="W379">
        <v>92400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>
      <c r="A380">
        <v>728</v>
      </c>
      <c r="B380" t="s">
        <v>149</v>
      </c>
      <c r="C380">
        <v>1108</v>
      </c>
      <c r="D380" t="s">
        <v>107</v>
      </c>
      <c r="E380" t="str">
        <f t="shared" si="8"/>
        <v>01108</v>
      </c>
      <c r="F380" t="s">
        <v>103</v>
      </c>
      <c r="G380" t="s">
        <v>167</v>
      </c>
      <c r="H380" t="s">
        <v>151</v>
      </c>
      <c r="I380" t="s">
        <v>4</v>
      </c>
      <c r="J380" t="s">
        <v>152</v>
      </c>
      <c r="K380" t="s">
        <v>153</v>
      </c>
      <c r="L380">
        <v>251200376</v>
      </c>
      <c r="M380" s="84">
        <v>46005</v>
      </c>
      <c r="N380" s="84">
        <v>46005</v>
      </c>
      <c r="O380" t="s">
        <v>160</v>
      </c>
      <c r="P380" t="s">
        <v>161</v>
      </c>
      <c r="Q380">
        <v>14250</v>
      </c>
      <c r="R380">
        <v>30</v>
      </c>
      <c r="S380">
        <v>427500</v>
      </c>
      <c r="T380">
        <v>0</v>
      </c>
      <c r="U380">
        <v>0</v>
      </c>
      <c r="V380">
        <v>30</v>
      </c>
      <c r="W380">
        <v>427500</v>
      </c>
      <c r="X380">
        <v>4500</v>
      </c>
      <c r="Y380">
        <v>6000</v>
      </c>
      <c r="Z380">
        <v>0</v>
      </c>
      <c r="AA380">
        <v>0</v>
      </c>
      <c r="AB380">
        <v>0</v>
      </c>
      <c r="AC380">
        <v>10500</v>
      </c>
    </row>
    <row r="381" spans="1:29">
      <c r="A381">
        <v>729</v>
      </c>
      <c r="B381" t="s">
        <v>149</v>
      </c>
      <c r="C381">
        <v>398</v>
      </c>
      <c r="D381" t="s">
        <v>105</v>
      </c>
      <c r="E381" t="str">
        <f t="shared" si="8"/>
        <v>00398</v>
      </c>
      <c r="F381" t="s">
        <v>103</v>
      </c>
      <c r="G381" t="s">
        <v>167</v>
      </c>
      <c r="H381" t="s">
        <v>151</v>
      </c>
      <c r="I381" t="s">
        <v>5</v>
      </c>
      <c r="J381" t="s">
        <v>152</v>
      </c>
      <c r="K381" t="s">
        <v>153</v>
      </c>
      <c r="L381">
        <v>251200377</v>
      </c>
      <c r="M381" s="84">
        <v>46005</v>
      </c>
      <c r="N381" s="84">
        <v>46005</v>
      </c>
      <c r="O381" t="s">
        <v>191</v>
      </c>
      <c r="P381" t="s">
        <v>192</v>
      </c>
      <c r="Q381">
        <v>11700</v>
      </c>
      <c r="R381">
        <v>60</v>
      </c>
      <c r="S381">
        <v>702000</v>
      </c>
      <c r="T381">
        <v>0</v>
      </c>
      <c r="U381">
        <v>0</v>
      </c>
      <c r="V381">
        <v>60</v>
      </c>
      <c r="W381">
        <v>702000</v>
      </c>
      <c r="X381">
        <v>9000</v>
      </c>
      <c r="Y381">
        <v>9000</v>
      </c>
      <c r="Z381">
        <v>0</v>
      </c>
      <c r="AA381">
        <v>0</v>
      </c>
      <c r="AB381">
        <v>0</v>
      </c>
      <c r="AC381">
        <v>18000</v>
      </c>
    </row>
    <row r="382" spans="1:29">
      <c r="A382">
        <v>730</v>
      </c>
      <c r="B382" t="s">
        <v>149</v>
      </c>
      <c r="C382">
        <v>388</v>
      </c>
      <c r="D382" t="s">
        <v>106</v>
      </c>
      <c r="E382" t="str">
        <f t="shared" si="8"/>
        <v>00388</v>
      </c>
      <c r="F382" t="s">
        <v>103</v>
      </c>
      <c r="G382" t="s">
        <v>167</v>
      </c>
      <c r="H382" t="s">
        <v>151</v>
      </c>
      <c r="I382" t="s">
        <v>231</v>
      </c>
      <c r="J382" t="s">
        <v>152</v>
      </c>
      <c r="K382" t="s">
        <v>153</v>
      </c>
      <c r="L382">
        <v>251200378</v>
      </c>
      <c r="M382" s="84">
        <v>46005</v>
      </c>
      <c r="N382" s="84">
        <v>46005</v>
      </c>
      <c r="O382" t="s">
        <v>233</v>
      </c>
      <c r="P382" t="s">
        <v>118</v>
      </c>
      <c r="Q382">
        <v>4486</v>
      </c>
      <c r="R382">
        <v>10</v>
      </c>
      <c r="S382">
        <v>44860</v>
      </c>
      <c r="T382">
        <v>0</v>
      </c>
      <c r="U382">
        <v>0</v>
      </c>
      <c r="V382">
        <v>10</v>
      </c>
      <c r="W382">
        <v>44860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>
      <c r="A383">
        <v>731</v>
      </c>
      <c r="B383" t="s">
        <v>149</v>
      </c>
      <c r="C383">
        <v>388</v>
      </c>
      <c r="D383" t="s">
        <v>106</v>
      </c>
      <c r="E383" t="str">
        <f t="shared" si="8"/>
        <v>00388</v>
      </c>
      <c r="F383" t="s">
        <v>103</v>
      </c>
      <c r="G383" t="s">
        <v>167</v>
      </c>
      <c r="H383" t="s">
        <v>151</v>
      </c>
      <c r="I383" t="s">
        <v>231</v>
      </c>
      <c r="J383" t="s">
        <v>152</v>
      </c>
      <c r="K383" t="s">
        <v>153</v>
      </c>
      <c r="L383">
        <v>251200378</v>
      </c>
      <c r="M383" s="84">
        <v>46005</v>
      </c>
      <c r="N383" s="84">
        <v>46005</v>
      </c>
      <c r="O383" t="s">
        <v>232</v>
      </c>
      <c r="P383" t="s">
        <v>122</v>
      </c>
      <c r="Q383">
        <v>6213</v>
      </c>
      <c r="R383">
        <v>2</v>
      </c>
      <c r="S383">
        <v>12426</v>
      </c>
      <c r="T383">
        <v>0</v>
      </c>
      <c r="U383">
        <v>0</v>
      </c>
      <c r="V383">
        <v>2</v>
      </c>
      <c r="W383">
        <v>12426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>
      <c r="A384">
        <v>745</v>
      </c>
      <c r="B384" t="s">
        <v>149</v>
      </c>
      <c r="C384">
        <v>471</v>
      </c>
      <c r="D384" t="s">
        <v>25</v>
      </c>
      <c r="E384" t="str">
        <f t="shared" ref="E384:E414" si="9">TEXT(C384,"00000")</f>
        <v>00471</v>
      </c>
      <c r="F384" t="s">
        <v>20</v>
      </c>
      <c r="G384" t="s">
        <v>193</v>
      </c>
      <c r="H384" t="s">
        <v>151</v>
      </c>
      <c r="I384" t="s">
        <v>4</v>
      </c>
      <c r="J384" t="s">
        <v>152</v>
      </c>
      <c r="K384" t="s">
        <v>236</v>
      </c>
      <c r="L384">
        <v>251200384</v>
      </c>
      <c r="M384" s="84">
        <v>46005</v>
      </c>
      <c r="N384" s="84">
        <v>46005</v>
      </c>
      <c r="O384" t="s">
        <v>154</v>
      </c>
      <c r="P384" t="s">
        <v>155</v>
      </c>
      <c r="Q384">
        <v>14250</v>
      </c>
      <c r="R384">
        <v>10</v>
      </c>
      <c r="S384">
        <v>142500</v>
      </c>
      <c r="T384">
        <v>0</v>
      </c>
      <c r="U384">
        <v>0</v>
      </c>
      <c r="V384">
        <v>10</v>
      </c>
      <c r="W384">
        <v>142500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>
      <c r="A385">
        <v>746</v>
      </c>
      <c r="B385" t="s">
        <v>149</v>
      </c>
      <c r="C385">
        <v>471</v>
      </c>
      <c r="D385" t="s">
        <v>25</v>
      </c>
      <c r="E385" t="str">
        <f t="shared" si="9"/>
        <v>00471</v>
      </c>
      <c r="F385" t="s">
        <v>20</v>
      </c>
      <c r="G385" t="s">
        <v>193</v>
      </c>
      <c r="H385" t="s">
        <v>151</v>
      </c>
      <c r="I385" t="s">
        <v>4</v>
      </c>
      <c r="J385" t="s">
        <v>152</v>
      </c>
      <c r="K385" t="s">
        <v>236</v>
      </c>
      <c r="L385">
        <v>251200384</v>
      </c>
      <c r="M385" s="84">
        <v>46005</v>
      </c>
      <c r="N385" s="84">
        <v>46005</v>
      </c>
      <c r="O385" t="s">
        <v>160</v>
      </c>
      <c r="P385" t="s">
        <v>161</v>
      </c>
      <c r="Q385">
        <v>14250</v>
      </c>
      <c r="R385">
        <v>50</v>
      </c>
      <c r="S385">
        <v>712500</v>
      </c>
      <c r="T385">
        <v>0</v>
      </c>
      <c r="U385">
        <v>0</v>
      </c>
      <c r="V385">
        <v>50</v>
      </c>
      <c r="W385">
        <v>712500</v>
      </c>
      <c r="X385">
        <v>7500</v>
      </c>
      <c r="Y385">
        <v>10000</v>
      </c>
      <c r="Z385">
        <v>0</v>
      </c>
      <c r="AA385">
        <v>0</v>
      </c>
      <c r="AB385">
        <v>0</v>
      </c>
      <c r="AC385">
        <v>17500</v>
      </c>
    </row>
    <row r="386" spans="1:29">
      <c r="A386">
        <v>747</v>
      </c>
      <c r="B386" t="s">
        <v>149</v>
      </c>
      <c r="C386">
        <v>471</v>
      </c>
      <c r="D386" t="s">
        <v>25</v>
      </c>
      <c r="E386" t="str">
        <f t="shared" si="9"/>
        <v>00471</v>
      </c>
      <c r="F386" t="s">
        <v>20</v>
      </c>
      <c r="G386" t="s">
        <v>193</v>
      </c>
      <c r="H386" t="s">
        <v>151</v>
      </c>
      <c r="I386" t="s">
        <v>4</v>
      </c>
      <c r="J386" t="s">
        <v>152</v>
      </c>
      <c r="K386" t="s">
        <v>236</v>
      </c>
      <c r="L386">
        <v>251200384</v>
      </c>
      <c r="M386" s="84">
        <v>46005</v>
      </c>
      <c r="N386" s="84">
        <v>46005</v>
      </c>
      <c r="O386" t="s">
        <v>179</v>
      </c>
      <c r="P386" t="s">
        <v>180</v>
      </c>
      <c r="Q386">
        <v>14250</v>
      </c>
      <c r="R386">
        <v>35</v>
      </c>
      <c r="S386">
        <v>498750</v>
      </c>
      <c r="T386">
        <v>0</v>
      </c>
      <c r="U386">
        <v>0</v>
      </c>
      <c r="V386">
        <v>35</v>
      </c>
      <c r="W386">
        <v>498750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 spans="1:29">
      <c r="A387">
        <v>748</v>
      </c>
      <c r="B387" t="s">
        <v>149</v>
      </c>
      <c r="C387">
        <v>471</v>
      </c>
      <c r="D387" t="s">
        <v>25</v>
      </c>
      <c r="E387" t="str">
        <f t="shared" si="9"/>
        <v>00471</v>
      </c>
      <c r="F387" t="s">
        <v>20</v>
      </c>
      <c r="G387" t="s">
        <v>193</v>
      </c>
      <c r="H387" t="s">
        <v>151</v>
      </c>
      <c r="I387" t="s">
        <v>5</v>
      </c>
      <c r="J387" t="s">
        <v>152</v>
      </c>
      <c r="K387" t="s">
        <v>236</v>
      </c>
      <c r="L387">
        <v>251200384</v>
      </c>
      <c r="M387" s="84">
        <v>46005</v>
      </c>
      <c r="N387" s="84">
        <v>46005</v>
      </c>
      <c r="O387" t="s">
        <v>191</v>
      </c>
      <c r="P387" t="s">
        <v>192</v>
      </c>
      <c r="Q387">
        <v>11700</v>
      </c>
      <c r="R387">
        <v>16</v>
      </c>
      <c r="S387">
        <v>187200</v>
      </c>
      <c r="T387">
        <v>0</v>
      </c>
      <c r="U387">
        <v>0</v>
      </c>
      <c r="V387">
        <v>16</v>
      </c>
      <c r="W387">
        <v>187200</v>
      </c>
      <c r="X387">
        <v>2400</v>
      </c>
      <c r="Y387">
        <v>2400</v>
      </c>
      <c r="Z387">
        <v>0</v>
      </c>
      <c r="AA387">
        <v>0</v>
      </c>
      <c r="AB387">
        <v>0</v>
      </c>
      <c r="AC387">
        <v>4800</v>
      </c>
    </row>
    <row r="388" spans="1:29">
      <c r="A388">
        <v>749</v>
      </c>
      <c r="B388" t="s">
        <v>149</v>
      </c>
      <c r="C388">
        <v>1448</v>
      </c>
      <c r="D388" t="s">
        <v>21</v>
      </c>
      <c r="E388" t="str">
        <f t="shared" si="9"/>
        <v>01448</v>
      </c>
      <c r="F388" t="s">
        <v>20</v>
      </c>
      <c r="G388" t="s">
        <v>193</v>
      </c>
      <c r="H388" t="s">
        <v>151</v>
      </c>
      <c r="I388" t="s">
        <v>4</v>
      </c>
      <c r="J388" t="s">
        <v>152</v>
      </c>
      <c r="K388" t="s">
        <v>236</v>
      </c>
      <c r="L388">
        <v>251200385</v>
      </c>
      <c r="M388" s="84">
        <v>46005</v>
      </c>
      <c r="N388" s="84">
        <v>46005</v>
      </c>
      <c r="O388" t="s">
        <v>262</v>
      </c>
      <c r="P388" t="s">
        <v>263</v>
      </c>
      <c r="Q388">
        <v>14250</v>
      </c>
      <c r="R388">
        <v>20</v>
      </c>
      <c r="S388">
        <v>285000</v>
      </c>
      <c r="T388">
        <v>0</v>
      </c>
      <c r="U388">
        <v>0</v>
      </c>
      <c r="V388">
        <v>20</v>
      </c>
      <c r="W388">
        <v>285000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>
      <c r="A389">
        <v>750</v>
      </c>
      <c r="B389" t="s">
        <v>149</v>
      </c>
      <c r="C389">
        <v>1441</v>
      </c>
      <c r="D389" t="s">
        <v>23</v>
      </c>
      <c r="E389" t="str">
        <f t="shared" si="9"/>
        <v>01441</v>
      </c>
      <c r="F389" t="s">
        <v>20</v>
      </c>
      <c r="G389" t="s">
        <v>193</v>
      </c>
      <c r="H389" t="s">
        <v>151</v>
      </c>
      <c r="I389" t="s">
        <v>5</v>
      </c>
      <c r="J389" t="s">
        <v>152</v>
      </c>
      <c r="K389" t="s">
        <v>236</v>
      </c>
      <c r="L389">
        <v>251200386</v>
      </c>
      <c r="M389" s="84">
        <v>46005</v>
      </c>
      <c r="N389" s="84">
        <v>46005</v>
      </c>
      <c r="O389" t="s">
        <v>196</v>
      </c>
      <c r="P389" t="s">
        <v>197</v>
      </c>
      <c r="Q389">
        <v>11700</v>
      </c>
      <c r="R389">
        <v>8</v>
      </c>
      <c r="S389">
        <v>93600</v>
      </c>
      <c r="T389">
        <v>0</v>
      </c>
      <c r="U389">
        <v>0</v>
      </c>
      <c r="V389">
        <v>8</v>
      </c>
      <c r="W389">
        <v>93600</v>
      </c>
      <c r="X389">
        <v>1200</v>
      </c>
      <c r="Y389">
        <v>1200</v>
      </c>
      <c r="Z389">
        <v>0</v>
      </c>
      <c r="AA389">
        <v>0</v>
      </c>
      <c r="AB389">
        <v>0</v>
      </c>
      <c r="AC389">
        <v>2400</v>
      </c>
    </row>
    <row r="390" spans="1:29">
      <c r="A390">
        <v>751</v>
      </c>
      <c r="B390" t="s">
        <v>149</v>
      </c>
      <c r="C390">
        <v>1385</v>
      </c>
      <c r="D390" t="s">
        <v>27</v>
      </c>
      <c r="E390" t="str">
        <f t="shared" si="9"/>
        <v>01385</v>
      </c>
      <c r="F390" t="s">
        <v>20</v>
      </c>
      <c r="G390" t="s">
        <v>193</v>
      </c>
      <c r="H390" t="s">
        <v>151</v>
      </c>
      <c r="I390" t="s">
        <v>4</v>
      </c>
      <c r="J390" t="s">
        <v>152</v>
      </c>
      <c r="K390" t="s">
        <v>236</v>
      </c>
      <c r="L390">
        <v>251200387</v>
      </c>
      <c r="M390" s="84">
        <v>46005</v>
      </c>
      <c r="N390" s="84">
        <v>46005</v>
      </c>
      <c r="O390" t="s">
        <v>160</v>
      </c>
      <c r="P390" t="s">
        <v>161</v>
      </c>
      <c r="Q390">
        <v>14250</v>
      </c>
      <c r="R390">
        <v>10</v>
      </c>
      <c r="S390">
        <v>142500</v>
      </c>
      <c r="T390">
        <v>0</v>
      </c>
      <c r="U390">
        <v>0</v>
      </c>
      <c r="V390">
        <v>10</v>
      </c>
      <c r="W390">
        <v>142500</v>
      </c>
      <c r="X390">
        <v>1500</v>
      </c>
      <c r="Y390">
        <v>2000</v>
      </c>
      <c r="Z390">
        <v>0</v>
      </c>
      <c r="AA390">
        <v>0</v>
      </c>
      <c r="AB390">
        <v>0</v>
      </c>
      <c r="AC390">
        <v>3500</v>
      </c>
    </row>
    <row r="391" spans="1:29">
      <c r="A391">
        <v>752</v>
      </c>
      <c r="B391" t="s">
        <v>149</v>
      </c>
      <c r="C391">
        <v>1385</v>
      </c>
      <c r="D391" t="s">
        <v>27</v>
      </c>
      <c r="E391" t="str">
        <f t="shared" si="9"/>
        <v>01385</v>
      </c>
      <c r="F391" t="s">
        <v>20</v>
      </c>
      <c r="G391" t="s">
        <v>193</v>
      </c>
      <c r="H391" t="s">
        <v>151</v>
      </c>
      <c r="I391" t="s">
        <v>5</v>
      </c>
      <c r="J391" t="s">
        <v>152</v>
      </c>
      <c r="K391" t="s">
        <v>236</v>
      </c>
      <c r="L391">
        <v>251200387</v>
      </c>
      <c r="M391" s="84">
        <v>46005</v>
      </c>
      <c r="N391" s="84">
        <v>46005</v>
      </c>
      <c r="O391" t="s">
        <v>273</v>
      </c>
      <c r="P391" t="s">
        <v>274</v>
      </c>
      <c r="Q391">
        <v>11700</v>
      </c>
      <c r="R391">
        <v>16</v>
      </c>
      <c r="S391">
        <v>187200</v>
      </c>
      <c r="T391">
        <v>0</v>
      </c>
      <c r="U391">
        <v>0</v>
      </c>
      <c r="V391">
        <v>16</v>
      </c>
      <c r="W391">
        <v>187200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>
      <c r="A392">
        <v>753</v>
      </c>
      <c r="B392" t="s">
        <v>149</v>
      </c>
      <c r="C392">
        <v>1385</v>
      </c>
      <c r="D392" t="s">
        <v>27</v>
      </c>
      <c r="E392" t="str">
        <f t="shared" si="9"/>
        <v>01385</v>
      </c>
      <c r="F392" t="s">
        <v>20</v>
      </c>
      <c r="G392" t="s">
        <v>193</v>
      </c>
      <c r="H392" t="s">
        <v>151</v>
      </c>
      <c r="I392" t="s">
        <v>4</v>
      </c>
      <c r="J392" t="s">
        <v>152</v>
      </c>
      <c r="K392" t="s">
        <v>236</v>
      </c>
      <c r="L392">
        <v>251200387</v>
      </c>
      <c r="M392" s="84">
        <v>46005</v>
      </c>
      <c r="N392" s="84">
        <v>46005</v>
      </c>
      <c r="O392" t="s">
        <v>177</v>
      </c>
      <c r="P392" t="s">
        <v>178</v>
      </c>
      <c r="Q392">
        <v>14250</v>
      </c>
      <c r="R392">
        <v>10</v>
      </c>
      <c r="S392">
        <v>142500</v>
      </c>
      <c r="T392">
        <v>0</v>
      </c>
      <c r="U392">
        <v>0</v>
      </c>
      <c r="V392">
        <v>10</v>
      </c>
      <c r="W392">
        <v>142500</v>
      </c>
      <c r="X392">
        <v>1500</v>
      </c>
      <c r="Y392">
        <v>2000</v>
      </c>
      <c r="Z392">
        <v>0</v>
      </c>
      <c r="AA392">
        <v>0</v>
      </c>
      <c r="AB392">
        <v>0</v>
      </c>
      <c r="AC392">
        <v>3500</v>
      </c>
    </row>
    <row r="393" spans="1:29">
      <c r="A393">
        <v>754</v>
      </c>
      <c r="B393" t="s">
        <v>149</v>
      </c>
      <c r="C393">
        <v>1356</v>
      </c>
      <c r="D393" t="s">
        <v>98</v>
      </c>
      <c r="E393" t="str">
        <f t="shared" si="9"/>
        <v>01356</v>
      </c>
      <c r="F393" t="s">
        <v>95</v>
      </c>
      <c r="G393" t="s">
        <v>187</v>
      </c>
      <c r="H393" t="s">
        <v>188</v>
      </c>
      <c r="I393" t="s">
        <v>4</v>
      </c>
      <c r="J393" t="s">
        <v>152</v>
      </c>
      <c r="K393" t="s">
        <v>159</v>
      </c>
      <c r="L393">
        <v>251200388</v>
      </c>
      <c r="M393" s="84">
        <v>46005</v>
      </c>
      <c r="N393" s="84">
        <v>46005</v>
      </c>
      <c r="O393" t="s">
        <v>267</v>
      </c>
      <c r="P393" t="s">
        <v>268</v>
      </c>
      <c r="Q393">
        <v>13300</v>
      </c>
      <c r="R393">
        <v>15</v>
      </c>
      <c r="S393">
        <v>199500</v>
      </c>
      <c r="T393">
        <v>0</v>
      </c>
      <c r="U393">
        <v>0</v>
      </c>
      <c r="V393">
        <v>15</v>
      </c>
      <c r="W393">
        <v>199500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>
      <c r="A394">
        <v>755</v>
      </c>
      <c r="B394" t="s">
        <v>149</v>
      </c>
      <c r="C394">
        <v>827</v>
      </c>
      <c r="D394" t="s">
        <v>84</v>
      </c>
      <c r="E394" t="str">
        <f t="shared" si="9"/>
        <v>00827</v>
      </c>
      <c r="F394" t="s">
        <v>83</v>
      </c>
      <c r="G394" t="s">
        <v>164</v>
      </c>
      <c r="H394" t="s">
        <v>151</v>
      </c>
      <c r="I394" t="s">
        <v>5</v>
      </c>
      <c r="J394" t="s">
        <v>152</v>
      </c>
      <c r="K394" t="s">
        <v>153</v>
      </c>
      <c r="L394">
        <v>251200389</v>
      </c>
      <c r="M394" s="84">
        <v>46005</v>
      </c>
      <c r="N394" s="84">
        <v>46005</v>
      </c>
      <c r="O394" t="s">
        <v>198</v>
      </c>
      <c r="P394" t="s">
        <v>199</v>
      </c>
      <c r="Q394">
        <v>11700</v>
      </c>
      <c r="R394">
        <v>10</v>
      </c>
      <c r="S394">
        <v>117000</v>
      </c>
      <c r="T394">
        <v>9</v>
      </c>
      <c r="U394">
        <v>105300</v>
      </c>
      <c r="V394">
        <v>1</v>
      </c>
      <c r="W394">
        <v>11700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>
      <c r="A395">
        <v>756</v>
      </c>
      <c r="B395" t="s">
        <v>149</v>
      </c>
      <c r="C395">
        <v>1149</v>
      </c>
      <c r="D395" t="s">
        <v>55</v>
      </c>
      <c r="E395" t="str">
        <f t="shared" si="9"/>
        <v>01149</v>
      </c>
      <c r="F395" t="s">
        <v>49</v>
      </c>
      <c r="G395" t="s">
        <v>167</v>
      </c>
      <c r="H395" t="s">
        <v>151</v>
      </c>
      <c r="I395" t="s">
        <v>4</v>
      </c>
      <c r="J395" t="s">
        <v>152</v>
      </c>
      <c r="K395" t="s">
        <v>153</v>
      </c>
      <c r="L395">
        <v>251200390</v>
      </c>
      <c r="M395" s="84">
        <v>46005</v>
      </c>
      <c r="N395" s="84">
        <v>46005</v>
      </c>
      <c r="O395" t="s">
        <v>168</v>
      </c>
      <c r="P395" t="s">
        <v>169</v>
      </c>
      <c r="Q395">
        <v>14250</v>
      </c>
      <c r="R395">
        <v>10</v>
      </c>
      <c r="S395">
        <v>142500</v>
      </c>
      <c r="T395">
        <v>0</v>
      </c>
      <c r="U395">
        <v>0</v>
      </c>
      <c r="V395">
        <v>10</v>
      </c>
      <c r="W395">
        <v>142500</v>
      </c>
      <c r="X395">
        <v>1500</v>
      </c>
      <c r="Y395">
        <v>2000</v>
      </c>
      <c r="Z395">
        <v>0</v>
      </c>
      <c r="AA395">
        <v>0</v>
      </c>
      <c r="AB395">
        <v>0</v>
      </c>
      <c r="AC395">
        <v>3500</v>
      </c>
    </row>
    <row r="396" spans="1:29">
      <c r="A396">
        <v>757</v>
      </c>
      <c r="B396" t="s">
        <v>149</v>
      </c>
      <c r="C396">
        <v>1149</v>
      </c>
      <c r="D396" t="s">
        <v>55</v>
      </c>
      <c r="E396" t="str">
        <f t="shared" si="9"/>
        <v>01149</v>
      </c>
      <c r="F396" t="s">
        <v>49</v>
      </c>
      <c r="G396" t="s">
        <v>167</v>
      </c>
      <c r="H396" t="s">
        <v>151</v>
      </c>
      <c r="I396" t="s">
        <v>4</v>
      </c>
      <c r="J396" t="s">
        <v>152</v>
      </c>
      <c r="K396" t="s">
        <v>153</v>
      </c>
      <c r="L396">
        <v>251200391</v>
      </c>
      <c r="M396" s="84">
        <v>46005</v>
      </c>
      <c r="N396" s="84">
        <v>46005</v>
      </c>
      <c r="O396" t="s">
        <v>219</v>
      </c>
      <c r="P396" t="s">
        <v>220</v>
      </c>
      <c r="Q396">
        <v>14250</v>
      </c>
      <c r="R396">
        <v>15</v>
      </c>
      <c r="S396">
        <v>213750</v>
      </c>
      <c r="T396">
        <v>0</v>
      </c>
      <c r="U396">
        <v>0</v>
      </c>
      <c r="V396">
        <v>15</v>
      </c>
      <c r="W396">
        <v>213750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>
      <c r="A397">
        <v>758</v>
      </c>
      <c r="B397" t="s">
        <v>149</v>
      </c>
      <c r="C397">
        <v>1149</v>
      </c>
      <c r="D397" t="s">
        <v>55</v>
      </c>
      <c r="E397" t="str">
        <f t="shared" si="9"/>
        <v>01149</v>
      </c>
      <c r="F397" t="s">
        <v>49</v>
      </c>
      <c r="G397" t="s">
        <v>167</v>
      </c>
      <c r="H397" t="s">
        <v>151</v>
      </c>
      <c r="I397" t="s">
        <v>4</v>
      </c>
      <c r="J397" t="s">
        <v>152</v>
      </c>
      <c r="K397" t="s">
        <v>153</v>
      </c>
      <c r="L397">
        <v>251200391</v>
      </c>
      <c r="M397" s="84">
        <v>46005</v>
      </c>
      <c r="N397" s="84">
        <v>46005</v>
      </c>
      <c r="O397" t="s">
        <v>162</v>
      </c>
      <c r="P397" t="s">
        <v>163</v>
      </c>
      <c r="Q397">
        <v>14250</v>
      </c>
      <c r="R397">
        <v>10</v>
      </c>
      <c r="S397">
        <v>142500</v>
      </c>
      <c r="T397">
        <v>0</v>
      </c>
      <c r="U397">
        <v>0</v>
      </c>
      <c r="V397">
        <v>10</v>
      </c>
      <c r="W397">
        <v>142500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 spans="1:29">
      <c r="A398">
        <v>759</v>
      </c>
      <c r="B398" t="s">
        <v>149</v>
      </c>
      <c r="C398">
        <v>1149</v>
      </c>
      <c r="D398" t="s">
        <v>55</v>
      </c>
      <c r="E398" t="str">
        <f t="shared" si="9"/>
        <v>01149</v>
      </c>
      <c r="F398" t="s">
        <v>49</v>
      </c>
      <c r="G398" t="s">
        <v>167</v>
      </c>
      <c r="H398" t="s">
        <v>151</v>
      </c>
      <c r="I398" t="s">
        <v>4</v>
      </c>
      <c r="J398" t="s">
        <v>152</v>
      </c>
      <c r="K398" t="s">
        <v>153</v>
      </c>
      <c r="L398">
        <v>251200391</v>
      </c>
      <c r="M398" s="84">
        <v>46005</v>
      </c>
      <c r="N398" s="84">
        <v>46005</v>
      </c>
      <c r="O398" t="s">
        <v>177</v>
      </c>
      <c r="P398" t="s">
        <v>178</v>
      </c>
      <c r="Q398">
        <v>14250</v>
      </c>
      <c r="R398">
        <v>50</v>
      </c>
      <c r="S398">
        <v>712500</v>
      </c>
      <c r="T398">
        <v>0</v>
      </c>
      <c r="U398">
        <v>0</v>
      </c>
      <c r="V398">
        <v>50</v>
      </c>
      <c r="W398">
        <v>712500</v>
      </c>
      <c r="X398">
        <v>7500</v>
      </c>
      <c r="Y398">
        <v>10000</v>
      </c>
      <c r="Z398">
        <v>0</v>
      </c>
      <c r="AA398">
        <v>0</v>
      </c>
      <c r="AB398">
        <v>0</v>
      </c>
      <c r="AC398">
        <v>17500</v>
      </c>
    </row>
    <row r="399" spans="1:29">
      <c r="A399">
        <v>760</v>
      </c>
      <c r="B399" t="s">
        <v>149</v>
      </c>
      <c r="C399">
        <v>1149</v>
      </c>
      <c r="D399" t="s">
        <v>55</v>
      </c>
      <c r="E399" t="str">
        <f t="shared" si="9"/>
        <v>01149</v>
      </c>
      <c r="F399" t="s">
        <v>49</v>
      </c>
      <c r="G399" t="s">
        <v>167</v>
      </c>
      <c r="H399" t="s">
        <v>151</v>
      </c>
      <c r="I399" t="s">
        <v>4</v>
      </c>
      <c r="J399" t="s">
        <v>152</v>
      </c>
      <c r="K399" t="s">
        <v>153</v>
      </c>
      <c r="L399">
        <v>251200391</v>
      </c>
      <c r="M399" s="84">
        <v>46005</v>
      </c>
      <c r="N399" s="84">
        <v>46005</v>
      </c>
      <c r="O399" t="s">
        <v>160</v>
      </c>
      <c r="P399" t="s">
        <v>161</v>
      </c>
      <c r="Q399">
        <v>14250</v>
      </c>
      <c r="R399">
        <v>20</v>
      </c>
      <c r="S399">
        <v>285000</v>
      </c>
      <c r="T399">
        <v>0</v>
      </c>
      <c r="U399">
        <v>0</v>
      </c>
      <c r="V399">
        <v>20</v>
      </c>
      <c r="W399">
        <v>285000</v>
      </c>
      <c r="X399">
        <v>3000</v>
      </c>
      <c r="Y399">
        <v>4000</v>
      </c>
      <c r="Z399">
        <v>0</v>
      </c>
      <c r="AA399">
        <v>0</v>
      </c>
      <c r="AB399">
        <v>0</v>
      </c>
      <c r="AC399">
        <v>7000</v>
      </c>
    </row>
    <row r="400" spans="1:29">
      <c r="A400">
        <v>761</v>
      </c>
      <c r="B400" t="s">
        <v>149</v>
      </c>
      <c r="C400">
        <v>325</v>
      </c>
      <c r="D400" t="s">
        <v>34</v>
      </c>
      <c r="E400" t="str">
        <f t="shared" si="9"/>
        <v>00325</v>
      </c>
      <c r="F400" t="s">
        <v>28</v>
      </c>
      <c r="G400" t="s">
        <v>164</v>
      </c>
      <c r="H400" t="s">
        <v>151</v>
      </c>
      <c r="I400" t="s">
        <v>4</v>
      </c>
      <c r="J400" t="s">
        <v>152</v>
      </c>
      <c r="K400" t="s">
        <v>153</v>
      </c>
      <c r="L400">
        <v>251200392</v>
      </c>
      <c r="M400" s="84">
        <v>46005</v>
      </c>
      <c r="N400" s="84">
        <v>46005</v>
      </c>
      <c r="O400" t="s">
        <v>179</v>
      </c>
      <c r="P400" t="s">
        <v>180</v>
      </c>
      <c r="Q400">
        <v>14250</v>
      </c>
      <c r="R400">
        <v>15</v>
      </c>
      <c r="S400">
        <v>213750</v>
      </c>
      <c r="T400">
        <v>0</v>
      </c>
      <c r="U400">
        <v>0</v>
      </c>
      <c r="V400">
        <v>15</v>
      </c>
      <c r="W400">
        <v>213750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>
      <c r="A401">
        <v>762</v>
      </c>
      <c r="B401" t="s">
        <v>149</v>
      </c>
      <c r="C401">
        <v>325</v>
      </c>
      <c r="D401" t="s">
        <v>34</v>
      </c>
      <c r="E401" t="str">
        <f t="shared" si="9"/>
        <v>00325</v>
      </c>
      <c r="F401" t="s">
        <v>28</v>
      </c>
      <c r="G401" t="s">
        <v>164</v>
      </c>
      <c r="H401" t="s">
        <v>151</v>
      </c>
      <c r="I401" t="s">
        <v>4</v>
      </c>
      <c r="J401" t="s">
        <v>152</v>
      </c>
      <c r="K401" t="s">
        <v>153</v>
      </c>
      <c r="L401">
        <v>251200392</v>
      </c>
      <c r="M401" s="84">
        <v>46005</v>
      </c>
      <c r="N401" s="84">
        <v>46005</v>
      </c>
      <c r="O401" t="s">
        <v>160</v>
      </c>
      <c r="P401" t="s">
        <v>161</v>
      </c>
      <c r="Q401">
        <v>14250</v>
      </c>
      <c r="R401">
        <v>33</v>
      </c>
      <c r="S401">
        <v>470250</v>
      </c>
      <c r="T401">
        <v>0</v>
      </c>
      <c r="U401">
        <v>0</v>
      </c>
      <c r="V401">
        <v>33</v>
      </c>
      <c r="W401">
        <v>470250</v>
      </c>
      <c r="X401">
        <v>4950</v>
      </c>
      <c r="Y401">
        <v>6600</v>
      </c>
      <c r="Z401">
        <v>0</v>
      </c>
      <c r="AA401">
        <v>0</v>
      </c>
      <c r="AB401">
        <v>0</v>
      </c>
      <c r="AC401">
        <v>11550</v>
      </c>
    </row>
    <row r="402" spans="1:29">
      <c r="A402">
        <v>774</v>
      </c>
      <c r="B402" t="s">
        <v>149</v>
      </c>
      <c r="C402">
        <v>739</v>
      </c>
      <c r="D402" t="s">
        <v>14</v>
      </c>
      <c r="E402" t="str">
        <f t="shared" si="9"/>
        <v>00739</v>
      </c>
      <c r="F402" t="s">
        <v>10</v>
      </c>
      <c r="G402" t="s">
        <v>172</v>
      </c>
      <c r="H402" t="s">
        <v>157</v>
      </c>
      <c r="I402" t="s">
        <v>4</v>
      </c>
      <c r="J402" t="s">
        <v>152</v>
      </c>
      <c r="K402" t="s">
        <v>174</v>
      </c>
      <c r="L402">
        <v>251200400</v>
      </c>
      <c r="M402" s="84">
        <v>46005</v>
      </c>
      <c r="N402" s="84">
        <v>46005</v>
      </c>
      <c r="O402" t="s">
        <v>248</v>
      </c>
      <c r="P402" t="s">
        <v>249</v>
      </c>
      <c r="Q402">
        <v>14250</v>
      </c>
      <c r="R402">
        <v>15</v>
      </c>
      <c r="S402">
        <v>213750</v>
      </c>
      <c r="T402">
        <v>0</v>
      </c>
      <c r="U402">
        <v>0</v>
      </c>
      <c r="V402">
        <v>15</v>
      </c>
      <c r="W402">
        <v>213750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>
      <c r="A403">
        <v>776</v>
      </c>
      <c r="B403" t="s">
        <v>149</v>
      </c>
      <c r="C403">
        <v>1391</v>
      </c>
      <c r="D403" t="s">
        <v>97</v>
      </c>
      <c r="E403" t="str">
        <f t="shared" si="9"/>
        <v>01391</v>
      </c>
      <c r="F403" t="s">
        <v>95</v>
      </c>
      <c r="G403" t="s">
        <v>187</v>
      </c>
      <c r="H403" t="s">
        <v>188</v>
      </c>
      <c r="I403" t="s">
        <v>4</v>
      </c>
      <c r="J403" t="s">
        <v>152</v>
      </c>
      <c r="K403" t="s">
        <v>159</v>
      </c>
      <c r="L403">
        <v>251200402</v>
      </c>
      <c r="M403" s="84">
        <v>46005</v>
      </c>
      <c r="N403" s="84">
        <v>46005</v>
      </c>
      <c r="O403" t="s">
        <v>219</v>
      </c>
      <c r="P403" t="s">
        <v>220</v>
      </c>
      <c r="Q403">
        <v>13200</v>
      </c>
      <c r="R403">
        <v>5</v>
      </c>
      <c r="S403">
        <v>66000</v>
      </c>
      <c r="T403">
        <v>0</v>
      </c>
      <c r="U403">
        <v>0</v>
      </c>
      <c r="V403">
        <v>5</v>
      </c>
      <c r="W403">
        <v>66000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>
      <c r="A404">
        <v>781</v>
      </c>
      <c r="B404" t="s">
        <v>149</v>
      </c>
      <c r="C404">
        <v>519</v>
      </c>
      <c r="D404" t="s">
        <v>296</v>
      </c>
      <c r="E404" t="str">
        <f t="shared" si="9"/>
        <v>00519</v>
      </c>
      <c r="F404" t="s">
        <v>7</v>
      </c>
      <c r="G404" t="s">
        <v>156</v>
      </c>
      <c r="H404" t="s">
        <v>157</v>
      </c>
      <c r="I404" t="s">
        <v>210</v>
      </c>
      <c r="J404" t="s">
        <v>152</v>
      </c>
      <c r="K404" t="s">
        <v>159</v>
      </c>
      <c r="L404">
        <v>251200407</v>
      </c>
      <c r="M404" s="84">
        <v>46005</v>
      </c>
      <c r="N404" s="84">
        <v>46005</v>
      </c>
      <c r="O404" t="s">
        <v>250</v>
      </c>
      <c r="P404" t="s">
        <v>251</v>
      </c>
      <c r="Q404">
        <v>30930</v>
      </c>
      <c r="R404">
        <v>1</v>
      </c>
      <c r="S404">
        <v>30930</v>
      </c>
      <c r="T404">
        <v>0</v>
      </c>
      <c r="U404">
        <v>0</v>
      </c>
      <c r="V404">
        <v>1</v>
      </c>
      <c r="W404">
        <v>30930</v>
      </c>
      <c r="X404">
        <v>928</v>
      </c>
      <c r="Y404">
        <v>1237</v>
      </c>
      <c r="Z404">
        <v>619</v>
      </c>
      <c r="AA404">
        <v>1547</v>
      </c>
      <c r="AB404">
        <v>100</v>
      </c>
      <c r="AC404">
        <v>4431</v>
      </c>
    </row>
    <row r="405" spans="1:29">
      <c r="A405">
        <v>782</v>
      </c>
      <c r="B405" t="s">
        <v>149</v>
      </c>
      <c r="C405">
        <v>133</v>
      </c>
      <c r="D405" t="s">
        <v>77</v>
      </c>
      <c r="E405" t="str">
        <f t="shared" si="9"/>
        <v>00133</v>
      </c>
      <c r="F405" t="s">
        <v>73</v>
      </c>
      <c r="G405" t="s">
        <v>185</v>
      </c>
      <c r="H405" t="s">
        <v>151</v>
      </c>
      <c r="I405" t="s">
        <v>4</v>
      </c>
      <c r="J405" t="s">
        <v>152</v>
      </c>
      <c r="K405" t="s">
        <v>153</v>
      </c>
      <c r="L405">
        <v>251200408</v>
      </c>
      <c r="M405" s="84">
        <v>46005</v>
      </c>
      <c r="N405" s="84">
        <v>46005</v>
      </c>
      <c r="O405" t="s">
        <v>160</v>
      </c>
      <c r="P405" t="s">
        <v>161</v>
      </c>
      <c r="Q405">
        <v>14250</v>
      </c>
      <c r="R405">
        <v>20</v>
      </c>
      <c r="S405">
        <v>285000</v>
      </c>
      <c r="T405">
        <v>0</v>
      </c>
      <c r="U405">
        <v>0</v>
      </c>
      <c r="V405">
        <v>20</v>
      </c>
      <c r="W405">
        <v>285000</v>
      </c>
      <c r="X405">
        <v>3000</v>
      </c>
      <c r="Y405">
        <v>4000</v>
      </c>
      <c r="Z405">
        <v>0</v>
      </c>
      <c r="AA405">
        <v>0</v>
      </c>
      <c r="AB405">
        <v>0</v>
      </c>
      <c r="AC405">
        <v>7000</v>
      </c>
    </row>
    <row r="406" spans="1:29">
      <c r="A406">
        <v>783</v>
      </c>
      <c r="B406" t="s">
        <v>149</v>
      </c>
      <c r="C406">
        <v>133</v>
      </c>
      <c r="D406" t="s">
        <v>77</v>
      </c>
      <c r="E406" t="str">
        <f t="shared" si="9"/>
        <v>00133</v>
      </c>
      <c r="F406" t="s">
        <v>73</v>
      </c>
      <c r="G406" t="s">
        <v>185</v>
      </c>
      <c r="H406" t="s">
        <v>151</v>
      </c>
      <c r="I406" t="s">
        <v>173</v>
      </c>
      <c r="J406" t="s">
        <v>152</v>
      </c>
      <c r="K406" t="s">
        <v>153</v>
      </c>
      <c r="L406">
        <v>251200408</v>
      </c>
      <c r="M406" s="84">
        <v>46005</v>
      </c>
      <c r="N406" s="84">
        <v>46005</v>
      </c>
      <c r="O406" t="s">
        <v>175</v>
      </c>
      <c r="P406" t="s">
        <v>176</v>
      </c>
      <c r="Q406">
        <v>4452</v>
      </c>
      <c r="R406">
        <v>3</v>
      </c>
      <c r="S406">
        <v>13356</v>
      </c>
      <c r="T406">
        <v>0</v>
      </c>
      <c r="U406">
        <v>0</v>
      </c>
      <c r="V406">
        <v>3</v>
      </c>
      <c r="W406">
        <v>13356</v>
      </c>
      <c r="X406">
        <v>0</v>
      </c>
      <c r="Y406">
        <v>267</v>
      </c>
      <c r="Z406">
        <v>669</v>
      </c>
      <c r="AA406">
        <v>0</v>
      </c>
      <c r="AB406">
        <v>300</v>
      </c>
      <c r="AC406">
        <v>1236</v>
      </c>
    </row>
    <row r="407" spans="1:29">
      <c r="A407">
        <v>784</v>
      </c>
      <c r="B407" t="s">
        <v>149</v>
      </c>
      <c r="C407">
        <v>133</v>
      </c>
      <c r="D407" t="s">
        <v>77</v>
      </c>
      <c r="E407" t="str">
        <f t="shared" si="9"/>
        <v>00133</v>
      </c>
      <c r="F407" t="s">
        <v>73</v>
      </c>
      <c r="G407" t="s">
        <v>185</v>
      </c>
      <c r="H407" t="s">
        <v>151</v>
      </c>
      <c r="I407" t="s">
        <v>4</v>
      </c>
      <c r="J407" t="s">
        <v>152</v>
      </c>
      <c r="K407" t="s">
        <v>153</v>
      </c>
      <c r="L407">
        <v>251200408</v>
      </c>
      <c r="M407" s="84">
        <v>46005</v>
      </c>
      <c r="N407" s="84">
        <v>46005</v>
      </c>
      <c r="O407" t="s">
        <v>200</v>
      </c>
      <c r="P407" t="s">
        <v>201</v>
      </c>
      <c r="Q407">
        <v>14250</v>
      </c>
      <c r="R407">
        <v>15</v>
      </c>
      <c r="S407">
        <v>213750</v>
      </c>
      <c r="T407">
        <v>0</v>
      </c>
      <c r="U407">
        <v>0</v>
      </c>
      <c r="V407">
        <v>15</v>
      </c>
      <c r="W407">
        <v>213750</v>
      </c>
      <c r="X407">
        <v>2250</v>
      </c>
      <c r="Y407">
        <v>3000</v>
      </c>
      <c r="Z407">
        <v>0</v>
      </c>
      <c r="AA407">
        <v>0</v>
      </c>
      <c r="AB407">
        <v>0</v>
      </c>
      <c r="AC407">
        <v>5250</v>
      </c>
    </row>
    <row r="408" spans="1:29">
      <c r="A408">
        <v>785</v>
      </c>
      <c r="B408" t="s">
        <v>149</v>
      </c>
      <c r="C408">
        <v>133</v>
      </c>
      <c r="D408" t="s">
        <v>77</v>
      </c>
      <c r="E408" t="str">
        <f t="shared" si="9"/>
        <v>00133</v>
      </c>
      <c r="F408" t="s">
        <v>73</v>
      </c>
      <c r="G408" t="s">
        <v>185</v>
      </c>
      <c r="H408" t="s">
        <v>151</v>
      </c>
      <c r="I408" t="s">
        <v>231</v>
      </c>
      <c r="J408" t="s">
        <v>152</v>
      </c>
      <c r="K408" t="s">
        <v>153</v>
      </c>
      <c r="L408">
        <v>251200408</v>
      </c>
      <c r="M408" s="84">
        <v>46005</v>
      </c>
      <c r="N408" s="84">
        <v>46005</v>
      </c>
      <c r="O408" t="s">
        <v>234</v>
      </c>
      <c r="P408" t="s">
        <v>235</v>
      </c>
      <c r="Q408">
        <v>10432</v>
      </c>
      <c r="R408">
        <v>1</v>
      </c>
      <c r="S408">
        <v>10432</v>
      </c>
      <c r="T408">
        <v>0</v>
      </c>
      <c r="U408">
        <v>0</v>
      </c>
      <c r="V408">
        <v>1</v>
      </c>
      <c r="W408">
        <v>10432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>
      <c r="A409">
        <v>786</v>
      </c>
      <c r="B409" t="s">
        <v>149</v>
      </c>
      <c r="C409">
        <v>133</v>
      </c>
      <c r="D409" t="s">
        <v>77</v>
      </c>
      <c r="E409" t="str">
        <f t="shared" si="9"/>
        <v>00133</v>
      </c>
      <c r="F409" t="s">
        <v>73</v>
      </c>
      <c r="G409" t="s">
        <v>185</v>
      </c>
      <c r="H409" t="s">
        <v>151</v>
      </c>
      <c r="I409" t="s">
        <v>231</v>
      </c>
      <c r="J409" t="s">
        <v>152</v>
      </c>
      <c r="K409" t="s">
        <v>153</v>
      </c>
      <c r="L409">
        <v>251200408</v>
      </c>
      <c r="M409" s="84">
        <v>46005</v>
      </c>
      <c r="N409" s="84">
        <v>46005</v>
      </c>
      <c r="O409" t="s">
        <v>233</v>
      </c>
      <c r="P409" t="s">
        <v>118</v>
      </c>
      <c r="Q409">
        <v>4486</v>
      </c>
      <c r="R409">
        <v>2</v>
      </c>
      <c r="S409">
        <v>8972</v>
      </c>
      <c r="T409">
        <v>0</v>
      </c>
      <c r="U409">
        <v>0</v>
      </c>
      <c r="V409">
        <v>2</v>
      </c>
      <c r="W409">
        <v>8972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>
      <c r="A410">
        <v>787</v>
      </c>
      <c r="B410" t="s">
        <v>149</v>
      </c>
      <c r="C410">
        <v>133</v>
      </c>
      <c r="D410" t="s">
        <v>77</v>
      </c>
      <c r="E410" t="str">
        <f t="shared" si="9"/>
        <v>00133</v>
      </c>
      <c r="F410" t="s">
        <v>73</v>
      </c>
      <c r="G410" t="s">
        <v>185</v>
      </c>
      <c r="H410" t="s">
        <v>151</v>
      </c>
      <c r="I410" t="s">
        <v>238</v>
      </c>
      <c r="J410" t="s">
        <v>152</v>
      </c>
      <c r="K410" t="s">
        <v>153</v>
      </c>
      <c r="L410">
        <v>251200408</v>
      </c>
      <c r="M410" s="84">
        <v>46005</v>
      </c>
      <c r="N410" s="84">
        <v>46005</v>
      </c>
      <c r="O410" t="s">
        <v>247</v>
      </c>
      <c r="P410" t="s">
        <v>116</v>
      </c>
      <c r="Q410">
        <v>10982</v>
      </c>
      <c r="R410">
        <v>3</v>
      </c>
      <c r="S410">
        <v>32946</v>
      </c>
      <c r="T410">
        <v>0</v>
      </c>
      <c r="U410">
        <v>0</v>
      </c>
      <c r="V410">
        <v>3</v>
      </c>
      <c r="W410">
        <v>32946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>
      <c r="A411">
        <v>788</v>
      </c>
      <c r="B411" t="s">
        <v>149</v>
      </c>
      <c r="C411">
        <v>133</v>
      </c>
      <c r="D411" t="s">
        <v>77</v>
      </c>
      <c r="E411" t="str">
        <f t="shared" si="9"/>
        <v>00133</v>
      </c>
      <c r="F411" t="s">
        <v>73</v>
      </c>
      <c r="G411" t="s">
        <v>185</v>
      </c>
      <c r="H411" t="s">
        <v>151</v>
      </c>
      <c r="I411" t="s">
        <v>231</v>
      </c>
      <c r="J411" t="s">
        <v>152</v>
      </c>
      <c r="K411" t="s">
        <v>153</v>
      </c>
      <c r="L411">
        <v>251200408</v>
      </c>
      <c r="M411" s="84">
        <v>46005</v>
      </c>
      <c r="N411" s="84">
        <v>46005</v>
      </c>
      <c r="O411" t="s">
        <v>232</v>
      </c>
      <c r="P411" t="s">
        <v>122</v>
      </c>
      <c r="Q411">
        <v>6213</v>
      </c>
      <c r="R411">
        <v>2</v>
      </c>
      <c r="S411">
        <v>12426</v>
      </c>
      <c r="T411">
        <v>0</v>
      </c>
      <c r="U411">
        <v>0</v>
      </c>
      <c r="V411">
        <v>2</v>
      </c>
      <c r="W411">
        <v>12426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>
      <c r="A412">
        <v>789</v>
      </c>
      <c r="B412" t="s">
        <v>149</v>
      </c>
      <c r="C412">
        <v>133</v>
      </c>
      <c r="D412" t="s">
        <v>77</v>
      </c>
      <c r="E412" t="str">
        <f t="shared" si="9"/>
        <v>00133</v>
      </c>
      <c r="F412" t="s">
        <v>73</v>
      </c>
      <c r="G412" t="s">
        <v>185</v>
      </c>
      <c r="H412" t="s">
        <v>151</v>
      </c>
      <c r="I412" t="s">
        <v>231</v>
      </c>
      <c r="J412" t="s">
        <v>152</v>
      </c>
      <c r="K412" t="s">
        <v>153</v>
      </c>
      <c r="L412">
        <v>251200409</v>
      </c>
      <c r="M412" s="84">
        <v>46005</v>
      </c>
      <c r="N412" s="84">
        <v>46005</v>
      </c>
      <c r="O412" t="s">
        <v>233</v>
      </c>
      <c r="P412" t="s">
        <v>118</v>
      </c>
      <c r="Q412">
        <v>4486</v>
      </c>
      <c r="R412">
        <v>2</v>
      </c>
      <c r="S412">
        <v>8972</v>
      </c>
      <c r="T412">
        <v>0</v>
      </c>
      <c r="U412">
        <v>0</v>
      </c>
      <c r="V412">
        <v>2</v>
      </c>
      <c r="W412">
        <v>8972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>
      <c r="A413">
        <v>793</v>
      </c>
      <c r="B413" t="s">
        <v>149</v>
      </c>
      <c r="C413">
        <v>1466</v>
      </c>
      <c r="D413" t="s">
        <v>81</v>
      </c>
      <c r="E413" t="str">
        <f t="shared" si="9"/>
        <v>01466</v>
      </c>
      <c r="F413" t="s">
        <v>80</v>
      </c>
      <c r="G413" t="s">
        <v>164</v>
      </c>
      <c r="H413" t="s">
        <v>151</v>
      </c>
      <c r="I413" t="s">
        <v>4</v>
      </c>
      <c r="J413" t="s">
        <v>152</v>
      </c>
      <c r="K413" t="s">
        <v>153</v>
      </c>
      <c r="L413">
        <v>251200413</v>
      </c>
      <c r="M413" s="84">
        <v>46006</v>
      </c>
      <c r="N413" s="84">
        <v>46006</v>
      </c>
      <c r="O413" t="s">
        <v>243</v>
      </c>
      <c r="P413" t="s">
        <v>244</v>
      </c>
      <c r="Q413">
        <v>15050</v>
      </c>
      <c r="R413">
        <v>5</v>
      </c>
      <c r="S413">
        <v>75250</v>
      </c>
      <c r="T413">
        <v>0</v>
      </c>
      <c r="U413">
        <v>0</v>
      </c>
      <c r="V413">
        <v>5</v>
      </c>
      <c r="W413">
        <v>75250</v>
      </c>
      <c r="X413">
        <v>750</v>
      </c>
      <c r="Y413">
        <v>1000</v>
      </c>
      <c r="Z413">
        <v>0</v>
      </c>
      <c r="AA413">
        <v>0</v>
      </c>
      <c r="AB413">
        <v>0</v>
      </c>
      <c r="AC413">
        <v>1750</v>
      </c>
    </row>
    <row r="414" spans="1:29">
      <c r="A414">
        <v>800</v>
      </c>
      <c r="B414" t="s">
        <v>149</v>
      </c>
      <c r="C414">
        <v>1404</v>
      </c>
      <c r="D414" t="s">
        <v>113</v>
      </c>
      <c r="E414" t="str">
        <f t="shared" si="9"/>
        <v>01404</v>
      </c>
      <c r="F414" t="s">
        <v>111</v>
      </c>
      <c r="G414" t="s">
        <v>150</v>
      </c>
      <c r="H414" t="s">
        <v>151</v>
      </c>
      <c r="I414" t="s">
        <v>4</v>
      </c>
      <c r="J414" t="s">
        <v>152</v>
      </c>
      <c r="K414" t="s">
        <v>153</v>
      </c>
      <c r="L414">
        <v>251200416</v>
      </c>
      <c r="M414" s="84">
        <v>46006</v>
      </c>
      <c r="N414" s="84">
        <v>46006</v>
      </c>
      <c r="O414" t="s">
        <v>243</v>
      </c>
      <c r="P414" t="s">
        <v>244</v>
      </c>
      <c r="Q414">
        <v>15050</v>
      </c>
      <c r="R414">
        <v>2</v>
      </c>
      <c r="S414">
        <v>30100</v>
      </c>
      <c r="T414">
        <v>0</v>
      </c>
      <c r="U414">
        <v>0</v>
      </c>
      <c r="V414">
        <v>2</v>
      </c>
      <c r="W414">
        <v>30100</v>
      </c>
      <c r="X414">
        <v>300</v>
      </c>
      <c r="Y414">
        <v>400</v>
      </c>
      <c r="Z414">
        <v>0</v>
      </c>
      <c r="AA414">
        <v>0</v>
      </c>
      <c r="AB414">
        <v>0</v>
      </c>
      <c r="AC414">
        <v>700</v>
      </c>
    </row>
    <row r="415" spans="1:29">
      <c r="A415">
        <v>803</v>
      </c>
      <c r="B415" t="s">
        <v>149</v>
      </c>
      <c r="C415">
        <v>387</v>
      </c>
      <c r="D415" t="s">
        <v>109</v>
      </c>
      <c r="E415" t="str">
        <f t="shared" ref="E415:E474" si="10">TEXT(C415,"00000")</f>
        <v>00387</v>
      </c>
      <c r="F415" t="s">
        <v>103</v>
      </c>
      <c r="G415" t="s">
        <v>167</v>
      </c>
      <c r="H415" t="s">
        <v>151</v>
      </c>
      <c r="I415" t="s">
        <v>4</v>
      </c>
      <c r="J415" t="s">
        <v>152</v>
      </c>
      <c r="K415" t="s">
        <v>153</v>
      </c>
      <c r="L415">
        <v>251200419</v>
      </c>
      <c r="M415" s="84">
        <v>46006</v>
      </c>
      <c r="N415" s="84">
        <v>46006</v>
      </c>
      <c r="O415" t="s">
        <v>160</v>
      </c>
      <c r="P415" t="s">
        <v>161</v>
      </c>
      <c r="Q415">
        <v>14250</v>
      </c>
      <c r="R415">
        <v>175</v>
      </c>
      <c r="S415">
        <v>2493750</v>
      </c>
      <c r="T415">
        <v>0</v>
      </c>
      <c r="U415">
        <v>0</v>
      </c>
      <c r="V415">
        <v>175</v>
      </c>
      <c r="W415">
        <v>2493750</v>
      </c>
      <c r="X415">
        <v>26250</v>
      </c>
      <c r="Y415">
        <v>35000</v>
      </c>
      <c r="Z415">
        <v>0</v>
      </c>
      <c r="AA415">
        <v>0</v>
      </c>
      <c r="AB415">
        <v>0</v>
      </c>
      <c r="AC415">
        <v>61250</v>
      </c>
    </row>
    <row r="416" spans="1:29">
      <c r="A416">
        <v>804</v>
      </c>
      <c r="B416" t="s">
        <v>149</v>
      </c>
      <c r="C416">
        <v>387</v>
      </c>
      <c r="D416" t="s">
        <v>109</v>
      </c>
      <c r="E416" t="str">
        <f t="shared" si="10"/>
        <v>00387</v>
      </c>
      <c r="F416" t="s">
        <v>103</v>
      </c>
      <c r="G416" t="s">
        <v>167</v>
      </c>
      <c r="H416" t="s">
        <v>151</v>
      </c>
      <c r="I416" t="s">
        <v>4</v>
      </c>
      <c r="J416" t="s">
        <v>152</v>
      </c>
      <c r="K416" t="s">
        <v>153</v>
      </c>
      <c r="L416">
        <v>251200419</v>
      </c>
      <c r="M416" s="84">
        <v>46006</v>
      </c>
      <c r="N416" s="84">
        <v>46006</v>
      </c>
      <c r="O416" t="s">
        <v>168</v>
      </c>
      <c r="P416" t="s">
        <v>169</v>
      </c>
      <c r="Q416">
        <v>14250</v>
      </c>
      <c r="R416">
        <v>15</v>
      </c>
      <c r="S416">
        <v>213750</v>
      </c>
      <c r="T416">
        <v>0</v>
      </c>
      <c r="U416">
        <v>0</v>
      </c>
      <c r="V416">
        <v>15</v>
      </c>
      <c r="W416">
        <v>213750</v>
      </c>
      <c r="X416">
        <v>2250</v>
      </c>
      <c r="Y416">
        <v>3000</v>
      </c>
      <c r="Z416">
        <v>0</v>
      </c>
      <c r="AA416">
        <v>0</v>
      </c>
      <c r="AB416">
        <v>0</v>
      </c>
      <c r="AC416">
        <v>5250</v>
      </c>
    </row>
    <row r="417" spans="1:29">
      <c r="A417">
        <v>805</v>
      </c>
      <c r="B417" t="s">
        <v>149</v>
      </c>
      <c r="C417">
        <v>387</v>
      </c>
      <c r="D417" t="s">
        <v>109</v>
      </c>
      <c r="E417" t="str">
        <f t="shared" si="10"/>
        <v>00387</v>
      </c>
      <c r="F417" t="s">
        <v>103</v>
      </c>
      <c r="G417" t="s">
        <v>167</v>
      </c>
      <c r="H417" t="s">
        <v>151</v>
      </c>
      <c r="I417" t="s">
        <v>238</v>
      </c>
      <c r="J417" t="s">
        <v>152</v>
      </c>
      <c r="K417" t="s">
        <v>153</v>
      </c>
      <c r="L417">
        <v>251200419</v>
      </c>
      <c r="M417" s="84">
        <v>46006</v>
      </c>
      <c r="N417" s="84">
        <v>46006</v>
      </c>
      <c r="O417" t="s">
        <v>247</v>
      </c>
      <c r="P417" t="s">
        <v>116</v>
      </c>
      <c r="Q417">
        <v>10982</v>
      </c>
      <c r="R417">
        <v>5</v>
      </c>
      <c r="S417">
        <v>54910</v>
      </c>
      <c r="T417">
        <v>0</v>
      </c>
      <c r="U417">
        <v>0</v>
      </c>
      <c r="V417">
        <v>5</v>
      </c>
      <c r="W417">
        <v>54910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 spans="1:29">
      <c r="A418">
        <v>806</v>
      </c>
      <c r="B418" t="s">
        <v>149</v>
      </c>
      <c r="C418">
        <v>387</v>
      </c>
      <c r="D418" t="s">
        <v>109</v>
      </c>
      <c r="E418" t="str">
        <f t="shared" si="10"/>
        <v>00387</v>
      </c>
      <c r="F418" t="s">
        <v>103</v>
      </c>
      <c r="G418" t="s">
        <v>167</v>
      </c>
      <c r="H418" t="s">
        <v>151</v>
      </c>
      <c r="I418" t="s">
        <v>4</v>
      </c>
      <c r="J418" t="s">
        <v>152</v>
      </c>
      <c r="K418" t="s">
        <v>153</v>
      </c>
      <c r="L418">
        <v>251200419</v>
      </c>
      <c r="M418" s="84">
        <v>46006</v>
      </c>
      <c r="N418" s="84">
        <v>46006</v>
      </c>
      <c r="O418" t="s">
        <v>221</v>
      </c>
      <c r="P418" t="s">
        <v>222</v>
      </c>
      <c r="Q418">
        <v>14250</v>
      </c>
      <c r="R418">
        <v>15</v>
      </c>
      <c r="S418">
        <v>213750</v>
      </c>
      <c r="T418">
        <v>0</v>
      </c>
      <c r="U418">
        <v>0</v>
      </c>
      <c r="V418">
        <v>15</v>
      </c>
      <c r="W418">
        <v>213750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>
      <c r="A419">
        <v>807</v>
      </c>
      <c r="B419" t="s">
        <v>149</v>
      </c>
      <c r="C419">
        <v>387</v>
      </c>
      <c r="D419" t="s">
        <v>109</v>
      </c>
      <c r="E419" t="str">
        <f t="shared" si="10"/>
        <v>00387</v>
      </c>
      <c r="F419" t="s">
        <v>103</v>
      </c>
      <c r="G419" t="s">
        <v>167</v>
      </c>
      <c r="H419" t="s">
        <v>151</v>
      </c>
      <c r="I419" t="s">
        <v>4</v>
      </c>
      <c r="J419" t="s">
        <v>152</v>
      </c>
      <c r="K419" t="s">
        <v>153</v>
      </c>
      <c r="L419">
        <v>251200419</v>
      </c>
      <c r="M419" s="84">
        <v>46006</v>
      </c>
      <c r="N419" s="84">
        <v>46006</v>
      </c>
      <c r="O419" t="s">
        <v>179</v>
      </c>
      <c r="P419" t="s">
        <v>180</v>
      </c>
      <c r="Q419">
        <v>14250</v>
      </c>
      <c r="R419">
        <v>25</v>
      </c>
      <c r="S419">
        <v>356250</v>
      </c>
      <c r="T419">
        <v>0</v>
      </c>
      <c r="U419">
        <v>0</v>
      </c>
      <c r="V419">
        <v>25</v>
      </c>
      <c r="W419">
        <v>356250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>
      <c r="A420">
        <v>808</v>
      </c>
      <c r="B420" t="s">
        <v>149</v>
      </c>
      <c r="C420">
        <v>387</v>
      </c>
      <c r="D420" t="s">
        <v>109</v>
      </c>
      <c r="E420" t="str">
        <f t="shared" si="10"/>
        <v>00387</v>
      </c>
      <c r="F420" t="s">
        <v>103</v>
      </c>
      <c r="G420" t="s">
        <v>167</v>
      </c>
      <c r="H420" t="s">
        <v>151</v>
      </c>
      <c r="I420" t="s">
        <v>4</v>
      </c>
      <c r="J420" t="s">
        <v>152</v>
      </c>
      <c r="K420" t="s">
        <v>153</v>
      </c>
      <c r="L420">
        <v>251200419</v>
      </c>
      <c r="M420" s="84">
        <v>46006</v>
      </c>
      <c r="N420" s="84">
        <v>46006</v>
      </c>
      <c r="O420" t="s">
        <v>200</v>
      </c>
      <c r="P420" t="s">
        <v>201</v>
      </c>
      <c r="Q420">
        <v>14250</v>
      </c>
      <c r="R420">
        <v>10</v>
      </c>
      <c r="S420">
        <v>142500</v>
      </c>
      <c r="T420">
        <v>0</v>
      </c>
      <c r="U420">
        <v>0</v>
      </c>
      <c r="V420">
        <v>10</v>
      </c>
      <c r="W420">
        <v>142500</v>
      </c>
      <c r="X420">
        <v>1500</v>
      </c>
      <c r="Y420">
        <v>2000</v>
      </c>
      <c r="Z420">
        <v>0</v>
      </c>
      <c r="AA420">
        <v>0</v>
      </c>
      <c r="AB420">
        <v>0</v>
      </c>
      <c r="AC420">
        <v>3500</v>
      </c>
    </row>
    <row r="421" spans="1:29">
      <c r="A421">
        <v>809</v>
      </c>
      <c r="B421" t="s">
        <v>149</v>
      </c>
      <c r="C421">
        <v>138</v>
      </c>
      <c r="D421" t="s">
        <v>52</v>
      </c>
      <c r="E421" t="str">
        <f t="shared" si="10"/>
        <v>00138</v>
      </c>
      <c r="F421" t="s">
        <v>49</v>
      </c>
      <c r="G421" t="s">
        <v>167</v>
      </c>
      <c r="H421" t="s">
        <v>151</v>
      </c>
      <c r="I421" t="s">
        <v>4</v>
      </c>
      <c r="J421" t="s">
        <v>152</v>
      </c>
      <c r="K421" t="s">
        <v>153</v>
      </c>
      <c r="L421">
        <v>251200420</v>
      </c>
      <c r="M421" s="84">
        <v>46006</v>
      </c>
      <c r="N421" s="84">
        <v>46006</v>
      </c>
      <c r="O421" t="s">
        <v>179</v>
      </c>
      <c r="P421" t="s">
        <v>180</v>
      </c>
      <c r="Q421">
        <v>14250</v>
      </c>
      <c r="R421">
        <v>4</v>
      </c>
      <c r="S421">
        <v>57000</v>
      </c>
      <c r="T421">
        <v>0</v>
      </c>
      <c r="U421">
        <v>0</v>
      </c>
      <c r="V421">
        <v>4</v>
      </c>
      <c r="W421">
        <v>57000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>
      <c r="A422">
        <v>810</v>
      </c>
      <c r="B422" t="s">
        <v>149</v>
      </c>
      <c r="C422">
        <v>138</v>
      </c>
      <c r="D422" t="s">
        <v>52</v>
      </c>
      <c r="E422" t="str">
        <f t="shared" si="10"/>
        <v>00138</v>
      </c>
      <c r="F422" t="s">
        <v>49</v>
      </c>
      <c r="G422" t="s">
        <v>167</v>
      </c>
      <c r="H422" t="s">
        <v>151</v>
      </c>
      <c r="I422" t="s">
        <v>4</v>
      </c>
      <c r="J422" t="s">
        <v>152</v>
      </c>
      <c r="K422" t="s">
        <v>153</v>
      </c>
      <c r="L422">
        <v>251200420</v>
      </c>
      <c r="M422" s="84">
        <v>46006</v>
      </c>
      <c r="N422" s="84">
        <v>46006</v>
      </c>
      <c r="O422" t="s">
        <v>160</v>
      </c>
      <c r="P422" t="s">
        <v>161</v>
      </c>
      <c r="Q422">
        <v>14250</v>
      </c>
      <c r="R422">
        <v>12</v>
      </c>
      <c r="S422">
        <v>171000</v>
      </c>
      <c r="T422">
        <v>0</v>
      </c>
      <c r="U422">
        <v>0</v>
      </c>
      <c r="V422">
        <v>12</v>
      </c>
      <c r="W422">
        <v>171000</v>
      </c>
      <c r="X422">
        <v>1800</v>
      </c>
      <c r="Y422">
        <v>2400</v>
      </c>
      <c r="Z422">
        <v>0</v>
      </c>
      <c r="AA422">
        <v>0</v>
      </c>
      <c r="AB422">
        <v>0</v>
      </c>
      <c r="AC422">
        <v>4200</v>
      </c>
    </row>
    <row r="423" spans="1:29">
      <c r="A423">
        <v>811</v>
      </c>
      <c r="B423" t="s">
        <v>149</v>
      </c>
      <c r="C423">
        <v>1362</v>
      </c>
      <c r="D423" t="s">
        <v>62</v>
      </c>
      <c r="E423" t="str">
        <f t="shared" si="10"/>
        <v>01362</v>
      </c>
      <c r="F423" t="s">
        <v>49</v>
      </c>
      <c r="G423" t="s">
        <v>167</v>
      </c>
      <c r="H423" t="s">
        <v>151</v>
      </c>
      <c r="I423" t="s">
        <v>5</v>
      </c>
      <c r="J423" t="s">
        <v>152</v>
      </c>
      <c r="K423" t="s">
        <v>153</v>
      </c>
      <c r="L423">
        <v>251200421</v>
      </c>
      <c r="M423" s="84">
        <v>46006</v>
      </c>
      <c r="N423" s="84">
        <v>46006</v>
      </c>
      <c r="O423" t="s">
        <v>191</v>
      </c>
      <c r="P423" t="s">
        <v>192</v>
      </c>
      <c r="Q423">
        <v>11700</v>
      </c>
      <c r="R423">
        <v>4</v>
      </c>
      <c r="S423">
        <v>46800</v>
      </c>
      <c r="T423">
        <v>0</v>
      </c>
      <c r="U423">
        <v>0</v>
      </c>
      <c r="V423">
        <v>4</v>
      </c>
      <c r="W423">
        <v>46800</v>
      </c>
      <c r="X423">
        <v>600</v>
      </c>
      <c r="Y423">
        <v>600</v>
      </c>
      <c r="Z423">
        <v>0</v>
      </c>
      <c r="AA423">
        <v>0</v>
      </c>
      <c r="AB423">
        <v>0</v>
      </c>
      <c r="AC423">
        <v>1200</v>
      </c>
    </row>
    <row r="424" spans="1:29">
      <c r="A424">
        <v>812</v>
      </c>
      <c r="B424" t="s">
        <v>149</v>
      </c>
      <c r="C424">
        <v>1362</v>
      </c>
      <c r="D424" t="s">
        <v>62</v>
      </c>
      <c r="E424" t="str">
        <f t="shared" si="10"/>
        <v>01362</v>
      </c>
      <c r="F424" t="s">
        <v>49</v>
      </c>
      <c r="G424" t="s">
        <v>167</v>
      </c>
      <c r="H424" t="s">
        <v>151</v>
      </c>
      <c r="I424" t="s">
        <v>4</v>
      </c>
      <c r="J424" t="s">
        <v>152</v>
      </c>
      <c r="K424" t="s">
        <v>153</v>
      </c>
      <c r="L424">
        <v>251200421</v>
      </c>
      <c r="M424" s="84">
        <v>46006</v>
      </c>
      <c r="N424" s="84">
        <v>46006</v>
      </c>
      <c r="O424" t="s">
        <v>160</v>
      </c>
      <c r="P424" t="s">
        <v>161</v>
      </c>
      <c r="Q424">
        <v>14250</v>
      </c>
      <c r="R424">
        <v>12</v>
      </c>
      <c r="S424">
        <v>171000</v>
      </c>
      <c r="T424">
        <v>0</v>
      </c>
      <c r="U424">
        <v>0</v>
      </c>
      <c r="V424">
        <v>12</v>
      </c>
      <c r="W424">
        <v>171000</v>
      </c>
      <c r="X424">
        <v>1800</v>
      </c>
      <c r="Y424">
        <v>2400</v>
      </c>
      <c r="Z424">
        <v>0</v>
      </c>
      <c r="AA424">
        <v>0</v>
      </c>
      <c r="AB424">
        <v>0</v>
      </c>
      <c r="AC424">
        <v>4200</v>
      </c>
    </row>
    <row r="425" spans="1:29">
      <c r="A425">
        <v>813</v>
      </c>
      <c r="B425" t="s">
        <v>149</v>
      </c>
      <c r="C425">
        <v>1261</v>
      </c>
      <c r="D425" t="s">
        <v>61</v>
      </c>
      <c r="E425" t="str">
        <f t="shared" si="10"/>
        <v>01261</v>
      </c>
      <c r="F425" t="s">
        <v>49</v>
      </c>
      <c r="G425" t="s">
        <v>167</v>
      </c>
      <c r="H425" t="s">
        <v>151</v>
      </c>
      <c r="I425" t="s">
        <v>4</v>
      </c>
      <c r="J425" t="s">
        <v>152</v>
      </c>
      <c r="K425" t="s">
        <v>153</v>
      </c>
      <c r="L425">
        <v>251200422</v>
      </c>
      <c r="M425" s="84">
        <v>46006</v>
      </c>
      <c r="N425" s="84">
        <v>46006</v>
      </c>
      <c r="O425" t="s">
        <v>160</v>
      </c>
      <c r="P425" t="s">
        <v>161</v>
      </c>
      <c r="Q425">
        <v>14250</v>
      </c>
      <c r="R425">
        <v>16</v>
      </c>
      <c r="S425">
        <v>228000</v>
      </c>
      <c r="T425">
        <v>0</v>
      </c>
      <c r="U425">
        <v>0</v>
      </c>
      <c r="V425">
        <v>16</v>
      </c>
      <c r="W425">
        <v>228000</v>
      </c>
      <c r="X425">
        <v>2400</v>
      </c>
      <c r="Y425">
        <v>3200</v>
      </c>
      <c r="Z425">
        <v>0</v>
      </c>
      <c r="AA425">
        <v>0</v>
      </c>
      <c r="AB425">
        <v>0</v>
      </c>
      <c r="AC425">
        <v>5600</v>
      </c>
    </row>
    <row r="426" spans="1:29">
      <c r="A426">
        <v>821</v>
      </c>
      <c r="B426" t="s">
        <v>149</v>
      </c>
      <c r="C426">
        <v>133</v>
      </c>
      <c r="D426" t="s">
        <v>77</v>
      </c>
      <c r="E426" t="str">
        <f t="shared" si="10"/>
        <v>00133</v>
      </c>
      <c r="F426" t="s">
        <v>73</v>
      </c>
      <c r="G426" t="s">
        <v>185</v>
      </c>
      <c r="H426" t="s">
        <v>151</v>
      </c>
      <c r="I426" t="s">
        <v>4</v>
      </c>
      <c r="J426" t="s">
        <v>152</v>
      </c>
      <c r="K426" t="s">
        <v>153</v>
      </c>
      <c r="L426">
        <v>251200426</v>
      </c>
      <c r="M426" s="84">
        <v>46006</v>
      </c>
      <c r="N426" s="84">
        <v>46006</v>
      </c>
      <c r="O426" t="s">
        <v>243</v>
      </c>
      <c r="P426" t="s">
        <v>244</v>
      </c>
      <c r="Q426">
        <v>15050</v>
      </c>
      <c r="R426">
        <v>5</v>
      </c>
      <c r="S426">
        <v>75250</v>
      </c>
      <c r="T426">
        <v>0</v>
      </c>
      <c r="U426">
        <v>0</v>
      </c>
      <c r="V426">
        <v>5</v>
      </c>
      <c r="W426">
        <v>75250</v>
      </c>
      <c r="X426">
        <v>750</v>
      </c>
      <c r="Y426">
        <v>1000</v>
      </c>
      <c r="Z426">
        <v>0</v>
      </c>
      <c r="AA426">
        <v>0</v>
      </c>
      <c r="AB426">
        <v>0</v>
      </c>
      <c r="AC426">
        <v>1750</v>
      </c>
    </row>
    <row r="427" spans="1:29">
      <c r="A427">
        <v>822</v>
      </c>
      <c r="B427" t="s">
        <v>149</v>
      </c>
      <c r="C427">
        <v>1395</v>
      </c>
      <c r="D427" t="s">
        <v>101</v>
      </c>
      <c r="E427" t="str">
        <f t="shared" si="10"/>
        <v>01395</v>
      </c>
      <c r="F427" t="s">
        <v>95</v>
      </c>
      <c r="G427" t="s">
        <v>187</v>
      </c>
      <c r="H427" t="s">
        <v>188</v>
      </c>
      <c r="I427" t="s">
        <v>4</v>
      </c>
      <c r="J427" t="s">
        <v>152</v>
      </c>
      <c r="K427" t="s">
        <v>159</v>
      </c>
      <c r="L427">
        <v>251200427</v>
      </c>
      <c r="M427" s="84">
        <v>46006</v>
      </c>
      <c r="N427" s="84">
        <v>46006</v>
      </c>
      <c r="O427" t="s">
        <v>160</v>
      </c>
      <c r="P427" t="s">
        <v>161</v>
      </c>
      <c r="Q427">
        <v>13200</v>
      </c>
      <c r="R427">
        <v>4</v>
      </c>
      <c r="S427">
        <v>52800</v>
      </c>
      <c r="T427">
        <v>0</v>
      </c>
      <c r="U427">
        <v>0</v>
      </c>
      <c r="V427">
        <v>4</v>
      </c>
      <c r="W427">
        <v>52800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 spans="1:29">
      <c r="A428">
        <v>823</v>
      </c>
      <c r="B428" t="s">
        <v>149</v>
      </c>
      <c r="C428">
        <v>471</v>
      </c>
      <c r="D428" t="s">
        <v>25</v>
      </c>
      <c r="E428" t="str">
        <f t="shared" si="10"/>
        <v>00471</v>
      </c>
      <c r="F428" t="s">
        <v>20</v>
      </c>
      <c r="G428" t="s">
        <v>193</v>
      </c>
      <c r="H428" t="s">
        <v>151</v>
      </c>
      <c r="I428" t="s">
        <v>5</v>
      </c>
      <c r="J428" t="s">
        <v>152</v>
      </c>
      <c r="K428" t="s">
        <v>236</v>
      </c>
      <c r="L428">
        <v>251200428</v>
      </c>
      <c r="M428" s="84">
        <v>46006</v>
      </c>
      <c r="N428" s="84">
        <v>46006</v>
      </c>
      <c r="O428" t="s">
        <v>297</v>
      </c>
      <c r="P428" t="s">
        <v>298</v>
      </c>
      <c r="Q428">
        <v>11700</v>
      </c>
      <c r="R428">
        <v>40</v>
      </c>
      <c r="S428">
        <v>468000</v>
      </c>
      <c r="T428">
        <v>0</v>
      </c>
      <c r="U428">
        <v>0</v>
      </c>
      <c r="V428">
        <v>40</v>
      </c>
      <c r="W428">
        <v>468000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>
      <c r="A429">
        <v>824</v>
      </c>
      <c r="B429" t="s">
        <v>149</v>
      </c>
      <c r="C429">
        <v>471</v>
      </c>
      <c r="D429" t="s">
        <v>25</v>
      </c>
      <c r="E429" t="str">
        <f t="shared" si="10"/>
        <v>00471</v>
      </c>
      <c r="F429" t="s">
        <v>20</v>
      </c>
      <c r="G429" t="s">
        <v>193</v>
      </c>
      <c r="H429" t="s">
        <v>151</v>
      </c>
      <c r="I429" t="s">
        <v>4</v>
      </c>
      <c r="J429" t="s">
        <v>152</v>
      </c>
      <c r="K429" t="s">
        <v>236</v>
      </c>
      <c r="L429">
        <v>251200428</v>
      </c>
      <c r="M429" s="84">
        <v>46006</v>
      </c>
      <c r="N429" s="84">
        <v>46006</v>
      </c>
      <c r="O429" t="s">
        <v>206</v>
      </c>
      <c r="P429" t="s">
        <v>207</v>
      </c>
      <c r="Q429">
        <v>14250</v>
      </c>
      <c r="R429">
        <v>10</v>
      </c>
      <c r="S429">
        <v>142500</v>
      </c>
      <c r="T429">
        <v>0</v>
      </c>
      <c r="U429">
        <v>0</v>
      </c>
      <c r="V429">
        <v>10</v>
      </c>
      <c r="W429">
        <v>142500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 spans="1:29">
      <c r="A430">
        <v>825</v>
      </c>
      <c r="B430" t="s">
        <v>149</v>
      </c>
      <c r="C430">
        <v>471</v>
      </c>
      <c r="D430" t="s">
        <v>25</v>
      </c>
      <c r="E430" t="str">
        <f t="shared" si="10"/>
        <v>00471</v>
      </c>
      <c r="F430" t="s">
        <v>20</v>
      </c>
      <c r="G430" t="s">
        <v>193</v>
      </c>
      <c r="H430" t="s">
        <v>151</v>
      </c>
      <c r="I430" t="s">
        <v>4</v>
      </c>
      <c r="J430" t="s">
        <v>152</v>
      </c>
      <c r="K430" t="s">
        <v>236</v>
      </c>
      <c r="L430">
        <v>251200428</v>
      </c>
      <c r="M430" s="84">
        <v>46006</v>
      </c>
      <c r="N430" s="84">
        <v>46006</v>
      </c>
      <c r="O430" t="s">
        <v>160</v>
      </c>
      <c r="P430" t="s">
        <v>161</v>
      </c>
      <c r="Q430">
        <v>14250</v>
      </c>
      <c r="R430">
        <v>40</v>
      </c>
      <c r="S430">
        <v>570000</v>
      </c>
      <c r="T430">
        <v>0</v>
      </c>
      <c r="U430">
        <v>0</v>
      </c>
      <c r="V430">
        <v>40</v>
      </c>
      <c r="W430">
        <v>570000</v>
      </c>
      <c r="X430">
        <v>6000</v>
      </c>
      <c r="Y430">
        <v>8000</v>
      </c>
      <c r="Z430">
        <v>0</v>
      </c>
      <c r="AA430">
        <v>0</v>
      </c>
      <c r="AB430">
        <v>0</v>
      </c>
      <c r="AC430">
        <v>14000</v>
      </c>
    </row>
    <row r="431" spans="1:29">
      <c r="A431">
        <v>826</v>
      </c>
      <c r="B431" t="s">
        <v>149</v>
      </c>
      <c r="C431">
        <v>471</v>
      </c>
      <c r="D431" t="s">
        <v>25</v>
      </c>
      <c r="E431" t="str">
        <f t="shared" si="10"/>
        <v>00471</v>
      </c>
      <c r="F431" t="s">
        <v>20</v>
      </c>
      <c r="G431" t="s">
        <v>193</v>
      </c>
      <c r="H431" t="s">
        <v>151</v>
      </c>
      <c r="I431" t="s">
        <v>5</v>
      </c>
      <c r="J431" t="s">
        <v>152</v>
      </c>
      <c r="K431" t="s">
        <v>236</v>
      </c>
      <c r="L431">
        <v>251200428</v>
      </c>
      <c r="M431" s="84">
        <v>46006</v>
      </c>
      <c r="N431" s="84">
        <v>46006</v>
      </c>
      <c r="O431" t="s">
        <v>191</v>
      </c>
      <c r="P431" t="s">
        <v>192</v>
      </c>
      <c r="Q431">
        <v>11700</v>
      </c>
      <c r="R431">
        <v>12</v>
      </c>
      <c r="S431">
        <v>140400</v>
      </c>
      <c r="T431">
        <v>0</v>
      </c>
      <c r="U431">
        <v>0</v>
      </c>
      <c r="V431">
        <v>12</v>
      </c>
      <c r="W431">
        <v>140400</v>
      </c>
      <c r="X431">
        <v>1800</v>
      </c>
      <c r="Y431">
        <v>1800</v>
      </c>
      <c r="Z431">
        <v>0</v>
      </c>
      <c r="AA431">
        <v>0</v>
      </c>
      <c r="AB431">
        <v>0</v>
      </c>
      <c r="AC431">
        <v>3600</v>
      </c>
    </row>
    <row r="432" spans="1:29">
      <c r="A432">
        <v>827</v>
      </c>
      <c r="B432" t="s">
        <v>149</v>
      </c>
      <c r="C432">
        <v>471</v>
      </c>
      <c r="D432" t="s">
        <v>25</v>
      </c>
      <c r="E432" t="str">
        <f t="shared" si="10"/>
        <v>00471</v>
      </c>
      <c r="F432" t="s">
        <v>20</v>
      </c>
      <c r="G432" t="s">
        <v>193</v>
      </c>
      <c r="H432" t="s">
        <v>151</v>
      </c>
      <c r="I432" t="s">
        <v>4</v>
      </c>
      <c r="J432" t="s">
        <v>152</v>
      </c>
      <c r="K432" t="s">
        <v>236</v>
      </c>
      <c r="L432">
        <v>251200428</v>
      </c>
      <c r="M432" s="84">
        <v>46006</v>
      </c>
      <c r="N432" s="84">
        <v>46006</v>
      </c>
      <c r="O432" t="s">
        <v>179</v>
      </c>
      <c r="P432" t="s">
        <v>180</v>
      </c>
      <c r="Q432">
        <v>14250</v>
      </c>
      <c r="R432">
        <v>10</v>
      </c>
      <c r="S432">
        <v>142500</v>
      </c>
      <c r="T432">
        <v>0</v>
      </c>
      <c r="U432">
        <v>0</v>
      </c>
      <c r="V432">
        <v>10</v>
      </c>
      <c r="W432">
        <v>142500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>
      <c r="A433">
        <v>828</v>
      </c>
      <c r="B433" t="s">
        <v>149</v>
      </c>
      <c r="C433">
        <v>1581</v>
      </c>
      <c r="D433" t="s">
        <v>96</v>
      </c>
      <c r="E433" t="str">
        <f t="shared" si="10"/>
        <v>01581</v>
      </c>
      <c r="F433" t="s">
        <v>95</v>
      </c>
      <c r="G433" t="s">
        <v>187</v>
      </c>
      <c r="H433" t="s">
        <v>188</v>
      </c>
      <c r="I433" t="s">
        <v>5</v>
      </c>
      <c r="J433" t="s">
        <v>152</v>
      </c>
      <c r="K433" t="s">
        <v>159</v>
      </c>
      <c r="L433">
        <v>251200429</v>
      </c>
      <c r="M433" s="84">
        <v>46006</v>
      </c>
      <c r="N433" s="84">
        <v>46006</v>
      </c>
      <c r="O433" t="s">
        <v>198</v>
      </c>
      <c r="P433" t="s">
        <v>199</v>
      </c>
      <c r="Q433">
        <v>10800</v>
      </c>
      <c r="R433">
        <v>8</v>
      </c>
      <c r="S433">
        <v>86400</v>
      </c>
      <c r="T433">
        <v>0</v>
      </c>
      <c r="U433">
        <v>0</v>
      </c>
      <c r="V433">
        <v>8</v>
      </c>
      <c r="W433">
        <v>86400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>
      <c r="A434">
        <v>829</v>
      </c>
      <c r="B434" t="s">
        <v>149</v>
      </c>
      <c r="C434">
        <v>1581</v>
      </c>
      <c r="D434" t="s">
        <v>96</v>
      </c>
      <c r="E434" t="str">
        <f t="shared" si="10"/>
        <v>01581</v>
      </c>
      <c r="F434" t="s">
        <v>95</v>
      </c>
      <c r="G434" t="s">
        <v>187</v>
      </c>
      <c r="H434" t="s">
        <v>188</v>
      </c>
      <c r="I434" t="s">
        <v>4</v>
      </c>
      <c r="J434" t="s">
        <v>152</v>
      </c>
      <c r="K434" t="s">
        <v>159</v>
      </c>
      <c r="L434">
        <v>251200429</v>
      </c>
      <c r="M434" s="84">
        <v>46006</v>
      </c>
      <c r="N434" s="84">
        <v>46006</v>
      </c>
      <c r="O434" t="s">
        <v>262</v>
      </c>
      <c r="P434" t="s">
        <v>263</v>
      </c>
      <c r="Q434">
        <v>13300</v>
      </c>
      <c r="R434">
        <v>5</v>
      </c>
      <c r="S434">
        <v>66500</v>
      </c>
      <c r="T434">
        <v>0</v>
      </c>
      <c r="U434">
        <v>0</v>
      </c>
      <c r="V434">
        <v>5</v>
      </c>
      <c r="W434">
        <v>66500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>
      <c r="A435">
        <v>833</v>
      </c>
      <c r="B435" t="s">
        <v>149</v>
      </c>
      <c r="C435">
        <v>827</v>
      </c>
      <c r="D435" t="s">
        <v>84</v>
      </c>
      <c r="E435" t="str">
        <f t="shared" si="10"/>
        <v>00827</v>
      </c>
      <c r="F435" t="s">
        <v>83</v>
      </c>
      <c r="G435" t="s">
        <v>164</v>
      </c>
      <c r="H435" t="s">
        <v>151</v>
      </c>
      <c r="I435" t="s">
        <v>4</v>
      </c>
      <c r="J435" t="s">
        <v>152</v>
      </c>
      <c r="K435" t="s">
        <v>153</v>
      </c>
      <c r="L435">
        <v>251200432</v>
      </c>
      <c r="M435" s="84">
        <v>46006</v>
      </c>
      <c r="N435" s="84">
        <v>46006</v>
      </c>
      <c r="O435" t="s">
        <v>177</v>
      </c>
      <c r="P435" t="s">
        <v>178</v>
      </c>
      <c r="Q435">
        <v>14250</v>
      </c>
      <c r="R435">
        <v>1</v>
      </c>
      <c r="S435">
        <v>14250</v>
      </c>
      <c r="T435">
        <v>0</v>
      </c>
      <c r="U435">
        <v>0</v>
      </c>
      <c r="V435">
        <v>1</v>
      </c>
      <c r="W435">
        <v>14250</v>
      </c>
      <c r="X435">
        <v>150</v>
      </c>
      <c r="Y435">
        <v>200</v>
      </c>
      <c r="Z435">
        <v>0</v>
      </c>
      <c r="AA435">
        <v>0</v>
      </c>
      <c r="AB435">
        <v>0</v>
      </c>
      <c r="AC435">
        <v>350</v>
      </c>
    </row>
    <row r="436" spans="1:29">
      <c r="A436">
        <v>837</v>
      </c>
      <c r="B436" t="s">
        <v>149</v>
      </c>
      <c r="C436">
        <v>1401</v>
      </c>
      <c r="D436" t="s">
        <v>29</v>
      </c>
      <c r="E436" t="str">
        <f t="shared" si="10"/>
        <v>01401</v>
      </c>
      <c r="F436" t="s">
        <v>28</v>
      </c>
      <c r="G436" t="s">
        <v>164</v>
      </c>
      <c r="H436" t="s">
        <v>151</v>
      </c>
      <c r="I436" t="s">
        <v>4</v>
      </c>
      <c r="J436" t="s">
        <v>152</v>
      </c>
      <c r="K436" t="s">
        <v>153</v>
      </c>
      <c r="L436">
        <v>251200436</v>
      </c>
      <c r="M436" s="84">
        <v>46006</v>
      </c>
      <c r="N436" s="84">
        <v>46006</v>
      </c>
      <c r="O436" t="s">
        <v>267</v>
      </c>
      <c r="P436" t="s">
        <v>268</v>
      </c>
      <c r="Q436">
        <v>14250</v>
      </c>
      <c r="R436">
        <v>20</v>
      </c>
      <c r="S436">
        <v>285000</v>
      </c>
      <c r="T436">
        <v>0</v>
      </c>
      <c r="U436">
        <v>0</v>
      </c>
      <c r="V436">
        <v>20</v>
      </c>
      <c r="W436">
        <v>285000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>
      <c r="A437">
        <v>838</v>
      </c>
      <c r="B437" t="s">
        <v>149</v>
      </c>
      <c r="C437">
        <v>1401</v>
      </c>
      <c r="D437" t="s">
        <v>29</v>
      </c>
      <c r="E437" t="str">
        <f t="shared" si="10"/>
        <v>01401</v>
      </c>
      <c r="F437" t="s">
        <v>28</v>
      </c>
      <c r="G437" t="s">
        <v>164</v>
      </c>
      <c r="H437" t="s">
        <v>151</v>
      </c>
      <c r="I437" t="s">
        <v>5</v>
      </c>
      <c r="J437" t="s">
        <v>152</v>
      </c>
      <c r="K437" t="s">
        <v>153</v>
      </c>
      <c r="L437">
        <v>251200436</v>
      </c>
      <c r="M437" s="84">
        <v>46006</v>
      </c>
      <c r="N437" s="84">
        <v>46006</v>
      </c>
      <c r="O437" t="s">
        <v>196</v>
      </c>
      <c r="P437" t="s">
        <v>197</v>
      </c>
      <c r="Q437">
        <v>11700</v>
      </c>
      <c r="R437">
        <v>4</v>
      </c>
      <c r="S437">
        <v>46800</v>
      </c>
      <c r="T437">
        <v>0</v>
      </c>
      <c r="U437">
        <v>0</v>
      </c>
      <c r="V437">
        <v>4</v>
      </c>
      <c r="W437">
        <v>46800</v>
      </c>
      <c r="X437">
        <v>600</v>
      </c>
      <c r="Y437">
        <v>600</v>
      </c>
      <c r="Z437">
        <v>0</v>
      </c>
      <c r="AA437">
        <v>0</v>
      </c>
      <c r="AB437">
        <v>0</v>
      </c>
      <c r="AC437">
        <v>1200</v>
      </c>
    </row>
    <row r="438" spans="1:29">
      <c r="A438">
        <v>839</v>
      </c>
      <c r="B438" t="s">
        <v>149</v>
      </c>
      <c r="C438">
        <v>1401</v>
      </c>
      <c r="D438" t="s">
        <v>29</v>
      </c>
      <c r="E438" t="str">
        <f t="shared" si="10"/>
        <v>01401</v>
      </c>
      <c r="F438" t="s">
        <v>28</v>
      </c>
      <c r="G438" t="s">
        <v>164</v>
      </c>
      <c r="H438" t="s">
        <v>151</v>
      </c>
      <c r="I438" t="s">
        <v>5</v>
      </c>
      <c r="J438" t="s">
        <v>152</v>
      </c>
      <c r="K438" t="s">
        <v>153</v>
      </c>
      <c r="L438">
        <v>251200436</v>
      </c>
      <c r="M438" s="84">
        <v>46006</v>
      </c>
      <c r="N438" s="84">
        <v>46006</v>
      </c>
      <c r="O438" t="s">
        <v>191</v>
      </c>
      <c r="P438" t="s">
        <v>192</v>
      </c>
      <c r="Q438">
        <v>11700</v>
      </c>
      <c r="R438">
        <v>20</v>
      </c>
      <c r="S438">
        <v>234000</v>
      </c>
      <c r="T438">
        <v>0</v>
      </c>
      <c r="U438">
        <v>0</v>
      </c>
      <c r="V438">
        <v>20</v>
      </c>
      <c r="W438">
        <v>234000</v>
      </c>
      <c r="X438">
        <v>3000</v>
      </c>
      <c r="Y438">
        <v>3000</v>
      </c>
      <c r="Z438">
        <v>0</v>
      </c>
      <c r="AA438">
        <v>0</v>
      </c>
      <c r="AB438">
        <v>0</v>
      </c>
      <c r="AC438">
        <v>6000</v>
      </c>
    </row>
    <row r="439" spans="1:29">
      <c r="A439">
        <v>840</v>
      </c>
      <c r="B439" t="s">
        <v>149</v>
      </c>
      <c r="C439">
        <v>325</v>
      </c>
      <c r="D439" t="s">
        <v>34</v>
      </c>
      <c r="E439" t="str">
        <f t="shared" si="10"/>
        <v>00325</v>
      </c>
      <c r="F439" t="s">
        <v>28</v>
      </c>
      <c r="G439" t="s">
        <v>164</v>
      </c>
      <c r="H439" t="s">
        <v>151</v>
      </c>
      <c r="I439" t="s">
        <v>4</v>
      </c>
      <c r="J439" t="s">
        <v>152</v>
      </c>
      <c r="K439" t="s">
        <v>153</v>
      </c>
      <c r="L439">
        <v>251200438</v>
      </c>
      <c r="M439" s="84">
        <v>46006</v>
      </c>
      <c r="N439" s="84">
        <v>46006</v>
      </c>
      <c r="O439" t="s">
        <v>179</v>
      </c>
      <c r="P439" t="s">
        <v>180</v>
      </c>
      <c r="Q439">
        <v>14250</v>
      </c>
      <c r="R439">
        <v>5</v>
      </c>
      <c r="S439">
        <v>71250</v>
      </c>
      <c r="T439">
        <v>0</v>
      </c>
      <c r="U439">
        <v>0</v>
      </c>
      <c r="V439">
        <v>5</v>
      </c>
      <c r="W439">
        <v>71250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>
      <c r="A440">
        <v>841</v>
      </c>
      <c r="B440" t="s">
        <v>149</v>
      </c>
      <c r="C440">
        <v>325</v>
      </c>
      <c r="D440" t="s">
        <v>34</v>
      </c>
      <c r="E440" t="str">
        <f t="shared" si="10"/>
        <v>00325</v>
      </c>
      <c r="F440" t="s">
        <v>28</v>
      </c>
      <c r="G440" t="s">
        <v>164</v>
      </c>
      <c r="H440" t="s">
        <v>151</v>
      </c>
      <c r="I440" t="s">
        <v>4</v>
      </c>
      <c r="J440" t="s">
        <v>152</v>
      </c>
      <c r="K440" t="s">
        <v>153</v>
      </c>
      <c r="L440">
        <v>251200439</v>
      </c>
      <c r="M440" s="84">
        <v>46006</v>
      </c>
      <c r="N440" s="84">
        <v>46006</v>
      </c>
      <c r="O440" t="s">
        <v>179</v>
      </c>
      <c r="P440" t="s">
        <v>180</v>
      </c>
      <c r="Q440">
        <v>14250</v>
      </c>
      <c r="R440">
        <v>5</v>
      </c>
      <c r="S440">
        <v>71250</v>
      </c>
      <c r="T440">
        <v>0</v>
      </c>
      <c r="U440">
        <v>0</v>
      </c>
      <c r="V440">
        <v>5</v>
      </c>
      <c r="W440">
        <v>71250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>
      <c r="A441">
        <v>842</v>
      </c>
      <c r="B441" t="s">
        <v>149</v>
      </c>
      <c r="C441">
        <v>325</v>
      </c>
      <c r="D441" t="s">
        <v>34</v>
      </c>
      <c r="E441" t="str">
        <f t="shared" si="10"/>
        <v>00325</v>
      </c>
      <c r="F441" t="s">
        <v>28</v>
      </c>
      <c r="G441" t="s">
        <v>164</v>
      </c>
      <c r="H441" t="s">
        <v>151</v>
      </c>
      <c r="I441" t="s">
        <v>4</v>
      </c>
      <c r="J441" t="s">
        <v>152</v>
      </c>
      <c r="K441" t="s">
        <v>153</v>
      </c>
      <c r="L441">
        <v>251200439</v>
      </c>
      <c r="M441" s="84">
        <v>46006</v>
      </c>
      <c r="N441" s="84">
        <v>46006</v>
      </c>
      <c r="O441" t="s">
        <v>160</v>
      </c>
      <c r="P441" t="s">
        <v>161</v>
      </c>
      <c r="Q441">
        <v>14250</v>
      </c>
      <c r="R441">
        <v>12</v>
      </c>
      <c r="S441">
        <v>171000</v>
      </c>
      <c r="T441">
        <v>0</v>
      </c>
      <c r="U441">
        <v>0</v>
      </c>
      <c r="V441">
        <v>12</v>
      </c>
      <c r="W441">
        <v>171000</v>
      </c>
      <c r="X441">
        <v>1800</v>
      </c>
      <c r="Y441">
        <v>2400</v>
      </c>
      <c r="Z441">
        <v>0</v>
      </c>
      <c r="AA441">
        <v>0</v>
      </c>
      <c r="AB441">
        <v>0</v>
      </c>
      <c r="AC441">
        <v>4200</v>
      </c>
    </row>
    <row r="442" spans="1:29">
      <c r="A442">
        <v>843</v>
      </c>
      <c r="B442" t="s">
        <v>149</v>
      </c>
      <c r="C442">
        <v>325</v>
      </c>
      <c r="D442" t="s">
        <v>34</v>
      </c>
      <c r="E442" t="str">
        <f t="shared" si="10"/>
        <v>00325</v>
      </c>
      <c r="F442" t="s">
        <v>28</v>
      </c>
      <c r="G442" t="s">
        <v>164</v>
      </c>
      <c r="H442" t="s">
        <v>151</v>
      </c>
      <c r="I442" t="s">
        <v>4</v>
      </c>
      <c r="J442" t="s">
        <v>152</v>
      </c>
      <c r="K442" t="s">
        <v>153</v>
      </c>
      <c r="L442">
        <v>251200439</v>
      </c>
      <c r="M442" s="84">
        <v>46006</v>
      </c>
      <c r="N442" s="84">
        <v>46006</v>
      </c>
      <c r="O442" t="s">
        <v>168</v>
      </c>
      <c r="P442" t="s">
        <v>169</v>
      </c>
      <c r="Q442">
        <v>14250</v>
      </c>
      <c r="R442">
        <v>10</v>
      </c>
      <c r="S442">
        <v>142500</v>
      </c>
      <c r="T442">
        <v>0</v>
      </c>
      <c r="U442">
        <v>0</v>
      </c>
      <c r="V442">
        <v>10</v>
      </c>
      <c r="W442">
        <v>142500</v>
      </c>
      <c r="X442">
        <v>1500</v>
      </c>
      <c r="Y442">
        <v>2000</v>
      </c>
      <c r="Z442">
        <v>0</v>
      </c>
      <c r="AA442">
        <v>0</v>
      </c>
      <c r="AB442">
        <v>0</v>
      </c>
      <c r="AC442">
        <v>3500</v>
      </c>
    </row>
    <row r="443" spans="1:29">
      <c r="A443">
        <v>851</v>
      </c>
      <c r="B443" t="s">
        <v>149</v>
      </c>
      <c r="C443">
        <v>988</v>
      </c>
      <c r="D443" t="s">
        <v>19</v>
      </c>
      <c r="E443" t="str">
        <f t="shared" si="10"/>
        <v>00988</v>
      </c>
      <c r="F443" t="s">
        <v>15</v>
      </c>
      <c r="G443" t="s">
        <v>193</v>
      </c>
      <c r="H443" t="s">
        <v>151</v>
      </c>
      <c r="I443" t="s">
        <v>5</v>
      </c>
      <c r="J443" t="s">
        <v>152</v>
      </c>
      <c r="K443" t="s">
        <v>153</v>
      </c>
      <c r="L443">
        <v>251200445</v>
      </c>
      <c r="M443" s="84">
        <v>46006</v>
      </c>
      <c r="N443" s="84">
        <v>46006</v>
      </c>
      <c r="O443" t="s">
        <v>191</v>
      </c>
      <c r="P443" t="s">
        <v>192</v>
      </c>
      <c r="Q443">
        <v>11700</v>
      </c>
      <c r="R443">
        <v>20</v>
      </c>
      <c r="S443">
        <v>234000</v>
      </c>
      <c r="T443">
        <v>0</v>
      </c>
      <c r="U443">
        <v>0</v>
      </c>
      <c r="V443">
        <v>20</v>
      </c>
      <c r="W443">
        <v>234000</v>
      </c>
      <c r="X443">
        <v>3000</v>
      </c>
      <c r="Y443">
        <v>3000</v>
      </c>
      <c r="Z443">
        <v>0</v>
      </c>
      <c r="AA443">
        <v>0</v>
      </c>
      <c r="AB443">
        <v>0</v>
      </c>
      <c r="AC443">
        <v>6000</v>
      </c>
    </row>
    <row r="444" spans="1:29">
      <c r="A444">
        <v>852</v>
      </c>
      <c r="B444" t="s">
        <v>149</v>
      </c>
      <c r="C444">
        <v>988</v>
      </c>
      <c r="D444" t="s">
        <v>19</v>
      </c>
      <c r="E444" t="str">
        <f t="shared" si="10"/>
        <v>00988</v>
      </c>
      <c r="F444" t="s">
        <v>15</v>
      </c>
      <c r="G444" t="s">
        <v>193</v>
      </c>
      <c r="H444" t="s">
        <v>151</v>
      </c>
      <c r="I444" t="s">
        <v>4</v>
      </c>
      <c r="J444" t="s">
        <v>152</v>
      </c>
      <c r="K444" t="s">
        <v>153</v>
      </c>
      <c r="L444">
        <v>251200445</v>
      </c>
      <c r="M444" s="84">
        <v>46006</v>
      </c>
      <c r="N444" s="84">
        <v>46006</v>
      </c>
      <c r="O444" t="s">
        <v>179</v>
      </c>
      <c r="P444" t="s">
        <v>180</v>
      </c>
      <c r="Q444">
        <v>14250</v>
      </c>
      <c r="R444">
        <v>5</v>
      </c>
      <c r="S444">
        <v>71250</v>
      </c>
      <c r="T444">
        <v>0</v>
      </c>
      <c r="U444">
        <v>0</v>
      </c>
      <c r="V444">
        <v>5</v>
      </c>
      <c r="W444">
        <v>71250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>
      <c r="A445">
        <v>862</v>
      </c>
      <c r="B445" t="s">
        <v>149</v>
      </c>
      <c r="C445">
        <v>1476</v>
      </c>
      <c r="D445" t="s">
        <v>299</v>
      </c>
      <c r="E445" t="str">
        <f t="shared" si="10"/>
        <v>01476</v>
      </c>
      <c r="F445" t="s">
        <v>95</v>
      </c>
      <c r="G445" t="s">
        <v>187</v>
      </c>
      <c r="H445" t="s">
        <v>188</v>
      </c>
      <c r="I445" t="s">
        <v>231</v>
      </c>
      <c r="J445" t="s">
        <v>152</v>
      </c>
      <c r="K445" t="s">
        <v>159</v>
      </c>
      <c r="L445">
        <v>251200455</v>
      </c>
      <c r="M445" s="84">
        <v>46006</v>
      </c>
      <c r="N445" s="84">
        <v>46006</v>
      </c>
      <c r="O445" t="s">
        <v>233</v>
      </c>
      <c r="P445" t="s">
        <v>118</v>
      </c>
      <c r="Q445">
        <v>4486</v>
      </c>
      <c r="R445">
        <v>2</v>
      </c>
      <c r="S445">
        <v>8972</v>
      </c>
      <c r="T445">
        <v>0</v>
      </c>
      <c r="U445">
        <v>0</v>
      </c>
      <c r="V445">
        <v>2</v>
      </c>
      <c r="W445">
        <v>8972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>
      <c r="A446">
        <v>863</v>
      </c>
      <c r="B446" t="s">
        <v>149</v>
      </c>
      <c r="C446">
        <v>1476</v>
      </c>
      <c r="D446" t="s">
        <v>299</v>
      </c>
      <c r="E446" t="str">
        <f t="shared" si="10"/>
        <v>01476</v>
      </c>
      <c r="F446" t="s">
        <v>95</v>
      </c>
      <c r="G446" t="s">
        <v>187</v>
      </c>
      <c r="H446" t="s">
        <v>188</v>
      </c>
      <c r="I446" t="s">
        <v>238</v>
      </c>
      <c r="J446" t="s">
        <v>152</v>
      </c>
      <c r="K446" t="s">
        <v>159</v>
      </c>
      <c r="L446">
        <v>251200455</v>
      </c>
      <c r="M446" s="84">
        <v>46006</v>
      </c>
      <c r="N446" s="84">
        <v>46006</v>
      </c>
      <c r="O446" t="s">
        <v>247</v>
      </c>
      <c r="P446" t="s">
        <v>116</v>
      </c>
      <c r="Q446">
        <v>10982</v>
      </c>
      <c r="R446">
        <v>1</v>
      </c>
      <c r="S446">
        <v>10982</v>
      </c>
      <c r="T446">
        <v>0</v>
      </c>
      <c r="U446">
        <v>0</v>
      </c>
      <c r="V446">
        <v>1</v>
      </c>
      <c r="W446">
        <v>10982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>
      <c r="A447">
        <v>870</v>
      </c>
      <c r="B447" t="s">
        <v>149</v>
      </c>
      <c r="C447">
        <v>1118</v>
      </c>
      <c r="D447" t="s">
        <v>37</v>
      </c>
      <c r="E447" t="str">
        <f t="shared" si="10"/>
        <v>01118</v>
      </c>
      <c r="F447" t="s">
        <v>28</v>
      </c>
      <c r="G447" t="s">
        <v>164</v>
      </c>
      <c r="H447" t="s">
        <v>151</v>
      </c>
      <c r="I447" t="s">
        <v>4</v>
      </c>
      <c r="J447" t="s">
        <v>152</v>
      </c>
      <c r="K447" t="s">
        <v>153</v>
      </c>
      <c r="L447">
        <v>251200462</v>
      </c>
      <c r="M447" s="84">
        <v>46006</v>
      </c>
      <c r="N447" s="84">
        <v>46006</v>
      </c>
      <c r="O447" t="s">
        <v>243</v>
      </c>
      <c r="P447" t="s">
        <v>244</v>
      </c>
      <c r="Q447">
        <v>15050</v>
      </c>
      <c r="R447">
        <v>8</v>
      </c>
      <c r="S447">
        <v>120400</v>
      </c>
      <c r="T447">
        <v>0</v>
      </c>
      <c r="U447">
        <v>0</v>
      </c>
      <c r="V447">
        <v>8</v>
      </c>
      <c r="W447">
        <v>120400</v>
      </c>
      <c r="X447">
        <v>1200</v>
      </c>
      <c r="Y447">
        <v>1600</v>
      </c>
      <c r="Z447">
        <v>0</v>
      </c>
      <c r="AA447">
        <v>0</v>
      </c>
      <c r="AB447">
        <v>0</v>
      </c>
      <c r="AC447">
        <v>2800</v>
      </c>
    </row>
    <row r="448" spans="1:29">
      <c r="A448">
        <v>873</v>
      </c>
      <c r="B448" t="s">
        <v>149</v>
      </c>
      <c r="C448">
        <v>337</v>
      </c>
      <c r="D448" t="s">
        <v>57</v>
      </c>
      <c r="E448" t="str">
        <f t="shared" si="10"/>
        <v>00337</v>
      </c>
      <c r="F448" t="s">
        <v>49</v>
      </c>
      <c r="G448" t="s">
        <v>167</v>
      </c>
      <c r="H448" t="s">
        <v>151</v>
      </c>
      <c r="I448" t="s">
        <v>238</v>
      </c>
      <c r="J448" t="s">
        <v>152</v>
      </c>
      <c r="K448" t="s">
        <v>153</v>
      </c>
      <c r="L448">
        <v>251200464</v>
      </c>
      <c r="M448" s="84">
        <v>46006</v>
      </c>
      <c r="N448" s="84">
        <v>46006</v>
      </c>
      <c r="O448" t="s">
        <v>247</v>
      </c>
      <c r="P448" t="s">
        <v>116</v>
      </c>
      <c r="Q448">
        <v>10982</v>
      </c>
      <c r="R448">
        <v>3</v>
      </c>
      <c r="S448">
        <v>32946</v>
      </c>
      <c r="T448">
        <v>0</v>
      </c>
      <c r="U448">
        <v>0</v>
      </c>
      <c r="V448">
        <v>3</v>
      </c>
      <c r="W448">
        <v>32946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>
      <c r="A449">
        <v>874</v>
      </c>
      <c r="B449" t="s">
        <v>149</v>
      </c>
      <c r="C449">
        <v>337</v>
      </c>
      <c r="D449" t="s">
        <v>57</v>
      </c>
      <c r="E449" t="str">
        <f t="shared" si="10"/>
        <v>00337</v>
      </c>
      <c r="F449" t="s">
        <v>49</v>
      </c>
      <c r="G449" t="s">
        <v>167</v>
      </c>
      <c r="H449" t="s">
        <v>151</v>
      </c>
      <c r="I449" t="s">
        <v>238</v>
      </c>
      <c r="J449" t="s">
        <v>152</v>
      </c>
      <c r="K449" t="s">
        <v>153</v>
      </c>
      <c r="L449">
        <v>251200464</v>
      </c>
      <c r="M449" s="84">
        <v>46006</v>
      </c>
      <c r="N449" s="84">
        <v>46006</v>
      </c>
      <c r="O449" t="s">
        <v>282</v>
      </c>
      <c r="P449" t="s">
        <v>283</v>
      </c>
      <c r="Q449">
        <v>18880</v>
      </c>
      <c r="R449">
        <v>2</v>
      </c>
      <c r="S449">
        <v>37760</v>
      </c>
      <c r="T449">
        <v>0</v>
      </c>
      <c r="U449">
        <v>0</v>
      </c>
      <c r="V449">
        <v>2</v>
      </c>
      <c r="W449">
        <v>37760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>
      <c r="A450">
        <v>875</v>
      </c>
      <c r="B450" t="s">
        <v>149</v>
      </c>
      <c r="C450">
        <v>1564</v>
      </c>
      <c r="D450" t="s">
        <v>40</v>
      </c>
      <c r="E450" t="str">
        <f t="shared" si="10"/>
        <v>01564</v>
      </c>
      <c r="F450" t="s">
        <v>38</v>
      </c>
      <c r="G450" t="s">
        <v>202</v>
      </c>
      <c r="H450" t="s">
        <v>157</v>
      </c>
      <c r="I450" t="s">
        <v>4</v>
      </c>
      <c r="J450" t="s">
        <v>152</v>
      </c>
      <c r="K450" t="s">
        <v>203</v>
      </c>
      <c r="L450">
        <v>251200465</v>
      </c>
      <c r="M450" s="84">
        <v>46006</v>
      </c>
      <c r="N450" s="84">
        <v>46006</v>
      </c>
      <c r="O450" t="s">
        <v>300</v>
      </c>
      <c r="P450" t="s">
        <v>301</v>
      </c>
      <c r="Q450">
        <v>14250</v>
      </c>
      <c r="R450">
        <v>10</v>
      </c>
      <c r="S450">
        <v>142500</v>
      </c>
      <c r="T450">
        <v>0</v>
      </c>
      <c r="U450">
        <v>0</v>
      </c>
      <c r="V450">
        <v>10</v>
      </c>
      <c r="W450">
        <v>142500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>
      <c r="A451">
        <v>884</v>
      </c>
      <c r="B451" t="s">
        <v>149</v>
      </c>
      <c r="C451">
        <v>88</v>
      </c>
      <c r="D451" t="s">
        <v>46</v>
      </c>
      <c r="E451" t="str">
        <f t="shared" si="10"/>
        <v>00088</v>
      </c>
      <c r="F451" t="s">
        <v>43</v>
      </c>
      <c r="G451" t="s">
        <v>150</v>
      </c>
      <c r="H451" t="s">
        <v>151</v>
      </c>
      <c r="I451" t="s">
        <v>4</v>
      </c>
      <c r="J451" t="s">
        <v>152</v>
      </c>
      <c r="K451" t="s">
        <v>153</v>
      </c>
      <c r="L451">
        <v>251200471</v>
      </c>
      <c r="M451" s="84">
        <v>46007</v>
      </c>
      <c r="N451" s="84">
        <v>46007</v>
      </c>
      <c r="O451" t="s">
        <v>160</v>
      </c>
      <c r="P451" t="s">
        <v>161</v>
      </c>
      <c r="Q451">
        <v>14250</v>
      </c>
      <c r="R451">
        <v>10</v>
      </c>
      <c r="S451">
        <v>142500</v>
      </c>
      <c r="T451">
        <v>0</v>
      </c>
      <c r="U451">
        <v>0</v>
      </c>
      <c r="V451">
        <v>10</v>
      </c>
      <c r="W451">
        <v>142500</v>
      </c>
      <c r="X451">
        <v>1500</v>
      </c>
      <c r="Y451">
        <v>2000</v>
      </c>
      <c r="Z451">
        <v>0</v>
      </c>
      <c r="AA451">
        <v>0</v>
      </c>
      <c r="AB451">
        <v>0</v>
      </c>
      <c r="AC451">
        <v>3500</v>
      </c>
    </row>
    <row r="452" spans="1:29">
      <c r="A452">
        <v>893</v>
      </c>
      <c r="B452" t="s">
        <v>149</v>
      </c>
      <c r="C452">
        <v>337</v>
      </c>
      <c r="D452" t="s">
        <v>57</v>
      </c>
      <c r="E452" t="str">
        <f t="shared" si="10"/>
        <v>00337</v>
      </c>
      <c r="F452" t="s">
        <v>49</v>
      </c>
      <c r="G452" t="s">
        <v>167</v>
      </c>
      <c r="H452" t="s">
        <v>151</v>
      </c>
      <c r="I452" t="s">
        <v>4</v>
      </c>
      <c r="J452" t="s">
        <v>152</v>
      </c>
      <c r="K452" t="s">
        <v>153</v>
      </c>
      <c r="L452">
        <v>251200475</v>
      </c>
      <c r="M452" s="84">
        <v>46007</v>
      </c>
      <c r="N452" s="84">
        <v>46007</v>
      </c>
      <c r="O452" t="s">
        <v>160</v>
      </c>
      <c r="P452" t="s">
        <v>161</v>
      </c>
      <c r="Q452">
        <v>14250</v>
      </c>
      <c r="R452">
        <v>60</v>
      </c>
      <c r="S452">
        <v>855000</v>
      </c>
      <c r="T452">
        <v>0</v>
      </c>
      <c r="U452">
        <v>0</v>
      </c>
      <c r="V452">
        <v>60</v>
      </c>
      <c r="W452">
        <v>855000</v>
      </c>
      <c r="X452">
        <v>9000</v>
      </c>
      <c r="Y452">
        <v>12000</v>
      </c>
      <c r="Z452">
        <v>0</v>
      </c>
      <c r="AA452">
        <v>0</v>
      </c>
      <c r="AB452">
        <v>0</v>
      </c>
      <c r="AC452">
        <v>21000</v>
      </c>
    </row>
    <row r="453" spans="1:29">
      <c r="A453">
        <v>894</v>
      </c>
      <c r="B453" t="s">
        <v>149</v>
      </c>
      <c r="C453">
        <v>337</v>
      </c>
      <c r="D453" t="s">
        <v>57</v>
      </c>
      <c r="E453" t="str">
        <f t="shared" si="10"/>
        <v>00337</v>
      </c>
      <c r="F453" t="s">
        <v>49</v>
      </c>
      <c r="G453" t="s">
        <v>167</v>
      </c>
      <c r="H453" t="s">
        <v>151</v>
      </c>
      <c r="I453" t="s">
        <v>4</v>
      </c>
      <c r="J453" t="s">
        <v>152</v>
      </c>
      <c r="K453" t="s">
        <v>153</v>
      </c>
      <c r="L453">
        <v>251200475</v>
      </c>
      <c r="M453" s="84">
        <v>46007</v>
      </c>
      <c r="N453" s="84">
        <v>46007</v>
      </c>
      <c r="O453" t="s">
        <v>154</v>
      </c>
      <c r="P453" t="s">
        <v>155</v>
      </c>
      <c r="Q453">
        <v>14250</v>
      </c>
      <c r="R453">
        <v>5</v>
      </c>
      <c r="S453">
        <v>71250</v>
      </c>
      <c r="T453">
        <v>0</v>
      </c>
      <c r="U453">
        <v>0</v>
      </c>
      <c r="V453">
        <v>5</v>
      </c>
      <c r="W453">
        <v>71250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 spans="1:29">
      <c r="A454">
        <v>895</v>
      </c>
      <c r="B454" t="s">
        <v>149</v>
      </c>
      <c r="C454">
        <v>1149</v>
      </c>
      <c r="D454" t="s">
        <v>55</v>
      </c>
      <c r="E454" t="str">
        <f t="shared" si="10"/>
        <v>01149</v>
      </c>
      <c r="F454" t="s">
        <v>49</v>
      </c>
      <c r="G454" t="s">
        <v>167</v>
      </c>
      <c r="H454" t="s">
        <v>151</v>
      </c>
      <c r="I454" t="s">
        <v>4</v>
      </c>
      <c r="J454" t="s">
        <v>152</v>
      </c>
      <c r="K454" t="s">
        <v>153</v>
      </c>
      <c r="L454">
        <v>251200476</v>
      </c>
      <c r="M454" s="84">
        <v>46007</v>
      </c>
      <c r="N454" s="84">
        <v>46007</v>
      </c>
      <c r="O454" t="s">
        <v>160</v>
      </c>
      <c r="P454" t="s">
        <v>161</v>
      </c>
      <c r="Q454">
        <v>14250</v>
      </c>
      <c r="R454">
        <v>10</v>
      </c>
      <c r="S454">
        <v>142500</v>
      </c>
      <c r="T454">
        <v>0</v>
      </c>
      <c r="U454">
        <v>0</v>
      </c>
      <c r="V454">
        <v>10</v>
      </c>
      <c r="W454">
        <v>142500</v>
      </c>
      <c r="X454">
        <v>1500</v>
      </c>
      <c r="Y454">
        <v>2000</v>
      </c>
      <c r="Z454">
        <v>0</v>
      </c>
      <c r="AA454">
        <v>0</v>
      </c>
      <c r="AB454">
        <v>0</v>
      </c>
      <c r="AC454">
        <v>3500</v>
      </c>
    </row>
    <row r="455" spans="1:29">
      <c r="A455">
        <v>896</v>
      </c>
      <c r="B455" t="s">
        <v>149</v>
      </c>
      <c r="C455">
        <v>1149</v>
      </c>
      <c r="D455" t="s">
        <v>55</v>
      </c>
      <c r="E455" t="str">
        <f t="shared" si="10"/>
        <v>01149</v>
      </c>
      <c r="F455" t="s">
        <v>49</v>
      </c>
      <c r="G455" t="s">
        <v>167</v>
      </c>
      <c r="H455" t="s">
        <v>151</v>
      </c>
      <c r="I455" t="s">
        <v>4</v>
      </c>
      <c r="J455" t="s">
        <v>152</v>
      </c>
      <c r="K455" t="s">
        <v>153</v>
      </c>
      <c r="L455">
        <v>251200476</v>
      </c>
      <c r="M455" s="84">
        <v>46007</v>
      </c>
      <c r="N455" s="84">
        <v>46007</v>
      </c>
      <c r="O455" t="s">
        <v>177</v>
      </c>
      <c r="P455" t="s">
        <v>178</v>
      </c>
      <c r="Q455">
        <v>14250</v>
      </c>
      <c r="R455">
        <v>10</v>
      </c>
      <c r="S455">
        <v>142500</v>
      </c>
      <c r="T455">
        <v>0</v>
      </c>
      <c r="U455">
        <v>0</v>
      </c>
      <c r="V455">
        <v>10</v>
      </c>
      <c r="W455">
        <v>142500</v>
      </c>
      <c r="X455">
        <v>1500</v>
      </c>
      <c r="Y455">
        <v>2000</v>
      </c>
      <c r="Z455">
        <v>0</v>
      </c>
      <c r="AA455">
        <v>0</v>
      </c>
      <c r="AB455">
        <v>0</v>
      </c>
      <c r="AC455">
        <v>3500</v>
      </c>
    </row>
    <row r="456" spans="1:29">
      <c r="A456">
        <v>897</v>
      </c>
      <c r="B456" t="s">
        <v>149</v>
      </c>
      <c r="C456">
        <v>1604</v>
      </c>
      <c r="D456" t="s">
        <v>60</v>
      </c>
      <c r="E456" t="str">
        <f t="shared" si="10"/>
        <v>01604</v>
      </c>
      <c r="F456" t="s">
        <v>49</v>
      </c>
      <c r="G456" t="s">
        <v>167</v>
      </c>
      <c r="H456" t="s">
        <v>151</v>
      </c>
      <c r="I456" t="s">
        <v>238</v>
      </c>
      <c r="J456" t="s">
        <v>152</v>
      </c>
      <c r="K456" t="s">
        <v>153</v>
      </c>
      <c r="L456">
        <v>251200477</v>
      </c>
      <c r="M456" s="84">
        <v>46007</v>
      </c>
      <c r="N456" s="84">
        <v>46007</v>
      </c>
      <c r="O456" t="s">
        <v>247</v>
      </c>
      <c r="P456" t="s">
        <v>116</v>
      </c>
      <c r="Q456">
        <v>10982</v>
      </c>
      <c r="R456">
        <v>2</v>
      </c>
      <c r="S456">
        <v>21964</v>
      </c>
      <c r="T456">
        <v>0</v>
      </c>
      <c r="U456">
        <v>0</v>
      </c>
      <c r="V456">
        <v>2</v>
      </c>
      <c r="W456">
        <v>21964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</row>
    <row r="457" spans="1:29">
      <c r="A457">
        <v>898</v>
      </c>
      <c r="B457" t="s">
        <v>149</v>
      </c>
      <c r="C457">
        <v>1604</v>
      </c>
      <c r="D457" t="s">
        <v>60</v>
      </c>
      <c r="E457" t="str">
        <f t="shared" si="10"/>
        <v>01604</v>
      </c>
      <c r="F457" t="s">
        <v>49</v>
      </c>
      <c r="G457" t="s">
        <v>167</v>
      </c>
      <c r="H457" t="s">
        <v>151</v>
      </c>
      <c r="I457" t="s">
        <v>231</v>
      </c>
      <c r="J457" t="s">
        <v>152</v>
      </c>
      <c r="K457" t="s">
        <v>153</v>
      </c>
      <c r="L457">
        <v>251200477</v>
      </c>
      <c r="M457" s="84">
        <v>46007</v>
      </c>
      <c r="N457" s="84">
        <v>46007</v>
      </c>
      <c r="O457" t="s">
        <v>233</v>
      </c>
      <c r="P457" t="s">
        <v>118</v>
      </c>
      <c r="Q457">
        <v>4486</v>
      </c>
      <c r="R457">
        <v>2</v>
      </c>
      <c r="S457">
        <v>8972</v>
      </c>
      <c r="T457">
        <v>0</v>
      </c>
      <c r="U457">
        <v>0</v>
      </c>
      <c r="V457">
        <v>2</v>
      </c>
      <c r="W457">
        <v>8972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</row>
    <row r="458" spans="1:29">
      <c r="A458">
        <v>899</v>
      </c>
      <c r="B458" t="s">
        <v>149</v>
      </c>
      <c r="C458">
        <v>1604</v>
      </c>
      <c r="D458" t="s">
        <v>60</v>
      </c>
      <c r="E458" t="str">
        <f t="shared" si="10"/>
        <v>01604</v>
      </c>
      <c r="F458" t="s">
        <v>49</v>
      </c>
      <c r="G458" t="s">
        <v>167</v>
      </c>
      <c r="H458" t="s">
        <v>151</v>
      </c>
      <c r="I458" t="s">
        <v>4</v>
      </c>
      <c r="J458" t="s">
        <v>152</v>
      </c>
      <c r="K458" t="s">
        <v>153</v>
      </c>
      <c r="L458">
        <v>251200477</v>
      </c>
      <c r="M458" s="84">
        <v>46007</v>
      </c>
      <c r="N458" s="84">
        <v>46007</v>
      </c>
      <c r="O458" t="s">
        <v>219</v>
      </c>
      <c r="P458" t="s">
        <v>220</v>
      </c>
      <c r="Q458">
        <v>14250</v>
      </c>
      <c r="R458">
        <v>5</v>
      </c>
      <c r="S458">
        <v>71250</v>
      </c>
      <c r="T458">
        <v>0</v>
      </c>
      <c r="U458">
        <v>0</v>
      </c>
      <c r="V458">
        <v>5</v>
      </c>
      <c r="W458">
        <v>71250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</row>
    <row r="459" spans="1:29">
      <c r="A459">
        <v>902</v>
      </c>
      <c r="B459" t="s">
        <v>149</v>
      </c>
      <c r="C459">
        <v>1385</v>
      </c>
      <c r="D459" t="s">
        <v>27</v>
      </c>
      <c r="E459" t="str">
        <f t="shared" si="10"/>
        <v>01385</v>
      </c>
      <c r="F459" t="s">
        <v>20</v>
      </c>
      <c r="G459" t="s">
        <v>193</v>
      </c>
      <c r="H459" t="s">
        <v>151</v>
      </c>
      <c r="I459" t="s">
        <v>4</v>
      </c>
      <c r="J459" t="s">
        <v>152</v>
      </c>
      <c r="K459" t="s">
        <v>236</v>
      </c>
      <c r="L459">
        <v>251200479</v>
      </c>
      <c r="M459" s="84">
        <v>46007</v>
      </c>
      <c r="N459" s="84">
        <v>46007</v>
      </c>
      <c r="O459" t="s">
        <v>179</v>
      </c>
      <c r="P459" t="s">
        <v>180</v>
      </c>
      <c r="Q459">
        <v>14250</v>
      </c>
      <c r="R459">
        <v>5</v>
      </c>
      <c r="S459">
        <v>71250</v>
      </c>
      <c r="T459">
        <v>0</v>
      </c>
      <c r="U459">
        <v>0</v>
      </c>
      <c r="V459">
        <v>5</v>
      </c>
      <c r="W459">
        <v>71250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</row>
    <row r="460" spans="1:29">
      <c r="A460">
        <v>903</v>
      </c>
      <c r="B460" t="s">
        <v>149</v>
      </c>
      <c r="C460">
        <v>1385</v>
      </c>
      <c r="D460" t="s">
        <v>27</v>
      </c>
      <c r="E460" t="str">
        <f t="shared" si="10"/>
        <v>01385</v>
      </c>
      <c r="F460" t="s">
        <v>20</v>
      </c>
      <c r="G460" t="s">
        <v>193</v>
      </c>
      <c r="H460" t="s">
        <v>151</v>
      </c>
      <c r="I460" t="s">
        <v>4</v>
      </c>
      <c r="J460" t="s">
        <v>152</v>
      </c>
      <c r="K460" t="s">
        <v>236</v>
      </c>
      <c r="L460">
        <v>251200479</v>
      </c>
      <c r="M460" s="84">
        <v>46007</v>
      </c>
      <c r="N460" s="84">
        <v>46007</v>
      </c>
      <c r="O460" t="s">
        <v>168</v>
      </c>
      <c r="P460" t="s">
        <v>169</v>
      </c>
      <c r="Q460">
        <v>14250</v>
      </c>
      <c r="R460">
        <v>8</v>
      </c>
      <c r="S460">
        <v>114000</v>
      </c>
      <c r="T460">
        <v>0</v>
      </c>
      <c r="U460">
        <v>0</v>
      </c>
      <c r="V460">
        <v>8</v>
      </c>
      <c r="W460">
        <v>114000</v>
      </c>
      <c r="X460">
        <v>1200</v>
      </c>
      <c r="Y460">
        <v>1600</v>
      </c>
      <c r="Z460">
        <v>0</v>
      </c>
      <c r="AA460">
        <v>0</v>
      </c>
      <c r="AB460">
        <v>0</v>
      </c>
      <c r="AC460">
        <v>2800</v>
      </c>
    </row>
    <row r="461" spans="1:29">
      <c r="A461">
        <v>904</v>
      </c>
      <c r="B461" t="s">
        <v>149</v>
      </c>
      <c r="C461">
        <v>471</v>
      </c>
      <c r="D461" t="s">
        <v>25</v>
      </c>
      <c r="E461" t="str">
        <f t="shared" si="10"/>
        <v>00471</v>
      </c>
      <c r="F461" t="s">
        <v>20</v>
      </c>
      <c r="G461" t="s">
        <v>193</v>
      </c>
      <c r="H461" t="s">
        <v>151</v>
      </c>
      <c r="I461" t="s">
        <v>5</v>
      </c>
      <c r="J461" t="s">
        <v>152</v>
      </c>
      <c r="K461" t="s">
        <v>236</v>
      </c>
      <c r="L461">
        <v>251200480</v>
      </c>
      <c r="M461" s="84">
        <v>46007</v>
      </c>
      <c r="N461" s="84">
        <v>46007</v>
      </c>
      <c r="O461" t="s">
        <v>191</v>
      </c>
      <c r="P461" t="s">
        <v>192</v>
      </c>
      <c r="Q461">
        <v>11700</v>
      </c>
      <c r="R461">
        <v>12</v>
      </c>
      <c r="S461">
        <v>140400</v>
      </c>
      <c r="T461">
        <v>0</v>
      </c>
      <c r="U461">
        <v>0</v>
      </c>
      <c r="V461">
        <v>12</v>
      </c>
      <c r="W461">
        <v>140400</v>
      </c>
      <c r="X461">
        <v>1800</v>
      </c>
      <c r="Y461">
        <v>1800</v>
      </c>
      <c r="Z461">
        <v>0</v>
      </c>
      <c r="AA461">
        <v>0</v>
      </c>
      <c r="AB461">
        <v>0</v>
      </c>
      <c r="AC461">
        <v>3600</v>
      </c>
    </row>
    <row r="462" spans="1:29">
      <c r="A462">
        <v>905</v>
      </c>
      <c r="B462" t="s">
        <v>149</v>
      </c>
      <c r="C462">
        <v>471</v>
      </c>
      <c r="D462" t="s">
        <v>25</v>
      </c>
      <c r="E462" t="str">
        <f t="shared" si="10"/>
        <v>00471</v>
      </c>
      <c r="F462" t="s">
        <v>20</v>
      </c>
      <c r="G462" t="s">
        <v>193</v>
      </c>
      <c r="H462" t="s">
        <v>151</v>
      </c>
      <c r="I462" t="s">
        <v>4</v>
      </c>
      <c r="J462" t="s">
        <v>152</v>
      </c>
      <c r="K462" t="s">
        <v>236</v>
      </c>
      <c r="L462">
        <v>251200480</v>
      </c>
      <c r="M462" s="84">
        <v>46007</v>
      </c>
      <c r="N462" s="84">
        <v>46007</v>
      </c>
      <c r="O462" t="s">
        <v>160</v>
      </c>
      <c r="P462" t="s">
        <v>161</v>
      </c>
      <c r="Q462">
        <v>14250</v>
      </c>
      <c r="R462">
        <v>15</v>
      </c>
      <c r="S462">
        <v>213750</v>
      </c>
      <c r="T462">
        <v>0</v>
      </c>
      <c r="U462">
        <v>0</v>
      </c>
      <c r="V462">
        <v>15</v>
      </c>
      <c r="W462">
        <v>213750</v>
      </c>
      <c r="X462">
        <v>2250</v>
      </c>
      <c r="Y462">
        <v>3000</v>
      </c>
      <c r="Z462">
        <v>0</v>
      </c>
      <c r="AA462">
        <v>0</v>
      </c>
      <c r="AB462">
        <v>0</v>
      </c>
      <c r="AC462">
        <v>5250</v>
      </c>
    </row>
    <row r="463" spans="1:29">
      <c r="A463">
        <v>906</v>
      </c>
      <c r="B463" t="s">
        <v>149</v>
      </c>
      <c r="C463">
        <v>1581</v>
      </c>
      <c r="D463" t="s">
        <v>96</v>
      </c>
      <c r="E463" t="str">
        <f t="shared" si="10"/>
        <v>01581</v>
      </c>
      <c r="F463" t="s">
        <v>95</v>
      </c>
      <c r="G463" t="s">
        <v>187</v>
      </c>
      <c r="H463" t="s">
        <v>188</v>
      </c>
      <c r="I463" t="s">
        <v>5</v>
      </c>
      <c r="J463" t="s">
        <v>152</v>
      </c>
      <c r="K463" t="s">
        <v>159</v>
      </c>
      <c r="L463">
        <v>251200481</v>
      </c>
      <c r="M463" s="84">
        <v>46007</v>
      </c>
      <c r="N463" s="84">
        <v>46007</v>
      </c>
      <c r="O463" t="s">
        <v>198</v>
      </c>
      <c r="P463" t="s">
        <v>199</v>
      </c>
      <c r="Q463">
        <v>10800</v>
      </c>
      <c r="R463">
        <v>12</v>
      </c>
      <c r="S463">
        <v>129600</v>
      </c>
      <c r="T463">
        <v>0</v>
      </c>
      <c r="U463">
        <v>0</v>
      </c>
      <c r="V463">
        <v>12</v>
      </c>
      <c r="W463">
        <v>129600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</row>
    <row r="464" spans="1:29">
      <c r="A464">
        <v>907</v>
      </c>
      <c r="B464" t="s">
        <v>149</v>
      </c>
      <c r="C464">
        <v>1108</v>
      </c>
      <c r="D464" t="s">
        <v>107</v>
      </c>
      <c r="E464" t="str">
        <f t="shared" si="10"/>
        <v>01108</v>
      </c>
      <c r="F464" t="s">
        <v>103</v>
      </c>
      <c r="G464" t="s">
        <v>167</v>
      </c>
      <c r="H464" t="s">
        <v>151</v>
      </c>
      <c r="I464" t="s">
        <v>4</v>
      </c>
      <c r="J464" t="s">
        <v>152</v>
      </c>
      <c r="K464" t="s">
        <v>153</v>
      </c>
      <c r="L464">
        <v>251200482</v>
      </c>
      <c r="M464" s="84">
        <v>46007</v>
      </c>
      <c r="N464" s="84">
        <v>46007</v>
      </c>
      <c r="O464" t="s">
        <v>160</v>
      </c>
      <c r="P464" t="s">
        <v>161</v>
      </c>
      <c r="Q464">
        <v>14250</v>
      </c>
      <c r="R464">
        <v>20</v>
      </c>
      <c r="S464">
        <v>285000</v>
      </c>
      <c r="T464">
        <v>0</v>
      </c>
      <c r="U464">
        <v>0</v>
      </c>
      <c r="V464">
        <v>20</v>
      </c>
      <c r="W464">
        <v>285000</v>
      </c>
      <c r="X464">
        <v>3000</v>
      </c>
      <c r="Y464">
        <v>4000</v>
      </c>
      <c r="Z464">
        <v>0</v>
      </c>
      <c r="AA464">
        <v>0</v>
      </c>
      <c r="AB464">
        <v>0</v>
      </c>
      <c r="AC464">
        <v>7000</v>
      </c>
    </row>
    <row r="465" spans="1:29">
      <c r="A465">
        <v>908</v>
      </c>
      <c r="B465" t="s">
        <v>149</v>
      </c>
      <c r="C465">
        <v>387</v>
      </c>
      <c r="D465" t="s">
        <v>109</v>
      </c>
      <c r="E465" t="str">
        <f t="shared" si="10"/>
        <v>00387</v>
      </c>
      <c r="F465" t="s">
        <v>103</v>
      </c>
      <c r="G465" t="s">
        <v>167</v>
      </c>
      <c r="H465" t="s">
        <v>151</v>
      </c>
      <c r="I465" t="s">
        <v>4</v>
      </c>
      <c r="J465" t="s">
        <v>152</v>
      </c>
      <c r="K465" t="s">
        <v>153</v>
      </c>
      <c r="L465">
        <v>251200483</v>
      </c>
      <c r="M465" s="84">
        <v>46007</v>
      </c>
      <c r="N465" s="84">
        <v>46007</v>
      </c>
      <c r="O465" t="s">
        <v>215</v>
      </c>
      <c r="P465" t="s">
        <v>216</v>
      </c>
      <c r="Q465">
        <v>14250</v>
      </c>
      <c r="R465">
        <v>15</v>
      </c>
      <c r="S465">
        <v>213750</v>
      </c>
      <c r="T465">
        <v>0</v>
      </c>
      <c r="U465">
        <v>0</v>
      </c>
      <c r="V465">
        <v>15</v>
      </c>
      <c r="W465">
        <v>213750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</row>
    <row r="466" spans="1:29">
      <c r="A466">
        <v>920</v>
      </c>
      <c r="B466" t="s">
        <v>149</v>
      </c>
      <c r="C466">
        <v>373</v>
      </c>
      <c r="D466" t="s">
        <v>33</v>
      </c>
      <c r="E466" t="str">
        <f t="shared" si="10"/>
        <v>00373</v>
      </c>
      <c r="F466" t="s">
        <v>28</v>
      </c>
      <c r="G466" t="s">
        <v>164</v>
      </c>
      <c r="H466" t="s">
        <v>151</v>
      </c>
      <c r="I466" t="s">
        <v>4</v>
      </c>
      <c r="J466" t="s">
        <v>152</v>
      </c>
      <c r="K466" t="s">
        <v>153</v>
      </c>
      <c r="L466">
        <v>251200489</v>
      </c>
      <c r="M466" s="84">
        <v>46007</v>
      </c>
      <c r="N466" s="84">
        <v>46007</v>
      </c>
      <c r="O466" t="s">
        <v>160</v>
      </c>
      <c r="P466" t="s">
        <v>161</v>
      </c>
      <c r="Q466">
        <v>14250</v>
      </c>
      <c r="R466">
        <v>24</v>
      </c>
      <c r="S466">
        <v>342000</v>
      </c>
      <c r="T466">
        <v>0</v>
      </c>
      <c r="U466">
        <v>0</v>
      </c>
      <c r="V466">
        <v>24</v>
      </c>
      <c r="W466">
        <v>342000</v>
      </c>
      <c r="X466">
        <v>3600</v>
      </c>
      <c r="Y466">
        <v>4800</v>
      </c>
      <c r="Z466">
        <v>0</v>
      </c>
      <c r="AA466">
        <v>0</v>
      </c>
      <c r="AB466">
        <v>0</v>
      </c>
      <c r="AC466">
        <v>8400</v>
      </c>
    </row>
    <row r="467" spans="1:29">
      <c r="A467">
        <v>921</v>
      </c>
      <c r="B467" t="s">
        <v>149</v>
      </c>
      <c r="C467">
        <v>1401</v>
      </c>
      <c r="D467" t="s">
        <v>29</v>
      </c>
      <c r="E467" t="str">
        <f t="shared" si="10"/>
        <v>01401</v>
      </c>
      <c r="F467" t="s">
        <v>28</v>
      </c>
      <c r="G467" t="s">
        <v>164</v>
      </c>
      <c r="H467" t="s">
        <v>151</v>
      </c>
      <c r="I467" t="s">
        <v>4</v>
      </c>
      <c r="J467" t="s">
        <v>152</v>
      </c>
      <c r="K467" t="s">
        <v>153</v>
      </c>
      <c r="L467">
        <v>251200490</v>
      </c>
      <c r="M467" s="84">
        <v>46007</v>
      </c>
      <c r="N467" s="84">
        <v>46007</v>
      </c>
      <c r="O467" t="s">
        <v>267</v>
      </c>
      <c r="P467" t="s">
        <v>268</v>
      </c>
      <c r="Q467">
        <v>14250</v>
      </c>
      <c r="R467">
        <v>20</v>
      </c>
      <c r="S467">
        <v>285000</v>
      </c>
      <c r="T467">
        <v>0</v>
      </c>
      <c r="U467">
        <v>0</v>
      </c>
      <c r="V467">
        <v>20</v>
      </c>
      <c r="W467">
        <v>285000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>
      <c r="A468">
        <v>925</v>
      </c>
      <c r="B468" t="s">
        <v>149</v>
      </c>
      <c r="C468">
        <v>1391</v>
      </c>
      <c r="D468" t="s">
        <v>97</v>
      </c>
      <c r="E468" t="str">
        <f t="shared" si="10"/>
        <v>01391</v>
      </c>
      <c r="F468" t="s">
        <v>95</v>
      </c>
      <c r="G468" t="s">
        <v>187</v>
      </c>
      <c r="H468" t="s">
        <v>188</v>
      </c>
      <c r="I468" t="s">
        <v>4</v>
      </c>
      <c r="J468" t="s">
        <v>152</v>
      </c>
      <c r="K468" t="s">
        <v>159</v>
      </c>
      <c r="L468">
        <v>251200494</v>
      </c>
      <c r="M468" s="84">
        <v>46007</v>
      </c>
      <c r="N468" s="84">
        <v>46007</v>
      </c>
      <c r="O468" t="s">
        <v>206</v>
      </c>
      <c r="P468" t="s">
        <v>207</v>
      </c>
      <c r="Q468">
        <v>13200</v>
      </c>
      <c r="R468">
        <v>2</v>
      </c>
      <c r="S468">
        <v>26400</v>
      </c>
      <c r="T468">
        <v>0</v>
      </c>
      <c r="U468">
        <v>0</v>
      </c>
      <c r="V468">
        <v>2</v>
      </c>
      <c r="W468">
        <v>26400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1:29">
      <c r="A469">
        <v>926</v>
      </c>
      <c r="B469" t="s">
        <v>149</v>
      </c>
      <c r="C469">
        <v>1470</v>
      </c>
      <c r="D469" t="s">
        <v>12</v>
      </c>
      <c r="E469" t="str">
        <f t="shared" si="10"/>
        <v>01470</v>
      </c>
      <c r="F469" t="s">
        <v>10</v>
      </c>
      <c r="G469" t="s">
        <v>172</v>
      </c>
      <c r="H469" t="s">
        <v>157</v>
      </c>
      <c r="I469" t="s">
        <v>5</v>
      </c>
      <c r="J469" t="s">
        <v>152</v>
      </c>
      <c r="K469" t="s">
        <v>174</v>
      </c>
      <c r="L469">
        <v>251200495</v>
      </c>
      <c r="M469" s="84">
        <v>46007</v>
      </c>
      <c r="N469" s="84">
        <v>46007</v>
      </c>
      <c r="O469" t="s">
        <v>191</v>
      </c>
      <c r="P469" t="s">
        <v>192</v>
      </c>
      <c r="Q469">
        <v>11700</v>
      </c>
      <c r="R469">
        <v>8</v>
      </c>
      <c r="S469">
        <v>93600</v>
      </c>
      <c r="T469">
        <v>0</v>
      </c>
      <c r="U469">
        <v>0</v>
      </c>
      <c r="V469">
        <v>8</v>
      </c>
      <c r="W469">
        <v>93600</v>
      </c>
      <c r="X469">
        <v>1200</v>
      </c>
      <c r="Y469">
        <v>1200</v>
      </c>
      <c r="Z469">
        <v>0</v>
      </c>
      <c r="AA469">
        <v>0</v>
      </c>
      <c r="AB469">
        <v>0</v>
      </c>
      <c r="AC469">
        <v>2400</v>
      </c>
    </row>
    <row r="470" spans="1:29">
      <c r="A470">
        <v>934</v>
      </c>
      <c r="B470" t="s">
        <v>149</v>
      </c>
      <c r="C470">
        <v>1284</v>
      </c>
      <c r="D470" t="s">
        <v>186</v>
      </c>
      <c r="E470" t="str">
        <f t="shared" si="10"/>
        <v>01284</v>
      </c>
      <c r="F470" t="s">
        <v>171</v>
      </c>
      <c r="G470" t="s">
        <v>172</v>
      </c>
      <c r="H470" t="s">
        <v>157</v>
      </c>
      <c r="I470" t="s">
        <v>173</v>
      </c>
      <c r="J470" t="s">
        <v>152</v>
      </c>
      <c r="K470" t="s">
        <v>174</v>
      </c>
      <c r="L470">
        <v>251200502</v>
      </c>
      <c r="M470" s="84">
        <v>46007</v>
      </c>
      <c r="N470" s="84">
        <v>46007</v>
      </c>
      <c r="O470" t="s">
        <v>277</v>
      </c>
      <c r="P470" t="s">
        <v>278</v>
      </c>
      <c r="Q470">
        <v>8632</v>
      </c>
      <c r="R470">
        <v>3</v>
      </c>
      <c r="S470">
        <v>25896</v>
      </c>
      <c r="T470">
        <v>0</v>
      </c>
      <c r="U470">
        <v>0</v>
      </c>
      <c r="V470">
        <v>3</v>
      </c>
      <c r="W470">
        <v>25896</v>
      </c>
      <c r="X470">
        <v>0</v>
      </c>
      <c r="Y470">
        <v>519</v>
      </c>
      <c r="Z470">
        <v>1296</v>
      </c>
      <c r="AA470">
        <v>0</v>
      </c>
      <c r="AB470">
        <v>300</v>
      </c>
      <c r="AC470">
        <v>2115</v>
      </c>
    </row>
    <row r="471" spans="1:29">
      <c r="A471">
        <v>935</v>
      </c>
      <c r="B471" t="s">
        <v>149</v>
      </c>
      <c r="C471">
        <v>1284</v>
      </c>
      <c r="D471" t="s">
        <v>186</v>
      </c>
      <c r="E471" t="str">
        <f t="shared" si="10"/>
        <v>01284</v>
      </c>
      <c r="F471" t="s">
        <v>171</v>
      </c>
      <c r="G471" t="s">
        <v>172</v>
      </c>
      <c r="H471" t="s">
        <v>157</v>
      </c>
      <c r="I471" t="s">
        <v>210</v>
      </c>
      <c r="J471" t="s">
        <v>152</v>
      </c>
      <c r="K471" t="s">
        <v>174</v>
      </c>
      <c r="L471">
        <v>251200503</v>
      </c>
      <c r="M471" s="84">
        <v>46007</v>
      </c>
      <c r="N471" s="84">
        <v>46007</v>
      </c>
      <c r="O471" t="s">
        <v>250</v>
      </c>
      <c r="P471" t="s">
        <v>251</v>
      </c>
      <c r="Q471">
        <v>30930</v>
      </c>
      <c r="R471">
        <v>1</v>
      </c>
      <c r="S471">
        <v>30930</v>
      </c>
      <c r="T471">
        <v>0</v>
      </c>
      <c r="U471">
        <v>0</v>
      </c>
      <c r="V471">
        <v>1</v>
      </c>
      <c r="W471">
        <v>30930</v>
      </c>
      <c r="X471">
        <v>928</v>
      </c>
      <c r="Y471">
        <v>1237</v>
      </c>
      <c r="Z471">
        <v>619</v>
      </c>
      <c r="AA471">
        <v>1547</v>
      </c>
      <c r="AB471">
        <v>100</v>
      </c>
      <c r="AC471">
        <v>4431</v>
      </c>
    </row>
    <row r="472" spans="1:29">
      <c r="A472">
        <v>936</v>
      </c>
      <c r="B472" t="s">
        <v>149</v>
      </c>
      <c r="C472">
        <v>1285</v>
      </c>
      <c r="D472" t="s">
        <v>302</v>
      </c>
      <c r="E472" t="str">
        <f t="shared" si="10"/>
        <v>01285</v>
      </c>
      <c r="F472" t="s">
        <v>171</v>
      </c>
      <c r="G472" t="s">
        <v>172</v>
      </c>
      <c r="H472" t="s">
        <v>157</v>
      </c>
      <c r="I472" t="s">
        <v>173</v>
      </c>
      <c r="J472" t="s">
        <v>152</v>
      </c>
      <c r="K472" t="s">
        <v>174</v>
      </c>
      <c r="L472">
        <v>251200504</v>
      </c>
      <c r="M472" s="84">
        <v>46007</v>
      </c>
      <c r="N472" s="84">
        <v>46007</v>
      </c>
      <c r="O472" t="s">
        <v>285</v>
      </c>
      <c r="P472" t="s">
        <v>286</v>
      </c>
      <c r="Q472">
        <v>3750</v>
      </c>
      <c r="R472">
        <v>10</v>
      </c>
      <c r="S472">
        <v>37500</v>
      </c>
      <c r="T472">
        <v>0</v>
      </c>
      <c r="U472">
        <v>0</v>
      </c>
      <c r="V472">
        <v>10</v>
      </c>
      <c r="W472">
        <v>37500</v>
      </c>
      <c r="X472">
        <v>0</v>
      </c>
      <c r="Y472">
        <v>750</v>
      </c>
      <c r="Z472">
        <v>1880</v>
      </c>
      <c r="AA472">
        <v>0</v>
      </c>
      <c r="AB472">
        <v>1000</v>
      </c>
      <c r="AC472">
        <v>3630</v>
      </c>
    </row>
    <row r="473" spans="1:29">
      <c r="A473">
        <v>937</v>
      </c>
      <c r="B473" t="s">
        <v>149</v>
      </c>
      <c r="C473">
        <v>1285</v>
      </c>
      <c r="D473" t="s">
        <v>302</v>
      </c>
      <c r="E473" t="str">
        <f t="shared" si="10"/>
        <v>01285</v>
      </c>
      <c r="F473" t="s">
        <v>171</v>
      </c>
      <c r="G473" t="s">
        <v>172</v>
      </c>
      <c r="H473" t="s">
        <v>157</v>
      </c>
      <c r="I473" t="s">
        <v>173</v>
      </c>
      <c r="J473" t="s">
        <v>152</v>
      </c>
      <c r="K473" t="s">
        <v>174</v>
      </c>
      <c r="L473">
        <v>251200505</v>
      </c>
      <c r="M473" s="84">
        <v>46007</v>
      </c>
      <c r="N473" s="84">
        <v>46007</v>
      </c>
      <c r="O473" t="s">
        <v>265</v>
      </c>
      <c r="P473" t="s">
        <v>266</v>
      </c>
      <c r="Q473">
        <v>13849</v>
      </c>
      <c r="R473">
        <v>1</v>
      </c>
      <c r="S473">
        <v>13849</v>
      </c>
      <c r="T473">
        <v>0</v>
      </c>
      <c r="U473">
        <v>0</v>
      </c>
      <c r="V473">
        <v>1</v>
      </c>
      <c r="W473">
        <v>13849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 spans="1:29">
      <c r="A474">
        <v>938</v>
      </c>
      <c r="B474" t="s">
        <v>149</v>
      </c>
      <c r="C474">
        <v>1588</v>
      </c>
      <c r="D474" t="s">
        <v>90</v>
      </c>
      <c r="E474" t="str">
        <f t="shared" si="10"/>
        <v>01588</v>
      </c>
      <c r="F474" t="s">
        <v>86</v>
      </c>
      <c r="G474" t="s">
        <v>156</v>
      </c>
      <c r="H474" t="s">
        <v>157</v>
      </c>
      <c r="I474" t="s">
        <v>4</v>
      </c>
      <c r="J474" t="s">
        <v>152</v>
      </c>
      <c r="K474" t="s">
        <v>159</v>
      </c>
      <c r="L474">
        <v>251200506</v>
      </c>
      <c r="M474" s="84">
        <v>46007</v>
      </c>
      <c r="N474" s="84">
        <v>46007</v>
      </c>
      <c r="O474" t="s">
        <v>160</v>
      </c>
      <c r="P474" t="s">
        <v>161</v>
      </c>
      <c r="Q474">
        <v>14250</v>
      </c>
      <c r="R474">
        <v>10</v>
      </c>
      <c r="S474">
        <v>142500</v>
      </c>
      <c r="T474">
        <v>0</v>
      </c>
      <c r="U474">
        <v>0</v>
      </c>
      <c r="V474">
        <v>10</v>
      </c>
      <c r="W474">
        <v>142500</v>
      </c>
      <c r="X474">
        <v>1500</v>
      </c>
      <c r="Y474">
        <v>2000</v>
      </c>
      <c r="Z474">
        <v>0</v>
      </c>
      <c r="AA474">
        <v>0</v>
      </c>
      <c r="AB474">
        <v>0</v>
      </c>
      <c r="AC474">
        <v>3500</v>
      </c>
    </row>
    <row r="475" spans="1:29">
      <c r="A475">
        <v>944</v>
      </c>
      <c r="B475" t="s">
        <v>149</v>
      </c>
      <c r="C475">
        <v>1285</v>
      </c>
      <c r="D475" t="s">
        <v>302</v>
      </c>
      <c r="E475" t="str">
        <f t="shared" ref="E475:E492" si="11">TEXT(C475,"00000")</f>
        <v>01285</v>
      </c>
      <c r="F475" t="s">
        <v>171</v>
      </c>
      <c r="G475" t="s">
        <v>172</v>
      </c>
      <c r="H475" t="s">
        <v>157</v>
      </c>
      <c r="I475" t="s">
        <v>173</v>
      </c>
      <c r="J475" t="s">
        <v>152</v>
      </c>
      <c r="K475" t="s">
        <v>174</v>
      </c>
      <c r="L475">
        <v>251200512</v>
      </c>
      <c r="M475" s="84">
        <v>46007</v>
      </c>
      <c r="N475" s="84">
        <v>46007</v>
      </c>
      <c r="O475" t="s">
        <v>287</v>
      </c>
      <c r="P475" t="s">
        <v>288</v>
      </c>
      <c r="Q475">
        <v>6415</v>
      </c>
      <c r="R475">
        <v>4</v>
      </c>
      <c r="S475">
        <v>25660</v>
      </c>
      <c r="T475">
        <v>0</v>
      </c>
      <c r="U475">
        <v>0</v>
      </c>
      <c r="V475">
        <v>4</v>
      </c>
      <c r="W475">
        <v>25660</v>
      </c>
      <c r="X475">
        <v>0</v>
      </c>
      <c r="Y475">
        <v>512</v>
      </c>
      <c r="Z475">
        <v>1284</v>
      </c>
      <c r="AA475">
        <v>0</v>
      </c>
      <c r="AB475">
        <v>400</v>
      </c>
      <c r="AC475">
        <v>2196</v>
      </c>
    </row>
    <row r="476" spans="1:29">
      <c r="A476">
        <v>945</v>
      </c>
      <c r="B476" t="s">
        <v>149</v>
      </c>
      <c r="C476">
        <v>1285</v>
      </c>
      <c r="D476" t="s">
        <v>302</v>
      </c>
      <c r="E476" t="str">
        <f t="shared" si="11"/>
        <v>01285</v>
      </c>
      <c r="F476" t="s">
        <v>171</v>
      </c>
      <c r="G476" t="s">
        <v>172</v>
      </c>
      <c r="H476" t="s">
        <v>157</v>
      </c>
      <c r="I476" t="s">
        <v>173</v>
      </c>
      <c r="J476" t="s">
        <v>152</v>
      </c>
      <c r="K476" t="s">
        <v>174</v>
      </c>
      <c r="L476">
        <v>251200512</v>
      </c>
      <c r="M476" s="84">
        <v>46007</v>
      </c>
      <c r="N476" s="84">
        <v>46007</v>
      </c>
      <c r="O476" t="s">
        <v>175</v>
      </c>
      <c r="P476" t="s">
        <v>176</v>
      </c>
      <c r="Q476">
        <v>4452</v>
      </c>
      <c r="R476">
        <v>40</v>
      </c>
      <c r="S476">
        <v>178080</v>
      </c>
      <c r="T476">
        <v>0</v>
      </c>
      <c r="U476">
        <v>0</v>
      </c>
      <c r="V476">
        <v>40</v>
      </c>
      <c r="W476">
        <v>178080</v>
      </c>
      <c r="X476">
        <v>0</v>
      </c>
      <c r="Y476">
        <v>3560</v>
      </c>
      <c r="Z476">
        <v>8920</v>
      </c>
      <c r="AA476">
        <v>0</v>
      </c>
      <c r="AB476">
        <v>4000</v>
      </c>
      <c r="AC476">
        <v>16480</v>
      </c>
    </row>
    <row r="477" spans="1:29">
      <c r="A477">
        <v>946</v>
      </c>
      <c r="B477" t="s">
        <v>149</v>
      </c>
      <c r="C477">
        <v>1285</v>
      </c>
      <c r="D477" t="s">
        <v>302</v>
      </c>
      <c r="E477" t="str">
        <f t="shared" si="11"/>
        <v>01285</v>
      </c>
      <c r="F477" t="s">
        <v>171</v>
      </c>
      <c r="G477" t="s">
        <v>172</v>
      </c>
      <c r="H477" t="s">
        <v>157</v>
      </c>
      <c r="I477" t="s">
        <v>173</v>
      </c>
      <c r="J477" t="s">
        <v>152</v>
      </c>
      <c r="K477" t="s">
        <v>174</v>
      </c>
      <c r="L477">
        <v>251200512</v>
      </c>
      <c r="M477" s="84">
        <v>46007</v>
      </c>
      <c r="N477" s="84">
        <v>46007</v>
      </c>
      <c r="O477" t="s">
        <v>285</v>
      </c>
      <c r="P477" t="s">
        <v>286</v>
      </c>
      <c r="Q477">
        <v>3750</v>
      </c>
      <c r="R477">
        <v>2</v>
      </c>
      <c r="S477">
        <v>7500</v>
      </c>
      <c r="T477">
        <v>0</v>
      </c>
      <c r="U477">
        <v>0</v>
      </c>
      <c r="V477">
        <v>2</v>
      </c>
      <c r="W477">
        <v>7500</v>
      </c>
      <c r="X477">
        <v>0</v>
      </c>
      <c r="Y477">
        <v>150</v>
      </c>
      <c r="Z477">
        <v>376</v>
      </c>
      <c r="AA477">
        <v>0</v>
      </c>
      <c r="AB477">
        <v>200</v>
      </c>
      <c r="AC477">
        <v>726</v>
      </c>
    </row>
    <row r="478" spans="1:29">
      <c r="A478">
        <v>947</v>
      </c>
      <c r="B478" t="s">
        <v>149</v>
      </c>
      <c r="C478">
        <v>1285</v>
      </c>
      <c r="D478" t="s">
        <v>302</v>
      </c>
      <c r="E478" t="str">
        <f t="shared" si="11"/>
        <v>01285</v>
      </c>
      <c r="F478" t="s">
        <v>171</v>
      </c>
      <c r="G478" t="s">
        <v>172</v>
      </c>
      <c r="H478" t="s">
        <v>157</v>
      </c>
      <c r="I478" t="s">
        <v>173</v>
      </c>
      <c r="J478" t="s">
        <v>152</v>
      </c>
      <c r="K478" t="s">
        <v>174</v>
      </c>
      <c r="L478">
        <v>251200513</v>
      </c>
      <c r="M478" s="84">
        <v>46007</v>
      </c>
      <c r="N478" s="84">
        <v>46007</v>
      </c>
      <c r="O478" t="s">
        <v>277</v>
      </c>
      <c r="P478" t="s">
        <v>278</v>
      </c>
      <c r="Q478">
        <v>8632</v>
      </c>
      <c r="R478">
        <v>5</v>
      </c>
      <c r="S478">
        <v>43160</v>
      </c>
      <c r="T478">
        <v>0</v>
      </c>
      <c r="U478">
        <v>0</v>
      </c>
      <c r="V478">
        <v>5</v>
      </c>
      <c r="W478">
        <v>43160</v>
      </c>
      <c r="X478">
        <v>0</v>
      </c>
      <c r="Y478">
        <v>865</v>
      </c>
      <c r="Z478">
        <v>2160</v>
      </c>
      <c r="AA478">
        <v>0</v>
      </c>
      <c r="AB478">
        <v>500</v>
      </c>
      <c r="AC478">
        <v>3525</v>
      </c>
    </row>
    <row r="479" spans="1:29">
      <c r="A479">
        <v>948</v>
      </c>
      <c r="B479" t="s">
        <v>149</v>
      </c>
      <c r="C479">
        <v>387</v>
      </c>
      <c r="D479" t="s">
        <v>109</v>
      </c>
      <c r="E479" t="str">
        <f t="shared" si="11"/>
        <v>00387</v>
      </c>
      <c r="F479" t="s">
        <v>103</v>
      </c>
      <c r="G479" t="s">
        <v>167</v>
      </c>
      <c r="H479" t="s">
        <v>151</v>
      </c>
      <c r="I479" t="s">
        <v>231</v>
      </c>
      <c r="J479" t="s">
        <v>152</v>
      </c>
      <c r="K479" t="s">
        <v>153</v>
      </c>
      <c r="L479">
        <v>251200514</v>
      </c>
      <c r="M479" s="84">
        <v>46007</v>
      </c>
      <c r="N479" s="84">
        <v>46007</v>
      </c>
      <c r="O479" t="s">
        <v>233</v>
      </c>
      <c r="P479" t="s">
        <v>118</v>
      </c>
      <c r="Q479">
        <v>4486</v>
      </c>
      <c r="R479">
        <v>24</v>
      </c>
      <c r="S479">
        <v>107664</v>
      </c>
      <c r="T479">
        <v>0</v>
      </c>
      <c r="U479">
        <v>0</v>
      </c>
      <c r="V479">
        <v>24</v>
      </c>
      <c r="W479">
        <v>107664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>
      <c r="A480">
        <v>949</v>
      </c>
      <c r="B480" t="s">
        <v>149</v>
      </c>
      <c r="C480">
        <v>387</v>
      </c>
      <c r="D480" t="s">
        <v>109</v>
      </c>
      <c r="E480" t="str">
        <f t="shared" si="11"/>
        <v>00387</v>
      </c>
      <c r="F480" t="s">
        <v>103</v>
      </c>
      <c r="G480" t="s">
        <v>167</v>
      </c>
      <c r="H480" t="s">
        <v>151</v>
      </c>
      <c r="I480" t="s">
        <v>231</v>
      </c>
      <c r="J480" t="s">
        <v>152</v>
      </c>
      <c r="K480" t="s">
        <v>153</v>
      </c>
      <c r="L480">
        <v>251200514</v>
      </c>
      <c r="M480" s="84">
        <v>46007</v>
      </c>
      <c r="N480" s="84">
        <v>46007</v>
      </c>
      <c r="O480" t="s">
        <v>232</v>
      </c>
      <c r="P480" t="s">
        <v>122</v>
      </c>
      <c r="Q480">
        <v>6213</v>
      </c>
      <c r="R480">
        <v>6</v>
      </c>
      <c r="S480">
        <v>37278</v>
      </c>
      <c r="T480">
        <v>0</v>
      </c>
      <c r="U480">
        <v>0</v>
      </c>
      <c r="V480">
        <v>6</v>
      </c>
      <c r="W480">
        <v>37278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</row>
    <row r="481" spans="1:29">
      <c r="A481">
        <v>950</v>
      </c>
      <c r="B481" t="s">
        <v>149</v>
      </c>
      <c r="C481">
        <v>387</v>
      </c>
      <c r="D481" t="s">
        <v>109</v>
      </c>
      <c r="E481" t="str">
        <f t="shared" si="11"/>
        <v>00387</v>
      </c>
      <c r="F481" t="s">
        <v>103</v>
      </c>
      <c r="G481" t="s">
        <v>167</v>
      </c>
      <c r="H481" t="s">
        <v>151</v>
      </c>
      <c r="I481" t="s">
        <v>231</v>
      </c>
      <c r="J481" t="s">
        <v>152</v>
      </c>
      <c r="K481" t="s">
        <v>153</v>
      </c>
      <c r="L481">
        <v>251200515</v>
      </c>
      <c r="M481" s="84">
        <v>46007</v>
      </c>
      <c r="N481" s="84">
        <v>46007</v>
      </c>
      <c r="O481" t="s">
        <v>234</v>
      </c>
      <c r="P481" t="s">
        <v>235</v>
      </c>
      <c r="Q481">
        <v>10432</v>
      </c>
      <c r="R481">
        <v>5</v>
      </c>
      <c r="S481">
        <v>52160</v>
      </c>
      <c r="T481">
        <v>0</v>
      </c>
      <c r="U481">
        <v>0</v>
      </c>
      <c r="V481">
        <v>5</v>
      </c>
      <c r="W481">
        <v>52160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</row>
    <row r="482" spans="1:29">
      <c r="A482">
        <v>951</v>
      </c>
      <c r="B482" t="s">
        <v>149</v>
      </c>
      <c r="C482">
        <v>988</v>
      </c>
      <c r="D482" t="s">
        <v>19</v>
      </c>
      <c r="E482" t="str">
        <f t="shared" si="11"/>
        <v>00988</v>
      </c>
      <c r="F482" t="s">
        <v>15</v>
      </c>
      <c r="G482" t="s">
        <v>193</v>
      </c>
      <c r="H482" t="s">
        <v>151</v>
      </c>
      <c r="I482" t="s">
        <v>231</v>
      </c>
      <c r="J482" t="s">
        <v>152</v>
      </c>
      <c r="K482" t="s">
        <v>153</v>
      </c>
      <c r="L482">
        <v>251200516</v>
      </c>
      <c r="M482" s="84">
        <v>46007</v>
      </c>
      <c r="N482" s="84">
        <v>46007</v>
      </c>
      <c r="O482" t="s">
        <v>233</v>
      </c>
      <c r="P482" t="s">
        <v>118</v>
      </c>
      <c r="Q482">
        <v>4486</v>
      </c>
      <c r="R482">
        <v>5</v>
      </c>
      <c r="S482">
        <v>22430</v>
      </c>
      <c r="T482">
        <v>0</v>
      </c>
      <c r="U482">
        <v>0</v>
      </c>
      <c r="V482">
        <v>5</v>
      </c>
      <c r="W482">
        <v>22430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</row>
    <row r="483" spans="1:29">
      <c r="A483">
        <v>952</v>
      </c>
      <c r="B483" t="s">
        <v>149</v>
      </c>
      <c r="C483">
        <v>988</v>
      </c>
      <c r="D483" t="s">
        <v>19</v>
      </c>
      <c r="E483" t="str">
        <f t="shared" si="11"/>
        <v>00988</v>
      </c>
      <c r="F483" t="s">
        <v>15</v>
      </c>
      <c r="G483" t="s">
        <v>193</v>
      </c>
      <c r="H483" t="s">
        <v>151</v>
      </c>
      <c r="I483" t="s">
        <v>5</v>
      </c>
      <c r="J483" t="s">
        <v>152</v>
      </c>
      <c r="K483" t="s">
        <v>153</v>
      </c>
      <c r="L483">
        <v>251200516</v>
      </c>
      <c r="M483" s="84">
        <v>46007</v>
      </c>
      <c r="N483" s="84">
        <v>46007</v>
      </c>
      <c r="O483" t="s">
        <v>191</v>
      </c>
      <c r="P483" t="s">
        <v>192</v>
      </c>
      <c r="Q483">
        <v>11700</v>
      </c>
      <c r="R483">
        <v>32</v>
      </c>
      <c r="S483">
        <v>374400</v>
      </c>
      <c r="T483">
        <v>0</v>
      </c>
      <c r="U483">
        <v>0</v>
      </c>
      <c r="V483">
        <v>32</v>
      </c>
      <c r="W483">
        <v>374400</v>
      </c>
      <c r="X483">
        <v>4800</v>
      </c>
      <c r="Y483">
        <v>4800</v>
      </c>
      <c r="Z483">
        <v>0</v>
      </c>
      <c r="AA483">
        <v>0</v>
      </c>
      <c r="AB483">
        <v>0</v>
      </c>
      <c r="AC483">
        <v>9600</v>
      </c>
    </row>
    <row r="484" spans="1:29">
      <c r="A484">
        <v>953</v>
      </c>
      <c r="B484" t="s">
        <v>149</v>
      </c>
      <c r="C484">
        <v>988</v>
      </c>
      <c r="D484" t="s">
        <v>19</v>
      </c>
      <c r="E484" t="str">
        <f t="shared" si="11"/>
        <v>00988</v>
      </c>
      <c r="F484" t="s">
        <v>15</v>
      </c>
      <c r="G484" t="s">
        <v>193</v>
      </c>
      <c r="H484" t="s">
        <v>151</v>
      </c>
      <c r="I484" t="s">
        <v>231</v>
      </c>
      <c r="J484" t="s">
        <v>152</v>
      </c>
      <c r="K484" t="s">
        <v>153</v>
      </c>
      <c r="L484">
        <v>251200517</v>
      </c>
      <c r="M484" s="84">
        <v>46007</v>
      </c>
      <c r="N484" s="84">
        <v>46007</v>
      </c>
      <c r="O484" t="s">
        <v>234</v>
      </c>
      <c r="P484" t="s">
        <v>235</v>
      </c>
      <c r="Q484">
        <v>10432</v>
      </c>
      <c r="R484">
        <v>5</v>
      </c>
      <c r="S484">
        <v>52160</v>
      </c>
      <c r="T484">
        <v>0</v>
      </c>
      <c r="U484">
        <v>0</v>
      </c>
      <c r="V484">
        <v>5</v>
      </c>
      <c r="W484">
        <v>52160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1:29">
      <c r="A485">
        <v>964</v>
      </c>
      <c r="B485" t="s">
        <v>149</v>
      </c>
      <c r="C485">
        <v>1118</v>
      </c>
      <c r="D485" t="s">
        <v>37</v>
      </c>
      <c r="E485" t="str">
        <f t="shared" si="11"/>
        <v>01118</v>
      </c>
      <c r="F485" t="s">
        <v>28</v>
      </c>
      <c r="G485" t="s">
        <v>164</v>
      </c>
      <c r="H485" t="s">
        <v>151</v>
      </c>
      <c r="I485" t="s">
        <v>4</v>
      </c>
      <c r="J485" t="s">
        <v>152</v>
      </c>
      <c r="K485" t="s">
        <v>153</v>
      </c>
      <c r="L485">
        <v>251200525</v>
      </c>
      <c r="M485" s="84">
        <v>46009</v>
      </c>
      <c r="N485" s="84">
        <v>46009</v>
      </c>
      <c r="O485" t="s">
        <v>243</v>
      </c>
      <c r="P485" t="s">
        <v>244</v>
      </c>
      <c r="Q485">
        <v>15050</v>
      </c>
      <c r="R485">
        <v>5</v>
      </c>
      <c r="S485">
        <v>75250</v>
      </c>
      <c r="T485">
        <v>0</v>
      </c>
      <c r="U485">
        <v>0</v>
      </c>
      <c r="V485">
        <v>5</v>
      </c>
      <c r="W485">
        <v>75250</v>
      </c>
      <c r="X485">
        <v>750</v>
      </c>
      <c r="Y485">
        <v>1000</v>
      </c>
      <c r="Z485">
        <v>0</v>
      </c>
      <c r="AA485">
        <v>0</v>
      </c>
      <c r="AB485">
        <v>0</v>
      </c>
      <c r="AC485">
        <v>1750</v>
      </c>
    </row>
    <row r="486" spans="1:29">
      <c r="A486">
        <v>965</v>
      </c>
      <c r="B486" t="s">
        <v>149</v>
      </c>
      <c r="C486">
        <v>1118</v>
      </c>
      <c r="D486" t="s">
        <v>37</v>
      </c>
      <c r="E486" t="str">
        <f t="shared" si="11"/>
        <v>01118</v>
      </c>
      <c r="F486" t="s">
        <v>28</v>
      </c>
      <c r="G486" t="s">
        <v>164</v>
      </c>
      <c r="H486" t="s">
        <v>151</v>
      </c>
      <c r="I486" t="s">
        <v>4</v>
      </c>
      <c r="J486" t="s">
        <v>152</v>
      </c>
      <c r="K486" t="s">
        <v>153</v>
      </c>
      <c r="L486">
        <v>251200525</v>
      </c>
      <c r="M486" s="84">
        <v>46009</v>
      </c>
      <c r="N486" s="84">
        <v>46009</v>
      </c>
      <c r="O486" t="s">
        <v>160</v>
      </c>
      <c r="P486" t="s">
        <v>161</v>
      </c>
      <c r="Q486">
        <v>14250</v>
      </c>
      <c r="R486">
        <v>5</v>
      </c>
      <c r="S486">
        <v>71250</v>
      </c>
      <c r="T486">
        <v>0</v>
      </c>
      <c r="U486">
        <v>0</v>
      </c>
      <c r="V486">
        <v>5</v>
      </c>
      <c r="W486">
        <v>71250</v>
      </c>
      <c r="X486">
        <v>750</v>
      </c>
      <c r="Y486">
        <v>1000</v>
      </c>
      <c r="Z486">
        <v>0</v>
      </c>
      <c r="AA486">
        <v>0</v>
      </c>
      <c r="AB486">
        <v>0</v>
      </c>
      <c r="AC486">
        <v>1750</v>
      </c>
    </row>
    <row r="487" spans="1:29">
      <c r="A487">
        <v>969</v>
      </c>
      <c r="B487" t="s">
        <v>149</v>
      </c>
      <c r="C487">
        <v>827</v>
      </c>
      <c r="D487" t="s">
        <v>84</v>
      </c>
      <c r="E487" t="str">
        <f t="shared" si="11"/>
        <v>00827</v>
      </c>
      <c r="F487" t="s">
        <v>83</v>
      </c>
      <c r="G487" t="s">
        <v>164</v>
      </c>
      <c r="H487" t="s">
        <v>151</v>
      </c>
      <c r="I487" t="s">
        <v>4</v>
      </c>
      <c r="J487" t="s">
        <v>152</v>
      </c>
      <c r="K487" t="s">
        <v>153</v>
      </c>
      <c r="L487">
        <v>251200528</v>
      </c>
      <c r="M487" s="84">
        <v>46009</v>
      </c>
      <c r="N487" s="84">
        <v>46009</v>
      </c>
      <c r="O487" t="s">
        <v>177</v>
      </c>
      <c r="P487" t="s">
        <v>178</v>
      </c>
      <c r="Q487">
        <v>14250</v>
      </c>
      <c r="R487">
        <v>4</v>
      </c>
      <c r="S487">
        <v>57000</v>
      </c>
      <c r="T487">
        <v>0</v>
      </c>
      <c r="U487">
        <v>0</v>
      </c>
      <c r="V487">
        <v>4</v>
      </c>
      <c r="W487">
        <v>57000</v>
      </c>
      <c r="X487">
        <v>600</v>
      </c>
      <c r="Y487">
        <v>800</v>
      </c>
      <c r="Z487">
        <v>0</v>
      </c>
      <c r="AA487">
        <v>0</v>
      </c>
      <c r="AB487">
        <v>0</v>
      </c>
      <c r="AC487">
        <v>1400</v>
      </c>
    </row>
    <row r="488" spans="1:29">
      <c r="A488">
        <v>970</v>
      </c>
      <c r="B488" t="s">
        <v>149</v>
      </c>
      <c r="C488">
        <v>334</v>
      </c>
      <c r="D488" t="s">
        <v>56</v>
      </c>
      <c r="E488" t="str">
        <f t="shared" si="11"/>
        <v>00334</v>
      </c>
      <c r="F488" t="s">
        <v>49</v>
      </c>
      <c r="G488" t="s">
        <v>167</v>
      </c>
      <c r="H488" t="s">
        <v>151</v>
      </c>
      <c r="I488" t="s">
        <v>5</v>
      </c>
      <c r="J488" t="s">
        <v>152</v>
      </c>
      <c r="K488" t="s">
        <v>153</v>
      </c>
      <c r="L488">
        <v>251200529</v>
      </c>
      <c r="M488" s="84">
        <v>46009</v>
      </c>
      <c r="N488" s="84">
        <v>46009</v>
      </c>
      <c r="O488" t="s">
        <v>191</v>
      </c>
      <c r="P488" t="s">
        <v>192</v>
      </c>
      <c r="Q488">
        <v>11700</v>
      </c>
      <c r="R488">
        <v>20</v>
      </c>
      <c r="S488">
        <v>234000</v>
      </c>
      <c r="T488">
        <v>0</v>
      </c>
      <c r="U488">
        <v>0</v>
      </c>
      <c r="V488">
        <v>20</v>
      </c>
      <c r="W488">
        <v>234000</v>
      </c>
      <c r="X488">
        <v>3000</v>
      </c>
      <c r="Y488">
        <v>3000</v>
      </c>
      <c r="Z488">
        <v>0</v>
      </c>
      <c r="AA488">
        <v>0</v>
      </c>
      <c r="AB488">
        <v>0</v>
      </c>
      <c r="AC488">
        <v>6000</v>
      </c>
    </row>
    <row r="489" spans="1:29">
      <c r="A489">
        <v>971</v>
      </c>
      <c r="B489" t="s">
        <v>149</v>
      </c>
      <c r="C489">
        <v>334</v>
      </c>
      <c r="D489" t="s">
        <v>56</v>
      </c>
      <c r="E489" t="str">
        <f t="shared" si="11"/>
        <v>00334</v>
      </c>
      <c r="F489" t="s">
        <v>49</v>
      </c>
      <c r="G489" t="s">
        <v>167</v>
      </c>
      <c r="H489" t="s">
        <v>151</v>
      </c>
      <c r="I489" t="s">
        <v>4</v>
      </c>
      <c r="J489" t="s">
        <v>152</v>
      </c>
      <c r="K489" t="s">
        <v>153</v>
      </c>
      <c r="L489">
        <v>251200529</v>
      </c>
      <c r="M489" s="84">
        <v>46009</v>
      </c>
      <c r="N489" s="84">
        <v>46009</v>
      </c>
      <c r="O489" t="s">
        <v>160</v>
      </c>
      <c r="P489" t="s">
        <v>161</v>
      </c>
      <c r="Q489">
        <v>14250</v>
      </c>
      <c r="R489">
        <v>20</v>
      </c>
      <c r="S489">
        <v>285000</v>
      </c>
      <c r="T489">
        <v>0</v>
      </c>
      <c r="U489">
        <v>0</v>
      </c>
      <c r="V489">
        <v>20</v>
      </c>
      <c r="W489">
        <v>285000</v>
      </c>
      <c r="X489">
        <v>3000</v>
      </c>
      <c r="Y489">
        <v>4000</v>
      </c>
      <c r="Z489">
        <v>0</v>
      </c>
      <c r="AA489">
        <v>0</v>
      </c>
      <c r="AB489">
        <v>0</v>
      </c>
      <c r="AC489">
        <v>7000</v>
      </c>
    </row>
    <row r="490" spans="1:29">
      <c r="A490">
        <v>972</v>
      </c>
      <c r="B490" t="s">
        <v>149</v>
      </c>
      <c r="C490">
        <v>337</v>
      </c>
      <c r="D490" t="s">
        <v>57</v>
      </c>
      <c r="E490" t="str">
        <f t="shared" si="11"/>
        <v>00337</v>
      </c>
      <c r="F490" t="s">
        <v>49</v>
      </c>
      <c r="G490" t="s">
        <v>167</v>
      </c>
      <c r="H490" t="s">
        <v>151</v>
      </c>
      <c r="I490" t="s">
        <v>4</v>
      </c>
      <c r="J490" t="s">
        <v>152</v>
      </c>
      <c r="K490" t="s">
        <v>153</v>
      </c>
      <c r="L490">
        <v>251200530</v>
      </c>
      <c r="M490" s="84">
        <v>46009</v>
      </c>
      <c r="N490" s="84">
        <v>46009</v>
      </c>
      <c r="O490" t="s">
        <v>162</v>
      </c>
      <c r="P490" t="s">
        <v>163</v>
      </c>
      <c r="Q490">
        <v>14250</v>
      </c>
      <c r="R490">
        <v>5</v>
      </c>
      <c r="S490">
        <v>71250</v>
      </c>
      <c r="T490">
        <v>0</v>
      </c>
      <c r="U490">
        <v>0</v>
      </c>
      <c r="V490">
        <v>5</v>
      </c>
      <c r="W490">
        <v>71250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</row>
    <row r="491" spans="1:29">
      <c r="A491">
        <v>973</v>
      </c>
      <c r="B491" t="s">
        <v>149</v>
      </c>
      <c r="C491">
        <v>1368</v>
      </c>
      <c r="D491" t="s">
        <v>22</v>
      </c>
      <c r="E491" t="str">
        <f t="shared" si="11"/>
        <v>01368</v>
      </c>
      <c r="F491" t="s">
        <v>20</v>
      </c>
      <c r="G491" t="s">
        <v>193</v>
      </c>
      <c r="H491" t="s">
        <v>151</v>
      </c>
      <c r="I491" t="s">
        <v>4</v>
      </c>
      <c r="J491" t="s">
        <v>152</v>
      </c>
      <c r="K491" t="s">
        <v>236</v>
      </c>
      <c r="L491">
        <v>251200531</v>
      </c>
      <c r="M491" s="84">
        <v>46009</v>
      </c>
      <c r="N491" s="84">
        <v>46009</v>
      </c>
      <c r="O491" t="s">
        <v>160</v>
      </c>
      <c r="P491" t="s">
        <v>161</v>
      </c>
      <c r="Q491">
        <v>14250</v>
      </c>
      <c r="R491">
        <v>20</v>
      </c>
      <c r="S491">
        <v>285000</v>
      </c>
      <c r="T491">
        <v>0</v>
      </c>
      <c r="U491">
        <v>0</v>
      </c>
      <c r="V491">
        <v>20</v>
      </c>
      <c r="W491">
        <v>285000</v>
      </c>
      <c r="X491">
        <v>3000</v>
      </c>
      <c r="Y491">
        <v>4000</v>
      </c>
      <c r="Z491">
        <v>0</v>
      </c>
      <c r="AA491">
        <v>0</v>
      </c>
      <c r="AB491">
        <v>0</v>
      </c>
      <c r="AC491">
        <v>7000</v>
      </c>
    </row>
    <row r="492" spans="1:29">
      <c r="A492">
        <v>974</v>
      </c>
      <c r="B492" t="s">
        <v>149</v>
      </c>
      <c r="C492">
        <v>1441</v>
      </c>
      <c r="D492" t="s">
        <v>23</v>
      </c>
      <c r="E492" t="str">
        <f t="shared" si="11"/>
        <v>01441</v>
      </c>
      <c r="F492" t="s">
        <v>20</v>
      </c>
      <c r="G492" t="s">
        <v>193</v>
      </c>
      <c r="H492" t="s">
        <v>151</v>
      </c>
      <c r="I492" t="s">
        <v>5</v>
      </c>
      <c r="J492" t="s">
        <v>152</v>
      </c>
      <c r="K492" t="s">
        <v>236</v>
      </c>
      <c r="L492">
        <v>251200532</v>
      </c>
      <c r="M492" s="84">
        <v>46009</v>
      </c>
      <c r="N492" s="84">
        <v>46009</v>
      </c>
      <c r="O492" t="s">
        <v>279</v>
      </c>
      <c r="P492" t="s">
        <v>280</v>
      </c>
      <c r="Q492">
        <v>11700</v>
      </c>
      <c r="R492">
        <v>12</v>
      </c>
      <c r="S492">
        <v>140400</v>
      </c>
      <c r="T492">
        <v>0</v>
      </c>
      <c r="U492">
        <v>0</v>
      </c>
      <c r="V492">
        <v>12</v>
      </c>
      <c r="W492">
        <v>140400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</row>
    <row r="493" spans="1:29">
      <c r="A493">
        <v>977</v>
      </c>
      <c r="B493" t="s">
        <v>149</v>
      </c>
      <c r="C493">
        <v>1581</v>
      </c>
      <c r="D493" t="s">
        <v>96</v>
      </c>
      <c r="E493" t="str">
        <f t="shared" ref="E493:E556" si="12">TEXT(C493,"00000")</f>
        <v>01581</v>
      </c>
      <c r="F493" t="s">
        <v>95</v>
      </c>
      <c r="G493" t="s">
        <v>187</v>
      </c>
      <c r="H493" t="s">
        <v>188</v>
      </c>
      <c r="I493" t="s">
        <v>4</v>
      </c>
      <c r="J493" t="s">
        <v>152</v>
      </c>
      <c r="K493" t="s">
        <v>159</v>
      </c>
      <c r="L493">
        <v>251200534</v>
      </c>
      <c r="M493" s="84">
        <v>46009</v>
      </c>
      <c r="N493" s="84">
        <v>46009</v>
      </c>
      <c r="O493" t="s">
        <v>262</v>
      </c>
      <c r="P493" t="s">
        <v>263</v>
      </c>
      <c r="Q493">
        <v>13300</v>
      </c>
      <c r="R493">
        <v>18</v>
      </c>
      <c r="S493">
        <v>239400</v>
      </c>
      <c r="T493">
        <v>0</v>
      </c>
      <c r="U493">
        <v>0</v>
      </c>
      <c r="V493">
        <v>18</v>
      </c>
      <c r="W493">
        <v>239400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</row>
    <row r="494" spans="1:29">
      <c r="A494">
        <v>978</v>
      </c>
      <c r="B494" t="s">
        <v>149</v>
      </c>
      <c r="C494">
        <v>1581</v>
      </c>
      <c r="D494" t="s">
        <v>96</v>
      </c>
      <c r="E494" t="str">
        <f t="shared" si="12"/>
        <v>01581</v>
      </c>
      <c r="F494" t="s">
        <v>95</v>
      </c>
      <c r="G494" t="s">
        <v>187</v>
      </c>
      <c r="H494" t="s">
        <v>188</v>
      </c>
      <c r="I494" t="s">
        <v>5</v>
      </c>
      <c r="J494" t="s">
        <v>152</v>
      </c>
      <c r="K494" t="s">
        <v>159</v>
      </c>
      <c r="L494">
        <v>251200534</v>
      </c>
      <c r="M494" s="84">
        <v>46009</v>
      </c>
      <c r="N494" s="84">
        <v>46009</v>
      </c>
      <c r="O494" t="s">
        <v>198</v>
      </c>
      <c r="P494" t="s">
        <v>199</v>
      </c>
      <c r="Q494">
        <v>10800</v>
      </c>
      <c r="R494">
        <v>16</v>
      </c>
      <c r="S494">
        <v>172800</v>
      </c>
      <c r="T494">
        <v>0</v>
      </c>
      <c r="U494">
        <v>0</v>
      </c>
      <c r="V494">
        <v>16</v>
      </c>
      <c r="W494">
        <v>172800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>
      <c r="A495">
        <v>979</v>
      </c>
      <c r="B495" t="s">
        <v>149</v>
      </c>
      <c r="C495">
        <v>471</v>
      </c>
      <c r="D495" t="s">
        <v>25</v>
      </c>
      <c r="E495" t="str">
        <f t="shared" si="12"/>
        <v>00471</v>
      </c>
      <c r="F495" t="s">
        <v>20</v>
      </c>
      <c r="G495" t="s">
        <v>193</v>
      </c>
      <c r="H495" t="s">
        <v>151</v>
      </c>
      <c r="I495" t="s">
        <v>4</v>
      </c>
      <c r="J495" t="s">
        <v>152</v>
      </c>
      <c r="K495" t="s">
        <v>236</v>
      </c>
      <c r="L495">
        <v>251200535</v>
      </c>
      <c r="M495" s="84">
        <v>46009</v>
      </c>
      <c r="N495" s="84">
        <v>46009</v>
      </c>
      <c r="O495" t="s">
        <v>160</v>
      </c>
      <c r="P495" t="s">
        <v>161</v>
      </c>
      <c r="Q495">
        <v>14250</v>
      </c>
      <c r="R495">
        <v>15</v>
      </c>
      <c r="S495">
        <v>213750</v>
      </c>
      <c r="T495">
        <v>0</v>
      </c>
      <c r="U495">
        <v>0</v>
      </c>
      <c r="V495">
        <v>15</v>
      </c>
      <c r="W495">
        <v>213750</v>
      </c>
      <c r="X495">
        <v>2250</v>
      </c>
      <c r="Y495">
        <v>3000</v>
      </c>
      <c r="Z495">
        <v>0</v>
      </c>
      <c r="AA495">
        <v>0</v>
      </c>
      <c r="AB495">
        <v>0</v>
      </c>
      <c r="AC495">
        <v>5250</v>
      </c>
    </row>
    <row r="496" spans="1:29">
      <c r="A496">
        <v>980</v>
      </c>
      <c r="B496" t="s">
        <v>149</v>
      </c>
      <c r="C496">
        <v>471</v>
      </c>
      <c r="D496" t="s">
        <v>25</v>
      </c>
      <c r="E496" t="str">
        <f t="shared" si="12"/>
        <v>00471</v>
      </c>
      <c r="F496" t="s">
        <v>20</v>
      </c>
      <c r="G496" t="s">
        <v>193</v>
      </c>
      <c r="H496" t="s">
        <v>151</v>
      </c>
      <c r="I496" t="s">
        <v>4</v>
      </c>
      <c r="J496" t="s">
        <v>152</v>
      </c>
      <c r="K496" t="s">
        <v>236</v>
      </c>
      <c r="L496">
        <v>251200535</v>
      </c>
      <c r="M496" s="84">
        <v>46009</v>
      </c>
      <c r="N496" s="84">
        <v>46009</v>
      </c>
      <c r="O496" t="s">
        <v>179</v>
      </c>
      <c r="P496" t="s">
        <v>180</v>
      </c>
      <c r="Q496">
        <v>14250</v>
      </c>
      <c r="R496">
        <v>28</v>
      </c>
      <c r="S496">
        <v>399000</v>
      </c>
      <c r="T496">
        <v>0</v>
      </c>
      <c r="U496">
        <v>0</v>
      </c>
      <c r="V496">
        <v>28</v>
      </c>
      <c r="W496">
        <v>399000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</row>
    <row r="497" spans="1:29">
      <c r="A497">
        <v>981</v>
      </c>
      <c r="B497" t="s">
        <v>149</v>
      </c>
      <c r="C497">
        <v>471</v>
      </c>
      <c r="D497" t="s">
        <v>25</v>
      </c>
      <c r="E497" t="str">
        <f t="shared" si="12"/>
        <v>00471</v>
      </c>
      <c r="F497" t="s">
        <v>20</v>
      </c>
      <c r="G497" t="s">
        <v>193</v>
      </c>
      <c r="H497" t="s">
        <v>151</v>
      </c>
      <c r="I497" t="s">
        <v>5</v>
      </c>
      <c r="J497" t="s">
        <v>152</v>
      </c>
      <c r="K497" t="s">
        <v>236</v>
      </c>
      <c r="L497">
        <v>251200535</v>
      </c>
      <c r="M497" s="84">
        <v>46009</v>
      </c>
      <c r="N497" s="84">
        <v>46009</v>
      </c>
      <c r="O497" t="s">
        <v>191</v>
      </c>
      <c r="P497" t="s">
        <v>192</v>
      </c>
      <c r="Q497">
        <v>11700</v>
      </c>
      <c r="R497">
        <v>28</v>
      </c>
      <c r="S497">
        <v>327600</v>
      </c>
      <c r="T497">
        <v>0</v>
      </c>
      <c r="U497">
        <v>0</v>
      </c>
      <c r="V497">
        <v>28</v>
      </c>
      <c r="W497">
        <v>327600</v>
      </c>
      <c r="X497">
        <v>4200</v>
      </c>
      <c r="Y497">
        <v>4200</v>
      </c>
      <c r="Z497">
        <v>0</v>
      </c>
      <c r="AA497">
        <v>0</v>
      </c>
      <c r="AB497">
        <v>0</v>
      </c>
      <c r="AC497">
        <v>8400</v>
      </c>
    </row>
    <row r="498" spans="1:29">
      <c r="A498">
        <v>982</v>
      </c>
      <c r="B498" t="s">
        <v>149</v>
      </c>
      <c r="C498">
        <v>1385</v>
      </c>
      <c r="D498" t="s">
        <v>27</v>
      </c>
      <c r="E498" t="str">
        <f t="shared" si="12"/>
        <v>01385</v>
      </c>
      <c r="F498" t="s">
        <v>20</v>
      </c>
      <c r="G498" t="s">
        <v>193</v>
      </c>
      <c r="H498" t="s">
        <v>151</v>
      </c>
      <c r="I498" t="s">
        <v>4</v>
      </c>
      <c r="J498" t="s">
        <v>152</v>
      </c>
      <c r="K498" t="s">
        <v>236</v>
      </c>
      <c r="L498">
        <v>251200536</v>
      </c>
      <c r="M498" s="84">
        <v>46009</v>
      </c>
      <c r="N498" s="84">
        <v>46009</v>
      </c>
      <c r="O498" t="s">
        <v>179</v>
      </c>
      <c r="P498" t="s">
        <v>180</v>
      </c>
      <c r="Q498">
        <v>14250</v>
      </c>
      <c r="R498">
        <v>7</v>
      </c>
      <c r="S498">
        <v>99750</v>
      </c>
      <c r="T498">
        <v>0</v>
      </c>
      <c r="U498">
        <v>0</v>
      </c>
      <c r="V498">
        <v>7</v>
      </c>
      <c r="W498">
        <v>99750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 spans="1:29">
      <c r="A499">
        <v>983</v>
      </c>
      <c r="B499" t="s">
        <v>149</v>
      </c>
      <c r="C499">
        <v>1341</v>
      </c>
      <c r="D499" t="s">
        <v>24</v>
      </c>
      <c r="E499" t="str">
        <f t="shared" si="12"/>
        <v>01341</v>
      </c>
      <c r="F499" t="s">
        <v>20</v>
      </c>
      <c r="G499" t="s">
        <v>193</v>
      </c>
      <c r="H499" t="s">
        <v>151</v>
      </c>
      <c r="I499" t="s">
        <v>173</v>
      </c>
      <c r="J499" t="s">
        <v>152</v>
      </c>
      <c r="K499" t="s">
        <v>236</v>
      </c>
      <c r="L499">
        <v>251200537</v>
      </c>
      <c r="M499" s="84">
        <v>46009</v>
      </c>
      <c r="N499" s="84">
        <v>46009</v>
      </c>
      <c r="O499" t="s">
        <v>285</v>
      </c>
      <c r="P499" t="s">
        <v>286</v>
      </c>
      <c r="Q499">
        <v>3750</v>
      </c>
      <c r="R499">
        <v>4</v>
      </c>
      <c r="S499">
        <v>15000</v>
      </c>
      <c r="T499">
        <v>0</v>
      </c>
      <c r="U499">
        <v>0</v>
      </c>
      <c r="V499">
        <v>4</v>
      </c>
      <c r="W499">
        <v>15000</v>
      </c>
      <c r="X499">
        <v>0</v>
      </c>
      <c r="Y499">
        <v>300</v>
      </c>
      <c r="Z499">
        <v>752</v>
      </c>
      <c r="AA499">
        <v>0</v>
      </c>
      <c r="AB499">
        <v>400</v>
      </c>
      <c r="AC499">
        <v>1452</v>
      </c>
    </row>
    <row r="500" spans="1:29">
      <c r="A500">
        <v>984</v>
      </c>
      <c r="B500" t="s">
        <v>149</v>
      </c>
      <c r="C500">
        <v>1341</v>
      </c>
      <c r="D500" t="s">
        <v>24</v>
      </c>
      <c r="E500" t="str">
        <f t="shared" si="12"/>
        <v>01341</v>
      </c>
      <c r="F500" t="s">
        <v>20</v>
      </c>
      <c r="G500" t="s">
        <v>193</v>
      </c>
      <c r="H500" t="s">
        <v>151</v>
      </c>
      <c r="I500" t="s">
        <v>4</v>
      </c>
      <c r="J500" t="s">
        <v>152</v>
      </c>
      <c r="K500" t="s">
        <v>236</v>
      </c>
      <c r="L500">
        <v>251200538</v>
      </c>
      <c r="M500" s="84">
        <v>46009</v>
      </c>
      <c r="N500" s="84">
        <v>46009</v>
      </c>
      <c r="O500" t="s">
        <v>262</v>
      </c>
      <c r="P500" t="s">
        <v>263</v>
      </c>
      <c r="Q500">
        <v>14250</v>
      </c>
      <c r="R500">
        <v>8</v>
      </c>
      <c r="S500">
        <v>114000</v>
      </c>
      <c r="T500">
        <v>0</v>
      </c>
      <c r="U500">
        <v>0</v>
      </c>
      <c r="V500">
        <v>8</v>
      </c>
      <c r="W500">
        <v>114000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 s="85" customFormat="1" spans="1:29">
      <c r="A501" s="85">
        <v>985</v>
      </c>
      <c r="B501" s="85" t="s">
        <v>149</v>
      </c>
      <c r="C501" s="85">
        <v>1572</v>
      </c>
      <c r="D501" s="85" t="s">
        <v>284</v>
      </c>
      <c r="E501" s="85" t="str">
        <f t="shared" si="12"/>
        <v>01572</v>
      </c>
      <c r="F501" s="85" t="s">
        <v>95</v>
      </c>
      <c r="G501" s="85" t="s">
        <v>187</v>
      </c>
      <c r="H501" s="85" t="s">
        <v>188</v>
      </c>
      <c r="I501" s="85" t="s">
        <v>173</v>
      </c>
      <c r="J501" s="85" t="s">
        <v>152</v>
      </c>
      <c r="K501" s="85" t="s">
        <v>159</v>
      </c>
      <c r="L501" s="85">
        <v>251200539</v>
      </c>
      <c r="M501" s="86">
        <v>46009</v>
      </c>
      <c r="N501" s="86">
        <v>46009</v>
      </c>
      <c r="O501" s="85" t="s">
        <v>277</v>
      </c>
      <c r="P501" s="85" t="s">
        <v>278</v>
      </c>
      <c r="Q501" s="85">
        <v>7928</v>
      </c>
      <c r="R501" s="85">
        <v>5</v>
      </c>
      <c r="S501" s="85">
        <v>39640</v>
      </c>
      <c r="T501" s="85">
        <v>0</v>
      </c>
      <c r="U501" s="85">
        <v>0</v>
      </c>
      <c r="V501" s="85">
        <v>5</v>
      </c>
      <c r="W501" s="85">
        <v>39640</v>
      </c>
      <c r="X501" s="85">
        <v>0</v>
      </c>
      <c r="Y501" s="85">
        <v>0</v>
      </c>
      <c r="Z501" s="85">
        <v>0</v>
      </c>
      <c r="AA501" s="85">
        <v>0</v>
      </c>
      <c r="AB501" s="85">
        <v>0</v>
      </c>
      <c r="AC501" s="85">
        <v>0</v>
      </c>
    </row>
    <row r="502" spans="1:29">
      <c r="A502">
        <v>986</v>
      </c>
      <c r="B502" t="s">
        <v>149</v>
      </c>
      <c r="C502">
        <v>1356</v>
      </c>
      <c r="D502" t="s">
        <v>98</v>
      </c>
      <c r="E502" t="str">
        <f t="shared" si="12"/>
        <v>01356</v>
      </c>
      <c r="F502" t="s">
        <v>95</v>
      </c>
      <c r="G502" t="s">
        <v>187</v>
      </c>
      <c r="H502" t="s">
        <v>188</v>
      </c>
      <c r="I502" t="s">
        <v>4</v>
      </c>
      <c r="J502" t="s">
        <v>152</v>
      </c>
      <c r="K502" t="s">
        <v>159</v>
      </c>
      <c r="L502">
        <v>251200540</v>
      </c>
      <c r="M502" s="84">
        <v>46009</v>
      </c>
      <c r="N502" s="84">
        <v>46009</v>
      </c>
      <c r="O502" t="s">
        <v>215</v>
      </c>
      <c r="P502" t="s">
        <v>216</v>
      </c>
      <c r="Q502">
        <v>13300</v>
      </c>
      <c r="R502">
        <v>10</v>
      </c>
      <c r="S502">
        <v>133000</v>
      </c>
      <c r="T502">
        <v>0</v>
      </c>
      <c r="U502">
        <v>0</v>
      </c>
      <c r="V502">
        <v>10</v>
      </c>
      <c r="W502">
        <v>133000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 spans="1:29">
      <c r="A503">
        <v>987</v>
      </c>
      <c r="B503" t="s">
        <v>149</v>
      </c>
      <c r="C503">
        <v>1132</v>
      </c>
      <c r="D503" t="s">
        <v>303</v>
      </c>
      <c r="E503" t="str">
        <f t="shared" si="12"/>
        <v>01132</v>
      </c>
      <c r="F503" t="s">
        <v>95</v>
      </c>
      <c r="G503" t="s">
        <v>187</v>
      </c>
      <c r="H503" t="s">
        <v>188</v>
      </c>
      <c r="I503" t="s">
        <v>210</v>
      </c>
      <c r="J503" t="s">
        <v>152</v>
      </c>
      <c r="K503" t="s">
        <v>159</v>
      </c>
      <c r="L503">
        <v>251200541</v>
      </c>
      <c r="M503" s="84">
        <v>46009</v>
      </c>
      <c r="N503" s="84">
        <v>46009</v>
      </c>
      <c r="O503" t="s">
        <v>213</v>
      </c>
      <c r="P503" t="s">
        <v>214</v>
      </c>
      <c r="Q503">
        <v>21750</v>
      </c>
      <c r="R503">
        <v>1</v>
      </c>
      <c r="S503">
        <v>21750</v>
      </c>
      <c r="T503">
        <v>0</v>
      </c>
      <c r="U503">
        <v>0</v>
      </c>
      <c r="V503">
        <v>1</v>
      </c>
      <c r="W503">
        <v>21750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>
      <c r="A504">
        <v>992</v>
      </c>
      <c r="B504" t="s">
        <v>149</v>
      </c>
      <c r="C504">
        <v>1395</v>
      </c>
      <c r="D504" t="s">
        <v>101</v>
      </c>
      <c r="E504" t="str">
        <f t="shared" si="12"/>
        <v>01395</v>
      </c>
      <c r="F504" t="s">
        <v>95</v>
      </c>
      <c r="G504" t="s">
        <v>187</v>
      </c>
      <c r="H504" t="s">
        <v>188</v>
      </c>
      <c r="I504" t="s">
        <v>4</v>
      </c>
      <c r="J504" t="s">
        <v>152</v>
      </c>
      <c r="K504" t="s">
        <v>159</v>
      </c>
      <c r="L504">
        <v>251200545</v>
      </c>
      <c r="M504" s="84">
        <v>46009</v>
      </c>
      <c r="N504" s="84">
        <v>46009</v>
      </c>
      <c r="O504" t="s">
        <v>160</v>
      </c>
      <c r="P504" t="s">
        <v>161</v>
      </c>
      <c r="Q504">
        <v>13200</v>
      </c>
      <c r="R504">
        <v>4</v>
      </c>
      <c r="S504">
        <v>52800</v>
      </c>
      <c r="T504">
        <v>0</v>
      </c>
      <c r="U504">
        <v>0</v>
      </c>
      <c r="V504">
        <v>4</v>
      </c>
      <c r="W504">
        <v>52800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>
      <c r="A505">
        <v>1000</v>
      </c>
      <c r="B505" t="s">
        <v>149</v>
      </c>
      <c r="C505">
        <v>988</v>
      </c>
      <c r="D505" t="s">
        <v>19</v>
      </c>
      <c r="E505" t="str">
        <f t="shared" si="12"/>
        <v>00988</v>
      </c>
      <c r="F505" t="s">
        <v>15</v>
      </c>
      <c r="G505" t="s">
        <v>193</v>
      </c>
      <c r="H505" t="s">
        <v>151</v>
      </c>
      <c r="I505" t="s">
        <v>5</v>
      </c>
      <c r="J505" t="s">
        <v>152</v>
      </c>
      <c r="K505" t="s">
        <v>153</v>
      </c>
      <c r="L505">
        <v>251200549</v>
      </c>
      <c r="M505" s="84">
        <v>46009</v>
      </c>
      <c r="N505" s="84">
        <v>46009</v>
      </c>
      <c r="O505" t="s">
        <v>191</v>
      </c>
      <c r="P505" t="s">
        <v>192</v>
      </c>
      <c r="Q505">
        <v>11700</v>
      </c>
      <c r="R505">
        <v>40</v>
      </c>
      <c r="S505">
        <v>468000</v>
      </c>
      <c r="T505">
        <v>0</v>
      </c>
      <c r="U505">
        <v>0</v>
      </c>
      <c r="V505">
        <v>40</v>
      </c>
      <c r="W505">
        <v>468000</v>
      </c>
      <c r="X505">
        <v>6000</v>
      </c>
      <c r="Y505">
        <v>6000</v>
      </c>
      <c r="Z505">
        <v>0</v>
      </c>
      <c r="AA505">
        <v>0</v>
      </c>
      <c r="AB505">
        <v>0</v>
      </c>
      <c r="AC505">
        <v>12000</v>
      </c>
    </row>
    <row r="506" spans="1:29">
      <c r="A506">
        <v>1003</v>
      </c>
      <c r="B506" t="s">
        <v>149</v>
      </c>
      <c r="C506">
        <v>1453</v>
      </c>
      <c r="D506" t="s">
        <v>11</v>
      </c>
      <c r="E506" t="str">
        <f t="shared" si="12"/>
        <v>01453</v>
      </c>
      <c r="F506" t="s">
        <v>10</v>
      </c>
      <c r="G506" t="s">
        <v>172</v>
      </c>
      <c r="H506" t="s">
        <v>157</v>
      </c>
      <c r="I506" t="s">
        <v>4</v>
      </c>
      <c r="J506" t="s">
        <v>152</v>
      </c>
      <c r="K506" t="s">
        <v>174</v>
      </c>
      <c r="L506">
        <v>251200551</v>
      </c>
      <c r="M506" s="84">
        <v>46009</v>
      </c>
      <c r="N506" s="84">
        <v>46009</v>
      </c>
      <c r="O506" t="s">
        <v>243</v>
      </c>
      <c r="P506" t="s">
        <v>244</v>
      </c>
      <c r="Q506">
        <v>15050</v>
      </c>
      <c r="R506">
        <v>5</v>
      </c>
      <c r="S506">
        <v>75250</v>
      </c>
      <c r="T506">
        <v>0</v>
      </c>
      <c r="U506">
        <v>0</v>
      </c>
      <c r="V506">
        <v>5</v>
      </c>
      <c r="W506">
        <v>75250</v>
      </c>
      <c r="X506">
        <v>750</v>
      </c>
      <c r="Y506">
        <v>1000</v>
      </c>
      <c r="Z506">
        <v>0</v>
      </c>
      <c r="AA506">
        <v>0</v>
      </c>
      <c r="AB506">
        <v>0</v>
      </c>
      <c r="AC506">
        <v>1750</v>
      </c>
    </row>
    <row r="507" spans="1:29">
      <c r="A507">
        <v>1009</v>
      </c>
      <c r="B507" t="s">
        <v>149</v>
      </c>
      <c r="C507">
        <v>496</v>
      </c>
      <c r="D507" t="s">
        <v>8</v>
      </c>
      <c r="E507" t="str">
        <f t="shared" si="12"/>
        <v>00496</v>
      </c>
      <c r="F507" t="s">
        <v>7</v>
      </c>
      <c r="G507" t="s">
        <v>156</v>
      </c>
      <c r="H507" t="s">
        <v>157</v>
      </c>
      <c r="I507" t="s">
        <v>4</v>
      </c>
      <c r="J507" t="s">
        <v>152</v>
      </c>
      <c r="K507" t="s">
        <v>159</v>
      </c>
      <c r="L507">
        <v>251200556</v>
      </c>
      <c r="M507" s="84">
        <v>46009</v>
      </c>
      <c r="N507" s="84">
        <v>46009</v>
      </c>
      <c r="O507" t="s">
        <v>160</v>
      </c>
      <c r="P507" t="s">
        <v>161</v>
      </c>
      <c r="Q507">
        <v>14250</v>
      </c>
      <c r="R507">
        <v>8</v>
      </c>
      <c r="S507">
        <v>114000</v>
      </c>
      <c r="T507">
        <v>0</v>
      </c>
      <c r="U507">
        <v>0</v>
      </c>
      <c r="V507">
        <v>8</v>
      </c>
      <c r="W507">
        <v>114000</v>
      </c>
      <c r="X507">
        <v>1200</v>
      </c>
      <c r="Y507">
        <v>1600</v>
      </c>
      <c r="Z507">
        <v>0</v>
      </c>
      <c r="AA507">
        <v>0</v>
      </c>
      <c r="AB507">
        <v>0</v>
      </c>
      <c r="AC507">
        <v>2800</v>
      </c>
    </row>
    <row r="508" spans="1:29">
      <c r="A508">
        <v>1014</v>
      </c>
      <c r="B508" t="s">
        <v>149</v>
      </c>
      <c r="C508">
        <v>1604</v>
      </c>
      <c r="D508" t="s">
        <v>60</v>
      </c>
      <c r="E508" t="str">
        <f t="shared" si="12"/>
        <v>01604</v>
      </c>
      <c r="F508" t="s">
        <v>49</v>
      </c>
      <c r="G508" t="s">
        <v>167</v>
      </c>
      <c r="H508" t="s">
        <v>151</v>
      </c>
      <c r="I508" t="s">
        <v>182</v>
      </c>
      <c r="J508" t="s">
        <v>152</v>
      </c>
      <c r="K508" t="s">
        <v>153</v>
      </c>
      <c r="L508">
        <v>251200561</v>
      </c>
      <c r="M508" s="84">
        <v>46009</v>
      </c>
      <c r="N508" s="84">
        <v>46009</v>
      </c>
      <c r="O508" t="s">
        <v>183</v>
      </c>
      <c r="P508" t="s">
        <v>184</v>
      </c>
      <c r="Q508">
        <v>72</v>
      </c>
      <c r="R508">
        <v>300</v>
      </c>
      <c r="S508">
        <v>21600</v>
      </c>
      <c r="T508">
        <v>0</v>
      </c>
      <c r="U508">
        <v>0</v>
      </c>
      <c r="V508">
        <v>300</v>
      </c>
      <c r="W508">
        <v>21600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>
      <c r="A509">
        <v>1022</v>
      </c>
      <c r="B509" t="s">
        <v>149</v>
      </c>
      <c r="C509">
        <v>1404</v>
      </c>
      <c r="D509" t="s">
        <v>113</v>
      </c>
      <c r="E509" t="str">
        <f t="shared" si="12"/>
        <v>01404</v>
      </c>
      <c r="F509" t="s">
        <v>111</v>
      </c>
      <c r="G509" t="s">
        <v>150</v>
      </c>
      <c r="H509" t="s">
        <v>151</v>
      </c>
      <c r="I509" t="s">
        <v>4</v>
      </c>
      <c r="J509" t="s">
        <v>152</v>
      </c>
      <c r="K509" t="s">
        <v>153</v>
      </c>
      <c r="L509">
        <v>251200566</v>
      </c>
      <c r="M509" s="84">
        <v>46011</v>
      </c>
      <c r="N509" s="84">
        <v>46011</v>
      </c>
      <c r="O509" t="s">
        <v>160</v>
      </c>
      <c r="P509" t="s">
        <v>161</v>
      </c>
      <c r="Q509">
        <v>14250</v>
      </c>
      <c r="R509">
        <v>8</v>
      </c>
      <c r="S509">
        <v>114000</v>
      </c>
      <c r="T509">
        <v>0</v>
      </c>
      <c r="U509">
        <v>0</v>
      </c>
      <c r="V509">
        <v>8</v>
      </c>
      <c r="W509">
        <v>114000</v>
      </c>
      <c r="X509">
        <v>1200</v>
      </c>
      <c r="Y509">
        <v>1600</v>
      </c>
      <c r="Z509">
        <v>0</v>
      </c>
      <c r="AA509">
        <v>0</v>
      </c>
      <c r="AB509">
        <v>0</v>
      </c>
      <c r="AC509">
        <v>2800</v>
      </c>
    </row>
    <row r="510" spans="1:29">
      <c r="A510">
        <v>1028</v>
      </c>
      <c r="B510" t="s">
        <v>149</v>
      </c>
      <c r="C510">
        <v>1284</v>
      </c>
      <c r="D510" t="s">
        <v>186</v>
      </c>
      <c r="E510" t="str">
        <f t="shared" si="12"/>
        <v>01284</v>
      </c>
      <c r="F510" t="s">
        <v>171</v>
      </c>
      <c r="G510" t="s">
        <v>172</v>
      </c>
      <c r="H510" t="s">
        <v>157</v>
      </c>
      <c r="I510" t="s">
        <v>173</v>
      </c>
      <c r="J510" t="s">
        <v>152</v>
      </c>
      <c r="K510" t="s">
        <v>174</v>
      </c>
      <c r="L510">
        <v>251200572</v>
      </c>
      <c r="M510" s="84">
        <v>46011</v>
      </c>
      <c r="N510" s="84">
        <v>46011</v>
      </c>
      <c r="O510" t="s">
        <v>287</v>
      </c>
      <c r="P510" t="s">
        <v>288</v>
      </c>
      <c r="Q510">
        <v>6415</v>
      </c>
      <c r="R510">
        <v>2</v>
      </c>
      <c r="S510">
        <v>12830</v>
      </c>
      <c r="T510">
        <v>0</v>
      </c>
      <c r="U510">
        <v>0</v>
      </c>
      <c r="V510">
        <v>2</v>
      </c>
      <c r="W510">
        <v>12830</v>
      </c>
      <c r="X510">
        <v>0</v>
      </c>
      <c r="Y510">
        <v>256</v>
      </c>
      <c r="Z510">
        <v>642</v>
      </c>
      <c r="AA510">
        <v>0</v>
      </c>
      <c r="AB510">
        <v>200</v>
      </c>
      <c r="AC510">
        <v>1098</v>
      </c>
    </row>
    <row r="511" spans="1:29">
      <c r="A511">
        <v>1029</v>
      </c>
      <c r="B511" t="s">
        <v>149</v>
      </c>
      <c r="C511">
        <v>1285</v>
      </c>
      <c r="D511" t="s">
        <v>302</v>
      </c>
      <c r="E511" t="str">
        <f t="shared" si="12"/>
        <v>01285</v>
      </c>
      <c r="F511" t="s">
        <v>171</v>
      </c>
      <c r="G511" t="s">
        <v>172</v>
      </c>
      <c r="H511" t="s">
        <v>157</v>
      </c>
      <c r="I511" t="s">
        <v>173</v>
      </c>
      <c r="J511" t="s">
        <v>152</v>
      </c>
      <c r="K511" t="s">
        <v>174</v>
      </c>
      <c r="L511">
        <v>251200573</v>
      </c>
      <c r="M511" s="84">
        <v>46011</v>
      </c>
      <c r="N511" s="84">
        <v>46011</v>
      </c>
      <c r="O511" t="s">
        <v>287</v>
      </c>
      <c r="P511" t="s">
        <v>288</v>
      </c>
      <c r="Q511">
        <v>6415</v>
      </c>
      <c r="R511">
        <v>8</v>
      </c>
      <c r="S511">
        <v>51320</v>
      </c>
      <c r="T511">
        <v>0</v>
      </c>
      <c r="U511">
        <v>0</v>
      </c>
      <c r="V511">
        <v>8</v>
      </c>
      <c r="W511">
        <v>51320</v>
      </c>
      <c r="X511">
        <v>0</v>
      </c>
      <c r="Y511">
        <v>1024</v>
      </c>
      <c r="Z511">
        <v>2568</v>
      </c>
      <c r="AA511">
        <v>0</v>
      </c>
      <c r="AB511">
        <v>800</v>
      </c>
      <c r="AC511">
        <v>4392</v>
      </c>
    </row>
    <row r="512" spans="1:29">
      <c r="A512">
        <v>1036</v>
      </c>
      <c r="B512" t="s">
        <v>149</v>
      </c>
      <c r="C512">
        <v>1487</v>
      </c>
      <c r="D512" t="s">
        <v>88</v>
      </c>
      <c r="E512" t="str">
        <f t="shared" si="12"/>
        <v>01487</v>
      </c>
      <c r="F512" t="s">
        <v>86</v>
      </c>
      <c r="G512" t="s">
        <v>156</v>
      </c>
      <c r="H512" t="s">
        <v>157</v>
      </c>
      <c r="I512" t="s">
        <v>4</v>
      </c>
      <c r="J512" t="s">
        <v>152</v>
      </c>
      <c r="K512" t="s">
        <v>159</v>
      </c>
      <c r="L512">
        <v>251200577</v>
      </c>
      <c r="M512" s="84">
        <v>46011</v>
      </c>
      <c r="N512" s="84">
        <v>46011</v>
      </c>
      <c r="O512" t="s">
        <v>256</v>
      </c>
      <c r="P512" t="s">
        <v>257</v>
      </c>
      <c r="Q512">
        <v>14250</v>
      </c>
      <c r="R512">
        <v>10</v>
      </c>
      <c r="S512">
        <v>142500</v>
      </c>
      <c r="T512">
        <v>0</v>
      </c>
      <c r="U512">
        <v>0</v>
      </c>
      <c r="V512">
        <v>10</v>
      </c>
      <c r="W512">
        <v>142500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</row>
    <row r="513" spans="1:29">
      <c r="A513">
        <v>1044</v>
      </c>
      <c r="B513" t="s">
        <v>149</v>
      </c>
      <c r="C513">
        <v>1175</v>
      </c>
      <c r="D513" t="s">
        <v>110</v>
      </c>
      <c r="E513" t="str">
        <f t="shared" si="12"/>
        <v>01175</v>
      </c>
      <c r="F513" t="s">
        <v>103</v>
      </c>
      <c r="G513" t="s">
        <v>167</v>
      </c>
      <c r="H513" t="s">
        <v>151</v>
      </c>
      <c r="I513" t="s">
        <v>4</v>
      </c>
      <c r="J513" t="s">
        <v>152</v>
      </c>
      <c r="K513" t="s">
        <v>153</v>
      </c>
      <c r="L513">
        <v>251200584</v>
      </c>
      <c r="M513" s="84">
        <v>46011</v>
      </c>
      <c r="N513" s="84">
        <v>46011</v>
      </c>
      <c r="O513" t="s">
        <v>160</v>
      </c>
      <c r="P513" t="s">
        <v>161</v>
      </c>
      <c r="Q513">
        <v>14250</v>
      </c>
      <c r="R513">
        <v>30</v>
      </c>
      <c r="S513">
        <v>427500</v>
      </c>
      <c r="T513">
        <v>0</v>
      </c>
      <c r="U513">
        <v>0</v>
      </c>
      <c r="V513">
        <v>30</v>
      </c>
      <c r="W513">
        <v>427500</v>
      </c>
      <c r="X513">
        <v>4500</v>
      </c>
      <c r="Y513">
        <v>6000</v>
      </c>
      <c r="Z513">
        <v>0</v>
      </c>
      <c r="AA513">
        <v>0</v>
      </c>
      <c r="AB513">
        <v>0</v>
      </c>
      <c r="AC513">
        <v>10500</v>
      </c>
    </row>
    <row r="514" spans="1:29">
      <c r="A514">
        <v>1045</v>
      </c>
      <c r="B514" t="s">
        <v>149</v>
      </c>
      <c r="C514">
        <v>387</v>
      </c>
      <c r="D514" t="s">
        <v>109</v>
      </c>
      <c r="E514" t="str">
        <f t="shared" si="12"/>
        <v>00387</v>
      </c>
      <c r="F514" t="s">
        <v>103</v>
      </c>
      <c r="G514" t="s">
        <v>167</v>
      </c>
      <c r="H514" t="s">
        <v>151</v>
      </c>
      <c r="I514" t="s">
        <v>4</v>
      </c>
      <c r="J514" t="s">
        <v>152</v>
      </c>
      <c r="K514" t="s">
        <v>153</v>
      </c>
      <c r="L514">
        <v>251200585</v>
      </c>
      <c r="M514" s="84">
        <v>46011</v>
      </c>
      <c r="N514" s="84">
        <v>46011</v>
      </c>
      <c r="O514" t="s">
        <v>215</v>
      </c>
      <c r="P514" t="s">
        <v>216</v>
      </c>
      <c r="Q514">
        <v>14250</v>
      </c>
      <c r="R514">
        <v>35</v>
      </c>
      <c r="S514">
        <v>498750</v>
      </c>
      <c r="T514">
        <v>0</v>
      </c>
      <c r="U514">
        <v>0</v>
      </c>
      <c r="V514">
        <v>35</v>
      </c>
      <c r="W514">
        <v>498750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</row>
    <row r="515" spans="1:29">
      <c r="A515">
        <v>1046</v>
      </c>
      <c r="B515" t="s">
        <v>149</v>
      </c>
      <c r="C515">
        <v>827</v>
      </c>
      <c r="D515" t="s">
        <v>84</v>
      </c>
      <c r="E515" t="str">
        <f t="shared" si="12"/>
        <v>00827</v>
      </c>
      <c r="F515" t="s">
        <v>83</v>
      </c>
      <c r="G515" t="s">
        <v>164</v>
      </c>
      <c r="H515" t="s">
        <v>151</v>
      </c>
      <c r="I515" t="s">
        <v>5</v>
      </c>
      <c r="J515" t="s">
        <v>152</v>
      </c>
      <c r="K515" t="s">
        <v>153</v>
      </c>
      <c r="L515">
        <v>251200586</v>
      </c>
      <c r="M515" s="84">
        <v>46011</v>
      </c>
      <c r="N515" s="84">
        <v>46011</v>
      </c>
      <c r="O515" t="s">
        <v>198</v>
      </c>
      <c r="P515" t="s">
        <v>199</v>
      </c>
      <c r="Q515">
        <v>11700</v>
      </c>
      <c r="R515">
        <v>1</v>
      </c>
      <c r="S515">
        <v>11700</v>
      </c>
      <c r="T515">
        <v>0</v>
      </c>
      <c r="U515">
        <v>0</v>
      </c>
      <c r="V515">
        <v>1</v>
      </c>
      <c r="W515">
        <v>11700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 spans="1:29">
      <c r="A516">
        <v>1047</v>
      </c>
      <c r="B516" t="s">
        <v>149</v>
      </c>
      <c r="C516">
        <v>1108</v>
      </c>
      <c r="D516" t="s">
        <v>107</v>
      </c>
      <c r="E516" t="str">
        <f t="shared" si="12"/>
        <v>01108</v>
      </c>
      <c r="F516" t="s">
        <v>103</v>
      </c>
      <c r="G516" t="s">
        <v>167</v>
      </c>
      <c r="H516" t="s">
        <v>151</v>
      </c>
      <c r="I516" t="s">
        <v>5</v>
      </c>
      <c r="J516" t="s">
        <v>152</v>
      </c>
      <c r="K516" t="s">
        <v>153</v>
      </c>
      <c r="L516">
        <v>251200587</v>
      </c>
      <c r="M516" s="84">
        <v>46011</v>
      </c>
      <c r="N516" s="84">
        <v>46011</v>
      </c>
      <c r="O516" t="s">
        <v>191</v>
      </c>
      <c r="P516" t="s">
        <v>192</v>
      </c>
      <c r="Q516">
        <v>11700</v>
      </c>
      <c r="R516">
        <v>20</v>
      </c>
      <c r="S516">
        <v>234000</v>
      </c>
      <c r="T516">
        <v>0</v>
      </c>
      <c r="U516">
        <v>0</v>
      </c>
      <c r="V516">
        <v>20</v>
      </c>
      <c r="W516">
        <v>234000</v>
      </c>
      <c r="X516">
        <v>3000</v>
      </c>
      <c r="Y516">
        <v>3000</v>
      </c>
      <c r="Z516">
        <v>0</v>
      </c>
      <c r="AA516">
        <v>0</v>
      </c>
      <c r="AB516">
        <v>0</v>
      </c>
      <c r="AC516">
        <v>6000</v>
      </c>
    </row>
    <row r="517" spans="1:29">
      <c r="A517">
        <v>1048</v>
      </c>
      <c r="B517" t="s">
        <v>149</v>
      </c>
      <c r="C517">
        <v>388</v>
      </c>
      <c r="D517" t="s">
        <v>106</v>
      </c>
      <c r="E517" t="str">
        <f t="shared" si="12"/>
        <v>00388</v>
      </c>
      <c r="F517" t="s">
        <v>103</v>
      </c>
      <c r="G517" t="s">
        <v>167</v>
      </c>
      <c r="H517" t="s">
        <v>151</v>
      </c>
      <c r="I517" t="s">
        <v>231</v>
      </c>
      <c r="J517" t="s">
        <v>152</v>
      </c>
      <c r="K517" t="s">
        <v>153</v>
      </c>
      <c r="L517">
        <v>251200588</v>
      </c>
      <c r="M517" s="84">
        <v>46011</v>
      </c>
      <c r="N517" s="84">
        <v>46011</v>
      </c>
      <c r="O517" t="s">
        <v>234</v>
      </c>
      <c r="P517" t="s">
        <v>235</v>
      </c>
      <c r="Q517">
        <v>10432</v>
      </c>
      <c r="R517">
        <v>3</v>
      </c>
      <c r="S517">
        <v>31296</v>
      </c>
      <c r="T517">
        <v>0</v>
      </c>
      <c r="U517">
        <v>0</v>
      </c>
      <c r="V517">
        <v>3</v>
      </c>
      <c r="W517">
        <v>31296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>
      <c r="A518">
        <v>1049</v>
      </c>
      <c r="B518" t="s">
        <v>149</v>
      </c>
      <c r="C518">
        <v>471</v>
      </c>
      <c r="D518" t="s">
        <v>25</v>
      </c>
      <c r="E518" t="str">
        <f t="shared" si="12"/>
        <v>00471</v>
      </c>
      <c r="F518" t="s">
        <v>20</v>
      </c>
      <c r="G518" t="s">
        <v>193</v>
      </c>
      <c r="H518" t="s">
        <v>151</v>
      </c>
      <c r="I518" t="s">
        <v>4</v>
      </c>
      <c r="J518" t="s">
        <v>152</v>
      </c>
      <c r="K518" t="s">
        <v>236</v>
      </c>
      <c r="L518">
        <v>251200589</v>
      </c>
      <c r="M518" s="84">
        <v>46011</v>
      </c>
      <c r="N518" s="84">
        <v>46011</v>
      </c>
      <c r="O518" t="s">
        <v>160</v>
      </c>
      <c r="P518" t="s">
        <v>161</v>
      </c>
      <c r="Q518">
        <v>14250</v>
      </c>
      <c r="R518">
        <v>25</v>
      </c>
      <c r="S518">
        <v>356250</v>
      </c>
      <c r="T518">
        <v>0</v>
      </c>
      <c r="U518">
        <v>0</v>
      </c>
      <c r="V518">
        <v>25</v>
      </c>
      <c r="W518">
        <v>356250</v>
      </c>
      <c r="X518">
        <v>3750</v>
      </c>
      <c r="Y518">
        <v>5000</v>
      </c>
      <c r="Z518">
        <v>0</v>
      </c>
      <c r="AA518">
        <v>0</v>
      </c>
      <c r="AB518">
        <v>0</v>
      </c>
      <c r="AC518">
        <v>8750</v>
      </c>
    </row>
    <row r="519" spans="1:29">
      <c r="A519">
        <v>1050</v>
      </c>
      <c r="B519" t="s">
        <v>149</v>
      </c>
      <c r="C519">
        <v>471</v>
      </c>
      <c r="D519" t="s">
        <v>25</v>
      </c>
      <c r="E519" t="str">
        <f t="shared" si="12"/>
        <v>00471</v>
      </c>
      <c r="F519" t="s">
        <v>20</v>
      </c>
      <c r="G519" t="s">
        <v>193</v>
      </c>
      <c r="H519" t="s">
        <v>151</v>
      </c>
      <c r="I519" t="s">
        <v>5</v>
      </c>
      <c r="J519" t="s">
        <v>152</v>
      </c>
      <c r="K519" t="s">
        <v>236</v>
      </c>
      <c r="L519">
        <v>251200589</v>
      </c>
      <c r="M519" s="84">
        <v>46011</v>
      </c>
      <c r="N519" s="84">
        <v>46011</v>
      </c>
      <c r="O519" t="s">
        <v>191</v>
      </c>
      <c r="P519" t="s">
        <v>192</v>
      </c>
      <c r="Q519">
        <v>11700</v>
      </c>
      <c r="R519">
        <v>24</v>
      </c>
      <c r="S519">
        <v>280800</v>
      </c>
      <c r="T519">
        <v>0</v>
      </c>
      <c r="U519">
        <v>0</v>
      </c>
      <c r="V519">
        <v>24</v>
      </c>
      <c r="W519">
        <v>280800</v>
      </c>
      <c r="X519">
        <v>3600</v>
      </c>
      <c r="Y519">
        <v>3600</v>
      </c>
      <c r="Z519">
        <v>0</v>
      </c>
      <c r="AA519">
        <v>0</v>
      </c>
      <c r="AB519">
        <v>0</v>
      </c>
      <c r="AC519">
        <v>7200</v>
      </c>
    </row>
    <row r="520" spans="1:29">
      <c r="A520">
        <v>1051</v>
      </c>
      <c r="B520" t="s">
        <v>149</v>
      </c>
      <c r="C520">
        <v>471</v>
      </c>
      <c r="D520" t="s">
        <v>25</v>
      </c>
      <c r="E520" t="str">
        <f t="shared" si="12"/>
        <v>00471</v>
      </c>
      <c r="F520" t="s">
        <v>20</v>
      </c>
      <c r="G520" t="s">
        <v>193</v>
      </c>
      <c r="H520" t="s">
        <v>151</v>
      </c>
      <c r="I520" t="s">
        <v>4</v>
      </c>
      <c r="J520" t="s">
        <v>152</v>
      </c>
      <c r="K520" t="s">
        <v>236</v>
      </c>
      <c r="L520">
        <v>251200589</v>
      </c>
      <c r="M520" s="84">
        <v>46011</v>
      </c>
      <c r="N520" s="84">
        <v>46011</v>
      </c>
      <c r="O520" t="s">
        <v>179</v>
      </c>
      <c r="P520" t="s">
        <v>180</v>
      </c>
      <c r="Q520">
        <v>14250</v>
      </c>
      <c r="R520">
        <v>30</v>
      </c>
      <c r="S520">
        <v>427500</v>
      </c>
      <c r="T520">
        <v>0</v>
      </c>
      <c r="U520">
        <v>0</v>
      </c>
      <c r="V520">
        <v>30</v>
      </c>
      <c r="W520">
        <v>427500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>
      <c r="A521">
        <v>1055</v>
      </c>
      <c r="B521" t="s">
        <v>149</v>
      </c>
      <c r="C521">
        <v>1401</v>
      </c>
      <c r="D521" t="s">
        <v>29</v>
      </c>
      <c r="E521" t="str">
        <f t="shared" si="12"/>
        <v>01401</v>
      </c>
      <c r="F521" t="s">
        <v>28</v>
      </c>
      <c r="G521" t="s">
        <v>164</v>
      </c>
      <c r="H521" t="s">
        <v>151</v>
      </c>
      <c r="I521" t="s">
        <v>5</v>
      </c>
      <c r="J521" t="s">
        <v>152</v>
      </c>
      <c r="K521" t="s">
        <v>153</v>
      </c>
      <c r="L521">
        <v>251200591</v>
      </c>
      <c r="M521" s="84">
        <v>46011</v>
      </c>
      <c r="N521" s="84">
        <v>46011</v>
      </c>
      <c r="O521" t="s">
        <v>191</v>
      </c>
      <c r="P521" t="s">
        <v>192</v>
      </c>
      <c r="Q521">
        <v>11700</v>
      </c>
      <c r="R521">
        <v>40</v>
      </c>
      <c r="S521">
        <v>468000</v>
      </c>
      <c r="T521">
        <v>0</v>
      </c>
      <c r="U521">
        <v>0</v>
      </c>
      <c r="V521">
        <v>40</v>
      </c>
      <c r="W521">
        <v>468000</v>
      </c>
      <c r="X521">
        <v>6000</v>
      </c>
      <c r="Y521">
        <v>6000</v>
      </c>
      <c r="Z521">
        <v>0</v>
      </c>
      <c r="AA521">
        <v>0</v>
      </c>
      <c r="AB521">
        <v>0</v>
      </c>
      <c r="AC521">
        <v>12000</v>
      </c>
    </row>
    <row r="522" spans="1:29">
      <c r="A522">
        <v>1061</v>
      </c>
      <c r="B522" t="s">
        <v>149</v>
      </c>
      <c r="C522">
        <v>988</v>
      </c>
      <c r="D522" t="s">
        <v>19</v>
      </c>
      <c r="E522" t="str">
        <f t="shared" si="12"/>
        <v>00988</v>
      </c>
      <c r="F522" t="s">
        <v>15</v>
      </c>
      <c r="G522" t="s">
        <v>193</v>
      </c>
      <c r="H522" t="s">
        <v>151</v>
      </c>
      <c r="I522" t="s">
        <v>238</v>
      </c>
      <c r="J522" t="s">
        <v>152</v>
      </c>
      <c r="K522" t="s">
        <v>153</v>
      </c>
      <c r="L522">
        <v>251200595</v>
      </c>
      <c r="M522" s="84">
        <v>46011</v>
      </c>
      <c r="N522" s="84">
        <v>46011</v>
      </c>
      <c r="O522" t="s">
        <v>282</v>
      </c>
      <c r="P522" t="s">
        <v>283</v>
      </c>
      <c r="Q522">
        <v>18880</v>
      </c>
      <c r="R522">
        <v>2</v>
      </c>
      <c r="S522">
        <v>37760</v>
      </c>
      <c r="T522">
        <v>0</v>
      </c>
      <c r="U522">
        <v>0</v>
      </c>
      <c r="V522">
        <v>2</v>
      </c>
      <c r="W522">
        <v>37760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</row>
    <row r="523" spans="1:29">
      <c r="A523">
        <v>1062</v>
      </c>
      <c r="B523" t="s">
        <v>149</v>
      </c>
      <c r="C523">
        <v>988</v>
      </c>
      <c r="D523" t="s">
        <v>19</v>
      </c>
      <c r="E523" t="str">
        <f t="shared" si="12"/>
        <v>00988</v>
      </c>
      <c r="F523" t="s">
        <v>15</v>
      </c>
      <c r="G523" t="s">
        <v>193</v>
      </c>
      <c r="H523" t="s">
        <v>151</v>
      </c>
      <c r="I523" t="s">
        <v>231</v>
      </c>
      <c r="J523" t="s">
        <v>152</v>
      </c>
      <c r="K523" t="s">
        <v>153</v>
      </c>
      <c r="L523">
        <v>251200595</v>
      </c>
      <c r="M523" s="84">
        <v>46011</v>
      </c>
      <c r="N523" s="84">
        <v>46011</v>
      </c>
      <c r="O523" t="s">
        <v>233</v>
      </c>
      <c r="P523" t="s">
        <v>118</v>
      </c>
      <c r="Q523">
        <v>4486</v>
      </c>
      <c r="R523">
        <v>5</v>
      </c>
      <c r="S523">
        <v>22430</v>
      </c>
      <c r="T523">
        <v>0</v>
      </c>
      <c r="U523">
        <v>0</v>
      </c>
      <c r="V523">
        <v>5</v>
      </c>
      <c r="W523">
        <v>22430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 spans="1:29">
      <c r="A524">
        <v>1063</v>
      </c>
      <c r="B524" t="s">
        <v>149</v>
      </c>
      <c r="C524">
        <v>988</v>
      </c>
      <c r="D524" t="s">
        <v>19</v>
      </c>
      <c r="E524" t="str">
        <f t="shared" si="12"/>
        <v>00988</v>
      </c>
      <c r="F524" t="s">
        <v>15</v>
      </c>
      <c r="G524" t="s">
        <v>193</v>
      </c>
      <c r="H524" t="s">
        <v>151</v>
      </c>
      <c r="I524" t="s">
        <v>231</v>
      </c>
      <c r="J524" t="s">
        <v>152</v>
      </c>
      <c r="K524" t="s">
        <v>153</v>
      </c>
      <c r="L524">
        <v>251200595</v>
      </c>
      <c r="M524" s="84">
        <v>46011</v>
      </c>
      <c r="N524" s="84">
        <v>46011</v>
      </c>
      <c r="O524" t="s">
        <v>234</v>
      </c>
      <c r="P524" t="s">
        <v>235</v>
      </c>
      <c r="Q524">
        <v>10432</v>
      </c>
      <c r="R524">
        <v>5</v>
      </c>
      <c r="S524">
        <v>52160</v>
      </c>
      <c r="T524">
        <v>0</v>
      </c>
      <c r="U524">
        <v>0</v>
      </c>
      <c r="V524">
        <v>5</v>
      </c>
      <c r="W524">
        <v>52160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 spans="1:29">
      <c r="A525">
        <v>1064</v>
      </c>
      <c r="B525" t="s">
        <v>149</v>
      </c>
      <c r="C525">
        <v>988</v>
      </c>
      <c r="D525" t="s">
        <v>19</v>
      </c>
      <c r="E525" t="str">
        <f t="shared" si="12"/>
        <v>00988</v>
      </c>
      <c r="F525" t="s">
        <v>15</v>
      </c>
      <c r="G525" t="s">
        <v>193</v>
      </c>
      <c r="H525" t="s">
        <v>151</v>
      </c>
      <c r="I525" t="s">
        <v>5</v>
      </c>
      <c r="J525" t="s">
        <v>152</v>
      </c>
      <c r="K525" t="s">
        <v>153</v>
      </c>
      <c r="L525">
        <v>251200595</v>
      </c>
      <c r="M525" s="84">
        <v>46011</v>
      </c>
      <c r="N525" s="84">
        <v>46011</v>
      </c>
      <c r="O525" t="s">
        <v>191</v>
      </c>
      <c r="P525" t="s">
        <v>192</v>
      </c>
      <c r="Q525">
        <v>11700</v>
      </c>
      <c r="R525">
        <v>40</v>
      </c>
      <c r="S525">
        <v>468000</v>
      </c>
      <c r="T525">
        <v>0</v>
      </c>
      <c r="U525">
        <v>0</v>
      </c>
      <c r="V525">
        <v>40</v>
      </c>
      <c r="W525">
        <v>468000</v>
      </c>
      <c r="X525">
        <v>6000</v>
      </c>
      <c r="Y525">
        <v>6000</v>
      </c>
      <c r="Z525">
        <v>0</v>
      </c>
      <c r="AA525">
        <v>0</v>
      </c>
      <c r="AB525">
        <v>0</v>
      </c>
      <c r="AC525">
        <v>12000</v>
      </c>
    </row>
    <row r="526" spans="1:29">
      <c r="A526">
        <v>1065</v>
      </c>
      <c r="B526" t="s">
        <v>149</v>
      </c>
      <c r="C526">
        <v>988</v>
      </c>
      <c r="D526" t="s">
        <v>19</v>
      </c>
      <c r="E526" t="str">
        <f t="shared" si="12"/>
        <v>00988</v>
      </c>
      <c r="F526" t="s">
        <v>15</v>
      </c>
      <c r="G526" t="s">
        <v>193</v>
      </c>
      <c r="H526" t="s">
        <v>151</v>
      </c>
      <c r="I526" t="s">
        <v>238</v>
      </c>
      <c r="J526" t="s">
        <v>152</v>
      </c>
      <c r="K526" t="s">
        <v>153</v>
      </c>
      <c r="L526">
        <v>251200595</v>
      </c>
      <c r="M526" s="84">
        <v>46011</v>
      </c>
      <c r="N526" s="84">
        <v>46011</v>
      </c>
      <c r="O526" t="s">
        <v>247</v>
      </c>
      <c r="P526" t="s">
        <v>116</v>
      </c>
      <c r="Q526">
        <v>10982</v>
      </c>
      <c r="R526">
        <v>1</v>
      </c>
      <c r="S526">
        <v>10982</v>
      </c>
      <c r="T526">
        <v>0</v>
      </c>
      <c r="U526">
        <v>0</v>
      </c>
      <c r="V526">
        <v>1</v>
      </c>
      <c r="W526">
        <v>10982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 spans="1:29">
      <c r="A527">
        <v>1066</v>
      </c>
      <c r="B527" t="s">
        <v>149</v>
      </c>
      <c r="C527">
        <v>988</v>
      </c>
      <c r="D527" t="s">
        <v>19</v>
      </c>
      <c r="E527" t="str">
        <f t="shared" si="12"/>
        <v>00988</v>
      </c>
      <c r="F527" t="s">
        <v>15</v>
      </c>
      <c r="G527" t="s">
        <v>193</v>
      </c>
      <c r="H527" t="s">
        <v>151</v>
      </c>
      <c r="I527" t="s">
        <v>231</v>
      </c>
      <c r="J527" t="s">
        <v>152</v>
      </c>
      <c r="K527" t="s">
        <v>153</v>
      </c>
      <c r="L527">
        <v>251200595</v>
      </c>
      <c r="M527" s="84">
        <v>46011</v>
      </c>
      <c r="N527" s="84">
        <v>46011</v>
      </c>
      <c r="O527" t="s">
        <v>232</v>
      </c>
      <c r="P527" t="s">
        <v>122</v>
      </c>
      <c r="Q527">
        <v>6213</v>
      </c>
      <c r="R527">
        <v>2</v>
      </c>
      <c r="S527">
        <v>12426</v>
      </c>
      <c r="T527">
        <v>0</v>
      </c>
      <c r="U527">
        <v>0</v>
      </c>
      <c r="V527">
        <v>2</v>
      </c>
      <c r="W527">
        <v>12426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 spans="1:29">
      <c r="A528">
        <v>1069</v>
      </c>
      <c r="B528" t="s">
        <v>149</v>
      </c>
      <c r="C528">
        <v>1604</v>
      </c>
      <c r="D528" t="s">
        <v>60</v>
      </c>
      <c r="E528" t="str">
        <f t="shared" si="12"/>
        <v>01604</v>
      </c>
      <c r="F528" t="s">
        <v>49</v>
      </c>
      <c r="G528" t="s">
        <v>167</v>
      </c>
      <c r="H528" t="s">
        <v>151</v>
      </c>
      <c r="I528" t="s">
        <v>4</v>
      </c>
      <c r="J528" t="s">
        <v>152</v>
      </c>
      <c r="K528" t="s">
        <v>153</v>
      </c>
      <c r="L528">
        <v>251200597</v>
      </c>
      <c r="M528" s="84">
        <v>46011</v>
      </c>
      <c r="N528" s="84">
        <v>46011</v>
      </c>
      <c r="O528" t="s">
        <v>219</v>
      </c>
      <c r="P528" t="s">
        <v>220</v>
      </c>
      <c r="Q528">
        <v>14250</v>
      </c>
      <c r="R528">
        <v>4</v>
      </c>
      <c r="S528">
        <v>57000</v>
      </c>
      <c r="T528">
        <v>0</v>
      </c>
      <c r="U528">
        <v>0</v>
      </c>
      <c r="V528">
        <v>4</v>
      </c>
      <c r="W528">
        <v>57000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 spans="1:29">
      <c r="A529">
        <v>1070</v>
      </c>
      <c r="B529" t="s">
        <v>149</v>
      </c>
      <c r="C529">
        <v>1261</v>
      </c>
      <c r="D529" t="s">
        <v>61</v>
      </c>
      <c r="E529" t="str">
        <f t="shared" si="12"/>
        <v>01261</v>
      </c>
      <c r="F529" t="s">
        <v>49</v>
      </c>
      <c r="G529" t="s">
        <v>167</v>
      </c>
      <c r="H529" t="s">
        <v>151</v>
      </c>
      <c r="I529" t="s">
        <v>4</v>
      </c>
      <c r="J529" t="s">
        <v>152</v>
      </c>
      <c r="K529" t="s">
        <v>153</v>
      </c>
      <c r="L529">
        <v>251200598</v>
      </c>
      <c r="M529" s="84">
        <v>46011</v>
      </c>
      <c r="N529" s="84">
        <v>46011</v>
      </c>
      <c r="O529" t="s">
        <v>160</v>
      </c>
      <c r="P529" t="s">
        <v>161</v>
      </c>
      <c r="Q529">
        <v>14250</v>
      </c>
      <c r="R529">
        <v>12</v>
      </c>
      <c r="S529">
        <v>171000</v>
      </c>
      <c r="T529">
        <v>0</v>
      </c>
      <c r="U529">
        <v>0</v>
      </c>
      <c r="V529">
        <v>12</v>
      </c>
      <c r="W529">
        <v>171000</v>
      </c>
      <c r="X529">
        <v>1800</v>
      </c>
      <c r="Y529">
        <v>2400</v>
      </c>
      <c r="Z529">
        <v>0</v>
      </c>
      <c r="AA529">
        <v>0</v>
      </c>
      <c r="AB529">
        <v>0</v>
      </c>
      <c r="AC529">
        <v>4200</v>
      </c>
    </row>
    <row r="530" spans="1:29">
      <c r="A530">
        <v>1071</v>
      </c>
      <c r="B530" t="s">
        <v>149</v>
      </c>
      <c r="C530">
        <v>1132</v>
      </c>
      <c r="D530" t="s">
        <v>303</v>
      </c>
      <c r="E530" t="str">
        <f t="shared" si="12"/>
        <v>01132</v>
      </c>
      <c r="F530" t="s">
        <v>95</v>
      </c>
      <c r="G530" t="s">
        <v>187</v>
      </c>
      <c r="H530" t="s">
        <v>188</v>
      </c>
      <c r="I530" t="s">
        <v>210</v>
      </c>
      <c r="J530" t="s">
        <v>152</v>
      </c>
      <c r="K530" t="s">
        <v>159</v>
      </c>
      <c r="L530">
        <v>251200599</v>
      </c>
      <c r="M530" s="84">
        <v>46011</v>
      </c>
      <c r="N530" s="84">
        <v>46011</v>
      </c>
      <c r="O530" t="s">
        <v>213</v>
      </c>
      <c r="P530" t="s">
        <v>214</v>
      </c>
      <c r="Q530">
        <v>21750</v>
      </c>
      <c r="R530">
        <v>1</v>
      </c>
      <c r="S530">
        <v>21750</v>
      </c>
      <c r="T530">
        <v>0</v>
      </c>
      <c r="U530">
        <v>0</v>
      </c>
      <c r="V530">
        <v>1</v>
      </c>
      <c r="W530">
        <v>21750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 spans="1:29">
      <c r="A531">
        <v>1080</v>
      </c>
      <c r="B531" t="s">
        <v>149</v>
      </c>
      <c r="C531">
        <v>827</v>
      </c>
      <c r="D531" t="s">
        <v>84</v>
      </c>
      <c r="E531" t="str">
        <f t="shared" si="12"/>
        <v>00827</v>
      </c>
      <c r="F531" t="s">
        <v>83</v>
      </c>
      <c r="G531" t="s">
        <v>164</v>
      </c>
      <c r="H531" t="s">
        <v>151</v>
      </c>
      <c r="I531" t="s">
        <v>4</v>
      </c>
      <c r="J531" t="s">
        <v>152</v>
      </c>
      <c r="K531" t="s">
        <v>153</v>
      </c>
      <c r="L531">
        <v>251200606</v>
      </c>
      <c r="M531" s="84">
        <v>46012</v>
      </c>
      <c r="N531" s="84">
        <v>46012</v>
      </c>
      <c r="O531" t="s">
        <v>177</v>
      </c>
      <c r="P531" t="s">
        <v>178</v>
      </c>
      <c r="Q531">
        <v>14250</v>
      </c>
      <c r="R531">
        <v>4</v>
      </c>
      <c r="S531">
        <v>57000</v>
      </c>
      <c r="T531">
        <v>0</v>
      </c>
      <c r="U531">
        <v>0</v>
      </c>
      <c r="V531">
        <v>4</v>
      </c>
      <c r="W531">
        <v>57000</v>
      </c>
      <c r="X531">
        <v>600</v>
      </c>
      <c r="Y531">
        <v>800</v>
      </c>
      <c r="Z531">
        <v>0</v>
      </c>
      <c r="AA531">
        <v>0</v>
      </c>
      <c r="AB531">
        <v>0</v>
      </c>
      <c r="AC531">
        <v>1400</v>
      </c>
    </row>
    <row r="532" spans="1:29">
      <c r="A532">
        <v>1081</v>
      </c>
      <c r="B532" t="s">
        <v>149</v>
      </c>
      <c r="C532">
        <v>827</v>
      </c>
      <c r="D532" t="s">
        <v>84</v>
      </c>
      <c r="E532" t="str">
        <f t="shared" si="12"/>
        <v>00827</v>
      </c>
      <c r="F532" t="s">
        <v>83</v>
      </c>
      <c r="G532" t="s">
        <v>164</v>
      </c>
      <c r="H532" t="s">
        <v>151</v>
      </c>
      <c r="I532" t="s">
        <v>5</v>
      </c>
      <c r="J532" t="s">
        <v>152</v>
      </c>
      <c r="K532" t="s">
        <v>153</v>
      </c>
      <c r="L532">
        <v>251200606</v>
      </c>
      <c r="M532" s="84">
        <v>46012</v>
      </c>
      <c r="N532" s="84">
        <v>46012</v>
      </c>
      <c r="O532" t="s">
        <v>191</v>
      </c>
      <c r="P532" t="s">
        <v>192</v>
      </c>
      <c r="Q532">
        <v>11700</v>
      </c>
      <c r="R532">
        <v>4</v>
      </c>
      <c r="S532">
        <v>46800</v>
      </c>
      <c r="T532">
        <v>0</v>
      </c>
      <c r="U532">
        <v>0</v>
      </c>
      <c r="V532">
        <v>4</v>
      </c>
      <c r="W532">
        <v>46800</v>
      </c>
      <c r="X532">
        <v>600</v>
      </c>
      <c r="Y532">
        <v>600</v>
      </c>
      <c r="Z532">
        <v>0</v>
      </c>
      <c r="AA532">
        <v>0</v>
      </c>
      <c r="AB532">
        <v>0</v>
      </c>
      <c r="AC532">
        <v>1200</v>
      </c>
    </row>
    <row r="533" spans="1:29">
      <c r="A533">
        <v>1082</v>
      </c>
      <c r="B533" t="s">
        <v>149</v>
      </c>
      <c r="C533">
        <v>337</v>
      </c>
      <c r="D533" t="s">
        <v>57</v>
      </c>
      <c r="E533" t="str">
        <f t="shared" si="12"/>
        <v>00337</v>
      </c>
      <c r="F533" t="s">
        <v>49</v>
      </c>
      <c r="G533" t="s">
        <v>167</v>
      </c>
      <c r="H533" t="s">
        <v>151</v>
      </c>
      <c r="I533" t="s">
        <v>4</v>
      </c>
      <c r="J533" t="s">
        <v>152</v>
      </c>
      <c r="K533" t="s">
        <v>153</v>
      </c>
      <c r="L533">
        <v>251200607</v>
      </c>
      <c r="M533" s="84">
        <v>46012</v>
      </c>
      <c r="N533" s="84">
        <v>46012</v>
      </c>
      <c r="O533" t="s">
        <v>160</v>
      </c>
      <c r="P533" t="s">
        <v>161</v>
      </c>
      <c r="Q533">
        <v>14250</v>
      </c>
      <c r="R533">
        <v>20</v>
      </c>
      <c r="S533">
        <v>285000</v>
      </c>
      <c r="T533">
        <v>0</v>
      </c>
      <c r="U533">
        <v>0</v>
      </c>
      <c r="V533">
        <v>20</v>
      </c>
      <c r="W533">
        <v>285000</v>
      </c>
      <c r="X533">
        <v>3000</v>
      </c>
      <c r="Y533">
        <v>4000</v>
      </c>
      <c r="Z533">
        <v>0</v>
      </c>
      <c r="AA533">
        <v>0</v>
      </c>
      <c r="AB533">
        <v>0</v>
      </c>
      <c r="AC533">
        <v>7000</v>
      </c>
    </row>
    <row r="534" spans="1:29">
      <c r="A534">
        <v>1083</v>
      </c>
      <c r="B534" t="s">
        <v>149</v>
      </c>
      <c r="C534">
        <v>1149</v>
      </c>
      <c r="D534" t="s">
        <v>55</v>
      </c>
      <c r="E534" t="str">
        <f t="shared" si="12"/>
        <v>01149</v>
      </c>
      <c r="F534" t="s">
        <v>49</v>
      </c>
      <c r="G534" t="s">
        <v>167</v>
      </c>
      <c r="H534" t="s">
        <v>151</v>
      </c>
      <c r="I534" t="s">
        <v>4</v>
      </c>
      <c r="J534" t="s">
        <v>152</v>
      </c>
      <c r="K534" t="s">
        <v>153</v>
      </c>
      <c r="L534">
        <v>251200608</v>
      </c>
      <c r="M534" s="84">
        <v>46012</v>
      </c>
      <c r="N534" s="84">
        <v>46012</v>
      </c>
      <c r="O534" t="s">
        <v>168</v>
      </c>
      <c r="P534" t="s">
        <v>169</v>
      </c>
      <c r="Q534">
        <v>14250</v>
      </c>
      <c r="R534">
        <v>12</v>
      </c>
      <c r="S534">
        <v>171000</v>
      </c>
      <c r="T534">
        <v>0</v>
      </c>
      <c r="U534">
        <v>0</v>
      </c>
      <c r="V534">
        <v>12</v>
      </c>
      <c r="W534">
        <v>171000</v>
      </c>
      <c r="X534">
        <v>1800</v>
      </c>
      <c r="Y534">
        <v>2400</v>
      </c>
      <c r="Z534">
        <v>0</v>
      </c>
      <c r="AA534">
        <v>0</v>
      </c>
      <c r="AB534">
        <v>0</v>
      </c>
      <c r="AC534">
        <v>4200</v>
      </c>
    </row>
    <row r="535" spans="1:29">
      <c r="A535">
        <v>1092</v>
      </c>
      <c r="B535" t="s">
        <v>149</v>
      </c>
      <c r="C535">
        <v>1605</v>
      </c>
      <c r="D535" t="s">
        <v>304</v>
      </c>
      <c r="E535" t="str">
        <f t="shared" si="12"/>
        <v>01605</v>
      </c>
      <c r="F535" t="s">
        <v>15</v>
      </c>
      <c r="G535" t="s">
        <v>193</v>
      </c>
      <c r="H535" t="s">
        <v>151</v>
      </c>
      <c r="I535" t="s">
        <v>231</v>
      </c>
      <c r="J535" t="s">
        <v>152</v>
      </c>
      <c r="K535" t="s">
        <v>153</v>
      </c>
      <c r="L535">
        <v>251200613</v>
      </c>
      <c r="M535" s="84">
        <v>46012</v>
      </c>
      <c r="N535" s="84">
        <v>46012</v>
      </c>
      <c r="O535" t="s">
        <v>233</v>
      </c>
      <c r="P535" t="s">
        <v>118</v>
      </c>
      <c r="Q535">
        <v>4486</v>
      </c>
      <c r="R535">
        <v>3</v>
      </c>
      <c r="S535">
        <v>13458</v>
      </c>
      <c r="T535">
        <v>0</v>
      </c>
      <c r="U535">
        <v>0</v>
      </c>
      <c r="V535">
        <v>3</v>
      </c>
      <c r="W535">
        <v>13458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 spans="1:29">
      <c r="A536">
        <v>1093</v>
      </c>
      <c r="B536" t="s">
        <v>149</v>
      </c>
      <c r="C536">
        <v>1605</v>
      </c>
      <c r="D536" t="s">
        <v>304</v>
      </c>
      <c r="E536" t="str">
        <f t="shared" si="12"/>
        <v>01605</v>
      </c>
      <c r="F536" t="s">
        <v>15</v>
      </c>
      <c r="G536" t="s">
        <v>193</v>
      </c>
      <c r="H536" t="s">
        <v>151</v>
      </c>
      <c r="I536" t="s">
        <v>238</v>
      </c>
      <c r="J536" t="s">
        <v>152</v>
      </c>
      <c r="K536" t="s">
        <v>153</v>
      </c>
      <c r="L536">
        <v>251200613</v>
      </c>
      <c r="M536" s="84">
        <v>46012</v>
      </c>
      <c r="N536" s="84">
        <v>46012</v>
      </c>
      <c r="O536" t="s">
        <v>247</v>
      </c>
      <c r="P536" t="s">
        <v>116</v>
      </c>
      <c r="Q536">
        <v>10982</v>
      </c>
      <c r="R536">
        <v>1</v>
      </c>
      <c r="S536">
        <v>10982</v>
      </c>
      <c r="T536">
        <v>0</v>
      </c>
      <c r="U536">
        <v>0</v>
      </c>
      <c r="V536">
        <v>1</v>
      </c>
      <c r="W536">
        <v>10982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 spans="1:29">
      <c r="A537">
        <v>1095</v>
      </c>
      <c r="B537" t="s">
        <v>149</v>
      </c>
      <c r="C537">
        <v>471</v>
      </c>
      <c r="D537" t="s">
        <v>25</v>
      </c>
      <c r="E537" t="str">
        <f t="shared" si="12"/>
        <v>00471</v>
      </c>
      <c r="F537" t="s">
        <v>20</v>
      </c>
      <c r="G537" t="s">
        <v>193</v>
      </c>
      <c r="H537" t="s">
        <v>151</v>
      </c>
      <c r="I537" t="s">
        <v>4</v>
      </c>
      <c r="J537" t="s">
        <v>152</v>
      </c>
      <c r="K537" t="s">
        <v>236</v>
      </c>
      <c r="L537">
        <v>251200615</v>
      </c>
      <c r="M537" s="84">
        <v>46012</v>
      </c>
      <c r="N537" s="84">
        <v>46012</v>
      </c>
      <c r="O537" t="s">
        <v>179</v>
      </c>
      <c r="P537" t="s">
        <v>180</v>
      </c>
      <c r="Q537">
        <v>14250</v>
      </c>
      <c r="R537">
        <v>20</v>
      </c>
      <c r="S537">
        <v>285000</v>
      </c>
      <c r="T537">
        <v>0</v>
      </c>
      <c r="U537">
        <v>0</v>
      </c>
      <c r="V537">
        <v>20</v>
      </c>
      <c r="W537">
        <v>285000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</row>
    <row r="538" spans="1:29">
      <c r="A538">
        <v>1096</v>
      </c>
      <c r="B538" t="s">
        <v>149</v>
      </c>
      <c r="C538">
        <v>325</v>
      </c>
      <c r="D538" t="s">
        <v>34</v>
      </c>
      <c r="E538" t="str">
        <f t="shared" si="12"/>
        <v>00325</v>
      </c>
      <c r="F538" t="s">
        <v>28</v>
      </c>
      <c r="G538" t="s">
        <v>164</v>
      </c>
      <c r="H538" t="s">
        <v>151</v>
      </c>
      <c r="I538" t="s">
        <v>4</v>
      </c>
      <c r="J538" t="s">
        <v>152</v>
      </c>
      <c r="K538" t="s">
        <v>153</v>
      </c>
      <c r="L538">
        <v>251200616</v>
      </c>
      <c r="M538" s="84">
        <v>46012</v>
      </c>
      <c r="N538" s="84">
        <v>46012</v>
      </c>
      <c r="O538" t="s">
        <v>179</v>
      </c>
      <c r="P538" t="s">
        <v>180</v>
      </c>
      <c r="Q538">
        <v>14250</v>
      </c>
      <c r="R538">
        <v>10</v>
      </c>
      <c r="S538">
        <v>142500</v>
      </c>
      <c r="T538">
        <v>0</v>
      </c>
      <c r="U538">
        <v>0</v>
      </c>
      <c r="V538">
        <v>10</v>
      </c>
      <c r="W538">
        <v>142500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</row>
    <row r="539" spans="1:29">
      <c r="A539">
        <v>1097</v>
      </c>
      <c r="B539" t="s">
        <v>149</v>
      </c>
      <c r="C539">
        <v>325</v>
      </c>
      <c r="D539" t="s">
        <v>34</v>
      </c>
      <c r="E539" t="str">
        <f t="shared" si="12"/>
        <v>00325</v>
      </c>
      <c r="F539" t="s">
        <v>28</v>
      </c>
      <c r="G539" t="s">
        <v>164</v>
      </c>
      <c r="H539" t="s">
        <v>151</v>
      </c>
      <c r="I539" t="s">
        <v>4</v>
      </c>
      <c r="J539" t="s">
        <v>152</v>
      </c>
      <c r="K539" t="s">
        <v>153</v>
      </c>
      <c r="L539">
        <v>251200616</v>
      </c>
      <c r="M539" s="84">
        <v>46012</v>
      </c>
      <c r="N539" s="84">
        <v>46012</v>
      </c>
      <c r="O539" t="s">
        <v>177</v>
      </c>
      <c r="P539" t="s">
        <v>178</v>
      </c>
      <c r="Q539">
        <v>14250</v>
      </c>
      <c r="R539">
        <v>10</v>
      </c>
      <c r="S539">
        <v>142500</v>
      </c>
      <c r="T539">
        <v>0</v>
      </c>
      <c r="U539">
        <v>0</v>
      </c>
      <c r="V539">
        <v>10</v>
      </c>
      <c r="W539">
        <v>142500</v>
      </c>
      <c r="X539">
        <v>1500</v>
      </c>
      <c r="Y539">
        <v>2000</v>
      </c>
      <c r="Z539">
        <v>0</v>
      </c>
      <c r="AA539">
        <v>0</v>
      </c>
      <c r="AB539">
        <v>0</v>
      </c>
      <c r="AC539">
        <v>3500</v>
      </c>
    </row>
    <row r="540" spans="1:29">
      <c r="A540">
        <v>1098</v>
      </c>
      <c r="B540" t="s">
        <v>149</v>
      </c>
      <c r="C540">
        <v>329</v>
      </c>
      <c r="D540" t="s">
        <v>32</v>
      </c>
      <c r="E540" t="str">
        <f t="shared" si="12"/>
        <v>00329</v>
      </c>
      <c r="F540" t="s">
        <v>28</v>
      </c>
      <c r="G540" t="s">
        <v>164</v>
      </c>
      <c r="H540" t="s">
        <v>151</v>
      </c>
      <c r="I540" t="s">
        <v>4</v>
      </c>
      <c r="J540" t="s">
        <v>152</v>
      </c>
      <c r="K540" t="s">
        <v>153</v>
      </c>
      <c r="L540">
        <v>251200617</v>
      </c>
      <c r="M540" s="84">
        <v>46012</v>
      </c>
      <c r="N540" s="84">
        <v>46012</v>
      </c>
      <c r="O540" t="s">
        <v>215</v>
      </c>
      <c r="P540" t="s">
        <v>216</v>
      </c>
      <c r="Q540">
        <v>14250</v>
      </c>
      <c r="R540">
        <v>12</v>
      </c>
      <c r="S540">
        <v>171000</v>
      </c>
      <c r="T540">
        <v>0</v>
      </c>
      <c r="U540">
        <v>0</v>
      </c>
      <c r="V540">
        <v>12</v>
      </c>
      <c r="W540">
        <v>171000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</row>
    <row r="541" spans="1:29">
      <c r="A541">
        <v>1101</v>
      </c>
      <c r="B541" t="s">
        <v>149</v>
      </c>
      <c r="C541">
        <v>1108</v>
      </c>
      <c r="D541" t="s">
        <v>107</v>
      </c>
      <c r="E541" t="str">
        <f t="shared" si="12"/>
        <v>01108</v>
      </c>
      <c r="F541" t="s">
        <v>103</v>
      </c>
      <c r="G541" t="s">
        <v>167</v>
      </c>
      <c r="H541" t="s">
        <v>151</v>
      </c>
      <c r="I541" t="s">
        <v>4</v>
      </c>
      <c r="J541" t="s">
        <v>152</v>
      </c>
      <c r="K541" t="s">
        <v>153</v>
      </c>
      <c r="L541">
        <v>251200620</v>
      </c>
      <c r="M541" s="84">
        <v>46012</v>
      </c>
      <c r="N541" s="84">
        <v>46012</v>
      </c>
      <c r="O541" t="s">
        <v>160</v>
      </c>
      <c r="P541" t="s">
        <v>161</v>
      </c>
      <c r="Q541">
        <v>14250</v>
      </c>
      <c r="R541">
        <v>50</v>
      </c>
      <c r="S541">
        <v>712500</v>
      </c>
      <c r="T541">
        <v>0</v>
      </c>
      <c r="U541">
        <v>0</v>
      </c>
      <c r="V541">
        <v>50</v>
      </c>
      <c r="W541">
        <v>712500</v>
      </c>
      <c r="X541">
        <v>7500</v>
      </c>
      <c r="Y541">
        <v>10000</v>
      </c>
      <c r="Z541">
        <v>0</v>
      </c>
      <c r="AA541">
        <v>0</v>
      </c>
      <c r="AB541">
        <v>0</v>
      </c>
      <c r="AC541">
        <v>17500</v>
      </c>
    </row>
    <row r="542" spans="1:29">
      <c r="A542">
        <v>1108</v>
      </c>
      <c r="B542" t="s">
        <v>149</v>
      </c>
      <c r="C542">
        <v>1435</v>
      </c>
      <c r="D542" t="s">
        <v>72</v>
      </c>
      <c r="E542" t="str">
        <f t="shared" si="12"/>
        <v>01435</v>
      </c>
      <c r="F542" t="s">
        <v>71</v>
      </c>
      <c r="G542" t="s">
        <v>305</v>
      </c>
      <c r="H542" t="s">
        <v>157</v>
      </c>
      <c r="I542" t="s">
        <v>4</v>
      </c>
      <c r="J542" t="s">
        <v>152</v>
      </c>
      <c r="K542" t="s">
        <v>174</v>
      </c>
      <c r="L542">
        <v>251200626</v>
      </c>
      <c r="M542" s="84">
        <v>46012</v>
      </c>
      <c r="N542" s="84">
        <v>46012</v>
      </c>
      <c r="O542" t="s">
        <v>290</v>
      </c>
      <c r="P542" t="s">
        <v>291</v>
      </c>
      <c r="Q542">
        <v>14250</v>
      </c>
      <c r="R542">
        <v>10</v>
      </c>
      <c r="S542">
        <v>142500</v>
      </c>
      <c r="T542">
        <v>0</v>
      </c>
      <c r="U542">
        <v>0</v>
      </c>
      <c r="V542">
        <v>10</v>
      </c>
      <c r="W542">
        <v>142500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 spans="1:29">
      <c r="A543">
        <v>1111</v>
      </c>
      <c r="B543" t="s">
        <v>149</v>
      </c>
      <c r="C543">
        <v>496</v>
      </c>
      <c r="D543" t="s">
        <v>8</v>
      </c>
      <c r="E543" t="str">
        <f t="shared" si="12"/>
        <v>00496</v>
      </c>
      <c r="F543" t="s">
        <v>7</v>
      </c>
      <c r="G543" t="s">
        <v>156</v>
      </c>
      <c r="H543" t="s">
        <v>157</v>
      </c>
      <c r="I543" t="s">
        <v>5</v>
      </c>
      <c r="J543" t="s">
        <v>152</v>
      </c>
      <c r="K543" t="s">
        <v>159</v>
      </c>
      <c r="L543">
        <v>251200628</v>
      </c>
      <c r="M543" s="84">
        <v>46012</v>
      </c>
      <c r="N543" s="84">
        <v>46012</v>
      </c>
      <c r="O543" t="s">
        <v>191</v>
      </c>
      <c r="P543" t="s">
        <v>192</v>
      </c>
      <c r="Q543">
        <v>11700</v>
      </c>
      <c r="R543">
        <v>20</v>
      </c>
      <c r="S543">
        <v>234000</v>
      </c>
      <c r="T543">
        <v>0</v>
      </c>
      <c r="U543">
        <v>0</v>
      </c>
      <c r="V543">
        <v>20</v>
      </c>
      <c r="W543">
        <v>234000</v>
      </c>
      <c r="X543">
        <v>3000</v>
      </c>
      <c r="Y543">
        <v>3000</v>
      </c>
      <c r="Z543">
        <v>0</v>
      </c>
      <c r="AA543">
        <v>0</v>
      </c>
      <c r="AB543">
        <v>0</v>
      </c>
      <c r="AC543">
        <v>6000</v>
      </c>
    </row>
    <row r="544" spans="1:29">
      <c r="A544">
        <v>1119</v>
      </c>
      <c r="B544" t="s">
        <v>149</v>
      </c>
      <c r="C544">
        <v>398</v>
      </c>
      <c r="D544" t="s">
        <v>105</v>
      </c>
      <c r="E544" t="str">
        <f t="shared" si="12"/>
        <v>00398</v>
      </c>
      <c r="F544" t="s">
        <v>103</v>
      </c>
      <c r="G544" t="s">
        <v>167</v>
      </c>
      <c r="H544" t="s">
        <v>151</v>
      </c>
      <c r="I544" t="s">
        <v>4</v>
      </c>
      <c r="J544" t="s">
        <v>152</v>
      </c>
      <c r="K544" t="s">
        <v>153</v>
      </c>
      <c r="L544">
        <v>251200642</v>
      </c>
      <c r="M544" s="84">
        <v>46013</v>
      </c>
      <c r="N544" s="84">
        <v>46013</v>
      </c>
      <c r="O544" t="s">
        <v>160</v>
      </c>
      <c r="P544" t="s">
        <v>161</v>
      </c>
      <c r="Q544">
        <v>14250</v>
      </c>
      <c r="R544">
        <v>150</v>
      </c>
      <c r="S544">
        <v>2137500</v>
      </c>
      <c r="T544">
        <v>0</v>
      </c>
      <c r="U544">
        <v>0</v>
      </c>
      <c r="V544">
        <v>150</v>
      </c>
      <c r="W544">
        <v>2137500</v>
      </c>
      <c r="X544">
        <v>22500</v>
      </c>
      <c r="Y544">
        <v>30000</v>
      </c>
      <c r="Z544">
        <v>0</v>
      </c>
      <c r="AA544">
        <v>0</v>
      </c>
      <c r="AB544">
        <v>0</v>
      </c>
      <c r="AC544">
        <v>52500</v>
      </c>
    </row>
    <row r="545" spans="1:29">
      <c r="A545">
        <v>1120</v>
      </c>
      <c r="B545" t="s">
        <v>149</v>
      </c>
      <c r="C545">
        <v>398</v>
      </c>
      <c r="D545" t="s">
        <v>105</v>
      </c>
      <c r="E545" t="str">
        <f t="shared" si="12"/>
        <v>00398</v>
      </c>
      <c r="F545" t="s">
        <v>103</v>
      </c>
      <c r="G545" t="s">
        <v>167</v>
      </c>
      <c r="H545" t="s">
        <v>151</v>
      </c>
      <c r="I545" t="s">
        <v>4</v>
      </c>
      <c r="J545" t="s">
        <v>152</v>
      </c>
      <c r="K545" t="s">
        <v>153</v>
      </c>
      <c r="L545">
        <v>251200642</v>
      </c>
      <c r="M545" s="84">
        <v>46013</v>
      </c>
      <c r="N545" s="84">
        <v>46013</v>
      </c>
      <c r="O545" t="s">
        <v>200</v>
      </c>
      <c r="P545" t="s">
        <v>201</v>
      </c>
      <c r="Q545">
        <v>14250</v>
      </c>
      <c r="R545">
        <v>20</v>
      </c>
      <c r="S545">
        <v>285000</v>
      </c>
      <c r="T545">
        <v>0</v>
      </c>
      <c r="U545">
        <v>0</v>
      </c>
      <c r="V545">
        <v>20</v>
      </c>
      <c r="W545">
        <v>285000</v>
      </c>
      <c r="X545">
        <v>3000</v>
      </c>
      <c r="Y545">
        <v>4000</v>
      </c>
      <c r="Z545">
        <v>0</v>
      </c>
      <c r="AA545">
        <v>0</v>
      </c>
      <c r="AB545">
        <v>0</v>
      </c>
      <c r="AC545">
        <v>7000</v>
      </c>
    </row>
    <row r="546" spans="1:29">
      <c r="A546">
        <v>1121</v>
      </c>
      <c r="B546" t="s">
        <v>149</v>
      </c>
      <c r="C546">
        <v>398</v>
      </c>
      <c r="D546" t="s">
        <v>105</v>
      </c>
      <c r="E546" t="str">
        <f t="shared" si="12"/>
        <v>00398</v>
      </c>
      <c r="F546" t="s">
        <v>103</v>
      </c>
      <c r="G546" t="s">
        <v>167</v>
      </c>
      <c r="H546" t="s">
        <v>151</v>
      </c>
      <c r="I546" t="s">
        <v>5</v>
      </c>
      <c r="J546" t="s">
        <v>152</v>
      </c>
      <c r="K546" t="s">
        <v>153</v>
      </c>
      <c r="L546">
        <v>251200642</v>
      </c>
      <c r="M546" s="84">
        <v>46013</v>
      </c>
      <c r="N546" s="84">
        <v>46013</v>
      </c>
      <c r="O546" t="s">
        <v>191</v>
      </c>
      <c r="P546" t="s">
        <v>192</v>
      </c>
      <c r="Q546">
        <v>11700</v>
      </c>
      <c r="R546">
        <v>40</v>
      </c>
      <c r="S546">
        <v>468000</v>
      </c>
      <c r="T546">
        <v>0</v>
      </c>
      <c r="U546">
        <v>0</v>
      </c>
      <c r="V546">
        <v>40</v>
      </c>
      <c r="W546">
        <v>468000</v>
      </c>
      <c r="X546">
        <v>6000</v>
      </c>
      <c r="Y546">
        <v>6000</v>
      </c>
      <c r="Z546">
        <v>0</v>
      </c>
      <c r="AA546">
        <v>0</v>
      </c>
      <c r="AB546">
        <v>0</v>
      </c>
      <c r="AC546">
        <v>12000</v>
      </c>
    </row>
    <row r="547" spans="1:29">
      <c r="A547">
        <v>1128</v>
      </c>
      <c r="B547" t="s">
        <v>149</v>
      </c>
      <c r="C547">
        <v>334</v>
      </c>
      <c r="D547" t="s">
        <v>56</v>
      </c>
      <c r="E547" t="str">
        <f t="shared" si="12"/>
        <v>00334</v>
      </c>
      <c r="F547" t="s">
        <v>49</v>
      </c>
      <c r="G547" t="s">
        <v>167</v>
      </c>
      <c r="H547" t="s">
        <v>151</v>
      </c>
      <c r="I547" t="s">
        <v>4</v>
      </c>
      <c r="J547" t="s">
        <v>152</v>
      </c>
      <c r="K547" t="s">
        <v>153</v>
      </c>
      <c r="L547">
        <v>251200648</v>
      </c>
      <c r="M547" s="84">
        <v>46013</v>
      </c>
      <c r="N547" s="84">
        <v>46013</v>
      </c>
      <c r="O547" t="s">
        <v>177</v>
      </c>
      <c r="P547" t="s">
        <v>178</v>
      </c>
      <c r="Q547">
        <v>14250</v>
      </c>
      <c r="R547">
        <v>15</v>
      </c>
      <c r="S547">
        <v>213750</v>
      </c>
      <c r="T547">
        <v>0</v>
      </c>
      <c r="U547">
        <v>0</v>
      </c>
      <c r="V547">
        <v>15</v>
      </c>
      <c r="W547">
        <v>213750</v>
      </c>
      <c r="X547">
        <v>2250</v>
      </c>
      <c r="Y547">
        <v>3000</v>
      </c>
      <c r="Z547">
        <v>0</v>
      </c>
      <c r="AA547">
        <v>0</v>
      </c>
      <c r="AB547">
        <v>0</v>
      </c>
      <c r="AC547">
        <v>5250</v>
      </c>
    </row>
    <row r="548" spans="1:29">
      <c r="A548">
        <v>1129</v>
      </c>
      <c r="B548" t="s">
        <v>149</v>
      </c>
      <c r="C548">
        <v>334</v>
      </c>
      <c r="D548" t="s">
        <v>56</v>
      </c>
      <c r="E548" t="str">
        <f t="shared" si="12"/>
        <v>00334</v>
      </c>
      <c r="F548" t="s">
        <v>49</v>
      </c>
      <c r="G548" t="s">
        <v>167</v>
      </c>
      <c r="H548" t="s">
        <v>151</v>
      </c>
      <c r="I548" t="s">
        <v>4</v>
      </c>
      <c r="J548" t="s">
        <v>152</v>
      </c>
      <c r="K548" t="s">
        <v>153</v>
      </c>
      <c r="L548">
        <v>251200648</v>
      </c>
      <c r="M548" s="84">
        <v>46013</v>
      </c>
      <c r="N548" s="84">
        <v>46013</v>
      </c>
      <c r="O548" t="s">
        <v>160</v>
      </c>
      <c r="P548" t="s">
        <v>161</v>
      </c>
      <c r="Q548">
        <v>14250</v>
      </c>
      <c r="R548">
        <v>24</v>
      </c>
      <c r="S548">
        <v>342000</v>
      </c>
      <c r="T548">
        <v>0</v>
      </c>
      <c r="U548">
        <v>0</v>
      </c>
      <c r="V548">
        <v>24</v>
      </c>
      <c r="W548">
        <v>342000</v>
      </c>
      <c r="X548">
        <v>3600</v>
      </c>
      <c r="Y548">
        <v>4800</v>
      </c>
      <c r="Z548">
        <v>0</v>
      </c>
      <c r="AA548">
        <v>0</v>
      </c>
      <c r="AB548">
        <v>0</v>
      </c>
      <c r="AC548">
        <v>8400</v>
      </c>
    </row>
    <row r="549" spans="1:29">
      <c r="A549">
        <v>1130</v>
      </c>
      <c r="B549" t="s">
        <v>149</v>
      </c>
      <c r="C549">
        <v>334</v>
      </c>
      <c r="D549" t="s">
        <v>56</v>
      </c>
      <c r="E549" t="str">
        <f t="shared" si="12"/>
        <v>00334</v>
      </c>
      <c r="F549" t="s">
        <v>49</v>
      </c>
      <c r="G549" t="s">
        <v>167</v>
      </c>
      <c r="H549" t="s">
        <v>151</v>
      </c>
      <c r="I549" t="s">
        <v>4</v>
      </c>
      <c r="J549" t="s">
        <v>152</v>
      </c>
      <c r="K549" t="s">
        <v>153</v>
      </c>
      <c r="L549">
        <v>251200648</v>
      </c>
      <c r="M549" s="84">
        <v>46013</v>
      </c>
      <c r="N549" s="84">
        <v>46013</v>
      </c>
      <c r="O549" t="s">
        <v>179</v>
      </c>
      <c r="P549" t="s">
        <v>180</v>
      </c>
      <c r="Q549">
        <v>14250</v>
      </c>
      <c r="R549">
        <v>13</v>
      </c>
      <c r="S549">
        <v>185250</v>
      </c>
      <c r="T549">
        <v>0</v>
      </c>
      <c r="U549">
        <v>0</v>
      </c>
      <c r="V549">
        <v>13</v>
      </c>
      <c r="W549">
        <v>185250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</row>
    <row r="550" spans="1:29">
      <c r="A550">
        <v>1131</v>
      </c>
      <c r="B550" t="s">
        <v>149</v>
      </c>
      <c r="C550">
        <v>1149</v>
      </c>
      <c r="D550" t="s">
        <v>55</v>
      </c>
      <c r="E550" t="str">
        <f t="shared" si="12"/>
        <v>01149</v>
      </c>
      <c r="F550" t="s">
        <v>49</v>
      </c>
      <c r="G550" t="s">
        <v>167</v>
      </c>
      <c r="H550" t="s">
        <v>151</v>
      </c>
      <c r="I550" t="s">
        <v>231</v>
      </c>
      <c r="J550" t="s">
        <v>152</v>
      </c>
      <c r="K550" t="s">
        <v>153</v>
      </c>
      <c r="L550">
        <v>251200649</v>
      </c>
      <c r="M550" s="84">
        <v>46013</v>
      </c>
      <c r="N550" s="84">
        <v>46013</v>
      </c>
      <c r="O550" t="s">
        <v>232</v>
      </c>
      <c r="P550" t="s">
        <v>122</v>
      </c>
      <c r="Q550">
        <v>6213</v>
      </c>
      <c r="R550">
        <v>2</v>
      </c>
      <c r="S550">
        <v>12426</v>
      </c>
      <c r="T550">
        <v>0</v>
      </c>
      <c r="U550">
        <v>0</v>
      </c>
      <c r="V550">
        <v>2</v>
      </c>
      <c r="W550">
        <v>12426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</row>
    <row r="551" spans="1:29">
      <c r="A551">
        <v>1144</v>
      </c>
      <c r="B551" t="s">
        <v>149</v>
      </c>
      <c r="C551">
        <v>329</v>
      </c>
      <c r="D551" t="s">
        <v>32</v>
      </c>
      <c r="E551" t="str">
        <f t="shared" si="12"/>
        <v>00329</v>
      </c>
      <c r="F551" t="s">
        <v>28</v>
      </c>
      <c r="G551" t="s">
        <v>164</v>
      </c>
      <c r="H551" t="s">
        <v>151</v>
      </c>
      <c r="I551" t="s">
        <v>4</v>
      </c>
      <c r="J551" t="s">
        <v>152</v>
      </c>
      <c r="K551" t="s">
        <v>153</v>
      </c>
      <c r="L551">
        <v>251200659</v>
      </c>
      <c r="M551" s="84">
        <v>46013</v>
      </c>
      <c r="N551" s="84">
        <v>46013</v>
      </c>
      <c r="O551" t="s">
        <v>204</v>
      </c>
      <c r="P551" t="s">
        <v>205</v>
      </c>
      <c r="Q551">
        <v>14250</v>
      </c>
      <c r="R551">
        <v>12</v>
      </c>
      <c r="S551">
        <v>171000</v>
      </c>
      <c r="T551">
        <v>0</v>
      </c>
      <c r="U551">
        <v>0</v>
      </c>
      <c r="V551">
        <v>12</v>
      </c>
      <c r="W551">
        <v>171000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 spans="1:29">
      <c r="A552">
        <v>1145</v>
      </c>
      <c r="B552" t="s">
        <v>149</v>
      </c>
      <c r="C552">
        <v>1341</v>
      </c>
      <c r="D552" t="s">
        <v>24</v>
      </c>
      <c r="E552" t="str">
        <f t="shared" si="12"/>
        <v>01341</v>
      </c>
      <c r="F552" t="s">
        <v>20</v>
      </c>
      <c r="G552" t="s">
        <v>193</v>
      </c>
      <c r="H552" t="s">
        <v>151</v>
      </c>
      <c r="I552" t="s">
        <v>4</v>
      </c>
      <c r="J552" t="s">
        <v>152</v>
      </c>
      <c r="K552" t="s">
        <v>236</v>
      </c>
      <c r="L552">
        <v>251200660</v>
      </c>
      <c r="M552" s="84">
        <v>46013</v>
      </c>
      <c r="N552" s="84">
        <v>46013</v>
      </c>
      <c r="O552" t="s">
        <v>204</v>
      </c>
      <c r="P552" t="s">
        <v>205</v>
      </c>
      <c r="Q552">
        <v>14250</v>
      </c>
      <c r="R552">
        <v>10</v>
      </c>
      <c r="S552">
        <v>142500</v>
      </c>
      <c r="T552">
        <v>0</v>
      </c>
      <c r="U552">
        <v>0</v>
      </c>
      <c r="V552">
        <v>10</v>
      </c>
      <c r="W552">
        <v>142500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 spans="1:29">
      <c r="A553">
        <v>1146</v>
      </c>
      <c r="B553" t="s">
        <v>149</v>
      </c>
      <c r="C553">
        <v>1588</v>
      </c>
      <c r="D553" t="s">
        <v>90</v>
      </c>
      <c r="E553" t="str">
        <f t="shared" si="12"/>
        <v>01588</v>
      </c>
      <c r="F553" t="s">
        <v>86</v>
      </c>
      <c r="G553" t="s">
        <v>156</v>
      </c>
      <c r="H553" t="s">
        <v>157</v>
      </c>
      <c r="I553" t="s">
        <v>4</v>
      </c>
      <c r="J553" t="s">
        <v>152</v>
      </c>
      <c r="K553" t="s">
        <v>159</v>
      </c>
      <c r="L553">
        <v>251200661</v>
      </c>
      <c r="M553" s="84">
        <v>46013</v>
      </c>
      <c r="N553" s="84">
        <v>46013</v>
      </c>
      <c r="O553" t="s">
        <v>160</v>
      </c>
      <c r="P553" t="s">
        <v>161</v>
      </c>
      <c r="Q553">
        <v>14250</v>
      </c>
      <c r="R553">
        <v>12</v>
      </c>
      <c r="S553">
        <v>171000</v>
      </c>
      <c r="T553">
        <v>0</v>
      </c>
      <c r="U553">
        <v>0</v>
      </c>
      <c r="V553">
        <v>12</v>
      </c>
      <c r="W553">
        <v>171000</v>
      </c>
      <c r="X553">
        <v>1800</v>
      </c>
      <c r="Y553">
        <v>2400</v>
      </c>
      <c r="Z553">
        <v>0</v>
      </c>
      <c r="AA553">
        <v>0</v>
      </c>
      <c r="AB553">
        <v>0</v>
      </c>
      <c r="AC553">
        <v>4200</v>
      </c>
    </row>
    <row r="554" spans="1:29">
      <c r="A554">
        <v>1152</v>
      </c>
      <c r="B554" t="s">
        <v>149</v>
      </c>
      <c r="C554">
        <v>1466</v>
      </c>
      <c r="D554" t="s">
        <v>81</v>
      </c>
      <c r="E554" t="str">
        <f t="shared" si="12"/>
        <v>01466</v>
      </c>
      <c r="F554" t="s">
        <v>80</v>
      </c>
      <c r="G554" t="s">
        <v>164</v>
      </c>
      <c r="H554" t="s">
        <v>151</v>
      </c>
      <c r="I554" t="s">
        <v>5</v>
      </c>
      <c r="J554" t="s">
        <v>152</v>
      </c>
      <c r="K554" t="s">
        <v>153</v>
      </c>
      <c r="L554">
        <v>251200667</v>
      </c>
      <c r="M554" s="84">
        <v>46013</v>
      </c>
      <c r="N554" s="84">
        <v>46013</v>
      </c>
      <c r="O554" t="s">
        <v>191</v>
      </c>
      <c r="P554" t="s">
        <v>192</v>
      </c>
      <c r="Q554">
        <v>11700</v>
      </c>
      <c r="R554">
        <v>4</v>
      </c>
      <c r="S554">
        <v>46800</v>
      </c>
      <c r="T554">
        <v>0</v>
      </c>
      <c r="U554">
        <v>0</v>
      </c>
      <c r="V554">
        <v>4</v>
      </c>
      <c r="W554">
        <v>46800</v>
      </c>
      <c r="X554">
        <v>600</v>
      </c>
      <c r="Y554">
        <v>600</v>
      </c>
      <c r="Z554">
        <v>0</v>
      </c>
      <c r="AA554">
        <v>0</v>
      </c>
      <c r="AB554">
        <v>0</v>
      </c>
      <c r="AC554">
        <v>1200</v>
      </c>
    </row>
    <row r="555" spans="1:29">
      <c r="A555">
        <v>1153</v>
      </c>
      <c r="B555" t="s">
        <v>149</v>
      </c>
      <c r="C555">
        <v>1450</v>
      </c>
      <c r="D555" t="s">
        <v>82</v>
      </c>
      <c r="E555" t="str">
        <f t="shared" si="12"/>
        <v>01450</v>
      </c>
      <c r="F555" t="s">
        <v>80</v>
      </c>
      <c r="G555" t="s">
        <v>164</v>
      </c>
      <c r="H555" t="s">
        <v>151</v>
      </c>
      <c r="I555" t="s">
        <v>5</v>
      </c>
      <c r="J555" t="s">
        <v>152</v>
      </c>
      <c r="K555" t="s">
        <v>153</v>
      </c>
      <c r="L555">
        <v>251200668</v>
      </c>
      <c r="M555" s="84">
        <v>46013</v>
      </c>
      <c r="N555" s="84">
        <v>46013</v>
      </c>
      <c r="O555" t="s">
        <v>191</v>
      </c>
      <c r="P555" t="s">
        <v>192</v>
      </c>
      <c r="Q555">
        <v>11700</v>
      </c>
      <c r="R555">
        <v>16</v>
      </c>
      <c r="S555">
        <v>187200</v>
      </c>
      <c r="T555">
        <v>0</v>
      </c>
      <c r="U555">
        <v>0</v>
      </c>
      <c r="V555">
        <v>16</v>
      </c>
      <c r="W555">
        <v>187200</v>
      </c>
      <c r="X555">
        <v>2400</v>
      </c>
      <c r="Y555">
        <v>2400</v>
      </c>
      <c r="Z555">
        <v>0</v>
      </c>
      <c r="AA555">
        <v>0</v>
      </c>
      <c r="AB555">
        <v>0</v>
      </c>
      <c r="AC555">
        <v>4800</v>
      </c>
    </row>
    <row r="556" spans="1:29">
      <c r="A556">
        <v>1154</v>
      </c>
      <c r="B556" t="s">
        <v>149</v>
      </c>
      <c r="C556">
        <v>1486</v>
      </c>
      <c r="D556" t="s">
        <v>306</v>
      </c>
      <c r="E556" t="str">
        <f t="shared" si="12"/>
        <v>01486</v>
      </c>
      <c r="F556" t="s">
        <v>95</v>
      </c>
      <c r="G556" t="s">
        <v>187</v>
      </c>
      <c r="H556" t="s">
        <v>188</v>
      </c>
      <c r="I556" t="s">
        <v>182</v>
      </c>
      <c r="J556" t="s">
        <v>152</v>
      </c>
      <c r="K556" t="s">
        <v>159</v>
      </c>
      <c r="L556">
        <v>251200669</v>
      </c>
      <c r="M556" s="84">
        <v>46013</v>
      </c>
      <c r="N556" s="84">
        <v>46013</v>
      </c>
      <c r="O556" t="s">
        <v>183</v>
      </c>
      <c r="P556" t="s">
        <v>184</v>
      </c>
      <c r="Q556">
        <v>72</v>
      </c>
      <c r="R556">
        <v>300</v>
      </c>
      <c r="S556">
        <v>21600</v>
      </c>
      <c r="T556">
        <v>0</v>
      </c>
      <c r="U556">
        <v>0</v>
      </c>
      <c r="V556">
        <v>300</v>
      </c>
      <c r="W556">
        <v>21600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</row>
    <row r="557" spans="1:29">
      <c r="A557">
        <v>1161</v>
      </c>
      <c r="B557" t="s">
        <v>149</v>
      </c>
      <c r="C557">
        <v>1108</v>
      </c>
      <c r="D557" t="s">
        <v>107</v>
      </c>
      <c r="E557" t="str">
        <f t="shared" ref="E557:E582" si="13">TEXT(C557,"00000")</f>
        <v>01108</v>
      </c>
      <c r="F557" t="s">
        <v>103</v>
      </c>
      <c r="G557" t="s">
        <v>167</v>
      </c>
      <c r="H557" t="s">
        <v>151</v>
      </c>
      <c r="I557" t="s">
        <v>4</v>
      </c>
      <c r="J557" t="s">
        <v>152</v>
      </c>
      <c r="K557" t="s">
        <v>153</v>
      </c>
      <c r="L557">
        <v>251200673</v>
      </c>
      <c r="M557" s="84">
        <v>46014</v>
      </c>
      <c r="N557" s="84">
        <v>46014</v>
      </c>
      <c r="O557" t="s">
        <v>200</v>
      </c>
      <c r="P557" t="s">
        <v>201</v>
      </c>
      <c r="Q557">
        <v>14250</v>
      </c>
      <c r="R557">
        <v>10</v>
      </c>
      <c r="S557">
        <v>142500</v>
      </c>
      <c r="T557">
        <v>0</v>
      </c>
      <c r="U557">
        <v>0</v>
      </c>
      <c r="V557">
        <v>10</v>
      </c>
      <c r="W557">
        <v>142500</v>
      </c>
      <c r="X557">
        <v>1500</v>
      </c>
      <c r="Y557">
        <v>2000</v>
      </c>
      <c r="Z557">
        <v>0</v>
      </c>
      <c r="AA557">
        <v>0</v>
      </c>
      <c r="AB557">
        <v>0</v>
      </c>
      <c r="AC557">
        <v>3500</v>
      </c>
    </row>
    <row r="558" spans="1:29">
      <c r="A558">
        <v>1166</v>
      </c>
      <c r="B558" t="s">
        <v>149</v>
      </c>
      <c r="C558">
        <v>1401</v>
      </c>
      <c r="D558" t="s">
        <v>29</v>
      </c>
      <c r="E558" t="str">
        <f t="shared" si="13"/>
        <v>01401</v>
      </c>
      <c r="F558" t="s">
        <v>28</v>
      </c>
      <c r="G558" t="s">
        <v>164</v>
      </c>
      <c r="H558" t="s">
        <v>151</v>
      </c>
      <c r="I558" t="s">
        <v>4</v>
      </c>
      <c r="J558" t="s">
        <v>152</v>
      </c>
      <c r="K558" t="s">
        <v>153</v>
      </c>
      <c r="L558">
        <v>251200675</v>
      </c>
      <c r="M558" s="84">
        <v>46014</v>
      </c>
      <c r="N558" s="84">
        <v>46014</v>
      </c>
      <c r="O558" t="s">
        <v>262</v>
      </c>
      <c r="P558" t="s">
        <v>263</v>
      </c>
      <c r="Q558">
        <v>14250</v>
      </c>
      <c r="R558">
        <v>8</v>
      </c>
      <c r="S558">
        <v>114000</v>
      </c>
      <c r="T558">
        <v>0</v>
      </c>
      <c r="U558">
        <v>0</v>
      </c>
      <c r="V558">
        <v>8</v>
      </c>
      <c r="W558">
        <v>114000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>
      <c r="A559">
        <v>1167</v>
      </c>
      <c r="B559" t="s">
        <v>149</v>
      </c>
      <c r="C559">
        <v>1401</v>
      </c>
      <c r="D559" t="s">
        <v>29</v>
      </c>
      <c r="E559" t="str">
        <f t="shared" si="13"/>
        <v>01401</v>
      </c>
      <c r="F559" t="s">
        <v>28</v>
      </c>
      <c r="G559" t="s">
        <v>164</v>
      </c>
      <c r="H559" t="s">
        <v>151</v>
      </c>
      <c r="I559" t="s">
        <v>4</v>
      </c>
      <c r="J559" t="s">
        <v>152</v>
      </c>
      <c r="K559" t="s">
        <v>153</v>
      </c>
      <c r="L559">
        <v>251200675</v>
      </c>
      <c r="M559" s="84">
        <v>46014</v>
      </c>
      <c r="N559" s="84">
        <v>46014</v>
      </c>
      <c r="O559" t="s">
        <v>160</v>
      </c>
      <c r="P559" t="s">
        <v>161</v>
      </c>
      <c r="Q559">
        <v>14250</v>
      </c>
      <c r="R559">
        <v>20</v>
      </c>
      <c r="S559">
        <v>285000</v>
      </c>
      <c r="T559">
        <v>0</v>
      </c>
      <c r="U559">
        <v>0</v>
      </c>
      <c r="V559">
        <v>20</v>
      </c>
      <c r="W559">
        <v>285000</v>
      </c>
      <c r="X559">
        <v>3000</v>
      </c>
      <c r="Y559">
        <v>4000</v>
      </c>
      <c r="Z559">
        <v>0</v>
      </c>
      <c r="AA559">
        <v>0</v>
      </c>
      <c r="AB559">
        <v>0</v>
      </c>
      <c r="AC559">
        <v>7000</v>
      </c>
    </row>
    <row r="560" spans="1:29">
      <c r="A560">
        <v>1169</v>
      </c>
      <c r="B560" t="s">
        <v>149</v>
      </c>
      <c r="C560">
        <v>325</v>
      </c>
      <c r="D560" t="s">
        <v>34</v>
      </c>
      <c r="E560" t="str">
        <f t="shared" si="13"/>
        <v>00325</v>
      </c>
      <c r="F560" t="s">
        <v>28</v>
      </c>
      <c r="G560" t="s">
        <v>164</v>
      </c>
      <c r="H560" t="s">
        <v>151</v>
      </c>
      <c r="I560" t="s">
        <v>5</v>
      </c>
      <c r="J560" t="s">
        <v>152</v>
      </c>
      <c r="K560" t="s">
        <v>153</v>
      </c>
      <c r="L560">
        <v>251200677</v>
      </c>
      <c r="M560" s="84">
        <v>46014</v>
      </c>
      <c r="N560" s="84">
        <v>46014</v>
      </c>
      <c r="O560" t="s">
        <v>191</v>
      </c>
      <c r="P560" t="s">
        <v>192</v>
      </c>
      <c r="Q560">
        <v>11700</v>
      </c>
      <c r="R560">
        <v>8</v>
      </c>
      <c r="S560">
        <v>93600</v>
      </c>
      <c r="T560">
        <v>0</v>
      </c>
      <c r="U560">
        <v>0</v>
      </c>
      <c r="V560">
        <v>8</v>
      </c>
      <c r="W560">
        <v>93600</v>
      </c>
      <c r="X560">
        <v>1200</v>
      </c>
      <c r="Y560">
        <v>1200</v>
      </c>
      <c r="Z560">
        <v>0</v>
      </c>
      <c r="AA560">
        <v>0</v>
      </c>
      <c r="AB560">
        <v>0</v>
      </c>
      <c r="AC560">
        <v>2400</v>
      </c>
    </row>
    <row r="561" spans="1:29">
      <c r="A561">
        <v>1172</v>
      </c>
      <c r="B561" t="s">
        <v>149</v>
      </c>
      <c r="C561">
        <v>1486</v>
      </c>
      <c r="D561" t="s">
        <v>306</v>
      </c>
      <c r="E561" t="str">
        <f t="shared" si="13"/>
        <v>01486</v>
      </c>
      <c r="F561" t="s">
        <v>95</v>
      </c>
      <c r="G561" t="s">
        <v>187</v>
      </c>
      <c r="H561" t="s">
        <v>188</v>
      </c>
      <c r="I561" t="s">
        <v>231</v>
      </c>
      <c r="J561" t="s">
        <v>152</v>
      </c>
      <c r="K561" t="s">
        <v>159</v>
      </c>
      <c r="L561">
        <v>251200679</v>
      </c>
      <c r="M561" s="84">
        <v>46014</v>
      </c>
      <c r="N561" s="84">
        <v>46014</v>
      </c>
      <c r="O561" t="s">
        <v>233</v>
      </c>
      <c r="P561" t="s">
        <v>118</v>
      </c>
      <c r="Q561">
        <v>4486</v>
      </c>
      <c r="R561">
        <v>5</v>
      </c>
      <c r="S561">
        <v>22430</v>
      </c>
      <c r="T561">
        <v>0</v>
      </c>
      <c r="U561">
        <v>0</v>
      </c>
      <c r="V561">
        <v>5</v>
      </c>
      <c r="W561">
        <v>22430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>
      <c r="A562">
        <v>1173</v>
      </c>
      <c r="B562" t="s">
        <v>149</v>
      </c>
      <c r="C562">
        <v>1605</v>
      </c>
      <c r="D562" t="s">
        <v>304</v>
      </c>
      <c r="E562" t="str">
        <f t="shared" si="13"/>
        <v>01605</v>
      </c>
      <c r="F562" t="s">
        <v>15</v>
      </c>
      <c r="G562" t="s">
        <v>193</v>
      </c>
      <c r="H562" t="s">
        <v>151</v>
      </c>
      <c r="I562" t="s">
        <v>210</v>
      </c>
      <c r="J562" t="s">
        <v>152</v>
      </c>
      <c r="K562" t="s">
        <v>153</v>
      </c>
      <c r="L562">
        <v>251200680</v>
      </c>
      <c r="M562" s="84">
        <v>46014</v>
      </c>
      <c r="N562" s="84">
        <v>46014</v>
      </c>
      <c r="O562" t="s">
        <v>250</v>
      </c>
      <c r="P562" t="s">
        <v>251</v>
      </c>
      <c r="Q562">
        <v>30930</v>
      </c>
      <c r="R562">
        <v>2</v>
      </c>
      <c r="S562">
        <v>61860</v>
      </c>
      <c r="T562">
        <v>0</v>
      </c>
      <c r="U562">
        <v>0</v>
      </c>
      <c r="V562">
        <v>2</v>
      </c>
      <c r="W562">
        <v>61860</v>
      </c>
      <c r="X562">
        <v>1856</v>
      </c>
      <c r="Y562">
        <v>2474</v>
      </c>
      <c r="Z562">
        <v>1238</v>
      </c>
      <c r="AA562">
        <v>3094</v>
      </c>
      <c r="AB562">
        <v>200</v>
      </c>
      <c r="AC562">
        <v>8862</v>
      </c>
    </row>
    <row r="563" spans="1:29">
      <c r="A563">
        <v>1175</v>
      </c>
      <c r="B563" t="s">
        <v>149</v>
      </c>
      <c r="C563">
        <v>1356</v>
      </c>
      <c r="D563" t="s">
        <v>98</v>
      </c>
      <c r="E563" t="str">
        <f t="shared" si="13"/>
        <v>01356</v>
      </c>
      <c r="F563" t="s">
        <v>95</v>
      </c>
      <c r="G563" t="s">
        <v>187</v>
      </c>
      <c r="H563" t="s">
        <v>188</v>
      </c>
      <c r="I563" t="s">
        <v>4</v>
      </c>
      <c r="J563" t="s">
        <v>152</v>
      </c>
      <c r="K563" t="s">
        <v>159</v>
      </c>
      <c r="L563">
        <v>251200682</v>
      </c>
      <c r="M563" s="84">
        <v>46014</v>
      </c>
      <c r="N563" s="84">
        <v>46014</v>
      </c>
      <c r="O563" t="s">
        <v>215</v>
      </c>
      <c r="P563" t="s">
        <v>216</v>
      </c>
      <c r="Q563">
        <v>13300</v>
      </c>
      <c r="R563">
        <v>10</v>
      </c>
      <c r="S563">
        <v>133000</v>
      </c>
      <c r="T563">
        <v>0</v>
      </c>
      <c r="U563">
        <v>0</v>
      </c>
      <c r="V563">
        <v>10</v>
      </c>
      <c r="W563">
        <v>133000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 spans="1:29">
      <c r="A564">
        <v>1176</v>
      </c>
      <c r="B564" t="s">
        <v>149</v>
      </c>
      <c r="C564">
        <v>1581</v>
      </c>
      <c r="D564" t="s">
        <v>96</v>
      </c>
      <c r="E564" t="str">
        <f t="shared" si="13"/>
        <v>01581</v>
      </c>
      <c r="F564" t="s">
        <v>95</v>
      </c>
      <c r="G564" t="s">
        <v>187</v>
      </c>
      <c r="H564" t="s">
        <v>188</v>
      </c>
      <c r="I564" t="s">
        <v>5</v>
      </c>
      <c r="J564" t="s">
        <v>152</v>
      </c>
      <c r="K564" t="s">
        <v>159</v>
      </c>
      <c r="L564">
        <v>251200683</v>
      </c>
      <c r="M564" s="84">
        <v>46014</v>
      </c>
      <c r="N564" s="84">
        <v>46014</v>
      </c>
      <c r="O564" t="s">
        <v>198</v>
      </c>
      <c r="P564" t="s">
        <v>199</v>
      </c>
      <c r="Q564">
        <v>10800</v>
      </c>
      <c r="R564">
        <v>20</v>
      </c>
      <c r="S564">
        <v>216000</v>
      </c>
      <c r="T564">
        <v>0</v>
      </c>
      <c r="U564">
        <v>0</v>
      </c>
      <c r="V564">
        <v>20</v>
      </c>
      <c r="W564">
        <v>216000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 spans="1:29">
      <c r="A565">
        <v>1177</v>
      </c>
      <c r="B565" t="s">
        <v>149</v>
      </c>
      <c r="C565">
        <v>1581</v>
      </c>
      <c r="D565" t="s">
        <v>96</v>
      </c>
      <c r="E565" t="str">
        <f t="shared" si="13"/>
        <v>01581</v>
      </c>
      <c r="F565" t="s">
        <v>95</v>
      </c>
      <c r="G565" t="s">
        <v>187</v>
      </c>
      <c r="H565" t="s">
        <v>188</v>
      </c>
      <c r="I565" t="s">
        <v>4</v>
      </c>
      <c r="J565" t="s">
        <v>152</v>
      </c>
      <c r="K565" t="s">
        <v>159</v>
      </c>
      <c r="L565">
        <v>251200683</v>
      </c>
      <c r="M565" s="84">
        <v>46014</v>
      </c>
      <c r="N565" s="84">
        <v>46014</v>
      </c>
      <c r="O565" t="s">
        <v>262</v>
      </c>
      <c r="P565" t="s">
        <v>263</v>
      </c>
      <c r="Q565">
        <v>13300</v>
      </c>
      <c r="R565">
        <v>10</v>
      </c>
      <c r="S565">
        <v>133000</v>
      </c>
      <c r="T565">
        <v>0</v>
      </c>
      <c r="U565">
        <v>0</v>
      </c>
      <c r="V565">
        <v>10</v>
      </c>
      <c r="W565">
        <v>133000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 spans="1:29">
      <c r="A566">
        <v>1178</v>
      </c>
      <c r="B566" t="s">
        <v>149</v>
      </c>
      <c r="C566">
        <v>1341</v>
      </c>
      <c r="D566" t="s">
        <v>24</v>
      </c>
      <c r="E566" t="str">
        <f t="shared" si="13"/>
        <v>01341</v>
      </c>
      <c r="F566" t="s">
        <v>20</v>
      </c>
      <c r="G566" t="s">
        <v>193</v>
      </c>
      <c r="H566" t="s">
        <v>151</v>
      </c>
      <c r="I566" t="s">
        <v>4</v>
      </c>
      <c r="J566" t="s">
        <v>152</v>
      </c>
      <c r="K566" t="s">
        <v>236</v>
      </c>
      <c r="L566">
        <v>251200684</v>
      </c>
      <c r="M566" s="84">
        <v>46014</v>
      </c>
      <c r="N566" s="84">
        <v>46014</v>
      </c>
      <c r="O566" t="s">
        <v>262</v>
      </c>
      <c r="P566" t="s">
        <v>263</v>
      </c>
      <c r="Q566">
        <v>14250</v>
      </c>
      <c r="R566">
        <v>10</v>
      </c>
      <c r="S566">
        <v>142500</v>
      </c>
      <c r="T566">
        <v>0</v>
      </c>
      <c r="U566">
        <v>0</v>
      </c>
      <c r="V566">
        <v>10</v>
      </c>
      <c r="W566">
        <v>142500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 spans="1:29">
      <c r="A567">
        <v>1179</v>
      </c>
      <c r="B567" t="s">
        <v>149</v>
      </c>
      <c r="C567">
        <v>337</v>
      </c>
      <c r="D567" t="s">
        <v>57</v>
      </c>
      <c r="E567" t="str">
        <f t="shared" si="13"/>
        <v>00337</v>
      </c>
      <c r="F567" t="s">
        <v>49</v>
      </c>
      <c r="G567" t="s">
        <v>167</v>
      </c>
      <c r="H567" t="s">
        <v>151</v>
      </c>
      <c r="I567" t="s">
        <v>4</v>
      </c>
      <c r="J567" t="s">
        <v>152</v>
      </c>
      <c r="K567" t="s">
        <v>153</v>
      </c>
      <c r="L567">
        <v>251200685</v>
      </c>
      <c r="M567" s="84">
        <v>46014</v>
      </c>
      <c r="N567" s="84">
        <v>46014</v>
      </c>
      <c r="O567" t="s">
        <v>160</v>
      </c>
      <c r="P567" t="s">
        <v>161</v>
      </c>
      <c r="Q567">
        <v>14250</v>
      </c>
      <c r="R567">
        <v>20</v>
      </c>
      <c r="S567">
        <v>285000</v>
      </c>
      <c r="T567">
        <v>0</v>
      </c>
      <c r="U567">
        <v>0</v>
      </c>
      <c r="V567">
        <v>20</v>
      </c>
      <c r="W567">
        <v>285000</v>
      </c>
      <c r="X567">
        <v>3000</v>
      </c>
      <c r="Y567">
        <v>4000</v>
      </c>
      <c r="Z567">
        <v>0</v>
      </c>
      <c r="AA567">
        <v>0</v>
      </c>
      <c r="AB567">
        <v>0</v>
      </c>
      <c r="AC567">
        <v>7000</v>
      </c>
    </row>
    <row r="568" spans="1:29">
      <c r="A568">
        <v>1180</v>
      </c>
      <c r="B568" t="s">
        <v>149</v>
      </c>
      <c r="C568">
        <v>134</v>
      </c>
      <c r="D568" t="s">
        <v>79</v>
      </c>
      <c r="E568" t="str">
        <f t="shared" si="13"/>
        <v>00134</v>
      </c>
      <c r="F568" t="s">
        <v>73</v>
      </c>
      <c r="G568" t="s">
        <v>185</v>
      </c>
      <c r="H568" t="s">
        <v>151</v>
      </c>
      <c r="I568" t="s">
        <v>4</v>
      </c>
      <c r="J568" t="s">
        <v>152</v>
      </c>
      <c r="K568" t="s">
        <v>153</v>
      </c>
      <c r="L568">
        <v>251200686</v>
      </c>
      <c r="M568" s="84">
        <v>46014</v>
      </c>
      <c r="N568" s="84">
        <v>46014</v>
      </c>
      <c r="O568" t="s">
        <v>219</v>
      </c>
      <c r="P568" t="s">
        <v>220</v>
      </c>
      <c r="Q568">
        <v>14250</v>
      </c>
      <c r="R568">
        <v>15</v>
      </c>
      <c r="S568">
        <v>213750</v>
      </c>
      <c r="T568">
        <v>0</v>
      </c>
      <c r="U568">
        <v>0</v>
      </c>
      <c r="V568">
        <v>15</v>
      </c>
      <c r="W568">
        <v>213750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 spans="1:29">
      <c r="A569">
        <v>1181</v>
      </c>
      <c r="B569" t="s">
        <v>149</v>
      </c>
      <c r="C569">
        <v>134</v>
      </c>
      <c r="D569" t="s">
        <v>79</v>
      </c>
      <c r="E569" t="str">
        <f t="shared" si="13"/>
        <v>00134</v>
      </c>
      <c r="F569" t="s">
        <v>73</v>
      </c>
      <c r="G569" t="s">
        <v>185</v>
      </c>
      <c r="H569" t="s">
        <v>151</v>
      </c>
      <c r="I569" t="s">
        <v>4</v>
      </c>
      <c r="J569" t="s">
        <v>152</v>
      </c>
      <c r="K569" t="s">
        <v>153</v>
      </c>
      <c r="L569">
        <v>251200686</v>
      </c>
      <c r="M569" s="84">
        <v>46014</v>
      </c>
      <c r="N569" s="84">
        <v>46014</v>
      </c>
      <c r="O569" t="s">
        <v>154</v>
      </c>
      <c r="P569" t="s">
        <v>155</v>
      </c>
      <c r="Q569">
        <v>14250</v>
      </c>
      <c r="R569">
        <v>15</v>
      </c>
      <c r="S569">
        <v>213750</v>
      </c>
      <c r="T569">
        <v>0</v>
      </c>
      <c r="U569">
        <v>0</v>
      </c>
      <c r="V569">
        <v>15</v>
      </c>
      <c r="W569">
        <v>213750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</row>
    <row r="570" spans="1:29">
      <c r="A570">
        <v>1182</v>
      </c>
      <c r="B570" t="s">
        <v>149</v>
      </c>
      <c r="C570">
        <v>134</v>
      </c>
      <c r="D570" t="s">
        <v>79</v>
      </c>
      <c r="E570" t="str">
        <f t="shared" si="13"/>
        <v>00134</v>
      </c>
      <c r="F570" t="s">
        <v>73</v>
      </c>
      <c r="G570" t="s">
        <v>185</v>
      </c>
      <c r="H570" t="s">
        <v>151</v>
      </c>
      <c r="I570" t="s">
        <v>4</v>
      </c>
      <c r="J570" t="s">
        <v>152</v>
      </c>
      <c r="K570" t="s">
        <v>153</v>
      </c>
      <c r="L570">
        <v>251200686</v>
      </c>
      <c r="M570" s="84">
        <v>46014</v>
      </c>
      <c r="N570" s="84">
        <v>46014</v>
      </c>
      <c r="O570" t="s">
        <v>179</v>
      </c>
      <c r="P570" t="s">
        <v>180</v>
      </c>
      <c r="Q570">
        <v>14250</v>
      </c>
      <c r="R570">
        <v>15</v>
      </c>
      <c r="S570">
        <v>213750</v>
      </c>
      <c r="T570">
        <v>0</v>
      </c>
      <c r="U570">
        <v>0</v>
      </c>
      <c r="V570">
        <v>15</v>
      </c>
      <c r="W570">
        <v>213750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</row>
    <row r="571" spans="1:29">
      <c r="A571">
        <v>1184</v>
      </c>
      <c r="B571" t="s">
        <v>149</v>
      </c>
      <c r="C571">
        <v>143</v>
      </c>
      <c r="D571" t="s">
        <v>78</v>
      </c>
      <c r="E571" t="str">
        <f t="shared" si="13"/>
        <v>00143</v>
      </c>
      <c r="F571" t="s">
        <v>73</v>
      </c>
      <c r="G571" t="s">
        <v>185</v>
      </c>
      <c r="H571" t="s">
        <v>151</v>
      </c>
      <c r="I571" t="s">
        <v>4</v>
      </c>
      <c r="J571" t="s">
        <v>152</v>
      </c>
      <c r="K571" t="s">
        <v>153</v>
      </c>
      <c r="L571">
        <v>251200688</v>
      </c>
      <c r="M571" s="84">
        <v>46014</v>
      </c>
      <c r="N571" s="84">
        <v>46014</v>
      </c>
      <c r="O571" t="s">
        <v>168</v>
      </c>
      <c r="P571" t="s">
        <v>169</v>
      </c>
      <c r="Q571">
        <v>14250</v>
      </c>
      <c r="R571">
        <v>4</v>
      </c>
      <c r="S571">
        <v>57000</v>
      </c>
      <c r="T571">
        <v>0</v>
      </c>
      <c r="U571">
        <v>0</v>
      </c>
      <c r="V571">
        <v>4</v>
      </c>
      <c r="W571">
        <v>57000</v>
      </c>
      <c r="X571">
        <v>600</v>
      </c>
      <c r="Y571">
        <v>800</v>
      </c>
      <c r="Z571">
        <v>0</v>
      </c>
      <c r="AA571">
        <v>0</v>
      </c>
      <c r="AB571">
        <v>0</v>
      </c>
      <c r="AC571">
        <v>1400</v>
      </c>
    </row>
    <row r="572" spans="1:29">
      <c r="A572">
        <v>1186</v>
      </c>
      <c r="B572" t="s">
        <v>149</v>
      </c>
      <c r="C572">
        <v>1395</v>
      </c>
      <c r="D572" t="s">
        <v>101</v>
      </c>
      <c r="E572" t="str">
        <f t="shared" si="13"/>
        <v>01395</v>
      </c>
      <c r="F572" t="s">
        <v>95</v>
      </c>
      <c r="G572" t="s">
        <v>187</v>
      </c>
      <c r="H572" t="s">
        <v>188</v>
      </c>
      <c r="I572" t="s">
        <v>4</v>
      </c>
      <c r="J572" t="s">
        <v>152</v>
      </c>
      <c r="K572" t="s">
        <v>159</v>
      </c>
      <c r="L572">
        <v>251200690</v>
      </c>
      <c r="M572" s="84">
        <v>46014</v>
      </c>
      <c r="N572" s="84">
        <v>46014</v>
      </c>
      <c r="O572" t="s">
        <v>243</v>
      </c>
      <c r="P572" t="s">
        <v>244</v>
      </c>
      <c r="Q572">
        <v>13600</v>
      </c>
      <c r="R572">
        <v>6</v>
      </c>
      <c r="S572">
        <v>81600</v>
      </c>
      <c r="T572">
        <v>0</v>
      </c>
      <c r="U572">
        <v>0</v>
      </c>
      <c r="V572">
        <v>6</v>
      </c>
      <c r="W572">
        <v>81600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</row>
    <row r="573" spans="1:29">
      <c r="A573">
        <v>1187</v>
      </c>
      <c r="B573" t="s">
        <v>149</v>
      </c>
      <c r="C573">
        <v>1395</v>
      </c>
      <c r="D573" t="s">
        <v>101</v>
      </c>
      <c r="E573" t="str">
        <f t="shared" si="13"/>
        <v>01395</v>
      </c>
      <c r="F573" t="s">
        <v>95</v>
      </c>
      <c r="G573" t="s">
        <v>187</v>
      </c>
      <c r="H573" t="s">
        <v>188</v>
      </c>
      <c r="I573" t="s">
        <v>4</v>
      </c>
      <c r="J573" t="s">
        <v>152</v>
      </c>
      <c r="K573" t="s">
        <v>159</v>
      </c>
      <c r="L573">
        <v>251200690</v>
      </c>
      <c r="M573" s="84">
        <v>46014</v>
      </c>
      <c r="N573" s="84">
        <v>46014</v>
      </c>
      <c r="O573" t="s">
        <v>160</v>
      </c>
      <c r="P573" t="s">
        <v>161</v>
      </c>
      <c r="Q573">
        <v>13200</v>
      </c>
      <c r="R573">
        <v>2</v>
      </c>
      <c r="S573">
        <v>26400</v>
      </c>
      <c r="T573">
        <v>0</v>
      </c>
      <c r="U573">
        <v>0</v>
      </c>
      <c r="V573">
        <v>2</v>
      </c>
      <c r="W573">
        <v>26400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</row>
    <row r="574" spans="1:29">
      <c r="A574">
        <v>1188</v>
      </c>
      <c r="B574" t="s">
        <v>149</v>
      </c>
      <c r="C574">
        <v>336</v>
      </c>
      <c r="D574" t="s">
        <v>31</v>
      </c>
      <c r="E574" t="str">
        <f t="shared" si="13"/>
        <v>00336</v>
      </c>
      <c r="F574" t="s">
        <v>28</v>
      </c>
      <c r="G574" t="s">
        <v>164</v>
      </c>
      <c r="H574" t="s">
        <v>151</v>
      </c>
      <c r="I574" t="s">
        <v>4</v>
      </c>
      <c r="J574" t="s">
        <v>152</v>
      </c>
      <c r="K574" t="s">
        <v>153</v>
      </c>
      <c r="L574">
        <v>251200691</v>
      </c>
      <c r="M574" s="84">
        <v>46014</v>
      </c>
      <c r="N574" s="84">
        <v>46014</v>
      </c>
      <c r="O574" t="s">
        <v>154</v>
      </c>
      <c r="P574" t="s">
        <v>155</v>
      </c>
      <c r="Q574">
        <v>14250</v>
      </c>
      <c r="R574">
        <v>3</v>
      </c>
      <c r="S574">
        <v>42750</v>
      </c>
      <c r="T574">
        <v>0</v>
      </c>
      <c r="U574">
        <v>0</v>
      </c>
      <c r="V574">
        <v>3</v>
      </c>
      <c r="W574">
        <v>42750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 spans="1:29">
      <c r="A575">
        <v>1189</v>
      </c>
      <c r="B575" t="s">
        <v>149</v>
      </c>
      <c r="C575">
        <v>336</v>
      </c>
      <c r="D575" t="s">
        <v>31</v>
      </c>
      <c r="E575" t="str">
        <f t="shared" si="13"/>
        <v>00336</v>
      </c>
      <c r="F575" t="s">
        <v>28</v>
      </c>
      <c r="G575" t="s">
        <v>164</v>
      </c>
      <c r="H575" t="s">
        <v>151</v>
      </c>
      <c r="I575" t="s">
        <v>4</v>
      </c>
      <c r="J575" t="s">
        <v>152</v>
      </c>
      <c r="K575" t="s">
        <v>153</v>
      </c>
      <c r="L575">
        <v>251200691</v>
      </c>
      <c r="M575" s="84">
        <v>46014</v>
      </c>
      <c r="N575" s="84">
        <v>46014</v>
      </c>
      <c r="O575" t="s">
        <v>160</v>
      </c>
      <c r="P575" t="s">
        <v>161</v>
      </c>
      <c r="Q575">
        <v>14250</v>
      </c>
      <c r="R575">
        <v>5</v>
      </c>
      <c r="S575">
        <v>71250</v>
      </c>
      <c r="T575">
        <v>0</v>
      </c>
      <c r="U575">
        <v>0</v>
      </c>
      <c r="V575">
        <v>5</v>
      </c>
      <c r="W575">
        <v>71250</v>
      </c>
      <c r="X575">
        <v>750</v>
      </c>
      <c r="Y575">
        <v>1000</v>
      </c>
      <c r="Z575">
        <v>0</v>
      </c>
      <c r="AA575">
        <v>0</v>
      </c>
      <c r="AB575">
        <v>0</v>
      </c>
      <c r="AC575">
        <v>1750</v>
      </c>
    </row>
    <row r="576" spans="1:29">
      <c r="A576">
        <v>1190</v>
      </c>
      <c r="B576" t="s">
        <v>149</v>
      </c>
      <c r="C576">
        <v>496</v>
      </c>
      <c r="D576" t="s">
        <v>8</v>
      </c>
      <c r="E576" t="str">
        <f t="shared" si="13"/>
        <v>00496</v>
      </c>
      <c r="F576" t="s">
        <v>7</v>
      </c>
      <c r="G576" t="s">
        <v>156</v>
      </c>
      <c r="H576" t="s">
        <v>157</v>
      </c>
      <c r="I576" t="s">
        <v>4</v>
      </c>
      <c r="J576" t="s">
        <v>152</v>
      </c>
      <c r="K576" t="s">
        <v>159</v>
      </c>
      <c r="L576">
        <v>251200692</v>
      </c>
      <c r="M576" s="84">
        <v>46014</v>
      </c>
      <c r="N576" s="84">
        <v>46014</v>
      </c>
      <c r="O576" t="s">
        <v>243</v>
      </c>
      <c r="P576" t="s">
        <v>244</v>
      </c>
      <c r="Q576">
        <v>15050</v>
      </c>
      <c r="R576">
        <v>16</v>
      </c>
      <c r="S576">
        <v>240800</v>
      </c>
      <c r="T576">
        <v>0</v>
      </c>
      <c r="U576">
        <v>0</v>
      </c>
      <c r="V576">
        <v>16</v>
      </c>
      <c r="W576">
        <v>240800</v>
      </c>
      <c r="X576">
        <v>2400</v>
      </c>
      <c r="Y576">
        <v>3200</v>
      </c>
      <c r="Z576">
        <v>0</v>
      </c>
      <c r="AA576">
        <v>0</v>
      </c>
      <c r="AB576">
        <v>0</v>
      </c>
      <c r="AC576">
        <v>5600</v>
      </c>
    </row>
    <row r="577" spans="1:29">
      <c r="A577">
        <v>1192</v>
      </c>
      <c r="B577" t="s">
        <v>149</v>
      </c>
      <c r="C577">
        <v>1355</v>
      </c>
      <c r="D577" t="s">
        <v>102</v>
      </c>
      <c r="E577" t="str">
        <f t="shared" si="13"/>
        <v>01355</v>
      </c>
      <c r="F577" t="s">
        <v>95</v>
      </c>
      <c r="G577" t="s">
        <v>187</v>
      </c>
      <c r="H577" t="s">
        <v>188</v>
      </c>
      <c r="I577" t="s">
        <v>4</v>
      </c>
      <c r="J577" t="s">
        <v>152</v>
      </c>
      <c r="K577" t="s">
        <v>159</v>
      </c>
      <c r="L577">
        <v>251200694</v>
      </c>
      <c r="M577" s="84">
        <v>46014</v>
      </c>
      <c r="N577" s="84">
        <v>46014</v>
      </c>
      <c r="O577" t="s">
        <v>160</v>
      </c>
      <c r="P577" t="s">
        <v>161</v>
      </c>
      <c r="Q577">
        <v>13200</v>
      </c>
      <c r="R577">
        <v>4</v>
      </c>
      <c r="S577">
        <v>52800</v>
      </c>
      <c r="T577">
        <v>0</v>
      </c>
      <c r="U577">
        <v>0</v>
      </c>
      <c r="V577">
        <v>4</v>
      </c>
      <c r="W577">
        <v>52800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 spans="1:29">
      <c r="A578">
        <v>1193</v>
      </c>
      <c r="B578" t="s">
        <v>149</v>
      </c>
      <c r="C578">
        <v>1355</v>
      </c>
      <c r="D578" t="s">
        <v>102</v>
      </c>
      <c r="E578" t="str">
        <f t="shared" si="13"/>
        <v>01355</v>
      </c>
      <c r="F578" t="s">
        <v>95</v>
      </c>
      <c r="G578" t="s">
        <v>187</v>
      </c>
      <c r="H578" t="s">
        <v>188</v>
      </c>
      <c r="I578" t="s">
        <v>231</v>
      </c>
      <c r="J578" t="s">
        <v>152</v>
      </c>
      <c r="K578" t="s">
        <v>159</v>
      </c>
      <c r="L578">
        <v>251200695</v>
      </c>
      <c r="M578" s="84">
        <v>46014</v>
      </c>
      <c r="N578" s="84">
        <v>46014</v>
      </c>
      <c r="O578" t="s">
        <v>232</v>
      </c>
      <c r="P578" t="s">
        <v>122</v>
      </c>
      <c r="Q578">
        <v>6213</v>
      </c>
      <c r="R578">
        <v>1</v>
      </c>
      <c r="S578">
        <v>6213</v>
      </c>
      <c r="T578">
        <v>0</v>
      </c>
      <c r="U578">
        <v>0</v>
      </c>
      <c r="V578">
        <v>1</v>
      </c>
      <c r="W578">
        <v>6213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</row>
    <row r="579" spans="1:29">
      <c r="A579">
        <v>1196</v>
      </c>
      <c r="B579" t="s">
        <v>149</v>
      </c>
      <c r="C579">
        <v>87</v>
      </c>
      <c r="D579" t="s">
        <v>307</v>
      </c>
      <c r="E579" t="str">
        <f t="shared" si="13"/>
        <v>00087</v>
      </c>
      <c r="F579" t="s">
        <v>43</v>
      </c>
      <c r="G579" t="s">
        <v>150</v>
      </c>
      <c r="H579" t="s">
        <v>151</v>
      </c>
      <c r="I579" t="s">
        <v>210</v>
      </c>
      <c r="J579" t="s">
        <v>152</v>
      </c>
      <c r="K579" t="s">
        <v>153</v>
      </c>
      <c r="L579">
        <v>251200698</v>
      </c>
      <c r="M579" s="84">
        <v>46014</v>
      </c>
      <c r="N579" s="84">
        <v>46014</v>
      </c>
      <c r="O579" t="s">
        <v>213</v>
      </c>
      <c r="P579" t="s">
        <v>214</v>
      </c>
      <c r="Q579">
        <v>23802</v>
      </c>
      <c r="R579">
        <v>5</v>
      </c>
      <c r="S579">
        <v>119010</v>
      </c>
      <c r="T579">
        <v>0</v>
      </c>
      <c r="U579">
        <v>0</v>
      </c>
      <c r="V579">
        <v>5</v>
      </c>
      <c r="W579">
        <v>119010</v>
      </c>
      <c r="X579">
        <v>2380</v>
      </c>
      <c r="Y579">
        <v>2380</v>
      </c>
      <c r="Z579">
        <v>5000</v>
      </c>
      <c r="AA579">
        <v>0</v>
      </c>
      <c r="AB579">
        <v>500</v>
      </c>
      <c r="AC579">
        <v>10260</v>
      </c>
    </row>
    <row r="580" spans="1:29">
      <c r="A580">
        <v>1202</v>
      </c>
      <c r="B580" t="s">
        <v>149</v>
      </c>
      <c r="C580">
        <v>88</v>
      </c>
      <c r="D580" t="s">
        <v>46</v>
      </c>
      <c r="E580" t="str">
        <f t="shared" si="13"/>
        <v>00088</v>
      </c>
      <c r="F580" t="s">
        <v>43</v>
      </c>
      <c r="G580" t="s">
        <v>150</v>
      </c>
      <c r="H580" t="s">
        <v>151</v>
      </c>
      <c r="I580" t="s">
        <v>5</v>
      </c>
      <c r="J580" t="s">
        <v>152</v>
      </c>
      <c r="K580" t="s">
        <v>153</v>
      </c>
      <c r="L580">
        <v>251200721</v>
      </c>
      <c r="M580" s="84">
        <v>46015</v>
      </c>
      <c r="N580" s="84">
        <v>46015</v>
      </c>
      <c r="O580" t="s">
        <v>191</v>
      </c>
      <c r="P580" t="s">
        <v>192</v>
      </c>
      <c r="Q580">
        <v>11700</v>
      </c>
      <c r="R580">
        <v>7</v>
      </c>
      <c r="S580">
        <v>81900</v>
      </c>
      <c r="T580">
        <v>0</v>
      </c>
      <c r="U580">
        <v>0</v>
      </c>
      <c r="V580">
        <v>7</v>
      </c>
      <c r="W580">
        <v>81900</v>
      </c>
      <c r="X580">
        <v>1050</v>
      </c>
      <c r="Y580">
        <v>1050</v>
      </c>
      <c r="Z580">
        <v>0</v>
      </c>
      <c r="AA580">
        <v>0</v>
      </c>
      <c r="AB580">
        <v>0</v>
      </c>
      <c r="AC580">
        <v>2100</v>
      </c>
    </row>
    <row r="581" spans="1:29">
      <c r="A581">
        <v>1203</v>
      </c>
      <c r="B581" t="s">
        <v>149</v>
      </c>
      <c r="C581">
        <v>88</v>
      </c>
      <c r="D581" t="s">
        <v>46</v>
      </c>
      <c r="E581" t="str">
        <f t="shared" si="13"/>
        <v>00088</v>
      </c>
      <c r="F581" t="s">
        <v>43</v>
      </c>
      <c r="G581" t="s">
        <v>150</v>
      </c>
      <c r="H581" t="s">
        <v>151</v>
      </c>
      <c r="I581" t="s">
        <v>4</v>
      </c>
      <c r="J581" t="s">
        <v>152</v>
      </c>
      <c r="K581" t="s">
        <v>153</v>
      </c>
      <c r="L581">
        <v>251200721</v>
      </c>
      <c r="M581" s="84">
        <v>46015</v>
      </c>
      <c r="N581" s="84">
        <v>46015</v>
      </c>
      <c r="O581" t="s">
        <v>160</v>
      </c>
      <c r="P581" t="s">
        <v>161</v>
      </c>
      <c r="Q581">
        <v>14250</v>
      </c>
      <c r="R581">
        <v>8</v>
      </c>
      <c r="S581">
        <v>114000</v>
      </c>
      <c r="T581">
        <v>0</v>
      </c>
      <c r="U581">
        <v>0</v>
      </c>
      <c r="V581">
        <v>8</v>
      </c>
      <c r="W581">
        <v>114000</v>
      </c>
      <c r="X581">
        <v>1200</v>
      </c>
      <c r="Y581">
        <v>1600</v>
      </c>
      <c r="Z581">
        <v>0</v>
      </c>
      <c r="AA581">
        <v>0</v>
      </c>
      <c r="AB581">
        <v>0</v>
      </c>
      <c r="AC581">
        <v>2800</v>
      </c>
    </row>
    <row r="582" spans="1:29">
      <c r="A582">
        <v>1207</v>
      </c>
      <c r="B582" t="s">
        <v>149</v>
      </c>
      <c r="C582">
        <v>827</v>
      </c>
      <c r="D582" t="s">
        <v>84</v>
      </c>
      <c r="E582" t="str">
        <f t="shared" si="13"/>
        <v>00827</v>
      </c>
      <c r="F582" t="s">
        <v>83</v>
      </c>
      <c r="G582" t="s">
        <v>164</v>
      </c>
      <c r="H582" t="s">
        <v>151</v>
      </c>
      <c r="I582" t="s">
        <v>4</v>
      </c>
      <c r="J582" t="s">
        <v>152</v>
      </c>
      <c r="K582" t="s">
        <v>153</v>
      </c>
      <c r="L582">
        <v>251200724</v>
      </c>
      <c r="M582" s="84">
        <v>46015</v>
      </c>
      <c r="N582" s="84">
        <v>46015</v>
      </c>
      <c r="O582" t="s">
        <v>177</v>
      </c>
      <c r="P582" t="s">
        <v>178</v>
      </c>
      <c r="Q582">
        <v>14250</v>
      </c>
      <c r="R582">
        <v>3</v>
      </c>
      <c r="S582">
        <v>42750</v>
      </c>
      <c r="T582">
        <v>0</v>
      </c>
      <c r="U582">
        <v>0</v>
      </c>
      <c r="V582">
        <v>3</v>
      </c>
      <c r="W582">
        <v>42750</v>
      </c>
      <c r="X582">
        <v>450</v>
      </c>
      <c r="Y582">
        <v>600</v>
      </c>
      <c r="Z582">
        <v>0</v>
      </c>
      <c r="AA582">
        <v>0</v>
      </c>
      <c r="AB582">
        <v>0</v>
      </c>
      <c r="AC582">
        <v>1050</v>
      </c>
    </row>
    <row r="583" spans="1:29">
      <c r="A583">
        <v>1210</v>
      </c>
      <c r="B583" t="s">
        <v>149</v>
      </c>
      <c r="C583">
        <v>134</v>
      </c>
      <c r="D583" t="s">
        <v>79</v>
      </c>
      <c r="E583" t="str">
        <f t="shared" ref="E583:E646" si="14">TEXT(C583,"00000")</f>
        <v>00134</v>
      </c>
      <c r="F583" t="s">
        <v>73</v>
      </c>
      <c r="G583" t="s">
        <v>185</v>
      </c>
      <c r="H583" t="s">
        <v>151</v>
      </c>
      <c r="I583" t="s">
        <v>4</v>
      </c>
      <c r="J583" t="s">
        <v>152</v>
      </c>
      <c r="K583" t="s">
        <v>153</v>
      </c>
      <c r="L583">
        <v>251200726</v>
      </c>
      <c r="M583" s="84">
        <v>46015</v>
      </c>
      <c r="N583" s="84">
        <v>46015</v>
      </c>
      <c r="O583" t="s">
        <v>179</v>
      </c>
      <c r="P583" t="s">
        <v>180</v>
      </c>
      <c r="Q583">
        <v>14250</v>
      </c>
      <c r="R583">
        <v>10</v>
      </c>
      <c r="S583">
        <v>142500</v>
      </c>
      <c r="T583">
        <v>0</v>
      </c>
      <c r="U583">
        <v>0</v>
      </c>
      <c r="V583">
        <v>10</v>
      </c>
      <c r="W583">
        <v>142500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 spans="1:29">
      <c r="A584">
        <v>1211</v>
      </c>
      <c r="B584" t="s">
        <v>149</v>
      </c>
      <c r="C584">
        <v>337</v>
      </c>
      <c r="D584" t="s">
        <v>57</v>
      </c>
      <c r="E584" t="str">
        <f t="shared" si="14"/>
        <v>00337</v>
      </c>
      <c r="F584" t="s">
        <v>49</v>
      </c>
      <c r="G584" t="s">
        <v>167</v>
      </c>
      <c r="H584" t="s">
        <v>151</v>
      </c>
      <c r="I584" t="s">
        <v>210</v>
      </c>
      <c r="J584" t="s">
        <v>152</v>
      </c>
      <c r="K584" t="s">
        <v>153</v>
      </c>
      <c r="L584">
        <v>251200727</v>
      </c>
      <c r="M584" s="84">
        <v>46015</v>
      </c>
      <c r="N584" s="84">
        <v>46015</v>
      </c>
      <c r="O584" t="s">
        <v>213</v>
      </c>
      <c r="P584" t="s">
        <v>214</v>
      </c>
      <c r="Q584">
        <v>23802</v>
      </c>
      <c r="R584">
        <v>5</v>
      </c>
      <c r="S584">
        <v>119010</v>
      </c>
      <c r="T584">
        <v>0</v>
      </c>
      <c r="U584">
        <v>0</v>
      </c>
      <c r="V584">
        <v>5</v>
      </c>
      <c r="W584">
        <v>119010</v>
      </c>
      <c r="X584">
        <v>2380</v>
      </c>
      <c r="Y584">
        <v>2380</v>
      </c>
      <c r="Z584">
        <v>5000</v>
      </c>
      <c r="AA584">
        <v>0</v>
      </c>
      <c r="AB584">
        <v>500</v>
      </c>
      <c r="AC584">
        <v>10260</v>
      </c>
    </row>
    <row r="585" spans="1:29">
      <c r="A585">
        <v>1212</v>
      </c>
      <c r="B585" t="s">
        <v>149</v>
      </c>
      <c r="C585">
        <v>337</v>
      </c>
      <c r="D585" t="s">
        <v>57</v>
      </c>
      <c r="E585" t="str">
        <f t="shared" si="14"/>
        <v>00337</v>
      </c>
      <c r="F585" t="s">
        <v>49</v>
      </c>
      <c r="G585" t="s">
        <v>167</v>
      </c>
      <c r="H585" t="s">
        <v>151</v>
      </c>
      <c r="I585" t="s">
        <v>231</v>
      </c>
      <c r="J585" t="s">
        <v>152</v>
      </c>
      <c r="K585" t="s">
        <v>153</v>
      </c>
      <c r="L585">
        <v>251200727</v>
      </c>
      <c r="M585" s="84">
        <v>46015</v>
      </c>
      <c r="N585" s="84">
        <v>46015</v>
      </c>
      <c r="O585" t="s">
        <v>233</v>
      </c>
      <c r="P585" t="s">
        <v>118</v>
      </c>
      <c r="Q585">
        <v>4486</v>
      </c>
      <c r="R585">
        <v>3</v>
      </c>
      <c r="S585">
        <v>13458</v>
      </c>
      <c r="T585">
        <v>0</v>
      </c>
      <c r="U585">
        <v>0</v>
      </c>
      <c r="V585">
        <v>3</v>
      </c>
      <c r="W585">
        <v>13458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 spans="1:29">
      <c r="A586">
        <v>1213</v>
      </c>
      <c r="B586" t="s">
        <v>149</v>
      </c>
      <c r="C586">
        <v>337</v>
      </c>
      <c r="D586" t="s">
        <v>57</v>
      </c>
      <c r="E586" t="str">
        <f t="shared" si="14"/>
        <v>00337</v>
      </c>
      <c r="F586" t="s">
        <v>49</v>
      </c>
      <c r="G586" t="s">
        <v>167</v>
      </c>
      <c r="H586" t="s">
        <v>151</v>
      </c>
      <c r="I586" t="s">
        <v>4</v>
      </c>
      <c r="J586" t="s">
        <v>152</v>
      </c>
      <c r="K586" t="s">
        <v>153</v>
      </c>
      <c r="L586">
        <v>251200727</v>
      </c>
      <c r="M586" s="84">
        <v>46015</v>
      </c>
      <c r="N586" s="84">
        <v>46015</v>
      </c>
      <c r="O586" t="s">
        <v>160</v>
      </c>
      <c r="P586" t="s">
        <v>161</v>
      </c>
      <c r="Q586">
        <v>14250</v>
      </c>
      <c r="R586">
        <v>20</v>
      </c>
      <c r="S586">
        <v>285000</v>
      </c>
      <c r="T586">
        <v>0</v>
      </c>
      <c r="U586">
        <v>0</v>
      </c>
      <c r="V586">
        <v>20</v>
      </c>
      <c r="W586">
        <v>285000</v>
      </c>
      <c r="X586">
        <v>3000</v>
      </c>
      <c r="Y586">
        <v>4000</v>
      </c>
      <c r="Z586">
        <v>0</v>
      </c>
      <c r="AA586">
        <v>0</v>
      </c>
      <c r="AB586">
        <v>0</v>
      </c>
      <c r="AC586">
        <v>7000</v>
      </c>
    </row>
    <row r="587" spans="1:29">
      <c r="A587">
        <v>1214</v>
      </c>
      <c r="B587" t="s">
        <v>149</v>
      </c>
      <c r="C587">
        <v>471</v>
      </c>
      <c r="D587" t="s">
        <v>25</v>
      </c>
      <c r="E587" t="str">
        <f t="shared" si="14"/>
        <v>00471</v>
      </c>
      <c r="F587" t="s">
        <v>20</v>
      </c>
      <c r="G587" t="s">
        <v>193</v>
      </c>
      <c r="H587" t="s">
        <v>151</v>
      </c>
      <c r="I587" t="s">
        <v>4</v>
      </c>
      <c r="J587" t="s">
        <v>152</v>
      </c>
      <c r="K587" t="s">
        <v>236</v>
      </c>
      <c r="L587">
        <v>251200728</v>
      </c>
      <c r="M587" s="84">
        <v>46015</v>
      </c>
      <c r="N587" s="84">
        <v>46015</v>
      </c>
      <c r="O587" t="s">
        <v>179</v>
      </c>
      <c r="P587" t="s">
        <v>180</v>
      </c>
      <c r="Q587">
        <v>14250</v>
      </c>
      <c r="R587">
        <v>20</v>
      </c>
      <c r="S587">
        <v>285000</v>
      </c>
      <c r="T587">
        <v>0</v>
      </c>
      <c r="U587">
        <v>0</v>
      </c>
      <c r="V587">
        <v>20</v>
      </c>
      <c r="W587">
        <v>285000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</row>
    <row r="588" spans="1:29">
      <c r="A588">
        <v>1215</v>
      </c>
      <c r="B588" t="s">
        <v>149</v>
      </c>
      <c r="C588">
        <v>471</v>
      </c>
      <c r="D588" t="s">
        <v>25</v>
      </c>
      <c r="E588" t="str">
        <f t="shared" si="14"/>
        <v>00471</v>
      </c>
      <c r="F588" t="s">
        <v>20</v>
      </c>
      <c r="G588" t="s">
        <v>193</v>
      </c>
      <c r="H588" t="s">
        <v>151</v>
      </c>
      <c r="I588" t="s">
        <v>4</v>
      </c>
      <c r="J588" t="s">
        <v>152</v>
      </c>
      <c r="K588" t="s">
        <v>236</v>
      </c>
      <c r="L588">
        <v>251200728</v>
      </c>
      <c r="M588" s="84">
        <v>46015</v>
      </c>
      <c r="N588" s="84">
        <v>46015</v>
      </c>
      <c r="O588" t="s">
        <v>160</v>
      </c>
      <c r="P588" t="s">
        <v>161</v>
      </c>
      <c r="Q588">
        <v>14250</v>
      </c>
      <c r="R588">
        <v>12</v>
      </c>
      <c r="S588">
        <v>171000</v>
      </c>
      <c r="T588">
        <v>0</v>
      </c>
      <c r="U588">
        <v>0</v>
      </c>
      <c r="V588">
        <v>12</v>
      </c>
      <c r="W588">
        <v>171000</v>
      </c>
      <c r="X588">
        <v>1800</v>
      </c>
      <c r="Y588">
        <v>2400</v>
      </c>
      <c r="Z588">
        <v>0</v>
      </c>
      <c r="AA588">
        <v>0</v>
      </c>
      <c r="AB588">
        <v>0</v>
      </c>
      <c r="AC588">
        <v>4200</v>
      </c>
    </row>
    <row r="589" spans="1:29">
      <c r="A589">
        <v>1216</v>
      </c>
      <c r="B589" t="s">
        <v>149</v>
      </c>
      <c r="C589">
        <v>471</v>
      </c>
      <c r="D589" t="s">
        <v>25</v>
      </c>
      <c r="E589" t="str">
        <f t="shared" si="14"/>
        <v>00471</v>
      </c>
      <c r="F589" t="s">
        <v>20</v>
      </c>
      <c r="G589" t="s">
        <v>193</v>
      </c>
      <c r="H589" t="s">
        <v>151</v>
      </c>
      <c r="I589" t="s">
        <v>4</v>
      </c>
      <c r="J589" t="s">
        <v>152</v>
      </c>
      <c r="K589" t="s">
        <v>236</v>
      </c>
      <c r="L589">
        <v>251200728</v>
      </c>
      <c r="M589" s="84">
        <v>46015</v>
      </c>
      <c r="N589" s="84">
        <v>46015</v>
      </c>
      <c r="O589" t="s">
        <v>154</v>
      </c>
      <c r="P589" t="s">
        <v>155</v>
      </c>
      <c r="Q589">
        <v>14250</v>
      </c>
      <c r="R589">
        <v>10</v>
      </c>
      <c r="S589">
        <v>142500</v>
      </c>
      <c r="T589">
        <v>0</v>
      </c>
      <c r="U589">
        <v>0</v>
      </c>
      <c r="V589">
        <v>10</v>
      </c>
      <c r="W589">
        <v>142500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 spans="1:29">
      <c r="A590">
        <v>1217</v>
      </c>
      <c r="B590" t="s">
        <v>149</v>
      </c>
      <c r="C590">
        <v>1368</v>
      </c>
      <c r="D590" t="s">
        <v>22</v>
      </c>
      <c r="E590" t="str">
        <f t="shared" si="14"/>
        <v>01368</v>
      </c>
      <c r="F590" t="s">
        <v>20</v>
      </c>
      <c r="G590" t="s">
        <v>193</v>
      </c>
      <c r="H590" t="s">
        <v>151</v>
      </c>
      <c r="I590" t="s">
        <v>4</v>
      </c>
      <c r="J590" t="s">
        <v>152</v>
      </c>
      <c r="K590" t="s">
        <v>236</v>
      </c>
      <c r="L590">
        <v>251200729</v>
      </c>
      <c r="M590" s="84">
        <v>46015</v>
      </c>
      <c r="N590" s="84">
        <v>46015</v>
      </c>
      <c r="O590" t="s">
        <v>160</v>
      </c>
      <c r="P590" t="s">
        <v>161</v>
      </c>
      <c r="Q590">
        <v>14250</v>
      </c>
      <c r="R590">
        <v>8</v>
      </c>
      <c r="S590">
        <v>114000</v>
      </c>
      <c r="T590">
        <v>0</v>
      </c>
      <c r="U590">
        <v>0</v>
      </c>
      <c r="V590">
        <v>8</v>
      </c>
      <c r="W590">
        <v>114000</v>
      </c>
      <c r="X590">
        <v>1200</v>
      </c>
      <c r="Y590">
        <v>1600</v>
      </c>
      <c r="Z590">
        <v>0</v>
      </c>
      <c r="AA590">
        <v>0</v>
      </c>
      <c r="AB590">
        <v>0</v>
      </c>
      <c r="AC590">
        <v>2800</v>
      </c>
    </row>
    <row r="591" spans="1:29">
      <c r="A591">
        <v>1218</v>
      </c>
      <c r="B591" t="s">
        <v>149</v>
      </c>
      <c r="C591">
        <v>336</v>
      </c>
      <c r="D591" t="s">
        <v>31</v>
      </c>
      <c r="E591" t="str">
        <f t="shared" si="14"/>
        <v>00336</v>
      </c>
      <c r="F591" t="s">
        <v>28</v>
      </c>
      <c r="G591" t="s">
        <v>164</v>
      </c>
      <c r="H591" t="s">
        <v>151</v>
      </c>
      <c r="I591" t="s">
        <v>210</v>
      </c>
      <c r="J591" t="s">
        <v>152</v>
      </c>
      <c r="K591" t="s">
        <v>153</v>
      </c>
      <c r="L591">
        <v>251200730</v>
      </c>
      <c r="M591" s="84">
        <v>46015</v>
      </c>
      <c r="N591" s="84">
        <v>46015</v>
      </c>
      <c r="O591" t="s">
        <v>213</v>
      </c>
      <c r="P591" t="s">
        <v>214</v>
      </c>
      <c r="Q591">
        <v>23802</v>
      </c>
      <c r="R591">
        <v>2</v>
      </c>
      <c r="S591">
        <v>47604</v>
      </c>
      <c r="T591">
        <v>0</v>
      </c>
      <c r="U591">
        <v>0</v>
      </c>
      <c r="V591">
        <v>2</v>
      </c>
      <c r="W591">
        <v>47604</v>
      </c>
      <c r="X591">
        <v>952</v>
      </c>
      <c r="Y591">
        <v>952</v>
      </c>
      <c r="Z591">
        <v>2000</v>
      </c>
      <c r="AA591">
        <v>0</v>
      </c>
      <c r="AB591">
        <v>200</v>
      </c>
      <c r="AC591">
        <v>4104</v>
      </c>
    </row>
    <row r="592" spans="1:29">
      <c r="A592">
        <v>1219</v>
      </c>
      <c r="B592" t="s">
        <v>149</v>
      </c>
      <c r="C592">
        <v>1118</v>
      </c>
      <c r="D592" t="s">
        <v>37</v>
      </c>
      <c r="E592" t="str">
        <f t="shared" si="14"/>
        <v>01118</v>
      </c>
      <c r="F592" t="s">
        <v>28</v>
      </c>
      <c r="G592" t="s">
        <v>164</v>
      </c>
      <c r="H592" t="s">
        <v>151</v>
      </c>
      <c r="I592" t="s">
        <v>4</v>
      </c>
      <c r="J592" t="s">
        <v>152</v>
      </c>
      <c r="K592" t="s">
        <v>153</v>
      </c>
      <c r="L592">
        <v>251200731</v>
      </c>
      <c r="M592" s="84">
        <v>46015</v>
      </c>
      <c r="N592" s="84">
        <v>46015</v>
      </c>
      <c r="O592" t="s">
        <v>160</v>
      </c>
      <c r="P592" t="s">
        <v>161</v>
      </c>
      <c r="Q592">
        <v>14250</v>
      </c>
      <c r="R592">
        <v>12</v>
      </c>
      <c r="S592">
        <v>171000</v>
      </c>
      <c r="T592">
        <v>0</v>
      </c>
      <c r="U592">
        <v>0</v>
      </c>
      <c r="V592">
        <v>12</v>
      </c>
      <c r="W592">
        <v>171000</v>
      </c>
      <c r="X592">
        <v>1800</v>
      </c>
      <c r="Y592">
        <v>2400</v>
      </c>
      <c r="Z592">
        <v>0</v>
      </c>
      <c r="AA592">
        <v>0</v>
      </c>
      <c r="AB592">
        <v>0</v>
      </c>
      <c r="AC592">
        <v>4200</v>
      </c>
    </row>
    <row r="593" spans="1:29">
      <c r="A593">
        <v>1224</v>
      </c>
      <c r="B593" t="s">
        <v>149</v>
      </c>
      <c r="C593">
        <v>1605</v>
      </c>
      <c r="D593" t="s">
        <v>304</v>
      </c>
      <c r="E593" t="str">
        <f t="shared" si="14"/>
        <v>01605</v>
      </c>
      <c r="F593" t="s">
        <v>15</v>
      </c>
      <c r="G593" t="s">
        <v>193</v>
      </c>
      <c r="H593" t="s">
        <v>151</v>
      </c>
      <c r="I593" t="s">
        <v>210</v>
      </c>
      <c r="J593" t="s">
        <v>152</v>
      </c>
      <c r="K593" t="s">
        <v>153</v>
      </c>
      <c r="L593">
        <v>251200735</v>
      </c>
      <c r="M593" s="84">
        <v>46015</v>
      </c>
      <c r="N593" s="84">
        <v>46015</v>
      </c>
      <c r="O593" t="s">
        <v>213</v>
      </c>
      <c r="P593" t="s">
        <v>214</v>
      </c>
      <c r="Q593">
        <v>23802</v>
      </c>
      <c r="R593">
        <v>2</v>
      </c>
      <c r="S593">
        <v>47604</v>
      </c>
      <c r="T593">
        <v>0</v>
      </c>
      <c r="U593">
        <v>0</v>
      </c>
      <c r="V593">
        <v>2</v>
      </c>
      <c r="W593">
        <v>47604</v>
      </c>
      <c r="X593">
        <v>952</v>
      </c>
      <c r="Y593">
        <v>952</v>
      </c>
      <c r="Z593">
        <v>2000</v>
      </c>
      <c r="AA593">
        <v>0</v>
      </c>
      <c r="AB593">
        <v>200</v>
      </c>
      <c r="AC593">
        <v>4104</v>
      </c>
    </row>
    <row r="594" spans="1:29">
      <c r="A594">
        <v>1225</v>
      </c>
      <c r="B594" t="s">
        <v>149</v>
      </c>
      <c r="C594">
        <v>988</v>
      </c>
      <c r="D594" t="s">
        <v>19</v>
      </c>
      <c r="E594" t="str">
        <f t="shared" si="14"/>
        <v>00988</v>
      </c>
      <c r="F594" t="s">
        <v>15</v>
      </c>
      <c r="G594" t="s">
        <v>193</v>
      </c>
      <c r="H594" t="s">
        <v>151</v>
      </c>
      <c r="I594" t="s">
        <v>210</v>
      </c>
      <c r="J594" t="s">
        <v>152</v>
      </c>
      <c r="K594" t="s">
        <v>153</v>
      </c>
      <c r="L594">
        <v>251200736</v>
      </c>
      <c r="M594" s="84">
        <v>46015</v>
      </c>
      <c r="N594" s="84">
        <v>46015</v>
      </c>
      <c r="O594" t="s">
        <v>213</v>
      </c>
      <c r="P594" t="s">
        <v>214</v>
      </c>
      <c r="Q594">
        <v>23802</v>
      </c>
      <c r="R594">
        <v>8</v>
      </c>
      <c r="S594">
        <v>190416</v>
      </c>
      <c r="T594">
        <v>0</v>
      </c>
      <c r="U594">
        <v>0</v>
      </c>
      <c r="V594">
        <v>8</v>
      </c>
      <c r="W594">
        <v>190416</v>
      </c>
      <c r="X594">
        <v>3808</v>
      </c>
      <c r="Y594">
        <v>3808</v>
      </c>
      <c r="Z594">
        <v>8000</v>
      </c>
      <c r="AA594">
        <v>0</v>
      </c>
      <c r="AB594">
        <v>800</v>
      </c>
      <c r="AC594">
        <v>16416</v>
      </c>
    </row>
    <row r="595" spans="1:29">
      <c r="A595">
        <v>1226</v>
      </c>
      <c r="B595" t="s">
        <v>149</v>
      </c>
      <c r="C595">
        <v>988</v>
      </c>
      <c r="D595" t="s">
        <v>19</v>
      </c>
      <c r="E595" t="str">
        <f t="shared" si="14"/>
        <v>00988</v>
      </c>
      <c r="F595" t="s">
        <v>15</v>
      </c>
      <c r="G595" t="s">
        <v>193</v>
      </c>
      <c r="H595" t="s">
        <v>151</v>
      </c>
      <c r="I595" t="s">
        <v>210</v>
      </c>
      <c r="J595" t="s">
        <v>152</v>
      </c>
      <c r="K595" t="s">
        <v>153</v>
      </c>
      <c r="L595">
        <v>251200736</v>
      </c>
      <c r="M595" s="84">
        <v>46015</v>
      </c>
      <c r="N595" s="84">
        <v>46015</v>
      </c>
      <c r="O595" t="s">
        <v>250</v>
      </c>
      <c r="P595" t="s">
        <v>251</v>
      </c>
      <c r="Q595">
        <v>30930</v>
      </c>
      <c r="R595">
        <v>2</v>
      </c>
      <c r="S595">
        <v>61860</v>
      </c>
      <c r="T595">
        <v>0</v>
      </c>
      <c r="U595">
        <v>0</v>
      </c>
      <c r="V595">
        <v>2</v>
      </c>
      <c r="W595">
        <v>61860</v>
      </c>
      <c r="X595">
        <v>1856</v>
      </c>
      <c r="Y595">
        <v>2474</v>
      </c>
      <c r="Z595">
        <v>1238</v>
      </c>
      <c r="AA595">
        <v>3094</v>
      </c>
      <c r="AB595">
        <v>200</v>
      </c>
      <c r="AC595">
        <v>8862</v>
      </c>
    </row>
    <row r="596" spans="1:29">
      <c r="A596">
        <v>1230</v>
      </c>
      <c r="B596" t="s">
        <v>149</v>
      </c>
      <c r="C596">
        <v>1391</v>
      </c>
      <c r="D596" t="s">
        <v>97</v>
      </c>
      <c r="E596" t="str">
        <f t="shared" si="14"/>
        <v>01391</v>
      </c>
      <c r="F596" t="s">
        <v>95</v>
      </c>
      <c r="G596" t="s">
        <v>187</v>
      </c>
      <c r="H596" t="s">
        <v>188</v>
      </c>
      <c r="I596" t="s">
        <v>4</v>
      </c>
      <c r="J596" t="s">
        <v>152</v>
      </c>
      <c r="K596" t="s">
        <v>159</v>
      </c>
      <c r="L596">
        <v>251200739</v>
      </c>
      <c r="M596" s="84">
        <v>46015</v>
      </c>
      <c r="N596" s="84">
        <v>46015</v>
      </c>
      <c r="O596" t="s">
        <v>219</v>
      </c>
      <c r="P596" t="s">
        <v>220</v>
      </c>
      <c r="Q596">
        <v>13200</v>
      </c>
      <c r="R596">
        <v>4</v>
      </c>
      <c r="S596">
        <v>52800</v>
      </c>
      <c r="T596">
        <v>0</v>
      </c>
      <c r="U596">
        <v>0</v>
      </c>
      <c r="V596">
        <v>4</v>
      </c>
      <c r="W596">
        <v>52800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</row>
    <row r="597" spans="1:29">
      <c r="A597">
        <v>1240</v>
      </c>
      <c r="B597" t="s">
        <v>149</v>
      </c>
      <c r="C597">
        <v>1450</v>
      </c>
      <c r="D597" t="s">
        <v>82</v>
      </c>
      <c r="E597" t="str">
        <f t="shared" si="14"/>
        <v>01450</v>
      </c>
      <c r="F597" t="s">
        <v>80</v>
      </c>
      <c r="G597" t="s">
        <v>164</v>
      </c>
      <c r="H597" t="s">
        <v>151</v>
      </c>
      <c r="I597" t="s">
        <v>5</v>
      </c>
      <c r="J597" t="s">
        <v>152</v>
      </c>
      <c r="K597" t="s">
        <v>153</v>
      </c>
      <c r="L597">
        <v>251200745</v>
      </c>
      <c r="M597" s="84">
        <v>46015</v>
      </c>
      <c r="N597" s="84">
        <v>46015</v>
      </c>
      <c r="O597" t="s">
        <v>191</v>
      </c>
      <c r="P597" t="s">
        <v>192</v>
      </c>
      <c r="Q597">
        <v>11700</v>
      </c>
      <c r="R597">
        <v>12</v>
      </c>
      <c r="S597">
        <v>140400</v>
      </c>
      <c r="T597">
        <v>0</v>
      </c>
      <c r="U597">
        <v>0</v>
      </c>
      <c r="V597">
        <v>12</v>
      </c>
      <c r="W597">
        <v>140400</v>
      </c>
      <c r="X597">
        <v>1800</v>
      </c>
      <c r="Y597">
        <v>1800</v>
      </c>
      <c r="Z597">
        <v>0</v>
      </c>
      <c r="AA597">
        <v>0</v>
      </c>
      <c r="AB597">
        <v>0</v>
      </c>
      <c r="AC597">
        <v>3600</v>
      </c>
    </row>
    <row r="598" spans="1:29">
      <c r="A598">
        <v>1241</v>
      </c>
      <c r="B598" t="s">
        <v>149</v>
      </c>
      <c r="C598">
        <v>1450</v>
      </c>
      <c r="D598" t="s">
        <v>82</v>
      </c>
      <c r="E598" t="str">
        <f t="shared" si="14"/>
        <v>01450</v>
      </c>
      <c r="F598" t="s">
        <v>80</v>
      </c>
      <c r="G598" t="s">
        <v>164</v>
      </c>
      <c r="H598" t="s">
        <v>151</v>
      </c>
      <c r="I598" t="s">
        <v>5</v>
      </c>
      <c r="J598" t="s">
        <v>152</v>
      </c>
      <c r="K598" t="s">
        <v>153</v>
      </c>
      <c r="L598">
        <v>251200745</v>
      </c>
      <c r="M598" s="84">
        <v>46015</v>
      </c>
      <c r="N598" s="84">
        <v>46015</v>
      </c>
      <c r="O598" t="s">
        <v>194</v>
      </c>
      <c r="P598" t="s">
        <v>195</v>
      </c>
      <c r="Q598">
        <v>11700</v>
      </c>
      <c r="R598">
        <v>4</v>
      </c>
      <c r="S598">
        <v>46800</v>
      </c>
      <c r="T598">
        <v>0</v>
      </c>
      <c r="U598">
        <v>0</v>
      </c>
      <c r="V598">
        <v>4</v>
      </c>
      <c r="W598">
        <v>46800</v>
      </c>
      <c r="X598">
        <v>600</v>
      </c>
      <c r="Y598">
        <v>600</v>
      </c>
      <c r="Z598">
        <v>0</v>
      </c>
      <c r="AA598">
        <v>0</v>
      </c>
      <c r="AB598">
        <v>0</v>
      </c>
      <c r="AC598">
        <v>1200</v>
      </c>
    </row>
    <row r="599" spans="1:29">
      <c r="A599">
        <v>1242</v>
      </c>
      <c r="B599" t="s">
        <v>149</v>
      </c>
      <c r="C599">
        <v>1450</v>
      </c>
      <c r="D599" t="s">
        <v>82</v>
      </c>
      <c r="E599" t="str">
        <f t="shared" si="14"/>
        <v>01450</v>
      </c>
      <c r="F599" t="s">
        <v>80</v>
      </c>
      <c r="G599" t="s">
        <v>164</v>
      </c>
      <c r="H599" t="s">
        <v>151</v>
      </c>
      <c r="I599" t="s">
        <v>5</v>
      </c>
      <c r="J599" t="s">
        <v>152</v>
      </c>
      <c r="K599" t="s">
        <v>153</v>
      </c>
      <c r="L599">
        <v>251200745</v>
      </c>
      <c r="M599" s="84">
        <v>46015</v>
      </c>
      <c r="N599" s="84">
        <v>46015</v>
      </c>
      <c r="O599" t="s">
        <v>273</v>
      </c>
      <c r="P599" t="s">
        <v>274</v>
      </c>
      <c r="Q599">
        <v>11700</v>
      </c>
      <c r="R599">
        <v>4</v>
      </c>
      <c r="S599">
        <v>46800</v>
      </c>
      <c r="T599">
        <v>0</v>
      </c>
      <c r="U599">
        <v>0</v>
      </c>
      <c r="V599">
        <v>4</v>
      </c>
      <c r="W599">
        <v>46800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 spans="1:29">
      <c r="A600">
        <v>1243</v>
      </c>
      <c r="B600" t="s">
        <v>149</v>
      </c>
      <c r="C600">
        <v>1450</v>
      </c>
      <c r="D600" t="s">
        <v>82</v>
      </c>
      <c r="E600" t="str">
        <f t="shared" si="14"/>
        <v>01450</v>
      </c>
      <c r="F600" t="s">
        <v>80</v>
      </c>
      <c r="G600" t="s">
        <v>164</v>
      </c>
      <c r="H600" t="s">
        <v>151</v>
      </c>
      <c r="I600" t="s">
        <v>4</v>
      </c>
      <c r="J600" t="s">
        <v>152</v>
      </c>
      <c r="K600" t="s">
        <v>153</v>
      </c>
      <c r="L600">
        <v>251200745</v>
      </c>
      <c r="M600" s="84">
        <v>46015</v>
      </c>
      <c r="N600" s="84">
        <v>46015</v>
      </c>
      <c r="O600" t="s">
        <v>160</v>
      </c>
      <c r="P600" t="s">
        <v>161</v>
      </c>
      <c r="Q600">
        <v>14250</v>
      </c>
      <c r="R600">
        <v>5</v>
      </c>
      <c r="S600">
        <v>71250</v>
      </c>
      <c r="T600">
        <v>0</v>
      </c>
      <c r="U600">
        <v>0</v>
      </c>
      <c r="V600">
        <v>5</v>
      </c>
      <c r="W600">
        <v>71250</v>
      </c>
      <c r="X600">
        <v>750</v>
      </c>
      <c r="Y600">
        <v>1000</v>
      </c>
      <c r="Z600">
        <v>0</v>
      </c>
      <c r="AA600">
        <v>0</v>
      </c>
      <c r="AB600">
        <v>0</v>
      </c>
      <c r="AC600">
        <v>1750</v>
      </c>
    </row>
    <row r="601" spans="1:29">
      <c r="A601">
        <v>1246</v>
      </c>
      <c r="B601" t="s">
        <v>149</v>
      </c>
      <c r="C601">
        <v>87</v>
      </c>
      <c r="D601" t="s">
        <v>307</v>
      </c>
      <c r="E601" t="str">
        <f t="shared" si="14"/>
        <v>00087</v>
      </c>
      <c r="F601" t="s">
        <v>43</v>
      </c>
      <c r="G601" t="s">
        <v>150</v>
      </c>
      <c r="H601" t="s">
        <v>151</v>
      </c>
      <c r="I601" t="s">
        <v>210</v>
      </c>
      <c r="J601" t="s">
        <v>152</v>
      </c>
      <c r="K601" t="s">
        <v>153</v>
      </c>
      <c r="L601">
        <v>251200747</v>
      </c>
      <c r="M601" s="84">
        <v>46015</v>
      </c>
      <c r="N601" s="84">
        <v>46015</v>
      </c>
      <c r="O601" t="s">
        <v>213</v>
      </c>
      <c r="P601" t="s">
        <v>214</v>
      </c>
      <c r="Q601">
        <v>23802</v>
      </c>
      <c r="R601">
        <v>10</v>
      </c>
      <c r="S601">
        <v>238020</v>
      </c>
      <c r="T601">
        <v>0</v>
      </c>
      <c r="U601">
        <v>0</v>
      </c>
      <c r="V601">
        <v>10</v>
      </c>
      <c r="W601">
        <v>238020</v>
      </c>
      <c r="X601">
        <v>4760</v>
      </c>
      <c r="Y601">
        <v>4760</v>
      </c>
      <c r="Z601">
        <v>10000</v>
      </c>
      <c r="AA601">
        <v>0</v>
      </c>
      <c r="AB601">
        <v>1000</v>
      </c>
      <c r="AC601">
        <v>20520</v>
      </c>
    </row>
    <row r="602" spans="1:29">
      <c r="A602">
        <v>1253</v>
      </c>
      <c r="B602" t="s">
        <v>149</v>
      </c>
      <c r="C602">
        <v>334</v>
      </c>
      <c r="D602" t="s">
        <v>56</v>
      </c>
      <c r="E602" t="str">
        <f t="shared" si="14"/>
        <v>00334</v>
      </c>
      <c r="F602" t="s">
        <v>49</v>
      </c>
      <c r="G602" t="s">
        <v>167</v>
      </c>
      <c r="H602" t="s">
        <v>151</v>
      </c>
      <c r="I602" t="s">
        <v>210</v>
      </c>
      <c r="J602" t="s">
        <v>152</v>
      </c>
      <c r="K602" t="s">
        <v>153</v>
      </c>
      <c r="L602">
        <v>251200751</v>
      </c>
      <c r="M602" s="84">
        <v>46019</v>
      </c>
      <c r="N602" s="84">
        <v>46019</v>
      </c>
      <c r="O602" t="s">
        <v>213</v>
      </c>
      <c r="P602" t="s">
        <v>214</v>
      </c>
      <c r="Q602">
        <v>23802</v>
      </c>
      <c r="R602">
        <v>2</v>
      </c>
      <c r="S602">
        <v>47604</v>
      </c>
      <c r="T602">
        <v>0</v>
      </c>
      <c r="U602">
        <v>0</v>
      </c>
      <c r="V602">
        <v>2</v>
      </c>
      <c r="W602">
        <v>47604</v>
      </c>
      <c r="X602">
        <v>952</v>
      </c>
      <c r="Y602">
        <v>952</v>
      </c>
      <c r="Z602">
        <v>2000</v>
      </c>
      <c r="AA602">
        <v>0</v>
      </c>
      <c r="AB602">
        <v>200</v>
      </c>
      <c r="AC602">
        <v>4104</v>
      </c>
    </row>
    <row r="603" spans="1:29">
      <c r="A603">
        <v>1255</v>
      </c>
      <c r="B603" t="s">
        <v>149</v>
      </c>
      <c r="C603">
        <v>337</v>
      </c>
      <c r="D603" t="s">
        <v>57</v>
      </c>
      <c r="E603" t="str">
        <f t="shared" si="14"/>
        <v>00337</v>
      </c>
      <c r="F603" t="s">
        <v>49</v>
      </c>
      <c r="G603" t="s">
        <v>167</v>
      </c>
      <c r="H603" t="s">
        <v>151</v>
      </c>
      <c r="I603" t="s">
        <v>4</v>
      </c>
      <c r="J603" t="s">
        <v>152</v>
      </c>
      <c r="K603" t="s">
        <v>153</v>
      </c>
      <c r="L603">
        <v>251200753</v>
      </c>
      <c r="M603" s="84">
        <v>46019</v>
      </c>
      <c r="N603" s="84">
        <v>46019</v>
      </c>
      <c r="O603" t="s">
        <v>160</v>
      </c>
      <c r="P603" t="s">
        <v>161</v>
      </c>
      <c r="Q603">
        <v>14250</v>
      </c>
      <c r="R603">
        <v>50</v>
      </c>
      <c r="S603">
        <v>712500</v>
      </c>
      <c r="T603">
        <v>0</v>
      </c>
      <c r="U603">
        <v>0</v>
      </c>
      <c r="V603">
        <v>50</v>
      </c>
      <c r="W603">
        <v>712500</v>
      </c>
      <c r="X603">
        <v>7500</v>
      </c>
      <c r="Y603">
        <v>10000</v>
      </c>
      <c r="Z603">
        <v>0</v>
      </c>
      <c r="AA603">
        <v>0</v>
      </c>
      <c r="AB603">
        <v>0</v>
      </c>
      <c r="AC603">
        <v>17500</v>
      </c>
    </row>
    <row r="604" spans="1:29">
      <c r="A604">
        <v>1256</v>
      </c>
      <c r="B604" t="s">
        <v>149</v>
      </c>
      <c r="C604">
        <v>134</v>
      </c>
      <c r="D604" t="s">
        <v>79</v>
      </c>
      <c r="E604" t="str">
        <f t="shared" si="14"/>
        <v>00134</v>
      </c>
      <c r="F604" t="s">
        <v>73</v>
      </c>
      <c r="G604" t="s">
        <v>185</v>
      </c>
      <c r="H604" t="s">
        <v>151</v>
      </c>
      <c r="I604" t="s">
        <v>4</v>
      </c>
      <c r="J604" t="s">
        <v>152</v>
      </c>
      <c r="K604" t="s">
        <v>153</v>
      </c>
      <c r="L604">
        <v>251200754</v>
      </c>
      <c r="M604" s="84">
        <v>46019</v>
      </c>
      <c r="N604" s="84">
        <v>46019</v>
      </c>
      <c r="O604" t="s">
        <v>219</v>
      </c>
      <c r="P604" t="s">
        <v>220</v>
      </c>
      <c r="Q604">
        <v>14250</v>
      </c>
      <c r="R604">
        <v>5</v>
      </c>
      <c r="S604">
        <v>71250</v>
      </c>
      <c r="T604">
        <v>0</v>
      </c>
      <c r="U604">
        <v>0</v>
      </c>
      <c r="V604">
        <v>5</v>
      </c>
      <c r="W604">
        <v>71250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 spans="1:29">
      <c r="A605">
        <v>1257</v>
      </c>
      <c r="B605" t="s">
        <v>149</v>
      </c>
      <c r="C605">
        <v>134</v>
      </c>
      <c r="D605" t="s">
        <v>79</v>
      </c>
      <c r="E605" t="str">
        <f t="shared" si="14"/>
        <v>00134</v>
      </c>
      <c r="F605" t="s">
        <v>73</v>
      </c>
      <c r="G605" t="s">
        <v>185</v>
      </c>
      <c r="H605" t="s">
        <v>151</v>
      </c>
      <c r="I605" t="s">
        <v>4</v>
      </c>
      <c r="J605" t="s">
        <v>152</v>
      </c>
      <c r="K605" t="s">
        <v>153</v>
      </c>
      <c r="L605">
        <v>251200754</v>
      </c>
      <c r="M605" s="84">
        <v>46019</v>
      </c>
      <c r="N605" s="84">
        <v>46019</v>
      </c>
      <c r="O605" t="s">
        <v>154</v>
      </c>
      <c r="P605" t="s">
        <v>155</v>
      </c>
      <c r="Q605">
        <v>14250</v>
      </c>
      <c r="R605">
        <v>5</v>
      </c>
      <c r="S605">
        <v>71250</v>
      </c>
      <c r="T605">
        <v>0</v>
      </c>
      <c r="U605">
        <v>0</v>
      </c>
      <c r="V605">
        <v>5</v>
      </c>
      <c r="W605">
        <v>71250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29">
      <c r="A606">
        <v>1259</v>
      </c>
      <c r="B606" t="s">
        <v>149</v>
      </c>
      <c r="C606">
        <v>1395</v>
      </c>
      <c r="D606" t="s">
        <v>101</v>
      </c>
      <c r="E606" t="str">
        <f t="shared" si="14"/>
        <v>01395</v>
      </c>
      <c r="F606" t="s">
        <v>95</v>
      </c>
      <c r="G606" t="s">
        <v>187</v>
      </c>
      <c r="H606" t="s">
        <v>188</v>
      </c>
      <c r="I606" t="s">
        <v>4</v>
      </c>
      <c r="J606" t="s">
        <v>152</v>
      </c>
      <c r="K606" t="s">
        <v>159</v>
      </c>
      <c r="L606">
        <v>251200756</v>
      </c>
      <c r="M606" s="84">
        <v>46019</v>
      </c>
      <c r="N606" s="84">
        <v>46019</v>
      </c>
      <c r="O606" t="s">
        <v>168</v>
      </c>
      <c r="P606" t="s">
        <v>169</v>
      </c>
      <c r="Q606">
        <v>13200</v>
      </c>
      <c r="R606">
        <v>4</v>
      </c>
      <c r="S606">
        <v>52800</v>
      </c>
      <c r="T606">
        <v>0</v>
      </c>
      <c r="U606">
        <v>0</v>
      </c>
      <c r="V606">
        <v>4</v>
      </c>
      <c r="W606">
        <v>52800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>
      <c r="A607">
        <v>1262</v>
      </c>
      <c r="B607" t="s">
        <v>149</v>
      </c>
      <c r="C607">
        <v>1401</v>
      </c>
      <c r="D607" t="s">
        <v>29</v>
      </c>
      <c r="E607" t="str">
        <f t="shared" si="14"/>
        <v>01401</v>
      </c>
      <c r="F607" t="s">
        <v>28</v>
      </c>
      <c r="G607" t="s">
        <v>164</v>
      </c>
      <c r="H607" t="s">
        <v>151</v>
      </c>
      <c r="I607" t="s">
        <v>4</v>
      </c>
      <c r="J607" t="s">
        <v>152</v>
      </c>
      <c r="K607" t="s">
        <v>153</v>
      </c>
      <c r="L607">
        <v>251200758</v>
      </c>
      <c r="M607" s="84">
        <v>46019</v>
      </c>
      <c r="N607" s="84">
        <v>46019</v>
      </c>
      <c r="O607" t="s">
        <v>267</v>
      </c>
      <c r="P607" t="s">
        <v>268</v>
      </c>
      <c r="Q607">
        <v>14250</v>
      </c>
      <c r="R607">
        <v>50</v>
      </c>
      <c r="S607">
        <v>712500</v>
      </c>
      <c r="T607">
        <v>0</v>
      </c>
      <c r="U607">
        <v>0</v>
      </c>
      <c r="V607">
        <v>50</v>
      </c>
      <c r="W607">
        <v>712500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>
      <c r="A608">
        <v>1268</v>
      </c>
      <c r="B608" t="s">
        <v>149</v>
      </c>
      <c r="C608">
        <v>1400</v>
      </c>
      <c r="D608" t="s">
        <v>289</v>
      </c>
      <c r="E608" t="str">
        <f t="shared" si="14"/>
        <v>01400</v>
      </c>
      <c r="F608" t="s">
        <v>28</v>
      </c>
      <c r="G608" t="s">
        <v>164</v>
      </c>
      <c r="H608" t="s">
        <v>151</v>
      </c>
      <c r="I608" t="s">
        <v>210</v>
      </c>
      <c r="J608" t="s">
        <v>152</v>
      </c>
      <c r="K608" t="s">
        <v>153</v>
      </c>
      <c r="L608">
        <v>251200762</v>
      </c>
      <c r="M608" s="84">
        <v>46019</v>
      </c>
      <c r="N608" s="84">
        <v>46019</v>
      </c>
      <c r="O608" t="s">
        <v>213</v>
      </c>
      <c r="P608" t="s">
        <v>214</v>
      </c>
      <c r="Q608">
        <v>23802</v>
      </c>
      <c r="R608">
        <v>2</v>
      </c>
      <c r="S608">
        <v>47604</v>
      </c>
      <c r="T608">
        <v>0</v>
      </c>
      <c r="U608">
        <v>0</v>
      </c>
      <c r="V608">
        <v>2</v>
      </c>
      <c r="W608">
        <v>47604</v>
      </c>
      <c r="X608">
        <v>952</v>
      </c>
      <c r="Y608">
        <v>952</v>
      </c>
      <c r="Z608">
        <v>2000</v>
      </c>
      <c r="AA608">
        <v>0</v>
      </c>
      <c r="AB608">
        <v>200</v>
      </c>
      <c r="AC608">
        <v>4104</v>
      </c>
    </row>
    <row r="609" spans="1:29">
      <c r="A609">
        <v>1270</v>
      </c>
      <c r="B609" t="s">
        <v>149</v>
      </c>
      <c r="C609">
        <v>2</v>
      </c>
      <c r="D609" t="s">
        <v>281</v>
      </c>
      <c r="E609" t="str">
        <f t="shared" si="14"/>
        <v>00002</v>
      </c>
      <c r="F609" t="s">
        <v>111</v>
      </c>
      <c r="G609" t="s">
        <v>150</v>
      </c>
      <c r="H609" t="s">
        <v>151</v>
      </c>
      <c r="I609" t="s">
        <v>231</v>
      </c>
      <c r="J609" t="s">
        <v>152</v>
      </c>
      <c r="K609" t="s">
        <v>153</v>
      </c>
      <c r="L609">
        <v>251200764</v>
      </c>
      <c r="M609" s="84">
        <v>46019</v>
      </c>
      <c r="N609" s="84">
        <v>46019</v>
      </c>
      <c r="O609" t="s">
        <v>234</v>
      </c>
      <c r="P609" t="s">
        <v>235</v>
      </c>
      <c r="Q609">
        <v>10432</v>
      </c>
      <c r="R609">
        <v>2</v>
      </c>
      <c r="S609">
        <v>20864</v>
      </c>
      <c r="T609">
        <v>0</v>
      </c>
      <c r="U609">
        <v>0</v>
      </c>
      <c r="V609">
        <v>2</v>
      </c>
      <c r="W609">
        <v>20864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1:29">
      <c r="A610">
        <v>1272</v>
      </c>
      <c r="B610" t="s">
        <v>149</v>
      </c>
      <c r="C610">
        <v>1581</v>
      </c>
      <c r="D610" t="s">
        <v>96</v>
      </c>
      <c r="E610" t="str">
        <f t="shared" si="14"/>
        <v>01581</v>
      </c>
      <c r="F610" t="s">
        <v>95</v>
      </c>
      <c r="G610" t="s">
        <v>187</v>
      </c>
      <c r="H610" t="s">
        <v>188</v>
      </c>
      <c r="I610" t="s">
        <v>4</v>
      </c>
      <c r="J610" t="s">
        <v>152</v>
      </c>
      <c r="K610" t="s">
        <v>159</v>
      </c>
      <c r="L610">
        <v>251200766</v>
      </c>
      <c r="M610" s="84">
        <v>46019</v>
      </c>
      <c r="N610" s="84">
        <v>46019</v>
      </c>
      <c r="O610" t="s">
        <v>221</v>
      </c>
      <c r="P610" t="s">
        <v>222</v>
      </c>
      <c r="Q610">
        <v>13300</v>
      </c>
      <c r="R610">
        <v>5</v>
      </c>
      <c r="S610">
        <v>66500</v>
      </c>
      <c r="T610">
        <v>0</v>
      </c>
      <c r="U610">
        <v>0</v>
      </c>
      <c r="V610">
        <v>5</v>
      </c>
      <c r="W610">
        <v>66500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 spans="1:29">
      <c r="A611">
        <v>1279</v>
      </c>
      <c r="B611" t="s">
        <v>149</v>
      </c>
      <c r="C611">
        <v>561</v>
      </c>
      <c r="D611" t="s">
        <v>93</v>
      </c>
      <c r="E611" t="str">
        <f t="shared" si="14"/>
        <v>00561</v>
      </c>
      <c r="F611" t="s">
        <v>91</v>
      </c>
      <c r="G611" t="s">
        <v>202</v>
      </c>
      <c r="H611" t="s">
        <v>157</v>
      </c>
      <c r="I611" t="s">
        <v>238</v>
      </c>
      <c r="J611" t="s">
        <v>152</v>
      </c>
      <c r="K611" t="s">
        <v>159</v>
      </c>
      <c r="L611">
        <v>251200772</v>
      </c>
      <c r="M611" s="84">
        <v>46019</v>
      </c>
      <c r="N611" s="84">
        <v>46019</v>
      </c>
      <c r="O611" t="s">
        <v>247</v>
      </c>
      <c r="P611" t="s">
        <v>116</v>
      </c>
      <c r="Q611">
        <v>10982</v>
      </c>
      <c r="R611">
        <v>4</v>
      </c>
      <c r="S611">
        <v>43928</v>
      </c>
      <c r="T611">
        <v>0</v>
      </c>
      <c r="U611">
        <v>0</v>
      </c>
      <c r="V611">
        <v>4</v>
      </c>
      <c r="W611">
        <v>43928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 spans="1:29">
      <c r="A612">
        <v>1280</v>
      </c>
      <c r="B612" t="s">
        <v>149</v>
      </c>
      <c r="C612">
        <v>561</v>
      </c>
      <c r="D612" t="s">
        <v>93</v>
      </c>
      <c r="E612" t="str">
        <f t="shared" si="14"/>
        <v>00561</v>
      </c>
      <c r="F612" t="s">
        <v>91</v>
      </c>
      <c r="G612" t="s">
        <v>202</v>
      </c>
      <c r="H612" t="s">
        <v>157</v>
      </c>
      <c r="I612" t="s">
        <v>238</v>
      </c>
      <c r="J612" t="s">
        <v>152</v>
      </c>
      <c r="K612" t="s">
        <v>159</v>
      </c>
      <c r="L612">
        <v>251200772</v>
      </c>
      <c r="M612" s="84">
        <v>46019</v>
      </c>
      <c r="N612" s="84">
        <v>46019</v>
      </c>
      <c r="O612" t="s">
        <v>239</v>
      </c>
      <c r="P612" t="s">
        <v>240</v>
      </c>
      <c r="Q612">
        <v>13684</v>
      </c>
      <c r="R612">
        <v>1</v>
      </c>
      <c r="S612">
        <v>13684</v>
      </c>
      <c r="T612">
        <v>0</v>
      </c>
      <c r="U612">
        <v>0</v>
      </c>
      <c r="V612">
        <v>1</v>
      </c>
      <c r="W612">
        <v>13684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 spans="1:29">
      <c r="A613">
        <v>1281</v>
      </c>
      <c r="B613" t="s">
        <v>149</v>
      </c>
      <c r="C613">
        <v>561</v>
      </c>
      <c r="D613" t="s">
        <v>93</v>
      </c>
      <c r="E613" t="str">
        <f t="shared" si="14"/>
        <v>00561</v>
      </c>
      <c r="F613" t="s">
        <v>91</v>
      </c>
      <c r="G613" t="s">
        <v>202</v>
      </c>
      <c r="H613" t="s">
        <v>157</v>
      </c>
      <c r="I613" t="s">
        <v>238</v>
      </c>
      <c r="J613" t="s">
        <v>152</v>
      </c>
      <c r="K613" t="s">
        <v>159</v>
      </c>
      <c r="L613">
        <v>251200772</v>
      </c>
      <c r="M613" s="84">
        <v>46019</v>
      </c>
      <c r="N613" s="84">
        <v>46019</v>
      </c>
      <c r="O613" t="s">
        <v>241</v>
      </c>
      <c r="P613" t="s">
        <v>242</v>
      </c>
      <c r="Q613">
        <v>17156</v>
      </c>
      <c r="R613">
        <v>1</v>
      </c>
      <c r="S613">
        <v>17156</v>
      </c>
      <c r="T613">
        <v>0</v>
      </c>
      <c r="U613">
        <v>0</v>
      </c>
      <c r="V613">
        <v>1</v>
      </c>
      <c r="W613">
        <v>17156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</row>
    <row r="614" spans="1:29">
      <c r="A614">
        <v>1282</v>
      </c>
      <c r="B614" t="s">
        <v>149</v>
      </c>
      <c r="C614">
        <v>561</v>
      </c>
      <c r="D614" t="s">
        <v>93</v>
      </c>
      <c r="E614" t="str">
        <f t="shared" si="14"/>
        <v>00561</v>
      </c>
      <c r="F614" t="s">
        <v>91</v>
      </c>
      <c r="G614" t="s">
        <v>202</v>
      </c>
      <c r="H614" t="s">
        <v>157</v>
      </c>
      <c r="I614" t="s">
        <v>231</v>
      </c>
      <c r="J614" t="s">
        <v>152</v>
      </c>
      <c r="K614" t="s">
        <v>159</v>
      </c>
      <c r="L614">
        <v>251200772</v>
      </c>
      <c r="M614" s="84">
        <v>46019</v>
      </c>
      <c r="N614" s="84">
        <v>46019</v>
      </c>
      <c r="O614" t="s">
        <v>234</v>
      </c>
      <c r="P614" t="s">
        <v>235</v>
      </c>
      <c r="Q614">
        <v>10432</v>
      </c>
      <c r="R614">
        <v>1</v>
      </c>
      <c r="S614">
        <v>10432</v>
      </c>
      <c r="T614">
        <v>0</v>
      </c>
      <c r="U614">
        <v>0</v>
      </c>
      <c r="V614">
        <v>1</v>
      </c>
      <c r="W614">
        <v>10432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</row>
    <row r="615" spans="1:29">
      <c r="A615">
        <v>1283</v>
      </c>
      <c r="B615" t="s">
        <v>149</v>
      </c>
      <c r="C615">
        <v>561</v>
      </c>
      <c r="D615" t="s">
        <v>93</v>
      </c>
      <c r="E615" t="str">
        <f t="shared" si="14"/>
        <v>00561</v>
      </c>
      <c r="F615" t="s">
        <v>91</v>
      </c>
      <c r="G615" t="s">
        <v>202</v>
      </c>
      <c r="H615" t="s">
        <v>157</v>
      </c>
      <c r="I615" t="s">
        <v>231</v>
      </c>
      <c r="J615" t="s">
        <v>152</v>
      </c>
      <c r="K615" t="s">
        <v>159</v>
      </c>
      <c r="L615">
        <v>251200772</v>
      </c>
      <c r="M615" s="84">
        <v>46019</v>
      </c>
      <c r="N615" s="84">
        <v>46019</v>
      </c>
      <c r="O615" t="s">
        <v>232</v>
      </c>
      <c r="P615" t="s">
        <v>122</v>
      </c>
      <c r="Q615">
        <v>6213</v>
      </c>
      <c r="R615">
        <v>1</v>
      </c>
      <c r="S615">
        <v>6213</v>
      </c>
      <c r="T615">
        <v>0</v>
      </c>
      <c r="U615">
        <v>0</v>
      </c>
      <c r="V615">
        <v>1</v>
      </c>
      <c r="W615">
        <v>6213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 spans="1:29">
      <c r="A616">
        <v>1284</v>
      </c>
      <c r="B616" t="s">
        <v>149</v>
      </c>
      <c r="C616">
        <v>519</v>
      </c>
      <c r="D616" t="s">
        <v>296</v>
      </c>
      <c r="E616" t="str">
        <f t="shared" si="14"/>
        <v>00519</v>
      </c>
      <c r="F616" t="s">
        <v>7</v>
      </c>
      <c r="G616" t="s">
        <v>156</v>
      </c>
      <c r="H616" t="s">
        <v>157</v>
      </c>
      <c r="I616" t="s">
        <v>210</v>
      </c>
      <c r="J616" t="s">
        <v>152</v>
      </c>
      <c r="K616" t="s">
        <v>159</v>
      </c>
      <c r="L616">
        <v>251200773</v>
      </c>
      <c r="M616" s="84">
        <v>46019</v>
      </c>
      <c r="N616" s="84">
        <v>46019</v>
      </c>
      <c r="O616" t="s">
        <v>228</v>
      </c>
      <c r="P616" t="s">
        <v>229</v>
      </c>
      <c r="Q616">
        <v>27674</v>
      </c>
      <c r="R616">
        <v>14</v>
      </c>
      <c r="S616">
        <v>387436</v>
      </c>
      <c r="T616">
        <v>0</v>
      </c>
      <c r="U616">
        <v>0</v>
      </c>
      <c r="V616">
        <v>14</v>
      </c>
      <c r="W616">
        <v>387436</v>
      </c>
      <c r="X616">
        <v>11620</v>
      </c>
      <c r="Y616">
        <v>15498</v>
      </c>
      <c r="Z616">
        <v>7742</v>
      </c>
      <c r="AA616">
        <v>19376</v>
      </c>
      <c r="AB616">
        <v>1400</v>
      </c>
      <c r="AC616">
        <v>55636</v>
      </c>
    </row>
    <row r="617" spans="1:29">
      <c r="A617">
        <v>1285</v>
      </c>
      <c r="B617" t="s">
        <v>149</v>
      </c>
      <c r="C617">
        <v>519</v>
      </c>
      <c r="D617" t="s">
        <v>296</v>
      </c>
      <c r="E617" t="str">
        <f t="shared" si="14"/>
        <v>00519</v>
      </c>
      <c r="F617" t="s">
        <v>7</v>
      </c>
      <c r="G617" t="s">
        <v>156</v>
      </c>
      <c r="H617" t="s">
        <v>157</v>
      </c>
      <c r="I617" t="s">
        <v>210</v>
      </c>
      <c r="J617" t="s">
        <v>152</v>
      </c>
      <c r="K617" t="s">
        <v>159</v>
      </c>
      <c r="L617">
        <v>251200773</v>
      </c>
      <c r="M617" s="84">
        <v>46019</v>
      </c>
      <c r="N617" s="84">
        <v>46019</v>
      </c>
      <c r="O617" t="s">
        <v>213</v>
      </c>
      <c r="P617" t="s">
        <v>214</v>
      </c>
      <c r="Q617">
        <v>23802</v>
      </c>
      <c r="R617">
        <v>8</v>
      </c>
      <c r="S617">
        <v>190416</v>
      </c>
      <c r="T617">
        <v>0</v>
      </c>
      <c r="U617">
        <v>0</v>
      </c>
      <c r="V617">
        <v>8</v>
      </c>
      <c r="W617">
        <v>190416</v>
      </c>
      <c r="X617">
        <v>3808</v>
      </c>
      <c r="Y617">
        <v>3808</v>
      </c>
      <c r="Z617">
        <v>8000</v>
      </c>
      <c r="AA617">
        <v>0</v>
      </c>
      <c r="AB617">
        <v>800</v>
      </c>
      <c r="AC617">
        <v>16416</v>
      </c>
    </row>
    <row r="618" spans="1:29">
      <c r="A618">
        <v>1286</v>
      </c>
      <c r="B618" t="s">
        <v>149</v>
      </c>
      <c r="C618">
        <v>519</v>
      </c>
      <c r="D618" t="s">
        <v>296</v>
      </c>
      <c r="E618" t="str">
        <f t="shared" si="14"/>
        <v>00519</v>
      </c>
      <c r="F618" t="s">
        <v>7</v>
      </c>
      <c r="G618" t="s">
        <v>156</v>
      </c>
      <c r="H618" t="s">
        <v>157</v>
      </c>
      <c r="I618" t="s">
        <v>210</v>
      </c>
      <c r="J618" t="s">
        <v>152</v>
      </c>
      <c r="K618" t="s">
        <v>159</v>
      </c>
      <c r="L618">
        <v>251200773</v>
      </c>
      <c r="M618" s="84">
        <v>46019</v>
      </c>
      <c r="N618" s="84">
        <v>46019</v>
      </c>
      <c r="O618" t="s">
        <v>250</v>
      </c>
      <c r="P618" t="s">
        <v>251</v>
      </c>
      <c r="Q618">
        <v>30930</v>
      </c>
      <c r="R618">
        <v>5</v>
      </c>
      <c r="S618">
        <v>154650</v>
      </c>
      <c r="T618">
        <v>0</v>
      </c>
      <c r="U618">
        <v>0</v>
      </c>
      <c r="V618">
        <v>5</v>
      </c>
      <c r="W618">
        <v>154650</v>
      </c>
      <c r="X618">
        <v>4640</v>
      </c>
      <c r="Y618">
        <v>6185</v>
      </c>
      <c r="Z618">
        <v>3095</v>
      </c>
      <c r="AA618">
        <v>7735</v>
      </c>
      <c r="AB618">
        <v>500</v>
      </c>
      <c r="AC618">
        <v>22155</v>
      </c>
    </row>
    <row r="619" spans="1:29">
      <c r="A619">
        <v>1290</v>
      </c>
      <c r="B619" t="s">
        <v>149</v>
      </c>
      <c r="C619">
        <v>163</v>
      </c>
      <c r="D619" t="s">
        <v>76</v>
      </c>
      <c r="E619" t="str">
        <f t="shared" si="14"/>
        <v>00163</v>
      </c>
      <c r="F619" t="s">
        <v>73</v>
      </c>
      <c r="G619" t="s">
        <v>185</v>
      </c>
      <c r="H619" t="s">
        <v>151</v>
      </c>
      <c r="I619" t="s">
        <v>4</v>
      </c>
      <c r="J619" t="s">
        <v>152</v>
      </c>
      <c r="K619" t="s">
        <v>153</v>
      </c>
      <c r="L619">
        <v>251200776</v>
      </c>
      <c r="M619" s="84">
        <v>46019</v>
      </c>
      <c r="N619" s="84">
        <v>46019</v>
      </c>
      <c r="O619" t="s">
        <v>243</v>
      </c>
      <c r="P619" t="s">
        <v>244</v>
      </c>
      <c r="Q619">
        <v>15050</v>
      </c>
      <c r="R619">
        <v>4</v>
      </c>
      <c r="S619">
        <v>60200</v>
      </c>
      <c r="T619">
        <v>0</v>
      </c>
      <c r="U619">
        <v>0</v>
      </c>
      <c r="V619">
        <v>4</v>
      </c>
      <c r="W619">
        <v>60200</v>
      </c>
      <c r="X619">
        <v>600</v>
      </c>
      <c r="Y619">
        <v>800</v>
      </c>
      <c r="Z619">
        <v>0</v>
      </c>
      <c r="AA619">
        <v>0</v>
      </c>
      <c r="AB619">
        <v>0</v>
      </c>
      <c r="AC619">
        <v>1400</v>
      </c>
    </row>
    <row r="620" spans="1:29">
      <c r="A620">
        <v>1291</v>
      </c>
      <c r="B620" t="s">
        <v>149</v>
      </c>
      <c r="C620">
        <v>88</v>
      </c>
      <c r="D620" t="s">
        <v>46</v>
      </c>
      <c r="E620" t="str">
        <f t="shared" si="14"/>
        <v>00088</v>
      </c>
      <c r="F620" t="s">
        <v>43</v>
      </c>
      <c r="G620" t="s">
        <v>150</v>
      </c>
      <c r="H620" t="s">
        <v>151</v>
      </c>
      <c r="I620" t="s">
        <v>5</v>
      </c>
      <c r="J620" t="s">
        <v>152</v>
      </c>
      <c r="K620" t="s">
        <v>153</v>
      </c>
      <c r="L620">
        <v>251200777</v>
      </c>
      <c r="M620" s="84">
        <v>46019</v>
      </c>
      <c r="N620" s="84">
        <v>46019</v>
      </c>
      <c r="O620" t="s">
        <v>191</v>
      </c>
      <c r="P620" t="s">
        <v>192</v>
      </c>
      <c r="Q620">
        <v>11700</v>
      </c>
      <c r="R620">
        <v>4</v>
      </c>
      <c r="S620">
        <v>46800</v>
      </c>
      <c r="T620">
        <v>0</v>
      </c>
      <c r="U620">
        <v>0</v>
      </c>
      <c r="V620">
        <v>4</v>
      </c>
      <c r="W620">
        <v>46800</v>
      </c>
      <c r="X620">
        <v>600</v>
      </c>
      <c r="Y620">
        <v>600</v>
      </c>
      <c r="Z620">
        <v>0</v>
      </c>
      <c r="AA620">
        <v>0</v>
      </c>
      <c r="AB620">
        <v>0</v>
      </c>
      <c r="AC620">
        <v>1200</v>
      </c>
    </row>
    <row r="621" spans="1:29">
      <c r="A621">
        <v>1292</v>
      </c>
      <c r="B621" t="s">
        <v>149</v>
      </c>
      <c r="C621">
        <v>88</v>
      </c>
      <c r="D621" t="s">
        <v>46</v>
      </c>
      <c r="E621" t="str">
        <f t="shared" si="14"/>
        <v>00088</v>
      </c>
      <c r="F621" t="s">
        <v>43</v>
      </c>
      <c r="G621" t="s">
        <v>150</v>
      </c>
      <c r="H621" t="s">
        <v>151</v>
      </c>
      <c r="I621" t="s">
        <v>4</v>
      </c>
      <c r="J621" t="s">
        <v>152</v>
      </c>
      <c r="K621" t="s">
        <v>153</v>
      </c>
      <c r="L621">
        <v>251200777</v>
      </c>
      <c r="M621" s="84">
        <v>46019</v>
      </c>
      <c r="N621" s="84">
        <v>46019</v>
      </c>
      <c r="O621" t="s">
        <v>160</v>
      </c>
      <c r="P621" t="s">
        <v>161</v>
      </c>
      <c r="Q621">
        <v>14250</v>
      </c>
      <c r="R621">
        <v>5</v>
      </c>
      <c r="S621">
        <v>71250</v>
      </c>
      <c r="T621">
        <v>0</v>
      </c>
      <c r="U621">
        <v>0</v>
      </c>
      <c r="V621">
        <v>5</v>
      </c>
      <c r="W621">
        <v>71250</v>
      </c>
      <c r="X621">
        <v>750</v>
      </c>
      <c r="Y621">
        <v>1000</v>
      </c>
      <c r="Z621">
        <v>0</v>
      </c>
      <c r="AA621">
        <v>0</v>
      </c>
      <c r="AB621">
        <v>0</v>
      </c>
      <c r="AC621">
        <v>1750</v>
      </c>
    </row>
    <row r="622" spans="1:29">
      <c r="A622">
        <v>1297</v>
      </c>
      <c r="B622" t="s">
        <v>149</v>
      </c>
      <c r="C622">
        <v>562</v>
      </c>
      <c r="D622" t="s">
        <v>92</v>
      </c>
      <c r="E622" t="str">
        <f t="shared" si="14"/>
        <v>00562</v>
      </c>
      <c r="F622" t="s">
        <v>91</v>
      </c>
      <c r="G622" t="s">
        <v>202</v>
      </c>
      <c r="H622" t="s">
        <v>157</v>
      </c>
      <c r="I622" t="s">
        <v>4</v>
      </c>
      <c r="J622" t="s">
        <v>152</v>
      </c>
      <c r="K622" t="s">
        <v>159</v>
      </c>
      <c r="L622">
        <v>251200782</v>
      </c>
      <c r="M622" s="84">
        <v>46019</v>
      </c>
      <c r="N622" s="84">
        <v>46019</v>
      </c>
      <c r="O622" t="s">
        <v>177</v>
      </c>
      <c r="P622" t="s">
        <v>178</v>
      </c>
      <c r="Q622">
        <v>14250</v>
      </c>
      <c r="R622">
        <v>20</v>
      </c>
      <c r="S622">
        <v>285000</v>
      </c>
      <c r="T622">
        <v>0</v>
      </c>
      <c r="U622">
        <v>0</v>
      </c>
      <c r="V622">
        <v>20</v>
      </c>
      <c r="W622">
        <v>285000</v>
      </c>
      <c r="X622">
        <v>3000</v>
      </c>
      <c r="Y622">
        <v>4000</v>
      </c>
      <c r="Z622">
        <v>0</v>
      </c>
      <c r="AA622">
        <v>0</v>
      </c>
      <c r="AB622">
        <v>0</v>
      </c>
      <c r="AC622">
        <v>7000</v>
      </c>
    </row>
    <row r="623" spans="1:29">
      <c r="A623">
        <v>1298</v>
      </c>
      <c r="B623" t="s">
        <v>149</v>
      </c>
      <c r="C623">
        <v>1401</v>
      </c>
      <c r="D623" t="s">
        <v>29</v>
      </c>
      <c r="E623" t="str">
        <f t="shared" si="14"/>
        <v>01401</v>
      </c>
      <c r="F623" t="s">
        <v>28</v>
      </c>
      <c r="G623" t="s">
        <v>164</v>
      </c>
      <c r="H623" t="s">
        <v>151</v>
      </c>
      <c r="I623" t="s">
        <v>4</v>
      </c>
      <c r="J623" t="s">
        <v>152</v>
      </c>
      <c r="K623" t="s">
        <v>153</v>
      </c>
      <c r="L623">
        <v>251200783</v>
      </c>
      <c r="M623" s="84">
        <v>46019</v>
      </c>
      <c r="N623" s="84">
        <v>46019</v>
      </c>
      <c r="O623" t="s">
        <v>160</v>
      </c>
      <c r="P623" t="s">
        <v>161</v>
      </c>
      <c r="Q623">
        <v>14250</v>
      </c>
      <c r="R623">
        <v>20</v>
      </c>
      <c r="S623">
        <v>285000</v>
      </c>
      <c r="T623">
        <v>0</v>
      </c>
      <c r="U623">
        <v>0</v>
      </c>
      <c r="V623">
        <v>20</v>
      </c>
      <c r="W623">
        <v>285000</v>
      </c>
      <c r="X623">
        <v>3000</v>
      </c>
      <c r="Y623">
        <v>4000</v>
      </c>
      <c r="Z623">
        <v>0</v>
      </c>
      <c r="AA623">
        <v>0</v>
      </c>
      <c r="AB623">
        <v>0</v>
      </c>
      <c r="AC623">
        <v>7000</v>
      </c>
    </row>
    <row r="624" spans="1:29">
      <c r="A624">
        <v>1307</v>
      </c>
      <c r="B624" t="s">
        <v>149</v>
      </c>
      <c r="C624">
        <v>1395</v>
      </c>
      <c r="D624" t="s">
        <v>101</v>
      </c>
      <c r="E624" t="str">
        <f t="shared" si="14"/>
        <v>01395</v>
      </c>
      <c r="F624" t="s">
        <v>95</v>
      </c>
      <c r="G624" t="s">
        <v>187</v>
      </c>
      <c r="H624" t="s">
        <v>188</v>
      </c>
      <c r="I624" t="s">
        <v>4</v>
      </c>
      <c r="J624" t="s">
        <v>152</v>
      </c>
      <c r="K624" t="s">
        <v>159</v>
      </c>
      <c r="L624">
        <v>251200787</v>
      </c>
      <c r="M624" s="84">
        <v>46019</v>
      </c>
      <c r="N624" s="84">
        <v>46019</v>
      </c>
      <c r="O624" t="s">
        <v>243</v>
      </c>
      <c r="P624" t="s">
        <v>244</v>
      </c>
      <c r="Q624">
        <v>13600</v>
      </c>
      <c r="R624">
        <v>9</v>
      </c>
      <c r="S624">
        <v>122400</v>
      </c>
      <c r="T624">
        <v>0</v>
      </c>
      <c r="U624">
        <v>0</v>
      </c>
      <c r="V624">
        <v>9</v>
      </c>
      <c r="W624">
        <v>122400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</row>
    <row r="625" spans="1:29">
      <c r="A625">
        <v>1309</v>
      </c>
      <c r="B625" t="s">
        <v>149</v>
      </c>
      <c r="C625">
        <v>1401</v>
      </c>
      <c r="D625" t="s">
        <v>29</v>
      </c>
      <c r="E625" t="str">
        <f t="shared" si="14"/>
        <v>01401</v>
      </c>
      <c r="F625" t="s">
        <v>28</v>
      </c>
      <c r="G625" t="s">
        <v>164</v>
      </c>
      <c r="H625" t="s">
        <v>151</v>
      </c>
      <c r="I625" t="s">
        <v>5</v>
      </c>
      <c r="J625" t="s">
        <v>152</v>
      </c>
      <c r="K625" t="s">
        <v>153</v>
      </c>
      <c r="L625">
        <v>251200789</v>
      </c>
      <c r="M625" s="84">
        <v>46019</v>
      </c>
      <c r="N625" s="84">
        <v>46019</v>
      </c>
      <c r="O625" t="s">
        <v>191</v>
      </c>
      <c r="P625" t="s">
        <v>192</v>
      </c>
      <c r="Q625">
        <v>11700</v>
      </c>
      <c r="R625">
        <v>52</v>
      </c>
      <c r="S625">
        <v>608400</v>
      </c>
      <c r="T625">
        <v>0</v>
      </c>
      <c r="U625">
        <v>0</v>
      </c>
      <c r="V625">
        <v>52</v>
      </c>
      <c r="W625">
        <v>608400</v>
      </c>
      <c r="X625">
        <v>7800</v>
      </c>
      <c r="Y625">
        <v>7800</v>
      </c>
      <c r="Z625">
        <v>0</v>
      </c>
      <c r="AA625">
        <v>0</v>
      </c>
      <c r="AB625">
        <v>0</v>
      </c>
      <c r="AC625">
        <v>15600</v>
      </c>
    </row>
    <row r="626" spans="1:29">
      <c r="A626">
        <v>1311</v>
      </c>
      <c r="B626" t="s">
        <v>149</v>
      </c>
      <c r="C626">
        <v>1118</v>
      </c>
      <c r="D626" t="s">
        <v>37</v>
      </c>
      <c r="E626" t="str">
        <f t="shared" si="14"/>
        <v>01118</v>
      </c>
      <c r="F626" t="s">
        <v>28</v>
      </c>
      <c r="G626" t="s">
        <v>164</v>
      </c>
      <c r="H626" t="s">
        <v>151</v>
      </c>
      <c r="I626" t="s">
        <v>4</v>
      </c>
      <c r="J626" t="s">
        <v>152</v>
      </c>
      <c r="K626" t="s">
        <v>153</v>
      </c>
      <c r="L626">
        <v>251200791</v>
      </c>
      <c r="M626" s="84">
        <v>46019</v>
      </c>
      <c r="N626" s="84">
        <v>46019</v>
      </c>
      <c r="O626" t="s">
        <v>243</v>
      </c>
      <c r="P626" t="s">
        <v>244</v>
      </c>
      <c r="Q626">
        <v>15050</v>
      </c>
      <c r="R626">
        <v>9</v>
      </c>
      <c r="S626">
        <v>135450</v>
      </c>
      <c r="T626">
        <v>0</v>
      </c>
      <c r="U626">
        <v>0</v>
      </c>
      <c r="V626">
        <v>9</v>
      </c>
      <c r="W626">
        <v>135450</v>
      </c>
      <c r="X626">
        <v>1350</v>
      </c>
      <c r="Y626">
        <v>1800</v>
      </c>
      <c r="Z626">
        <v>0</v>
      </c>
      <c r="AA626">
        <v>0</v>
      </c>
      <c r="AB626">
        <v>0</v>
      </c>
      <c r="AC626">
        <v>3150</v>
      </c>
    </row>
    <row r="627" spans="1:29">
      <c r="A627">
        <v>1312</v>
      </c>
      <c r="B627" t="s">
        <v>149</v>
      </c>
      <c r="C627">
        <v>1581</v>
      </c>
      <c r="D627" t="s">
        <v>96</v>
      </c>
      <c r="E627" t="str">
        <f t="shared" si="14"/>
        <v>01581</v>
      </c>
      <c r="F627" t="s">
        <v>95</v>
      </c>
      <c r="G627" t="s">
        <v>187</v>
      </c>
      <c r="H627" t="s">
        <v>188</v>
      </c>
      <c r="I627" t="s">
        <v>5</v>
      </c>
      <c r="J627" t="s">
        <v>152</v>
      </c>
      <c r="K627" t="s">
        <v>159</v>
      </c>
      <c r="L627">
        <v>251200792</v>
      </c>
      <c r="M627" s="84">
        <v>46019</v>
      </c>
      <c r="N627" s="84">
        <v>46019</v>
      </c>
      <c r="O627" t="s">
        <v>198</v>
      </c>
      <c r="P627" t="s">
        <v>199</v>
      </c>
      <c r="Q627">
        <v>10800</v>
      </c>
      <c r="R627">
        <v>12</v>
      </c>
      <c r="S627">
        <v>129600</v>
      </c>
      <c r="T627">
        <v>0</v>
      </c>
      <c r="U627">
        <v>0</v>
      </c>
      <c r="V627">
        <v>12</v>
      </c>
      <c r="W627">
        <v>129600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 spans="1:29">
      <c r="A628">
        <v>1313</v>
      </c>
      <c r="B628" t="s">
        <v>149</v>
      </c>
      <c r="C628">
        <v>1448</v>
      </c>
      <c r="D628" t="s">
        <v>21</v>
      </c>
      <c r="E628" t="str">
        <f t="shared" si="14"/>
        <v>01448</v>
      </c>
      <c r="F628" t="s">
        <v>20</v>
      </c>
      <c r="G628" t="s">
        <v>193</v>
      </c>
      <c r="H628" t="s">
        <v>151</v>
      </c>
      <c r="I628" t="s">
        <v>5</v>
      </c>
      <c r="J628" t="s">
        <v>152</v>
      </c>
      <c r="K628" t="s">
        <v>236</v>
      </c>
      <c r="L628">
        <v>251200793</v>
      </c>
      <c r="M628" s="84">
        <v>46019</v>
      </c>
      <c r="N628" s="84">
        <v>46019</v>
      </c>
      <c r="O628" t="s">
        <v>191</v>
      </c>
      <c r="P628" t="s">
        <v>192</v>
      </c>
      <c r="Q628">
        <v>11700</v>
      </c>
      <c r="R628">
        <v>4</v>
      </c>
      <c r="S628">
        <v>46800</v>
      </c>
      <c r="T628">
        <v>0</v>
      </c>
      <c r="U628">
        <v>0</v>
      </c>
      <c r="V628">
        <v>4</v>
      </c>
      <c r="W628">
        <v>46800</v>
      </c>
      <c r="X628">
        <v>600</v>
      </c>
      <c r="Y628">
        <v>600</v>
      </c>
      <c r="Z628">
        <v>0</v>
      </c>
      <c r="AA628">
        <v>0</v>
      </c>
      <c r="AB628">
        <v>0</v>
      </c>
      <c r="AC628">
        <v>1200</v>
      </c>
    </row>
    <row r="629" spans="1:29">
      <c r="A629">
        <v>1314</v>
      </c>
      <c r="B629" t="s">
        <v>149</v>
      </c>
      <c r="C629">
        <v>1108</v>
      </c>
      <c r="D629" t="s">
        <v>107</v>
      </c>
      <c r="E629" t="str">
        <f t="shared" si="14"/>
        <v>01108</v>
      </c>
      <c r="F629" t="s">
        <v>103</v>
      </c>
      <c r="G629" t="s">
        <v>167</v>
      </c>
      <c r="H629" t="s">
        <v>151</v>
      </c>
      <c r="I629" t="s">
        <v>5</v>
      </c>
      <c r="J629" t="s">
        <v>152</v>
      </c>
      <c r="K629" t="s">
        <v>153</v>
      </c>
      <c r="L629">
        <v>251200794</v>
      </c>
      <c r="M629" s="84">
        <v>46019</v>
      </c>
      <c r="N629" s="84">
        <v>46019</v>
      </c>
      <c r="O629" t="s">
        <v>191</v>
      </c>
      <c r="P629" t="s">
        <v>192</v>
      </c>
      <c r="Q629">
        <v>11700</v>
      </c>
      <c r="R629">
        <v>20</v>
      </c>
      <c r="S629">
        <v>234000</v>
      </c>
      <c r="T629">
        <v>0</v>
      </c>
      <c r="U629">
        <v>0</v>
      </c>
      <c r="V629">
        <v>20</v>
      </c>
      <c r="W629">
        <v>234000</v>
      </c>
      <c r="X629">
        <v>3000</v>
      </c>
      <c r="Y629">
        <v>3000</v>
      </c>
      <c r="Z629">
        <v>0</v>
      </c>
      <c r="AA629">
        <v>0</v>
      </c>
      <c r="AB629">
        <v>0</v>
      </c>
      <c r="AC629">
        <v>6000</v>
      </c>
    </row>
    <row r="630" spans="1:29">
      <c r="A630">
        <v>1315</v>
      </c>
      <c r="B630" t="s">
        <v>149</v>
      </c>
      <c r="C630">
        <v>1108</v>
      </c>
      <c r="D630" t="s">
        <v>107</v>
      </c>
      <c r="E630" t="str">
        <f t="shared" si="14"/>
        <v>01108</v>
      </c>
      <c r="F630" t="s">
        <v>103</v>
      </c>
      <c r="G630" t="s">
        <v>167</v>
      </c>
      <c r="H630" t="s">
        <v>151</v>
      </c>
      <c r="I630" t="s">
        <v>4</v>
      </c>
      <c r="J630" t="s">
        <v>152</v>
      </c>
      <c r="K630" t="s">
        <v>153</v>
      </c>
      <c r="L630">
        <v>251200794</v>
      </c>
      <c r="M630" s="84">
        <v>46019</v>
      </c>
      <c r="N630" s="84">
        <v>46019</v>
      </c>
      <c r="O630" t="s">
        <v>160</v>
      </c>
      <c r="P630" t="s">
        <v>161</v>
      </c>
      <c r="Q630">
        <v>14250</v>
      </c>
      <c r="R630">
        <v>60</v>
      </c>
      <c r="S630">
        <v>855000</v>
      </c>
      <c r="T630">
        <v>0</v>
      </c>
      <c r="U630">
        <v>0</v>
      </c>
      <c r="V630">
        <v>60</v>
      </c>
      <c r="W630">
        <v>855000</v>
      </c>
      <c r="X630">
        <v>9000</v>
      </c>
      <c r="Y630">
        <v>12000</v>
      </c>
      <c r="Z630">
        <v>0</v>
      </c>
      <c r="AA630">
        <v>0</v>
      </c>
      <c r="AB630">
        <v>0</v>
      </c>
      <c r="AC630">
        <v>21000</v>
      </c>
    </row>
    <row r="631" spans="1:29">
      <c r="A631">
        <v>1320</v>
      </c>
      <c r="B631" t="s">
        <v>149</v>
      </c>
      <c r="C631">
        <v>988</v>
      </c>
      <c r="D631" t="s">
        <v>19</v>
      </c>
      <c r="E631" t="str">
        <f t="shared" si="14"/>
        <v>00988</v>
      </c>
      <c r="F631" t="s">
        <v>15</v>
      </c>
      <c r="G631" t="s">
        <v>193</v>
      </c>
      <c r="H631" t="s">
        <v>151</v>
      </c>
      <c r="I631" t="s">
        <v>5</v>
      </c>
      <c r="J631" t="s">
        <v>152</v>
      </c>
      <c r="K631" t="s">
        <v>153</v>
      </c>
      <c r="L631">
        <v>251200796</v>
      </c>
      <c r="M631" s="84">
        <v>46019</v>
      </c>
      <c r="N631" s="84">
        <v>46019</v>
      </c>
      <c r="O631" t="s">
        <v>191</v>
      </c>
      <c r="P631" t="s">
        <v>192</v>
      </c>
      <c r="Q631">
        <v>11700</v>
      </c>
      <c r="R631">
        <v>20</v>
      </c>
      <c r="S631">
        <v>234000</v>
      </c>
      <c r="T631">
        <v>0</v>
      </c>
      <c r="U631">
        <v>0</v>
      </c>
      <c r="V631">
        <v>20</v>
      </c>
      <c r="W631">
        <v>234000</v>
      </c>
      <c r="X631">
        <v>3000</v>
      </c>
      <c r="Y631">
        <v>3000</v>
      </c>
      <c r="Z631">
        <v>0</v>
      </c>
      <c r="AA631">
        <v>0</v>
      </c>
      <c r="AB631">
        <v>0</v>
      </c>
      <c r="AC631">
        <v>6000</v>
      </c>
    </row>
    <row r="632" spans="1:29">
      <c r="A632">
        <v>1321</v>
      </c>
      <c r="B632" t="s">
        <v>149</v>
      </c>
      <c r="C632">
        <v>988</v>
      </c>
      <c r="D632" t="s">
        <v>19</v>
      </c>
      <c r="E632" t="str">
        <f t="shared" si="14"/>
        <v>00988</v>
      </c>
      <c r="F632" t="s">
        <v>15</v>
      </c>
      <c r="G632" t="s">
        <v>193</v>
      </c>
      <c r="H632" t="s">
        <v>151</v>
      </c>
      <c r="I632" t="s">
        <v>210</v>
      </c>
      <c r="J632" t="s">
        <v>152</v>
      </c>
      <c r="K632" t="s">
        <v>153</v>
      </c>
      <c r="L632">
        <v>251200796</v>
      </c>
      <c r="M632" s="84">
        <v>46019</v>
      </c>
      <c r="N632" s="84">
        <v>46019</v>
      </c>
      <c r="O632" t="s">
        <v>213</v>
      </c>
      <c r="P632" t="s">
        <v>214</v>
      </c>
      <c r="Q632">
        <v>23802</v>
      </c>
      <c r="R632">
        <v>5</v>
      </c>
      <c r="S632">
        <v>119010</v>
      </c>
      <c r="T632">
        <v>0</v>
      </c>
      <c r="U632">
        <v>0</v>
      </c>
      <c r="V632">
        <v>5</v>
      </c>
      <c r="W632">
        <v>119010</v>
      </c>
      <c r="X632">
        <v>2380</v>
      </c>
      <c r="Y632">
        <v>2380</v>
      </c>
      <c r="Z632">
        <v>5000</v>
      </c>
      <c r="AA632">
        <v>0</v>
      </c>
      <c r="AB632">
        <v>500</v>
      </c>
      <c r="AC632">
        <v>10260</v>
      </c>
    </row>
    <row r="633" spans="1:29">
      <c r="A633">
        <v>1322</v>
      </c>
      <c r="B633" t="s">
        <v>149</v>
      </c>
      <c r="C633">
        <v>988</v>
      </c>
      <c r="D633" t="s">
        <v>19</v>
      </c>
      <c r="E633" t="str">
        <f t="shared" si="14"/>
        <v>00988</v>
      </c>
      <c r="F633" t="s">
        <v>15</v>
      </c>
      <c r="G633" t="s">
        <v>193</v>
      </c>
      <c r="H633" t="s">
        <v>151</v>
      </c>
      <c r="I633" t="s">
        <v>4</v>
      </c>
      <c r="J633" t="s">
        <v>152</v>
      </c>
      <c r="K633" t="s">
        <v>153</v>
      </c>
      <c r="L633">
        <v>251200796</v>
      </c>
      <c r="M633" s="84">
        <v>46019</v>
      </c>
      <c r="N633" s="84">
        <v>46019</v>
      </c>
      <c r="O633" t="s">
        <v>179</v>
      </c>
      <c r="P633" t="s">
        <v>180</v>
      </c>
      <c r="Q633">
        <v>14250</v>
      </c>
      <c r="R633">
        <v>10</v>
      </c>
      <c r="S633">
        <v>142500</v>
      </c>
      <c r="T633">
        <v>0</v>
      </c>
      <c r="U633">
        <v>0</v>
      </c>
      <c r="V633">
        <v>10</v>
      </c>
      <c r="W633">
        <v>142500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</row>
    <row r="634" spans="1:29">
      <c r="A634">
        <v>1323</v>
      </c>
      <c r="B634" t="s">
        <v>149</v>
      </c>
      <c r="C634">
        <v>988</v>
      </c>
      <c r="D634" t="s">
        <v>19</v>
      </c>
      <c r="E634" t="str">
        <f t="shared" si="14"/>
        <v>00988</v>
      </c>
      <c r="F634" t="s">
        <v>15</v>
      </c>
      <c r="G634" t="s">
        <v>193</v>
      </c>
      <c r="H634" t="s">
        <v>151</v>
      </c>
      <c r="I634" t="s">
        <v>5</v>
      </c>
      <c r="J634" t="s">
        <v>152</v>
      </c>
      <c r="K634" t="s">
        <v>153</v>
      </c>
      <c r="L634">
        <v>251200796</v>
      </c>
      <c r="M634" s="84">
        <v>46019</v>
      </c>
      <c r="N634" s="84">
        <v>46019</v>
      </c>
      <c r="O634" t="s">
        <v>260</v>
      </c>
      <c r="P634" t="s">
        <v>261</v>
      </c>
      <c r="Q634">
        <v>11700</v>
      </c>
      <c r="R634">
        <v>8</v>
      </c>
      <c r="S634">
        <v>93600</v>
      </c>
      <c r="T634">
        <v>0</v>
      </c>
      <c r="U634">
        <v>0</v>
      </c>
      <c r="V634">
        <v>8</v>
      </c>
      <c r="W634">
        <v>93600</v>
      </c>
      <c r="X634">
        <v>1200</v>
      </c>
      <c r="Y634">
        <v>1200</v>
      </c>
      <c r="Z634">
        <v>0</v>
      </c>
      <c r="AA634">
        <v>0</v>
      </c>
      <c r="AB634">
        <v>0</v>
      </c>
      <c r="AC634">
        <v>2400</v>
      </c>
    </row>
    <row r="635" spans="1:29">
      <c r="A635">
        <v>1324</v>
      </c>
      <c r="B635" t="s">
        <v>149</v>
      </c>
      <c r="C635">
        <v>845</v>
      </c>
      <c r="D635" t="s">
        <v>293</v>
      </c>
      <c r="E635" t="str">
        <f t="shared" si="14"/>
        <v>00845</v>
      </c>
      <c r="F635" t="s">
        <v>15</v>
      </c>
      <c r="G635" t="s">
        <v>193</v>
      </c>
      <c r="H635" t="s">
        <v>151</v>
      </c>
      <c r="I635" t="s">
        <v>210</v>
      </c>
      <c r="J635" t="s">
        <v>152</v>
      </c>
      <c r="K635" t="s">
        <v>153</v>
      </c>
      <c r="L635">
        <v>251200797</v>
      </c>
      <c r="M635" s="84">
        <v>46019</v>
      </c>
      <c r="N635" s="84">
        <v>46019</v>
      </c>
      <c r="O635" t="s">
        <v>213</v>
      </c>
      <c r="P635" t="s">
        <v>214</v>
      </c>
      <c r="Q635">
        <v>23802</v>
      </c>
      <c r="R635">
        <v>5</v>
      </c>
      <c r="S635">
        <v>119010</v>
      </c>
      <c r="T635">
        <v>0</v>
      </c>
      <c r="U635">
        <v>0</v>
      </c>
      <c r="V635">
        <v>5</v>
      </c>
      <c r="W635">
        <v>119010</v>
      </c>
      <c r="X635">
        <v>2380</v>
      </c>
      <c r="Y635">
        <v>2380</v>
      </c>
      <c r="Z635">
        <v>5000</v>
      </c>
      <c r="AA635">
        <v>0</v>
      </c>
      <c r="AB635">
        <v>500</v>
      </c>
      <c r="AC635">
        <v>10260</v>
      </c>
    </row>
    <row r="636" spans="1:29">
      <c r="A636">
        <v>1326</v>
      </c>
      <c r="B636" t="s">
        <v>149</v>
      </c>
      <c r="C636">
        <v>337</v>
      </c>
      <c r="D636" t="s">
        <v>57</v>
      </c>
      <c r="E636" t="str">
        <f t="shared" si="14"/>
        <v>00337</v>
      </c>
      <c r="F636" t="s">
        <v>49</v>
      </c>
      <c r="G636" t="s">
        <v>167</v>
      </c>
      <c r="H636" t="s">
        <v>151</v>
      </c>
      <c r="I636" t="s">
        <v>4</v>
      </c>
      <c r="J636" t="s">
        <v>152</v>
      </c>
      <c r="K636" t="s">
        <v>153</v>
      </c>
      <c r="L636">
        <v>251200799</v>
      </c>
      <c r="M636" s="84">
        <v>46019</v>
      </c>
      <c r="N636" s="84">
        <v>46019</v>
      </c>
      <c r="O636" t="s">
        <v>154</v>
      </c>
      <c r="P636" t="s">
        <v>155</v>
      </c>
      <c r="Q636">
        <v>14250</v>
      </c>
      <c r="R636">
        <v>8</v>
      </c>
      <c r="S636">
        <v>114000</v>
      </c>
      <c r="T636">
        <v>0</v>
      </c>
      <c r="U636">
        <v>0</v>
      </c>
      <c r="V636">
        <v>8</v>
      </c>
      <c r="W636">
        <v>114000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</row>
    <row r="637" spans="1:29">
      <c r="A637">
        <v>1342</v>
      </c>
      <c r="B637" t="s">
        <v>149</v>
      </c>
      <c r="C637">
        <v>562</v>
      </c>
      <c r="D637" t="s">
        <v>92</v>
      </c>
      <c r="E637" t="str">
        <f t="shared" si="14"/>
        <v>00562</v>
      </c>
      <c r="F637" t="s">
        <v>91</v>
      </c>
      <c r="G637" t="s">
        <v>202</v>
      </c>
      <c r="H637" t="s">
        <v>157</v>
      </c>
      <c r="I637" t="s">
        <v>5</v>
      </c>
      <c r="J637" t="s">
        <v>152</v>
      </c>
      <c r="K637" t="s">
        <v>159</v>
      </c>
      <c r="L637">
        <v>251200809</v>
      </c>
      <c r="M637" s="84">
        <v>46019</v>
      </c>
      <c r="N637" s="84">
        <v>46019</v>
      </c>
      <c r="O637" t="s">
        <v>191</v>
      </c>
      <c r="P637" t="s">
        <v>192</v>
      </c>
      <c r="Q637">
        <v>11700</v>
      </c>
      <c r="R637">
        <v>50</v>
      </c>
      <c r="S637">
        <v>585000</v>
      </c>
      <c r="T637">
        <v>0</v>
      </c>
      <c r="U637">
        <v>0</v>
      </c>
      <c r="V637">
        <v>50</v>
      </c>
      <c r="W637">
        <v>585000</v>
      </c>
      <c r="X637">
        <v>7500</v>
      </c>
      <c r="Y637">
        <v>7500</v>
      </c>
      <c r="Z637">
        <v>0</v>
      </c>
      <c r="AA637">
        <v>0</v>
      </c>
      <c r="AB637">
        <v>0</v>
      </c>
      <c r="AC637">
        <v>15000</v>
      </c>
    </row>
    <row r="638" spans="1:29">
      <c r="A638">
        <v>1343</v>
      </c>
      <c r="B638" t="s">
        <v>149</v>
      </c>
      <c r="C638">
        <v>562</v>
      </c>
      <c r="D638" t="s">
        <v>92</v>
      </c>
      <c r="E638" t="str">
        <f t="shared" si="14"/>
        <v>00562</v>
      </c>
      <c r="F638" t="s">
        <v>91</v>
      </c>
      <c r="G638" t="s">
        <v>202</v>
      </c>
      <c r="H638" t="s">
        <v>157</v>
      </c>
      <c r="I638" t="s">
        <v>4</v>
      </c>
      <c r="J638" t="s">
        <v>152</v>
      </c>
      <c r="K638" t="s">
        <v>159</v>
      </c>
      <c r="L638">
        <v>251200809</v>
      </c>
      <c r="M638" s="84">
        <v>46019</v>
      </c>
      <c r="N638" s="84">
        <v>46019</v>
      </c>
      <c r="O638" t="s">
        <v>206</v>
      </c>
      <c r="P638" t="s">
        <v>207</v>
      </c>
      <c r="Q638">
        <v>14250</v>
      </c>
      <c r="R638">
        <v>40</v>
      </c>
      <c r="S638">
        <v>570000</v>
      </c>
      <c r="T638">
        <v>0</v>
      </c>
      <c r="U638">
        <v>0</v>
      </c>
      <c r="V638">
        <v>40</v>
      </c>
      <c r="W638">
        <v>570000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 spans="1:29">
      <c r="A639">
        <v>1344</v>
      </c>
      <c r="B639" t="s">
        <v>149</v>
      </c>
      <c r="C639">
        <v>562</v>
      </c>
      <c r="D639" t="s">
        <v>92</v>
      </c>
      <c r="E639" t="str">
        <f t="shared" si="14"/>
        <v>00562</v>
      </c>
      <c r="F639" t="s">
        <v>91</v>
      </c>
      <c r="G639" t="s">
        <v>202</v>
      </c>
      <c r="H639" t="s">
        <v>157</v>
      </c>
      <c r="I639" t="s">
        <v>4</v>
      </c>
      <c r="J639" t="s">
        <v>152</v>
      </c>
      <c r="K639" t="s">
        <v>159</v>
      </c>
      <c r="L639">
        <v>251200809</v>
      </c>
      <c r="M639" s="84">
        <v>46019</v>
      </c>
      <c r="N639" s="84">
        <v>46019</v>
      </c>
      <c r="O639" t="s">
        <v>177</v>
      </c>
      <c r="P639" t="s">
        <v>178</v>
      </c>
      <c r="Q639">
        <v>14250</v>
      </c>
      <c r="R639">
        <v>97</v>
      </c>
      <c r="S639">
        <v>1382250</v>
      </c>
      <c r="T639">
        <v>0</v>
      </c>
      <c r="U639">
        <v>0</v>
      </c>
      <c r="V639">
        <v>97</v>
      </c>
      <c r="W639">
        <v>1382250</v>
      </c>
      <c r="X639">
        <v>14550</v>
      </c>
      <c r="Y639">
        <v>19400</v>
      </c>
      <c r="Z639">
        <v>0</v>
      </c>
      <c r="AA639">
        <v>0</v>
      </c>
      <c r="AB639">
        <v>0</v>
      </c>
      <c r="AC639">
        <v>33950</v>
      </c>
    </row>
    <row r="640" spans="1:29">
      <c r="A640">
        <v>1345</v>
      </c>
      <c r="B640" t="s">
        <v>149</v>
      </c>
      <c r="C640">
        <v>562</v>
      </c>
      <c r="D640" t="s">
        <v>92</v>
      </c>
      <c r="E640" t="str">
        <f t="shared" si="14"/>
        <v>00562</v>
      </c>
      <c r="F640" t="s">
        <v>91</v>
      </c>
      <c r="G640" t="s">
        <v>202</v>
      </c>
      <c r="H640" t="s">
        <v>157</v>
      </c>
      <c r="I640" t="s">
        <v>4</v>
      </c>
      <c r="J640" t="s">
        <v>152</v>
      </c>
      <c r="K640" t="s">
        <v>159</v>
      </c>
      <c r="L640">
        <v>251200809</v>
      </c>
      <c r="M640" s="84">
        <v>46019</v>
      </c>
      <c r="N640" s="84">
        <v>46019</v>
      </c>
      <c r="O640" t="s">
        <v>221</v>
      </c>
      <c r="P640" t="s">
        <v>222</v>
      </c>
      <c r="Q640">
        <v>14250</v>
      </c>
      <c r="R640">
        <v>20</v>
      </c>
      <c r="S640">
        <v>285000</v>
      </c>
      <c r="T640">
        <v>0</v>
      </c>
      <c r="U640">
        <v>0</v>
      </c>
      <c r="V640">
        <v>20</v>
      </c>
      <c r="W640">
        <v>285000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 spans="1:29">
      <c r="A641">
        <v>1346</v>
      </c>
      <c r="B641" t="s">
        <v>149</v>
      </c>
      <c r="C641">
        <v>562</v>
      </c>
      <c r="D641" t="s">
        <v>92</v>
      </c>
      <c r="E641" t="str">
        <f t="shared" si="14"/>
        <v>00562</v>
      </c>
      <c r="F641" t="s">
        <v>91</v>
      </c>
      <c r="G641" t="s">
        <v>202</v>
      </c>
      <c r="H641" t="s">
        <v>157</v>
      </c>
      <c r="I641" t="s">
        <v>4</v>
      </c>
      <c r="J641" t="s">
        <v>152</v>
      </c>
      <c r="K641" t="s">
        <v>159</v>
      </c>
      <c r="L641">
        <v>251200810</v>
      </c>
      <c r="M641" s="84">
        <v>46019</v>
      </c>
      <c r="N641" s="84">
        <v>46019</v>
      </c>
      <c r="O641" t="s">
        <v>177</v>
      </c>
      <c r="P641" t="s">
        <v>178</v>
      </c>
      <c r="Q641">
        <v>14250</v>
      </c>
      <c r="R641">
        <v>3</v>
      </c>
      <c r="S641">
        <v>42750</v>
      </c>
      <c r="T641">
        <v>0</v>
      </c>
      <c r="U641">
        <v>0</v>
      </c>
      <c r="V641">
        <v>3</v>
      </c>
      <c r="W641">
        <v>42750</v>
      </c>
      <c r="X641">
        <v>450</v>
      </c>
      <c r="Y641">
        <v>600</v>
      </c>
      <c r="Z641">
        <v>0</v>
      </c>
      <c r="AA641">
        <v>0</v>
      </c>
      <c r="AB641">
        <v>0</v>
      </c>
      <c r="AC641">
        <v>1050</v>
      </c>
    </row>
    <row r="642" spans="1:29">
      <c r="A642">
        <v>1352</v>
      </c>
      <c r="B642" t="s">
        <v>149</v>
      </c>
      <c r="C642">
        <v>496</v>
      </c>
      <c r="D642" t="s">
        <v>8</v>
      </c>
      <c r="E642" t="str">
        <f t="shared" si="14"/>
        <v>00496</v>
      </c>
      <c r="F642" t="s">
        <v>7</v>
      </c>
      <c r="G642" t="s">
        <v>156</v>
      </c>
      <c r="H642" t="s">
        <v>157</v>
      </c>
      <c r="I642" t="s">
        <v>4</v>
      </c>
      <c r="J642" t="s">
        <v>152</v>
      </c>
      <c r="K642" t="s">
        <v>159</v>
      </c>
      <c r="L642">
        <v>251200814</v>
      </c>
      <c r="M642" s="84">
        <v>46019</v>
      </c>
      <c r="N642" s="84">
        <v>46019</v>
      </c>
      <c r="O642" t="s">
        <v>243</v>
      </c>
      <c r="P642" t="s">
        <v>244</v>
      </c>
      <c r="Q642">
        <v>15050</v>
      </c>
      <c r="R642">
        <v>5</v>
      </c>
      <c r="S642">
        <v>75250</v>
      </c>
      <c r="T642">
        <v>0</v>
      </c>
      <c r="U642">
        <v>0</v>
      </c>
      <c r="V642">
        <v>5</v>
      </c>
      <c r="W642">
        <v>75250</v>
      </c>
      <c r="X642">
        <v>750</v>
      </c>
      <c r="Y642">
        <v>1000</v>
      </c>
      <c r="Z642">
        <v>0</v>
      </c>
      <c r="AA642">
        <v>0</v>
      </c>
      <c r="AB642">
        <v>0</v>
      </c>
      <c r="AC642">
        <v>1750</v>
      </c>
    </row>
    <row r="643" spans="1:29">
      <c r="A643">
        <v>1353</v>
      </c>
      <c r="B643" t="s">
        <v>149</v>
      </c>
      <c r="C643">
        <v>1466</v>
      </c>
      <c r="D643" t="s">
        <v>81</v>
      </c>
      <c r="E643" t="str">
        <f t="shared" si="14"/>
        <v>01466</v>
      </c>
      <c r="F643" t="s">
        <v>80</v>
      </c>
      <c r="G643" t="s">
        <v>164</v>
      </c>
      <c r="H643" t="s">
        <v>151</v>
      </c>
      <c r="I643" t="s">
        <v>5</v>
      </c>
      <c r="J643" t="s">
        <v>152</v>
      </c>
      <c r="K643" t="s">
        <v>153</v>
      </c>
      <c r="L643">
        <v>251200819</v>
      </c>
      <c r="M643" s="84">
        <v>46019</v>
      </c>
      <c r="N643" s="84">
        <v>46019</v>
      </c>
      <c r="O643" t="s">
        <v>191</v>
      </c>
      <c r="P643" t="s">
        <v>192</v>
      </c>
      <c r="Q643">
        <v>11700</v>
      </c>
      <c r="R643">
        <v>8</v>
      </c>
      <c r="S643">
        <v>93600</v>
      </c>
      <c r="T643">
        <v>0</v>
      </c>
      <c r="U643">
        <v>0</v>
      </c>
      <c r="V643">
        <v>8</v>
      </c>
      <c r="W643">
        <v>93600</v>
      </c>
      <c r="X643">
        <v>1200</v>
      </c>
      <c r="Y643">
        <v>1200</v>
      </c>
      <c r="Z643">
        <v>0</v>
      </c>
      <c r="AA643">
        <v>0</v>
      </c>
      <c r="AB643">
        <v>0</v>
      </c>
      <c r="AC643">
        <v>2400</v>
      </c>
    </row>
    <row r="644" spans="1:29">
      <c r="A644">
        <v>1354</v>
      </c>
      <c r="B644" t="s">
        <v>149</v>
      </c>
      <c r="C644">
        <v>1450</v>
      </c>
      <c r="D644" t="s">
        <v>82</v>
      </c>
      <c r="E644" t="str">
        <f t="shared" si="14"/>
        <v>01450</v>
      </c>
      <c r="F644" t="s">
        <v>80</v>
      </c>
      <c r="G644" t="s">
        <v>164</v>
      </c>
      <c r="H644" t="s">
        <v>151</v>
      </c>
      <c r="I644" t="s">
        <v>4</v>
      </c>
      <c r="J644" t="s">
        <v>152</v>
      </c>
      <c r="K644" t="s">
        <v>153</v>
      </c>
      <c r="L644">
        <v>251200820</v>
      </c>
      <c r="M644" s="84">
        <v>46019</v>
      </c>
      <c r="N644" s="84">
        <v>46019</v>
      </c>
      <c r="O644" t="s">
        <v>160</v>
      </c>
      <c r="P644" t="s">
        <v>161</v>
      </c>
      <c r="Q644">
        <v>14250</v>
      </c>
      <c r="R644">
        <v>5</v>
      </c>
      <c r="S644">
        <v>71250</v>
      </c>
      <c r="T644">
        <v>0</v>
      </c>
      <c r="U644">
        <v>0</v>
      </c>
      <c r="V644">
        <v>5</v>
      </c>
      <c r="W644">
        <v>71250</v>
      </c>
      <c r="X644">
        <v>750</v>
      </c>
      <c r="Y644">
        <v>1000</v>
      </c>
      <c r="Z644">
        <v>0</v>
      </c>
      <c r="AA644">
        <v>0</v>
      </c>
      <c r="AB644">
        <v>0</v>
      </c>
      <c r="AC644">
        <v>1750</v>
      </c>
    </row>
    <row r="645" spans="1:29">
      <c r="A645">
        <v>1355</v>
      </c>
      <c r="B645" t="s">
        <v>149</v>
      </c>
      <c r="C645">
        <v>1429</v>
      </c>
      <c r="D645" t="s">
        <v>47</v>
      </c>
      <c r="E645" t="str">
        <f t="shared" si="14"/>
        <v>01429</v>
      </c>
      <c r="F645" t="s">
        <v>43</v>
      </c>
      <c r="G645" t="s">
        <v>150</v>
      </c>
      <c r="H645" t="s">
        <v>151</v>
      </c>
      <c r="I645" t="s">
        <v>5</v>
      </c>
      <c r="J645" t="s">
        <v>152</v>
      </c>
      <c r="K645" t="s">
        <v>153</v>
      </c>
      <c r="L645">
        <v>251200821</v>
      </c>
      <c r="M645" s="84">
        <v>46019</v>
      </c>
      <c r="N645" s="84">
        <v>46019</v>
      </c>
      <c r="O645" t="s">
        <v>191</v>
      </c>
      <c r="P645" t="s">
        <v>192</v>
      </c>
      <c r="Q645">
        <v>11700</v>
      </c>
      <c r="R645">
        <v>4</v>
      </c>
      <c r="S645">
        <v>46800</v>
      </c>
      <c r="T645">
        <v>0</v>
      </c>
      <c r="U645">
        <v>0</v>
      </c>
      <c r="V645">
        <v>4</v>
      </c>
      <c r="W645">
        <v>46800</v>
      </c>
      <c r="X645">
        <v>600</v>
      </c>
      <c r="Y645">
        <v>600</v>
      </c>
      <c r="Z645">
        <v>0</v>
      </c>
      <c r="AA645">
        <v>0</v>
      </c>
      <c r="AB645">
        <v>0</v>
      </c>
      <c r="AC645">
        <v>1200</v>
      </c>
    </row>
    <row r="646" spans="1:29">
      <c r="A646">
        <v>1356</v>
      </c>
      <c r="B646" t="s">
        <v>149</v>
      </c>
      <c r="C646">
        <v>1450</v>
      </c>
      <c r="D646" t="s">
        <v>82</v>
      </c>
      <c r="E646" t="str">
        <f t="shared" si="14"/>
        <v>01450</v>
      </c>
      <c r="F646" t="s">
        <v>80</v>
      </c>
      <c r="G646" t="s">
        <v>164</v>
      </c>
      <c r="H646" t="s">
        <v>151</v>
      </c>
      <c r="I646" t="s">
        <v>4</v>
      </c>
      <c r="J646" t="s">
        <v>152</v>
      </c>
      <c r="K646" t="s">
        <v>153</v>
      </c>
      <c r="L646">
        <v>251200837</v>
      </c>
      <c r="M646" s="84">
        <v>46020</v>
      </c>
      <c r="N646" s="84">
        <v>46020</v>
      </c>
      <c r="O646" t="s">
        <v>160</v>
      </c>
      <c r="P646" t="s">
        <v>161</v>
      </c>
      <c r="Q646">
        <v>14250</v>
      </c>
      <c r="R646">
        <v>5</v>
      </c>
      <c r="S646">
        <v>71250</v>
      </c>
      <c r="T646">
        <v>0</v>
      </c>
      <c r="U646">
        <v>0</v>
      </c>
      <c r="V646">
        <v>5</v>
      </c>
      <c r="W646">
        <v>71250</v>
      </c>
      <c r="X646">
        <v>750</v>
      </c>
      <c r="Y646">
        <v>1000</v>
      </c>
      <c r="Z646">
        <v>0</v>
      </c>
      <c r="AA646">
        <v>0</v>
      </c>
      <c r="AB646">
        <v>0</v>
      </c>
      <c r="AC646">
        <v>1750</v>
      </c>
    </row>
    <row r="647" spans="1:29">
      <c r="A647">
        <v>1360</v>
      </c>
      <c r="B647" t="s">
        <v>149</v>
      </c>
      <c r="C647">
        <v>1581</v>
      </c>
      <c r="D647" t="s">
        <v>96</v>
      </c>
      <c r="E647" t="str">
        <f t="shared" ref="E647:E692" si="15">TEXT(C647,"00000")</f>
        <v>01581</v>
      </c>
      <c r="F647" t="s">
        <v>95</v>
      </c>
      <c r="G647" t="s">
        <v>187</v>
      </c>
      <c r="H647" t="s">
        <v>188</v>
      </c>
      <c r="I647" t="s">
        <v>4</v>
      </c>
      <c r="J647" t="s">
        <v>152</v>
      </c>
      <c r="K647" t="s">
        <v>159</v>
      </c>
      <c r="L647">
        <v>251200840</v>
      </c>
      <c r="M647" s="84">
        <v>46020</v>
      </c>
      <c r="N647" s="84">
        <v>46020</v>
      </c>
      <c r="O647" t="s">
        <v>262</v>
      </c>
      <c r="P647" t="s">
        <v>263</v>
      </c>
      <c r="Q647">
        <v>13300</v>
      </c>
      <c r="R647">
        <v>10</v>
      </c>
      <c r="S647">
        <v>133000</v>
      </c>
      <c r="T647">
        <v>0</v>
      </c>
      <c r="U647">
        <v>0</v>
      </c>
      <c r="V647">
        <v>10</v>
      </c>
      <c r="W647">
        <v>133000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>
      <c r="A648">
        <v>1361</v>
      </c>
      <c r="B648" t="s">
        <v>149</v>
      </c>
      <c r="C648">
        <v>1581</v>
      </c>
      <c r="D648" t="s">
        <v>96</v>
      </c>
      <c r="E648" t="str">
        <f t="shared" si="15"/>
        <v>01581</v>
      </c>
      <c r="F648" t="s">
        <v>95</v>
      </c>
      <c r="G648" t="s">
        <v>187</v>
      </c>
      <c r="H648" t="s">
        <v>188</v>
      </c>
      <c r="I648" t="s">
        <v>4</v>
      </c>
      <c r="J648" t="s">
        <v>152</v>
      </c>
      <c r="K648" t="s">
        <v>159</v>
      </c>
      <c r="L648">
        <v>251200840</v>
      </c>
      <c r="M648" s="84">
        <v>46020</v>
      </c>
      <c r="N648" s="84">
        <v>46020</v>
      </c>
      <c r="O648" t="s">
        <v>221</v>
      </c>
      <c r="P648" t="s">
        <v>222</v>
      </c>
      <c r="Q648">
        <v>13300</v>
      </c>
      <c r="R648">
        <v>5</v>
      </c>
      <c r="S648">
        <v>66500</v>
      </c>
      <c r="T648">
        <v>0</v>
      </c>
      <c r="U648">
        <v>0</v>
      </c>
      <c r="V648">
        <v>5</v>
      </c>
      <c r="W648">
        <v>66500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</row>
    <row r="649" spans="1:29">
      <c r="A649">
        <v>1362</v>
      </c>
      <c r="B649" t="s">
        <v>149</v>
      </c>
      <c r="C649">
        <v>1448</v>
      </c>
      <c r="D649" t="s">
        <v>21</v>
      </c>
      <c r="E649" t="str">
        <f t="shared" si="15"/>
        <v>01448</v>
      </c>
      <c r="F649" t="s">
        <v>20</v>
      </c>
      <c r="G649" t="s">
        <v>193</v>
      </c>
      <c r="H649" t="s">
        <v>151</v>
      </c>
      <c r="I649" t="s">
        <v>4</v>
      </c>
      <c r="J649" t="s">
        <v>152</v>
      </c>
      <c r="K649" t="s">
        <v>236</v>
      </c>
      <c r="L649">
        <v>251200841</v>
      </c>
      <c r="M649" s="84">
        <v>46020</v>
      </c>
      <c r="N649" s="84">
        <v>46020</v>
      </c>
      <c r="O649" t="s">
        <v>160</v>
      </c>
      <c r="P649" t="s">
        <v>161</v>
      </c>
      <c r="Q649">
        <v>14250</v>
      </c>
      <c r="R649">
        <v>10</v>
      </c>
      <c r="S649">
        <v>142500</v>
      </c>
      <c r="T649">
        <v>0</v>
      </c>
      <c r="U649">
        <v>0</v>
      </c>
      <c r="V649">
        <v>10</v>
      </c>
      <c r="W649">
        <v>142500</v>
      </c>
      <c r="X649">
        <v>1500</v>
      </c>
      <c r="Y649">
        <v>2000</v>
      </c>
      <c r="Z649">
        <v>0</v>
      </c>
      <c r="AA649">
        <v>0</v>
      </c>
      <c r="AB649">
        <v>0</v>
      </c>
      <c r="AC649">
        <v>3500</v>
      </c>
    </row>
    <row r="650" spans="1:29">
      <c r="A650">
        <v>1364</v>
      </c>
      <c r="B650" t="s">
        <v>149</v>
      </c>
      <c r="C650">
        <v>1149</v>
      </c>
      <c r="D650" t="s">
        <v>55</v>
      </c>
      <c r="E650" t="str">
        <f t="shared" si="15"/>
        <v>01149</v>
      </c>
      <c r="F650" t="s">
        <v>49</v>
      </c>
      <c r="G650" t="s">
        <v>167</v>
      </c>
      <c r="H650" t="s">
        <v>151</v>
      </c>
      <c r="I650" t="s">
        <v>4</v>
      </c>
      <c r="J650" t="s">
        <v>152</v>
      </c>
      <c r="K650" t="s">
        <v>153</v>
      </c>
      <c r="L650">
        <v>251200843</v>
      </c>
      <c r="M650" s="84">
        <v>46020</v>
      </c>
      <c r="N650" s="84">
        <v>46020</v>
      </c>
      <c r="O650" t="s">
        <v>177</v>
      </c>
      <c r="P650" t="s">
        <v>178</v>
      </c>
      <c r="Q650">
        <v>14250</v>
      </c>
      <c r="R650">
        <v>8</v>
      </c>
      <c r="S650">
        <v>114000</v>
      </c>
      <c r="T650">
        <v>0</v>
      </c>
      <c r="U650">
        <v>0</v>
      </c>
      <c r="V650">
        <v>8</v>
      </c>
      <c r="W650">
        <v>114000</v>
      </c>
      <c r="X650">
        <v>1200</v>
      </c>
      <c r="Y650">
        <v>1600</v>
      </c>
      <c r="Z650">
        <v>0</v>
      </c>
      <c r="AA650">
        <v>0</v>
      </c>
      <c r="AB650">
        <v>0</v>
      </c>
      <c r="AC650">
        <v>2800</v>
      </c>
    </row>
    <row r="651" spans="1:29">
      <c r="A651">
        <v>1365</v>
      </c>
      <c r="B651" t="s">
        <v>149</v>
      </c>
      <c r="C651">
        <v>337</v>
      </c>
      <c r="D651" t="s">
        <v>57</v>
      </c>
      <c r="E651" t="str">
        <f t="shared" si="15"/>
        <v>00337</v>
      </c>
      <c r="F651" t="s">
        <v>49</v>
      </c>
      <c r="G651" t="s">
        <v>167</v>
      </c>
      <c r="H651" t="s">
        <v>151</v>
      </c>
      <c r="I651" t="s">
        <v>4</v>
      </c>
      <c r="J651" t="s">
        <v>152</v>
      </c>
      <c r="K651" t="s">
        <v>153</v>
      </c>
      <c r="L651">
        <v>251200844</v>
      </c>
      <c r="M651" s="84">
        <v>46020</v>
      </c>
      <c r="N651" s="84">
        <v>46020</v>
      </c>
      <c r="O651" t="s">
        <v>219</v>
      </c>
      <c r="P651" t="s">
        <v>220</v>
      </c>
      <c r="Q651">
        <v>14250</v>
      </c>
      <c r="R651">
        <v>5</v>
      </c>
      <c r="S651">
        <v>71250</v>
      </c>
      <c r="T651">
        <v>0</v>
      </c>
      <c r="U651">
        <v>0</v>
      </c>
      <c r="V651">
        <v>5</v>
      </c>
      <c r="W651">
        <v>71250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 spans="1:29">
      <c r="A652">
        <v>1366</v>
      </c>
      <c r="B652" t="s">
        <v>149</v>
      </c>
      <c r="C652">
        <v>371</v>
      </c>
      <c r="D652" t="s">
        <v>35</v>
      </c>
      <c r="E652" t="str">
        <f t="shared" si="15"/>
        <v>00371</v>
      </c>
      <c r="F652" t="s">
        <v>28</v>
      </c>
      <c r="G652" t="s">
        <v>164</v>
      </c>
      <c r="H652" t="s">
        <v>151</v>
      </c>
      <c r="I652" t="s">
        <v>5</v>
      </c>
      <c r="J652" t="s">
        <v>152</v>
      </c>
      <c r="K652" t="s">
        <v>153</v>
      </c>
      <c r="L652">
        <v>251200845</v>
      </c>
      <c r="M652" s="84">
        <v>46020</v>
      </c>
      <c r="N652" s="84">
        <v>46020</v>
      </c>
      <c r="O652" t="s">
        <v>191</v>
      </c>
      <c r="P652" t="s">
        <v>192</v>
      </c>
      <c r="Q652">
        <v>11700</v>
      </c>
      <c r="R652">
        <v>16</v>
      </c>
      <c r="S652">
        <v>187200</v>
      </c>
      <c r="T652">
        <v>0</v>
      </c>
      <c r="U652">
        <v>0</v>
      </c>
      <c r="V652">
        <v>16</v>
      </c>
      <c r="W652">
        <v>187200</v>
      </c>
      <c r="X652">
        <v>2400</v>
      </c>
      <c r="Y652">
        <v>2400</v>
      </c>
      <c r="Z652">
        <v>0</v>
      </c>
      <c r="AA652">
        <v>0</v>
      </c>
      <c r="AB652">
        <v>0</v>
      </c>
      <c r="AC652">
        <v>4800</v>
      </c>
    </row>
    <row r="653" spans="1:29">
      <c r="A653">
        <v>1367</v>
      </c>
      <c r="B653" t="s">
        <v>149</v>
      </c>
      <c r="C653">
        <v>371</v>
      </c>
      <c r="D653" t="s">
        <v>35</v>
      </c>
      <c r="E653" t="str">
        <f t="shared" si="15"/>
        <v>00371</v>
      </c>
      <c r="F653" t="s">
        <v>28</v>
      </c>
      <c r="G653" t="s">
        <v>164</v>
      </c>
      <c r="H653" t="s">
        <v>151</v>
      </c>
      <c r="I653" t="s">
        <v>210</v>
      </c>
      <c r="J653" t="s">
        <v>152</v>
      </c>
      <c r="K653" t="s">
        <v>153</v>
      </c>
      <c r="L653">
        <v>251200846</v>
      </c>
      <c r="M653" s="84">
        <v>46020</v>
      </c>
      <c r="N653" s="84">
        <v>46020</v>
      </c>
      <c r="O653" t="s">
        <v>213</v>
      </c>
      <c r="P653" t="s">
        <v>214</v>
      </c>
      <c r="Q653">
        <v>23802</v>
      </c>
      <c r="R653">
        <v>6</v>
      </c>
      <c r="S653">
        <v>142812</v>
      </c>
      <c r="T653">
        <v>0</v>
      </c>
      <c r="U653">
        <v>0</v>
      </c>
      <c r="V653">
        <v>6</v>
      </c>
      <c r="W653">
        <v>142812</v>
      </c>
      <c r="X653">
        <v>2856</v>
      </c>
      <c r="Y653">
        <v>2856</v>
      </c>
      <c r="Z653">
        <v>6000</v>
      </c>
      <c r="AA653">
        <v>0</v>
      </c>
      <c r="AB653">
        <v>600</v>
      </c>
      <c r="AC653">
        <v>12312</v>
      </c>
    </row>
    <row r="654" spans="1:29">
      <c r="A654">
        <v>1368</v>
      </c>
      <c r="B654" t="s">
        <v>149</v>
      </c>
      <c r="C654">
        <v>324</v>
      </c>
      <c r="D654" t="s">
        <v>36</v>
      </c>
      <c r="E654" t="str">
        <f t="shared" si="15"/>
        <v>00324</v>
      </c>
      <c r="F654" t="s">
        <v>28</v>
      </c>
      <c r="G654" t="s">
        <v>164</v>
      </c>
      <c r="H654" t="s">
        <v>151</v>
      </c>
      <c r="I654" t="s">
        <v>4</v>
      </c>
      <c r="J654" t="s">
        <v>152</v>
      </c>
      <c r="K654" t="s">
        <v>153</v>
      </c>
      <c r="L654">
        <v>251200847</v>
      </c>
      <c r="M654" s="84">
        <v>46020</v>
      </c>
      <c r="N654" s="84">
        <v>46020</v>
      </c>
      <c r="O654" t="s">
        <v>160</v>
      </c>
      <c r="P654" t="s">
        <v>161</v>
      </c>
      <c r="Q654">
        <v>14250</v>
      </c>
      <c r="R654">
        <v>20</v>
      </c>
      <c r="S654">
        <v>285000</v>
      </c>
      <c r="T654">
        <v>0</v>
      </c>
      <c r="U654">
        <v>0</v>
      </c>
      <c r="V654">
        <v>20</v>
      </c>
      <c r="W654">
        <v>285000</v>
      </c>
      <c r="X654">
        <v>3000</v>
      </c>
      <c r="Y654">
        <v>4000</v>
      </c>
      <c r="Z654">
        <v>0</v>
      </c>
      <c r="AA654">
        <v>0</v>
      </c>
      <c r="AB654">
        <v>0</v>
      </c>
      <c r="AC654">
        <v>7000</v>
      </c>
    </row>
    <row r="655" spans="1:29">
      <c r="A655">
        <v>1376</v>
      </c>
      <c r="B655" t="s">
        <v>149</v>
      </c>
      <c r="C655">
        <v>1395</v>
      </c>
      <c r="D655" t="s">
        <v>101</v>
      </c>
      <c r="E655" t="str">
        <f t="shared" si="15"/>
        <v>01395</v>
      </c>
      <c r="F655" t="s">
        <v>95</v>
      </c>
      <c r="G655" t="s">
        <v>187</v>
      </c>
      <c r="H655" t="s">
        <v>188</v>
      </c>
      <c r="I655" t="s">
        <v>4</v>
      </c>
      <c r="J655" t="s">
        <v>152</v>
      </c>
      <c r="K655" t="s">
        <v>159</v>
      </c>
      <c r="L655">
        <v>251200850</v>
      </c>
      <c r="M655" s="84">
        <v>46020</v>
      </c>
      <c r="N655" s="84">
        <v>46020</v>
      </c>
      <c r="O655" t="s">
        <v>168</v>
      </c>
      <c r="P655" t="s">
        <v>169</v>
      </c>
      <c r="Q655">
        <v>13200</v>
      </c>
      <c r="R655">
        <v>5</v>
      </c>
      <c r="S655">
        <v>66000</v>
      </c>
      <c r="T655">
        <v>0</v>
      </c>
      <c r="U655">
        <v>0</v>
      </c>
      <c r="V655">
        <v>5</v>
      </c>
      <c r="W655">
        <v>66000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29">
      <c r="A656">
        <v>1377</v>
      </c>
      <c r="B656" t="s">
        <v>149</v>
      </c>
      <c r="C656">
        <v>496</v>
      </c>
      <c r="D656" t="s">
        <v>8</v>
      </c>
      <c r="E656" t="str">
        <f t="shared" si="15"/>
        <v>00496</v>
      </c>
      <c r="F656" t="s">
        <v>7</v>
      </c>
      <c r="G656" t="s">
        <v>156</v>
      </c>
      <c r="H656" t="s">
        <v>157</v>
      </c>
      <c r="I656" t="s">
        <v>4</v>
      </c>
      <c r="J656" t="s">
        <v>152</v>
      </c>
      <c r="K656" t="s">
        <v>159</v>
      </c>
      <c r="L656">
        <v>251200851</v>
      </c>
      <c r="M656" s="84">
        <v>46020</v>
      </c>
      <c r="N656" s="84">
        <v>46020</v>
      </c>
      <c r="O656" t="s">
        <v>243</v>
      </c>
      <c r="P656" t="s">
        <v>244</v>
      </c>
      <c r="Q656">
        <v>15050</v>
      </c>
      <c r="R656">
        <v>10</v>
      </c>
      <c r="S656">
        <v>150500</v>
      </c>
      <c r="T656">
        <v>0</v>
      </c>
      <c r="U656">
        <v>0</v>
      </c>
      <c r="V656">
        <v>10</v>
      </c>
      <c r="W656">
        <v>150500</v>
      </c>
      <c r="X656">
        <v>1500</v>
      </c>
      <c r="Y656">
        <v>2000</v>
      </c>
      <c r="Z656">
        <v>0</v>
      </c>
      <c r="AA656">
        <v>0</v>
      </c>
      <c r="AB656">
        <v>0</v>
      </c>
      <c r="AC656">
        <v>3500</v>
      </c>
    </row>
    <row r="657" spans="1:29">
      <c r="A657">
        <v>1385</v>
      </c>
      <c r="B657" t="s">
        <v>149</v>
      </c>
      <c r="C657">
        <v>1379</v>
      </c>
      <c r="D657" t="s">
        <v>252</v>
      </c>
      <c r="E657" t="str">
        <f t="shared" si="15"/>
        <v>01379</v>
      </c>
      <c r="F657" t="s">
        <v>95</v>
      </c>
      <c r="G657" t="s">
        <v>187</v>
      </c>
      <c r="H657" t="s">
        <v>188</v>
      </c>
      <c r="I657" t="s">
        <v>210</v>
      </c>
      <c r="J657" t="s">
        <v>152</v>
      </c>
      <c r="K657" t="s">
        <v>159</v>
      </c>
      <c r="L657">
        <v>251200858</v>
      </c>
      <c r="M657" s="84">
        <v>46020</v>
      </c>
      <c r="N657" s="84">
        <v>46020</v>
      </c>
      <c r="O657" t="s">
        <v>250</v>
      </c>
      <c r="P657" t="s">
        <v>251</v>
      </c>
      <c r="Q657">
        <v>26500</v>
      </c>
      <c r="R657">
        <v>2</v>
      </c>
      <c r="S657">
        <v>53000</v>
      </c>
      <c r="T657">
        <v>0</v>
      </c>
      <c r="U657">
        <v>0</v>
      </c>
      <c r="V657">
        <v>2</v>
      </c>
      <c r="W657">
        <v>53000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>
      <c r="A658">
        <v>1395</v>
      </c>
      <c r="B658" t="s">
        <v>149</v>
      </c>
      <c r="C658">
        <v>337</v>
      </c>
      <c r="D658" t="s">
        <v>57</v>
      </c>
      <c r="E658" t="str">
        <f t="shared" si="15"/>
        <v>00337</v>
      </c>
      <c r="F658" t="s">
        <v>49</v>
      </c>
      <c r="G658" t="s">
        <v>167</v>
      </c>
      <c r="H658" t="s">
        <v>151</v>
      </c>
      <c r="I658" t="s">
        <v>4</v>
      </c>
      <c r="J658" t="s">
        <v>152</v>
      </c>
      <c r="K658" t="s">
        <v>153</v>
      </c>
      <c r="L658">
        <v>251200888</v>
      </c>
      <c r="M658" s="84">
        <v>46021</v>
      </c>
      <c r="N658" s="84">
        <v>46021</v>
      </c>
      <c r="O658" t="s">
        <v>219</v>
      </c>
      <c r="P658" t="s">
        <v>220</v>
      </c>
      <c r="Q658">
        <v>14250</v>
      </c>
      <c r="R658">
        <v>10</v>
      </c>
      <c r="S658">
        <v>142500</v>
      </c>
      <c r="T658">
        <v>0</v>
      </c>
      <c r="U658">
        <v>0</v>
      </c>
      <c r="V658">
        <v>10</v>
      </c>
      <c r="W658">
        <v>142500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</row>
    <row r="659" spans="1:29">
      <c r="A659">
        <v>1396</v>
      </c>
      <c r="B659" t="s">
        <v>149</v>
      </c>
      <c r="C659">
        <v>1149</v>
      </c>
      <c r="D659" t="s">
        <v>55</v>
      </c>
      <c r="E659" t="str">
        <f t="shared" si="15"/>
        <v>01149</v>
      </c>
      <c r="F659" t="s">
        <v>49</v>
      </c>
      <c r="G659" t="s">
        <v>167</v>
      </c>
      <c r="H659" t="s">
        <v>151</v>
      </c>
      <c r="I659" t="s">
        <v>4</v>
      </c>
      <c r="J659" t="s">
        <v>152</v>
      </c>
      <c r="K659" t="s">
        <v>153</v>
      </c>
      <c r="L659">
        <v>251200889</v>
      </c>
      <c r="M659" s="84">
        <v>46021</v>
      </c>
      <c r="N659" s="84">
        <v>46021</v>
      </c>
      <c r="O659" t="s">
        <v>177</v>
      </c>
      <c r="P659" t="s">
        <v>178</v>
      </c>
      <c r="Q659">
        <v>14250</v>
      </c>
      <c r="R659">
        <v>16</v>
      </c>
      <c r="S659">
        <v>228000</v>
      </c>
      <c r="T659">
        <v>0</v>
      </c>
      <c r="U659">
        <v>0</v>
      </c>
      <c r="V659">
        <v>16</v>
      </c>
      <c r="W659">
        <v>228000</v>
      </c>
      <c r="X659">
        <v>2400</v>
      </c>
      <c r="Y659">
        <v>3200</v>
      </c>
      <c r="Z659">
        <v>0</v>
      </c>
      <c r="AA659">
        <v>0</v>
      </c>
      <c r="AB659">
        <v>0</v>
      </c>
      <c r="AC659">
        <v>5600</v>
      </c>
    </row>
    <row r="660" spans="1:29">
      <c r="A660">
        <v>1397</v>
      </c>
      <c r="B660" t="s">
        <v>149</v>
      </c>
      <c r="C660">
        <v>334</v>
      </c>
      <c r="D660" t="s">
        <v>56</v>
      </c>
      <c r="E660" t="str">
        <f t="shared" si="15"/>
        <v>00334</v>
      </c>
      <c r="F660" t="s">
        <v>49</v>
      </c>
      <c r="G660" t="s">
        <v>167</v>
      </c>
      <c r="H660" t="s">
        <v>151</v>
      </c>
      <c r="I660" t="s">
        <v>5</v>
      </c>
      <c r="J660" t="s">
        <v>152</v>
      </c>
      <c r="K660" t="s">
        <v>153</v>
      </c>
      <c r="L660">
        <v>251200890</v>
      </c>
      <c r="M660" s="84">
        <v>46021</v>
      </c>
      <c r="N660" s="84">
        <v>46021</v>
      </c>
      <c r="O660" t="s">
        <v>191</v>
      </c>
      <c r="P660" t="s">
        <v>192</v>
      </c>
      <c r="Q660">
        <v>11700</v>
      </c>
      <c r="R660">
        <v>12</v>
      </c>
      <c r="S660">
        <v>140400</v>
      </c>
      <c r="T660">
        <v>0</v>
      </c>
      <c r="U660">
        <v>0</v>
      </c>
      <c r="V660">
        <v>12</v>
      </c>
      <c r="W660">
        <v>140400</v>
      </c>
      <c r="X660">
        <v>1800</v>
      </c>
      <c r="Y660">
        <v>1800</v>
      </c>
      <c r="Z660">
        <v>0</v>
      </c>
      <c r="AA660">
        <v>0</v>
      </c>
      <c r="AB660">
        <v>0</v>
      </c>
      <c r="AC660">
        <v>3600</v>
      </c>
    </row>
    <row r="661" spans="1:29">
      <c r="A661">
        <v>1398</v>
      </c>
      <c r="B661" t="s">
        <v>149</v>
      </c>
      <c r="C661">
        <v>1581</v>
      </c>
      <c r="D661" t="s">
        <v>96</v>
      </c>
      <c r="E661" t="str">
        <f t="shared" si="15"/>
        <v>01581</v>
      </c>
      <c r="F661" t="s">
        <v>95</v>
      </c>
      <c r="G661" t="s">
        <v>187</v>
      </c>
      <c r="H661" t="s">
        <v>188</v>
      </c>
      <c r="I661" t="s">
        <v>4</v>
      </c>
      <c r="J661" t="s">
        <v>152</v>
      </c>
      <c r="K661" t="s">
        <v>159</v>
      </c>
      <c r="L661">
        <v>251200891</v>
      </c>
      <c r="M661" s="84">
        <v>46021</v>
      </c>
      <c r="N661" s="84">
        <v>46021</v>
      </c>
      <c r="O661" t="s">
        <v>262</v>
      </c>
      <c r="P661" t="s">
        <v>263</v>
      </c>
      <c r="Q661">
        <v>13300</v>
      </c>
      <c r="R661">
        <v>10</v>
      </c>
      <c r="S661">
        <v>133000</v>
      </c>
      <c r="T661">
        <v>0</v>
      </c>
      <c r="U661">
        <v>0</v>
      </c>
      <c r="V661">
        <v>10</v>
      </c>
      <c r="W661">
        <v>133000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</row>
    <row r="662" spans="1:29">
      <c r="A662">
        <v>1403</v>
      </c>
      <c r="B662" t="s">
        <v>149</v>
      </c>
      <c r="C662">
        <v>988</v>
      </c>
      <c r="D662" t="s">
        <v>19</v>
      </c>
      <c r="E662" t="str">
        <f t="shared" si="15"/>
        <v>00988</v>
      </c>
      <c r="F662" t="s">
        <v>15</v>
      </c>
      <c r="G662" t="s">
        <v>193</v>
      </c>
      <c r="H662" t="s">
        <v>151</v>
      </c>
      <c r="I662" t="s">
        <v>4</v>
      </c>
      <c r="J662" t="s">
        <v>152</v>
      </c>
      <c r="K662" t="s">
        <v>153</v>
      </c>
      <c r="L662">
        <v>251200894</v>
      </c>
      <c r="M662" s="84">
        <v>46021</v>
      </c>
      <c r="N662" s="84">
        <v>46021</v>
      </c>
      <c r="O662" t="s">
        <v>160</v>
      </c>
      <c r="P662" t="s">
        <v>161</v>
      </c>
      <c r="Q662">
        <v>14250</v>
      </c>
      <c r="R662">
        <v>10</v>
      </c>
      <c r="S662">
        <v>142500</v>
      </c>
      <c r="T662">
        <v>0</v>
      </c>
      <c r="U662">
        <v>0</v>
      </c>
      <c r="V662">
        <v>10</v>
      </c>
      <c r="W662">
        <v>142500</v>
      </c>
      <c r="X662">
        <v>1500</v>
      </c>
      <c r="Y662">
        <v>2000</v>
      </c>
      <c r="Z662">
        <v>0</v>
      </c>
      <c r="AA662">
        <v>0</v>
      </c>
      <c r="AB662">
        <v>0</v>
      </c>
      <c r="AC662">
        <v>3500</v>
      </c>
    </row>
    <row r="663" spans="1:29">
      <c r="A663">
        <v>1404</v>
      </c>
      <c r="B663" t="s">
        <v>149</v>
      </c>
      <c r="C663">
        <v>988</v>
      </c>
      <c r="D663" t="s">
        <v>19</v>
      </c>
      <c r="E663" t="str">
        <f t="shared" si="15"/>
        <v>00988</v>
      </c>
      <c r="F663" t="s">
        <v>15</v>
      </c>
      <c r="G663" t="s">
        <v>193</v>
      </c>
      <c r="H663" t="s">
        <v>151</v>
      </c>
      <c r="I663" t="s">
        <v>5</v>
      </c>
      <c r="J663" t="s">
        <v>152</v>
      </c>
      <c r="K663" t="s">
        <v>153</v>
      </c>
      <c r="L663">
        <v>251200894</v>
      </c>
      <c r="M663" s="84">
        <v>46021</v>
      </c>
      <c r="N663" s="84">
        <v>46021</v>
      </c>
      <c r="O663" t="s">
        <v>260</v>
      </c>
      <c r="P663" t="s">
        <v>261</v>
      </c>
      <c r="Q663">
        <v>11700</v>
      </c>
      <c r="R663">
        <v>4</v>
      </c>
      <c r="S663">
        <v>46800</v>
      </c>
      <c r="T663">
        <v>0</v>
      </c>
      <c r="U663">
        <v>0</v>
      </c>
      <c r="V663">
        <v>4</v>
      </c>
      <c r="W663">
        <v>46800</v>
      </c>
      <c r="X663">
        <v>600</v>
      </c>
      <c r="Y663">
        <v>600</v>
      </c>
      <c r="Z663">
        <v>0</v>
      </c>
      <c r="AA663">
        <v>0</v>
      </c>
      <c r="AB663">
        <v>0</v>
      </c>
      <c r="AC663">
        <v>1200</v>
      </c>
    </row>
    <row r="664" spans="1:29">
      <c r="A664">
        <v>1405</v>
      </c>
      <c r="B664" t="s">
        <v>149</v>
      </c>
      <c r="C664">
        <v>988</v>
      </c>
      <c r="D664" t="s">
        <v>19</v>
      </c>
      <c r="E664" t="str">
        <f t="shared" si="15"/>
        <v>00988</v>
      </c>
      <c r="F664" t="s">
        <v>15</v>
      </c>
      <c r="G664" t="s">
        <v>193</v>
      </c>
      <c r="H664" t="s">
        <v>151</v>
      </c>
      <c r="I664" t="s">
        <v>4</v>
      </c>
      <c r="J664" t="s">
        <v>152</v>
      </c>
      <c r="K664" t="s">
        <v>153</v>
      </c>
      <c r="L664">
        <v>251200894</v>
      </c>
      <c r="M664" s="84">
        <v>46021</v>
      </c>
      <c r="N664" s="84">
        <v>46021</v>
      </c>
      <c r="O664" t="s">
        <v>179</v>
      </c>
      <c r="P664" t="s">
        <v>180</v>
      </c>
      <c r="Q664">
        <v>14250</v>
      </c>
      <c r="R664">
        <v>10</v>
      </c>
      <c r="S664">
        <v>142500</v>
      </c>
      <c r="T664">
        <v>0</v>
      </c>
      <c r="U664">
        <v>0</v>
      </c>
      <c r="V664">
        <v>10</v>
      </c>
      <c r="W664">
        <v>142500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</row>
    <row r="665" spans="1:29">
      <c r="A665">
        <v>1410</v>
      </c>
      <c r="B665" t="s">
        <v>149</v>
      </c>
      <c r="C665">
        <v>846</v>
      </c>
      <c r="D665" t="s">
        <v>94</v>
      </c>
      <c r="E665" t="str">
        <f t="shared" si="15"/>
        <v>00846</v>
      </c>
      <c r="F665" t="s">
        <v>91</v>
      </c>
      <c r="G665" t="s">
        <v>202</v>
      </c>
      <c r="H665" t="s">
        <v>157</v>
      </c>
      <c r="I665" t="s">
        <v>4</v>
      </c>
      <c r="J665" t="s">
        <v>152</v>
      </c>
      <c r="K665" t="s">
        <v>159</v>
      </c>
      <c r="L665">
        <v>251200898</v>
      </c>
      <c r="M665" s="84">
        <v>46021</v>
      </c>
      <c r="N665" s="84">
        <v>46021</v>
      </c>
      <c r="O665" t="s">
        <v>162</v>
      </c>
      <c r="P665" t="s">
        <v>163</v>
      </c>
      <c r="Q665">
        <v>14250</v>
      </c>
      <c r="R665">
        <v>50</v>
      </c>
      <c r="S665">
        <v>712500</v>
      </c>
      <c r="T665">
        <v>0</v>
      </c>
      <c r="U665">
        <v>0</v>
      </c>
      <c r="V665">
        <v>50</v>
      </c>
      <c r="W665">
        <v>712500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</row>
    <row r="666" spans="1:29">
      <c r="A666">
        <v>1413</v>
      </c>
      <c r="B666" t="s">
        <v>149</v>
      </c>
      <c r="C666">
        <v>496</v>
      </c>
      <c r="D666" t="s">
        <v>8</v>
      </c>
      <c r="E666" t="str">
        <f t="shared" si="15"/>
        <v>00496</v>
      </c>
      <c r="F666" t="s">
        <v>7</v>
      </c>
      <c r="G666" t="s">
        <v>156</v>
      </c>
      <c r="H666" t="s">
        <v>157</v>
      </c>
      <c r="I666" t="s">
        <v>4</v>
      </c>
      <c r="J666" t="s">
        <v>152</v>
      </c>
      <c r="K666" t="s">
        <v>159</v>
      </c>
      <c r="L666">
        <v>251200901</v>
      </c>
      <c r="M666" s="84">
        <v>46021</v>
      </c>
      <c r="N666" s="84">
        <v>46021</v>
      </c>
      <c r="O666" t="s">
        <v>160</v>
      </c>
      <c r="P666" t="s">
        <v>161</v>
      </c>
      <c r="Q666">
        <v>14250</v>
      </c>
      <c r="R666">
        <v>68</v>
      </c>
      <c r="S666">
        <v>969000</v>
      </c>
      <c r="T666">
        <v>0</v>
      </c>
      <c r="U666">
        <v>0</v>
      </c>
      <c r="V666">
        <v>68</v>
      </c>
      <c r="W666">
        <v>969000</v>
      </c>
      <c r="X666">
        <v>10200</v>
      </c>
      <c r="Y666">
        <v>13600</v>
      </c>
      <c r="Z666">
        <v>0</v>
      </c>
      <c r="AA666">
        <v>0</v>
      </c>
      <c r="AB666">
        <v>0</v>
      </c>
      <c r="AC666">
        <v>23800</v>
      </c>
    </row>
    <row r="667" spans="1:29">
      <c r="A667">
        <v>1414</v>
      </c>
      <c r="B667" t="s">
        <v>149</v>
      </c>
      <c r="C667">
        <v>496</v>
      </c>
      <c r="D667" t="s">
        <v>8</v>
      </c>
      <c r="E667" t="str">
        <f t="shared" si="15"/>
        <v>00496</v>
      </c>
      <c r="F667" t="s">
        <v>7</v>
      </c>
      <c r="G667" t="s">
        <v>156</v>
      </c>
      <c r="H667" t="s">
        <v>157</v>
      </c>
      <c r="I667" t="s">
        <v>4</v>
      </c>
      <c r="J667" t="s">
        <v>152</v>
      </c>
      <c r="K667" t="s">
        <v>159</v>
      </c>
      <c r="L667">
        <v>251200901</v>
      </c>
      <c r="M667" s="84">
        <v>46021</v>
      </c>
      <c r="N667" s="84">
        <v>46021</v>
      </c>
      <c r="O667" t="s">
        <v>243</v>
      </c>
      <c r="P667" t="s">
        <v>244</v>
      </c>
      <c r="Q667">
        <v>15050</v>
      </c>
      <c r="R667">
        <v>5</v>
      </c>
      <c r="S667">
        <v>75250</v>
      </c>
      <c r="T667">
        <v>0</v>
      </c>
      <c r="U667">
        <v>0</v>
      </c>
      <c r="V667">
        <v>5</v>
      </c>
      <c r="W667">
        <v>75250</v>
      </c>
      <c r="X667">
        <v>750</v>
      </c>
      <c r="Y667">
        <v>1000</v>
      </c>
      <c r="Z667">
        <v>0</v>
      </c>
      <c r="AA667">
        <v>0</v>
      </c>
      <c r="AB667">
        <v>0</v>
      </c>
      <c r="AC667">
        <v>1750</v>
      </c>
    </row>
    <row r="668" spans="1:29">
      <c r="A668">
        <v>1417</v>
      </c>
      <c r="B668" t="s">
        <v>149</v>
      </c>
      <c r="C668">
        <v>1352</v>
      </c>
      <c r="D668" t="s">
        <v>42</v>
      </c>
      <c r="E668" t="str">
        <f t="shared" si="15"/>
        <v>01352</v>
      </c>
      <c r="F668" t="s">
        <v>38</v>
      </c>
      <c r="G668" t="s">
        <v>202</v>
      </c>
      <c r="H668" t="s">
        <v>157</v>
      </c>
      <c r="I668" t="s">
        <v>4</v>
      </c>
      <c r="J668" t="s">
        <v>152</v>
      </c>
      <c r="K668" t="s">
        <v>203</v>
      </c>
      <c r="L668">
        <v>251200904</v>
      </c>
      <c r="M668" s="84">
        <v>46021</v>
      </c>
      <c r="N668" s="84">
        <v>46021</v>
      </c>
      <c r="O668" t="s">
        <v>160</v>
      </c>
      <c r="P668" t="s">
        <v>161</v>
      </c>
      <c r="Q668">
        <v>14250</v>
      </c>
      <c r="R668">
        <v>30</v>
      </c>
      <c r="S668">
        <v>427500</v>
      </c>
      <c r="T668">
        <v>0</v>
      </c>
      <c r="U668">
        <v>0</v>
      </c>
      <c r="V668">
        <v>30</v>
      </c>
      <c r="W668">
        <v>427500</v>
      </c>
      <c r="X668">
        <v>4500</v>
      </c>
      <c r="Y668">
        <v>6000</v>
      </c>
      <c r="Z668">
        <v>0</v>
      </c>
      <c r="AA668">
        <v>0</v>
      </c>
      <c r="AB668">
        <v>0</v>
      </c>
      <c r="AC668">
        <v>10500</v>
      </c>
    </row>
    <row r="669" spans="1:29">
      <c r="A669">
        <v>1426</v>
      </c>
      <c r="B669" t="s">
        <v>149</v>
      </c>
      <c r="C669">
        <v>334</v>
      </c>
      <c r="D669" t="s">
        <v>56</v>
      </c>
      <c r="E669" t="str">
        <f t="shared" si="15"/>
        <v>00334</v>
      </c>
      <c r="F669" t="s">
        <v>49</v>
      </c>
      <c r="G669" t="s">
        <v>167</v>
      </c>
      <c r="H669" t="s">
        <v>151</v>
      </c>
      <c r="I669" t="s">
        <v>5</v>
      </c>
      <c r="J669" t="s">
        <v>152</v>
      </c>
      <c r="K669" t="s">
        <v>153</v>
      </c>
      <c r="L669">
        <v>251200912</v>
      </c>
      <c r="M669" s="84">
        <v>46021</v>
      </c>
      <c r="N669" s="84">
        <v>46021</v>
      </c>
      <c r="O669" t="s">
        <v>191</v>
      </c>
      <c r="P669" t="s">
        <v>192</v>
      </c>
      <c r="Q669">
        <v>11700</v>
      </c>
      <c r="R669">
        <v>13</v>
      </c>
      <c r="S669">
        <v>152100</v>
      </c>
      <c r="T669">
        <v>0</v>
      </c>
      <c r="U669">
        <v>0</v>
      </c>
      <c r="V669">
        <v>13</v>
      </c>
      <c r="W669">
        <v>152100</v>
      </c>
      <c r="X669">
        <v>1950</v>
      </c>
      <c r="Y669">
        <v>1950</v>
      </c>
      <c r="Z669">
        <v>0</v>
      </c>
      <c r="AA669">
        <v>0</v>
      </c>
      <c r="AB669">
        <v>0</v>
      </c>
      <c r="AC669">
        <v>3900</v>
      </c>
    </row>
    <row r="670" spans="1:29">
      <c r="A670">
        <v>1427</v>
      </c>
      <c r="B670" t="s">
        <v>149</v>
      </c>
      <c r="C670">
        <v>334</v>
      </c>
      <c r="D670" t="s">
        <v>56</v>
      </c>
      <c r="E670" t="str">
        <f t="shared" si="15"/>
        <v>00334</v>
      </c>
      <c r="F670" t="s">
        <v>49</v>
      </c>
      <c r="G670" t="s">
        <v>167</v>
      </c>
      <c r="H670" t="s">
        <v>151</v>
      </c>
      <c r="I670" t="s">
        <v>5</v>
      </c>
      <c r="J670" t="s">
        <v>152</v>
      </c>
      <c r="K670" t="s">
        <v>153</v>
      </c>
      <c r="L670">
        <v>251200913</v>
      </c>
      <c r="M670" s="84">
        <v>46021</v>
      </c>
      <c r="N670" s="84">
        <v>46021</v>
      </c>
      <c r="O670" t="s">
        <v>191</v>
      </c>
      <c r="P670" t="s">
        <v>192</v>
      </c>
      <c r="Q670">
        <v>11700</v>
      </c>
      <c r="R670">
        <v>7</v>
      </c>
      <c r="S670">
        <v>81900</v>
      </c>
      <c r="T670">
        <v>0</v>
      </c>
      <c r="U670">
        <v>0</v>
      </c>
      <c r="V670">
        <v>7</v>
      </c>
      <c r="W670">
        <v>81900</v>
      </c>
      <c r="X670">
        <v>1050</v>
      </c>
      <c r="Y670">
        <v>1050</v>
      </c>
      <c r="Z670">
        <v>0</v>
      </c>
      <c r="AA670">
        <v>0</v>
      </c>
      <c r="AB670">
        <v>0</v>
      </c>
      <c r="AC670">
        <v>2100</v>
      </c>
    </row>
    <row r="671" spans="1:29">
      <c r="A671">
        <v>1428</v>
      </c>
      <c r="B671" t="s">
        <v>149</v>
      </c>
      <c r="C671">
        <v>827</v>
      </c>
      <c r="D671" t="s">
        <v>84</v>
      </c>
      <c r="E671" t="str">
        <f t="shared" si="15"/>
        <v>00827</v>
      </c>
      <c r="F671" t="s">
        <v>83</v>
      </c>
      <c r="G671" t="s">
        <v>164</v>
      </c>
      <c r="H671" t="s">
        <v>151</v>
      </c>
      <c r="I671" t="s">
        <v>173</v>
      </c>
      <c r="J671" t="s">
        <v>152</v>
      </c>
      <c r="K671" t="s">
        <v>153</v>
      </c>
      <c r="L671">
        <v>251200914</v>
      </c>
      <c r="M671" s="84">
        <v>46021</v>
      </c>
      <c r="N671" s="84">
        <v>46021</v>
      </c>
      <c r="O671" t="s">
        <v>308</v>
      </c>
      <c r="P671" t="s">
        <v>309</v>
      </c>
      <c r="Q671">
        <v>18102</v>
      </c>
      <c r="R671">
        <v>1</v>
      </c>
      <c r="S671">
        <v>18102</v>
      </c>
      <c r="T671">
        <v>0</v>
      </c>
      <c r="U671">
        <v>0</v>
      </c>
      <c r="V671">
        <v>1</v>
      </c>
      <c r="W671">
        <v>18102</v>
      </c>
      <c r="X671">
        <v>0</v>
      </c>
      <c r="Y671">
        <v>362</v>
      </c>
      <c r="Z671">
        <v>905</v>
      </c>
      <c r="AA671">
        <v>0</v>
      </c>
      <c r="AB671">
        <v>100</v>
      </c>
      <c r="AC671">
        <v>1367</v>
      </c>
    </row>
    <row r="672" spans="1:29">
      <c r="A672">
        <v>1429</v>
      </c>
      <c r="B672" t="s">
        <v>149</v>
      </c>
      <c r="C672">
        <v>827</v>
      </c>
      <c r="D672" t="s">
        <v>84</v>
      </c>
      <c r="E672" t="str">
        <f t="shared" si="15"/>
        <v>00827</v>
      </c>
      <c r="F672" t="s">
        <v>83</v>
      </c>
      <c r="G672" t="s">
        <v>164</v>
      </c>
      <c r="H672" t="s">
        <v>151</v>
      </c>
      <c r="I672" t="s">
        <v>5</v>
      </c>
      <c r="J672" t="s">
        <v>152</v>
      </c>
      <c r="K672" t="s">
        <v>153</v>
      </c>
      <c r="L672">
        <v>251200915</v>
      </c>
      <c r="M672" s="84">
        <v>46021</v>
      </c>
      <c r="N672" s="84">
        <v>46021</v>
      </c>
      <c r="O672" t="s">
        <v>198</v>
      </c>
      <c r="P672" t="s">
        <v>199</v>
      </c>
      <c r="Q672">
        <v>11700</v>
      </c>
      <c r="R672">
        <v>1</v>
      </c>
      <c r="S672">
        <v>11700</v>
      </c>
      <c r="T672">
        <v>0</v>
      </c>
      <c r="U672">
        <v>0</v>
      </c>
      <c r="V672">
        <v>1</v>
      </c>
      <c r="W672">
        <v>11700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</row>
    <row r="673" spans="1:29">
      <c r="A673">
        <v>1430</v>
      </c>
      <c r="B673" t="s">
        <v>149</v>
      </c>
      <c r="C673">
        <v>1564</v>
      </c>
      <c r="D673" t="s">
        <v>40</v>
      </c>
      <c r="E673" t="str">
        <f t="shared" si="15"/>
        <v>01564</v>
      </c>
      <c r="F673" t="s">
        <v>38</v>
      </c>
      <c r="G673" t="s">
        <v>202</v>
      </c>
      <c r="H673" t="s">
        <v>157</v>
      </c>
      <c r="I673" t="s">
        <v>4</v>
      </c>
      <c r="J673" t="s">
        <v>152</v>
      </c>
      <c r="K673" t="s">
        <v>203</v>
      </c>
      <c r="L673">
        <v>251200916</v>
      </c>
      <c r="M673" s="84">
        <v>46021</v>
      </c>
      <c r="N673" s="84">
        <v>46021</v>
      </c>
      <c r="O673" t="s">
        <v>300</v>
      </c>
      <c r="P673" t="s">
        <v>301</v>
      </c>
      <c r="Q673">
        <v>14250</v>
      </c>
      <c r="R673">
        <v>32</v>
      </c>
      <c r="S673">
        <v>456000</v>
      </c>
      <c r="T673">
        <v>0</v>
      </c>
      <c r="U673">
        <v>0</v>
      </c>
      <c r="V673">
        <v>32</v>
      </c>
      <c r="W673">
        <v>456000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>
      <c r="A674">
        <v>1431</v>
      </c>
      <c r="B674" t="s">
        <v>149</v>
      </c>
      <c r="C674">
        <v>561</v>
      </c>
      <c r="D674" t="s">
        <v>93</v>
      </c>
      <c r="E674" t="str">
        <f t="shared" si="15"/>
        <v>00561</v>
      </c>
      <c r="F674" t="s">
        <v>91</v>
      </c>
      <c r="G674" t="s">
        <v>202</v>
      </c>
      <c r="H674" t="s">
        <v>157</v>
      </c>
      <c r="I674" t="s">
        <v>5</v>
      </c>
      <c r="J674" t="s">
        <v>152</v>
      </c>
      <c r="K674" t="s">
        <v>159</v>
      </c>
      <c r="L674">
        <v>251200917</v>
      </c>
      <c r="M674" s="84">
        <v>46021</v>
      </c>
      <c r="N674" s="84">
        <v>46021</v>
      </c>
      <c r="O674" t="s">
        <v>310</v>
      </c>
      <c r="P674" t="s">
        <v>311</v>
      </c>
      <c r="Q674">
        <v>12900</v>
      </c>
      <c r="R674">
        <v>10</v>
      </c>
      <c r="S674">
        <v>129000</v>
      </c>
      <c r="T674">
        <v>0</v>
      </c>
      <c r="U674">
        <v>0</v>
      </c>
      <c r="V674">
        <v>10</v>
      </c>
      <c r="W674">
        <v>129000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 spans="1:29">
      <c r="A675">
        <v>1432</v>
      </c>
      <c r="B675" t="s">
        <v>149</v>
      </c>
      <c r="C675">
        <v>561</v>
      </c>
      <c r="D675" t="s">
        <v>93</v>
      </c>
      <c r="E675" t="str">
        <f t="shared" si="15"/>
        <v>00561</v>
      </c>
      <c r="F675" t="s">
        <v>91</v>
      </c>
      <c r="G675" t="s">
        <v>202</v>
      </c>
      <c r="H675" t="s">
        <v>157</v>
      </c>
      <c r="I675" t="s">
        <v>5</v>
      </c>
      <c r="J675" t="s">
        <v>152</v>
      </c>
      <c r="K675" t="s">
        <v>159</v>
      </c>
      <c r="L675">
        <v>251200918</v>
      </c>
      <c r="M675" s="84">
        <v>46021</v>
      </c>
      <c r="N675" s="84">
        <v>46021</v>
      </c>
      <c r="O675" t="s">
        <v>310</v>
      </c>
      <c r="P675" t="s">
        <v>311</v>
      </c>
      <c r="Q675">
        <v>12900</v>
      </c>
      <c r="R675">
        <v>5</v>
      </c>
      <c r="S675">
        <v>64500</v>
      </c>
      <c r="T675">
        <v>0</v>
      </c>
      <c r="U675">
        <v>0</v>
      </c>
      <c r="V675">
        <v>5</v>
      </c>
      <c r="W675">
        <v>64500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>
      <c r="A676">
        <v>1433</v>
      </c>
      <c r="B676" t="s">
        <v>149</v>
      </c>
      <c r="C676">
        <v>561</v>
      </c>
      <c r="D676" t="s">
        <v>93</v>
      </c>
      <c r="E676" t="str">
        <f t="shared" si="15"/>
        <v>00561</v>
      </c>
      <c r="F676" t="s">
        <v>91</v>
      </c>
      <c r="G676" t="s">
        <v>202</v>
      </c>
      <c r="H676" t="s">
        <v>157</v>
      </c>
      <c r="I676" t="s">
        <v>5</v>
      </c>
      <c r="J676" t="s">
        <v>152</v>
      </c>
      <c r="K676" t="s">
        <v>159</v>
      </c>
      <c r="L676">
        <v>251200918</v>
      </c>
      <c r="M676" s="84">
        <v>46021</v>
      </c>
      <c r="N676" s="84">
        <v>46021</v>
      </c>
      <c r="O676" t="s">
        <v>191</v>
      </c>
      <c r="P676" t="s">
        <v>192</v>
      </c>
      <c r="Q676">
        <v>11700</v>
      </c>
      <c r="R676">
        <v>50</v>
      </c>
      <c r="S676">
        <v>585000</v>
      </c>
      <c r="T676">
        <v>0</v>
      </c>
      <c r="U676">
        <v>0</v>
      </c>
      <c r="V676">
        <v>50</v>
      </c>
      <c r="W676">
        <v>585000</v>
      </c>
      <c r="X676">
        <v>7500</v>
      </c>
      <c r="Y676">
        <v>7500</v>
      </c>
      <c r="Z676">
        <v>0</v>
      </c>
      <c r="AA676">
        <v>0</v>
      </c>
      <c r="AB676">
        <v>0</v>
      </c>
      <c r="AC676">
        <v>15000</v>
      </c>
    </row>
    <row r="677" spans="1:29">
      <c r="A677">
        <v>1434</v>
      </c>
      <c r="B677" t="s">
        <v>149</v>
      </c>
      <c r="C677">
        <v>561</v>
      </c>
      <c r="D677" t="s">
        <v>93</v>
      </c>
      <c r="E677" t="str">
        <f t="shared" si="15"/>
        <v>00561</v>
      </c>
      <c r="F677" t="s">
        <v>91</v>
      </c>
      <c r="G677" t="s">
        <v>202</v>
      </c>
      <c r="H677" t="s">
        <v>157</v>
      </c>
      <c r="I677" t="s">
        <v>4</v>
      </c>
      <c r="J677" t="s">
        <v>152</v>
      </c>
      <c r="K677" t="s">
        <v>159</v>
      </c>
      <c r="L677">
        <v>251200918</v>
      </c>
      <c r="M677" s="84">
        <v>46021</v>
      </c>
      <c r="N677" s="84">
        <v>46021</v>
      </c>
      <c r="O677" t="s">
        <v>245</v>
      </c>
      <c r="P677" t="s">
        <v>246</v>
      </c>
      <c r="Q677">
        <v>14250</v>
      </c>
      <c r="R677">
        <v>20</v>
      </c>
      <c r="S677">
        <v>285000</v>
      </c>
      <c r="T677">
        <v>0</v>
      </c>
      <c r="U677">
        <v>0</v>
      </c>
      <c r="V677">
        <v>20</v>
      </c>
      <c r="W677">
        <v>285000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</row>
    <row r="678" spans="1:29">
      <c r="A678">
        <v>1435</v>
      </c>
      <c r="B678" t="s">
        <v>149</v>
      </c>
      <c r="C678">
        <v>561</v>
      </c>
      <c r="D678" t="s">
        <v>93</v>
      </c>
      <c r="E678" t="str">
        <f t="shared" si="15"/>
        <v>00561</v>
      </c>
      <c r="F678" t="s">
        <v>91</v>
      </c>
      <c r="G678" t="s">
        <v>202</v>
      </c>
      <c r="H678" t="s">
        <v>157</v>
      </c>
      <c r="I678" t="s">
        <v>4</v>
      </c>
      <c r="J678" t="s">
        <v>152</v>
      </c>
      <c r="K678" t="s">
        <v>159</v>
      </c>
      <c r="L678">
        <v>251200918</v>
      </c>
      <c r="M678" s="84">
        <v>46021</v>
      </c>
      <c r="N678" s="84">
        <v>46021</v>
      </c>
      <c r="O678" t="s">
        <v>225</v>
      </c>
      <c r="P678" t="s">
        <v>226</v>
      </c>
      <c r="Q678">
        <v>14250</v>
      </c>
      <c r="R678">
        <v>20</v>
      </c>
      <c r="S678">
        <v>285000</v>
      </c>
      <c r="T678">
        <v>0</v>
      </c>
      <c r="U678">
        <v>0</v>
      </c>
      <c r="V678">
        <v>20</v>
      </c>
      <c r="W678">
        <v>285000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</row>
    <row r="679" spans="1:29">
      <c r="A679">
        <v>1436</v>
      </c>
      <c r="B679" t="s">
        <v>149</v>
      </c>
      <c r="C679">
        <v>561</v>
      </c>
      <c r="D679" t="s">
        <v>93</v>
      </c>
      <c r="E679" t="str">
        <f t="shared" si="15"/>
        <v>00561</v>
      </c>
      <c r="F679" t="s">
        <v>91</v>
      </c>
      <c r="G679" t="s">
        <v>202</v>
      </c>
      <c r="H679" t="s">
        <v>157</v>
      </c>
      <c r="I679" t="s">
        <v>4</v>
      </c>
      <c r="J679" t="s">
        <v>152</v>
      </c>
      <c r="K679" t="s">
        <v>159</v>
      </c>
      <c r="L679">
        <v>251200918</v>
      </c>
      <c r="M679" s="84">
        <v>46021</v>
      </c>
      <c r="N679" s="84">
        <v>46021</v>
      </c>
      <c r="O679" t="s">
        <v>160</v>
      </c>
      <c r="P679" t="s">
        <v>161</v>
      </c>
      <c r="Q679">
        <v>14250</v>
      </c>
      <c r="R679">
        <v>50</v>
      </c>
      <c r="S679">
        <v>712500</v>
      </c>
      <c r="T679">
        <v>0</v>
      </c>
      <c r="U679">
        <v>0</v>
      </c>
      <c r="V679">
        <v>50</v>
      </c>
      <c r="W679">
        <v>712500</v>
      </c>
      <c r="X679">
        <v>7500</v>
      </c>
      <c r="Y679">
        <v>10000</v>
      </c>
      <c r="Z679">
        <v>0</v>
      </c>
      <c r="AA679">
        <v>0</v>
      </c>
      <c r="AB679">
        <v>0</v>
      </c>
      <c r="AC679">
        <v>17500</v>
      </c>
    </row>
    <row r="680" spans="1:29">
      <c r="A680">
        <v>1437</v>
      </c>
      <c r="B680" t="s">
        <v>149</v>
      </c>
      <c r="C680">
        <v>1341</v>
      </c>
      <c r="D680" t="s">
        <v>24</v>
      </c>
      <c r="E680" t="str">
        <f t="shared" si="15"/>
        <v>01341</v>
      </c>
      <c r="F680" t="s">
        <v>20</v>
      </c>
      <c r="G680" t="s">
        <v>193</v>
      </c>
      <c r="H680" t="s">
        <v>151</v>
      </c>
      <c r="I680" t="s">
        <v>182</v>
      </c>
      <c r="J680" t="s">
        <v>152</v>
      </c>
      <c r="K680" t="s">
        <v>236</v>
      </c>
      <c r="L680">
        <v>251200919</v>
      </c>
      <c r="M680" s="84">
        <v>46021</v>
      </c>
      <c r="N680" s="84">
        <v>46021</v>
      </c>
      <c r="O680" t="s">
        <v>183</v>
      </c>
      <c r="P680" t="s">
        <v>184</v>
      </c>
      <c r="Q680">
        <v>70</v>
      </c>
      <c r="R680">
        <v>1000</v>
      </c>
      <c r="S680">
        <v>70000</v>
      </c>
      <c r="T680">
        <v>0</v>
      </c>
      <c r="U680">
        <v>0</v>
      </c>
      <c r="V680">
        <v>1000</v>
      </c>
      <c r="W680">
        <v>70000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</row>
    <row r="681" spans="1:29">
      <c r="A681">
        <v>1438</v>
      </c>
      <c r="B681" t="s">
        <v>149</v>
      </c>
      <c r="C681">
        <v>1385</v>
      </c>
      <c r="D681" t="s">
        <v>27</v>
      </c>
      <c r="E681" t="str">
        <f t="shared" si="15"/>
        <v>01385</v>
      </c>
      <c r="F681" t="s">
        <v>20</v>
      </c>
      <c r="G681" t="s">
        <v>193</v>
      </c>
      <c r="H681" t="s">
        <v>151</v>
      </c>
      <c r="I681" t="s">
        <v>182</v>
      </c>
      <c r="J681" t="s">
        <v>152</v>
      </c>
      <c r="K681" t="s">
        <v>236</v>
      </c>
      <c r="L681">
        <v>251200920</v>
      </c>
      <c r="M681" s="84">
        <v>46021</v>
      </c>
      <c r="N681" s="84">
        <v>46021</v>
      </c>
      <c r="O681" t="s">
        <v>183</v>
      </c>
      <c r="P681" t="s">
        <v>184</v>
      </c>
      <c r="Q681">
        <v>70</v>
      </c>
      <c r="R681">
        <v>400</v>
      </c>
      <c r="S681">
        <v>28000</v>
      </c>
      <c r="T681">
        <v>0</v>
      </c>
      <c r="U681">
        <v>0</v>
      </c>
      <c r="V681">
        <v>400</v>
      </c>
      <c r="W681">
        <v>28000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</row>
    <row r="682" spans="1:29">
      <c r="A682">
        <v>1439</v>
      </c>
      <c r="B682" t="s">
        <v>149</v>
      </c>
      <c r="C682">
        <v>1356</v>
      </c>
      <c r="D682" t="s">
        <v>98</v>
      </c>
      <c r="E682" t="str">
        <f t="shared" si="15"/>
        <v>01356</v>
      </c>
      <c r="F682" t="s">
        <v>95</v>
      </c>
      <c r="G682" t="s">
        <v>187</v>
      </c>
      <c r="H682" t="s">
        <v>188</v>
      </c>
      <c r="I682" t="s">
        <v>182</v>
      </c>
      <c r="J682" t="s">
        <v>152</v>
      </c>
      <c r="K682" t="s">
        <v>159</v>
      </c>
      <c r="L682">
        <v>251200921</v>
      </c>
      <c r="M682" s="84">
        <v>46021</v>
      </c>
      <c r="N682" s="84">
        <v>46021</v>
      </c>
      <c r="O682" t="s">
        <v>183</v>
      </c>
      <c r="P682" t="s">
        <v>184</v>
      </c>
      <c r="Q682">
        <v>70</v>
      </c>
      <c r="R682">
        <v>400</v>
      </c>
      <c r="S682">
        <v>28000</v>
      </c>
      <c r="T682">
        <v>0</v>
      </c>
      <c r="U682">
        <v>0</v>
      </c>
      <c r="V682">
        <v>400</v>
      </c>
      <c r="W682">
        <v>28000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</row>
    <row r="683" spans="1:29">
      <c r="A683">
        <v>1440</v>
      </c>
      <c r="B683" t="s">
        <v>149</v>
      </c>
      <c r="C683">
        <v>1450</v>
      </c>
      <c r="D683" t="s">
        <v>82</v>
      </c>
      <c r="E683" t="str">
        <f t="shared" si="15"/>
        <v>01450</v>
      </c>
      <c r="F683" t="s">
        <v>80</v>
      </c>
      <c r="G683" t="s">
        <v>164</v>
      </c>
      <c r="H683" t="s">
        <v>151</v>
      </c>
      <c r="I683" t="s">
        <v>182</v>
      </c>
      <c r="J683" t="s">
        <v>152</v>
      </c>
      <c r="K683" t="s">
        <v>153</v>
      </c>
      <c r="L683">
        <v>251200922</v>
      </c>
      <c r="M683" s="84">
        <v>46021</v>
      </c>
      <c r="N683" s="84">
        <v>46021</v>
      </c>
      <c r="O683" t="s">
        <v>183</v>
      </c>
      <c r="P683" t="s">
        <v>184</v>
      </c>
      <c r="Q683">
        <v>72</v>
      </c>
      <c r="R683">
        <v>100</v>
      </c>
      <c r="S683">
        <v>7200</v>
      </c>
      <c r="T683">
        <v>0</v>
      </c>
      <c r="U683">
        <v>0</v>
      </c>
      <c r="V683">
        <v>100</v>
      </c>
      <c r="W683">
        <v>7200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</row>
    <row r="684" spans="1:29">
      <c r="A684">
        <v>1446</v>
      </c>
      <c r="B684" t="s">
        <v>149</v>
      </c>
      <c r="C684">
        <v>1581</v>
      </c>
      <c r="D684" t="s">
        <v>96</v>
      </c>
      <c r="E684" t="str">
        <f t="shared" si="15"/>
        <v>01581</v>
      </c>
      <c r="F684" t="s">
        <v>95</v>
      </c>
      <c r="G684" t="s">
        <v>187</v>
      </c>
      <c r="H684" t="s">
        <v>188</v>
      </c>
      <c r="I684" t="s">
        <v>5</v>
      </c>
      <c r="J684" t="s">
        <v>152</v>
      </c>
      <c r="K684" t="s">
        <v>159</v>
      </c>
      <c r="L684">
        <v>251200976</v>
      </c>
      <c r="M684" s="84">
        <v>46022</v>
      </c>
      <c r="N684" s="84">
        <v>46022</v>
      </c>
      <c r="O684" t="s">
        <v>198</v>
      </c>
      <c r="P684" t="s">
        <v>199</v>
      </c>
      <c r="Q684">
        <v>10800</v>
      </c>
      <c r="R684">
        <v>12</v>
      </c>
      <c r="S684">
        <v>129600</v>
      </c>
      <c r="T684">
        <v>0</v>
      </c>
      <c r="U684">
        <v>0</v>
      </c>
      <c r="V684">
        <v>12</v>
      </c>
      <c r="W684">
        <v>129600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</row>
    <row r="685" spans="1:29">
      <c r="A685">
        <v>1447</v>
      </c>
      <c r="B685" t="s">
        <v>149</v>
      </c>
      <c r="C685">
        <v>1448</v>
      </c>
      <c r="D685" t="s">
        <v>21</v>
      </c>
      <c r="E685" t="str">
        <f t="shared" si="15"/>
        <v>01448</v>
      </c>
      <c r="F685" t="s">
        <v>20</v>
      </c>
      <c r="G685" t="s">
        <v>193</v>
      </c>
      <c r="H685" t="s">
        <v>151</v>
      </c>
      <c r="I685" t="s">
        <v>4</v>
      </c>
      <c r="J685" t="s">
        <v>152</v>
      </c>
      <c r="K685" t="s">
        <v>236</v>
      </c>
      <c r="L685">
        <v>251200977</v>
      </c>
      <c r="M685" s="84">
        <v>46022</v>
      </c>
      <c r="N685" s="84">
        <v>46022</v>
      </c>
      <c r="O685" t="s">
        <v>179</v>
      </c>
      <c r="P685" t="s">
        <v>180</v>
      </c>
      <c r="Q685">
        <v>14250</v>
      </c>
      <c r="R685">
        <v>4</v>
      </c>
      <c r="S685">
        <v>57000</v>
      </c>
      <c r="T685">
        <v>0</v>
      </c>
      <c r="U685">
        <v>0</v>
      </c>
      <c r="V685">
        <v>4</v>
      </c>
      <c r="W685">
        <v>57000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</row>
    <row r="686" spans="1:29">
      <c r="A686">
        <v>1450</v>
      </c>
      <c r="B686" t="s">
        <v>149</v>
      </c>
      <c r="C686">
        <v>388</v>
      </c>
      <c r="D686" t="s">
        <v>106</v>
      </c>
      <c r="E686" t="str">
        <f t="shared" si="15"/>
        <v>00388</v>
      </c>
      <c r="F686" t="s">
        <v>103</v>
      </c>
      <c r="G686" t="s">
        <v>167</v>
      </c>
      <c r="H686" t="s">
        <v>151</v>
      </c>
      <c r="I686" t="s">
        <v>4</v>
      </c>
      <c r="J686" t="s">
        <v>152</v>
      </c>
      <c r="K686" t="s">
        <v>153</v>
      </c>
      <c r="L686">
        <v>251200980</v>
      </c>
      <c r="M686" s="84">
        <v>46022</v>
      </c>
      <c r="N686" s="84">
        <v>46022</v>
      </c>
      <c r="O686" t="s">
        <v>160</v>
      </c>
      <c r="P686" t="s">
        <v>161</v>
      </c>
      <c r="Q686">
        <v>14250</v>
      </c>
      <c r="R686">
        <v>50</v>
      </c>
      <c r="S686">
        <v>712500</v>
      </c>
      <c r="T686">
        <v>0</v>
      </c>
      <c r="U686">
        <v>0</v>
      </c>
      <c r="V686">
        <v>50</v>
      </c>
      <c r="W686">
        <v>712500</v>
      </c>
      <c r="X686">
        <v>7500</v>
      </c>
      <c r="Y686">
        <v>10000</v>
      </c>
      <c r="Z686">
        <v>0</v>
      </c>
      <c r="AA686">
        <v>0</v>
      </c>
      <c r="AB686">
        <v>0</v>
      </c>
      <c r="AC686">
        <v>17500</v>
      </c>
    </row>
    <row r="687" spans="1:29">
      <c r="A687">
        <v>1451</v>
      </c>
      <c r="B687" t="s">
        <v>149</v>
      </c>
      <c r="C687">
        <v>334</v>
      </c>
      <c r="D687" t="s">
        <v>56</v>
      </c>
      <c r="E687" t="str">
        <f t="shared" si="15"/>
        <v>00334</v>
      </c>
      <c r="F687" t="s">
        <v>49</v>
      </c>
      <c r="G687" t="s">
        <v>167</v>
      </c>
      <c r="H687" t="s">
        <v>151</v>
      </c>
      <c r="I687" t="s">
        <v>5</v>
      </c>
      <c r="J687" t="s">
        <v>152</v>
      </c>
      <c r="K687" t="s">
        <v>153</v>
      </c>
      <c r="L687">
        <v>251200981</v>
      </c>
      <c r="M687" s="84">
        <v>46022</v>
      </c>
      <c r="N687" s="84">
        <v>46022</v>
      </c>
      <c r="O687" t="s">
        <v>191</v>
      </c>
      <c r="P687" t="s">
        <v>192</v>
      </c>
      <c r="Q687">
        <v>11700</v>
      </c>
      <c r="R687">
        <v>12</v>
      </c>
      <c r="S687">
        <v>140400</v>
      </c>
      <c r="T687">
        <v>0</v>
      </c>
      <c r="U687">
        <v>0</v>
      </c>
      <c r="V687">
        <v>12</v>
      </c>
      <c r="W687">
        <v>140400</v>
      </c>
      <c r="X687">
        <v>1800</v>
      </c>
      <c r="Y687">
        <v>1800</v>
      </c>
      <c r="Z687">
        <v>0</v>
      </c>
      <c r="AA687">
        <v>0</v>
      </c>
      <c r="AB687">
        <v>0</v>
      </c>
      <c r="AC687">
        <v>3600</v>
      </c>
    </row>
    <row r="688" spans="1:29">
      <c r="A688">
        <v>1452</v>
      </c>
      <c r="B688" t="s">
        <v>149</v>
      </c>
      <c r="C688">
        <v>1470</v>
      </c>
      <c r="D688" t="s">
        <v>12</v>
      </c>
      <c r="E688" t="str">
        <f t="shared" si="15"/>
        <v>01470</v>
      </c>
      <c r="F688" t="s">
        <v>10</v>
      </c>
      <c r="G688" t="s">
        <v>172</v>
      </c>
      <c r="H688" t="s">
        <v>157</v>
      </c>
      <c r="I688" t="s">
        <v>4</v>
      </c>
      <c r="J688" t="s">
        <v>152</v>
      </c>
      <c r="K688" t="s">
        <v>174</v>
      </c>
      <c r="L688">
        <v>251200982</v>
      </c>
      <c r="M688" s="84">
        <v>46022</v>
      </c>
      <c r="N688" s="84">
        <v>46022</v>
      </c>
      <c r="O688" t="s">
        <v>160</v>
      </c>
      <c r="P688" t="s">
        <v>161</v>
      </c>
      <c r="Q688">
        <v>14250</v>
      </c>
      <c r="R688">
        <v>5</v>
      </c>
      <c r="S688">
        <v>71250</v>
      </c>
      <c r="T688">
        <v>0</v>
      </c>
      <c r="U688">
        <v>0</v>
      </c>
      <c r="V688">
        <v>5</v>
      </c>
      <c r="W688">
        <v>71250</v>
      </c>
      <c r="X688">
        <v>750</v>
      </c>
      <c r="Y688">
        <v>1000</v>
      </c>
      <c r="Z688">
        <v>0</v>
      </c>
      <c r="AA688">
        <v>0</v>
      </c>
      <c r="AB688">
        <v>0</v>
      </c>
      <c r="AC688">
        <v>1750</v>
      </c>
    </row>
    <row r="689" spans="1:29">
      <c r="A689">
        <v>1453</v>
      </c>
      <c r="B689" t="s">
        <v>149</v>
      </c>
      <c r="C689">
        <v>1485</v>
      </c>
      <c r="D689" t="s">
        <v>275</v>
      </c>
      <c r="E689" t="str">
        <f t="shared" si="15"/>
        <v>01485</v>
      </c>
      <c r="F689" t="s">
        <v>95</v>
      </c>
      <c r="G689" t="s">
        <v>187</v>
      </c>
      <c r="H689" t="s">
        <v>188</v>
      </c>
      <c r="I689" t="s">
        <v>210</v>
      </c>
      <c r="J689" t="s">
        <v>152</v>
      </c>
      <c r="K689" t="s">
        <v>159</v>
      </c>
      <c r="L689">
        <v>251200983</v>
      </c>
      <c r="M689" s="84">
        <v>46022</v>
      </c>
      <c r="N689" s="84">
        <v>46022</v>
      </c>
      <c r="O689" t="s">
        <v>250</v>
      </c>
      <c r="P689" t="s">
        <v>251</v>
      </c>
      <c r="Q689">
        <v>26500</v>
      </c>
      <c r="R689">
        <v>1</v>
      </c>
      <c r="S689">
        <v>26500</v>
      </c>
      <c r="T689">
        <v>0</v>
      </c>
      <c r="U689">
        <v>0</v>
      </c>
      <c r="V689">
        <v>1</v>
      </c>
      <c r="W689">
        <v>26500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 spans="1:29">
      <c r="A690">
        <v>1460</v>
      </c>
      <c r="B690" t="s">
        <v>149</v>
      </c>
      <c r="C690">
        <v>1118</v>
      </c>
      <c r="D690" t="s">
        <v>37</v>
      </c>
      <c r="E690" t="str">
        <f t="shared" si="15"/>
        <v>01118</v>
      </c>
      <c r="F690" t="s">
        <v>28</v>
      </c>
      <c r="G690" t="s">
        <v>164</v>
      </c>
      <c r="H690" t="s">
        <v>151</v>
      </c>
      <c r="I690" t="s">
        <v>210</v>
      </c>
      <c r="J690" t="s">
        <v>152</v>
      </c>
      <c r="K690" t="s">
        <v>153</v>
      </c>
      <c r="L690">
        <v>251200989</v>
      </c>
      <c r="M690" s="84">
        <v>46022</v>
      </c>
      <c r="N690" s="84">
        <v>46022</v>
      </c>
      <c r="O690" t="s">
        <v>213</v>
      </c>
      <c r="P690" t="s">
        <v>214</v>
      </c>
      <c r="Q690">
        <v>23802</v>
      </c>
      <c r="R690">
        <v>5</v>
      </c>
      <c r="S690">
        <v>119010</v>
      </c>
      <c r="T690">
        <v>0</v>
      </c>
      <c r="U690">
        <v>0</v>
      </c>
      <c r="V690">
        <v>5</v>
      </c>
      <c r="W690">
        <v>119010</v>
      </c>
      <c r="X690">
        <v>2380</v>
      </c>
      <c r="Y690">
        <v>2380</v>
      </c>
      <c r="Z690">
        <v>5000</v>
      </c>
      <c r="AA690">
        <v>0</v>
      </c>
      <c r="AB690">
        <v>500</v>
      </c>
      <c r="AC690">
        <v>10260</v>
      </c>
    </row>
    <row r="691" spans="1:29">
      <c r="A691">
        <v>1461</v>
      </c>
      <c r="B691" t="s">
        <v>149</v>
      </c>
      <c r="C691">
        <v>371</v>
      </c>
      <c r="D691" t="s">
        <v>35</v>
      </c>
      <c r="E691" t="str">
        <f t="shared" si="15"/>
        <v>00371</v>
      </c>
      <c r="F691" t="s">
        <v>28</v>
      </c>
      <c r="G691" t="s">
        <v>164</v>
      </c>
      <c r="H691" t="s">
        <v>151</v>
      </c>
      <c r="I691" t="s">
        <v>210</v>
      </c>
      <c r="J691" t="s">
        <v>152</v>
      </c>
      <c r="K691" t="s">
        <v>153</v>
      </c>
      <c r="L691">
        <v>251200990</v>
      </c>
      <c r="M691" s="84">
        <v>46022</v>
      </c>
      <c r="N691" s="84">
        <v>46022</v>
      </c>
      <c r="O691" t="s">
        <v>213</v>
      </c>
      <c r="P691" t="s">
        <v>214</v>
      </c>
      <c r="Q691">
        <v>23802</v>
      </c>
      <c r="R691">
        <v>1</v>
      </c>
      <c r="S691">
        <v>23802</v>
      </c>
      <c r="T691">
        <v>0</v>
      </c>
      <c r="U691">
        <v>0</v>
      </c>
      <c r="V691">
        <v>1</v>
      </c>
      <c r="W691">
        <v>23802</v>
      </c>
      <c r="X691">
        <v>476</v>
      </c>
      <c r="Y691">
        <v>476</v>
      </c>
      <c r="Z691">
        <v>1000</v>
      </c>
      <c r="AA691">
        <v>0</v>
      </c>
      <c r="AB691">
        <v>100</v>
      </c>
      <c r="AC691">
        <v>2052</v>
      </c>
    </row>
    <row r="692" spans="1:29">
      <c r="A692">
        <v>1462</v>
      </c>
      <c r="B692" t="s">
        <v>149</v>
      </c>
      <c r="C692">
        <v>1262</v>
      </c>
      <c r="D692" t="s">
        <v>312</v>
      </c>
      <c r="E692" t="str">
        <f t="shared" si="15"/>
        <v>01262</v>
      </c>
      <c r="F692" t="s">
        <v>28</v>
      </c>
      <c r="G692" t="s">
        <v>164</v>
      </c>
      <c r="H692" t="s">
        <v>151</v>
      </c>
      <c r="I692" t="s">
        <v>210</v>
      </c>
      <c r="J692" t="s">
        <v>152</v>
      </c>
      <c r="K692" t="s">
        <v>153</v>
      </c>
      <c r="L692">
        <v>251200991</v>
      </c>
      <c r="M692" s="84">
        <v>46022</v>
      </c>
      <c r="N692" s="84">
        <v>46022</v>
      </c>
      <c r="O692" t="s">
        <v>213</v>
      </c>
      <c r="P692" t="s">
        <v>214</v>
      </c>
      <c r="Q692">
        <v>23802</v>
      </c>
      <c r="R692">
        <v>10</v>
      </c>
      <c r="S692">
        <v>238020</v>
      </c>
      <c r="T692">
        <v>0</v>
      </c>
      <c r="U692">
        <v>0</v>
      </c>
      <c r="V692">
        <v>10</v>
      </c>
      <c r="W692">
        <v>238020</v>
      </c>
      <c r="X692">
        <v>4760</v>
      </c>
      <c r="Y692">
        <v>4760</v>
      </c>
      <c r="Z692">
        <v>10000</v>
      </c>
      <c r="AA692">
        <v>0</v>
      </c>
      <c r="AB692">
        <v>1000</v>
      </c>
      <c r="AC692">
        <v>20520</v>
      </c>
    </row>
    <row r="693" spans="1:29">
      <c r="A693">
        <v>1464</v>
      </c>
      <c r="B693" t="s">
        <v>149</v>
      </c>
      <c r="C693">
        <v>325</v>
      </c>
      <c r="D693" t="s">
        <v>34</v>
      </c>
      <c r="E693" t="str">
        <f t="shared" ref="E693:E702" si="16">TEXT(C693,"00000")</f>
        <v>00325</v>
      </c>
      <c r="F693" t="s">
        <v>28</v>
      </c>
      <c r="G693" t="s">
        <v>164</v>
      </c>
      <c r="H693" t="s">
        <v>151</v>
      </c>
      <c r="I693" t="s">
        <v>4</v>
      </c>
      <c r="J693" t="s">
        <v>152</v>
      </c>
      <c r="K693" t="s">
        <v>153</v>
      </c>
      <c r="L693">
        <v>251200993</v>
      </c>
      <c r="M693" s="84">
        <v>46022</v>
      </c>
      <c r="N693" s="84">
        <v>46022</v>
      </c>
      <c r="O693" t="s">
        <v>160</v>
      </c>
      <c r="P693" t="s">
        <v>161</v>
      </c>
      <c r="Q693">
        <v>14250</v>
      </c>
      <c r="R693">
        <v>30</v>
      </c>
      <c r="S693">
        <v>427500</v>
      </c>
      <c r="T693">
        <v>0</v>
      </c>
      <c r="U693">
        <v>0</v>
      </c>
      <c r="V693">
        <v>30</v>
      </c>
      <c r="W693">
        <v>427500</v>
      </c>
      <c r="X693">
        <v>4500</v>
      </c>
      <c r="Y693">
        <v>6000</v>
      </c>
      <c r="Z693">
        <v>0</v>
      </c>
      <c r="AA693">
        <v>0</v>
      </c>
      <c r="AB693">
        <v>0</v>
      </c>
      <c r="AC693">
        <v>10500</v>
      </c>
    </row>
    <row r="694" spans="1:29">
      <c r="A694">
        <v>1465</v>
      </c>
      <c r="B694" t="s">
        <v>149</v>
      </c>
      <c r="C694">
        <v>325</v>
      </c>
      <c r="D694" t="s">
        <v>34</v>
      </c>
      <c r="E694" t="str">
        <f t="shared" si="16"/>
        <v>00325</v>
      </c>
      <c r="F694" t="s">
        <v>28</v>
      </c>
      <c r="G694" t="s">
        <v>164</v>
      </c>
      <c r="H694" t="s">
        <v>151</v>
      </c>
      <c r="I694" t="s">
        <v>4</v>
      </c>
      <c r="J694" t="s">
        <v>152</v>
      </c>
      <c r="K694" t="s">
        <v>153</v>
      </c>
      <c r="L694">
        <v>251200993</v>
      </c>
      <c r="M694" s="84">
        <v>46022</v>
      </c>
      <c r="N694" s="84">
        <v>46022</v>
      </c>
      <c r="O694" t="s">
        <v>179</v>
      </c>
      <c r="P694" t="s">
        <v>180</v>
      </c>
      <c r="Q694">
        <v>14250</v>
      </c>
      <c r="R694">
        <v>20</v>
      </c>
      <c r="S694">
        <v>285000</v>
      </c>
      <c r="T694">
        <v>0</v>
      </c>
      <c r="U694">
        <v>0</v>
      </c>
      <c r="V694">
        <v>20</v>
      </c>
      <c r="W694">
        <v>285000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</row>
    <row r="695" spans="1:29">
      <c r="A695">
        <v>1466</v>
      </c>
      <c r="B695" t="s">
        <v>149</v>
      </c>
      <c r="C695">
        <v>1450</v>
      </c>
      <c r="D695" t="s">
        <v>82</v>
      </c>
      <c r="E695" t="str">
        <f t="shared" si="16"/>
        <v>01450</v>
      </c>
      <c r="F695" t="s">
        <v>80</v>
      </c>
      <c r="G695" t="s">
        <v>164</v>
      </c>
      <c r="H695" t="s">
        <v>151</v>
      </c>
      <c r="I695" t="s">
        <v>4</v>
      </c>
      <c r="J695" t="s">
        <v>152</v>
      </c>
      <c r="K695" t="s">
        <v>153</v>
      </c>
      <c r="L695">
        <v>251200994</v>
      </c>
      <c r="M695" s="84">
        <v>46022</v>
      </c>
      <c r="N695" s="84">
        <v>46022</v>
      </c>
      <c r="O695" t="s">
        <v>160</v>
      </c>
      <c r="P695" t="s">
        <v>161</v>
      </c>
      <c r="Q695">
        <v>14250</v>
      </c>
      <c r="R695">
        <v>10</v>
      </c>
      <c r="S695">
        <v>142500</v>
      </c>
      <c r="T695">
        <v>0</v>
      </c>
      <c r="U695">
        <v>0</v>
      </c>
      <c r="V695">
        <v>10</v>
      </c>
      <c r="W695">
        <v>142500</v>
      </c>
      <c r="X695">
        <v>1500</v>
      </c>
      <c r="Y695">
        <v>2000</v>
      </c>
      <c r="Z695">
        <v>0</v>
      </c>
      <c r="AA695">
        <v>0</v>
      </c>
      <c r="AB695">
        <v>0</v>
      </c>
      <c r="AC695">
        <v>3500</v>
      </c>
    </row>
    <row r="696" spans="1:29">
      <c r="A696">
        <v>1467</v>
      </c>
      <c r="B696" t="s">
        <v>149</v>
      </c>
      <c r="C696">
        <v>330</v>
      </c>
      <c r="D696" t="s">
        <v>313</v>
      </c>
      <c r="E696" t="str">
        <f t="shared" si="16"/>
        <v>00330</v>
      </c>
      <c r="F696" t="s">
        <v>28</v>
      </c>
      <c r="G696" t="s">
        <v>164</v>
      </c>
      <c r="H696" t="s">
        <v>151</v>
      </c>
      <c r="I696" t="s">
        <v>182</v>
      </c>
      <c r="J696" t="s">
        <v>152</v>
      </c>
      <c r="K696" t="s">
        <v>153</v>
      </c>
      <c r="L696">
        <v>251200995</v>
      </c>
      <c r="M696" s="84">
        <v>46022</v>
      </c>
      <c r="N696" s="84">
        <v>46022</v>
      </c>
      <c r="O696" t="s">
        <v>183</v>
      </c>
      <c r="P696" t="s">
        <v>184</v>
      </c>
      <c r="Q696">
        <v>68</v>
      </c>
      <c r="R696">
        <v>300</v>
      </c>
      <c r="S696">
        <v>20400</v>
      </c>
      <c r="T696">
        <v>0</v>
      </c>
      <c r="U696">
        <v>0</v>
      </c>
      <c r="V696">
        <v>300</v>
      </c>
      <c r="W696">
        <v>20400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</row>
    <row r="697" spans="1:29">
      <c r="A697">
        <v>1468</v>
      </c>
      <c r="B697" t="s">
        <v>149</v>
      </c>
      <c r="C697">
        <v>1400</v>
      </c>
      <c r="D697" t="s">
        <v>289</v>
      </c>
      <c r="E697" t="str">
        <f t="shared" si="16"/>
        <v>01400</v>
      </c>
      <c r="F697" t="s">
        <v>28</v>
      </c>
      <c r="G697" t="s">
        <v>164</v>
      </c>
      <c r="H697" t="s">
        <v>151</v>
      </c>
      <c r="I697" t="s">
        <v>182</v>
      </c>
      <c r="J697" t="s">
        <v>152</v>
      </c>
      <c r="K697" t="s">
        <v>153</v>
      </c>
      <c r="L697">
        <v>251200996</v>
      </c>
      <c r="M697" s="84">
        <v>46022</v>
      </c>
      <c r="N697" s="84">
        <v>46022</v>
      </c>
      <c r="O697" t="s">
        <v>183</v>
      </c>
      <c r="P697" t="s">
        <v>184</v>
      </c>
      <c r="Q697">
        <v>68</v>
      </c>
      <c r="R697">
        <v>400</v>
      </c>
      <c r="S697">
        <v>27200</v>
      </c>
      <c r="T697">
        <v>0</v>
      </c>
      <c r="U697">
        <v>0</v>
      </c>
      <c r="V697">
        <v>400</v>
      </c>
      <c r="W697">
        <v>27200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</row>
    <row r="698" spans="1:29">
      <c r="A698">
        <v>1469</v>
      </c>
      <c r="B698" t="s">
        <v>149</v>
      </c>
      <c r="C698">
        <v>330</v>
      </c>
      <c r="D698" t="s">
        <v>313</v>
      </c>
      <c r="E698" t="str">
        <f t="shared" si="16"/>
        <v>00330</v>
      </c>
      <c r="F698" t="s">
        <v>28</v>
      </c>
      <c r="G698" t="s">
        <v>164</v>
      </c>
      <c r="H698" t="s">
        <v>151</v>
      </c>
      <c r="I698" t="s">
        <v>182</v>
      </c>
      <c r="J698" t="s">
        <v>152</v>
      </c>
      <c r="K698" t="s">
        <v>153</v>
      </c>
      <c r="L698">
        <v>251200997</v>
      </c>
      <c r="M698" s="84">
        <v>46022</v>
      </c>
      <c r="N698" s="84">
        <v>46022</v>
      </c>
      <c r="O698" t="s">
        <v>183</v>
      </c>
      <c r="P698" t="s">
        <v>184</v>
      </c>
      <c r="Q698">
        <v>68</v>
      </c>
      <c r="R698">
        <v>300</v>
      </c>
      <c r="S698">
        <v>20400</v>
      </c>
      <c r="T698">
        <v>0</v>
      </c>
      <c r="U698">
        <v>0</v>
      </c>
      <c r="V698">
        <v>300</v>
      </c>
      <c r="W698">
        <v>20400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</row>
    <row r="699" spans="1:29">
      <c r="A699">
        <v>1470</v>
      </c>
      <c r="B699" t="s">
        <v>149</v>
      </c>
      <c r="C699">
        <v>325</v>
      </c>
      <c r="D699" t="s">
        <v>34</v>
      </c>
      <c r="E699" t="str">
        <f t="shared" si="16"/>
        <v>00325</v>
      </c>
      <c r="F699" t="s">
        <v>28</v>
      </c>
      <c r="G699" t="s">
        <v>164</v>
      </c>
      <c r="H699" t="s">
        <v>151</v>
      </c>
      <c r="I699" t="s">
        <v>4</v>
      </c>
      <c r="J699" t="s">
        <v>152</v>
      </c>
      <c r="K699" t="s">
        <v>153</v>
      </c>
      <c r="L699">
        <v>251201010</v>
      </c>
      <c r="M699" s="84">
        <v>46022</v>
      </c>
      <c r="N699" s="84">
        <v>46022</v>
      </c>
      <c r="O699" t="s">
        <v>160</v>
      </c>
      <c r="P699" t="s">
        <v>161</v>
      </c>
      <c r="Q699">
        <v>14250</v>
      </c>
      <c r="R699">
        <v>90</v>
      </c>
      <c r="S699">
        <v>1282500</v>
      </c>
      <c r="T699">
        <v>0</v>
      </c>
      <c r="U699">
        <v>0</v>
      </c>
      <c r="V699">
        <v>90</v>
      </c>
      <c r="W699">
        <v>1282500</v>
      </c>
      <c r="X699">
        <v>13500</v>
      </c>
      <c r="Y699">
        <v>18000</v>
      </c>
      <c r="Z699">
        <v>0</v>
      </c>
      <c r="AA699">
        <v>0</v>
      </c>
      <c r="AB699">
        <v>0</v>
      </c>
      <c r="AC699">
        <v>31500</v>
      </c>
    </row>
    <row r="700" spans="1:29">
      <c r="A700">
        <v>1471</v>
      </c>
      <c r="B700" t="s">
        <v>149</v>
      </c>
      <c r="C700">
        <v>325</v>
      </c>
      <c r="D700" t="s">
        <v>34</v>
      </c>
      <c r="E700" t="str">
        <f t="shared" si="16"/>
        <v>00325</v>
      </c>
      <c r="F700" t="s">
        <v>28</v>
      </c>
      <c r="G700" t="s">
        <v>164</v>
      </c>
      <c r="H700" t="s">
        <v>151</v>
      </c>
      <c r="I700" t="s">
        <v>4</v>
      </c>
      <c r="J700" t="s">
        <v>152</v>
      </c>
      <c r="K700" t="s">
        <v>153</v>
      </c>
      <c r="L700">
        <v>251201010</v>
      </c>
      <c r="M700" s="84">
        <v>46022</v>
      </c>
      <c r="N700" s="84">
        <v>46022</v>
      </c>
      <c r="O700" t="s">
        <v>168</v>
      </c>
      <c r="P700" t="s">
        <v>169</v>
      </c>
      <c r="Q700">
        <v>14250</v>
      </c>
      <c r="R700">
        <v>20</v>
      </c>
      <c r="S700">
        <v>285000</v>
      </c>
      <c r="T700">
        <v>0</v>
      </c>
      <c r="U700">
        <v>0</v>
      </c>
      <c r="V700">
        <v>20</v>
      </c>
      <c r="W700">
        <v>285000</v>
      </c>
      <c r="X700">
        <v>3000</v>
      </c>
      <c r="Y700">
        <v>4000</v>
      </c>
      <c r="Z700">
        <v>0</v>
      </c>
      <c r="AA700">
        <v>0</v>
      </c>
      <c r="AB700">
        <v>0</v>
      </c>
      <c r="AC700">
        <v>7000</v>
      </c>
    </row>
    <row r="701" spans="1:29">
      <c r="A701">
        <v>1472</v>
      </c>
      <c r="B701" t="s">
        <v>149</v>
      </c>
      <c r="C701">
        <v>325</v>
      </c>
      <c r="D701" t="s">
        <v>34</v>
      </c>
      <c r="E701" t="str">
        <f t="shared" si="16"/>
        <v>00325</v>
      </c>
      <c r="F701" t="s">
        <v>28</v>
      </c>
      <c r="G701" t="s">
        <v>164</v>
      </c>
      <c r="H701" t="s">
        <v>151</v>
      </c>
      <c r="I701" t="s">
        <v>4</v>
      </c>
      <c r="J701" t="s">
        <v>152</v>
      </c>
      <c r="K701" t="s">
        <v>153</v>
      </c>
      <c r="L701">
        <v>251201010</v>
      </c>
      <c r="M701" s="84">
        <v>46022</v>
      </c>
      <c r="N701" s="84">
        <v>46022</v>
      </c>
      <c r="O701" t="s">
        <v>179</v>
      </c>
      <c r="P701" t="s">
        <v>180</v>
      </c>
      <c r="Q701">
        <v>14250</v>
      </c>
      <c r="R701">
        <v>40</v>
      </c>
      <c r="S701">
        <v>570000</v>
      </c>
      <c r="T701">
        <v>0</v>
      </c>
      <c r="U701">
        <v>0</v>
      </c>
      <c r="V701">
        <v>40</v>
      </c>
      <c r="W701">
        <v>570000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</row>
    <row r="702" spans="1:29">
      <c r="A702">
        <v>1473</v>
      </c>
      <c r="B702" t="s">
        <v>149</v>
      </c>
      <c r="C702">
        <v>1118</v>
      </c>
      <c r="D702" t="s">
        <v>37</v>
      </c>
      <c r="E702" t="str">
        <f t="shared" si="16"/>
        <v>01118</v>
      </c>
      <c r="F702" t="s">
        <v>28</v>
      </c>
      <c r="G702" t="s">
        <v>164</v>
      </c>
      <c r="H702" t="s">
        <v>151</v>
      </c>
      <c r="I702" t="s">
        <v>4</v>
      </c>
      <c r="J702" t="s">
        <v>152</v>
      </c>
      <c r="K702" t="s">
        <v>153</v>
      </c>
      <c r="L702">
        <v>251201011</v>
      </c>
      <c r="M702" s="84">
        <v>46022</v>
      </c>
      <c r="N702" s="84">
        <v>46022</v>
      </c>
      <c r="O702" t="s">
        <v>243</v>
      </c>
      <c r="P702" t="s">
        <v>244</v>
      </c>
      <c r="Q702">
        <v>15050</v>
      </c>
      <c r="R702">
        <v>5</v>
      </c>
      <c r="S702">
        <v>75250</v>
      </c>
      <c r="T702">
        <v>0</v>
      </c>
      <c r="U702">
        <v>0</v>
      </c>
      <c r="V702">
        <v>5</v>
      </c>
      <c r="W702">
        <v>75250</v>
      </c>
      <c r="X702">
        <v>750</v>
      </c>
      <c r="Y702">
        <v>1000</v>
      </c>
      <c r="Z702">
        <v>0</v>
      </c>
      <c r="AA702">
        <v>0</v>
      </c>
      <c r="AB702">
        <v>0</v>
      </c>
      <c r="AC702">
        <v>1750</v>
      </c>
    </row>
  </sheetData>
  <autoFilter ref="A8:AC702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485"/>
  <sheetViews>
    <sheetView zoomScaleSheetLayoutView="60" workbookViewId="0">
      <selection activeCell="D18" sqref="D18"/>
    </sheetView>
  </sheetViews>
  <sheetFormatPr defaultColWidth="10" defaultRowHeight="14.4"/>
  <cols>
    <col min="4" max="4" width="44.4444444444444" customWidth="1"/>
  </cols>
  <sheetData>
    <row r="1" spans="1:1">
      <c r="A1" t="s">
        <v>115</v>
      </c>
    </row>
    <row r="2" spans="1:1">
      <c r="A2" t="s">
        <v>117</v>
      </c>
    </row>
    <row r="3" spans="1:1">
      <c r="A3" t="s">
        <v>119</v>
      </c>
    </row>
    <row r="4" spans="1:1">
      <c r="A4" t="s">
        <v>120</v>
      </c>
    </row>
    <row r="5" spans="1:1">
      <c r="A5" t="s">
        <v>121</v>
      </c>
    </row>
    <row r="8" spans="1:29">
      <c r="A8" t="s">
        <v>123</v>
      </c>
      <c r="B8" t="s">
        <v>124</v>
      </c>
      <c r="C8" t="s">
        <v>125</v>
      </c>
      <c r="D8" t="s">
        <v>3</v>
      </c>
      <c r="E8" t="s">
        <v>126</v>
      </c>
      <c r="F8" t="s">
        <v>2</v>
      </c>
      <c r="G8" t="s">
        <v>127</v>
      </c>
      <c r="H8" t="s">
        <v>128</v>
      </c>
      <c r="I8" t="s">
        <v>1</v>
      </c>
      <c r="J8" t="s">
        <v>129</v>
      </c>
      <c r="K8" t="s">
        <v>130</v>
      </c>
      <c r="L8" t="s">
        <v>131</v>
      </c>
      <c r="M8" t="s">
        <v>132</v>
      </c>
      <c r="N8" t="s">
        <v>133</v>
      </c>
      <c r="O8" t="s">
        <v>134</v>
      </c>
      <c r="P8" t="s">
        <v>135</v>
      </c>
      <c r="Q8" t="s">
        <v>136</v>
      </c>
      <c r="R8" t="s">
        <v>137</v>
      </c>
      <c r="S8" t="s">
        <v>138</v>
      </c>
      <c r="T8" t="s">
        <v>139</v>
      </c>
      <c r="U8" t="s">
        <v>140</v>
      </c>
      <c r="V8" t="s">
        <v>141</v>
      </c>
      <c r="W8" t="s">
        <v>142</v>
      </c>
      <c r="X8" t="s">
        <v>143</v>
      </c>
      <c r="Y8" t="s">
        <v>144</v>
      </c>
      <c r="Z8" t="s">
        <v>145</v>
      </c>
      <c r="AA8" t="s">
        <v>146</v>
      </c>
      <c r="AB8" t="s">
        <v>147</v>
      </c>
      <c r="AC8" t="s">
        <v>148</v>
      </c>
    </row>
    <row r="9" spans="1:29">
      <c r="A9">
        <v>1</v>
      </c>
      <c r="B9" t="s">
        <v>149</v>
      </c>
      <c r="C9">
        <v>1088</v>
      </c>
      <c r="D9" t="s">
        <v>112</v>
      </c>
      <c r="E9" t="str">
        <f t="shared" ref="E9:E72" si="0">TEXT(C9,"00000")</f>
        <v>01088</v>
      </c>
      <c r="F9" t="s">
        <v>111</v>
      </c>
      <c r="G9" t="s">
        <v>150</v>
      </c>
      <c r="H9" t="s">
        <v>151</v>
      </c>
      <c r="I9" t="s">
        <v>4</v>
      </c>
      <c r="J9" t="s">
        <v>152</v>
      </c>
      <c r="K9" t="s">
        <v>153</v>
      </c>
      <c r="L9">
        <v>251200001</v>
      </c>
      <c r="M9" s="84">
        <v>45993</v>
      </c>
      <c r="N9" s="84">
        <v>45993</v>
      </c>
      <c r="O9" t="s">
        <v>154</v>
      </c>
      <c r="P9" t="s">
        <v>155</v>
      </c>
      <c r="Q9">
        <v>14250</v>
      </c>
      <c r="R9">
        <v>10</v>
      </c>
      <c r="S9">
        <v>142500</v>
      </c>
      <c r="T9">
        <v>0</v>
      </c>
      <c r="U9">
        <v>0</v>
      </c>
      <c r="V9">
        <v>10</v>
      </c>
      <c r="W9">
        <v>142500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>
        <v>2</v>
      </c>
      <c r="B10" t="s">
        <v>149</v>
      </c>
      <c r="C10">
        <v>537</v>
      </c>
      <c r="D10" t="s">
        <v>89</v>
      </c>
      <c r="E10" t="str">
        <f t="shared" si="0"/>
        <v>00537</v>
      </c>
      <c r="F10" t="s">
        <v>86</v>
      </c>
      <c r="G10" t="s">
        <v>156</v>
      </c>
      <c r="H10" t="s">
        <v>157</v>
      </c>
      <c r="I10" t="s">
        <v>4</v>
      </c>
      <c r="J10" t="s">
        <v>158</v>
      </c>
      <c r="K10" t="s">
        <v>159</v>
      </c>
      <c r="L10">
        <v>251200001</v>
      </c>
      <c r="M10" s="84">
        <v>45993</v>
      </c>
      <c r="N10" s="84">
        <v>45993</v>
      </c>
      <c r="O10" t="s">
        <v>160</v>
      </c>
      <c r="P10" t="s">
        <v>161</v>
      </c>
      <c r="Q10">
        <v>14250</v>
      </c>
      <c r="R10">
        <v>30</v>
      </c>
      <c r="S10">
        <v>427500</v>
      </c>
      <c r="T10">
        <v>0</v>
      </c>
      <c r="U10">
        <v>0</v>
      </c>
      <c r="V10">
        <v>30</v>
      </c>
      <c r="W10">
        <v>427500</v>
      </c>
      <c r="X10">
        <v>4500</v>
      </c>
      <c r="Y10">
        <v>6000</v>
      </c>
      <c r="Z10">
        <v>0</v>
      </c>
      <c r="AA10">
        <v>0</v>
      </c>
      <c r="AB10">
        <v>0</v>
      </c>
      <c r="AC10">
        <v>10500</v>
      </c>
    </row>
    <row r="11" spans="1:29">
      <c r="A11">
        <v>3</v>
      </c>
      <c r="B11" t="s">
        <v>149</v>
      </c>
      <c r="C11">
        <v>1088</v>
      </c>
      <c r="D11" t="s">
        <v>112</v>
      </c>
      <c r="E11" t="str">
        <f t="shared" si="0"/>
        <v>01088</v>
      </c>
      <c r="F11" t="s">
        <v>111</v>
      </c>
      <c r="G11" t="s">
        <v>150</v>
      </c>
      <c r="H11" t="s">
        <v>151</v>
      </c>
      <c r="I11" t="s">
        <v>4</v>
      </c>
      <c r="J11" t="s">
        <v>152</v>
      </c>
      <c r="K11" t="s">
        <v>153</v>
      </c>
      <c r="L11">
        <v>251200001</v>
      </c>
      <c r="M11" s="84">
        <v>45993</v>
      </c>
      <c r="N11" s="84">
        <v>45993</v>
      </c>
      <c r="O11" t="s">
        <v>160</v>
      </c>
      <c r="P11" t="s">
        <v>161</v>
      </c>
      <c r="Q11">
        <v>14250</v>
      </c>
      <c r="R11">
        <v>10</v>
      </c>
      <c r="S11">
        <v>142500</v>
      </c>
      <c r="T11">
        <v>0</v>
      </c>
      <c r="U11">
        <v>0</v>
      </c>
      <c r="V11">
        <v>10</v>
      </c>
      <c r="W11">
        <v>142500</v>
      </c>
      <c r="X11">
        <v>1500</v>
      </c>
      <c r="Y11">
        <v>2000</v>
      </c>
      <c r="Z11">
        <v>0</v>
      </c>
      <c r="AA11">
        <v>0</v>
      </c>
      <c r="AB11">
        <v>0</v>
      </c>
      <c r="AC11">
        <v>3500</v>
      </c>
    </row>
    <row r="12" spans="1:29">
      <c r="A12">
        <v>4</v>
      </c>
      <c r="B12" t="s">
        <v>149</v>
      </c>
      <c r="C12">
        <v>1088</v>
      </c>
      <c r="D12" t="s">
        <v>112</v>
      </c>
      <c r="E12" t="str">
        <f t="shared" si="0"/>
        <v>01088</v>
      </c>
      <c r="F12" t="s">
        <v>111</v>
      </c>
      <c r="G12" t="s">
        <v>150</v>
      </c>
      <c r="H12" t="s">
        <v>151</v>
      </c>
      <c r="I12" t="s">
        <v>4</v>
      </c>
      <c r="J12" t="s">
        <v>152</v>
      </c>
      <c r="K12" t="s">
        <v>153</v>
      </c>
      <c r="L12">
        <v>251200001</v>
      </c>
      <c r="M12" s="84">
        <v>45993</v>
      </c>
      <c r="N12" s="84">
        <v>45993</v>
      </c>
      <c r="O12" t="s">
        <v>162</v>
      </c>
      <c r="P12" t="s">
        <v>163</v>
      </c>
      <c r="Q12">
        <v>14250</v>
      </c>
      <c r="R12">
        <v>13</v>
      </c>
      <c r="S12">
        <v>185250</v>
      </c>
      <c r="T12">
        <v>0</v>
      </c>
      <c r="U12">
        <v>0</v>
      </c>
      <c r="V12">
        <v>13</v>
      </c>
      <c r="W12">
        <v>185250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>
        <v>5</v>
      </c>
      <c r="B13" t="s">
        <v>149</v>
      </c>
      <c r="C13">
        <v>1147</v>
      </c>
      <c r="D13" t="s">
        <v>30</v>
      </c>
      <c r="E13" t="str">
        <f t="shared" si="0"/>
        <v>01147</v>
      </c>
      <c r="F13" t="s">
        <v>28</v>
      </c>
      <c r="G13" t="s">
        <v>164</v>
      </c>
      <c r="H13" t="s">
        <v>151</v>
      </c>
      <c r="I13" t="s">
        <v>4</v>
      </c>
      <c r="J13" t="s">
        <v>158</v>
      </c>
      <c r="K13" t="s">
        <v>153</v>
      </c>
      <c r="L13">
        <v>251200002</v>
      </c>
      <c r="M13" s="84">
        <v>45993</v>
      </c>
      <c r="N13" s="84">
        <v>45993</v>
      </c>
      <c r="O13" t="s">
        <v>160</v>
      </c>
      <c r="P13" t="s">
        <v>161</v>
      </c>
      <c r="Q13">
        <v>14250</v>
      </c>
      <c r="R13">
        <v>20</v>
      </c>
      <c r="S13">
        <v>285000</v>
      </c>
      <c r="T13">
        <v>0</v>
      </c>
      <c r="U13">
        <v>0</v>
      </c>
      <c r="V13">
        <v>20</v>
      </c>
      <c r="W13">
        <v>285000</v>
      </c>
      <c r="X13">
        <v>3000</v>
      </c>
      <c r="Y13">
        <v>4000</v>
      </c>
      <c r="Z13">
        <v>0</v>
      </c>
      <c r="AA13">
        <v>0</v>
      </c>
      <c r="AB13">
        <v>0</v>
      </c>
      <c r="AC13">
        <v>7000</v>
      </c>
    </row>
    <row r="14" spans="1:29">
      <c r="A14">
        <v>6</v>
      </c>
      <c r="B14" t="s">
        <v>149</v>
      </c>
      <c r="C14">
        <v>1478</v>
      </c>
      <c r="D14" t="s">
        <v>314</v>
      </c>
      <c r="E14" t="str">
        <f t="shared" si="0"/>
        <v>01478</v>
      </c>
      <c r="F14" t="s">
        <v>111</v>
      </c>
      <c r="G14" t="s">
        <v>150</v>
      </c>
      <c r="H14" t="s">
        <v>151</v>
      </c>
      <c r="I14" t="s">
        <v>5</v>
      </c>
      <c r="J14" t="s">
        <v>152</v>
      </c>
      <c r="K14" t="s">
        <v>153</v>
      </c>
      <c r="L14">
        <v>251200002</v>
      </c>
      <c r="M14" s="84">
        <v>45993</v>
      </c>
      <c r="N14" s="84">
        <v>45993</v>
      </c>
      <c r="O14" t="s">
        <v>191</v>
      </c>
      <c r="P14" t="s">
        <v>192</v>
      </c>
      <c r="Q14">
        <v>4500</v>
      </c>
      <c r="R14">
        <v>40</v>
      </c>
      <c r="S14">
        <v>180000</v>
      </c>
      <c r="T14">
        <v>0</v>
      </c>
      <c r="U14">
        <v>0</v>
      </c>
      <c r="V14">
        <v>40</v>
      </c>
      <c r="W14">
        <v>180000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>
        <v>7</v>
      </c>
      <c r="B15" t="s">
        <v>149</v>
      </c>
      <c r="C15">
        <v>1</v>
      </c>
      <c r="D15" t="s">
        <v>114</v>
      </c>
      <c r="E15" t="str">
        <f t="shared" si="0"/>
        <v>00001</v>
      </c>
      <c r="F15" t="s">
        <v>111</v>
      </c>
      <c r="G15" t="s">
        <v>150</v>
      </c>
      <c r="H15" t="s">
        <v>151</v>
      </c>
      <c r="I15" t="s">
        <v>5</v>
      </c>
      <c r="J15" t="s">
        <v>152</v>
      </c>
      <c r="K15" t="s">
        <v>153</v>
      </c>
      <c r="L15">
        <v>251200003</v>
      </c>
      <c r="M15" s="84">
        <v>45993</v>
      </c>
      <c r="N15" s="84">
        <v>45993</v>
      </c>
      <c r="O15" t="s">
        <v>165</v>
      </c>
      <c r="P15" t="s">
        <v>166</v>
      </c>
      <c r="Q15">
        <v>8500</v>
      </c>
      <c r="R15">
        <v>84</v>
      </c>
      <c r="S15">
        <v>714000</v>
      </c>
      <c r="T15">
        <v>0</v>
      </c>
      <c r="U15">
        <v>0</v>
      </c>
      <c r="V15">
        <v>84</v>
      </c>
      <c r="W15">
        <v>714000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>
        <v>8</v>
      </c>
      <c r="B16" t="s">
        <v>149</v>
      </c>
      <c r="C16">
        <v>160</v>
      </c>
      <c r="D16" t="s">
        <v>64</v>
      </c>
      <c r="E16" t="str">
        <f t="shared" si="0"/>
        <v>00160</v>
      </c>
      <c r="F16" t="s">
        <v>49</v>
      </c>
      <c r="G16" t="s">
        <v>167</v>
      </c>
      <c r="H16" t="s">
        <v>151</v>
      </c>
      <c r="I16" t="s">
        <v>4</v>
      </c>
      <c r="J16" t="s">
        <v>158</v>
      </c>
      <c r="K16" t="s">
        <v>153</v>
      </c>
      <c r="L16">
        <v>251200003</v>
      </c>
      <c r="M16" s="84">
        <v>45994</v>
      </c>
      <c r="N16" s="84">
        <v>45994</v>
      </c>
      <c r="O16" t="s">
        <v>168</v>
      </c>
      <c r="P16" t="s">
        <v>169</v>
      </c>
      <c r="Q16">
        <v>14250</v>
      </c>
      <c r="R16">
        <v>10</v>
      </c>
      <c r="S16">
        <v>142500</v>
      </c>
      <c r="T16">
        <v>0</v>
      </c>
      <c r="U16">
        <v>0</v>
      </c>
      <c r="V16">
        <v>10</v>
      </c>
      <c r="W16">
        <v>142500</v>
      </c>
      <c r="X16">
        <v>1500</v>
      </c>
      <c r="Y16">
        <v>2000</v>
      </c>
      <c r="Z16">
        <v>0</v>
      </c>
      <c r="AA16">
        <v>0</v>
      </c>
      <c r="AB16">
        <v>0</v>
      </c>
      <c r="AC16">
        <v>3500</v>
      </c>
    </row>
    <row r="17" spans="1:29">
      <c r="A17">
        <v>9</v>
      </c>
      <c r="B17" t="s">
        <v>149</v>
      </c>
      <c r="C17">
        <v>1596</v>
      </c>
      <c r="D17" t="s">
        <v>315</v>
      </c>
      <c r="E17" t="str">
        <f t="shared" si="0"/>
        <v>01596</v>
      </c>
      <c r="F17" t="s">
        <v>111</v>
      </c>
      <c r="G17" t="s">
        <v>150</v>
      </c>
      <c r="H17" t="s">
        <v>151</v>
      </c>
      <c r="I17" t="s">
        <v>5</v>
      </c>
      <c r="J17" t="s">
        <v>152</v>
      </c>
      <c r="K17" t="s">
        <v>153</v>
      </c>
      <c r="L17">
        <v>251200004</v>
      </c>
      <c r="M17" s="84">
        <v>45993</v>
      </c>
      <c r="N17" s="84">
        <v>45993</v>
      </c>
      <c r="O17" t="s">
        <v>191</v>
      </c>
      <c r="P17" t="s">
        <v>192</v>
      </c>
      <c r="Q17">
        <v>4500</v>
      </c>
      <c r="R17">
        <v>4</v>
      </c>
      <c r="S17">
        <v>18000</v>
      </c>
      <c r="T17">
        <v>0</v>
      </c>
      <c r="U17">
        <v>0</v>
      </c>
      <c r="V17">
        <v>4</v>
      </c>
      <c r="W17">
        <v>18000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10</v>
      </c>
      <c r="B18" t="s">
        <v>149</v>
      </c>
      <c r="C18">
        <v>749</v>
      </c>
      <c r="D18" t="s">
        <v>170</v>
      </c>
      <c r="E18" t="str">
        <f t="shared" si="0"/>
        <v>00749</v>
      </c>
      <c r="F18" t="s">
        <v>171</v>
      </c>
      <c r="G18" t="s">
        <v>172</v>
      </c>
      <c r="H18" t="s">
        <v>157</v>
      </c>
      <c r="I18" t="s">
        <v>173</v>
      </c>
      <c r="J18" t="s">
        <v>158</v>
      </c>
      <c r="K18" t="s">
        <v>174</v>
      </c>
      <c r="L18">
        <v>251200004</v>
      </c>
      <c r="M18" s="84">
        <v>45994</v>
      </c>
      <c r="N18" s="84">
        <v>45994</v>
      </c>
      <c r="O18" t="s">
        <v>175</v>
      </c>
      <c r="P18" t="s">
        <v>176</v>
      </c>
      <c r="Q18">
        <v>4452</v>
      </c>
      <c r="R18">
        <v>2</v>
      </c>
      <c r="S18">
        <v>8904</v>
      </c>
      <c r="T18">
        <v>0</v>
      </c>
      <c r="U18">
        <v>0</v>
      </c>
      <c r="V18">
        <v>2</v>
      </c>
      <c r="W18">
        <v>8904</v>
      </c>
      <c r="X18">
        <v>0</v>
      </c>
      <c r="Y18">
        <v>178</v>
      </c>
      <c r="Z18">
        <v>446</v>
      </c>
      <c r="AA18">
        <v>0</v>
      </c>
      <c r="AB18">
        <v>200</v>
      </c>
      <c r="AC18">
        <v>824</v>
      </c>
    </row>
    <row r="19" spans="1:29">
      <c r="A19">
        <v>11</v>
      </c>
      <c r="B19" t="s">
        <v>149</v>
      </c>
      <c r="C19">
        <v>1596</v>
      </c>
      <c r="D19" t="s">
        <v>315</v>
      </c>
      <c r="E19" t="str">
        <f t="shared" si="0"/>
        <v>01596</v>
      </c>
      <c r="F19" t="s">
        <v>111</v>
      </c>
      <c r="G19" t="s">
        <v>150</v>
      </c>
      <c r="H19" t="s">
        <v>151</v>
      </c>
      <c r="I19" t="s">
        <v>4</v>
      </c>
      <c r="J19" t="s">
        <v>152</v>
      </c>
      <c r="K19" t="s">
        <v>153</v>
      </c>
      <c r="L19">
        <v>251200004</v>
      </c>
      <c r="M19" s="84">
        <v>45993</v>
      </c>
      <c r="N19" s="84">
        <v>45993</v>
      </c>
      <c r="O19" t="s">
        <v>160</v>
      </c>
      <c r="P19" t="s">
        <v>161</v>
      </c>
      <c r="Q19">
        <v>5500</v>
      </c>
      <c r="R19">
        <v>34</v>
      </c>
      <c r="S19">
        <v>187000</v>
      </c>
      <c r="T19">
        <v>0</v>
      </c>
      <c r="U19">
        <v>0</v>
      </c>
      <c r="V19">
        <v>34</v>
      </c>
      <c r="W19">
        <v>187000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12</v>
      </c>
      <c r="B20" t="s">
        <v>149</v>
      </c>
      <c r="C20">
        <v>1596</v>
      </c>
      <c r="D20" t="s">
        <v>315</v>
      </c>
      <c r="E20" t="str">
        <f t="shared" si="0"/>
        <v>01596</v>
      </c>
      <c r="F20" t="s">
        <v>111</v>
      </c>
      <c r="G20" t="s">
        <v>150</v>
      </c>
      <c r="H20" t="s">
        <v>151</v>
      </c>
      <c r="I20" t="s">
        <v>4</v>
      </c>
      <c r="J20" t="s">
        <v>152</v>
      </c>
      <c r="K20" t="s">
        <v>153</v>
      </c>
      <c r="L20">
        <v>251200004</v>
      </c>
      <c r="M20" s="84">
        <v>45993</v>
      </c>
      <c r="N20" s="84">
        <v>45993</v>
      </c>
      <c r="O20" t="s">
        <v>177</v>
      </c>
      <c r="P20" t="s">
        <v>178</v>
      </c>
      <c r="Q20">
        <v>5500</v>
      </c>
      <c r="R20">
        <v>7</v>
      </c>
      <c r="S20">
        <v>38500</v>
      </c>
      <c r="T20">
        <v>0</v>
      </c>
      <c r="U20">
        <v>0</v>
      </c>
      <c r="V20">
        <v>7</v>
      </c>
      <c r="W20">
        <v>38500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>
        <v>13</v>
      </c>
      <c r="B21" t="s">
        <v>149</v>
      </c>
      <c r="C21">
        <v>1596</v>
      </c>
      <c r="D21" t="s">
        <v>315</v>
      </c>
      <c r="E21" t="str">
        <f t="shared" si="0"/>
        <v>01596</v>
      </c>
      <c r="F21" t="s">
        <v>111</v>
      </c>
      <c r="G21" t="s">
        <v>150</v>
      </c>
      <c r="H21" t="s">
        <v>151</v>
      </c>
      <c r="I21" t="s">
        <v>4</v>
      </c>
      <c r="J21" t="s">
        <v>152</v>
      </c>
      <c r="K21" t="s">
        <v>153</v>
      </c>
      <c r="L21">
        <v>251200004</v>
      </c>
      <c r="M21" s="84">
        <v>45993</v>
      </c>
      <c r="N21" s="84">
        <v>45993</v>
      </c>
      <c r="O21" t="s">
        <v>248</v>
      </c>
      <c r="P21" t="s">
        <v>249</v>
      </c>
      <c r="Q21">
        <v>5500</v>
      </c>
      <c r="R21">
        <v>10</v>
      </c>
      <c r="S21">
        <v>55000</v>
      </c>
      <c r="T21">
        <v>0</v>
      </c>
      <c r="U21">
        <v>0</v>
      </c>
      <c r="V21">
        <v>10</v>
      </c>
      <c r="W21">
        <v>55000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14</v>
      </c>
      <c r="B22" t="s">
        <v>149</v>
      </c>
      <c r="C22">
        <v>1551</v>
      </c>
      <c r="D22" t="s">
        <v>316</v>
      </c>
      <c r="E22" t="str">
        <f t="shared" si="0"/>
        <v>01551</v>
      </c>
      <c r="F22" t="s">
        <v>111</v>
      </c>
      <c r="G22" t="s">
        <v>150</v>
      </c>
      <c r="H22" t="s">
        <v>151</v>
      </c>
      <c r="I22" t="s">
        <v>5</v>
      </c>
      <c r="J22" t="s">
        <v>152</v>
      </c>
      <c r="K22" t="s">
        <v>153</v>
      </c>
      <c r="L22">
        <v>251200005</v>
      </c>
      <c r="M22" s="84">
        <v>45993</v>
      </c>
      <c r="N22" s="84">
        <v>45993</v>
      </c>
      <c r="O22" t="s">
        <v>191</v>
      </c>
      <c r="P22" t="s">
        <v>192</v>
      </c>
      <c r="Q22">
        <v>4500</v>
      </c>
      <c r="R22">
        <v>8</v>
      </c>
      <c r="S22">
        <v>36000</v>
      </c>
      <c r="T22">
        <v>0</v>
      </c>
      <c r="U22">
        <v>0</v>
      </c>
      <c r="V22">
        <v>8</v>
      </c>
      <c r="W22">
        <v>36000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15</v>
      </c>
      <c r="B23" t="s">
        <v>149</v>
      </c>
      <c r="C23">
        <v>1152</v>
      </c>
      <c r="D23" t="s">
        <v>58</v>
      </c>
      <c r="E23" t="str">
        <f t="shared" si="0"/>
        <v>01152</v>
      </c>
      <c r="F23" t="s">
        <v>49</v>
      </c>
      <c r="G23" t="s">
        <v>167</v>
      </c>
      <c r="H23" t="s">
        <v>151</v>
      </c>
      <c r="I23" t="s">
        <v>4</v>
      </c>
      <c r="J23" t="s">
        <v>158</v>
      </c>
      <c r="K23" t="s">
        <v>153</v>
      </c>
      <c r="L23">
        <v>251200005</v>
      </c>
      <c r="M23" s="84">
        <v>45994</v>
      </c>
      <c r="N23" s="84">
        <v>45994</v>
      </c>
      <c r="O23" t="s">
        <v>177</v>
      </c>
      <c r="P23" t="s">
        <v>178</v>
      </c>
      <c r="Q23">
        <v>14250</v>
      </c>
      <c r="R23">
        <v>5</v>
      </c>
      <c r="S23">
        <v>71250</v>
      </c>
      <c r="T23">
        <v>0</v>
      </c>
      <c r="U23">
        <v>0</v>
      </c>
      <c r="V23">
        <v>5</v>
      </c>
      <c r="W23">
        <v>71250</v>
      </c>
      <c r="X23">
        <v>750</v>
      </c>
      <c r="Y23">
        <v>1000</v>
      </c>
      <c r="Z23">
        <v>0</v>
      </c>
      <c r="AA23">
        <v>0</v>
      </c>
      <c r="AB23">
        <v>0</v>
      </c>
      <c r="AC23">
        <v>1750</v>
      </c>
    </row>
    <row r="24" spans="1:29">
      <c r="A24">
        <v>16</v>
      </c>
      <c r="B24" t="s">
        <v>149</v>
      </c>
      <c r="C24">
        <v>1152</v>
      </c>
      <c r="D24" t="s">
        <v>58</v>
      </c>
      <c r="E24" t="str">
        <f t="shared" si="0"/>
        <v>01152</v>
      </c>
      <c r="F24" t="s">
        <v>49</v>
      </c>
      <c r="G24" t="s">
        <v>167</v>
      </c>
      <c r="H24" t="s">
        <v>151</v>
      </c>
      <c r="I24" t="s">
        <v>4</v>
      </c>
      <c r="J24" t="s">
        <v>158</v>
      </c>
      <c r="K24" t="s">
        <v>153</v>
      </c>
      <c r="L24">
        <v>251200005</v>
      </c>
      <c r="M24" s="84">
        <v>45994</v>
      </c>
      <c r="N24" s="84">
        <v>45994</v>
      </c>
      <c r="O24" t="s">
        <v>160</v>
      </c>
      <c r="P24" t="s">
        <v>161</v>
      </c>
      <c r="Q24">
        <v>14250</v>
      </c>
      <c r="R24">
        <v>20</v>
      </c>
      <c r="S24">
        <v>285000</v>
      </c>
      <c r="T24">
        <v>0</v>
      </c>
      <c r="U24">
        <v>0</v>
      </c>
      <c r="V24">
        <v>20</v>
      </c>
      <c r="W24">
        <v>285000</v>
      </c>
      <c r="X24">
        <v>3000</v>
      </c>
      <c r="Y24">
        <v>4000</v>
      </c>
      <c r="Z24">
        <v>0</v>
      </c>
      <c r="AA24">
        <v>0</v>
      </c>
      <c r="AB24">
        <v>0</v>
      </c>
      <c r="AC24">
        <v>7000</v>
      </c>
    </row>
    <row r="25" spans="1:29">
      <c r="A25">
        <v>17</v>
      </c>
      <c r="B25" t="s">
        <v>149</v>
      </c>
      <c r="C25">
        <v>1551</v>
      </c>
      <c r="D25" t="s">
        <v>316</v>
      </c>
      <c r="E25" t="str">
        <f t="shared" si="0"/>
        <v>01551</v>
      </c>
      <c r="F25" t="s">
        <v>111</v>
      </c>
      <c r="G25" t="s">
        <v>150</v>
      </c>
      <c r="H25" t="s">
        <v>151</v>
      </c>
      <c r="I25" t="s">
        <v>5</v>
      </c>
      <c r="J25" t="s">
        <v>152</v>
      </c>
      <c r="K25" t="s">
        <v>153</v>
      </c>
      <c r="L25">
        <v>251200005</v>
      </c>
      <c r="M25" s="84">
        <v>45993</v>
      </c>
      <c r="N25" s="84">
        <v>45993</v>
      </c>
      <c r="O25" t="s">
        <v>271</v>
      </c>
      <c r="P25" t="s">
        <v>272</v>
      </c>
      <c r="Q25">
        <v>4500</v>
      </c>
      <c r="R25">
        <v>8</v>
      </c>
      <c r="S25">
        <v>36000</v>
      </c>
      <c r="T25">
        <v>0</v>
      </c>
      <c r="U25">
        <v>0</v>
      </c>
      <c r="V25">
        <v>8</v>
      </c>
      <c r="W25">
        <v>36000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>
        <v>18</v>
      </c>
      <c r="B26" t="s">
        <v>149</v>
      </c>
      <c r="C26">
        <v>1152</v>
      </c>
      <c r="D26" t="s">
        <v>58</v>
      </c>
      <c r="E26" t="str">
        <f t="shared" si="0"/>
        <v>01152</v>
      </c>
      <c r="F26" t="s">
        <v>49</v>
      </c>
      <c r="G26" t="s">
        <v>167</v>
      </c>
      <c r="H26" t="s">
        <v>151</v>
      </c>
      <c r="I26" t="s">
        <v>4</v>
      </c>
      <c r="J26" t="s">
        <v>158</v>
      </c>
      <c r="K26" t="s">
        <v>153</v>
      </c>
      <c r="L26">
        <v>251200005</v>
      </c>
      <c r="M26" s="84">
        <v>45994</v>
      </c>
      <c r="N26" s="84">
        <v>45994</v>
      </c>
      <c r="O26" t="s">
        <v>179</v>
      </c>
      <c r="P26" t="s">
        <v>180</v>
      </c>
      <c r="Q26">
        <v>14250</v>
      </c>
      <c r="R26">
        <v>5</v>
      </c>
      <c r="S26">
        <v>71250</v>
      </c>
      <c r="T26">
        <v>0</v>
      </c>
      <c r="U26">
        <v>0</v>
      </c>
      <c r="V26">
        <v>5</v>
      </c>
      <c r="W26">
        <v>71250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19</v>
      </c>
      <c r="B27" t="s">
        <v>149</v>
      </c>
      <c r="C27">
        <v>1248</v>
      </c>
      <c r="D27" t="s">
        <v>59</v>
      </c>
      <c r="E27" t="str">
        <f t="shared" si="0"/>
        <v>01248</v>
      </c>
      <c r="F27" t="s">
        <v>49</v>
      </c>
      <c r="G27" t="s">
        <v>167</v>
      </c>
      <c r="H27" t="s">
        <v>151</v>
      </c>
      <c r="I27" t="s">
        <v>4</v>
      </c>
      <c r="J27" t="s">
        <v>158</v>
      </c>
      <c r="K27" t="s">
        <v>153</v>
      </c>
      <c r="L27">
        <v>251200006</v>
      </c>
      <c r="M27" s="84">
        <v>45994</v>
      </c>
      <c r="N27" s="84">
        <v>45994</v>
      </c>
      <c r="O27" t="s">
        <v>160</v>
      </c>
      <c r="P27" t="s">
        <v>161</v>
      </c>
      <c r="Q27">
        <v>14250</v>
      </c>
      <c r="R27">
        <v>20</v>
      </c>
      <c r="S27">
        <v>285000</v>
      </c>
      <c r="T27">
        <v>0</v>
      </c>
      <c r="U27">
        <v>0</v>
      </c>
      <c r="V27">
        <v>20</v>
      </c>
      <c r="W27">
        <v>285000</v>
      </c>
      <c r="X27">
        <v>3000</v>
      </c>
      <c r="Y27">
        <v>4000</v>
      </c>
      <c r="Z27">
        <v>0</v>
      </c>
      <c r="AA27">
        <v>0</v>
      </c>
      <c r="AB27">
        <v>0</v>
      </c>
      <c r="AC27">
        <v>7000</v>
      </c>
    </row>
    <row r="28" spans="1:29">
      <c r="A28">
        <v>20</v>
      </c>
      <c r="B28" t="s">
        <v>149</v>
      </c>
      <c r="C28">
        <v>1553</v>
      </c>
      <c r="D28" t="s">
        <v>317</v>
      </c>
      <c r="E28" t="str">
        <f t="shared" si="0"/>
        <v>01553</v>
      </c>
      <c r="F28" t="s">
        <v>43</v>
      </c>
      <c r="G28" t="s">
        <v>150</v>
      </c>
      <c r="H28" t="s">
        <v>151</v>
      </c>
      <c r="I28" t="s">
        <v>5</v>
      </c>
      <c r="J28" t="s">
        <v>152</v>
      </c>
      <c r="K28" t="s">
        <v>153</v>
      </c>
      <c r="L28">
        <v>251200006</v>
      </c>
      <c r="M28" s="84">
        <v>45993</v>
      </c>
      <c r="N28" s="84">
        <v>45993</v>
      </c>
      <c r="O28" t="s">
        <v>191</v>
      </c>
      <c r="P28" t="s">
        <v>192</v>
      </c>
      <c r="Q28">
        <v>4500</v>
      </c>
      <c r="R28">
        <v>20</v>
      </c>
      <c r="S28">
        <v>90000</v>
      </c>
      <c r="T28">
        <v>0</v>
      </c>
      <c r="U28">
        <v>0</v>
      </c>
      <c r="V28">
        <v>20</v>
      </c>
      <c r="W28">
        <v>90000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>
        <v>21</v>
      </c>
      <c r="B29" t="s">
        <v>149</v>
      </c>
      <c r="C29">
        <v>1553</v>
      </c>
      <c r="D29" t="s">
        <v>317</v>
      </c>
      <c r="E29" t="str">
        <f t="shared" si="0"/>
        <v>01553</v>
      </c>
      <c r="F29" t="s">
        <v>43</v>
      </c>
      <c r="G29" t="s">
        <v>150</v>
      </c>
      <c r="H29" t="s">
        <v>151</v>
      </c>
      <c r="I29" t="s">
        <v>4</v>
      </c>
      <c r="J29" t="s">
        <v>152</v>
      </c>
      <c r="K29" t="s">
        <v>153</v>
      </c>
      <c r="L29">
        <v>251200006</v>
      </c>
      <c r="M29" s="84">
        <v>45993</v>
      </c>
      <c r="N29" s="84">
        <v>45993</v>
      </c>
      <c r="O29" t="s">
        <v>160</v>
      </c>
      <c r="P29" t="s">
        <v>161</v>
      </c>
      <c r="Q29">
        <v>5500</v>
      </c>
      <c r="R29">
        <v>45</v>
      </c>
      <c r="S29">
        <v>247500</v>
      </c>
      <c r="T29">
        <v>0</v>
      </c>
      <c r="U29">
        <v>0</v>
      </c>
      <c r="V29">
        <v>45</v>
      </c>
      <c r="W29">
        <v>247500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>
        <v>22</v>
      </c>
      <c r="B30" t="s">
        <v>149</v>
      </c>
      <c r="C30">
        <v>1553</v>
      </c>
      <c r="D30" t="s">
        <v>317</v>
      </c>
      <c r="E30" t="str">
        <f t="shared" si="0"/>
        <v>01553</v>
      </c>
      <c r="F30" t="s">
        <v>43</v>
      </c>
      <c r="G30" t="s">
        <v>150</v>
      </c>
      <c r="H30" t="s">
        <v>151</v>
      </c>
      <c r="I30" t="s">
        <v>4</v>
      </c>
      <c r="J30" t="s">
        <v>152</v>
      </c>
      <c r="K30" t="s">
        <v>153</v>
      </c>
      <c r="L30">
        <v>251200006</v>
      </c>
      <c r="M30" s="84">
        <v>45993</v>
      </c>
      <c r="N30" s="84">
        <v>45993</v>
      </c>
      <c r="O30" t="s">
        <v>219</v>
      </c>
      <c r="P30" t="s">
        <v>220</v>
      </c>
      <c r="Q30">
        <v>5500</v>
      </c>
      <c r="R30">
        <v>20</v>
      </c>
      <c r="S30">
        <v>110000</v>
      </c>
      <c r="T30">
        <v>0</v>
      </c>
      <c r="U30">
        <v>0</v>
      </c>
      <c r="V30">
        <v>20</v>
      </c>
      <c r="W30">
        <v>110000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>
        <v>23</v>
      </c>
      <c r="B31" t="s">
        <v>149</v>
      </c>
      <c r="C31">
        <v>1553</v>
      </c>
      <c r="D31" t="s">
        <v>317</v>
      </c>
      <c r="E31" t="str">
        <f t="shared" si="0"/>
        <v>01553</v>
      </c>
      <c r="F31" t="s">
        <v>43</v>
      </c>
      <c r="G31" t="s">
        <v>150</v>
      </c>
      <c r="H31" t="s">
        <v>151</v>
      </c>
      <c r="I31" t="s">
        <v>4</v>
      </c>
      <c r="J31" t="s">
        <v>152</v>
      </c>
      <c r="K31" t="s">
        <v>153</v>
      </c>
      <c r="L31">
        <v>251200006</v>
      </c>
      <c r="M31" s="84">
        <v>45993</v>
      </c>
      <c r="N31" s="84">
        <v>45993</v>
      </c>
      <c r="O31" t="s">
        <v>179</v>
      </c>
      <c r="P31" t="s">
        <v>180</v>
      </c>
      <c r="Q31">
        <v>5500</v>
      </c>
      <c r="R31">
        <v>10</v>
      </c>
      <c r="S31">
        <v>55000</v>
      </c>
      <c r="T31">
        <v>0</v>
      </c>
      <c r="U31">
        <v>0</v>
      </c>
      <c r="V31">
        <v>10</v>
      </c>
      <c r="W31">
        <v>55000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>
        <v>24</v>
      </c>
      <c r="B32" t="s">
        <v>149</v>
      </c>
      <c r="C32">
        <v>1553</v>
      </c>
      <c r="D32" t="s">
        <v>317</v>
      </c>
      <c r="E32" t="str">
        <f t="shared" si="0"/>
        <v>01553</v>
      </c>
      <c r="F32" t="s">
        <v>43</v>
      </c>
      <c r="G32" t="s">
        <v>150</v>
      </c>
      <c r="H32" t="s">
        <v>151</v>
      </c>
      <c r="I32" t="s">
        <v>4</v>
      </c>
      <c r="J32" t="s">
        <v>152</v>
      </c>
      <c r="K32" t="s">
        <v>153</v>
      </c>
      <c r="L32">
        <v>251200006</v>
      </c>
      <c r="M32" s="84">
        <v>45993</v>
      </c>
      <c r="N32" s="84">
        <v>45993</v>
      </c>
      <c r="O32" t="s">
        <v>177</v>
      </c>
      <c r="P32" t="s">
        <v>178</v>
      </c>
      <c r="Q32">
        <v>5500</v>
      </c>
      <c r="R32">
        <v>10</v>
      </c>
      <c r="S32">
        <v>55000</v>
      </c>
      <c r="T32">
        <v>0</v>
      </c>
      <c r="U32">
        <v>0</v>
      </c>
      <c r="V32">
        <v>10</v>
      </c>
      <c r="W32">
        <v>55000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>
        <v>25</v>
      </c>
      <c r="B33" t="s">
        <v>149</v>
      </c>
      <c r="C33">
        <v>1335</v>
      </c>
      <c r="D33" t="s">
        <v>318</v>
      </c>
      <c r="E33" t="str">
        <f t="shared" si="0"/>
        <v>01335</v>
      </c>
      <c r="F33" t="s">
        <v>43</v>
      </c>
      <c r="G33" t="s">
        <v>150</v>
      </c>
      <c r="H33" t="s">
        <v>151</v>
      </c>
      <c r="I33" t="s">
        <v>5</v>
      </c>
      <c r="J33" t="s">
        <v>152</v>
      </c>
      <c r="K33" t="s">
        <v>153</v>
      </c>
      <c r="L33">
        <v>251200007</v>
      </c>
      <c r="M33" s="84">
        <v>45993</v>
      </c>
      <c r="N33" s="84">
        <v>45993</v>
      </c>
      <c r="O33" t="s">
        <v>273</v>
      </c>
      <c r="P33" t="s">
        <v>274</v>
      </c>
      <c r="Q33">
        <v>4500</v>
      </c>
      <c r="R33">
        <v>40</v>
      </c>
      <c r="S33">
        <v>180000</v>
      </c>
      <c r="T33">
        <v>0</v>
      </c>
      <c r="U33">
        <v>0</v>
      </c>
      <c r="V33">
        <v>40</v>
      </c>
      <c r="W33">
        <v>180000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>
        <v>26</v>
      </c>
      <c r="B34" t="s">
        <v>149</v>
      </c>
      <c r="C34">
        <v>1335</v>
      </c>
      <c r="D34" t="s">
        <v>318</v>
      </c>
      <c r="E34" t="str">
        <f t="shared" si="0"/>
        <v>01335</v>
      </c>
      <c r="F34" t="s">
        <v>43</v>
      </c>
      <c r="G34" t="s">
        <v>150</v>
      </c>
      <c r="H34" t="s">
        <v>151</v>
      </c>
      <c r="I34" t="s">
        <v>5</v>
      </c>
      <c r="J34" t="s">
        <v>152</v>
      </c>
      <c r="K34" t="s">
        <v>153</v>
      </c>
      <c r="L34">
        <v>251200007</v>
      </c>
      <c r="M34" s="84">
        <v>45993</v>
      </c>
      <c r="N34" s="84">
        <v>45993</v>
      </c>
      <c r="O34" t="s">
        <v>196</v>
      </c>
      <c r="P34" t="s">
        <v>197</v>
      </c>
      <c r="Q34">
        <v>4500</v>
      </c>
      <c r="R34">
        <v>20</v>
      </c>
      <c r="S34">
        <v>90000</v>
      </c>
      <c r="T34">
        <v>0</v>
      </c>
      <c r="U34">
        <v>0</v>
      </c>
      <c r="V34">
        <v>20</v>
      </c>
      <c r="W34">
        <v>90000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>
        <v>27</v>
      </c>
      <c r="B35" t="s">
        <v>149</v>
      </c>
      <c r="C35">
        <v>333</v>
      </c>
      <c r="D35" t="s">
        <v>181</v>
      </c>
      <c r="E35" t="str">
        <f t="shared" si="0"/>
        <v>00333</v>
      </c>
      <c r="F35" t="s">
        <v>43</v>
      </c>
      <c r="G35" t="s">
        <v>150</v>
      </c>
      <c r="H35" t="s">
        <v>151</v>
      </c>
      <c r="I35" t="s">
        <v>182</v>
      </c>
      <c r="J35" t="s">
        <v>158</v>
      </c>
      <c r="K35" t="s">
        <v>153</v>
      </c>
      <c r="L35">
        <v>251200007</v>
      </c>
      <c r="M35" s="84">
        <v>45994</v>
      </c>
      <c r="N35" s="84">
        <v>45994</v>
      </c>
      <c r="O35" t="s">
        <v>183</v>
      </c>
      <c r="P35" t="s">
        <v>184</v>
      </c>
      <c r="Q35">
        <v>72</v>
      </c>
      <c r="R35">
        <v>300</v>
      </c>
      <c r="S35">
        <v>21600</v>
      </c>
      <c r="T35">
        <v>0</v>
      </c>
      <c r="U35">
        <v>0</v>
      </c>
      <c r="V35">
        <v>300</v>
      </c>
      <c r="W35">
        <v>21600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>
        <v>28</v>
      </c>
      <c r="B36" t="s">
        <v>149</v>
      </c>
      <c r="C36">
        <v>1320</v>
      </c>
      <c r="D36" t="s">
        <v>319</v>
      </c>
      <c r="E36" t="str">
        <f t="shared" si="0"/>
        <v>01320</v>
      </c>
      <c r="F36" t="s">
        <v>171</v>
      </c>
      <c r="G36" t="s">
        <v>172</v>
      </c>
      <c r="H36" t="s">
        <v>157</v>
      </c>
      <c r="I36" t="s">
        <v>4</v>
      </c>
      <c r="J36" t="s">
        <v>152</v>
      </c>
      <c r="K36" t="s">
        <v>174</v>
      </c>
      <c r="L36">
        <v>251200008</v>
      </c>
      <c r="M36" s="84">
        <v>45993</v>
      </c>
      <c r="N36" s="84">
        <v>45993</v>
      </c>
      <c r="O36" t="s">
        <v>290</v>
      </c>
      <c r="P36" t="s">
        <v>291</v>
      </c>
      <c r="Q36">
        <v>5500</v>
      </c>
      <c r="R36">
        <v>25</v>
      </c>
      <c r="S36">
        <v>137500</v>
      </c>
      <c r="T36">
        <v>0</v>
      </c>
      <c r="U36">
        <v>0</v>
      </c>
      <c r="V36">
        <v>25</v>
      </c>
      <c r="W36">
        <v>137500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>
        <v>29</v>
      </c>
      <c r="B37" t="s">
        <v>149</v>
      </c>
      <c r="C37">
        <v>165</v>
      </c>
      <c r="D37" t="s">
        <v>75</v>
      </c>
      <c r="E37" t="str">
        <f t="shared" si="0"/>
        <v>00165</v>
      </c>
      <c r="F37" t="s">
        <v>73</v>
      </c>
      <c r="G37" t="s">
        <v>185</v>
      </c>
      <c r="H37" t="s">
        <v>151</v>
      </c>
      <c r="I37" t="s">
        <v>4</v>
      </c>
      <c r="J37" t="s">
        <v>158</v>
      </c>
      <c r="K37" t="s">
        <v>153</v>
      </c>
      <c r="L37">
        <v>251200008</v>
      </c>
      <c r="M37" s="84">
        <v>45995</v>
      </c>
      <c r="N37" s="84">
        <v>45995</v>
      </c>
      <c r="O37" t="s">
        <v>168</v>
      </c>
      <c r="P37" t="s">
        <v>169</v>
      </c>
      <c r="Q37">
        <v>14250</v>
      </c>
      <c r="R37">
        <v>1</v>
      </c>
      <c r="S37">
        <v>14250</v>
      </c>
      <c r="T37">
        <v>0</v>
      </c>
      <c r="U37">
        <v>0</v>
      </c>
      <c r="V37">
        <v>1</v>
      </c>
      <c r="W37">
        <v>14250</v>
      </c>
      <c r="X37">
        <v>150</v>
      </c>
      <c r="Y37">
        <v>200</v>
      </c>
      <c r="Z37">
        <v>0</v>
      </c>
      <c r="AA37">
        <v>0</v>
      </c>
      <c r="AB37">
        <v>0</v>
      </c>
      <c r="AC37">
        <v>350</v>
      </c>
    </row>
    <row r="38" spans="1:29">
      <c r="A38">
        <v>30</v>
      </c>
      <c r="B38" t="s">
        <v>149</v>
      </c>
      <c r="C38">
        <v>165</v>
      </c>
      <c r="D38" t="s">
        <v>75</v>
      </c>
      <c r="E38" t="str">
        <f t="shared" si="0"/>
        <v>00165</v>
      </c>
      <c r="F38" t="s">
        <v>73</v>
      </c>
      <c r="G38" t="s">
        <v>185</v>
      </c>
      <c r="H38" t="s">
        <v>151</v>
      </c>
      <c r="I38" t="s">
        <v>4</v>
      </c>
      <c r="J38" t="s">
        <v>158</v>
      </c>
      <c r="K38" t="s">
        <v>153</v>
      </c>
      <c r="L38">
        <v>251200008</v>
      </c>
      <c r="M38" s="84">
        <v>45995</v>
      </c>
      <c r="N38" s="84">
        <v>45995</v>
      </c>
      <c r="O38" t="s">
        <v>160</v>
      </c>
      <c r="P38" t="s">
        <v>161</v>
      </c>
      <c r="Q38">
        <v>14250</v>
      </c>
      <c r="R38">
        <v>5</v>
      </c>
      <c r="S38">
        <v>71250</v>
      </c>
      <c r="T38">
        <v>0</v>
      </c>
      <c r="U38">
        <v>0</v>
      </c>
      <c r="V38">
        <v>5</v>
      </c>
      <c r="W38">
        <v>71250</v>
      </c>
      <c r="X38">
        <v>750</v>
      </c>
      <c r="Y38">
        <v>1000</v>
      </c>
      <c r="Z38">
        <v>0</v>
      </c>
      <c r="AA38">
        <v>0</v>
      </c>
      <c r="AB38">
        <v>0</v>
      </c>
      <c r="AC38">
        <v>1750</v>
      </c>
    </row>
    <row r="39" spans="1:29">
      <c r="A39">
        <v>31</v>
      </c>
      <c r="B39" t="s">
        <v>149</v>
      </c>
      <c r="C39">
        <v>537</v>
      </c>
      <c r="D39" t="s">
        <v>89</v>
      </c>
      <c r="E39" t="str">
        <f t="shared" si="0"/>
        <v>00537</v>
      </c>
      <c r="F39" t="s">
        <v>86</v>
      </c>
      <c r="G39" t="s">
        <v>156</v>
      </c>
      <c r="H39" t="s">
        <v>157</v>
      </c>
      <c r="I39" t="s">
        <v>4</v>
      </c>
      <c r="J39" t="s">
        <v>158</v>
      </c>
      <c r="K39" t="s">
        <v>159</v>
      </c>
      <c r="L39">
        <v>251200009</v>
      </c>
      <c r="M39" s="84">
        <v>45995</v>
      </c>
      <c r="N39" s="84">
        <v>45995</v>
      </c>
      <c r="O39" t="s">
        <v>160</v>
      </c>
      <c r="P39" t="s">
        <v>161</v>
      </c>
      <c r="Q39">
        <v>14250</v>
      </c>
      <c r="R39">
        <v>20</v>
      </c>
      <c r="S39">
        <v>285000</v>
      </c>
      <c r="T39">
        <v>0</v>
      </c>
      <c r="U39">
        <v>0</v>
      </c>
      <c r="V39">
        <v>20</v>
      </c>
      <c r="W39">
        <v>285000</v>
      </c>
      <c r="X39">
        <v>3000</v>
      </c>
      <c r="Y39">
        <v>4000</v>
      </c>
      <c r="Z39">
        <v>0</v>
      </c>
      <c r="AA39">
        <v>0</v>
      </c>
      <c r="AB39">
        <v>0</v>
      </c>
      <c r="AC39">
        <v>7000</v>
      </c>
    </row>
    <row r="40" spans="1:29">
      <c r="A40">
        <v>32</v>
      </c>
      <c r="B40" t="s">
        <v>149</v>
      </c>
      <c r="C40">
        <v>1284</v>
      </c>
      <c r="D40" t="s">
        <v>186</v>
      </c>
      <c r="E40" t="str">
        <f t="shared" si="0"/>
        <v>01284</v>
      </c>
      <c r="F40" t="s">
        <v>171</v>
      </c>
      <c r="G40" t="s">
        <v>172</v>
      </c>
      <c r="H40" t="s">
        <v>157</v>
      </c>
      <c r="I40" t="s">
        <v>173</v>
      </c>
      <c r="J40" t="s">
        <v>152</v>
      </c>
      <c r="K40" t="s">
        <v>174</v>
      </c>
      <c r="L40">
        <v>251200009</v>
      </c>
      <c r="M40" s="84">
        <v>45993</v>
      </c>
      <c r="N40" s="84">
        <v>45993</v>
      </c>
      <c r="O40" t="s">
        <v>175</v>
      </c>
      <c r="P40" t="s">
        <v>176</v>
      </c>
      <c r="Q40">
        <v>4452</v>
      </c>
      <c r="R40">
        <v>10</v>
      </c>
      <c r="S40">
        <v>44520</v>
      </c>
      <c r="T40">
        <v>0</v>
      </c>
      <c r="U40">
        <v>0</v>
      </c>
      <c r="V40">
        <v>10</v>
      </c>
      <c r="W40">
        <v>44520</v>
      </c>
      <c r="X40">
        <v>0</v>
      </c>
      <c r="Y40">
        <v>890</v>
      </c>
      <c r="Z40">
        <v>2230</v>
      </c>
      <c r="AA40">
        <v>0</v>
      </c>
      <c r="AB40">
        <v>1000</v>
      </c>
      <c r="AC40">
        <v>4120</v>
      </c>
    </row>
    <row r="41" spans="1:29">
      <c r="A41">
        <v>33</v>
      </c>
      <c r="B41" t="s">
        <v>149</v>
      </c>
      <c r="C41">
        <v>1438</v>
      </c>
      <c r="D41" t="s">
        <v>320</v>
      </c>
      <c r="E41" t="str">
        <f t="shared" si="0"/>
        <v>01438</v>
      </c>
      <c r="F41" t="s">
        <v>171</v>
      </c>
      <c r="G41" t="s">
        <v>172</v>
      </c>
      <c r="H41" t="s">
        <v>157</v>
      </c>
      <c r="I41" t="s">
        <v>4</v>
      </c>
      <c r="J41" t="s">
        <v>152</v>
      </c>
      <c r="K41" t="s">
        <v>174</v>
      </c>
      <c r="L41">
        <v>251200010</v>
      </c>
      <c r="M41" s="84">
        <v>45993</v>
      </c>
      <c r="N41" s="84">
        <v>45993</v>
      </c>
      <c r="O41" t="s">
        <v>321</v>
      </c>
      <c r="P41" t="s">
        <v>322</v>
      </c>
      <c r="Q41">
        <v>5500</v>
      </c>
      <c r="R41">
        <v>20</v>
      </c>
      <c r="S41">
        <v>110000</v>
      </c>
      <c r="T41">
        <v>0</v>
      </c>
      <c r="U41">
        <v>0</v>
      </c>
      <c r="V41">
        <v>20</v>
      </c>
      <c r="W41">
        <v>110000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>
        <v>34</v>
      </c>
      <c r="B42" t="s">
        <v>149</v>
      </c>
      <c r="C42">
        <v>1503</v>
      </c>
      <c r="D42" t="s">
        <v>100</v>
      </c>
      <c r="E42" t="str">
        <f t="shared" si="0"/>
        <v>01503</v>
      </c>
      <c r="F42" t="s">
        <v>95</v>
      </c>
      <c r="G42" t="s">
        <v>187</v>
      </c>
      <c r="H42" t="s">
        <v>188</v>
      </c>
      <c r="I42" t="s">
        <v>4</v>
      </c>
      <c r="J42" t="s">
        <v>158</v>
      </c>
      <c r="K42" t="s">
        <v>174</v>
      </c>
      <c r="L42">
        <v>251200010</v>
      </c>
      <c r="M42" s="84">
        <v>45995</v>
      </c>
      <c r="N42" s="84">
        <v>45995</v>
      </c>
      <c r="O42" t="s">
        <v>189</v>
      </c>
      <c r="P42" t="s">
        <v>190</v>
      </c>
      <c r="Q42">
        <v>13200</v>
      </c>
      <c r="R42">
        <v>5</v>
      </c>
      <c r="S42">
        <v>66000</v>
      </c>
      <c r="T42">
        <v>0</v>
      </c>
      <c r="U42">
        <v>0</v>
      </c>
      <c r="V42">
        <v>5</v>
      </c>
      <c r="W42">
        <v>66000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35</v>
      </c>
      <c r="B43" t="s">
        <v>149</v>
      </c>
      <c r="C43">
        <v>1508</v>
      </c>
      <c r="D43" t="s">
        <v>99</v>
      </c>
      <c r="E43" t="str">
        <f t="shared" si="0"/>
        <v>01508</v>
      </c>
      <c r="F43" t="s">
        <v>95</v>
      </c>
      <c r="G43" t="s">
        <v>187</v>
      </c>
      <c r="H43" t="s">
        <v>188</v>
      </c>
      <c r="I43" t="s">
        <v>5</v>
      </c>
      <c r="J43" t="s">
        <v>158</v>
      </c>
      <c r="K43" t="s">
        <v>174</v>
      </c>
      <c r="L43">
        <v>251200011</v>
      </c>
      <c r="M43" s="84">
        <v>45998</v>
      </c>
      <c r="N43" s="84">
        <v>45998</v>
      </c>
      <c r="O43" t="s">
        <v>191</v>
      </c>
      <c r="P43" t="s">
        <v>192</v>
      </c>
      <c r="Q43">
        <v>10900</v>
      </c>
      <c r="R43">
        <v>20</v>
      </c>
      <c r="S43">
        <v>218000</v>
      </c>
      <c r="T43">
        <v>0</v>
      </c>
      <c r="U43">
        <v>0</v>
      </c>
      <c r="V43">
        <v>20</v>
      </c>
      <c r="W43">
        <v>218000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>
        <v>36</v>
      </c>
      <c r="B44" t="s">
        <v>149</v>
      </c>
      <c r="C44">
        <v>1455</v>
      </c>
      <c r="D44" t="s">
        <v>323</v>
      </c>
      <c r="E44" t="str">
        <f t="shared" si="0"/>
        <v>01455</v>
      </c>
      <c r="F44" t="s">
        <v>171</v>
      </c>
      <c r="G44" t="s">
        <v>172</v>
      </c>
      <c r="H44" t="s">
        <v>157</v>
      </c>
      <c r="I44" t="s">
        <v>4</v>
      </c>
      <c r="J44" t="s">
        <v>152</v>
      </c>
      <c r="K44" t="s">
        <v>174</v>
      </c>
      <c r="L44">
        <v>251200011</v>
      </c>
      <c r="M44" s="84">
        <v>45993</v>
      </c>
      <c r="N44" s="84">
        <v>45993</v>
      </c>
      <c r="O44" t="s">
        <v>248</v>
      </c>
      <c r="P44" t="s">
        <v>249</v>
      </c>
      <c r="Q44">
        <v>5500</v>
      </c>
      <c r="R44">
        <v>10</v>
      </c>
      <c r="S44">
        <v>55000</v>
      </c>
      <c r="T44">
        <v>0</v>
      </c>
      <c r="U44">
        <v>0</v>
      </c>
      <c r="V44">
        <v>10</v>
      </c>
      <c r="W44">
        <v>55000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37</v>
      </c>
      <c r="B45" t="s">
        <v>149</v>
      </c>
      <c r="C45">
        <v>1170</v>
      </c>
      <c r="D45" t="s">
        <v>18</v>
      </c>
      <c r="E45" t="str">
        <f t="shared" si="0"/>
        <v>01170</v>
      </c>
      <c r="F45" t="s">
        <v>15</v>
      </c>
      <c r="G45" t="s">
        <v>193</v>
      </c>
      <c r="H45" t="s">
        <v>151</v>
      </c>
      <c r="I45" t="s">
        <v>5</v>
      </c>
      <c r="J45" t="s">
        <v>158</v>
      </c>
      <c r="K45" t="s">
        <v>153</v>
      </c>
      <c r="L45">
        <v>251200012</v>
      </c>
      <c r="M45" s="84">
        <v>45998</v>
      </c>
      <c r="N45" s="84">
        <v>45998</v>
      </c>
      <c r="O45" t="s">
        <v>194</v>
      </c>
      <c r="P45" t="s">
        <v>195</v>
      </c>
      <c r="Q45">
        <v>11700</v>
      </c>
      <c r="R45">
        <v>18</v>
      </c>
      <c r="S45">
        <v>210600</v>
      </c>
      <c r="T45">
        <v>0</v>
      </c>
      <c r="U45">
        <v>0</v>
      </c>
      <c r="V45">
        <v>18</v>
      </c>
      <c r="W45">
        <v>210600</v>
      </c>
      <c r="X45">
        <v>2700</v>
      </c>
      <c r="Y45">
        <v>2700</v>
      </c>
      <c r="Z45">
        <v>0</v>
      </c>
      <c r="AA45">
        <v>0</v>
      </c>
      <c r="AB45">
        <v>0</v>
      </c>
      <c r="AC45">
        <v>5400</v>
      </c>
    </row>
    <row r="46" spans="1:29">
      <c r="A46">
        <v>38</v>
      </c>
      <c r="B46" t="s">
        <v>149</v>
      </c>
      <c r="C46">
        <v>1325</v>
      </c>
      <c r="D46" t="s">
        <v>324</v>
      </c>
      <c r="E46" t="str">
        <f t="shared" si="0"/>
        <v>01325</v>
      </c>
      <c r="F46" t="s">
        <v>171</v>
      </c>
      <c r="G46" t="s">
        <v>172</v>
      </c>
      <c r="H46" t="s">
        <v>157</v>
      </c>
      <c r="I46" t="s">
        <v>4</v>
      </c>
      <c r="J46" t="s">
        <v>152</v>
      </c>
      <c r="K46" t="s">
        <v>174</v>
      </c>
      <c r="L46">
        <v>251200012</v>
      </c>
      <c r="M46" s="84">
        <v>45993</v>
      </c>
      <c r="N46" s="84">
        <v>45993</v>
      </c>
      <c r="O46" t="s">
        <v>321</v>
      </c>
      <c r="P46" t="s">
        <v>322</v>
      </c>
      <c r="Q46">
        <v>5500</v>
      </c>
      <c r="R46">
        <v>10</v>
      </c>
      <c r="S46">
        <v>55000</v>
      </c>
      <c r="T46">
        <v>0</v>
      </c>
      <c r="U46">
        <v>0</v>
      </c>
      <c r="V46">
        <v>10</v>
      </c>
      <c r="W46">
        <v>55000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>
        <v>39</v>
      </c>
      <c r="B47" t="s">
        <v>149</v>
      </c>
      <c r="C47">
        <v>1170</v>
      </c>
      <c r="D47" t="s">
        <v>18</v>
      </c>
      <c r="E47" t="str">
        <f t="shared" si="0"/>
        <v>01170</v>
      </c>
      <c r="F47" t="s">
        <v>15</v>
      </c>
      <c r="G47" t="s">
        <v>193</v>
      </c>
      <c r="H47" t="s">
        <v>151</v>
      </c>
      <c r="I47" t="s">
        <v>5</v>
      </c>
      <c r="J47" t="s">
        <v>158</v>
      </c>
      <c r="K47" t="s">
        <v>153</v>
      </c>
      <c r="L47">
        <v>251200012</v>
      </c>
      <c r="M47" s="84">
        <v>45998</v>
      </c>
      <c r="N47" s="84">
        <v>45998</v>
      </c>
      <c r="O47" t="s">
        <v>196</v>
      </c>
      <c r="P47" t="s">
        <v>197</v>
      </c>
      <c r="Q47">
        <v>11700</v>
      </c>
      <c r="R47">
        <v>12</v>
      </c>
      <c r="S47">
        <v>140400</v>
      </c>
      <c r="T47">
        <v>0</v>
      </c>
      <c r="U47">
        <v>0</v>
      </c>
      <c r="V47">
        <v>12</v>
      </c>
      <c r="W47">
        <v>140400</v>
      </c>
      <c r="X47">
        <v>1800</v>
      </c>
      <c r="Y47">
        <v>1800</v>
      </c>
      <c r="Z47">
        <v>0</v>
      </c>
      <c r="AA47">
        <v>0</v>
      </c>
      <c r="AB47">
        <v>0</v>
      </c>
      <c r="AC47">
        <v>3600</v>
      </c>
    </row>
    <row r="48" spans="1:29">
      <c r="A48">
        <v>40</v>
      </c>
      <c r="B48" t="s">
        <v>149</v>
      </c>
      <c r="C48">
        <v>1170</v>
      </c>
      <c r="D48" t="s">
        <v>18</v>
      </c>
      <c r="E48" t="str">
        <f t="shared" si="0"/>
        <v>01170</v>
      </c>
      <c r="F48" t="s">
        <v>15</v>
      </c>
      <c r="G48" t="s">
        <v>193</v>
      </c>
      <c r="H48" t="s">
        <v>151</v>
      </c>
      <c r="I48" t="s">
        <v>5</v>
      </c>
      <c r="J48" t="s">
        <v>158</v>
      </c>
      <c r="K48" t="s">
        <v>153</v>
      </c>
      <c r="L48">
        <v>251200012</v>
      </c>
      <c r="M48" s="84">
        <v>45998</v>
      </c>
      <c r="N48" s="84">
        <v>45998</v>
      </c>
      <c r="O48" t="s">
        <v>198</v>
      </c>
      <c r="P48" t="s">
        <v>199</v>
      </c>
      <c r="Q48">
        <v>11700</v>
      </c>
      <c r="R48">
        <v>4</v>
      </c>
      <c r="S48">
        <v>46800</v>
      </c>
      <c r="T48">
        <v>0</v>
      </c>
      <c r="U48">
        <v>0</v>
      </c>
      <c r="V48">
        <v>4</v>
      </c>
      <c r="W48">
        <v>46800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>
        <v>41</v>
      </c>
      <c r="B49" t="s">
        <v>149</v>
      </c>
      <c r="C49">
        <v>1562</v>
      </c>
      <c r="D49" t="s">
        <v>325</v>
      </c>
      <c r="E49" t="str">
        <f t="shared" si="0"/>
        <v>01562</v>
      </c>
      <c r="F49" t="s">
        <v>10</v>
      </c>
      <c r="G49" t="s">
        <v>172</v>
      </c>
      <c r="H49" t="s">
        <v>157</v>
      </c>
      <c r="I49" t="s">
        <v>4</v>
      </c>
      <c r="J49" t="s">
        <v>152</v>
      </c>
      <c r="K49" t="s">
        <v>174</v>
      </c>
      <c r="L49">
        <v>251200013</v>
      </c>
      <c r="M49" s="84">
        <v>45993</v>
      </c>
      <c r="N49" s="84">
        <v>45993</v>
      </c>
      <c r="O49" t="s">
        <v>321</v>
      </c>
      <c r="P49" t="s">
        <v>322</v>
      </c>
      <c r="Q49">
        <v>5500</v>
      </c>
      <c r="R49">
        <v>10</v>
      </c>
      <c r="S49">
        <v>55000</v>
      </c>
      <c r="T49">
        <v>0</v>
      </c>
      <c r="U49">
        <v>0</v>
      </c>
      <c r="V49">
        <v>10</v>
      </c>
      <c r="W49">
        <v>55000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42</v>
      </c>
      <c r="B50" t="s">
        <v>149</v>
      </c>
      <c r="C50">
        <v>1170</v>
      </c>
      <c r="D50" t="s">
        <v>18</v>
      </c>
      <c r="E50" t="str">
        <f t="shared" si="0"/>
        <v>01170</v>
      </c>
      <c r="F50" t="s">
        <v>15</v>
      </c>
      <c r="G50" t="s">
        <v>193</v>
      </c>
      <c r="H50" t="s">
        <v>151</v>
      </c>
      <c r="I50" t="s">
        <v>5</v>
      </c>
      <c r="J50" t="s">
        <v>158</v>
      </c>
      <c r="K50" t="s">
        <v>153</v>
      </c>
      <c r="L50">
        <v>251200013</v>
      </c>
      <c r="M50" s="84">
        <v>45998</v>
      </c>
      <c r="N50" s="84">
        <v>45998</v>
      </c>
      <c r="O50" t="s">
        <v>194</v>
      </c>
      <c r="P50" t="s">
        <v>195</v>
      </c>
      <c r="Q50">
        <v>11700</v>
      </c>
      <c r="R50">
        <v>2</v>
      </c>
      <c r="S50">
        <v>23400</v>
      </c>
      <c r="T50">
        <v>0</v>
      </c>
      <c r="U50">
        <v>0</v>
      </c>
      <c r="V50">
        <v>2</v>
      </c>
      <c r="W50">
        <v>23400</v>
      </c>
      <c r="X50">
        <v>300</v>
      </c>
      <c r="Y50">
        <v>300</v>
      </c>
      <c r="Z50">
        <v>0</v>
      </c>
      <c r="AA50">
        <v>0</v>
      </c>
      <c r="AB50">
        <v>0</v>
      </c>
      <c r="AC50">
        <v>600</v>
      </c>
    </row>
    <row r="51" spans="1:29">
      <c r="A51">
        <v>43</v>
      </c>
      <c r="B51" t="s">
        <v>149</v>
      </c>
      <c r="C51">
        <v>1508</v>
      </c>
      <c r="D51" t="s">
        <v>99</v>
      </c>
      <c r="E51" t="str">
        <f t="shared" si="0"/>
        <v>01508</v>
      </c>
      <c r="F51" t="s">
        <v>95</v>
      </c>
      <c r="G51" t="s">
        <v>187</v>
      </c>
      <c r="H51" t="s">
        <v>188</v>
      </c>
      <c r="I51" t="s">
        <v>4</v>
      </c>
      <c r="J51" t="s">
        <v>158</v>
      </c>
      <c r="K51" t="s">
        <v>174</v>
      </c>
      <c r="L51">
        <v>251200014</v>
      </c>
      <c r="M51" s="84">
        <v>45998</v>
      </c>
      <c r="N51" s="84">
        <v>45998</v>
      </c>
      <c r="O51" t="s">
        <v>160</v>
      </c>
      <c r="P51" t="s">
        <v>161</v>
      </c>
      <c r="Q51">
        <v>13400</v>
      </c>
      <c r="R51">
        <v>20</v>
      </c>
      <c r="S51">
        <v>268000</v>
      </c>
      <c r="T51">
        <v>0</v>
      </c>
      <c r="U51">
        <v>0</v>
      </c>
      <c r="V51">
        <v>20</v>
      </c>
      <c r="W51">
        <v>268000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44</v>
      </c>
      <c r="B52" t="s">
        <v>149</v>
      </c>
      <c r="C52">
        <v>1523</v>
      </c>
      <c r="D52" t="s">
        <v>326</v>
      </c>
      <c r="E52" t="str">
        <f t="shared" si="0"/>
        <v>01523</v>
      </c>
      <c r="F52" t="s">
        <v>10</v>
      </c>
      <c r="G52" t="s">
        <v>172</v>
      </c>
      <c r="H52" t="s">
        <v>157</v>
      </c>
      <c r="I52" t="s">
        <v>4</v>
      </c>
      <c r="J52" t="s">
        <v>152</v>
      </c>
      <c r="K52" t="s">
        <v>174</v>
      </c>
      <c r="L52">
        <v>251200014</v>
      </c>
      <c r="M52" s="84">
        <v>45993</v>
      </c>
      <c r="N52" s="84">
        <v>45993</v>
      </c>
      <c r="O52" t="s">
        <v>327</v>
      </c>
      <c r="P52" t="s">
        <v>328</v>
      </c>
      <c r="Q52">
        <v>5500</v>
      </c>
      <c r="R52">
        <v>5</v>
      </c>
      <c r="S52">
        <v>27500</v>
      </c>
      <c r="T52">
        <v>0</v>
      </c>
      <c r="U52">
        <v>0</v>
      </c>
      <c r="V52">
        <v>5</v>
      </c>
      <c r="W52">
        <v>27500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>
        <v>45</v>
      </c>
      <c r="B53" t="s">
        <v>149</v>
      </c>
      <c r="C53">
        <v>1508</v>
      </c>
      <c r="D53" t="s">
        <v>99</v>
      </c>
      <c r="E53" t="str">
        <f t="shared" si="0"/>
        <v>01508</v>
      </c>
      <c r="F53" t="s">
        <v>95</v>
      </c>
      <c r="G53" t="s">
        <v>187</v>
      </c>
      <c r="H53" t="s">
        <v>188</v>
      </c>
      <c r="I53" t="s">
        <v>4</v>
      </c>
      <c r="J53" t="s">
        <v>158</v>
      </c>
      <c r="K53" t="s">
        <v>174</v>
      </c>
      <c r="L53">
        <v>251200014</v>
      </c>
      <c r="M53" s="84">
        <v>45998</v>
      </c>
      <c r="N53" s="84">
        <v>45998</v>
      </c>
      <c r="O53" t="s">
        <v>200</v>
      </c>
      <c r="P53" t="s">
        <v>201</v>
      </c>
      <c r="Q53">
        <v>13400</v>
      </c>
      <c r="R53">
        <v>10</v>
      </c>
      <c r="S53">
        <v>134000</v>
      </c>
      <c r="T53">
        <v>0</v>
      </c>
      <c r="U53">
        <v>0</v>
      </c>
      <c r="V53">
        <v>10</v>
      </c>
      <c r="W53">
        <v>134000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>
        <v>46</v>
      </c>
      <c r="B54" t="s">
        <v>149</v>
      </c>
      <c r="C54">
        <v>1569</v>
      </c>
      <c r="D54" t="s">
        <v>329</v>
      </c>
      <c r="E54" t="str">
        <f t="shared" si="0"/>
        <v>01569</v>
      </c>
      <c r="F54" t="s">
        <v>10</v>
      </c>
      <c r="G54" t="s">
        <v>172</v>
      </c>
      <c r="H54" t="s">
        <v>157</v>
      </c>
      <c r="I54" t="s">
        <v>4</v>
      </c>
      <c r="J54" t="s">
        <v>152</v>
      </c>
      <c r="K54" t="s">
        <v>174</v>
      </c>
      <c r="L54">
        <v>251200015</v>
      </c>
      <c r="M54" s="84">
        <v>45993</v>
      </c>
      <c r="N54" s="84">
        <v>45993</v>
      </c>
      <c r="O54" t="s">
        <v>204</v>
      </c>
      <c r="P54" t="s">
        <v>205</v>
      </c>
      <c r="Q54">
        <v>5500</v>
      </c>
      <c r="R54">
        <v>5</v>
      </c>
      <c r="S54">
        <v>27500</v>
      </c>
      <c r="T54">
        <v>0</v>
      </c>
      <c r="U54">
        <v>0</v>
      </c>
      <c r="V54">
        <v>5</v>
      </c>
      <c r="W54">
        <v>27500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47</v>
      </c>
      <c r="B55" t="s">
        <v>149</v>
      </c>
      <c r="C55">
        <v>1569</v>
      </c>
      <c r="D55" t="s">
        <v>329</v>
      </c>
      <c r="E55" t="str">
        <f t="shared" si="0"/>
        <v>01569</v>
      </c>
      <c r="F55" t="s">
        <v>10</v>
      </c>
      <c r="G55" t="s">
        <v>172</v>
      </c>
      <c r="H55" t="s">
        <v>157</v>
      </c>
      <c r="I55" t="s">
        <v>4</v>
      </c>
      <c r="J55" t="s">
        <v>152</v>
      </c>
      <c r="K55" t="s">
        <v>174</v>
      </c>
      <c r="L55">
        <v>251200015</v>
      </c>
      <c r="M55" s="84">
        <v>45993</v>
      </c>
      <c r="N55" s="84">
        <v>45993</v>
      </c>
      <c r="O55" t="s">
        <v>206</v>
      </c>
      <c r="P55" t="s">
        <v>207</v>
      </c>
      <c r="Q55">
        <v>5500</v>
      </c>
      <c r="R55">
        <v>5</v>
      </c>
      <c r="S55">
        <v>27500</v>
      </c>
      <c r="T55">
        <v>0</v>
      </c>
      <c r="U55">
        <v>0</v>
      </c>
      <c r="V55">
        <v>5</v>
      </c>
      <c r="W55">
        <v>27500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>
        <v>48</v>
      </c>
      <c r="B56" t="s">
        <v>149</v>
      </c>
      <c r="C56">
        <v>160</v>
      </c>
      <c r="D56" t="s">
        <v>64</v>
      </c>
      <c r="E56" t="str">
        <f t="shared" si="0"/>
        <v>00160</v>
      </c>
      <c r="F56" t="s">
        <v>49</v>
      </c>
      <c r="G56" t="s">
        <v>167</v>
      </c>
      <c r="H56" t="s">
        <v>151</v>
      </c>
      <c r="I56" t="s">
        <v>4</v>
      </c>
      <c r="J56" t="s">
        <v>158</v>
      </c>
      <c r="K56" t="s">
        <v>153</v>
      </c>
      <c r="L56">
        <v>251200015</v>
      </c>
      <c r="M56" s="84">
        <v>45999</v>
      </c>
      <c r="N56" s="84">
        <v>45999</v>
      </c>
      <c r="O56" t="s">
        <v>168</v>
      </c>
      <c r="P56" t="s">
        <v>169</v>
      </c>
      <c r="Q56">
        <v>14250</v>
      </c>
      <c r="R56">
        <v>9</v>
      </c>
      <c r="S56">
        <v>128250</v>
      </c>
      <c r="T56">
        <v>0</v>
      </c>
      <c r="U56">
        <v>0</v>
      </c>
      <c r="V56">
        <v>9</v>
      </c>
      <c r="W56">
        <v>128250</v>
      </c>
      <c r="X56">
        <v>1350</v>
      </c>
      <c r="Y56">
        <v>1800</v>
      </c>
      <c r="Z56">
        <v>0</v>
      </c>
      <c r="AA56">
        <v>0</v>
      </c>
      <c r="AB56">
        <v>0</v>
      </c>
      <c r="AC56">
        <v>3150</v>
      </c>
    </row>
    <row r="57" spans="1:29">
      <c r="A57">
        <v>49</v>
      </c>
      <c r="B57" t="s">
        <v>149</v>
      </c>
      <c r="C57">
        <v>615</v>
      </c>
      <c r="D57" t="s">
        <v>39</v>
      </c>
      <c r="E57" t="str">
        <f t="shared" si="0"/>
        <v>00615</v>
      </c>
      <c r="F57" t="s">
        <v>38</v>
      </c>
      <c r="G57" t="s">
        <v>202</v>
      </c>
      <c r="H57" t="s">
        <v>157</v>
      </c>
      <c r="I57" t="s">
        <v>4</v>
      </c>
      <c r="J57" t="s">
        <v>158</v>
      </c>
      <c r="K57" t="s">
        <v>203</v>
      </c>
      <c r="L57">
        <v>251200016</v>
      </c>
      <c r="M57" s="84">
        <v>45999</v>
      </c>
      <c r="N57" s="84">
        <v>45999</v>
      </c>
      <c r="O57" t="s">
        <v>204</v>
      </c>
      <c r="P57" t="s">
        <v>205</v>
      </c>
      <c r="Q57">
        <v>14250</v>
      </c>
      <c r="R57">
        <v>10</v>
      </c>
      <c r="S57">
        <v>142500</v>
      </c>
      <c r="T57">
        <v>0</v>
      </c>
      <c r="U57">
        <v>0</v>
      </c>
      <c r="V57">
        <v>10</v>
      </c>
      <c r="W57">
        <v>142500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>
        <v>50</v>
      </c>
      <c r="B58" t="s">
        <v>149</v>
      </c>
      <c r="C58">
        <v>615</v>
      </c>
      <c r="D58" t="s">
        <v>39</v>
      </c>
      <c r="E58" t="str">
        <f t="shared" si="0"/>
        <v>00615</v>
      </c>
      <c r="F58" t="s">
        <v>38</v>
      </c>
      <c r="G58" t="s">
        <v>202</v>
      </c>
      <c r="H58" t="s">
        <v>157</v>
      </c>
      <c r="I58" t="s">
        <v>4</v>
      </c>
      <c r="J58" t="s">
        <v>158</v>
      </c>
      <c r="K58" t="s">
        <v>203</v>
      </c>
      <c r="L58">
        <v>251200016</v>
      </c>
      <c r="M58" s="84">
        <v>45999</v>
      </c>
      <c r="N58" s="84">
        <v>45999</v>
      </c>
      <c r="O58" t="s">
        <v>206</v>
      </c>
      <c r="P58" t="s">
        <v>207</v>
      </c>
      <c r="Q58">
        <v>14250</v>
      </c>
      <c r="R58">
        <v>25</v>
      </c>
      <c r="S58">
        <v>356250</v>
      </c>
      <c r="T58">
        <v>0</v>
      </c>
      <c r="U58">
        <v>0</v>
      </c>
      <c r="V58">
        <v>25</v>
      </c>
      <c r="W58">
        <v>356250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>
        <v>51</v>
      </c>
      <c r="B59" t="s">
        <v>149</v>
      </c>
      <c r="C59">
        <v>1533</v>
      </c>
      <c r="D59" t="s">
        <v>330</v>
      </c>
      <c r="E59" t="str">
        <f t="shared" si="0"/>
        <v>01533</v>
      </c>
      <c r="F59" t="s">
        <v>65</v>
      </c>
      <c r="G59" t="s">
        <v>208</v>
      </c>
      <c r="H59" t="s">
        <v>157</v>
      </c>
      <c r="I59" t="s">
        <v>4</v>
      </c>
      <c r="J59" t="s">
        <v>152</v>
      </c>
      <c r="K59" t="s">
        <v>174</v>
      </c>
      <c r="L59">
        <v>251200016</v>
      </c>
      <c r="M59" s="84">
        <v>45993</v>
      </c>
      <c r="N59" s="84">
        <v>45993</v>
      </c>
      <c r="O59" t="s">
        <v>256</v>
      </c>
      <c r="P59" t="s">
        <v>257</v>
      </c>
      <c r="Q59">
        <v>5500</v>
      </c>
      <c r="R59">
        <v>10</v>
      </c>
      <c r="S59">
        <v>55000</v>
      </c>
      <c r="T59">
        <v>0</v>
      </c>
      <c r="U59">
        <v>0</v>
      </c>
      <c r="V59">
        <v>10</v>
      </c>
      <c r="W59">
        <v>55000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52</v>
      </c>
      <c r="B60" t="s">
        <v>149</v>
      </c>
      <c r="C60">
        <v>1057</v>
      </c>
      <c r="D60" t="s">
        <v>68</v>
      </c>
      <c r="E60" t="str">
        <f t="shared" si="0"/>
        <v>01057</v>
      </c>
      <c r="F60" t="s">
        <v>65</v>
      </c>
      <c r="G60" t="s">
        <v>208</v>
      </c>
      <c r="H60" t="s">
        <v>157</v>
      </c>
      <c r="I60" t="s">
        <v>4</v>
      </c>
      <c r="J60" t="s">
        <v>152</v>
      </c>
      <c r="K60" t="s">
        <v>174</v>
      </c>
      <c r="L60">
        <v>251200017</v>
      </c>
      <c r="M60" s="84">
        <v>45993</v>
      </c>
      <c r="N60" s="84">
        <v>45993</v>
      </c>
      <c r="O60" t="s">
        <v>160</v>
      </c>
      <c r="P60" t="s">
        <v>161</v>
      </c>
      <c r="Q60">
        <v>14250</v>
      </c>
      <c r="R60">
        <v>15</v>
      </c>
      <c r="S60">
        <v>213750</v>
      </c>
      <c r="T60">
        <v>0</v>
      </c>
      <c r="U60">
        <v>0</v>
      </c>
      <c r="V60">
        <v>15</v>
      </c>
      <c r="W60">
        <v>213750</v>
      </c>
      <c r="X60">
        <v>2250</v>
      </c>
      <c r="Y60">
        <v>3000</v>
      </c>
      <c r="Z60">
        <v>0</v>
      </c>
      <c r="AA60">
        <v>0</v>
      </c>
      <c r="AB60">
        <v>0</v>
      </c>
      <c r="AC60">
        <v>5250</v>
      </c>
    </row>
    <row r="61" spans="1:29">
      <c r="A61">
        <v>53</v>
      </c>
      <c r="B61" t="s">
        <v>149</v>
      </c>
      <c r="C61">
        <v>217</v>
      </c>
      <c r="D61" t="s">
        <v>48</v>
      </c>
      <c r="E61" t="str">
        <f t="shared" si="0"/>
        <v>00217</v>
      </c>
      <c r="F61" t="s">
        <v>43</v>
      </c>
      <c r="G61" t="s">
        <v>150</v>
      </c>
      <c r="H61" t="s">
        <v>151</v>
      </c>
      <c r="I61" t="s">
        <v>4</v>
      </c>
      <c r="J61" t="s">
        <v>158</v>
      </c>
      <c r="K61" t="s">
        <v>153</v>
      </c>
      <c r="L61">
        <v>251200017</v>
      </c>
      <c r="M61" s="84">
        <v>46000</v>
      </c>
      <c r="N61" s="84">
        <v>46000</v>
      </c>
      <c r="O61" t="s">
        <v>160</v>
      </c>
      <c r="P61" t="s">
        <v>161</v>
      </c>
      <c r="Q61">
        <v>14250</v>
      </c>
      <c r="R61">
        <v>4</v>
      </c>
      <c r="S61">
        <v>57000</v>
      </c>
      <c r="T61">
        <v>0</v>
      </c>
      <c r="U61">
        <v>0</v>
      </c>
      <c r="V61">
        <v>4</v>
      </c>
      <c r="W61">
        <v>57000</v>
      </c>
      <c r="X61">
        <v>600</v>
      </c>
      <c r="Y61">
        <v>800</v>
      </c>
      <c r="Z61">
        <v>0</v>
      </c>
      <c r="AA61">
        <v>0</v>
      </c>
      <c r="AB61">
        <v>0</v>
      </c>
      <c r="AC61">
        <v>1400</v>
      </c>
    </row>
    <row r="62" spans="1:29">
      <c r="A62">
        <v>54</v>
      </c>
      <c r="B62" t="s">
        <v>149</v>
      </c>
      <c r="C62">
        <v>441</v>
      </c>
      <c r="D62" t="s">
        <v>209</v>
      </c>
      <c r="E62" t="str">
        <f t="shared" si="0"/>
        <v>00441</v>
      </c>
      <c r="F62" t="s">
        <v>15</v>
      </c>
      <c r="G62" t="s">
        <v>193</v>
      </c>
      <c r="H62" t="s">
        <v>151</v>
      </c>
      <c r="I62" t="s">
        <v>210</v>
      </c>
      <c r="J62" t="s">
        <v>158</v>
      </c>
      <c r="K62" t="s">
        <v>153</v>
      </c>
      <c r="L62">
        <v>251200018</v>
      </c>
      <c r="M62" s="84">
        <v>46000</v>
      </c>
      <c r="N62" s="84">
        <v>46000</v>
      </c>
      <c r="O62" t="s">
        <v>211</v>
      </c>
      <c r="P62" t="s">
        <v>212</v>
      </c>
      <c r="Q62">
        <v>19427</v>
      </c>
      <c r="R62">
        <v>3</v>
      </c>
      <c r="S62">
        <v>58281</v>
      </c>
      <c r="T62">
        <v>0</v>
      </c>
      <c r="U62">
        <v>0</v>
      </c>
      <c r="V62">
        <v>3</v>
      </c>
      <c r="W62">
        <v>58281</v>
      </c>
      <c r="X62">
        <v>1167</v>
      </c>
      <c r="Y62">
        <v>1167</v>
      </c>
      <c r="Z62">
        <v>3000</v>
      </c>
      <c r="AA62">
        <v>0</v>
      </c>
      <c r="AB62">
        <v>300</v>
      </c>
      <c r="AC62">
        <v>5634</v>
      </c>
    </row>
    <row r="63" spans="1:29">
      <c r="A63">
        <v>55</v>
      </c>
      <c r="B63" t="s">
        <v>149</v>
      </c>
      <c r="C63">
        <v>1484</v>
      </c>
      <c r="D63" t="s">
        <v>331</v>
      </c>
      <c r="E63" t="str">
        <f t="shared" si="0"/>
        <v>01484</v>
      </c>
      <c r="F63" t="s">
        <v>71</v>
      </c>
      <c r="G63" t="s">
        <v>305</v>
      </c>
      <c r="H63" t="s">
        <v>157</v>
      </c>
      <c r="I63" t="s">
        <v>4</v>
      </c>
      <c r="J63" t="s">
        <v>152</v>
      </c>
      <c r="K63" t="s">
        <v>174</v>
      </c>
      <c r="L63">
        <v>251200018</v>
      </c>
      <c r="M63" s="84">
        <v>45993</v>
      </c>
      <c r="N63" s="84">
        <v>45993</v>
      </c>
      <c r="O63" t="s">
        <v>204</v>
      </c>
      <c r="P63" t="s">
        <v>205</v>
      </c>
      <c r="Q63">
        <v>5500</v>
      </c>
      <c r="R63">
        <v>5</v>
      </c>
      <c r="S63">
        <v>27500</v>
      </c>
      <c r="T63">
        <v>0</v>
      </c>
      <c r="U63">
        <v>0</v>
      </c>
      <c r="V63">
        <v>5</v>
      </c>
      <c r="W63">
        <v>27500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>
        <v>56</v>
      </c>
      <c r="B64" t="s">
        <v>149</v>
      </c>
      <c r="C64">
        <v>1484</v>
      </c>
      <c r="D64" t="s">
        <v>331</v>
      </c>
      <c r="E64" t="str">
        <f t="shared" si="0"/>
        <v>01484</v>
      </c>
      <c r="F64" t="s">
        <v>71</v>
      </c>
      <c r="G64" t="s">
        <v>305</v>
      </c>
      <c r="H64" t="s">
        <v>157</v>
      </c>
      <c r="I64" t="s">
        <v>4</v>
      </c>
      <c r="J64" t="s">
        <v>152</v>
      </c>
      <c r="K64" t="s">
        <v>174</v>
      </c>
      <c r="L64">
        <v>251200018</v>
      </c>
      <c r="M64" s="84">
        <v>45993</v>
      </c>
      <c r="N64" s="84">
        <v>45993</v>
      </c>
      <c r="O64" t="s">
        <v>160</v>
      </c>
      <c r="P64" t="s">
        <v>161</v>
      </c>
      <c r="Q64">
        <v>5500</v>
      </c>
      <c r="R64">
        <v>5</v>
      </c>
      <c r="S64">
        <v>27500</v>
      </c>
      <c r="T64">
        <v>0</v>
      </c>
      <c r="U64">
        <v>0</v>
      </c>
      <c r="V64">
        <v>5</v>
      </c>
      <c r="W64">
        <v>27500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>
        <v>57</v>
      </c>
      <c r="B65" t="s">
        <v>149</v>
      </c>
      <c r="C65">
        <v>441</v>
      </c>
      <c r="D65" t="s">
        <v>209</v>
      </c>
      <c r="E65" t="str">
        <f t="shared" si="0"/>
        <v>00441</v>
      </c>
      <c r="F65" t="s">
        <v>15</v>
      </c>
      <c r="G65" t="s">
        <v>193</v>
      </c>
      <c r="H65" t="s">
        <v>151</v>
      </c>
      <c r="I65" t="s">
        <v>210</v>
      </c>
      <c r="J65" t="s">
        <v>158</v>
      </c>
      <c r="K65" t="s">
        <v>153</v>
      </c>
      <c r="L65">
        <v>251200018</v>
      </c>
      <c r="M65" s="84">
        <v>46000</v>
      </c>
      <c r="N65" s="84">
        <v>46000</v>
      </c>
      <c r="O65" t="s">
        <v>213</v>
      </c>
      <c r="P65" t="s">
        <v>214</v>
      </c>
      <c r="Q65">
        <v>23802</v>
      </c>
      <c r="R65">
        <v>2</v>
      </c>
      <c r="S65">
        <v>47604</v>
      </c>
      <c r="T65">
        <v>0</v>
      </c>
      <c r="U65">
        <v>0</v>
      </c>
      <c r="V65">
        <v>2</v>
      </c>
      <c r="W65">
        <v>47604</v>
      </c>
      <c r="X65">
        <v>952</v>
      </c>
      <c r="Y65">
        <v>952</v>
      </c>
      <c r="Z65">
        <v>2000</v>
      </c>
      <c r="AA65">
        <v>0</v>
      </c>
      <c r="AB65">
        <v>200</v>
      </c>
      <c r="AC65">
        <v>4104</v>
      </c>
    </row>
    <row r="66" spans="1:29">
      <c r="A66">
        <v>58</v>
      </c>
      <c r="B66" t="s">
        <v>149</v>
      </c>
      <c r="C66">
        <v>1345</v>
      </c>
      <c r="D66" t="s">
        <v>332</v>
      </c>
      <c r="E66" t="str">
        <f t="shared" si="0"/>
        <v>01345</v>
      </c>
      <c r="F66" t="s">
        <v>71</v>
      </c>
      <c r="G66" t="s">
        <v>305</v>
      </c>
      <c r="H66" t="s">
        <v>157</v>
      </c>
      <c r="I66" t="s">
        <v>4</v>
      </c>
      <c r="J66" t="s">
        <v>152</v>
      </c>
      <c r="K66" t="s">
        <v>174</v>
      </c>
      <c r="L66">
        <v>251200019</v>
      </c>
      <c r="M66" s="84">
        <v>45993</v>
      </c>
      <c r="N66" s="84">
        <v>45993</v>
      </c>
      <c r="O66" t="s">
        <v>160</v>
      </c>
      <c r="P66" t="s">
        <v>161</v>
      </c>
      <c r="Q66">
        <v>5500</v>
      </c>
      <c r="R66">
        <v>10</v>
      </c>
      <c r="S66">
        <v>55000</v>
      </c>
      <c r="T66">
        <v>0</v>
      </c>
      <c r="U66">
        <v>0</v>
      </c>
      <c r="V66">
        <v>10</v>
      </c>
      <c r="W66">
        <v>55000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>
        <v>59</v>
      </c>
      <c r="B67" t="s">
        <v>149</v>
      </c>
      <c r="C67">
        <v>1249</v>
      </c>
      <c r="D67" t="s">
        <v>74</v>
      </c>
      <c r="E67" t="str">
        <f t="shared" si="0"/>
        <v>01249</v>
      </c>
      <c r="F67" t="s">
        <v>73</v>
      </c>
      <c r="G67" t="s">
        <v>185</v>
      </c>
      <c r="H67" t="s">
        <v>151</v>
      </c>
      <c r="I67" t="s">
        <v>4</v>
      </c>
      <c r="J67" t="s">
        <v>158</v>
      </c>
      <c r="K67" t="s">
        <v>153</v>
      </c>
      <c r="L67">
        <v>251200019</v>
      </c>
      <c r="M67" s="84">
        <v>46000</v>
      </c>
      <c r="N67" s="84">
        <v>46000</v>
      </c>
      <c r="O67" t="s">
        <v>215</v>
      </c>
      <c r="P67" t="s">
        <v>216</v>
      </c>
      <c r="Q67">
        <v>14250</v>
      </c>
      <c r="R67">
        <v>15</v>
      </c>
      <c r="S67">
        <v>213750</v>
      </c>
      <c r="T67">
        <v>0</v>
      </c>
      <c r="U67">
        <v>0</v>
      </c>
      <c r="V67">
        <v>15</v>
      </c>
      <c r="W67">
        <v>213750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>
        <v>60</v>
      </c>
      <c r="B68" t="s">
        <v>149</v>
      </c>
      <c r="C68">
        <v>1520</v>
      </c>
      <c r="D68" t="s">
        <v>333</v>
      </c>
      <c r="E68" t="str">
        <f t="shared" si="0"/>
        <v>01520</v>
      </c>
      <c r="F68" t="s">
        <v>38</v>
      </c>
      <c r="G68" t="s">
        <v>202</v>
      </c>
      <c r="H68" t="s">
        <v>157</v>
      </c>
      <c r="I68" t="s">
        <v>4</v>
      </c>
      <c r="J68" t="s">
        <v>152</v>
      </c>
      <c r="K68" t="s">
        <v>203</v>
      </c>
      <c r="L68">
        <v>251200020</v>
      </c>
      <c r="M68" s="84">
        <v>45993</v>
      </c>
      <c r="N68" s="84">
        <v>45993</v>
      </c>
      <c r="O68" t="s">
        <v>177</v>
      </c>
      <c r="P68" t="s">
        <v>178</v>
      </c>
      <c r="Q68">
        <v>5500</v>
      </c>
      <c r="R68">
        <v>20</v>
      </c>
      <c r="S68">
        <v>110000</v>
      </c>
      <c r="T68">
        <v>0</v>
      </c>
      <c r="U68">
        <v>0</v>
      </c>
      <c r="V68">
        <v>20</v>
      </c>
      <c r="W68">
        <v>110000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>
        <v>61</v>
      </c>
      <c r="B69" t="s">
        <v>149</v>
      </c>
      <c r="C69">
        <v>537</v>
      </c>
      <c r="D69" t="s">
        <v>89</v>
      </c>
      <c r="E69" t="str">
        <f t="shared" si="0"/>
        <v>00537</v>
      </c>
      <c r="F69" t="s">
        <v>86</v>
      </c>
      <c r="G69" t="s">
        <v>156</v>
      </c>
      <c r="H69" t="s">
        <v>157</v>
      </c>
      <c r="I69" t="s">
        <v>4</v>
      </c>
      <c r="J69" t="s">
        <v>158</v>
      </c>
      <c r="K69" t="s">
        <v>159</v>
      </c>
      <c r="L69">
        <v>251200020</v>
      </c>
      <c r="M69" s="84">
        <v>46000</v>
      </c>
      <c r="N69" s="84">
        <v>46000</v>
      </c>
      <c r="O69" t="s">
        <v>160</v>
      </c>
      <c r="P69" t="s">
        <v>161</v>
      </c>
      <c r="Q69">
        <v>14250</v>
      </c>
      <c r="R69">
        <v>20</v>
      </c>
      <c r="S69">
        <v>285000</v>
      </c>
      <c r="T69">
        <v>0</v>
      </c>
      <c r="U69">
        <v>0</v>
      </c>
      <c r="V69">
        <v>20</v>
      </c>
      <c r="W69">
        <v>285000</v>
      </c>
      <c r="X69">
        <v>3000</v>
      </c>
      <c r="Y69">
        <v>4000</v>
      </c>
      <c r="Z69">
        <v>0</v>
      </c>
      <c r="AA69">
        <v>0</v>
      </c>
      <c r="AB69">
        <v>0</v>
      </c>
      <c r="AC69">
        <v>7000</v>
      </c>
    </row>
    <row r="70" spans="1:29">
      <c r="A70">
        <v>62</v>
      </c>
      <c r="B70" t="s">
        <v>149</v>
      </c>
      <c r="C70">
        <v>1299</v>
      </c>
      <c r="D70" t="s">
        <v>334</v>
      </c>
      <c r="E70" t="str">
        <f t="shared" si="0"/>
        <v>01299</v>
      </c>
      <c r="F70" t="s">
        <v>83</v>
      </c>
      <c r="G70" t="s">
        <v>164</v>
      </c>
      <c r="H70" t="s">
        <v>151</v>
      </c>
      <c r="I70" t="s">
        <v>5</v>
      </c>
      <c r="J70" t="s">
        <v>152</v>
      </c>
      <c r="K70" t="s">
        <v>153</v>
      </c>
      <c r="L70">
        <v>251200021</v>
      </c>
      <c r="M70" s="84">
        <v>45993</v>
      </c>
      <c r="N70" s="84">
        <v>45993</v>
      </c>
      <c r="O70" t="s">
        <v>191</v>
      </c>
      <c r="P70" t="s">
        <v>192</v>
      </c>
      <c r="Q70">
        <v>4500</v>
      </c>
      <c r="R70">
        <v>120</v>
      </c>
      <c r="S70">
        <v>540000</v>
      </c>
      <c r="T70">
        <v>0</v>
      </c>
      <c r="U70">
        <v>0</v>
      </c>
      <c r="V70">
        <v>120</v>
      </c>
      <c r="W70">
        <v>540000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63</v>
      </c>
      <c r="B71" t="s">
        <v>149</v>
      </c>
      <c r="C71">
        <v>1299</v>
      </c>
      <c r="D71" t="s">
        <v>334</v>
      </c>
      <c r="E71" t="str">
        <f t="shared" si="0"/>
        <v>01299</v>
      </c>
      <c r="F71" t="s">
        <v>83</v>
      </c>
      <c r="G71" t="s">
        <v>164</v>
      </c>
      <c r="H71" t="s">
        <v>151</v>
      </c>
      <c r="I71" t="s">
        <v>4</v>
      </c>
      <c r="J71" t="s">
        <v>152</v>
      </c>
      <c r="K71" t="s">
        <v>153</v>
      </c>
      <c r="L71">
        <v>251200021</v>
      </c>
      <c r="M71" s="84">
        <v>45993</v>
      </c>
      <c r="N71" s="84">
        <v>45993</v>
      </c>
      <c r="O71" t="s">
        <v>160</v>
      </c>
      <c r="P71" t="s">
        <v>161</v>
      </c>
      <c r="Q71">
        <v>5500</v>
      </c>
      <c r="R71">
        <v>80</v>
      </c>
      <c r="S71">
        <v>440000</v>
      </c>
      <c r="T71">
        <v>0</v>
      </c>
      <c r="U71">
        <v>0</v>
      </c>
      <c r="V71">
        <v>80</v>
      </c>
      <c r="W71">
        <v>440000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>
        <v>64</v>
      </c>
      <c r="B72" t="s">
        <v>149</v>
      </c>
      <c r="C72">
        <v>1299</v>
      </c>
      <c r="D72" t="s">
        <v>334</v>
      </c>
      <c r="E72" t="str">
        <f t="shared" si="0"/>
        <v>01299</v>
      </c>
      <c r="F72" t="s">
        <v>83</v>
      </c>
      <c r="G72" t="s">
        <v>164</v>
      </c>
      <c r="H72" t="s">
        <v>151</v>
      </c>
      <c r="I72" t="s">
        <v>5</v>
      </c>
      <c r="J72" t="s">
        <v>152</v>
      </c>
      <c r="K72" t="s">
        <v>153</v>
      </c>
      <c r="L72">
        <v>251200021</v>
      </c>
      <c r="M72" s="84">
        <v>45993</v>
      </c>
      <c r="N72" s="84">
        <v>45993</v>
      </c>
      <c r="O72" t="s">
        <v>198</v>
      </c>
      <c r="P72" t="s">
        <v>199</v>
      </c>
      <c r="Q72">
        <v>4500</v>
      </c>
      <c r="R72">
        <v>20</v>
      </c>
      <c r="S72">
        <v>90000</v>
      </c>
      <c r="T72">
        <v>0</v>
      </c>
      <c r="U72">
        <v>0</v>
      </c>
      <c r="V72">
        <v>20</v>
      </c>
      <c r="W72">
        <v>90000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>
        <v>65</v>
      </c>
      <c r="B73" t="s">
        <v>149</v>
      </c>
      <c r="C73">
        <v>315</v>
      </c>
      <c r="D73" t="s">
        <v>85</v>
      </c>
      <c r="E73" t="str">
        <f t="shared" ref="E73:E136" si="1">TEXT(C73,"00000")</f>
        <v>00315</v>
      </c>
      <c r="F73" t="s">
        <v>83</v>
      </c>
      <c r="G73" t="s">
        <v>164</v>
      </c>
      <c r="H73" t="s">
        <v>151</v>
      </c>
      <c r="I73" t="s">
        <v>5</v>
      </c>
      <c r="J73" t="s">
        <v>158</v>
      </c>
      <c r="K73" t="s">
        <v>153</v>
      </c>
      <c r="L73">
        <v>251200021</v>
      </c>
      <c r="M73" s="84">
        <v>46002</v>
      </c>
      <c r="N73" s="84">
        <v>46002</v>
      </c>
      <c r="O73" t="s">
        <v>217</v>
      </c>
      <c r="P73" t="s">
        <v>218</v>
      </c>
      <c r="Q73">
        <v>11700</v>
      </c>
      <c r="R73">
        <v>110</v>
      </c>
      <c r="S73">
        <v>1287000</v>
      </c>
      <c r="T73">
        <v>0</v>
      </c>
      <c r="U73">
        <v>0</v>
      </c>
      <c r="V73">
        <v>110</v>
      </c>
      <c r="W73">
        <v>1287000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>
        <v>66</v>
      </c>
      <c r="B74" t="s">
        <v>149</v>
      </c>
      <c r="C74">
        <v>1300</v>
      </c>
      <c r="D74" t="s">
        <v>335</v>
      </c>
      <c r="E74" t="str">
        <f t="shared" si="1"/>
        <v>01300</v>
      </c>
      <c r="F74" t="s">
        <v>83</v>
      </c>
      <c r="G74" t="s">
        <v>164</v>
      </c>
      <c r="H74" t="s">
        <v>151</v>
      </c>
      <c r="I74" t="s">
        <v>4</v>
      </c>
      <c r="J74" t="s">
        <v>152</v>
      </c>
      <c r="K74" t="s">
        <v>153</v>
      </c>
      <c r="L74">
        <v>251200022</v>
      </c>
      <c r="M74" s="84">
        <v>45993</v>
      </c>
      <c r="N74" s="84">
        <v>45993</v>
      </c>
      <c r="O74" t="s">
        <v>160</v>
      </c>
      <c r="P74" t="s">
        <v>161</v>
      </c>
      <c r="Q74">
        <v>5500</v>
      </c>
      <c r="R74">
        <v>10</v>
      </c>
      <c r="S74">
        <v>55000</v>
      </c>
      <c r="T74">
        <v>0</v>
      </c>
      <c r="U74">
        <v>0</v>
      </c>
      <c r="V74">
        <v>10</v>
      </c>
      <c r="W74">
        <v>55000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>
        <v>67</v>
      </c>
      <c r="B75" t="s">
        <v>149</v>
      </c>
      <c r="C75">
        <v>1300</v>
      </c>
      <c r="D75" t="s">
        <v>335</v>
      </c>
      <c r="E75" t="str">
        <f t="shared" si="1"/>
        <v>01300</v>
      </c>
      <c r="F75" t="s">
        <v>83</v>
      </c>
      <c r="G75" t="s">
        <v>164</v>
      </c>
      <c r="H75" t="s">
        <v>151</v>
      </c>
      <c r="I75" t="s">
        <v>5</v>
      </c>
      <c r="J75" t="s">
        <v>152</v>
      </c>
      <c r="K75" t="s">
        <v>153</v>
      </c>
      <c r="L75">
        <v>251200022</v>
      </c>
      <c r="M75" s="84">
        <v>45993</v>
      </c>
      <c r="N75" s="84">
        <v>45993</v>
      </c>
      <c r="O75" t="s">
        <v>191</v>
      </c>
      <c r="P75" t="s">
        <v>192</v>
      </c>
      <c r="Q75">
        <v>4500</v>
      </c>
      <c r="R75">
        <v>20</v>
      </c>
      <c r="S75">
        <v>90000</v>
      </c>
      <c r="T75">
        <v>0</v>
      </c>
      <c r="U75">
        <v>0</v>
      </c>
      <c r="V75">
        <v>20</v>
      </c>
      <c r="W75">
        <v>90000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68</v>
      </c>
      <c r="B76" t="s">
        <v>149</v>
      </c>
      <c r="C76">
        <v>823</v>
      </c>
      <c r="D76" t="s">
        <v>54</v>
      </c>
      <c r="E76" t="str">
        <f t="shared" si="1"/>
        <v>00823</v>
      </c>
      <c r="F76" t="s">
        <v>49</v>
      </c>
      <c r="G76" t="s">
        <v>167</v>
      </c>
      <c r="H76" t="s">
        <v>151</v>
      </c>
      <c r="I76" t="s">
        <v>4</v>
      </c>
      <c r="J76" t="s">
        <v>158</v>
      </c>
      <c r="K76" t="s">
        <v>153</v>
      </c>
      <c r="L76">
        <v>251200022</v>
      </c>
      <c r="M76" s="84">
        <v>46002</v>
      </c>
      <c r="N76" s="84">
        <v>46002</v>
      </c>
      <c r="O76" t="s">
        <v>168</v>
      </c>
      <c r="P76" t="s">
        <v>169</v>
      </c>
      <c r="Q76">
        <v>14250</v>
      </c>
      <c r="R76">
        <v>12</v>
      </c>
      <c r="S76">
        <v>171000</v>
      </c>
      <c r="T76">
        <v>0</v>
      </c>
      <c r="U76">
        <v>0</v>
      </c>
      <c r="V76">
        <v>12</v>
      </c>
      <c r="W76">
        <v>171000</v>
      </c>
      <c r="X76">
        <v>1800</v>
      </c>
      <c r="Y76">
        <v>2400</v>
      </c>
      <c r="Z76">
        <v>0</v>
      </c>
      <c r="AA76">
        <v>0</v>
      </c>
      <c r="AB76">
        <v>0</v>
      </c>
      <c r="AC76">
        <v>4200</v>
      </c>
    </row>
    <row r="77" spans="1:29">
      <c r="A77">
        <v>69</v>
      </c>
      <c r="B77" t="s">
        <v>149</v>
      </c>
      <c r="C77">
        <v>827</v>
      </c>
      <c r="D77" t="s">
        <v>84</v>
      </c>
      <c r="E77" t="str">
        <f t="shared" si="1"/>
        <v>00827</v>
      </c>
      <c r="F77" t="s">
        <v>83</v>
      </c>
      <c r="G77" t="s">
        <v>164</v>
      </c>
      <c r="H77" t="s">
        <v>151</v>
      </c>
      <c r="I77" t="s">
        <v>4</v>
      </c>
      <c r="J77" t="s">
        <v>152</v>
      </c>
      <c r="K77" t="s">
        <v>153</v>
      </c>
      <c r="L77">
        <v>251200023</v>
      </c>
      <c r="M77" s="84">
        <v>45993</v>
      </c>
      <c r="N77" s="84">
        <v>45993</v>
      </c>
      <c r="O77" t="s">
        <v>177</v>
      </c>
      <c r="P77" t="s">
        <v>178</v>
      </c>
      <c r="Q77">
        <v>14250</v>
      </c>
      <c r="R77">
        <v>2</v>
      </c>
      <c r="S77">
        <v>28500</v>
      </c>
      <c r="T77">
        <v>0</v>
      </c>
      <c r="U77">
        <v>0</v>
      </c>
      <c r="V77">
        <v>2</v>
      </c>
      <c r="W77">
        <v>28500</v>
      </c>
      <c r="X77">
        <v>300</v>
      </c>
      <c r="Y77">
        <v>400</v>
      </c>
      <c r="Z77">
        <v>0</v>
      </c>
      <c r="AA77">
        <v>0</v>
      </c>
      <c r="AB77">
        <v>0</v>
      </c>
      <c r="AC77">
        <v>700</v>
      </c>
    </row>
    <row r="78" spans="1:29">
      <c r="A78">
        <v>70</v>
      </c>
      <c r="B78" t="s">
        <v>149</v>
      </c>
      <c r="C78">
        <v>1152</v>
      </c>
      <c r="D78" t="s">
        <v>58</v>
      </c>
      <c r="E78" t="str">
        <f t="shared" si="1"/>
        <v>01152</v>
      </c>
      <c r="F78" t="s">
        <v>49</v>
      </c>
      <c r="G78" t="s">
        <v>167</v>
      </c>
      <c r="H78" t="s">
        <v>151</v>
      </c>
      <c r="I78" t="s">
        <v>4</v>
      </c>
      <c r="J78" t="s">
        <v>158</v>
      </c>
      <c r="K78" t="s">
        <v>153</v>
      </c>
      <c r="L78">
        <v>251200023</v>
      </c>
      <c r="M78" s="84">
        <v>46002</v>
      </c>
      <c r="N78" s="84">
        <v>46002</v>
      </c>
      <c r="O78" t="s">
        <v>160</v>
      </c>
      <c r="P78" t="s">
        <v>161</v>
      </c>
      <c r="Q78">
        <v>14250</v>
      </c>
      <c r="R78">
        <v>20</v>
      </c>
      <c r="S78">
        <v>285000</v>
      </c>
      <c r="T78">
        <v>0</v>
      </c>
      <c r="U78">
        <v>0</v>
      </c>
      <c r="V78">
        <v>20</v>
      </c>
      <c r="W78">
        <v>285000</v>
      </c>
      <c r="X78">
        <v>3000</v>
      </c>
      <c r="Y78">
        <v>4000</v>
      </c>
      <c r="Z78">
        <v>0</v>
      </c>
      <c r="AA78">
        <v>0</v>
      </c>
      <c r="AB78">
        <v>0</v>
      </c>
      <c r="AC78">
        <v>7000</v>
      </c>
    </row>
    <row r="79" spans="1:29">
      <c r="A79">
        <v>71</v>
      </c>
      <c r="B79" t="s">
        <v>149</v>
      </c>
      <c r="C79">
        <v>1249</v>
      </c>
      <c r="D79" t="s">
        <v>74</v>
      </c>
      <c r="E79" t="str">
        <f t="shared" si="1"/>
        <v>01249</v>
      </c>
      <c r="F79" t="s">
        <v>73</v>
      </c>
      <c r="G79" t="s">
        <v>185</v>
      </c>
      <c r="H79" t="s">
        <v>151</v>
      </c>
      <c r="I79" t="s">
        <v>4</v>
      </c>
      <c r="J79" t="s">
        <v>158</v>
      </c>
      <c r="K79" t="s">
        <v>153</v>
      </c>
      <c r="L79">
        <v>251200024</v>
      </c>
      <c r="M79" s="84">
        <v>46002</v>
      </c>
      <c r="N79" s="84">
        <v>46002</v>
      </c>
      <c r="O79" t="s">
        <v>215</v>
      </c>
      <c r="P79" t="s">
        <v>216</v>
      </c>
      <c r="Q79">
        <v>14250</v>
      </c>
      <c r="R79">
        <v>5</v>
      </c>
      <c r="S79">
        <v>71250</v>
      </c>
      <c r="T79">
        <v>0</v>
      </c>
      <c r="U79">
        <v>0</v>
      </c>
      <c r="V79">
        <v>5</v>
      </c>
      <c r="W79">
        <v>71250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>
        <v>72</v>
      </c>
      <c r="B80" t="s">
        <v>149</v>
      </c>
      <c r="C80">
        <v>1292</v>
      </c>
      <c r="D80" t="s">
        <v>336</v>
      </c>
      <c r="E80" t="str">
        <f t="shared" si="1"/>
        <v>01292</v>
      </c>
      <c r="F80" t="s">
        <v>73</v>
      </c>
      <c r="G80" t="s">
        <v>185</v>
      </c>
      <c r="H80" t="s">
        <v>151</v>
      </c>
      <c r="I80" t="s">
        <v>4</v>
      </c>
      <c r="J80" t="s">
        <v>152</v>
      </c>
      <c r="K80" t="s">
        <v>153</v>
      </c>
      <c r="L80">
        <v>251200024</v>
      </c>
      <c r="M80" s="84">
        <v>45993</v>
      </c>
      <c r="N80" s="84">
        <v>45993</v>
      </c>
      <c r="O80" t="s">
        <v>256</v>
      </c>
      <c r="P80" t="s">
        <v>257</v>
      </c>
      <c r="Q80">
        <v>5500</v>
      </c>
      <c r="R80">
        <v>20</v>
      </c>
      <c r="S80">
        <v>110000</v>
      </c>
      <c r="T80">
        <v>0</v>
      </c>
      <c r="U80">
        <v>0</v>
      </c>
      <c r="V80">
        <v>20</v>
      </c>
      <c r="W80">
        <v>110000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>
        <v>73</v>
      </c>
      <c r="B81" t="s">
        <v>149</v>
      </c>
      <c r="C81">
        <v>1292</v>
      </c>
      <c r="D81" t="s">
        <v>336</v>
      </c>
      <c r="E81" t="str">
        <f t="shared" si="1"/>
        <v>01292</v>
      </c>
      <c r="F81" t="s">
        <v>73</v>
      </c>
      <c r="G81" t="s">
        <v>185</v>
      </c>
      <c r="H81" t="s">
        <v>151</v>
      </c>
      <c r="I81" t="s">
        <v>4</v>
      </c>
      <c r="J81" t="s">
        <v>152</v>
      </c>
      <c r="K81" t="s">
        <v>153</v>
      </c>
      <c r="L81">
        <v>251200024</v>
      </c>
      <c r="M81" s="84">
        <v>45993</v>
      </c>
      <c r="N81" s="84">
        <v>45993</v>
      </c>
      <c r="O81" t="s">
        <v>160</v>
      </c>
      <c r="P81" t="s">
        <v>161</v>
      </c>
      <c r="Q81">
        <v>5500</v>
      </c>
      <c r="R81">
        <v>70</v>
      </c>
      <c r="S81">
        <v>385000</v>
      </c>
      <c r="T81">
        <v>0</v>
      </c>
      <c r="U81">
        <v>0</v>
      </c>
      <c r="V81">
        <v>70</v>
      </c>
      <c r="W81">
        <v>385000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>
        <v>74</v>
      </c>
      <c r="B82" t="s">
        <v>149</v>
      </c>
      <c r="C82">
        <v>1292</v>
      </c>
      <c r="D82" t="s">
        <v>336</v>
      </c>
      <c r="E82" t="str">
        <f t="shared" si="1"/>
        <v>01292</v>
      </c>
      <c r="F82" t="s">
        <v>73</v>
      </c>
      <c r="G82" t="s">
        <v>185</v>
      </c>
      <c r="H82" t="s">
        <v>151</v>
      </c>
      <c r="I82" t="s">
        <v>4</v>
      </c>
      <c r="J82" t="s">
        <v>152</v>
      </c>
      <c r="K82" t="s">
        <v>153</v>
      </c>
      <c r="L82">
        <v>251200024</v>
      </c>
      <c r="M82" s="84">
        <v>45993</v>
      </c>
      <c r="N82" s="84">
        <v>45993</v>
      </c>
      <c r="O82" t="s">
        <v>243</v>
      </c>
      <c r="P82" t="s">
        <v>244</v>
      </c>
      <c r="Q82">
        <v>5700</v>
      </c>
      <c r="R82">
        <v>30</v>
      </c>
      <c r="S82">
        <v>171000</v>
      </c>
      <c r="T82">
        <v>0</v>
      </c>
      <c r="U82">
        <v>0</v>
      </c>
      <c r="V82">
        <v>30</v>
      </c>
      <c r="W82">
        <v>171000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75</v>
      </c>
      <c r="B83" t="s">
        <v>149</v>
      </c>
      <c r="C83">
        <v>134</v>
      </c>
      <c r="D83" t="s">
        <v>79</v>
      </c>
      <c r="E83" t="str">
        <f t="shared" si="1"/>
        <v>00134</v>
      </c>
      <c r="F83" t="s">
        <v>73</v>
      </c>
      <c r="G83" t="s">
        <v>185</v>
      </c>
      <c r="H83" t="s">
        <v>151</v>
      </c>
      <c r="I83" t="s">
        <v>4</v>
      </c>
      <c r="J83" t="s">
        <v>152</v>
      </c>
      <c r="K83" t="s">
        <v>153</v>
      </c>
      <c r="L83">
        <v>251200025</v>
      </c>
      <c r="M83" s="84">
        <v>45993</v>
      </c>
      <c r="N83" s="84">
        <v>45993</v>
      </c>
      <c r="O83" t="s">
        <v>154</v>
      </c>
      <c r="P83" t="s">
        <v>155</v>
      </c>
      <c r="Q83">
        <v>14250</v>
      </c>
      <c r="R83">
        <v>8</v>
      </c>
      <c r="S83">
        <v>114000</v>
      </c>
      <c r="T83">
        <v>0</v>
      </c>
      <c r="U83">
        <v>0</v>
      </c>
      <c r="V83">
        <v>8</v>
      </c>
      <c r="W83">
        <v>114000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>
        <v>76</v>
      </c>
      <c r="B84" t="s">
        <v>149</v>
      </c>
      <c r="C84">
        <v>134</v>
      </c>
      <c r="D84" t="s">
        <v>79</v>
      </c>
      <c r="E84" t="str">
        <f t="shared" si="1"/>
        <v>00134</v>
      </c>
      <c r="F84" t="s">
        <v>73</v>
      </c>
      <c r="G84" t="s">
        <v>185</v>
      </c>
      <c r="H84" t="s">
        <v>151</v>
      </c>
      <c r="I84" t="s">
        <v>4</v>
      </c>
      <c r="J84" t="s">
        <v>152</v>
      </c>
      <c r="K84" t="s">
        <v>153</v>
      </c>
      <c r="L84">
        <v>251200025</v>
      </c>
      <c r="M84" s="84">
        <v>45993</v>
      </c>
      <c r="N84" s="84">
        <v>45993</v>
      </c>
      <c r="O84" t="s">
        <v>219</v>
      </c>
      <c r="P84" t="s">
        <v>220</v>
      </c>
      <c r="Q84">
        <v>14250</v>
      </c>
      <c r="R84">
        <v>20</v>
      </c>
      <c r="S84">
        <v>285000</v>
      </c>
      <c r="T84">
        <v>0</v>
      </c>
      <c r="U84">
        <v>0</v>
      </c>
      <c r="V84">
        <v>20</v>
      </c>
      <c r="W84">
        <v>285000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>
        <v>77</v>
      </c>
      <c r="B85" t="s">
        <v>149</v>
      </c>
      <c r="C85">
        <v>1508</v>
      </c>
      <c r="D85" t="s">
        <v>99</v>
      </c>
      <c r="E85" t="str">
        <f t="shared" si="1"/>
        <v>01508</v>
      </c>
      <c r="F85" t="s">
        <v>95</v>
      </c>
      <c r="G85" t="s">
        <v>187</v>
      </c>
      <c r="H85" t="s">
        <v>188</v>
      </c>
      <c r="I85" t="s">
        <v>4</v>
      </c>
      <c r="J85" t="s">
        <v>158</v>
      </c>
      <c r="K85" t="s">
        <v>174</v>
      </c>
      <c r="L85">
        <v>251200025</v>
      </c>
      <c r="M85" s="84">
        <v>46002</v>
      </c>
      <c r="N85" s="84">
        <v>46002</v>
      </c>
      <c r="O85" t="s">
        <v>200</v>
      </c>
      <c r="P85" t="s">
        <v>201</v>
      </c>
      <c r="Q85">
        <v>13400</v>
      </c>
      <c r="R85">
        <v>5</v>
      </c>
      <c r="S85">
        <v>67000</v>
      </c>
      <c r="T85">
        <v>0</v>
      </c>
      <c r="U85">
        <v>0</v>
      </c>
      <c r="V85">
        <v>5</v>
      </c>
      <c r="W85">
        <v>67000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>
        <v>78</v>
      </c>
      <c r="B86" t="s">
        <v>149</v>
      </c>
      <c r="C86">
        <v>134</v>
      </c>
      <c r="D86" t="s">
        <v>79</v>
      </c>
      <c r="E86" t="str">
        <f t="shared" si="1"/>
        <v>00134</v>
      </c>
      <c r="F86" t="s">
        <v>73</v>
      </c>
      <c r="G86" t="s">
        <v>185</v>
      </c>
      <c r="H86" t="s">
        <v>151</v>
      </c>
      <c r="I86" t="s">
        <v>4</v>
      </c>
      <c r="J86" t="s">
        <v>152</v>
      </c>
      <c r="K86" t="s">
        <v>153</v>
      </c>
      <c r="L86">
        <v>251200025</v>
      </c>
      <c r="M86" s="84">
        <v>45993</v>
      </c>
      <c r="N86" s="84">
        <v>45993</v>
      </c>
      <c r="O86" t="s">
        <v>179</v>
      </c>
      <c r="P86" t="s">
        <v>180</v>
      </c>
      <c r="Q86">
        <v>14250</v>
      </c>
      <c r="R86">
        <v>20</v>
      </c>
      <c r="S86">
        <v>285000</v>
      </c>
      <c r="T86">
        <v>0</v>
      </c>
      <c r="U86">
        <v>0</v>
      </c>
      <c r="V86">
        <v>20</v>
      </c>
      <c r="W86">
        <v>285000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>
        <v>79</v>
      </c>
      <c r="B87" t="s">
        <v>149</v>
      </c>
      <c r="C87">
        <v>1149</v>
      </c>
      <c r="D87" t="s">
        <v>55</v>
      </c>
      <c r="E87" t="str">
        <f t="shared" si="1"/>
        <v>01149</v>
      </c>
      <c r="F87" t="s">
        <v>49</v>
      </c>
      <c r="G87" t="s">
        <v>167</v>
      </c>
      <c r="H87" t="s">
        <v>151</v>
      </c>
      <c r="I87" t="s">
        <v>4</v>
      </c>
      <c r="J87" t="s">
        <v>152</v>
      </c>
      <c r="K87" t="s">
        <v>153</v>
      </c>
      <c r="L87">
        <v>251200026</v>
      </c>
      <c r="M87" s="84">
        <v>45993</v>
      </c>
      <c r="N87" s="84">
        <v>45993</v>
      </c>
      <c r="O87" t="s">
        <v>221</v>
      </c>
      <c r="P87" t="s">
        <v>222</v>
      </c>
      <c r="Q87">
        <v>14250</v>
      </c>
      <c r="R87">
        <v>10</v>
      </c>
      <c r="S87">
        <v>142500</v>
      </c>
      <c r="T87">
        <v>0</v>
      </c>
      <c r="U87">
        <v>0</v>
      </c>
      <c r="V87">
        <v>10</v>
      </c>
      <c r="W87">
        <v>142500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>
        <v>80</v>
      </c>
      <c r="B88" t="s">
        <v>149</v>
      </c>
      <c r="C88">
        <v>618</v>
      </c>
      <c r="D88" t="s">
        <v>66</v>
      </c>
      <c r="E88" t="str">
        <f t="shared" si="1"/>
        <v>00618</v>
      </c>
      <c r="F88" t="s">
        <v>65</v>
      </c>
      <c r="G88" t="s">
        <v>208</v>
      </c>
      <c r="H88" t="s">
        <v>157</v>
      </c>
      <c r="I88" t="s">
        <v>4</v>
      </c>
      <c r="J88" t="s">
        <v>158</v>
      </c>
      <c r="K88" t="s">
        <v>174</v>
      </c>
      <c r="L88">
        <v>251200026</v>
      </c>
      <c r="M88" s="84">
        <v>46002</v>
      </c>
      <c r="N88" s="84">
        <v>46002</v>
      </c>
      <c r="O88" t="s">
        <v>168</v>
      </c>
      <c r="P88" t="s">
        <v>169</v>
      </c>
      <c r="Q88">
        <v>14250</v>
      </c>
      <c r="R88">
        <v>5</v>
      </c>
      <c r="S88">
        <v>71250</v>
      </c>
      <c r="T88">
        <v>0</v>
      </c>
      <c r="U88">
        <v>0</v>
      </c>
      <c r="V88">
        <v>5</v>
      </c>
      <c r="W88">
        <v>71250</v>
      </c>
      <c r="X88">
        <v>750</v>
      </c>
      <c r="Y88">
        <v>1000</v>
      </c>
      <c r="Z88">
        <v>0</v>
      </c>
      <c r="AA88">
        <v>0</v>
      </c>
      <c r="AB88">
        <v>0</v>
      </c>
      <c r="AC88">
        <v>1750</v>
      </c>
    </row>
    <row r="89" spans="1:29">
      <c r="A89">
        <v>81</v>
      </c>
      <c r="B89" t="s">
        <v>149</v>
      </c>
      <c r="C89">
        <v>337</v>
      </c>
      <c r="D89" t="s">
        <v>57</v>
      </c>
      <c r="E89" t="str">
        <f t="shared" si="1"/>
        <v>00337</v>
      </c>
      <c r="F89" t="s">
        <v>49</v>
      </c>
      <c r="G89" t="s">
        <v>167</v>
      </c>
      <c r="H89" t="s">
        <v>151</v>
      </c>
      <c r="I89" t="s">
        <v>4</v>
      </c>
      <c r="J89" t="s">
        <v>152</v>
      </c>
      <c r="K89" t="s">
        <v>153</v>
      </c>
      <c r="L89">
        <v>251200027</v>
      </c>
      <c r="M89" s="84">
        <v>45993</v>
      </c>
      <c r="N89" s="84">
        <v>45993</v>
      </c>
      <c r="O89" t="s">
        <v>160</v>
      </c>
      <c r="P89" t="s">
        <v>161</v>
      </c>
      <c r="Q89">
        <v>14250</v>
      </c>
      <c r="R89">
        <v>20</v>
      </c>
      <c r="S89">
        <v>285000</v>
      </c>
      <c r="T89">
        <v>0</v>
      </c>
      <c r="U89">
        <v>0</v>
      </c>
      <c r="V89">
        <v>20</v>
      </c>
      <c r="W89">
        <v>285000</v>
      </c>
      <c r="X89">
        <v>3000</v>
      </c>
      <c r="Y89">
        <v>4000</v>
      </c>
      <c r="Z89">
        <v>0</v>
      </c>
      <c r="AA89">
        <v>0</v>
      </c>
      <c r="AB89">
        <v>0</v>
      </c>
      <c r="AC89">
        <v>7000</v>
      </c>
    </row>
    <row r="90" spans="1:29">
      <c r="A90">
        <v>82</v>
      </c>
      <c r="B90" t="s">
        <v>149</v>
      </c>
      <c r="C90">
        <v>337</v>
      </c>
      <c r="D90" t="s">
        <v>57</v>
      </c>
      <c r="E90" t="str">
        <f t="shared" si="1"/>
        <v>00337</v>
      </c>
      <c r="F90" t="s">
        <v>49</v>
      </c>
      <c r="G90" t="s">
        <v>167</v>
      </c>
      <c r="H90" t="s">
        <v>151</v>
      </c>
      <c r="I90" t="s">
        <v>4</v>
      </c>
      <c r="J90" t="s">
        <v>152</v>
      </c>
      <c r="K90" t="s">
        <v>153</v>
      </c>
      <c r="L90">
        <v>251200027</v>
      </c>
      <c r="M90" s="84">
        <v>45993</v>
      </c>
      <c r="N90" s="84">
        <v>45993</v>
      </c>
      <c r="O90" t="s">
        <v>219</v>
      </c>
      <c r="P90" t="s">
        <v>220</v>
      </c>
      <c r="Q90">
        <v>14250</v>
      </c>
      <c r="R90">
        <v>10</v>
      </c>
      <c r="S90">
        <v>142500</v>
      </c>
      <c r="T90">
        <v>0</v>
      </c>
      <c r="U90">
        <v>0</v>
      </c>
      <c r="V90">
        <v>10</v>
      </c>
      <c r="W90">
        <v>142500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>
        <v>83</v>
      </c>
      <c r="B91" t="s">
        <v>149</v>
      </c>
      <c r="C91">
        <v>1249</v>
      </c>
      <c r="D91" t="s">
        <v>74</v>
      </c>
      <c r="E91" t="str">
        <f t="shared" si="1"/>
        <v>01249</v>
      </c>
      <c r="F91" t="s">
        <v>73</v>
      </c>
      <c r="G91" t="s">
        <v>185</v>
      </c>
      <c r="H91" t="s">
        <v>151</v>
      </c>
      <c r="I91" t="s">
        <v>4</v>
      </c>
      <c r="J91" t="s">
        <v>158</v>
      </c>
      <c r="K91" t="s">
        <v>153</v>
      </c>
      <c r="L91">
        <v>251200027</v>
      </c>
      <c r="M91" s="84">
        <v>46002</v>
      </c>
      <c r="N91" s="84">
        <v>46002</v>
      </c>
      <c r="O91" t="s">
        <v>215</v>
      </c>
      <c r="P91" t="s">
        <v>216</v>
      </c>
      <c r="Q91">
        <v>14250</v>
      </c>
      <c r="R91">
        <v>5</v>
      </c>
      <c r="S91">
        <v>71250</v>
      </c>
      <c r="T91">
        <v>0</v>
      </c>
      <c r="U91">
        <v>0</v>
      </c>
      <c r="V91">
        <v>5</v>
      </c>
      <c r="W91">
        <v>71250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>
        <v>84</v>
      </c>
      <c r="B92" t="s">
        <v>149</v>
      </c>
      <c r="C92">
        <v>1493</v>
      </c>
      <c r="D92" t="s">
        <v>69</v>
      </c>
      <c r="E92" t="str">
        <f t="shared" si="1"/>
        <v>01493</v>
      </c>
      <c r="F92" t="s">
        <v>65</v>
      </c>
      <c r="G92" t="s">
        <v>208</v>
      </c>
      <c r="H92" t="s">
        <v>157</v>
      </c>
      <c r="I92" t="s">
        <v>4</v>
      </c>
      <c r="J92" t="s">
        <v>158</v>
      </c>
      <c r="K92" t="s">
        <v>174</v>
      </c>
      <c r="L92">
        <v>251200028</v>
      </c>
      <c r="M92" s="84">
        <v>46002</v>
      </c>
      <c r="N92" s="84">
        <v>46002</v>
      </c>
      <c r="O92" t="s">
        <v>160</v>
      </c>
      <c r="P92" t="s">
        <v>161</v>
      </c>
      <c r="Q92">
        <v>14250</v>
      </c>
      <c r="R92">
        <v>30</v>
      </c>
      <c r="S92">
        <v>427500</v>
      </c>
      <c r="T92">
        <v>0</v>
      </c>
      <c r="U92">
        <v>0</v>
      </c>
      <c r="V92">
        <v>30</v>
      </c>
      <c r="W92">
        <v>427500</v>
      </c>
      <c r="X92">
        <v>4500</v>
      </c>
      <c r="Y92">
        <v>6000</v>
      </c>
      <c r="Z92">
        <v>0</v>
      </c>
      <c r="AA92">
        <v>0</v>
      </c>
      <c r="AB92">
        <v>0</v>
      </c>
      <c r="AC92">
        <v>10500</v>
      </c>
    </row>
    <row r="93" spans="1:29">
      <c r="A93">
        <v>85</v>
      </c>
      <c r="B93" t="s">
        <v>149</v>
      </c>
      <c r="C93">
        <v>1550</v>
      </c>
      <c r="D93" t="s">
        <v>337</v>
      </c>
      <c r="E93" t="str">
        <f t="shared" si="1"/>
        <v>01550</v>
      </c>
      <c r="F93" t="s">
        <v>15</v>
      </c>
      <c r="G93" t="s">
        <v>193</v>
      </c>
      <c r="H93" t="s">
        <v>151</v>
      </c>
      <c r="I93" t="s">
        <v>5</v>
      </c>
      <c r="J93" t="s">
        <v>152</v>
      </c>
      <c r="K93" t="s">
        <v>153</v>
      </c>
      <c r="L93">
        <v>251200028</v>
      </c>
      <c r="M93" s="84">
        <v>45993</v>
      </c>
      <c r="N93" s="84">
        <v>45993</v>
      </c>
      <c r="O93" t="s">
        <v>253</v>
      </c>
      <c r="P93" t="s">
        <v>254</v>
      </c>
      <c r="Q93">
        <v>4500</v>
      </c>
      <c r="R93">
        <v>16</v>
      </c>
      <c r="S93">
        <v>72000</v>
      </c>
      <c r="T93">
        <v>0</v>
      </c>
      <c r="U93">
        <v>0</v>
      </c>
      <c r="V93">
        <v>16</v>
      </c>
      <c r="W93">
        <v>72000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>
        <v>86</v>
      </c>
      <c r="B94" t="s">
        <v>149</v>
      </c>
      <c r="C94">
        <v>1550</v>
      </c>
      <c r="D94" t="s">
        <v>337</v>
      </c>
      <c r="E94" t="str">
        <f t="shared" si="1"/>
        <v>01550</v>
      </c>
      <c r="F94" t="s">
        <v>15</v>
      </c>
      <c r="G94" t="s">
        <v>193</v>
      </c>
      <c r="H94" t="s">
        <v>151</v>
      </c>
      <c r="I94" t="s">
        <v>5</v>
      </c>
      <c r="J94" t="s">
        <v>152</v>
      </c>
      <c r="K94" t="s">
        <v>153</v>
      </c>
      <c r="L94">
        <v>251200028</v>
      </c>
      <c r="M94" s="84">
        <v>45993</v>
      </c>
      <c r="N94" s="84">
        <v>45993</v>
      </c>
      <c r="O94" t="s">
        <v>191</v>
      </c>
      <c r="P94" t="s">
        <v>192</v>
      </c>
      <c r="Q94">
        <v>4500</v>
      </c>
      <c r="R94">
        <v>32</v>
      </c>
      <c r="S94">
        <v>144000</v>
      </c>
      <c r="T94">
        <v>0</v>
      </c>
      <c r="U94">
        <v>0</v>
      </c>
      <c r="V94">
        <v>32</v>
      </c>
      <c r="W94">
        <v>144000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>
        <v>87</v>
      </c>
      <c r="B95" t="s">
        <v>149</v>
      </c>
      <c r="C95">
        <v>1326</v>
      </c>
      <c r="D95" t="s">
        <v>338</v>
      </c>
      <c r="E95" t="str">
        <f t="shared" si="1"/>
        <v>01326</v>
      </c>
      <c r="F95" t="s">
        <v>15</v>
      </c>
      <c r="G95" t="s">
        <v>193</v>
      </c>
      <c r="H95" t="s">
        <v>151</v>
      </c>
      <c r="I95" t="s">
        <v>5</v>
      </c>
      <c r="J95" t="s">
        <v>152</v>
      </c>
      <c r="K95" t="s">
        <v>153</v>
      </c>
      <c r="L95">
        <v>251200029</v>
      </c>
      <c r="M95" s="84">
        <v>45993</v>
      </c>
      <c r="N95" s="84">
        <v>45993</v>
      </c>
      <c r="O95" t="s">
        <v>191</v>
      </c>
      <c r="P95" t="s">
        <v>192</v>
      </c>
      <c r="Q95">
        <v>4500</v>
      </c>
      <c r="R95">
        <v>28</v>
      </c>
      <c r="S95">
        <v>126000</v>
      </c>
      <c r="T95">
        <v>0</v>
      </c>
      <c r="U95">
        <v>0</v>
      </c>
      <c r="V95">
        <v>28</v>
      </c>
      <c r="W95">
        <v>126000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>
        <v>88</v>
      </c>
      <c r="B96" t="s">
        <v>149</v>
      </c>
      <c r="C96">
        <v>1326</v>
      </c>
      <c r="D96" t="s">
        <v>338</v>
      </c>
      <c r="E96" t="str">
        <f t="shared" si="1"/>
        <v>01326</v>
      </c>
      <c r="F96" t="s">
        <v>15</v>
      </c>
      <c r="G96" t="s">
        <v>193</v>
      </c>
      <c r="H96" t="s">
        <v>151</v>
      </c>
      <c r="I96" t="s">
        <v>5</v>
      </c>
      <c r="J96" t="s">
        <v>152</v>
      </c>
      <c r="K96" t="s">
        <v>153</v>
      </c>
      <c r="L96">
        <v>251200029</v>
      </c>
      <c r="M96" s="84">
        <v>45993</v>
      </c>
      <c r="N96" s="84">
        <v>45993</v>
      </c>
      <c r="O96" t="s">
        <v>198</v>
      </c>
      <c r="P96" t="s">
        <v>199</v>
      </c>
      <c r="Q96">
        <v>4500</v>
      </c>
      <c r="R96">
        <v>12</v>
      </c>
      <c r="S96">
        <v>54000</v>
      </c>
      <c r="T96">
        <v>0</v>
      </c>
      <c r="U96">
        <v>0</v>
      </c>
      <c r="V96">
        <v>12</v>
      </c>
      <c r="W96">
        <v>54000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>
        <v>89</v>
      </c>
      <c r="B97" t="s">
        <v>149</v>
      </c>
      <c r="C97">
        <v>1326</v>
      </c>
      <c r="D97" t="s">
        <v>338</v>
      </c>
      <c r="E97" t="str">
        <f t="shared" si="1"/>
        <v>01326</v>
      </c>
      <c r="F97" t="s">
        <v>15</v>
      </c>
      <c r="G97" t="s">
        <v>193</v>
      </c>
      <c r="H97" t="s">
        <v>151</v>
      </c>
      <c r="I97" t="s">
        <v>4</v>
      </c>
      <c r="J97" t="s">
        <v>152</v>
      </c>
      <c r="K97" t="s">
        <v>153</v>
      </c>
      <c r="L97">
        <v>251200029</v>
      </c>
      <c r="M97" s="84">
        <v>45993</v>
      </c>
      <c r="N97" s="84">
        <v>45993</v>
      </c>
      <c r="O97" t="s">
        <v>160</v>
      </c>
      <c r="P97" t="s">
        <v>161</v>
      </c>
      <c r="Q97">
        <v>5500</v>
      </c>
      <c r="R97">
        <v>20</v>
      </c>
      <c r="S97">
        <v>110000</v>
      </c>
      <c r="T97">
        <v>0</v>
      </c>
      <c r="U97">
        <v>0</v>
      </c>
      <c r="V97">
        <v>20</v>
      </c>
      <c r="W97">
        <v>110000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>
      <c r="A98">
        <v>90</v>
      </c>
      <c r="B98" t="s">
        <v>149</v>
      </c>
      <c r="C98">
        <v>615</v>
      </c>
      <c r="D98" t="s">
        <v>39</v>
      </c>
      <c r="E98" t="str">
        <f t="shared" si="1"/>
        <v>00615</v>
      </c>
      <c r="F98" t="s">
        <v>38</v>
      </c>
      <c r="G98" t="s">
        <v>202</v>
      </c>
      <c r="H98" t="s">
        <v>157</v>
      </c>
      <c r="I98" t="s">
        <v>4</v>
      </c>
      <c r="J98" t="s">
        <v>158</v>
      </c>
      <c r="K98" t="s">
        <v>203</v>
      </c>
      <c r="L98">
        <v>251200029</v>
      </c>
      <c r="M98" s="84">
        <v>46004</v>
      </c>
      <c r="N98" s="84">
        <v>46004</v>
      </c>
      <c r="O98" t="s">
        <v>223</v>
      </c>
      <c r="P98" t="s">
        <v>224</v>
      </c>
      <c r="Q98">
        <v>14250</v>
      </c>
      <c r="R98">
        <v>10</v>
      </c>
      <c r="S98">
        <v>142500</v>
      </c>
      <c r="T98">
        <v>0</v>
      </c>
      <c r="U98">
        <v>0</v>
      </c>
      <c r="V98">
        <v>10</v>
      </c>
      <c r="W98">
        <v>142500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>
      <c r="A99">
        <v>91</v>
      </c>
      <c r="B99" t="s">
        <v>149</v>
      </c>
      <c r="C99">
        <v>1326</v>
      </c>
      <c r="D99" t="s">
        <v>338</v>
      </c>
      <c r="E99" t="str">
        <f t="shared" si="1"/>
        <v>01326</v>
      </c>
      <c r="F99" t="s">
        <v>15</v>
      </c>
      <c r="G99" t="s">
        <v>193</v>
      </c>
      <c r="H99" t="s">
        <v>151</v>
      </c>
      <c r="I99" t="s">
        <v>5</v>
      </c>
      <c r="J99" t="s">
        <v>152</v>
      </c>
      <c r="K99" t="s">
        <v>153</v>
      </c>
      <c r="L99">
        <v>251200029</v>
      </c>
      <c r="M99" s="84">
        <v>45993</v>
      </c>
      <c r="N99" s="84">
        <v>45993</v>
      </c>
      <c r="O99" t="s">
        <v>339</v>
      </c>
      <c r="P99" t="s">
        <v>340</v>
      </c>
      <c r="Q99">
        <v>4500</v>
      </c>
      <c r="R99">
        <v>20</v>
      </c>
      <c r="S99">
        <v>90000</v>
      </c>
      <c r="T99">
        <v>0</v>
      </c>
      <c r="U99">
        <v>0</v>
      </c>
      <c r="V99">
        <v>20</v>
      </c>
      <c r="W99">
        <v>90000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>
        <v>92</v>
      </c>
      <c r="B100" t="s">
        <v>149</v>
      </c>
      <c r="C100">
        <v>615</v>
      </c>
      <c r="D100" t="s">
        <v>39</v>
      </c>
      <c r="E100" t="str">
        <f t="shared" si="1"/>
        <v>00615</v>
      </c>
      <c r="F100" t="s">
        <v>38</v>
      </c>
      <c r="G100" t="s">
        <v>202</v>
      </c>
      <c r="H100" t="s">
        <v>157</v>
      </c>
      <c r="I100" t="s">
        <v>4</v>
      </c>
      <c r="J100" t="s">
        <v>158</v>
      </c>
      <c r="K100" t="s">
        <v>203</v>
      </c>
      <c r="L100">
        <v>251200030</v>
      </c>
      <c r="M100" s="84">
        <v>46004</v>
      </c>
      <c r="N100" s="84">
        <v>46004</v>
      </c>
      <c r="O100" t="s">
        <v>225</v>
      </c>
      <c r="P100" t="s">
        <v>226</v>
      </c>
      <c r="Q100">
        <v>14250</v>
      </c>
      <c r="R100">
        <v>20</v>
      </c>
      <c r="S100">
        <v>285000</v>
      </c>
      <c r="T100">
        <v>0</v>
      </c>
      <c r="U100">
        <v>0</v>
      </c>
      <c r="V100">
        <v>20</v>
      </c>
      <c r="W100">
        <v>285000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>
        <v>93</v>
      </c>
      <c r="B101" t="s">
        <v>149</v>
      </c>
      <c r="C101">
        <v>1550</v>
      </c>
      <c r="D101" t="s">
        <v>337</v>
      </c>
      <c r="E101" t="str">
        <f t="shared" si="1"/>
        <v>01550</v>
      </c>
      <c r="F101" t="s">
        <v>15</v>
      </c>
      <c r="G101" t="s">
        <v>193</v>
      </c>
      <c r="H101" t="s">
        <v>151</v>
      </c>
      <c r="I101" t="s">
        <v>4</v>
      </c>
      <c r="J101" t="s">
        <v>152</v>
      </c>
      <c r="K101" t="s">
        <v>153</v>
      </c>
      <c r="L101">
        <v>251200030</v>
      </c>
      <c r="M101" s="84">
        <v>45993</v>
      </c>
      <c r="N101" s="84">
        <v>45993</v>
      </c>
      <c r="O101" t="s">
        <v>177</v>
      </c>
      <c r="P101" t="s">
        <v>178</v>
      </c>
      <c r="Q101">
        <v>5500</v>
      </c>
      <c r="R101">
        <v>20</v>
      </c>
      <c r="S101">
        <v>110000</v>
      </c>
      <c r="T101">
        <v>0</v>
      </c>
      <c r="U101">
        <v>0</v>
      </c>
      <c r="V101">
        <v>20</v>
      </c>
      <c r="W101">
        <v>110000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>
        <v>94</v>
      </c>
      <c r="B102" t="s">
        <v>149</v>
      </c>
      <c r="C102">
        <v>1550</v>
      </c>
      <c r="D102" t="s">
        <v>337</v>
      </c>
      <c r="E102" t="str">
        <f t="shared" si="1"/>
        <v>01550</v>
      </c>
      <c r="F102" t="s">
        <v>15</v>
      </c>
      <c r="G102" t="s">
        <v>193</v>
      </c>
      <c r="H102" t="s">
        <v>151</v>
      </c>
      <c r="I102" t="s">
        <v>5</v>
      </c>
      <c r="J102" t="s">
        <v>152</v>
      </c>
      <c r="K102" t="s">
        <v>153</v>
      </c>
      <c r="L102">
        <v>251200030</v>
      </c>
      <c r="M102" s="84">
        <v>45993</v>
      </c>
      <c r="N102" s="84">
        <v>45993</v>
      </c>
      <c r="O102" t="s">
        <v>191</v>
      </c>
      <c r="P102" t="s">
        <v>192</v>
      </c>
      <c r="Q102">
        <v>4500</v>
      </c>
      <c r="R102">
        <v>8</v>
      </c>
      <c r="S102">
        <v>36000</v>
      </c>
      <c r="T102">
        <v>0</v>
      </c>
      <c r="U102">
        <v>0</v>
      </c>
      <c r="V102">
        <v>8</v>
      </c>
      <c r="W102">
        <v>36000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>
        <v>95</v>
      </c>
      <c r="B103" t="s">
        <v>149</v>
      </c>
      <c r="C103">
        <v>1550</v>
      </c>
      <c r="D103" t="s">
        <v>337</v>
      </c>
      <c r="E103" t="str">
        <f t="shared" si="1"/>
        <v>01550</v>
      </c>
      <c r="F103" t="s">
        <v>15</v>
      </c>
      <c r="G103" t="s">
        <v>193</v>
      </c>
      <c r="H103" t="s">
        <v>151</v>
      </c>
      <c r="I103" t="s">
        <v>4</v>
      </c>
      <c r="J103" t="s">
        <v>152</v>
      </c>
      <c r="K103" t="s">
        <v>153</v>
      </c>
      <c r="L103">
        <v>251200030</v>
      </c>
      <c r="M103" s="84">
        <v>45993</v>
      </c>
      <c r="N103" s="84">
        <v>45993</v>
      </c>
      <c r="O103" t="s">
        <v>160</v>
      </c>
      <c r="P103" t="s">
        <v>161</v>
      </c>
      <c r="Q103">
        <v>5500</v>
      </c>
      <c r="R103">
        <v>10</v>
      </c>
      <c r="S103">
        <v>55000</v>
      </c>
      <c r="T103">
        <v>0</v>
      </c>
      <c r="U103">
        <v>0</v>
      </c>
      <c r="V103">
        <v>10</v>
      </c>
      <c r="W103">
        <v>55000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>
        <v>96</v>
      </c>
      <c r="B104" t="s">
        <v>149</v>
      </c>
      <c r="C104">
        <v>1550</v>
      </c>
      <c r="D104" t="s">
        <v>337</v>
      </c>
      <c r="E104" t="str">
        <f t="shared" si="1"/>
        <v>01550</v>
      </c>
      <c r="F104" t="s">
        <v>15</v>
      </c>
      <c r="G104" t="s">
        <v>193</v>
      </c>
      <c r="H104" t="s">
        <v>151</v>
      </c>
      <c r="I104" t="s">
        <v>4</v>
      </c>
      <c r="J104" t="s">
        <v>152</v>
      </c>
      <c r="K104" t="s">
        <v>153</v>
      </c>
      <c r="L104">
        <v>251200030</v>
      </c>
      <c r="M104" s="84">
        <v>45993</v>
      </c>
      <c r="N104" s="84">
        <v>45993</v>
      </c>
      <c r="O104" t="s">
        <v>179</v>
      </c>
      <c r="P104" t="s">
        <v>180</v>
      </c>
      <c r="Q104">
        <v>5500</v>
      </c>
      <c r="R104">
        <v>10</v>
      </c>
      <c r="S104">
        <v>55000</v>
      </c>
      <c r="T104">
        <v>0</v>
      </c>
      <c r="U104">
        <v>0</v>
      </c>
      <c r="V104">
        <v>10</v>
      </c>
      <c r="W104">
        <v>55000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>
        <v>97</v>
      </c>
      <c r="B105" t="s">
        <v>149</v>
      </c>
      <c r="C105">
        <v>615</v>
      </c>
      <c r="D105" t="s">
        <v>39</v>
      </c>
      <c r="E105" t="str">
        <f t="shared" si="1"/>
        <v>00615</v>
      </c>
      <c r="F105" t="s">
        <v>38</v>
      </c>
      <c r="G105" t="s">
        <v>202</v>
      </c>
      <c r="H105" t="s">
        <v>157</v>
      </c>
      <c r="I105" t="s">
        <v>4</v>
      </c>
      <c r="J105" t="s">
        <v>158</v>
      </c>
      <c r="K105" t="s">
        <v>203</v>
      </c>
      <c r="L105">
        <v>251200031</v>
      </c>
      <c r="M105" s="84">
        <v>46004</v>
      </c>
      <c r="N105" s="84">
        <v>46004</v>
      </c>
      <c r="O105" t="s">
        <v>223</v>
      </c>
      <c r="P105" t="s">
        <v>224</v>
      </c>
      <c r="Q105">
        <v>14250</v>
      </c>
      <c r="R105">
        <v>20</v>
      </c>
      <c r="S105">
        <v>285000</v>
      </c>
      <c r="T105">
        <v>0</v>
      </c>
      <c r="U105">
        <v>0</v>
      </c>
      <c r="V105">
        <v>20</v>
      </c>
      <c r="W105">
        <v>285000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98</v>
      </c>
      <c r="B106" t="s">
        <v>149</v>
      </c>
      <c r="C106">
        <v>420</v>
      </c>
      <c r="D106" t="s">
        <v>17</v>
      </c>
      <c r="E106" t="str">
        <f t="shared" si="1"/>
        <v>00420</v>
      </c>
      <c r="F106" t="s">
        <v>15</v>
      </c>
      <c r="G106" t="s">
        <v>193</v>
      </c>
      <c r="H106" t="s">
        <v>151</v>
      </c>
      <c r="I106" t="s">
        <v>4</v>
      </c>
      <c r="J106" t="s">
        <v>152</v>
      </c>
      <c r="K106" t="s">
        <v>153</v>
      </c>
      <c r="L106">
        <v>251200031</v>
      </c>
      <c r="M106" s="84">
        <v>45993</v>
      </c>
      <c r="N106" s="84">
        <v>45993</v>
      </c>
      <c r="O106" t="s">
        <v>206</v>
      </c>
      <c r="P106" t="s">
        <v>207</v>
      </c>
      <c r="Q106">
        <v>14250</v>
      </c>
      <c r="R106">
        <v>20</v>
      </c>
      <c r="S106">
        <v>285000</v>
      </c>
      <c r="T106">
        <v>0</v>
      </c>
      <c r="U106">
        <v>0</v>
      </c>
      <c r="V106">
        <v>20</v>
      </c>
      <c r="W106">
        <v>285000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99</v>
      </c>
      <c r="B107" t="s">
        <v>149</v>
      </c>
      <c r="C107">
        <v>988</v>
      </c>
      <c r="D107" t="s">
        <v>19</v>
      </c>
      <c r="E107" t="str">
        <f t="shared" si="1"/>
        <v>00988</v>
      </c>
      <c r="F107" t="s">
        <v>15</v>
      </c>
      <c r="G107" t="s">
        <v>193</v>
      </c>
      <c r="H107" t="s">
        <v>151</v>
      </c>
      <c r="I107" t="s">
        <v>5</v>
      </c>
      <c r="J107" t="s">
        <v>152</v>
      </c>
      <c r="K107" t="s">
        <v>153</v>
      </c>
      <c r="L107">
        <v>251200032</v>
      </c>
      <c r="M107" s="84">
        <v>45993</v>
      </c>
      <c r="N107" s="84">
        <v>45993</v>
      </c>
      <c r="O107" t="s">
        <v>191</v>
      </c>
      <c r="P107" t="s">
        <v>192</v>
      </c>
      <c r="Q107">
        <v>11700</v>
      </c>
      <c r="R107">
        <v>8</v>
      </c>
      <c r="S107">
        <v>93600</v>
      </c>
      <c r="T107">
        <v>0</v>
      </c>
      <c r="U107">
        <v>0</v>
      </c>
      <c r="V107">
        <v>8</v>
      </c>
      <c r="W107">
        <v>93600</v>
      </c>
      <c r="X107">
        <v>1200</v>
      </c>
      <c r="Y107">
        <v>1200</v>
      </c>
      <c r="Z107">
        <v>0</v>
      </c>
      <c r="AA107">
        <v>0</v>
      </c>
      <c r="AB107">
        <v>0</v>
      </c>
      <c r="AC107">
        <v>2400</v>
      </c>
    </row>
    <row r="108" spans="1:29">
      <c r="A108">
        <v>100</v>
      </c>
      <c r="B108" t="s">
        <v>149</v>
      </c>
      <c r="C108">
        <v>988</v>
      </c>
      <c r="D108" t="s">
        <v>19</v>
      </c>
      <c r="E108" t="str">
        <f t="shared" si="1"/>
        <v>00988</v>
      </c>
      <c r="F108" t="s">
        <v>15</v>
      </c>
      <c r="G108" t="s">
        <v>193</v>
      </c>
      <c r="H108" t="s">
        <v>151</v>
      </c>
      <c r="I108" t="s">
        <v>4</v>
      </c>
      <c r="J108" t="s">
        <v>152</v>
      </c>
      <c r="K108" t="s">
        <v>153</v>
      </c>
      <c r="L108">
        <v>251200032</v>
      </c>
      <c r="M108" s="84">
        <v>45993</v>
      </c>
      <c r="N108" s="84">
        <v>45993</v>
      </c>
      <c r="O108" t="s">
        <v>179</v>
      </c>
      <c r="P108" t="s">
        <v>180</v>
      </c>
      <c r="Q108">
        <v>14250</v>
      </c>
      <c r="R108">
        <v>10</v>
      </c>
      <c r="S108">
        <v>142500</v>
      </c>
      <c r="T108">
        <v>0</v>
      </c>
      <c r="U108">
        <v>0</v>
      </c>
      <c r="V108">
        <v>10</v>
      </c>
      <c r="W108">
        <v>142500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101</v>
      </c>
      <c r="B109" t="s">
        <v>149</v>
      </c>
      <c r="C109">
        <v>988</v>
      </c>
      <c r="D109" t="s">
        <v>19</v>
      </c>
      <c r="E109" t="str">
        <f t="shared" si="1"/>
        <v>00988</v>
      </c>
      <c r="F109" t="s">
        <v>15</v>
      </c>
      <c r="G109" t="s">
        <v>193</v>
      </c>
      <c r="H109" t="s">
        <v>151</v>
      </c>
      <c r="I109" t="s">
        <v>4</v>
      </c>
      <c r="J109" t="s">
        <v>152</v>
      </c>
      <c r="K109" t="s">
        <v>153</v>
      </c>
      <c r="L109">
        <v>251200032</v>
      </c>
      <c r="M109" s="84">
        <v>45993</v>
      </c>
      <c r="N109" s="84">
        <v>45993</v>
      </c>
      <c r="O109" t="s">
        <v>160</v>
      </c>
      <c r="P109" t="s">
        <v>161</v>
      </c>
      <c r="Q109">
        <v>14250</v>
      </c>
      <c r="R109">
        <v>10</v>
      </c>
      <c r="S109">
        <v>142500</v>
      </c>
      <c r="T109">
        <v>0</v>
      </c>
      <c r="U109">
        <v>0</v>
      </c>
      <c r="V109">
        <v>10</v>
      </c>
      <c r="W109">
        <v>142500</v>
      </c>
      <c r="X109">
        <v>1500</v>
      </c>
      <c r="Y109">
        <v>2000</v>
      </c>
      <c r="Z109">
        <v>0</v>
      </c>
      <c r="AA109">
        <v>0</v>
      </c>
      <c r="AB109">
        <v>0</v>
      </c>
      <c r="AC109">
        <v>3500</v>
      </c>
    </row>
    <row r="110" spans="1:29">
      <c r="A110">
        <v>102</v>
      </c>
      <c r="B110" t="s">
        <v>149</v>
      </c>
      <c r="C110">
        <v>615</v>
      </c>
      <c r="D110" t="s">
        <v>39</v>
      </c>
      <c r="E110" t="str">
        <f t="shared" si="1"/>
        <v>00615</v>
      </c>
      <c r="F110" t="s">
        <v>38</v>
      </c>
      <c r="G110" t="s">
        <v>202</v>
      </c>
      <c r="H110" t="s">
        <v>157</v>
      </c>
      <c r="I110" t="s">
        <v>4</v>
      </c>
      <c r="J110" t="s">
        <v>158</v>
      </c>
      <c r="K110" t="s">
        <v>203</v>
      </c>
      <c r="L110">
        <v>251200032</v>
      </c>
      <c r="M110" s="84">
        <v>46004</v>
      </c>
      <c r="N110" s="84">
        <v>46004</v>
      </c>
      <c r="O110" t="s">
        <v>223</v>
      </c>
      <c r="P110" t="s">
        <v>224</v>
      </c>
      <c r="Q110">
        <v>14250</v>
      </c>
      <c r="R110">
        <v>10</v>
      </c>
      <c r="S110">
        <v>142500</v>
      </c>
      <c r="T110">
        <v>0</v>
      </c>
      <c r="U110">
        <v>0</v>
      </c>
      <c r="V110">
        <v>10</v>
      </c>
      <c r="W110">
        <v>142500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103</v>
      </c>
      <c r="B111" t="s">
        <v>149</v>
      </c>
      <c r="C111">
        <v>1326</v>
      </c>
      <c r="D111" t="s">
        <v>338</v>
      </c>
      <c r="E111" t="str">
        <f t="shared" si="1"/>
        <v>01326</v>
      </c>
      <c r="F111" t="s">
        <v>15</v>
      </c>
      <c r="G111" t="s">
        <v>193</v>
      </c>
      <c r="H111" t="s">
        <v>151</v>
      </c>
      <c r="I111" t="s">
        <v>5</v>
      </c>
      <c r="J111" t="s">
        <v>152</v>
      </c>
      <c r="K111" t="s">
        <v>153</v>
      </c>
      <c r="L111">
        <v>251200033</v>
      </c>
      <c r="M111" s="84">
        <v>45993</v>
      </c>
      <c r="N111" s="84">
        <v>45993</v>
      </c>
      <c r="O111" t="s">
        <v>191</v>
      </c>
      <c r="P111" t="s">
        <v>192</v>
      </c>
      <c r="Q111">
        <v>4500</v>
      </c>
      <c r="R111">
        <v>12</v>
      </c>
      <c r="S111">
        <v>54000</v>
      </c>
      <c r="T111">
        <v>0</v>
      </c>
      <c r="U111">
        <v>0</v>
      </c>
      <c r="V111">
        <v>12</v>
      </c>
      <c r="W111">
        <v>54000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>
        <v>104</v>
      </c>
      <c r="B112" t="s">
        <v>149</v>
      </c>
      <c r="C112">
        <v>441</v>
      </c>
      <c r="D112" t="s">
        <v>209</v>
      </c>
      <c r="E112" t="str">
        <f t="shared" si="1"/>
        <v>00441</v>
      </c>
      <c r="F112" t="s">
        <v>15</v>
      </c>
      <c r="G112" t="s">
        <v>193</v>
      </c>
      <c r="H112" t="s">
        <v>151</v>
      </c>
      <c r="I112" t="s">
        <v>210</v>
      </c>
      <c r="J112" t="s">
        <v>158</v>
      </c>
      <c r="K112" t="s">
        <v>153</v>
      </c>
      <c r="L112">
        <v>251200033</v>
      </c>
      <c r="M112" s="84">
        <v>46005</v>
      </c>
      <c r="N112" s="84">
        <v>46005</v>
      </c>
      <c r="O112" t="s">
        <v>211</v>
      </c>
      <c r="P112" t="s">
        <v>212</v>
      </c>
      <c r="Q112">
        <v>19427</v>
      </c>
      <c r="R112">
        <v>8</v>
      </c>
      <c r="S112">
        <v>155416</v>
      </c>
      <c r="T112">
        <v>0</v>
      </c>
      <c r="U112">
        <v>0</v>
      </c>
      <c r="V112">
        <v>8</v>
      </c>
      <c r="W112">
        <v>155416</v>
      </c>
      <c r="X112">
        <v>3112</v>
      </c>
      <c r="Y112">
        <v>3112</v>
      </c>
      <c r="Z112">
        <v>8000</v>
      </c>
      <c r="AA112">
        <v>0</v>
      </c>
      <c r="AB112">
        <v>800</v>
      </c>
      <c r="AC112">
        <v>15024</v>
      </c>
    </row>
    <row r="113" spans="1:29">
      <c r="A113">
        <v>105</v>
      </c>
      <c r="B113" t="s">
        <v>149</v>
      </c>
      <c r="C113">
        <v>441</v>
      </c>
      <c r="D113" t="s">
        <v>209</v>
      </c>
      <c r="E113" t="str">
        <f t="shared" si="1"/>
        <v>00441</v>
      </c>
      <c r="F113" t="s">
        <v>15</v>
      </c>
      <c r="G113" t="s">
        <v>193</v>
      </c>
      <c r="H113" t="s">
        <v>151</v>
      </c>
      <c r="I113" t="s">
        <v>210</v>
      </c>
      <c r="J113" t="s">
        <v>158</v>
      </c>
      <c r="K113" t="s">
        <v>153</v>
      </c>
      <c r="L113">
        <v>251200033</v>
      </c>
      <c r="M113" s="84">
        <v>46005</v>
      </c>
      <c r="N113" s="84">
        <v>46005</v>
      </c>
      <c r="O113" t="s">
        <v>213</v>
      </c>
      <c r="P113" t="s">
        <v>214</v>
      </c>
      <c r="Q113">
        <v>23802</v>
      </c>
      <c r="R113">
        <v>6</v>
      </c>
      <c r="S113">
        <v>142812</v>
      </c>
      <c r="T113">
        <v>0</v>
      </c>
      <c r="U113">
        <v>0</v>
      </c>
      <c r="V113">
        <v>6</v>
      </c>
      <c r="W113">
        <v>142812</v>
      </c>
      <c r="X113">
        <v>2856</v>
      </c>
      <c r="Y113">
        <v>2856</v>
      </c>
      <c r="Z113">
        <v>6000</v>
      </c>
      <c r="AA113">
        <v>0</v>
      </c>
      <c r="AB113">
        <v>600</v>
      </c>
      <c r="AC113">
        <v>12312</v>
      </c>
    </row>
    <row r="114" spans="1:29">
      <c r="A114">
        <v>106</v>
      </c>
      <c r="B114" t="s">
        <v>149</v>
      </c>
      <c r="C114">
        <v>1326</v>
      </c>
      <c r="D114" t="s">
        <v>338</v>
      </c>
      <c r="E114" t="str">
        <f t="shared" si="1"/>
        <v>01326</v>
      </c>
      <c r="F114" t="s">
        <v>15</v>
      </c>
      <c r="G114" t="s">
        <v>193</v>
      </c>
      <c r="H114" t="s">
        <v>151</v>
      </c>
      <c r="I114" t="s">
        <v>5</v>
      </c>
      <c r="J114" t="s">
        <v>152</v>
      </c>
      <c r="K114" t="s">
        <v>153</v>
      </c>
      <c r="L114">
        <v>251200033</v>
      </c>
      <c r="M114" s="84">
        <v>45993</v>
      </c>
      <c r="N114" s="84">
        <v>45993</v>
      </c>
      <c r="O114" t="s">
        <v>260</v>
      </c>
      <c r="P114" t="s">
        <v>261</v>
      </c>
      <c r="Q114">
        <v>4500</v>
      </c>
      <c r="R114">
        <v>8</v>
      </c>
      <c r="S114">
        <v>36000</v>
      </c>
      <c r="T114">
        <v>0</v>
      </c>
      <c r="U114">
        <v>0</v>
      </c>
      <c r="V114">
        <v>8</v>
      </c>
      <c r="W114">
        <v>36000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107</v>
      </c>
      <c r="B115" t="s">
        <v>149</v>
      </c>
      <c r="C115">
        <v>160</v>
      </c>
      <c r="D115" t="s">
        <v>64</v>
      </c>
      <c r="E115" t="str">
        <f t="shared" si="1"/>
        <v>00160</v>
      </c>
      <c r="F115" t="s">
        <v>49</v>
      </c>
      <c r="G115" t="s">
        <v>167</v>
      </c>
      <c r="H115" t="s">
        <v>151</v>
      </c>
      <c r="I115" t="s">
        <v>4</v>
      </c>
      <c r="J115" t="s">
        <v>158</v>
      </c>
      <c r="K115" t="s">
        <v>153</v>
      </c>
      <c r="L115">
        <v>251200034</v>
      </c>
      <c r="M115" s="84">
        <v>46005</v>
      </c>
      <c r="N115" s="84">
        <v>46005</v>
      </c>
      <c r="O115" t="s">
        <v>168</v>
      </c>
      <c r="P115" t="s">
        <v>169</v>
      </c>
      <c r="Q115">
        <v>14250</v>
      </c>
      <c r="R115">
        <v>12</v>
      </c>
      <c r="S115">
        <v>171000</v>
      </c>
      <c r="T115">
        <v>0</v>
      </c>
      <c r="U115">
        <v>0</v>
      </c>
      <c r="V115">
        <v>12</v>
      </c>
      <c r="W115">
        <v>171000</v>
      </c>
      <c r="X115">
        <v>1800</v>
      </c>
      <c r="Y115">
        <v>2400</v>
      </c>
      <c r="Z115">
        <v>0</v>
      </c>
      <c r="AA115">
        <v>0</v>
      </c>
      <c r="AB115">
        <v>0</v>
      </c>
      <c r="AC115">
        <v>4200</v>
      </c>
    </row>
    <row r="116" spans="1:29">
      <c r="A116">
        <v>108</v>
      </c>
      <c r="B116" t="s">
        <v>149</v>
      </c>
      <c r="C116">
        <v>1444</v>
      </c>
      <c r="D116" t="s">
        <v>341</v>
      </c>
      <c r="E116" t="str">
        <f t="shared" si="1"/>
        <v>01444</v>
      </c>
      <c r="F116" t="s">
        <v>28</v>
      </c>
      <c r="G116" t="s">
        <v>164</v>
      </c>
      <c r="H116" t="s">
        <v>151</v>
      </c>
      <c r="I116" t="s">
        <v>4</v>
      </c>
      <c r="J116" t="s">
        <v>152</v>
      </c>
      <c r="K116" t="s">
        <v>153</v>
      </c>
      <c r="L116">
        <v>251200034</v>
      </c>
      <c r="M116" s="84">
        <v>45993</v>
      </c>
      <c r="N116" s="84">
        <v>45993</v>
      </c>
      <c r="O116" t="s">
        <v>160</v>
      </c>
      <c r="P116" t="s">
        <v>161</v>
      </c>
      <c r="Q116">
        <v>5500</v>
      </c>
      <c r="R116">
        <v>26</v>
      </c>
      <c r="S116">
        <v>143000</v>
      </c>
      <c r="T116">
        <v>0</v>
      </c>
      <c r="U116">
        <v>0</v>
      </c>
      <c r="V116">
        <v>26</v>
      </c>
      <c r="W116">
        <v>143000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109</v>
      </c>
      <c r="B117" t="s">
        <v>149</v>
      </c>
      <c r="C117">
        <v>1444</v>
      </c>
      <c r="D117" t="s">
        <v>341</v>
      </c>
      <c r="E117" t="str">
        <f t="shared" si="1"/>
        <v>01444</v>
      </c>
      <c r="F117" t="s">
        <v>28</v>
      </c>
      <c r="G117" t="s">
        <v>164</v>
      </c>
      <c r="H117" t="s">
        <v>151</v>
      </c>
      <c r="I117" t="s">
        <v>5</v>
      </c>
      <c r="J117" t="s">
        <v>152</v>
      </c>
      <c r="K117" t="s">
        <v>153</v>
      </c>
      <c r="L117">
        <v>251200034</v>
      </c>
      <c r="M117" s="84">
        <v>45993</v>
      </c>
      <c r="N117" s="84">
        <v>45993</v>
      </c>
      <c r="O117" t="s">
        <v>191</v>
      </c>
      <c r="P117" t="s">
        <v>192</v>
      </c>
      <c r="Q117">
        <v>4500</v>
      </c>
      <c r="R117">
        <v>1</v>
      </c>
      <c r="S117">
        <v>4500</v>
      </c>
      <c r="T117">
        <v>0</v>
      </c>
      <c r="U117">
        <v>0</v>
      </c>
      <c r="V117">
        <v>1</v>
      </c>
      <c r="W117">
        <v>4500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>
        <v>110</v>
      </c>
      <c r="B118" t="s">
        <v>149</v>
      </c>
      <c r="C118">
        <v>1444</v>
      </c>
      <c r="D118" t="s">
        <v>341</v>
      </c>
      <c r="E118" t="str">
        <f t="shared" si="1"/>
        <v>01444</v>
      </c>
      <c r="F118" t="s">
        <v>28</v>
      </c>
      <c r="G118" t="s">
        <v>164</v>
      </c>
      <c r="H118" t="s">
        <v>151</v>
      </c>
      <c r="I118" t="s">
        <v>4</v>
      </c>
      <c r="J118" t="s">
        <v>152</v>
      </c>
      <c r="K118" t="s">
        <v>153</v>
      </c>
      <c r="L118">
        <v>251200034</v>
      </c>
      <c r="M118" s="84">
        <v>45993</v>
      </c>
      <c r="N118" s="84">
        <v>45993</v>
      </c>
      <c r="O118" t="s">
        <v>179</v>
      </c>
      <c r="P118" t="s">
        <v>180</v>
      </c>
      <c r="Q118">
        <v>5500</v>
      </c>
      <c r="R118">
        <v>5</v>
      </c>
      <c r="S118">
        <v>27500</v>
      </c>
      <c r="T118">
        <v>0</v>
      </c>
      <c r="U118">
        <v>0</v>
      </c>
      <c r="V118">
        <v>5</v>
      </c>
      <c r="W118">
        <v>27500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>
        <v>111</v>
      </c>
      <c r="B119" t="s">
        <v>149</v>
      </c>
      <c r="C119">
        <v>141</v>
      </c>
      <c r="D119" t="s">
        <v>227</v>
      </c>
      <c r="E119" t="str">
        <f t="shared" si="1"/>
        <v>00141</v>
      </c>
      <c r="F119" t="s">
        <v>73</v>
      </c>
      <c r="G119" t="s">
        <v>185</v>
      </c>
      <c r="H119" t="s">
        <v>151</v>
      </c>
      <c r="I119" t="s">
        <v>210</v>
      </c>
      <c r="J119" t="s">
        <v>158</v>
      </c>
      <c r="K119" t="s">
        <v>153</v>
      </c>
      <c r="L119">
        <v>251200035</v>
      </c>
      <c r="M119" s="84">
        <v>46006</v>
      </c>
      <c r="N119" s="84">
        <v>46006</v>
      </c>
      <c r="O119" t="s">
        <v>228</v>
      </c>
      <c r="P119" t="s">
        <v>229</v>
      </c>
      <c r="Q119">
        <v>27674</v>
      </c>
      <c r="R119">
        <v>4</v>
      </c>
      <c r="S119">
        <v>110696</v>
      </c>
      <c r="T119">
        <v>0</v>
      </c>
      <c r="U119">
        <v>0</v>
      </c>
      <c r="V119">
        <v>4</v>
      </c>
      <c r="W119">
        <v>110696</v>
      </c>
      <c r="X119">
        <v>3320</v>
      </c>
      <c r="Y119">
        <v>4428</v>
      </c>
      <c r="Z119">
        <v>2212</v>
      </c>
      <c r="AA119">
        <v>5536</v>
      </c>
      <c r="AB119">
        <v>400</v>
      </c>
      <c r="AC119">
        <v>15896</v>
      </c>
    </row>
    <row r="120" spans="1:29">
      <c r="A120">
        <v>112</v>
      </c>
      <c r="B120" t="s">
        <v>149</v>
      </c>
      <c r="C120">
        <v>1356</v>
      </c>
      <c r="D120" t="s">
        <v>98</v>
      </c>
      <c r="E120" t="str">
        <f t="shared" si="1"/>
        <v>01356</v>
      </c>
      <c r="F120" t="s">
        <v>95</v>
      </c>
      <c r="G120" t="s">
        <v>187</v>
      </c>
      <c r="H120" t="s">
        <v>188</v>
      </c>
      <c r="I120" t="s">
        <v>4</v>
      </c>
      <c r="J120" t="s">
        <v>152</v>
      </c>
      <c r="K120" t="s">
        <v>159</v>
      </c>
      <c r="L120">
        <v>251200035</v>
      </c>
      <c r="M120" s="84">
        <v>45993</v>
      </c>
      <c r="N120" s="84">
        <v>45993</v>
      </c>
      <c r="O120" t="s">
        <v>215</v>
      </c>
      <c r="P120" t="s">
        <v>216</v>
      </c>
      <c r="Q120">
        <v>13350</v>
      </c>
      <c r="R120">
        <v>10</v>
      </c>
      <c r="S120">
        <v>133500</v>
      </c>
      <c r="T120">
        <v>0</v>
      </c>
      <c r="U120">
        <v>0</v>
      </c>
      <c r="V120">
        <v>10</v>
      </c>
      <c r="W120">
        <v>133500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>
        <v>113</v>
      </c>
      <c r="B121" t="s">
        <v>149</v>
      </c>
      <c r="C121">
        <v>1468</v>
      </c>
      <c r="D121" t="s">
        <v>342</v>
      </c>
      <c r="E121" t="str">
        <f t="shared" si="1"/>
        <v>01468</v>
      </c>
      <c r="F121" t="s">
        <v>7</v>
      </c>
      <c r="G121" t="s">
        <v>156</v>
      </c>
      <c r="H121" t="s">
        <v>157</v>
      </c>
      <c r="I121" t="s">
        <v>4</v>
      </c>
      <c r="J121" t="s">
        <v>152</v>
      </c>
      <c r="K121" t="s">
        <v>159</v>
      </c>
      <c r="L121">
        <v>251200036</v>
      </c>
      <c r="M121" s="84">
        <v>45993</v>
      </c>
      <c r="N121" s="84">
        <v>45993</v>
      </c>
      <c r="O121" t="s">
        <v>206</v>
      </c>
      <c r="P121" t="s">
        <v>207</v>
      </c>
      <c r="Q121">
        <v>5500</v>
      </c>
      <c r="R121">
        <v>40</v>
      </c>
      <c r="S121">
        <v>220000</v>
      </c>
      <c r="T121">
        <v>0</v>
      </c>
      <c r="U121">
        <v>0</v>
      </c>
      <c r="V121">
        <v>40</v>
      </c>
      <c r="W121">
        <v>220000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114</v>
      </c>
      <c r="B122" t="s">
        <v>149</v>
      </c>
      <c r="C122">
        <v>1468</v>
      </c>
      <c r="D122" t="s">
        <v>342</v>
      </c>
      <c r="E122" t="str">
        <f t="shared" si="1"/>
        <v>01468</v>
      </c>
      <c r="F122" t="s">
        <v>7</v>
      </c>
      <c r="G122" t="s">
        <v>156</v>
      </c>
      <c r="H122" t="s">
        <v>157</v>
      </c>
      <c r="I122" t="s">
        <v>4</v>
      </c>
      <c r="J122" t="s">
        <v>152</v>
      </c>
      <c r="K122" t="s">
        <v>159</v>
      </c>
      <c r="L122">
        <v>251200036</v>
      </c>
      <c r="M122" s="84">
        <v>45993</v>
      </c>
      <c r="N122" s="84">
        <v>45993</v>
      </c>
      <c r="O122" t="s">
        <v>160</v>
      </c>
      <c r="P122" t="s">
        <v>161</v>
      </c>
      <c r="Q122">
        <v>5500</v>
      </c>
      <c r="R122">
        <v>40</v>
      </c>
      <c r="S122">
        <v>220000</v>
      </c>
      <c r="T122">
        <v>0</v>
      </c>
      <c r="U122">
        <v>0</v>
      </c>
      <c r="V122">
        <v>40</v>
      </c>
      <c r="W122">
        <v>220000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>
        <v>115</v>
      </c>
      <c r="B123" t="s">
        <v>149</v>
      </c>
      <c r="C123">
        <v>1468</v>
      </c>
      <c r="D123" t="s">
        <v>342</v>
      </c>
      <c r="E123" t="str">
        <f t="shared" si="1"/>
        <v>01468</v>
      </c>
      <c r="F123" t="s">
        <v>7</v>
      </c>
      <c r="G123" t="s">
        <v>156</v>
      </c>
      <c r="H123" t="s">
        <v>157</v>
      </c>
      <c r="I123" t="s">
        <v>4</v>
      </c>
      <c r="J123" t="s">
        <v>152</v>
      </c>
      <c r="K123" t="s">
        <v>159</v>
      </c>
      <c r="L123">
        <v>251200036</v>
      </c>
      <c r="M123" s="84">
        <v>45993</v>
      </c>
      <c r="N123" s="84">
        <v>45993</v>
      </c>
      <c r="O123" t="s">
        <v>179</v>
      </c>
      <c r="P123" t="s">
        <v>180</v>
      </c>
      <c r="Q123">
        <v>5500</v>
      </c>
      <c r="R123">
        <v>40</v>
      </c>
      <c r="S123">
        <v>220000</v>
      </c>
      <c r="T123">
        <v>0</v>
      </c>
      <c r="U123">
        <v>0</v>
      </c>
      <c r="V123">
        <v>40</v>
      </c>
      <c r="W123">
        <v>220000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116</v>
      </c>
      <c r="B124" t="s">
        <v>149</v>
      </c>
      <c r="C124">
        <v>618</v>
      </c>
      <c r="D124" t="s">
        <v>66</v>
      </c>
      <c r="E124" t="str">
        <f t="shared" si="1"/>
        <v>00618</v>
      </c>
      <c r="F124" t="s">
        <v>65</v>
      </c>
      <c r="G124" t="s">
        <v>208</v>
      </c>
      <c r="H124" t="s">
        <v>157</v>
      </c>
      <c r="I124" t="s">
        <v>4</v>
      </c>
      <c r="J124" t="s">
        <v>158</v>
      </c>
      <c r="K124" t="s">
        <v>174</v>
      </c>
      <c r="L124">
        <v>251200036</v>
      </c>
      <c r="M124" s="84">
        <v>46006</v>
      </c>
      <c r="N124" s="84">
        <v>46006</v>
      </c>
      <c r="O124" t="s">
        <v>168</v>
      </c>
      <c r="P124" t="s">
        <v>169</v>
      </c>
      <c r="Q124">
        <v>14250</v>
      </c>
      <c r="R124">
        <v>5</v>
      </c>
      <c r="S124">
        <v>71250</v>
      </c>
      <c r="T124">
        <v>0</v>
      </c>
      <c r="U124">
        <v>0</v>
      </c>
      <c r="V124">
        <v>5</v>
      </c>
      <c r="W124">
        <v>71250</v>
      </c>
      <c r="X124">
        <v>750</v>
      </c>
      <c r="Y124">
        <v>1000</v>
      </c>
      <c r="Z124">
        <v>0</v>
      </c>
      <c r="AA124">
        <v>0</v>
      </c>
      <c r="AB124">
        <v>0</v>
      </c>
      <c r="AC124">
        <v>1750</v>
      </c>
    </row>
    <row r="125" spans="1:29">
      <c r="A125">
        <v>117</v>
      </c>
      <c r="B125" t="s">
        <v>149</v>
      </c>
      <c r="C125">
        <v>496</v>
      </c>
      <c r="D125" t="s">
        <v>8</v>
      </c>
      <c r="E125" t="str">
        <f t="shared" si="1"/>
        <v>00496</v>
      </c>
      <c r="F125" t="s">
        <v>7</v>
      </c>
      <c r="G125" t="s">
        <v>156</v>
      </c>
      <c r="H125" t="s">
        <v>157</v>
      </c>
      <c r="I125" t="s">
        <v>4</v>
      </c>
      <c r="J125" t="s">
        <v>152</v>
      </c>
      <c r="K125" t="s">
        <v>159</v>
      </c>
      <c r="L125">
        <v>251200037</v>
      </c>
      <c r="M125" s="84">
        <v>45993</v>
      </c>
      <c r="N125" s="84">
        <v>45993</v>
      </c>
      <c r="O125" t="s">
        <v>160</v>
      </c>
      <c r="P125" t="s">
        <v>161</v>
      </c>
      <c r="Q125">
        <v>14250</v>
      </c>
      <c r="R125">
        <v>60</v>
      </c>
      <c r="S125">
        <v>855000</v>
      </c>
      <c r="T125">
        <v>0</v>
      </c>
      <c r="U125">
        <v>0</v>
      </c>
      <c r="V125">
        <v>60</v>
      </c>
      <c r="W125">
        <v>855000</v>
      </c>
      <c r="X125">
        <v>9000</v>
      </c>
      <c r="Y125">
        <v>12000</v>
      </c>
      <c r="Z125">
        <v>0</v>
      </c>
      <c r="AA125">
        <v>0</v>
      </c>
      <c r="AB125">
        <v>0</v>
      </c>
      <c r="AC125">
        <v>21000</v>
      </c>
    </row>
    <row r="126" spans="1:29">
      <c r="A126">
        <v>118</v>
      </c>
      <c r="B126" t="s">
        <v>149</v>
      </c>
      <c r="C126">
        <v>496</v>
      </c>
      <c r="D126" t="s">
        <v>8</v>
      </c>
      <c r="E126" t="str">
        <f t="shared" si="1"/>
        <v>00496</v>
      </c>
      <c r="F126" t="s">
        <v>7</v>
      </c>
      <c r="G126" t="s">
        <v>156</v>
      </c>
      <c r="H126" t="s">
        <v>157</v>
      </c>
      <c r="I126" t="s">
        <v>5</v>
      </c>
      <c r="J126" t="s">
        <v>152</v>
      </c>
      <c r="K126" t="s">
        <v>159</v>
      </c>
      <c r="L126">
        <v>251200037</v>
      </c>
      <c r="M126" s="84">
        <v>45993</v>
      </c>
      <c r="N126" s="84">
        <v>45993</v>
      </c>
      <c r="O126" t="s">
        <v>191</v>
      </c>
      <c r="P126" t="s">
        <v>192</v>
      </c>
      <c r="Q126">
        <v>11700</v>
      </c>
      <c r="R126">
        <v>8</v>
      </c>
      <c r="S126">
        <v>93600</v>
      </c>
      <c r="T126">
        <v>0</v>
      </c>
      <c r="U126">
        <v>0</v>
      </c>
      <c r="V126">
        <v>8</v>
      </c>
      <c r="W126">
        <v>93600</v>
      </c>
      <c r="X126">
        <v>1200</v>
      </c>
      <c r="Y126">
        <v>1200</v>
      </c>
      <c r="Z126">
        <v>0</v>
      </c>
      <c r="AA126">
        <v>0</v>
      </c>
      <c r="AB126">
        <v>0</v>
      </c>
      <c r="AC126">
        <v>2400</v>
      </c>
    </row>
    <row r="127" spans="1:29">
      <c r="A127">
        <v>119</v>
      </c>
      <c r="B127" t="s">
        <v>149</v>
      </c>
      <c r="C127">
        <v>315</v>
      </c>
      <c r="D127" t="s">
        <v>85</v>
      </c>
      <c r="E127" t="str">
        <f t="shared" si="1"/>
        <v>00315</v>
      </c>
      <c r="F127" t="s">
        <v>83</v>
      </c>
      <c r="G127" t="s">
        <v>164</v>
      </c>
      <c r="H127" t="s">
        <v>151</v>
      </c>
      <c r="I127" t="s">
        <v>5</v>
      </c>
      <c r="J127" t="s">
        <v>158</v>
      </c>
      <c r="K127" t="s">
        <v>153</v>
      </c>
      <c r="L127">
        <v>251200037</v>
      </c>
      <c r="M127" s="84">
        <v>46007</v>
      </c>
      <c r="N127" s="84">
        <v>46007</v>
      </c>
      <c r="O127" t="s">
        <v>217</v>
      </c>
      <c r="P127" t="s">
        <v>218</v>
      </c>
      <c r="Q127">
        <v>11700</v>
      </c>
      <c r="R127">
        <v>40</v>
      </c>
      <c r="S127">
        <v>468000</v>
      </c>
      <c r="T127">
        <v>0</v>
      </c>
      <c r="U127">
        <v>0</v>
      </c>
      <c r="V127">
        <v>40</v>
      </c>
      <c r="W127">
        <v>468000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>
      <c r="A128">
        <v>120</v>
      </c>
      <c r="B128" t="s">
        <v>149</v>
      </c>
      <c r="C128">
        <v>615</v>
      </c>
      <c r="D128" t="s">
        <v>39</v>
      </c>
      <c r="E128" t="str">
        <f t="shared" si="1"/>
        <v>00615</v>
      </c>
      <c r="F128" t="s">
        <v>38</v>
      </c>
      <c r="G128" t="s">
        <v>202</v>
      </c>
      <c r="H128" t="s">
        <v>157</v>
      </c>
      <c r="I128" t="s">
        <v>4</v>
      </c>
      <c r="J128" t="s">
        <v>158</v>
      </c>
      <c r="K128" t="s">
        <v>203</v>
      </c>
      <c r="L128">
        <v>251200038</v>
      </c>
      <c r="M128" s="84">
        <v>46007</v>
      </c>
      <c r="N128" s="84">
        <v>46007</v>
      </c>
      <c r="O128" t="s">
        <v>223</v>
      </c>
      <c r="P128" t="s">
        <v>224</v>
      </c>
      <c r="Q128">
        <v>14250</v>
      </c>
      <c r="R128">
        <v>10</v>
      </c>
      <c r="S128">
        <v>142500</v>
      </c>
      <c r="T128">
        <v>0</v>
      </c>
      <c r="U128">
        <v>0</v>
      </c>
      <c r="V128">
        <v>10</v>
      </c>
      <c r="W128">
        <v>142500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>
      <c r="A129">
        <v>121</v>
      </c>
      <c r="B129" t="s">
        <v>149</v>
      </c>
      <c r="C129">
        <v>495</v>
      </c>
      <c r="D129" t="s">
        <v>9</v>
      </c>
      <c r="E129" t="str">
        <f t="shared" si="1"/>
        <v>00495</v>
      </c>
      <c r="F129" t="s">
        <v>7</v>
      </c>
      <c r="G129" t="s">
        <v>156</v>
      </c>
      <c r="H129" t="s">
        <v>157</v>
      </c>
      <c r="I129" t="s">
        <v>4</v>
      </c>
      <c r="J129" t="s">
        <v>152</v>
      </c>
      <c r="K129" t="s">
        <v>159</v>
      </c>
      <c r="L129">
        <v>251200038</v>
      </c>
      <c r="M129" s="84">
        <v>45993</v>
      </c>
      <c r="N129" s="84">
        <v>45993</v>
      </c>
      <c r="O129" t="s">
        <v>160</v>
      </c>
      <c r="P129" t="s">
        <v>161</v>
      </c>
      <c r="Q129">
        <v>14250</v>
      </c>
      <c r="R129">
        <v>8</v>
      </c>
      <c r="S129">
        <v>114000</v>
      </c>
      <c r="T129">
        <v>0</v>
      </c>
      <c r="U129">
        <v>0</v>
      </c>
      <c r="V129">
        <v>8</v>
      </c>
      <c r="W129">
        <v>114000</v>
      </c>
      <c r="X129">
        <v>1200</v>
      </c>
      <c r="Y129">
        <v>1600</v>
      </c>
      <c r="Z129">
        <v>0</v>
      </c>
      <c r="AA129">
        <v>0</v>
      </c>
      <c r="AB129">
        <v>0</v>
      </c>
      <c r="AC129">
        <v>2800</v>
      </c>
    </row>
    <row r="130" spans="1:29">
      <c r="A130">
        <v>122</v>
      </c>
      <c r="B130" t="s">
        <v>149</v>
      </c>
      <c r="C130">
        <v>1593</v>
      </c>
      <c r="D130" t="s">
        <v>343</v>
      </c>
      <c r="E130" t="str">
        <f t="shared" si="1"/>
        <v>01593</v>
      </c>
      <c r="F130" t="s">
        <v>111</v>
      </c>
      <c r="G130" t="s">
        <v>150</v>
      </c>
      <c r="H130" t="s">
        <v>151</v>
      </c>
      <c r="I130" t="s">
        <v>4</v>
      </c>
      <c r="J130" t="s">
        <v>152</v>
      </c>
      <c r="K130" t="s">
        <v>153</v>
      </c>
      <c r="L130">
        <v>251200039</v>
      </c>
      <c r="M130" s="84">
        <v>45993</v>
      </c>
      <c r="N130" s="84">
        <v>45993</v>
      </c>
      <c r="O130" t="s">
        <v>179</v>
      </c>
      <c r="P130" t="s">
        <v>180</v>
      </c>
      <c r="Q130">
        <v>5500</v>
      </c>
      <c r="R130">
        <v>10</v>
      </c>
      <c r="S130">
        <v>55000</v>
      </c>
      <c r="T130">
        <v>0</v>
      </c>
      <c r="U130">
        <v>0</v>
      </c>
      <c r="V130">
        <v>10</v>
      </c>
      <c r="W130">
        <v>55000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>
        <v>123</v>
      </c>
      <c r="B131" t="s">
        <v>149</v>
      </c>
      <c r="C131">
        <v>1593</v>
      </c>
      <c r="D131" t="s">
        <v>343</v>
      </c>
      <c r="E131" t="str">
        <f t="shared" si="1"/>
        <v>01593</v>
      </c>
      <c r="F131" t="s">
        <v>111</v>
      </c>
      <c r="G131" t="s">
        <v>150</v>
      </c>
      <c r="H131" t="s">
        <v>151</v>
      </c>
      <c r="I131" t="s">
        <v>5</v>
      </c>
      <c r="J131" t="s">
        <v>152</v>
      </c>
      <c r="K131" t="s">
        <v>153</v>
      </c>
      <c r="L131">
        <v>251200039</v>
      </c>
      <c r="M131" s="84">
        <v>45993</v>
      </c>
      <c r="N131" s="84">
        <v>45993</v>
      </c>
      <c r="O131" t="s">
        <v>191</v>
      </c>
      <c r="P131" t="s">
        <v>192</v>
      </c>
      <c r="Q131">
        <v>4500</v>
      </c>
      <c r="R131">
        <v>12</v>
      </c>
      <c r="S131">
        <v>54000</v>
      </c>
      <c r="T131">
        <v>0</v>
      </c>
      <c r="U131">
        <v>0</v>
      </c>
      <c r="V131">
        <v>12</v>
      </c>
      <c r="W131">
        <v>54000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124</v>
      </c>
      <c r="B132" t="s">
        <v>149</v>
      </c>
      <c r="C132">
        <v>1593</v>
      </c>
      <c r="D132" t="s">
        <v>343</v>
      </c>
      <c r="E132" t="str">
        <f t="shared" si="1"/>
        <v>01593</v>
      </c>
      <c r="F132" t="s">
        <v>111</v>
      </c>
      <c r="G132" t="s">
        <v>150</v>
      </c>
      <c r="H132" t="s">
        <v>151</v>
      </c>
      <c r="I132" t="s">
        <v>5</v>
      </c>
      <c r="J132" t="s">
        <v>152</v>
      </c>
      <c r="K132" t="s">
        <v>153</v>
      </c>
      <c r="L132">
        <v>251200039</v>
      </c>
      <c r="M132" s="84">
        <v>45993</v>
      </c>
      <c r="N132" s="84">
        <v>45993</v>
      </c>
      <c r="O132" t="s">
        <v>260</v>
      </c>
      <c r="P132" t="s">
        <v>261</v>
      </c>
      <c r="Q132">
        <v>4500</v>
      </c>
      <c r="R132">
        <v>12</v>
      </c>
      <c r="S132">
        <v>54000</v>
      </c>
      <c r="T132">
        <v>0</v>
      </c>
      <c r="U132">
        <v>0</v>
      </c>
      <c r="V132">
        <v>12</v>
      </c>
      <c r="W132">
        <v>54000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125</v>
      </c>
      <c r="B133" t="s">
        <v>149</v>
      </c>
      <c r="C133">
        <v>1593</v>
      </c>
      <c r="D133" t="s">
        <v>343</v>
      </c>
      <c r="E133" t="str">
        <f t="shared" si="1"/>
        <v>01593</v>
      </c>
      <c r="F133" t="s">
        <v>111</v>
      </c>
      <c r="G133" t="s">
        <v>150</v>
      </c>
      <c r="H133" t="s">
        <v>151</v>
      </c>
      <c r="I133" t="s">
        <v>4</v>
      </c>
      <c r="J133" t="s">
        <v>152</v>
      </c>
      <c r="K133" t="s">
        <v>153</v>
      </c>
      <c r="L133">
        <v>251200039</v>
      </c>
      <c r="M133" s="84">
        <v>45993</v>
      </c>
      <c r="N133" s="84">
        <v>45993</v>
      </c>
      <c r="O133" t="s">
        <v>177</v>
      </c>
      <c r="P133" t="s">
        <v>178</v>
      </c>
      <c r="Q133">
        <v>5500</v>
      </c>
      <c r="R133">
        <v>20</v>
      </c>
      <c r="S133">
        <v>110000</v>
      </c>
      <c r="T133">
        <v>0</v>
      </c>
      <c r="U133">
        <v>0</v>
      </c>
      <c r="V133">
        <v>20</v>
      </c>
      <c r="W133">
        <v>110000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>
        <v>126</v>
      </c>
      <c r="B134" t="s">
        <v>149</v>
      </c>
      <c r="C134">
        <v>615</v>
      </c>
      <c r="D134" t="s">
        <v>39</v>
      </c>
      <c r="E134" t="str">
        <f t="shared" si="1"/>
        <v>00615</v>
      </c>
      <c r="F134" t="s">
        <v>38</v>
      </c>
      <c r="G134" t="s">
        <v>202</v>
      </c>
      <c r="H134" t="s">
        <v>157</v>
      </c>
      <c r="I134" t="s">
        <v>4</v>
      </c>
      <c r="J134" t="s">
        <v>158</v>
      </c>
      <c r="K134" t="s">
        <v>203</v>
      </c>
      <c r="L134">
        <v>251200039</v>
      </c>
      <c r="M134" s="84">
        <v>46007</v>
      </c>
      <c r="N134" s="84">
        <v>46007</v>
      </c>
      <c r="O134" t="s">
        <v>225</v>
      </c>
      <c r="P134" t="s">
        <v>226</v>
      </c>
      <c r="Q134">
        <v>14250</v>
      </c>
      <c r="R134">
        <v>10</v>
      </c>
      <c r="S134">
        <v>142500</v>
      </c>
      <c r="T134">
        <v>0</v>
      </c>
      <c r="U134">
        <v>0</v>
      </c>
      <c r="V134">
        <v>10</v>
      </c>
      <c r="W134">
        <v>142500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>
        <v>127</v>
      </c>
      <c r="B135" t="s">
        <v>149</v>
      </c>
      <c r="C135">
        <v>1593</v>
      </c>
      <c r="D135" t="s">
        <v>343</v>
      </c>
      <c r="E135" t="str">
        <f t="shared" si="1"/>
        <v>01593</v>
      </c>
      <c r="F135" t="s">
        <v>111</v>
      </c>
      <c r="G135" t="s">
        <v>150</v>
      </c>
      <c r="H135" t="s">
        <v>151</v>
      </c>
      <c r="I135" t="s">
        <v>4</v>
      </c>
      <c r="J135" t="s">
        <v>152</v>
      </c>
      <c r="K135" t="s">
        <v>153</v>
      </c>
      <c r="L135">
        <v>251200039</v>
      </c>
      <c r="M135" s="84">
        <v>45993</v>
      </c>
      <c r="N135" s="84">
        <v>45993</v>
      </c>
      <c r="O135" t="s">
        <v>243</v>
      </c>
      <c r="P135" t="s">
        <v>244</v>
      </c>
      <c r="Q135">
        <v>5700</v>
      </c>
      <c r="R135">
        <v>10</v>
      </c>
      <c r="S135">
        <v>57000</v>
      </c>
      <c r="T135">
        <v>0</v>
      </c>
      <c r="U135">
        <v>0</v>
      </c>
      <c r="V135">
        <v>10</v>
      </c>
      <c r="W135">
        <v>57000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>
        <v>128</v>
      </c>
      <c r="B136" t="s">
        <v>149</v>
      </c>
      <c r="C136">
        <v>1593</v>
      </c>
      <c r="D136" t="s">
        <v>343</v>
      </c>
      <c r="E136" t="str">
        <f t="shared" si="1"/>
        <v>01593</v>
      </c>
      <c r="F136" t="s">
        <v>111</v>
      </c>
      <c r="G136" t="s">
        <v>150</v>
      </c>
      <c r="H136" t="s">
        <v>151</v>
      </c>
      <c r="I136" t="s">
        <v>4</v>
      </c>
      <c r="J136" t="s">
        <v>152</v>
      </c>
      <c r="K136" t="s">
        <v>153</v>
      </c>
      <c r="L136">
        <v>251200039</v>
      </c>
      <c r="M136" s="84">
        <v>45993</v>
      </c>
      <c r="N136" s="84">
        <v>45993</v>
      </c>
      <c r="O136" t="s">
        <v>160</v>
      </c>
      <c r="P136" t="s">
        <v>161</v>
      </c>
      <c r="Q136">
        <v>5500</v>
      </c>
      <c r="R136">
        <v>20</v>
      </c>
      <c r="S136">
        <v>110000</v>
      </c>
      <c r="T136">
        <v>0</v>
      </c>
      <c r="U136">
        <v>0</v>
      </c>
      <c r="V136">
        <v>20</v>
      </c>
      <c r="W136">
        <v>110000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>
        <v>129</v>
      </c>
      <c r="B137" t="s">
        <v>149</v>
      </c>
      <c r="C137">
        <v>1593</v>
      </c>
      <c r="D137" t="s">
        <v>343</v>
      </c>
      <c r="E137" t="str">
        <f t="shared" ref="E137:E200" si="2">TEXT(C137,"00000")</f>
        <v>01593</v>
      </c>
      <c r="F137" t="s">
        <v>111</v>
      </c>
      <c r="G137" t="s">
        <v>150</v>
      </c>
      <c r="H137" t="s">
        <v>151</v>
      </c>
      <c r="I137" t="s">
        <v>4</v>
      </c>
      <c r="J137" t="s">
        <v>152</v>
      </c>
      <c r="K137" t="s">
        <v>153</v>
      </c>
      <c r="L137">
        <v>251200039</v>
      </c>
      <c r="M137" s="84">
        <v>45993</v>
      </c>
      <c r="N137" s="84">
        <v>45993</v>
      </c>
      <c r="O137" t="s">
        <v>206</v>
      </c>
      <c r="P137" t="s">
        <v>207</v>
      </c>
      <c r="Q137">
        <v>5500</v>
      </c>
      <c r="R137">
        <v>10</v>
      </c>
      <c r="S137">
        <v>55000</v>
      </c>
      <c r="T137">
        <v>0</v>
      </c>
      <c r="U137">
        <v>0</v>
      </c>
      <c r="V137">
        <v>10</v>
      </c>
      <c r="W137">
        <v>55000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130</v>
      </c>
      <c r="B138" t="s">
        <v>149</v>
      </c>
      <c r="C138">
        <v>1557</v>
      </c>
      <c r="D138" t="s">
        <v>344</v>
      </c>
      <c r="E138" t="str">
        <f t="shared" si="2"/>
        <v>01557</v>
      </c>
      <c r="F138" t="s">
        <v>111</v>
      </c>
      <c r="G138" t="s">
        <v>150</v>
      </c>
      <c r="H138" t="s">
        <v>151</v>
      </c>
      <c r="I138" t="s">
        <v>5</v>
      </c>
      <c r="J138" t="s">
        <v>152</v>
      </c>
      <c r="K138" t="s">
        <v>153</v>
      </c>
      <c r="L138">
        <v>251200040</v>
      </c>
      <c r="M138" s="84">
        <v>45994</v>
      </c>
      <c r="N138" s="84">
        <v>45994</v>
      </c>
      <c r="O138" t="s">
        <v>271</v>
      </c>
      <c r="P138" t="s">
        <v>272</v>
      </c>
      <c r="Q138">
        <v>4500</v>
      </c>
      <c r="R138">
        <v>8</v>
      </c>
      <c r="S138">
        <v>36000</v>
      </c>
      <c r="T138">
        <v>0</v>
      </c>
      <c r="U138">
        <v>0</v>
      </c>
      <c r="V138">
        <v>8</v>
      </c>
      <c r="W138">
        <v>36000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131</v>
      </c>
      <c r="B139" t="s">
        <v>149</v>
      </c>
      <c r="C139">
        <v>615</v>
      </c>
      <c r="D139" t="s">
        <v>39</v>
      </c>
      <c r="E139" t="str">
        <f t="shared" si="2"/>
        <v>00615</v>
      </c>
      <c r="F139" t="s">
        <v>38</v>
      </c>
      <c r="G139" t="s">
        <v>202</v>
      </c>
      <c r="H139" t="s">
        <v>157</v>
      </c>
      <c r="I139" t="s">
        <v>4</v>
      </c>
      <c r="J139" t="s">
        <v>158</v>
      </c>
      <c r="K139" t="s">
        <v>203</v>
      </c>
      <c r="L139">
        <v>251200040</v>
      </c>
      <c r="M139" s="84">
        <v>46007</v>
      </c>
      <c r="N139" s="84">
        <v>46007</v>
      </c>
      <c r="O139" t="s">
        <v>223</v>
      </c>
      <c r="P139" t="s">
        <v>224</v>
      </c>
      <c r="Q139">
        <v>14250</v>
      </c>
      <c r="R139">
        <v>10</v>
      </c>
      <c r="S139">
        <v>142500</v>
      </c>
      <c r="T139">
        <v>0</v>
      </c>
      <c r="U139">
        <v>0</v>
      </c>
      <c r="V139">
        <v>10</v>
      </c>
      <c r="W139">
        <v>142500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>
      <c r="A140">
        <v>132</v>
      </c>
      <c r="B140" t="s">
        <v>149</v>
      </c>
      <c r="C140">
        <v>1557</v>
      </c>
      <c r="D140" t="s">
        <v>344</v>
      </c>
      <c r="E140" t="str">
        <f t="shared" si="2"/>
        <v>01557</v>
      </c>
      <c r="F140" t="s">
        <v>111</v>
      </c>
      <c r="G140" t="s">
        <v>150</v>
      </c>
      <c r="H140" t="s">
        <v>151</v>
      </c>
      <c r="I140" t="s">
        <v>4</v>
      </c>
      <c r="J140" t="s">
        <v>152</v>
      </c>
      <c r="K140" t="s">
        <v>153</v>
      </c>
      <c r="L140">
        <v>251200040</v>
      </c>
      <c r="M140" s="84">
        <v>45994</v>
      </c>
      <c r="N140" s="84">
        <v>45994</v>
      </c>
      <c r="O140" t="s">
        <v>243</v>
      </c>
      <c r="P140" t="s">
        <v>244</v>
      </c>
      <c r="Q140">
        <v>5700</v>
      </c>
      <c r="R140">
        <v>5</v>
      </c>
      <c r="S140">
        <v>28500</v>
      </c>
      <c r="T140">
        <v>0</v>
      </c>
      <c r="U140">
        <v>0</v>
      </c>
      <c r="V140">
        <v>5</v>
      </c>
      <c r="W140">
        <v>28500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>
        <v>133</v>
      </c>
      <c r="B141" t="s">
        <v>149</v>
      </c>
      <c r="C141">
        <v>1557</v>
      </c>
      <c r="D141" t="s">
        <v>344</v>
      </c>
      <c r="E141" t="str">
        <f t="shared" si="2"/>
        <v>01557</v>
      </c>
      <c r="F141" t="s">
        <v>111</v>
      </c>
      <c r="G141" t="s">
        <v>150</v>
      </c>
      <c r="H141" t="s">
        <v>151</v>
      </c>
      <c r="I141" t="s">
        <v>4</v>
      </c>
      <c r="J141" t="s">
        <v>152</v>
      </c>
      <c r="K141" t="s">
        <v>153</v>
      </c>
      <c r="L141">
        <v>251200040</v>
      </c>
      <c r="M141" s="84">
        <v>45994</v>
      </c>
      <c r="N141" s="84">
        <v>45994</v>
      </c>
      <c r="O141" t="s">
        <v>154</v>
      </c>
      <c r="P141" t="s">
        <v>155</v>
      </c>
      <c r="Q141">
        <v>5500</v>
      </c>
      <c r="R141">
        <v>10</v>
      </c>
      <c r="S141">
        <v>55000</v>
      </c>
      <c r="T141">
        <v>0</v>
      </c>
      <c r="U141">
        <v>0</v>
      </c>
      <c r="V141">
        <v>10</v>
      </c>
      <c r="W141">
        <v>55000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134</v>
      </c>
      <c r="B142" t="s">
        <v>149</v>
      </c>
      <c r="C142">
        <v>1557</v>
      </c>
      <c r="D142" t="s">
        <v>344</v>
      </c>
      <c r="E142" t="str">
        <f t="shared" si="2"/>
        <v>01557</v>
      </c>
      <c r="F142" t="s">
        <v>111</v>
      </c>
      <c r="G142" t="s">
        <v>150</v>
      </c>
      <c r="H142" t="s">
        <v>151</v>
      </c>
      <c r="I142" t="s">
        <v>5</v>
      </c>
      <c r="J142" t="s">
        <v>152</v>
      </c>
      <c r="K142" t="s">
        <v>153</v>
      </c>
      <c r="L142">
        <v>251200040</v>
      </c>
      <c r="M142" s="84">
        <v>45994</v>
      </c>
      <c r="N142" s="84">
        <v>45994</v>
      </c>
      <c r="O142" t="s">
        <v>273</v>
      </c>
      <c r="P142" t="s">
        <v>274</v>
      </c>
      <c r="Q142">
        <v>4500</v>
      </c>
      <c r="R142">
        <v>12</v>
      </c>
      <c r="S142">
        <v>54000</v>
      </c>
      <c r="T142">
        <v>0</v>
      </c>
      <c r="U142">
        <v>0</v>
      </c>
      <c r="V142">
        <v>12</v>
      </c>
      <c r="W142">
        <v>54000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>
        <v>135</v>
      </c>
      <c r="B143" t="s">
        <v>149</v>
      </c>
      <c r="C143">
        <v>1557</v>
      </c>
      <c r="D143" t="s">
        <v>344</v>
      </c>
      <c r="E143" t="str">
        <f t="shared" si="2"/>
        <v>01557</v>
      </c>
      <c r="F143" t="s">
        <v>111</v>
      </c>
      <c r="G143" t="s">
        <v>150</v>
      </c>
      <c r="H143" t="s">
        <v>151</v>
      </c>
      <c r="I143" t="s">
        <v>4</v>
      </c>
      <c r="J143" t="s">
        <v>152</v>
      </c>
      <c r="K143" t="s">
        <v>153</v>
      </c>
      <c r="L143">
        <v>251200040</v>
      </c>
      <c r="M143" s="84">
        <v>45994</v>
      </c>
      <c r="N143" s="84">
        <v>45994</v>
      </c>
      <c r="O143" t="s">
        <v>215</v>
      </c>
      <c r="P143" t="s">
        <v>216</v>
      </c>
      <c r="Q143">
        <v>5500</v>
      </c>
      <c r="R143">
        <v>5</v>
      </c>
      <c r="S143">
        <v>27500</v>
      </c>
      <c r="T143">
        <v>0</v>
      </c>
      <c r="U143">
        <v>0</v>
      </c>
      <c r="V143">
        <v>5</v>
      </c>
      <c r="W143">
        <v>27500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>
        <v>136</v>
      </c>
      <c r="B144" t="s">
        <v>149</v>
      </c>
      <c r="C144">
        <v>1557</v>
      </c>
      <c r="D144" t="s">
        <v>344</v>
      </c>
      <c r="E144" t="str">
        <f t="shared" si="2"/>
        <v>01557</v>
      </c>
      <c r="F144" t="s">
        <v>111</v>
      </c>
      <c r="G144" t="s">
        <v>150</v>
      </c>
      <c r="H144" t="s">
        <v>151</v>
      </c>
      <c r="I144" t="s">
        <v>4</v>
      </c>
      <c r="J144" t="s">
        <v>152</v>
      </c>
      <c r="K144" t="s">
        <v>153</v>
      </c>
      <c r="L144">
        <v>251200040</v>
      </c>
      <c r="M144" s="84">
        <v>45994</v>
      </c>
      <c r="N144" s="84">
        <v>45994</v>
      </c>
      <c r="O144" t="s">
        <v>160</v>
      </c>
      <c r="P144" t="s">
        <v>161</v>
      </c>
      <c r="Q144">
        <v>5500</v>
      </c>
      <c r="R144">
        <v>25</v>
      </c>
      <c r="S144">
        <v>137500</v>
      </c>
      <c r="T144">
        <v>0</v>
      </c>
      <c r="U144">
        <v>0</v>
      </c>
      <c r="V144">
        <v>25</v>
      </c>
      <c r="W144">
        <v>137500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>
        <v>137</v>
      </c>
      <c r="B145" t="s">
        <v>149</v>
      </c>
      <c r="C145">
        <v>1557</v>
      </c>
      <c r="D145" t="s">
        <v>344</v>
      </c>
      <c r="E145" t="str">
        <f t="shared" si="2"/>
        <v>01557</v>
      </c>
      <c r="F145" t="s">
        <v>111</v>
      </c>
      <c r="G145" t="s">
        <v>150</v>
      </c>
      <c r="H145" t="s">
        <v>151</v>
      </c>
      <c r="I145" t="s">
        <v>4</v>
      </c>
      <c r="J145" t="s">
        <v>152</v>
      </c>
      <c r="K145" t="s">
        <v>153</v>
      </c>
      <c r="L145">
        <v>251200040</v>
      </c>
      <c r="M145" s="84">
        <v>45994</v>
      </c>
      <c r="N145" s="84">
        <v>45994</v>
      </c>
      <c r="O145" t="s">
        <v>206</v>
      </c>
      <c r="P145" t="s">
        <v>207</v>
      </c>
      <c r="Q145">
        <v>5500</v>
      </c>
      <c r="R145">
        <v>5</v>
      </c>
      <c r="S145">
        <v>27500</v>
      </c>
      <c r="T145">
        <v>0</v>
      </c>
      <c r="U145">
        <v>0</v>
      </c>
      <c r="V145">
        <v>5</v>
      </c>
      <c r="W145">
        <v>27500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>
        <v>138</v>
      </c>
      <c r="B146" t="s">
        <v>149</v>
      </c>
      <c r="C146">
        <v>1557</v>
      </c>
      <c r="D146" t="s">
        <v>344</v>
      </c>
      <c r="E146" t="str">
        <f t="shared" si="2"/>
        <v>01557</v>
      </c>
      <c r="F146" t="s">
        <v>111</v>
      </c>
      <c r="G146" t="s">
        <v>150</v>
      </c>
      <c r="H146" t="s">
        <v>151</v>
      </c>
      <c r="I146" t="s">
        <v>4</v>
      </c>
      <c r="J146" t="s">
        <v>152</v>
      </c>
      <c r="K146" t="s">
        <v>153</v>
      </c>
      <c r="L146">
        <v>251200040</v>
      </c>
      <c r="M146" s="84">
        <v>45994</v>
      </c>
      <c r="N146" s="84">
        <v>45994</v>
      </c>
      <c r="O146" t="s">
        <v>177</v>
      </c>
      <c r="P146" t="s">
        <v>178</v>
      </c>
      <c r="Q146">
        <v>5500</v>
      </c>
      <c r="R146">
        <v>10</v>
      </c>
      <c r="S146">
        <v>55000</v>
      </c>
      <c r="T146">
        <v>0</v>
      </c>
      <c r="U146">
        <v>0</v>
      </c>
      <c r="V146">
        <v>10</v>
      </c>
      <c r="W146">
        <v>55000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>
        <v>139</v>
      </c>
      <c r="B147" t="s">
        <v>149</v>
      </c>
      <c r="C147">
        <v>400</v>
      </c>
      <c r="D147" t="s">
        <v>230</v>
      </c>
      <c r="E147" t="str">
        <f t="shared" si="2"/>
        <v>00400</v>
      </c>
      <c r="F147" t="s">
        <v>103</v>
      </c>
      <c r="G147" t="s">
        <v>167</v>
      </c>
      <c r="H147" t="s">
        <v>151</v>
      </c>
      <c r="I147" t="s">
        <v>231</v>
      </c>
      <c r="J147" t="s">
        <v>158</v>
      </c>
      <c r="K147" t="s">
        <v>153</v>
      </c>
      <c r="L147">
        <v>251200041</v>
      </c>
      <c r="M147" s="84">
        <v>46007</v>
      </c>
      <c r="N147" s="84">
        <v>46007</v>
      </c>
      <c r="O147" t="s">
        <v>232</v>
      </c>
      <c r="P147" t="s">
        <v>122</v>
      </c>
      <c r="Q147">
        <v>6213</v>
      </c>
      <c r="R147">
        <v>4</v>
      </c>
      <c r="S147">
        <v>24852</v>
      </c>
      <c r="T147">
        <v>0</v>
      </c>
      <c r="U147">
        <v>0</v>
      </c>
      <c r="V147">
        <v>4</v>
      </c>
      <c r="W147">
        <v>24852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>
        <v>140</v>
      </c>
      <c r="B148" t="s">
        <v>149</v>
      </c>
      <c r="C148">
        <v>1551</v>
      </c>
      <c r="D148" t="s">
        <v>316</v>
      </c>
      <c r="E148" t="str">
        <f t="shared" si="2"/>
        <v>01551</v>
      </c>
      <c r="F148" t="s">
        <v>111</v>
      </c>
      <c r="G148" t="s">
        <v>150</v>
      </c>
      <c r="H148" t="s">
        <v>151</v>
      </c>
      <c r="I148" t="s">
        <v>4</v>
      </c>
      <c r="J148" t="s">
        <v>152</v>
      </c>
      <c r="K148" t="s">
        <v>153</v>
      </c>
      <c r="L148">
        <v>251200041</v>
      </c>
      <c r="M148" s="84">
        <v>45994</v>
      </c>
      <c r="N148" s="84">
        <v>45994</v>
      </c>
      <c r="O148" t="s">
        <v>219</v>
      </c>
      <c r="P148" t="s">
        <v>220</v>
      </c>
      <c r="Q148">
        <v>5500</v>
      </c>
      <c r="R148">
        <v>10</v>
      </c>
      <c r="S148">
        <v>55000</v>
      </c>
      <c r="T148">
        <v>0</v>
      </c>
      <c r="U148">
        <v>0</v>
      </c>
      <c r="V148">
        <v>10</v>
      </c>
      <c r="W148">
        <v>55000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>
        <v>141</v>
      </c>
      <c r="B149" t="s">
        <v>149</v>
      </c>
      <c r="C149">
        <v>400</v>
      </c>
      <c r="D149" t="s">
        <v>230</v>
      </c>
      <c r="E149" t="str">
        <f t="shared" si="2"/>
        <v>00400</v>
      </c>
      <c r="F149" t="s">
        <v>103</v>
      </c>
      <c r="G149" t="s">
        <v>167</v>
      </c>
      <c r="H149" t="s">
        <v>151</v>
      </c>
      <c r="I149" t="s">
        <v>231</v>
      </c>
      <c r="J149" t="s">
        <v>158</v>
      </c>
      <c r="K149" t="s">
        <v>153</v>
      </c>
      <c r="L149">
        <v>251200041</v>
      </c>
      <c r="M149" s="84">
        <v>46007</v>
      </c>
      <c r="N149" s="84">
        <v>46007</v>
      </c>
      <c r="O149" t="s">
        <v>233</v>
      </c>
      <c r="P149" t="s">
        <v>118</v>
      </c>
      <c r="Q149">
        <v>4486</v>
      </c>
      <c r="R149">
        <v>4</v>
      </c>
      <c r="S149">
        <v>17944</v>
      </c>
      <c r="T149">
        <v>0</v>
      </c>
      <c r="U149">
        <v>0</v>
      </c>
      <c r="V149">
        <v>4</v>
      </c>
      <c r="W149">
        <v>17944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>
        <v>142</v>
      </c>
      <c r="B150" t="s">
        <v>149</v>
      </c>
      <c r="C150">
        <v>400</v>
      </c>
      <c r="D150" t="s">
        <v>230</v>
      </c>
      <c r="E150" t="str">
        <f t="shared" si="2"/>
        <v>00400</v>
      </c>
      <c r="F150" t="s">
        <v>103</v>
      </c>
      <c r="G150" t="s">
        <v>167</v>
      </c>
      <c r="H150" t="s">
        <v>151</v>
      </c>
      <c r="I150" t="s">
        <v>231</v>
      </c>
      <c r="J150" t="s">
        <v>158</v>
      </c>
      <c r="K150" t="s">
        <v>153</v>
      </c>
      <c r="L150">
        <v>251200042</v>
      </c>
      <c r="M150" s="84">
        <v>46007</v>
      </c>
      <c r="N150" s="84">
        <v>46007</v>
      </c>
      <c r="O150" t="s">
        <v>234</v>
      </c>
      <c r="P150" t="s">
        <v>235</v>
      </c>
      <c r="Q150">
        <v>10432</v>
      </c>
      <c r="R150">
        <v>1</v>
      </c>
      <c r="S150">
        <v>10432</v>
      </c>
      <c r="T150">
        <v>0</v>
      </c>
      <c r="U150">
        <v>0</v>
      </c>
      <c r="V150">
        <v>1</v>
      </c>
      <c r="W150">
        <v>10432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>
        <v>143</v>
      </c>
      <c r="B151" t="s">
        <v>149</v>
      </c>
      <c r="C151">
        <v>1549</v>
      </c>
      <c r="D151" t="s">
        <v>345</v>
      </c>
      <c r="E151" t="str">
        <f t="shared" si="2"/>
        <v>01549</v>
      </c>
      <c r="F151" t="s">
        <v>43</v>
      </c>
      <c r="G151" t="s">
        <v>150</v>
      </c>
      <c r="H151" t="s">
        <v>151</v>
      </c>
      <c r="I151" t="s">
        <v>4</v>
      </c>
      <c r="J151" t="s">
        <v>152</v>
      </c>
      <c r="K151" t="s">
        <v>153</v>
      </c>
      <c r="L151">
        <v>251200042</v>
      </c>
      <c r="M151" s="84">
        <v>45994</v>
      </c>
      <c r="N151" s="84">
        <v>45994</v>
      </c>
      <c r="O151" t="s">
        <v>160</v>
      </c>
      <c r="P151" t="s">
        <v>161</v>
      </c>
      <c r="Q151">
        <v>5500</v>
      </c>
      <c r="R151">
        <v>5</v>
      </c>
      <c r="S151">
        <v>27500</v>
      </c>
      <c r="T151">
        <v>0</v>
      </c>
      <c r="U151">
        <v>0</v>
      </c>
      <c r="V151">
        <v>5</v>
      </c>
      <c r="W151">
        <v>27500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>
        <v>144</v>
      </c>
      <c r="B152" t="s">
        <v>149</v>
      </c>
      <c r="C152">
        <v>615</v>
      </c>
      <c r="D152" t="s">
        <v>39</v>
      </c>
      <c r="E152" t="str">
        <f t="shared" si="2"/>
        <v>00615</v>
      </c>
      <c r="F152" t="s">
        <v>38</v>
      </c>
      <c r="G152" t="s">
        <v>202</v>
      </c>
      <c r="H152" t="s">
        <v>157</v>
      </c>
      <c r="I152" t="s">
        <v>4</v>
      </c>
      <c r="J152" t="s">
        <v>158</v>
      </c>
      <c r="K152" t="s">
        <v>203</v>
      </c>
      <c r="L152">
        <v>251200043</v>
      </c>
      <c r="M152" s="84">
        <v>46009</v>
      </c>
      <c r="N152" s="84">
        <v>46009</v>
      </c>
      <c r="O152" t="s">
        <v>223</v>
      </c>
      <c r="P152" t="s">
        <v>224</v>
      </c>
      <c r="Q152">
        <v>14250</v>
      </c>
      <c r="R152">
        <v>15</v>
      </c>
      <c r="S152">
        <v>213750</v>
      </c>
      <c r="T152">
        <v>0</v>
      </c>
      <c r="U152">
        <v>0</v>
      </c>
      <c r="V152">
        <v>15</v>
      </c>
      <c r="W152">
        <v>213750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>
      <c r="A153">
        <v>145</v>
      </c>
      <c r="B153" t="s">
        <v>149</v>
      </c>
      <c r="C153">
        <v>1553</v>
      </c>
      <c r="D153" t="s">
        <v>317</v>
      </c>
      <c r="E153" t="str">
        <f t="shared" si="2"/>
        <v>01553</v>
      </c>
      <c r="F153" t="s">
        <v>43</v>
      </c>
      <c r="G153" t="s">
        <v>150</v>
      </c>
      <c r="H153" t="s">
        <v>151</v>
      </c>
      <c r="I153" t="s">
        <v>4</v>
      </c>
      <c r="J153" t="s">
        <v>152</v>
      </c>
      <c r="K153" t="s">
        <v>153</v>
      </c>
      <c r="L153">
        <v>251200043</v>
      </c>
      <c r="M153" s="84">
        <v>45994</v>
      </c>
      <c r="N153" s="84">
        <v>45994</v>
      </c>
      <c r="O153" t="s">
        <v>160</v>
      </c>
      <c r="P153" t="s">
        <v>161</v>
      </c>
      <c r="Q153">
        <v>5500</v>
      </c>
      <c r="R153">
        <v>10</v>
      </c>
      <c r="S153">
        <v>55000</v>
      </c>
      <c r="T153">
        <v>0</v>
      </c>
      <c r="U153">
        <v>0</v>
      </c>
      <c r="V153">
        <v>10</v>
      </c>
      <c r="W153">
        <v>55000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146</v>
      </c>
      <c r="B154" t="s">
        <v>149</v>
      </c>
      <c r="C154">
        <v>1493</v>
      </c>
      <c r="D154" t="s">
        <v>69</v>
      </c>
      <c r="E154" t="str">
        <f t="shared" si="2"/>
        <v>01493</v>
      </c>
      <c r="F154" t="s">
        <v>65</v>
      </c>
      <c r="G154" t="s">
        <v>208</v>
      </c>
      <c r="H154" t="s">
        <v>157</v>
      </c>
      <c r="I154" t="s">
        <v>4</v>
      </c>
      <c r="J154" t="s">
        <v>158</v>
      </c>
      <c r="K154" t="s">
        <v>174</v>
      </c>
      <c r="L154">
        <v>251200044</v>
      </c>
      <c r="M154" s="84">
        <v>46011</v>
      </c>
      <c r="N154" s="84">
        <v>46011</v>
      </c>
      <c r="O154" t="s">
        <v>160</v>
      </c>
      <c r="P154" t="s">
        <v>161</v>
      </c>
      <c r="Q154">
        <v>14250</v>
      </c>
      <c r="R154">
        <v>15</v>
      </c>
      <c r="S154">
        <v>213750</v>
      </c>
      <c r="T154">
        <v>0</v>
      </c>
      <c r="U154">
        <v>0</v>
      </c>
      <c r="V154">
        <v>15</v>
      </c>
      <c r="W154">
        <v>213750</v>
      </c>
      <c r="X154">
        <v>2250</v>
      </c>
      <c r="Y154">
        <v>3000</v>
      </c>
      <c r="Z154">
        <v>0</v>
      </c>
      <c r="AA154">
        <v>0</v>
      </c>
      <c r="AB154">
        <v>0</v>
      </c>
      <c r="AC154">
        <v>5250</v>
      </c>
    </row>
    <row r="155" spans="1:29">
      <c r="A155">
        <v>147</v>
      </c>
      <c r="B155" t="s">
        <v>149</v>
      </c>
      <c r="C155">
        <v>1594</v>
      </c>
      <c r="D155" t="s">
        <v>346</v>
      </c>
      <c r="E155" t="str">
        <f t="shared" si="2"/>
        <v>01594</v>
      </c>
      <c r="F155" t="s">
        <v>73</v>
      </c>
      <c r="G155" t="s">
        <v>185</v>
      </c>
      <c r="H155" t="s">
        <v>151</v>
      </c>
      <c r="I155" t="s">
        <v>4</v>
      </c>
      <c r="J155" t="s">
        <v>152</v>
      </c>
      <c r="K155" t="s">
        <v>153</v>
      </c>
      <c r="L155">
        <v>251200044</v>
      </c>
      <c r="M155" s="84">
        <v>45994</v>
      </c>
      <c r="N155" s="84">
        <v>45994</v>
      </c>
      <c r="O155" t="s">
        <v>200</v>
      </c>
      <c r="P155" t="s">
        <v>201</v>
      </c>
      <c r="Q155">
        <v>5500</v>
      </c>
      <c r="R155">
        <v>1</v>
      </c>
      <c r="S155">
        <v>5500</v>
      </c>
      <c r="T155">
        <v>0</v>
      </c>
      <c r="U155">
        <v>0</v>
      </c>
      <c r="V155">
        <v>1</v>
      </c>
      <c r="W155">
        <v>5500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>
        <v>148</v>
      </c>
      <c r="B156" t="s">
        <v>149</v>
      </c>
      <c r="C156">
        <v>1594</v>
      </c>
      <c r="D156" t="s">
        <v>346</v>
      </c>
      <c r="E156" t="str">
        <f t="shared" si="2"/>
        <v>01594</v>
      </c>
      <c r="F156" t="s">
        <v>73</v>
      </c>
      <c r="G156" t="s">
        <v>185</v>
      </c>
      <c r="H156" t="s">
        <v>151</v>
      </c>
      <c r="I156" t="s">
        <v>4</v>
      </c>
      <c r="J156" t="s">
        <v>152</v>
      </c>
      <c r="K156" t="s">
        <v>153</v>
      </c>
      <c r="L156">
        <v>251200044</v>
      </c>
      <c r="M156" s="84">
        <v>45994</v>
      </c>
      <c r="N156" s="84">
        <v>45994</v>
      </c>
      <c r="O156" t="s">
        <v>177</v>
      </c>
      <c r="P156" t="s">
        <v>178</v>
      </c>
      <c r="Q156">
        <v>5500</v>
      </c>
      <c r="R156">
        <v>5</v>
      </c>
      <c r="S156">
        <v>27500</v>
      </c>
      <c r="T156">
        <v>0</v>
      </c>
      <c r="U156">
        <v>0</v>
      </c>
      <c r="V156">
        <v>5</v>
      </c>
      <c r="W156">
        <v>27500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149</v>
      </c>
      <c r="B157" t="s">
        <v>149</v>
      </c>
      <c r="C157">
        <v>315</v>
      </c>
      <c r="D157" t="s">
        <v>85</v>
      </c>
      <c r="E157" t="str">
        <f t="shared" si="2"/>
        <v>00315</v>
      </c>
      <c r="F157" t="s">
        <v>83</v>
      </c>
      <c r="G157" t="s">
        <v>164</v>
      </c>
      <c r="H157" t="s">
        <v>151</v>
      </c>
      <c r="I157" t="s">
        <v>5</v>
      </c>
      <c r="J157" t="s">
        <v>158</v>
      </c>
      <c r="K157" t="s">
        <v>153</v>
      </c>
      <c r="L157">
        <v>251200045</v>
      </c>
      <c r="M157" s="84">
        <v>46011</v>
      </c>
      <c r="N157" s="84">
        <v>46011</v>
      </c>
      <c r="O157" t="s">
        <v>217</v>
      </c>
      <c r="P157" t="s">
        <v>218</v>
      </c>
      <c r="Q157">
        <v>11700</v>
      </c>
      <c r="R157">
        <v>48</v>
      </c>
      <c r="S157">
        <v>561600</v>
      </c>
      <c r="T157">
        <v>0</v>
      </c>
      <c r="U157">
        <v>0</v>
      </c>
      <c r="V157">
        <v>48</v>
      </c>
      <c r="W157">
        <v>561600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150</v>
      </c>
      <c r="B158" t="s">
        <v>149</v>
      </c>
      <c r="C158">
        <v>1292</v>
      </c>
      <c r="D158" t="s">
        <v>336</v>
      </c>
      <c r="E158" t="str">
        <f t="shared" si="2"/>
        <v>01292</v>
      </c>
      <c r="F158" t="s">
        <v>73</v>
      </c>
      <c r="G158" t="s">
        <v>185</v>
      </c>
      <c r="H158" t="s">
        <v>151</v>
      </c>
      <c r="I158" t="s">
        <v>4</v>
      </c>
      <c r="J158" t="s">
        <v>152</v>
      </c>
      <c r="K158" t="s">
        <v>153</v>
      </c>
      <c r="L158">
        <v>251200045</v>
      </c>
      <c r="M158" s="84">
        <v>45994</v>
      </c>
      <c r="N158" s="84">
        <v>45994</v>
      </c>
      <c r="O158" t="s">
        <v>243</v>
      </c>
      <c r="P158" t="s">
        <v>244</v>
      </c>
      <c r="Q158">
        <v>5700</v>
      </c>
      <c r="R158">
        <v>10</v>
      </c>
      <c r="S158">
        <v>57000</v>
      </c>
      <c r="T158">
        <v>0</v>
      </c>
      <c r="U158">
        <v>0</v>
      </c>
      <c r="V158">
        <v>10</v>
      </c>
      <c r="W158">
        <v>57000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151</v>
      </c>
      <c r="B159" t="s">
        <v>149</v>
      </c>
      <c r="C159">
        <v>1292</v>
      </c>
      <c r="D159" t="s">
        <v>336</v>
      </c>
      <c r="E159" t="str">
        <f t="shared" si="2"/>
        <v>01292</v>
      </c>
      <c r="F159" t="s">
        <v>73</v>
      </c>
      <c r="G159" t="s">
        <v>185</v>
      </c>
      <c r="H159" t="s">
        <v>151</v>
      </c>
      <c r="I159" t="s">
        <v>4</v>
      </c>
      <c r="J159" t="s">
        <v>152</v>
      </c>
      <c r="K159" t="s">
        <v>153</v>
      </c>
      <c r="L159">
        <v>251200045</v>
      </c>
      <c r="M159" s="84">
        <v>45994</v>
      </c>
      <c r="N159" s="84">
        <v>45994</v>
      </c>
      <c r="O159" t="s">
        <v>160</v>
      </c>
      <c r="P159" t="s">
        <v>161</v>
      </c>
      <c r="Q159">
        <v>5500</v>
      </c>
      <c r="R159">
        <v>20</v>
      </c>
      <c r="S159">
        <v>110000</v>
      </c>
      <c r="T159">
        <v>0</v>
      </c>
      <c r="U159">
        <v>0</v>
      </c>
      <c r="V159">
        <v>20</v>
      </c>
      <c r="W159">
        <v>110000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152</v>
      </c>
      <c r="B160" t="s">
        <v>149</v>
      </c>
      <c r="C160">
        <v>1152</v>
      </c>
      <c r="D160" t="s">
        <v>58</v>
      </c>
      <c r="E160" t="str">
        <f t="shared" si="2"/>
        <v>01152</v>
      </c>
      <c r="F160" t="s">
        <v>49</v>
      </c>
      <c r="G160" t="s">
        <v>167</v>
      </c>
      <c r="H160" t="s">
        <v>151</v>
      </c>
      <c r="I160" t="s">
        <v>4</v>
      </c>
      <c r="J160" t="s">
        <v>158</v>
      </c>
      <c r="K160" t="s">
        <v>153</v>
      </c>
      <c r="L160">
        <v>251200046</v>
      </c>
      <c r="M160" s="84">
        <v>46011</v>
      </c>
      <c r="N160" s="84">
        <v>46011</v>
      </c>
      <c r="O160" t="s">
        <v>160</v>
      </c>
      <c r="P160" t="s">
        <v>161</v>
      </c>
      <c r="Q160">
        <v>14250</v>
      </c>
      <c r="R160">
        <v>32</v>
      </c>
      <c r="S160">
        <v>456000</v>
      </c>
      <c r="T160">
        <v>0</v>
      </c>
      <c r="U160">
        <v>0</v>
      </c>
      <c r="V160">
        <v>32</v>
      </c>
      <c r="W160">
        <v>456000</v>
      </c>
      <c r="X160">
        <v>4800</v>
      </c>
      <c r="Y160">
        <v>6400</v>
      </c>
      <c r="Z160">
        <v>0</v>
      </c>
      <c r="AA160">
        <v>0</v>
      </c>
      <c r="AB160">
        <v>0</v>
      </c>
      <c r="AC160">
        <v>11200</v>
      </c>
    </row>
    <row r="161" spans="1:29">
      <c r="A161">
        <v>153</v>
      </c>
      <c r="B161" t="s">
        <v>149</v>
      </c>
      <c r="C161">
        <v>1326</v>
      </c>
      <c r="D161" t="s">
        <v>338</v>
      </c>
      <c r="E161" t="str">
        <f t="shared" si="2"/>
        <v>01326</v>
      </c>
      <c r="F161" t="s">
        <v>15</v>
      </c>
      <c r="G161" t="s">
        <v>193</v>
      </c>
      <c r="H161" t="s">
        <v>151</v>
      </c>
      <c r="I161" t="s">
        <v>5</v>
      </c>
      <c r="J161" t="s">
        <v>152</v>
      </c>
      <c r="K161" t="s">
        <v>153</v>
      </c>
      <c r="L161">
        <v>251200046</v>
      </c>
      <c r="M161" s="84">
        <v>45994</v>
      </c>
      <c r="N161" s="84">
        <v>45994</v>
      </c>
      <c r="O161" t="s">
        <v>253</v>
      </c>
      <c r="P161" t="s">
        <v>254</v>
      </c>
      <c r="Q161">
        <v>4500</v>
      </c>
      <c r="R161">
        <v>8</v>
      </c>
      <c r="S161">
        <v>36000</v>
      </c>
      <c r="T161">
        <v>0</v>
      </c>
      <c r="U161">
        <v>0</v>
      </c>
      <c r="V161">
        <v>8</v>
      </c>
      <c r="W161">
        <v>36000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154</v>
      </c>
      <c r="B162" t="s">
        <v>149</v>
      </c>
      <c r="C162">
        <v>1326</v>
      </c>
      <c r="D162" t="s">
        <v>338</v>
      </c>
      <c r="E162" t="str">
        <f t="shared" si="2"/>
        <v>01326</v>
      </c>
      <c r="F162" t="s">
        <v>15</v>
      </c>
      <c r="G162" t="s">
        <v>193</v>
      </c>
      <c r="H162" t="s">
        <v>151</v>
      </c>
      <c r="I162" t="s">
        <v>4</v>
      </c>
      <c r="J162" t="s">
        <v>152</v>
      </c>
      <c r="K162" t="s">
        <v>153</v>
      </c>
      <c r="L162">
        <v>251200046</v>
      </c>
      <c r="M162" s="84">
        <v>45994</v>
      </c>
      <c r="N162" s="84">
        <v>45994</v>
      </c>
      <c r="O162" t="s">
        <v>243</v>
      </c>
      <c r="P162" t="s">
        <v>244</v>
      </c>
      <c r="Q162">
        <v>5700</v>
      </c>
      <c r="R162">
        <v>5</v>
      </c>
      <c r="S162">
        <v>28500</v>
      </c>
      <c r="T162">
        <v>0</v>
      </c>
      <c r="U162">
        <v>0</v>
      </c>
      <c r="V162">
        <v>5</v>
      </c>
      <c r="W162">
        <v>28500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155</v>
      </c>
      <c r="B163" t="s">
        <v>149</v>
      </c>
      <c r="C163">
        <v>1326</v>
      </c>
      <c r="D163" t="s">
        <v>338</v>
      </c>
      <c r="E163" t="str">
        <f t="shared" si="2"/>
        <v>01326</v>
      </c>
      <c r="F163" t="s">
        <v>15</v>
      </c>
      <c r="G163" t="s">
        <v>193</v>
      </c>
      <c r="H163" t="s">
        <v>151</v>
      </c>
      <c r="I163" t="s">
        <v>4</v>
      </c>
      <c r="J163" t="s">
        <v>152</v>
      </c>
      <c r="K163" t="s">
        <v>153</v>
      </c>
      <c r="L163">
        <v>251200046</v>
      </c>
      <c r="M163" s="84">
        <v>45994</v>
      </c>
      <c r="N163" s="84">
        <v>45994</v>
      </c>
      <c r="O163" t="s">
        <v>160</v>
      </c>
      <c r="P163" t="s">
        <v>161</v>
      </c>
      <c r="Q163">
        <v>5500</v>
      </c>
      <c r="R163">
        <v>10</v>
      </c>
      <c r="S163">
        <v>55000</v>
      </c>
      <c r="T163">
        <v>0</v>
      </c>
      <c r="U163">
        <v>0</v>
      </c>
      <c r="V163">
        <v>10</v>
      </c>
      <c r="W163">
        <v>55000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>
        <v>156</v>
      </c>
      <c r="B164" t="s">
        <v>149</v>
      </c>
      <c r="C164">
        <v>471</v>
      </c>
      <c r="D164" t="s">
        <v>25</v>
      </c>
      <c r="E164" t="str">
        <f t="shared" si="2"/>
        <v>00471</v>
      </c>
      <c r="F164" t="s">
        <v>20</v>
      </c>
      <c r="G164" t="s">
        <v>193</v>
      </c>
      <c r="H164" t="s">
        <v>151</v>
      </c>
      <c r="I164" t="s">
        <v>4</v>
      </c>
      <c r="J164" t="s">
        <v>152</v>
      </c>
      <c r="K164" t="s">
        <v>236</v>
      </c>
      <c r="L164">
        <v>251200047</v>
      </c>
      <c r="M164" s="84">
        <v>45994</v>
      </c>
      <c r="N164" s="84">
        <v>45994</v>
      </c>
      <c r="O164" t="s">
        <v>206</v>
      </c>
      <c r="P164" t="s">
        <v>207</v>
      </c>
      <c r="Q164">
        <v>14250</v>
      </c>
      <c r="R164">
        <v>10</v>
      </c>
      <c r="S164">
        <v>142500</v>
      </c>
      <c r="T164">
        <v>0</v>
      </c>
      <c r="U164">
        <v>0</v>
      </c>
      <c r="V164">
        <v>10</v>
      </c>
      <c r="W164">
        <v>142500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157</v>
      </c>
      <c r="B165" t="s">
        <v>149</v>
      </c>
      <c r="C165">
        <v>471</v>
      </c>
      <c r="D165" t="s">
        <v>25</v>
      </c>
      <c r="E165" t="str">
        <f t="shared" si="2"/>
        <v>00471</v>
      </c>
      <c r="F165" t="s">
        <v>20</v>
      </c>
      <c r="G165" t="s">
        <v>193</v>
      </c>
      <c r="H165" t="s">
        <v>151</v>
      </c>
      <c r="I165" t="s">
        <v>4</v>
      </c>
      <c r="J165" t="s">
        <v>152</v>
      </c>
      <c r="K165" t="s">
        <v>236</v>
      </c>
      <c r="L165">
        <v>251200047</v>
      </c>
      <c r="M165" s="84">
        <v>45994</v>
      </c>
      <c r="N165" s="84">
        <v>45994</v>
      </c>
      <c r="O165" t="s">
        <v>162</v>
      </c>
      <c r="P165" t="s">
        <v>163</v>
      </c>
      <c r="Q165">
        <v>14250</v>
      </c>
      <c r="R165">
        <v>10</v>
      </c>
      <c r="S165">
        <v>142500</v>
      </c>
      <c r="T165">
        <v>0</v>
      </c>
      <c r="U165">
        <v>0</v>
      </c>
      <c r="V165">
        <v>10</v>
      </c>
      <c r="W165">
        <v>142500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>
        <v>158</v>
      </c>
      <c r="B166" t="s">
        <v>149</v>
      </c>
      <c r="C166">
        <v>471</v>
      </c>
      <c r="D166" t="s">
        <v>25</v>
      </c>
      <c r="E166" t="str">
        <f t="shared" si="2"/>
        <v>00471</v>
      </c>
      <c r="F166" t="s">
        <v>20</v>
      </c>
      <c r="G166" t="s">
        <v>193</v>
      </c>
      <c r="H166" t="s">
        <v>151</v>
      </c>
      <c r="I166" t="s">
        <v>4</v>
      </c>
      <c r="J166" t="s">
        <v>152</v>
      </c>
      <c r="K166" t="s">
        <v>236</v>
      </c>
      <c r="L166">
        <v>251200047</v>
      </c>
      <c r="M166" s="84">
        <v>45994</v>
      </c>
      <c r="N166" s="84">
        <v>45994</v>
      </c>
      <c r="O166" t="s">
        <v>154</v>
      </c>
      <c r="P166" t="s">
        <v>155</v>
      </c>
      <c r="Q166">
        <v>14250</v>
      </c>
      <c r="R166">
        <v>10</v>
      </c>
      <c r="S166">
        <v>142500</v>
      </c>
      <c r="T166">
        <v>0</v>
      </c>
      <c r="U166">
        <v>0</v>
      </c>
      <c r="V166">
        <v>10</v>
      </c>
      <c r="W166">
        <v>142500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159</v>
      </c>
      <c r="B167" t="s">
        <v>149</v>
      </c>
      <c r="C167">
        <v>471</v>
      </c>
      <c r="D167" t="s">
        <v>25</v>
      </c>
      <c r="E167" t="str">
        <f t="shared" si="2"/>
        <v>00471</v>
      </c>
      <c r="F167" t="s">
        <v>20</v>
      </c>
      <c r="G167" t="s">
        <v>193</v>
      </c>
      <c r="H167" t="s">
        <v>151</v>
      </c>
      <c r="I167" t="s">
        <v>4</v>
      </c>
      <c r="J167" t="s">
        <v>152</v>
      </c>
      <c r="K167" t="s">
        <v>236</v>
      </c>
      <c r="L167">
        <v>251200047</v>
      </c>
      <c r="M167" s="84">
        <v>45994</v>
      </c>
      <c r="N167" s="84">
        <v>45994</v>
      </c>
      <c r="O167" t="s">
        <v>204</v>
      </c>
      <c r="P167" t="s">
        <v>205</v>
      </c>
      <c r="Q167">
        <v>14250</v>
      </c>
      <c r="R167">
        <v>10</v>
      </c>
      <c r="S167">
        <v>142500</v>
      </c>
      <c r="T167">
        <v>0</v>
      </c>
      <c r="U167">
        <v>0</v>
      </c>
      <c r="V167">
        <v>10</v>
      </c>
      <c r="W167">
        <v>142500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160</v>
      </c>
      <c r="B168" t="s">
        <v>149</v>
      </c>
      <c r="C168">
        <v>647</v>
      </c>
      <c r="D168" t="s">
        <v>237</v>
      </c>
      <c r="E168" t="str">
        <f t="shared" si="2"/>
        <v>00647</v>
      </c>
      <c r="F168" t="s">
        <v>65</v>
      </c>
      <c r="G168" t="s">
        <v>208</v>
      </c>
      <c r="H168" t="s">
        <v>157</v>
      </c>
      <c r="I168" t="s">
        <v>238</v>
      </c>
      <c r="J168" t="s">
        <v>158</v>
      </c>
      <c r="K168" t="s">
        <v>174</v>
      </c>
      <c r="L168">
        <v>251200047</v>
      </c>
      <c r="M168" s="84">
        <v>46011</v>
      </c>
      <c r="N168" s="84">
        <v>46011</v>
      </c>
      <c r="O168" t="s">
        <v>239</v>
      </c>
      <c r="P168" t="s">
        <v>240</v>
      </c>
      <c r="Q168">
        <v>13684</v>
      </c>
      <c r="R168">
        <v>1</v>
      </c>
      <c r="S168">
        <v>13684</v>
      </c>
      <c r="T168">
        <v>0</v>
      </c>
      <c r="U168">
        <v>0</v>
      </c>
      <c r="V168">
        <v>1</v>
      </c>
      <c r="W168">
        <v>13684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161</v>
      </c>
      <c r="B169" t="s">
        <v>149</v>
      </c>
      <c r="C169">
        <v>471</v>
      </c>
      <c r="D169" t="s">
        <v>25</v>
      </c>
      <c r="E169" t="str">
        <f t="shared" si="2"/>
        <v>00471</v>
      </c>
      <c r="F169" t="s">
        <v>20</v>
      </c>
      <c r="G169" t="s">
        <v>193</v>
      </c>
      <c r="H169" t="s">
        <v>151</v>
      </c>
      <c r="I169" t="s">
        <v>4</v>
      </c>
      <c r="J169" t="s">
        <v>152</v>
      </c>
      <c r="K169" t="s">
        <v>236</v>
      </c>
      <c r="L169">
        <v>251200047</v>
      </c>
      <c r="M169" s="84">
        <v>45994</v>
      </c>
      <c r="N169" s="84">
        <v>45994</v>
      </c>
      <c r="O169" t="s">
        <v>179</v>
      </c>
      <c r="P169" t="s">
        <v>180</v>
      </c>
      <c r="Q169">
        <v>14250</v>
      </c>
      <c r="R169">
        <v>25</v>
      </c>
      <c r="S169">
        <v>356250</v>
      </c>
      <c r="T169">
        <v>0</v>
      </c>
      <c r="U169">
        <v>0</v>
      </c>
      <c r="V169">
        <v>25</v>
      </c>
      <c r="W169">
        <v>356250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>
        <v>162</v>
      </c>
      <c r="B170" t="s">
        <v>149</v>
      </c>
      <c r="C170">
        <v>647</v>
      </c>
      <c r="D170" t="s">
        <v>237</v>
      </c>
      <c r="E170" t="str">
        <f t="shared" si="2"/>
        <v>00647</v>
      </c>
      <c r="F170" t="s">
        <v>65</v>
      </c>
      <c r="G170" t="s">
        <v>208</v>
      </c>
      <c r="H170" t="s">
        <v>157</v>
      </c>
      <c r="I170" t="s">
        <v>238</v>
      </c>
      <c r="J170" t="s">
        <v>158</v>
      </c>
      <c r="K170" t="s">
        <v>174</v>
      </c>
      <c r="L170">
        <v>251200047</v>
      </c>
      <c r="M170" s="84">
        <v>46011</v>
      </c>
      <c r="N170" s="84">
        <v>46011</v>
      </c>
      <c r="O170" t="s">
        <v>241</v>
      </c>
      <c r="P170" t="s">
        <v>242</v>
      </c>
      <c r="Q170">
        <v>17156</v>
      </c>
      <c r="R170">
        <v>2</v>
      </c>
      <c r="S170">
        <v>34312</v>
      </c>
      <c r="T170">
        <v>0</v>
      </c>
      <c r="U170">
        <v>0</v>
      </c>
      <c r="V170">
        <v>2</v>
      </c>
      <c r="W170">
        <v>34312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163</v>
      </c>
      <c r="B171" t="s">
        <v>149</v>
      </c>
      <c r="C171">
        <v>471</v>
      </c>
      <c r="D171" t="s">
        <v>25</v>
      </c>
      <c r="E171" t="str">
        <f t="shared" si="2"/>
        <v>00471</v>
      </c>
      <c r="F171" t="s">
        <v>20</v>
      </c>
      <c r="G171" t="s">
        <v>193</v>
      </c>
      <c r="H171" t="s">
        <v>151</v>
      </c>
      <c r="I171" t="s">
        <v>4</v>
      </c>
      <c r="J171" t="s">
        <v>152</v>
      </c>
      <c r="K171" t="s">
        <v>236</v>
      </c>
      <c r="L171">
        <v>251200047</v>
      </c>
      <c r="M171" s="84">
        <v>45994</v>
      </c>
      <c r="N171" s="84">
        <v>45994</v>
      </c>
      <c r="O171" t="s">
        <v>160</v>
      </c>
      <c r="P171" t="s">
        <v>161</v>
      </c>
      <c r="Q171">
        <v>14250</v>
      </c>
      <c r="R171">
        <v>60</v>
      </c>
      <c r="S171">
        <v>855000</v>
      </c>
      <c r="T171">
        <v>0</v>
      </c>
      <c r="U171">
        <v>0</v>
      </c>
      <c r="V171">
        <v>60</v>
      </c>
      <c r="W171">
        <v>855000</v>
      </c>
      <c r="X171">
        <v>9000</v>
      </c>
      <c r="Y171">
        <v>12000</v>
      </c>
      <c r="Z171">
        <v>0</v>
      </c>
      <c r="AA171">
        <v>0</v>
      </c>
      <c r="AB171">
        <v>0</v>
      </c>
      <c r="AC171">
        <v>21000</v>
      </c>
    </row>
    <row r="172" spans="1:29">
      <c r="A172">
        <v>164</v>
      </c>
      <c r="B172" t="s">
        <v>149</v>
      </c>
      <c r="C172">
        <v>471</v>
      </c>
      <c r="D172" t="s">
        <v>25</v>
      </c>
      <c r="E172" t="str">
        <f t="shared" si="2"/>
        <v>00471</v>
      </c>
      <c r="F172" t="s">
        <v>20</v>
      </c>
      <c r="G172" t="s">
        <v>193</v>
      </c>
      <c r="H172" t="s">
        <v>151</v>
      </c>
      <c r="I172" t="s">
        <v>4</v>
      </c>
      <c r="J172" t="s">
        <v>152</v>
      </c>
      <c r="K172" t="s">
        <v>236</v>
      </c>
      <c r="L172">
        <v>251200047</v>
      </c>
      <c r="M172" s="84">
        <v>45994</v>
      </c>
      <c r="N172" s="84">
        <v>45994</v>
      </c>
      <c r="O172" t="s">
        <v>243</v>
      </c>
      <c r="P172" t="s">
        <v>244</v>
      </c>
      <c r="Q172">
        <v>15050</v>
      </c>
      <c r="R172">
        <v>8</v>
      </c>
      <c r="S172">
        <v>120400</v>
      </c>
      <c r="T172">
        <v>0</v>
      </c>
      <c r="U172">
        <v>0</v>
      </c>
      <c r="V172">
        <v>8</v>
      </c>
      <c r="W172">
        <v>120400</v>
      </c>
      <c r="X172">
        <v>1200</v>
      </c>
      <c r="Y172">
        <v>1600</v>
      </c>
      <c r="Z172">
        <v>0</v>
      </c>
      <c r="AA172">
        <v>0</v>
      </c>
      <c r="AB172">
        <v>0</v>
      </c>
      <c r="AC172">
        <v>2800</v>
      </c>
    </row>
    <row r="173" spans="1:29">
      <c r="A173">
        <v>165</v>
      </c>
      <c r="B173" t="s">
        <v>149</v>
      </c>
      <c r="C173">
        <v>471</v>
      </c>
      <c r="D173" t="s">
        <v>25</v>
      </c>
      <c r="E173" t="str">
        <f t="shared" si="2"/>
        <v>00471</v>
      </c>
      <c r="F173" t="s">
        <v>20</v>
      </c>
      <c r="G173" t="s">
        <v>193</v>
      </c>
      <c r="H173" t="s">
        <v>151</v>
      </c>
      <c r="I173" t="s">
        <v>5</v>
      </c>
      <c r="J173" t="s">
        <v>152</v>
      </c>
      <c r="K173" t="s">
        <v>236</v>
      </c>
      <c r="L173">
        <v>251200047</v>
      </c>
      <c r="M173" s="84">
        <v>45994</v>
      </c>
      <c r="N173" s="84">
        <v>45994</v>
      </c>
      <c r="O173" t="s">
        <v>191</v>
      </c>
      <c r="P173" t="s">
        <v>192</v>
      </c>
      <c r="Q173">
        <v>11700</v>
      </c>
      <c r="R173">
        <v>17</v>
      </c>
      <c r="S173">
        <v>198900</v>
      </c>
      <c r="T173">
        <v>0</v>
      </c>
      <c r="U173">
        <v>0</v>
      </c>
      <c r="V173">
        <v>17</v>
      </c>
      <c r="W173">
        <v>198900</v>
      </c>
      <c r="X173">
        <v>2550</v>
      </c>
      <c r="Y173">
        <v>2550</v>
      </c>
      <c r="Z173">
        <v>0</v>
      </c>
      <c r="AA173">
        <v>0</v>
      </c>
      <c r="AB173">
        <v>0</v>
      </c>
      <c r="AC173">
        <v>5100</v>
      </c>
    </row>
    <row r="174" spans="1:29">
      <c r="A174">
        <v>166</v>
      </c>
      <c r="B174" t="s">
        <v>149</v>
      </c>
      <c r="C174">
        <v>315</v>
      </c>
      <c r="D174" t="s">
        <v>85</v>
      </c>
      <c r="E174" t="str">
        <f t="shared" si="2"/>
        <v>00315</v>
      </c>
      <c r="F174" t="s">
        <v>83</v>
      </c>
      <c r="G174" t="s">
        <v>164</v>
      </c>
      <c r="H174" t="s">
        <v>151</v>
      </c>
      <c r="I174" t="s">
        <v>5</v>
      </c>
      <c r="J174" t="s">
        <v>158</v>
      </c>
      <c r="K174" t="s">
        <v>153</v>
      </c>
      <c r="L174">
        <v>251200048</v>
      </c>
      <c r="M174" s="84">
        <v>46013</v>
      </c>
      <c r="N174" s="84">
        <v>46013</v>
      </c>
      <c r="O174" t="s">
        <v>217</v>
      </c>
      <c r="P174" t="s">
        <v>218</v>
      </c>
      <c r="Q174">
        <v>11700</v>
      </c>
      <c r="R174">
        <v>48</v>
      </c>
      <c r="S174">
        <v>561600</v>
      </c>
      <c r="T174">
        <v>0</v>
      </c>
      <c r="U174">
        <v>0</v>
      </c>
      <c r="V174">
        <v>48</v>
      </c>
      <c r="W174">
        <v>561600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>
        <v>167</v>
      </c>
      <c r="B175" t="s">
        <v>149</v>
      </c>
      <c r="C175">
        <v>471</v>
      </c>
      <c r="D175" t="s">
        <v>25</v>
      </c>
      <c r="E175" t="str">
        <f t="shared" si="2"/>
        <v>00471</v>
      </c>
      <c r="F175" t="s">
        <v>20</v>
      </c>
      <c r="G175" t="s">
        <v>193</v>
      </c>
      <c r="H175" t="s">
        <v>151</v>
      </c>
      <c r="I175" t="s">
        <v>5</v>
      </c>
      <c r="J175" t="s">
        <v>152</v>
      </c>
      <c r="K175" t="s">
        <v>236</v>
      </c>
      <c r="L175">
        <v>251200048</v>
      </c>
      <c r="M175" s="84">
        <v>45994</v>
      </c>
      <c r="N175" s="84">
        <v>45994</v>
      </c>
      <c r="O175" t="s">
        <v>191</v>
      </c>
      <c r="P175" t="s">
        <v>192</v>
      </c>
      <c r="Q175">
        <v>11700</v>
      </c>
      <c r="R175">
        <v>3</v>
      </c>
      <c r="S175">
        <v>35100</v>
      </c>
      <c r="T175">
        <v>0</v>
      </c>
      <c r="U175">
        <v>0</v>
      </c>
      <c r="V175">
        <v>3</v>
      </c>
      <c r="W175">
        <v>35100</v>
      </c>
      <c r="X175">
        <v>450</v>
      </c>
      <c r="Y175">
        <v>450</v>
      </c>
      <c r="Z175">
        <v>0</v>
      </c>
      <c r="AA175">
        <v>0</v>
      </c>
      <c r="AB175">
        <v>0</v>
      </c>
      <c r="AC175">
        <v>900</v>
      </c>
    </row>
    <row r="176" spans="1:29">
      <c r="A176">
        <v>168</v>
      </c>
      <c r="B176" t="s">
        <v>149</v>
      </c>
      <c r="C176">
        <v>159</v>
      </c>
      <c r="D176" t="s">
        <v>50</v>
      </c>
      <c r="E176" t="str">
        <f t="shared" si="2"/>
        <v>00159</v>
      </c>
      <c r="F176" t="s">
        <v>49</v>
      </c>
      <c r="G176" t="s">
        <v>167</v>
      </c>
      <c r="H176" t="s">
        <v>151</v>
      </c>
      <c r="I176" t="s">
        <v>4</v>
      </c>
      <c r="J176" t="s">
        <v>152</v>
      </c>
      <c r="K176" t="s">
        <v>153</v>
      </c>
      <c r="L176">
        <v>251200049</v>
      </c>
      <c r="M176" s="84">
        <v>45994</v>
      </c>
      <c r="N176" s="84">
        <v>45994</v>
      </c>
      <c r="O176" t="s">
        <v>215</v>
      </c>
      <c r="P176" t="s">
        <v>216</v>
      </c>
      <c r="Q176">
        <v>14250</v>
      </c>
      <c r="R176">
        <v>4</v>
      </c>
      <c r="S176">
        <v>57000</v>
      </c>
      <c r="T176">
        <v>0</v>
      </c>
      <c r="U176">
        <v>0</v>
      </c>
      <c r="V176">
        <v>4</v>
      </c>
      <c r="W176">
        <v>57000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169</v>
      </c>
      <c r="B177" t="s">
        <v>149</v>
      </c>
      <c r="C177">
        <v>1499</v>
      </c>
      <c r="D177" t="s">
        <v>41</v>
      </c>
      <c r="E177" t="str">
        <f t="shared" si="2"/>
        <v>01499</v>
      </c>
      <c r="F177" t="s">
        <v>38</v>
      </c>
      <c r="G177" t="s">
        <v>202</v>
      </c>
      <c r="H177" t="s">
        <v>157</v>
      </c>
      <c r="I177" t="s">
        <v>4</v>
      </c>
      <c r="J177" t="s">
        <v>158</v>
      </c>
      <c r="K177" t="s">
        <v>203</v>
      </c>
      <c r="L177">
        <v>251200049</v>
      </c>
      <c r="M177" s="84">
        <v>46013</v>
      </c>
      <c r="N177" s="84">
        <v>46013</v>
      </c>
      <c r="O177" t="s">
        <v>160</v>
      </c>
      <c r="P177" t="s">
        <v>161</v>
      </c>
      <c r="Q177">
        <v>14250</v>
      </c>
      <c r="R177">
        <v>2</v>
      </c>
      <c r="S177">
        <v>28500</v>
      </c>
      <c r="T177">
        <v>0</v>
      </c>
      <c r="U177">
        <v>0</v>
      </c>
      <c r="V177">
        <v>2</v>
      </c>
      <c r="W177">
        <v>28500</v>
      </c>
      <c r="X177">
        <v>300</v>
      </c>
      <c r="Y177">
        <v>400</v>
      </c>
      <c r="Z177">
        <v>0</v>
      </c>
      <c r="AA177">
        <v>0</v>
      </c>
      <c r="AB177">
        <v>0</v>
      </c>
      <c r="AC177">
        <v>700</v>
      </c>
    </row>
    <row r="178" spans="1:29">
      <c r="A178">
        <v>170</v>
      </c>
      <c r="B178" t="s">
        <v>149</v>
      </c>
      <c r="C178">
        <v>1130</v>
      </c>
      <c r="D178" t="s">
        <v>53</v>
      </c>
      <c r="E178" t="str">
        <f t="shared" si="2"/>
        <v>01130</v>
      </c>
      <c r="F178" t="s">
        <v>49</v>
      </c>
      <c r="G178" t="s">
        <v>167</v>
      </c>
      <c r="H178" t="s">
        <v>151</v>
      </c>
      <c r="I178" t="s">
        <v>4</v>
      </c>
      <c r="J178" t="s">
        <v>152</v>
      </c>
      <c r="K178" t="s">
        <v>153</v>
      </c>
      <c r="L178">
        <v>251200050</v>
      </c>
      <c r="M178" s="84">
        <v>45994</v>
      </c>
      <c r="N178" s="84">
        <v>45994</v>
      </c>
      <c r="O178" t="s">
        <v>179</v>
      </c>
      <c r="P178" t="s">
        <v>180</v>
      </c>
      <c r="Q178">
        <v>14250</v>
      </c>
      <c r="R178">
        <v>5</v>
      </c>
      <c r="S178">
        <v>71250</v>
      </c>
      <c r="T178">
        <v>0</v>
      </c>
      <c r="U178">
        <v>0</v>
      </c>
      <c r="V178">
        <v>5</v>
      </c>
      <c r="W178">
        <v>71250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>
        <v>171</v>
      </c>
      <c r="B179" t="s">
        <v>149</v>
      </c>
      <c r="C179">
        <v>1130</v>
      </c>
      <c r="D179" t="s">
        <v>53</v>
      </c>
      <c r="E179" t="str">
        <f t="shared" si="2"/>
        <v>01130</v>
      </c>
      <c r="F179" t="s">
        <v>49</v>
      </c>
      <c r="G179" t="s">
        <v>167</v>
      </c>
      <c r="H179" t="s">
        <v>151</v>
      </c>
      <c r="I179" t="s">
        <v>4</v>
      </c>
      <c r="J179" t="s">
        <v>152</v>
      </c>
      <c r="K179" t="s">
        <v>153</v>
      </c>
      <c r="L179">
        <v>251200050</v>
      </c>
      <c r="M179" s="84">
        <v>45994</v>
      </c>
      <c r="N179" s="84">
        <v>45994</v>
      </c>
      <c r="O179" t="s">
        <v>204</v>
      </c>
      <c r="P179" t="s">
        <v>205</v>
      </c>
      <c r="Q179">
        <v>14250</v>
      </c>
      <c r="R179">
        <v>10</v>
      </c>
      <c r="S179">
        <v>142500</v>
      </c>
      <c r="T179">
        <v>0</v>
      </c>
      <c r="U179">
        <v>0</v>
      </c>
      <c r="V179">
        <v>10</v>
      </c>
      <c r="W179">
        <v>142500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>
        <v>172</v>
      </c>
      <c r="B180" t="s">
        <v>149</v>
      </c>
      <c r="C180">
        <v>1249</v>
      </c>
      <c r="D180" t="s">
        <v>74</v>
      </c>
      <c r="E180" t="str">
        <f t="shared" si="2"/>
        <v>01249</v>
      </c>
      <c r="F180" t="s">
        <v>73</v>
      </c>
      <c r="G180" t="s">
        <v>185</v>
      </c>
      <c r="H180" t="s">
        <v>151</v>
      </c>
      <c r="I180" t="s">
        <v>4</v>
      </c>
      <c r="J180" t="s">
        <v>158</v>
      </c>
      <c r="K180" t="s">
        <v>153</v>
      </c>
      <c r="L180">
        <v>251200050</v>
      </c>
      <c r="M180" s="84">
        <v>46014</v>
      </c>
      <c r="N180" s="84">
        <v>46014</v>
      </c>
      <c r="O180" t="s">
        <v>215</v>
      </c>
      <c r="P180" t="s">
        <v>216</v>
      </c>
      <c r="Q180">
        <v>14250</v>
      </c>
      <c r="R180">
        <v>15</v>
      </c>
      <c r="S180">
        <v>213750</v>
      </c>
      <c r="T180">
        <v>0</v>
      </c>
      <c r="U180">
        <v>0</v>
      </c>
      <c r="V180">
        <v>15</v>
      </c>
      <c r="W180">
        <v>213750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>
        <v>173</v>
      </c>
      <c r="B181" t="s">
        <v>149</v>
      </c>
      <c r="C181">
        <v>1503</v>
      </c>
      <c r="D181" t="s">
        <v>100</v>
      </c>
      <c r="E181" t="str">
        <f t="shared" si="2"/>
        <v>01503</v>
      </c>
      <c r="F181" t="s">
        <v>95</v>
      </c>
      <c r="G181" t="s">
        <v>187</v>
      </c>
      <c r="H181" t="s">
        <v>188</v>
      </c>
      <c r="I181" t="s">
        <v>4</v>
      </c>
      <c r="J181" t="s">
        <v>158</v>
      </c>
      <c r="K181" t="s">
        <v>174</v>
      </c>
      <c r="L181">
        <v>251200051</v>
      </c>
      <c r="M181" s="84">
        <v>46014</v>
      </c>
      <c r="N181" s="84">
        <v>46014</v>
      </c>
      <c r="O181" t="s">
        <v>189</v>
      </c>
      <c r="P181" t="s">
        <v>190</v>
      </c>
      <c r="Q181">
        <v>13000</v>
      </c>
      <c r="R181">
        <v>4</v>
      </c>
      <c r="S181">
        <v>52000</v>
      </c>
      <c r="T181">
        <v>0</v>
      </c>
      <c r="U181">
        <v>0</v>
      </c>
      <c r="V181">
        <v>4</v>
      </c>
      <c r="W181">
        <v>52000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>
        <v>174</v>
      </c>
      <c r="B182" t="s">
        <v>149</v>
      </c>
      <c r="C182">
        <v>334</v>
      </c>
      <c r="D182" t="s">
        <v>56</v>
      </c>
      <c r="E182" t="str">
        <f t="shared" si="2"/>
        <v>00334</v>
      </c>
      <c r="F182" t="s">
        <v>49</v>
      </c>
      <c r="G182" t="s">
        <v>167</v>
      </c>
      <c r="H182" t="s">
        <v>151</v>
      </c>
      <c r="I182" t="s">
        <v>4</v>
      </c>
      <c r="J182" t="s">
        <v>152</v>
      </c>
      <c r="K182" t="s">
        <v>153</v>
      </c>
      <c r="L182">
        <v>251200051</v>
      </c>
      <c r="M182" s="84">
        <v>45994</v>
      </c>
      <c r="N182" s="84">
        <v>45994</v>
      </c>
      <c r="O182" t="s">
        <v>160</v>
      </c>
      <c r="P182" t="s">
        <v>161</v>
      </c>
      <c r="Q182">
        <v>14250</v>
      </c>
      <c r="R182">
        <v>10</v>
      </c>
      <c r="S182">
        <v>142500</v>
      </c>
      <c r="T182">
        <v>0</v>
      </c>
      <c r="U182">
        <v>0</v>
      </c>
      <c r="V182">
        <v>10</v>
      </c>
      <c r="W182">
        <v>142500</v>
      </c>
      <c r="X182">
        <v>1500</v>
      </c>
      <c r="Y182">
        <v>2000</v>
      </c>
      <c r="Z182">
        <v>0</v>
      </c>
      <c r="AA182">
        <v>0</v>
      </c>
      <c r="AB182">
        <v>0</v>
      </c>
      <c r="AC182">
        <v>3500</v>
      </c>
    </row>
    <row r="183" spans="1:29">
      <c r="A183">
        <v>175</v>
      </c>
      <c r="B183" t="s">
        <v>149</v>
      </c>
      <c r="C183">
        <v>334</v>
      </c>
      <c r="D183" t="s">
        <v>56</v>
      </c>
      <c r="E183" t="str">
        <f t="shared" si="2"/>
        <v>00334</v>
      </c>
      <c r="F183" t="s">
        <v>49</v>
      </c>
      <c r="G183" t="s">
        <v>167</v>
      </c>
      <c r="H183" t="s">
        <v>151</v>
      </c>
      <c r="I183" t="s">
        <v>4</v>
      </c>
      <c r="J183" t="s">
        <v>152</v>
      </c>
      <c r="K183" t="s">
        <v>153</v>
      </c>
      <c r="L183">
        <v>251200051</v>
      </c>
      <c r="M183" s="84">
        <v>45994</v>
      </c>
      <c r="N183" s="84">
        <v>45994</v>
      </c>
      <c r="O183" t="s">
        <v>179</v>
      </c>
      <c r="P183" t="s">
        <v>180</v>
      </c>
      <c r="Q183">
        <v>14250</v>
      </c>
      <c r="R183">
        <v>10</v>
      </c>
      <c r="S183">
        <v>142500</v>
      </c>
      <c r="T183">
        <v>0</v>
      </c>
      <c r="U183">
        <v>0</v>
      </c>
      <c r="V183">
        <v>10</v>
      </c>
      <c r="W183">
        <v>142500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>
      <c r="A184">
        <v>176</v>
      </c>
      <c r="B184" t="s">
        <v>149</v>
      </c>
      <c r="C184">
        <v>1368</v>
      </c>
      <c r="D184" t="s">
        <v>22</v>
      </c>
      <c r="E184" t="str">
        <f t="shared" si="2"/>
        <v>01368</v>
      </c>
      <c r="F184" t="s">
        <v>20</v>
      </c>
      <c r="G184" t="s">
        <v>193</v>
      </c>
      <c r="H184" t="s">
        <v>151</v>
      </c>
      <c r="I184" t="s">
        <v>4</v>
      </c>
      <c r="J184" t="s">
        <v>152</v>
      </c>
      <c r="K184" t="s">
        <v>236</v>
      </c>
      <c r="L184">
        <v>251200052</v>
      </c>
      <c r="M184" s="84">
        <v>45994</v>
      </c>
      <c r="N184" s="84">
        <v>45994</v>
      </c>
      <c r="O184" t="s">
        <v>177</v>
      </c>
      <c r="P184" t="s">
        <v>178</v>
      </c>
      <c r="Q184">
        <v>14250</v>
      </c>
      <c r="R184">
        <v>3</v>
      </c>
      <c r="S184">
        <v>42750</v>
      </c>
      <c r="T184">
        <v>0</v>
      </c>
      <c r="U184">
        <v>0</v>
      </c>
      <c r="V184">
        <v>3</v>
      </c>
      <c r="W184">
        <v>42750</v>
      </c>
      <c r="X184">
        <v>450</v>
      </c>
      <c r="Y184">
        <v>600</v>
      </c>
      <c r="Z184">
        <v>0</v>
      </c>
      <c r="AA184">
        <v>0</v>
      </c>
      <c r="AB184">
        <v>0</v>
      </c>
      <c r="AC184">
        <v>1050</v>
      </c>
    </row>
    <row r="185" spans="1:29">
      <c r="A185">
        <v>177</v>
      </c>
      <c r="B185" t="s">
        <v>149</v>
      </c>
      <c r="C185">
        <v>1341</v>
      </c>
      <c r="D185" t="s">
        <v>24</v>
      </c>
      <c r="E185" t="str">
        <f t="shared" si="2"/>
        <v>01341</v>
      </c>
      <c r="F185" t="s">
        <v>20</v>
      </c>
      <c r="G185" t="s">
        <v>193</v>
      </c>
      <c r="H185" t="s">
        <v>151</v>
      </c>
      <c r="I185" t="s">
        <v>4</v>
      </c>
      <c r="J185" t="s">
        <v>152</v>
      </c>
      <c r="K185" t="s">
        <v>236</v>
      </c>
      <c r="L185">
        <v>251200053</v>
      </c>
      <c r="M185" s="84">
        <v>45994</v>
      </c>
      <c r="N185" s="84">
        <v>45994</v>
      </c>
      <c r="O185" t="s">
        <v>221</v>
      </c>
      <c r="P185" t="s">
        <v>222</v>
      </c>
      <c r="Q185">
        <v>14250</v>
      </c>
      <c r="R185">
        <v>4</v>
      </c>
      <c r="S185">
        <v>57000</v>
      </c>
      <c r="T185">
        <v>0</v>
      </c>
      <c r="U185">
        <v>0</v>
      </c>
      <c r="V185">
        <v>4</v>
      </c>
      <c r="W185">
        <v>57000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>
        <v>178</v>
      </c>
      <c r="B186" t="s">
        <v>149</v>
      </c>
      <c r="C186">
        <v>1341</v>
      </c>
      <c r="D186" t="s">
        <v>24</v>
      </c>
      <c r="E186" t="str">
        <f t="shared" si="2"/>
        <v>01341</v>
      </c>
      <c r="F186" t="s">
        <v>20</v>
      </c>
      <c r="G186" t="s">
        <v>193</v>
      </c>
      <c r="H186" t="s">
        <v>151</v>
      </c>
      <c r="I186" t="s">
        <v>4</v>
      </c>
      <c r="J186" t="s">
        <v>152</v>
      </c>
      <c r="K186" t="s">
        <v>236</v>
      </c>
      <c r="L186">
        <v>251200053</v>
      </c>
      <c r="M186" s="84">
        <v>45994</v>
      </c>
      <c r="N186" s="84">
        <v>45994</v>
      </c>
      <c r="O186" t="s">
        <v>215</v>
      </c>
      <c r="P186" t="s">
        <v>216</v>
      </c>
      <c r="Q186">
        <v>14250</v>
      </c>
      <c r="R186">
        <v>10</v>
      </c>
      <c r="S186">
        <v>142500</v>
      </c>
      <c r="T186">
        <v>0</v>
      </c>
      <c r="U186">
        <v>0</v>
      </c>
      <c r="V186">
        <v>10</v>
      </c>
      <c r="W186">
        <v>142500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>
        <v>179</v>
      </c>
      <c r="B187" t="s">
        <v>149</v>
      </c>
      <c r="C187">
        <v>160</v>
      </c>
      <c r="D187" t="s">
        <v>64</v>
      </c>
      <c r="E187" t="str">
        <f t="shared" si="2"/>
        <v>00160</v>
      </c>
      <c r="F187" t="s">
        <v>49</v>
      </c>
      <c r="G187" t="s">
        <v>167</v>
      </c>
      <c r="H187" t="s">
        <v>151</v>
      </c>
      <c r="I187" t="s">
        <v>4</v>
      </c>
      <c r="J187" t="s">
        <v>158</v>
      </c>
      <c r="K187" t="s">
        <v>153</v>
      </c>
      <c r="L187">
        <v>251200054</v>
      </c>
      <c r="M187" s="84">
        <v>46015</v>
      </c>
      <c r="N187" s="84">
        <v>46015</v>
      </c>
      <c r="O187" t="s">
        <v>168</v>
      </c>
      <c r="P187" t="s">
        <v>169</v>
      </c>
      <c r="Q187">
        <v>14250</v>
      </c>
      <c r="R187">
        <v>7</v>
      </c>
      <c r="S187">
        <v>99750</v>
      </c>
      <c r="T187">
        <v>0</v>
      </c>
      <c r="U187">
        <v>0</v>
      </c>
      <c r="V187">
        <v>7</v>
      </c>
      <c r="W187">
        <v>99750</v>
      </c>
      <c r="X187">
        <v>1050</v>
      </c>
      <c r="Y187">
        <v>1400</v>
      </c>
      <c r="Z187">
        <v>0</v>
      </c>
      <c r="AA187">
        <v>0</v>
      </c>
      <c r="AB187">
        <v>0</v>
      </c>
      <c r="AC187">
        <v>2450</v>
      </c>
    </row>
    <row r="188" spans="1:29">
      <c r="A188">
        <v>180</v>
      </c>
      <c r="B188" t="s">
        <v>149</v>
      </c>
      <c r="C188">
        <v>1441</v>
      </c>
      <c r="D188" t="s">
        <v>23</v>
      </c>
      <c r="E188" t="str">
        <f t="shared" si="2"/>
        <v>01441</v>
      </c>
      <c r="F188" t="s">
        <v>20</v>
      </c>
      <c r="G188" t="s">
        <v>193</v>
      </c>
      <c r="H188" t="s">
        <v>151</v>
      </c>
      <c r="I188" t="s">
        <v>5</v>
      </c>
      <c r="J188" t="s">
        <v>152</v>
      </c>
      <c r="K188" t="s">
        <v>236</v>
      </c>
      <c r="L188">
        <v>251200054</v>
      </c>
      <c r="M188" s="84">
        <v>45994</v>
      </c>
      <c r="N188" s="84">
        <v>45994</v>
      </c>
      <c r="O188" t="s">
        <v>196</v>
      </c>
      <c r="P188" t="s">
        <v>197</v>
      </c>
      <c r="Q188">
        <v>11700</v>
      </c>
      <c r="R188">
        <v>8</v>
      </c>
      <c r="S188">
        <v>93600</v>
      </c>
      <c r="T188">
        <v>0</v>
      </c>
      <c r="U188">
        <v>0</v>
      </c>
      <c r="V188">
        <v>8</v>
      </c>
      <c r="W188">
        <v>93600</v>
      </c>
      <c r="X188">
        <v>1200</v>
      </c>
      <c r="Y188">
        <v>1200</v>
      </c>
      <c r="Z188">
        <v>0</v>
      </c>
      <c r="AA188">
        <v>0</v>
      </c>
      <c r="AB188">
        <v>0</v>
      </c>
      <c r="AC188">
        <v>2400</v>
      </c>
    </row>
    <row r="189" spans="1:29">
      <c r="A189">
        <v>181</v>
      </c>
      <c r="B189" t="s">
        <v>149</v>
      </c>
      <c r="C189">
        <v>1441</v>
      </c>
      <c r="D189" t="s">
        <v>23</v>
      </c>
      <c r="E189" t="str">
        <f t="shared" si="2"/>
        <v>01441</v>
      </c>
      <c r="F189" t="s">
        <v>20</v>
      </c>
      <c r="G189" t="s">
        <v>193</v>
      </c>
      <c r="H189" t="s">
        <v>151</v>
      </c>
      <c r="I189" t="s">
        <v>4</v>
      </c>
      <c r="J189" t="s">
        <v>152</v>
      </c>
      <c r="K189" t="s">
        <v>236</v>
      </c>
      <c r="L189">
        <v>251200054</v>
      </c>
      <c r="M189" s="84">
        <v>45994</v>
      </c>
      <c r="N189" s="84">
        <v>45994</v>
      </c>
      <c r="O189" t="s">
        <v>177</v>
      </c>
      <c r="P189" t="s">
        <v>178</v>
      </c>
      <c r="Q189">
        <v>14250</v>
      </c>
      <c r="R189">
        <v>8</v>
      </c>
      <c r="S189">
        <v>114000</v>
      </c>
      <c r="T189">
        <v>0</v>
      </c>
      <c r="U189">
        <v>0</v>
      </c>
      <c r="V189">
        <v>8</v>
      </c>
      <c r="W189">
        <v>114000</v>
      </c>
      <c r="X189">
        <v>1200</v>
      </c>
      <c r="Y189">
        <v>1600</v>
      </c>
      <c r="Z189">
        <v>0</v>
      </c>
      <c r="AA189">
        <v>0</v>
      </c>
      <c r="AB189">
        <v>0</v>
      </c>
      <c r="AC189">
        <v>2800</v>
      </c>
    </row>
    <row r="190" spans="1:29">
      <c r="A190">
        <v>182</v>
      </c>
      <c r="B190" t="s">
        <v>149</v>
      </c>
      <c r="C190">
        <v>1581</v>
      </c>
      <c r="D190" t="s">
        <v>96</v>
      </c>
      <c r="E190" t="str">
        <f t="shared" si="2"/>
        <v>01581</v>
      </c>
      <c r="F190" t="s">
        <v>95</v>
      </c>
      <c r="G190" t="s">
        <v>187</v>
      </c>
      <c r="H190" t="s">
        <v>188</v>
      </c>
      <c r="I190" t="s">
        <v>5</v>
      </c>
      <c r="J190" t="s">
        <v>152</v>
      </c>
      <c r="K190" t="s">
        <v>159</v>
      </c>
      <c r="L190">
        <v>251200055</v>
      </c>
      <c r="M190" s="84">
        <v>45994</v>
      </c>
      <c r="N190" s="84">
        <v>45994</v>
      </c>
      <c r="O190" t="s">
        <v>198</v>
      </c>
      <c r="P190" t="s">
        <v>199</v>
      </c>
      <c r="Q190">
        <v>10800</v>
      </c>
      <c r="R190">
        <v>8</v>
      </c>
      <c r="S190">
        <v>86400</v>
      </c>
      <c r="T190">
        <v>0</v>
      </c>
      <c r="U190">
        <v>0</v>
      </c>
      <c r="V190">
        <v>8</v>
      </c>
      <c r="W190">
        <v>86400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>
        <v>183</v>
      </c>
      <c r="B191" t="s">
        <v>149</v>
      </c>
      <c r="C191">
        <v>1249</v>
      </c>
      <c r="D191" t="s">
        <v>74</v>
      </c>
      <c r="E191" t="str">
        <f t="shared" si="2"/>
        <v>01249</v>
      </c>
      <c r="F191" t="s">
        <v>73</v>
      </c>
      <c r="G191" t="s">
        <v>185</v>
      </c>
      <c r="H191" t="s">
        <v>151</v>
      </c>
      <c r="I191" t="s">
        <v>4</v>
      </c>
      <c r="J191" t="s">
        <v>158</v>
      </c>
      <c r="K191" t="s">
        <v>153</v>
      </c>
      <c r="L191">
        <v>251200055</v>
      </c>
      <c r="M191" s="84">
        <v>46015</v>
      </c>
      <c r="N191" s="84">
        <v>46015</v>
      </c>
      <c r="O191" t="s">
        <v>245</v>
      </c>
      <c r="P191" t="s">
        <v>246</v>
      </c>
      <c r="Q191">
        <v>14250</v>
      </c>
      <c r="R191">
        <v>25</v>
      </c>
      <c r="S191">
        <v>356250</v>
      </c>
      <c r="T191">
        <v>0</v>
      </c>
      <c r="U191">
        <v>0</v>
      </c>
      <c r="V191">
        <v>25</v>
      </c>
      <c r="W191">
        <v>356250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>
        <v>184</v>
      </c>
      <c r="B192" t="s">
        <v>149</v>
      </c>
      <c r="C192">
        <v>415</v>
      </c>
      <c r="D192" t="s">
        <v>104</v>
      </c>
      <c r="E192" t="str">
        <f t="shared" si="2"/>
        <v>00415</v>
      </c>
      <c r="F192" t="s">
        <v>103</v>
      </c>
      <c r="G192" t="s">
        <v>167</v>
      </c>
      <c r="H192" t="s">
        <v>151</v>
      </c>
      <c r="I192" t="s">
        <v>4</v>
      </c>
      <c r="J192" t="s">
        <v>158</v>
      </c>
      <c r="K192" t="s">
        <v>153</v>
      </c>
      <c r="L192">
        <v>251200056</v>
      </c>
      <c r="M192" s="84">
        <v>46015</v>
      </c>
      <c r="N192" s="84">
        <v>46015</v>
      </c>
      <c r="O192" t="s">
        <v>160</v>
      </c>
      <c r="P192" t="s">
        <v>161</v>
      </c>
      <c r="Q192">
        <v>14250</v>
      </c>
      <c r="R192">
        <v>20</v>
      </c>
      <c r="S192">
        <v>285000</v>
      </c>
      <c r="T192">
        <v>0</v>
      </c>
      <c r="U192">
        <v>0</v>
      </c>
      <c r="V192">
        <v>20</v>
      </c>
      <c r="W192">
        <v>285000</v>
      </c>
      <c r="X192">
        <v>3000</v>
      </c>
      <c r="Y192">
        <v>4000</v>
      </c>
      <c r="Z192">
        <v>0</v>
      </c>
      <c r="AA192">
        <v>0</v>
      </c>
      <c r="AB192">
        <v>0</v>
      </c>
      <c r="AC192">
        <v>7000</v>
      </c>
    </row>
    <row r="193" spans="1:29">
      <c r="A193">
        <v>185</v>
      </c>
      <c r="B193" t="s">
        <v>149</v>
      </c>
      <c r="C193">
        <v>1108</v>
      </c>
      <c r="D193" t="s">
        <v>107</v>
      </c>
      <c r="E193" t="str">
        <f t="shared" si="2"/>
        <v>01108</v>
      </c>
      <c r="F193" t="s">
        <v>103</v>
      </c>
      <c r="G193" t="s">
        <v>167</v>
      </c>
      <c r="H193" t="s">
        <v>151</v>
      </c>
      <c r="I193" t="s">
        <v>5</v>
      </c>
      <c r="J193" t="s">
        <v>152</v>
      </c>
      <c r="K193" t="s">
        <v>153</v>
      </c>
      <c r="L193">
        <v>251200056</v>
      </c>
      <c r="M193" s="84">
        <v>45994</v>
      </c>
      <c r="N193" s="84">
        <v>45994</v>
      </c>
      <c r="O193" t="s">
        <v>191</v>
      </c>
      <c r="P193" t="s">
        <v>192</v>
      </c>
      <c r="Q193">
        <v>11700</v>
      </c>
      <c r="R193">
        <v>12</v>
      </c>
      <c r="S193">
        <v>140400</v>
      </c>
      <c r="T193">
        <v>0</v>
      </c>
      <c r="U193">
        <v>0</v>
      </c>
      <c r="V193">
        <v>12</v>
      </c>
      <c r="W193">
        <v>140400</v>
      </c>
      <c r="X193">
        <v>1800</v>
      </c>
      <c r="Y193">
        <v>1800</v>
      </c>
      <c r="Z193">
        <v>0</v>
      </c>
      <c r="AA193">
        <v>0</v>
      </c>
      <c r="AB193">
        <v>0</v>
      </c>
      <c r="AC193">
        <v>3600</v>
      </c>
    </row>
    <row r="194" spans="1:29">
      <c r="A194">
        <v>186</v>
      </c>
      <c r="B194" t="s">
        <v>149</v>
      </c>
      <c r="C194">
        <v>617</v>
      </c>
      <c r="D194" t="s">
        <v>67</v>
      </c>
      <c r="E194" t="str">
        <f t="shared" si="2"/>
        <v>00617</v>
      </c>
      <c r="F194" t="s">
        <v>65</v>
      </c>
      <c r="G194" t="s">
        <v>208</v>
      </c>
      <c r="H194" t="s">
        <v>157</v>
      </c>
      <c r="I194" t="s">
        <v>4</v>
      </c>
      <c r="J194" t="s">
        <v>158</v>
      </c>
      <c r="K194" t="s">
        <v>174</v>
      </c>
      <c r="L194">
        <v>251200057</v>
      </c>
      <c r="M194" s="84">
        <v>46015</v>
      </c>
      <c r="N194" s="84">
        <v>46015</v>
      </c>
      <c r="O194" t="s">
        <v>160</v>
      </c>
      <c r="P194" t="s">
        <v>161</v>
      </c>
      <c r="Q194">
        <v>14250</v>
      </c>
      <c r="R194">
        <v>10</v>
      </c>
      <c r="S194">
        <v>142500</v>
      </c>
      <c r="T194">
        <v>0</v>
      </c>
      <c r="U194">
        <v>0</v>
      </c>
      <c r="V194">
        <v>10</v>
      </c>
      <c r="W194">
        <v>142500</v>
      </c>
      <c r="X194">
        <v>1500</v>
      </c>
      <c r="Y194">
        <v>2000</v>
      </c>
      <c r="Z194">
        <v>0</v>
      </c>
      <c r="AA194">
        <v>0</v>
      </c>
      <c r="AB194">
        <v>0</v>
      </c>
      <c r="AC194">
        <v>3500</v>
      </c>
    </row>
    <row r="195" spans="1:29">
      <c r="A195">
        <v>187</v>
      </c>
      <c r="B195" t="s">
        <v>149</v>
      </c>
      <c r="C195">
        <v>617</v>
      </c>
      <c r="D195" t="s">
        <v>67</v>
      </c>
      <c r="E195" t="str">
        <f t="shared" si="2"/>
        <v>00617</v>
      </c>
      <c r="F195" t="s">
        <v>65</v>
      </c>
      <c r="G195" t="s">
        <v>208</v>
      </c>
      <c r="H195" t="s">
        <v>157</v>
      </c>
      <c r="I195" t="s">
        <v>4</v>
      </c>
      <c r="J195" t="s">
        <v>158</v>
      </c>
      <c r="K195" t="s">
        <v>174</v>
      </c>
      <c r="L195">
        <v>251200057</v>
      </c>
      <c r="M195" s="84">
        <v>46015</v>
      </c>
      <c r="N195" s="84">
        <v>46015</v>
      </c>
      <c r="O195" t="s">
        <v>177</v>
      </c>
      <c r="P195" t="s">
        <v>178</v>
      </c>
      <c r="Q195">
        <v>14250</v>
      </c>
      <c r="R195">
        <v>10</v>
      </c>
      <c r="S195">
        <v>142500</v>
      </c>
      <c r="T195">
        <v>0</v>
      </c>
      <c r="U195">
        <v>0</v>
      </c>
      <c r="V195">
        <v>10</v>
      </c>
      <c r="W195">
        <v>142500</v>
      </c>
      <c r="X195">
        <v>1500</v>
      </c>
      <c r="Y195">
        <v>2000</v>
      </c>
      <c r="Z195">
        <v>0</v>
      </c>
      <c r="AA195">
        <v>0</v>
      </c>
      <c r="AB195">
        <v>0</v>
      </c>
      <c r="AC195">
        <v>3500</v>
      </c>
    </row>
    <row r="196" spans="1:29">
      <c r="A196">
        <v>188</v>
      </c>
      <c r="B196" t="s">
        <v>149</v>
      </c>
      <c r="C196">
        <v>410</v>
      </c>
      <c r="D196" t="s">
        <v>108</v>
      </c>
      <c r="E196" t="str">
        <f t="shared" si="2"/>
        <v>00410</v>
      </c>
      <c r="F196" t="s">
        <v>103</v>
      </c>
      <c r="G196" t="s">
        <v>167</v>
      </c>
      <c r="H196" t="s">
        <v>151</v>
      </c>
      <c r="I196" t="s">
        <v>5</v>
      </c>
      <c r="J196" t="s">
        <v>152</v>
      </c>
      <c r="K196" t="s">
        <v>153</v>
      </c>
      <c r="L196">
        <v>251200057</v>
      </c>
      <c r="M196" s="84">
        <v>45994</v>
      </c>
      <c r="N196" s="84">
        <v>45994</v>
      </c>
      <c r="O196" t="s">
        <v>191</v>
      </c>
      <c r="P196" t="s">
        <v>192</v>
      </c>
      <c r="Q196">
        <v>11700</v>
      </c>
      <c r="R196">
        <v>20</v>
      </c>
      <c r="S196">
        <v>234000</v>
      </c>
      <c r="T196">
        <v>0</v>
      </c>
      <c r="U196">
        <v>0</v>
      </c>
      <c r="V196">
        <v>20</v>
      </c>
      <c r="W196">
        <v>234000</v>
      </c>
      <c r="X196">
        <v>3000</v>
      </c>
      <c r="Y196">
        <v>3000</v>
      </c>
      <c r="Z196">
        <v>0</v>
      </c>
      <c r="AA196">
        <v>0</v>
      </c>
      <c r="AB196">
        <v>0</v>
      </c>
      <c r="AC196">
        <v>6000</v>
      </c>
    </row>
    <row r="197" spans="1:29">
      <c r="A197">
        <v>189</v>
      </c>
      <c r="B197" t="s">
        <v>149</v>
      </c>
      <c r="C197">
        <v>410</v>
      </c>
      <c r="D197" t="s">
        <v>108</v>
      </c>
      <c r="E197" t="str">
        <f t="shared" si="2"/>
        <v>00410</v>
      </c>
      <c r="F197" t="s">
        <v>103</v>
      </c>
      <c r="G197" t="s">
        <v>167</v>
      </c>
      <c r="H197" t="s">
        <v>151</v>
      </c>
      <c r="I197" t="s">
        <v>4</v>
      </c>
      <c r="J197" t="s">
        <v>152</v>
      </c>
      <c r="K197" t="s">
        <v>153</v>
      </c>
      <c r="L197">
        <v>251200057</v>
      </c>
      <c r="M197" s="84">
        <v>45994</v>
      </c>
      <c r="N197" s="84">
        <v>45994</v>
      </c>
      <c r="O197" t="s">
        <v>160</v>
      </c>
      <c r="P197" t="s">
        <v>161</v>
      </c>
      <c r="Q197">
        <v>14250</v>
      </c>
      <c r="R197">
        <v>10</v>
      </c>
      <c r="S197">
        <v>142500</v>
      </c>
      <c r="T197">
        <v>0</v>
      </c>
      <c r="U197">
        <v>0</v>
      </c>
      <c r="V197">
        <v>10</v>
      </c>
      <c r="W197">
        <v>142500</v>
      </c>
      <c r="X197">
        <v>1500</v>
      </c>
      <c r="Y197">
        <v>2000</v>
      </c>
      <c r="Z197">
        <v>0</v>
      </c>
      <c r="AA197">
        <v>0</v>
      </c>
      <c r="AB197">
        <v>0</v>
      </c>
      <c r="AC197">
        <v>3500</v>
      </c>
    </row>
    <row r="198" spans="1:29">
      <c r="A198">
        <v>190</v>
      </c>
      <c r="B198" t="s">
        <v>149</v>
      </c>
      <c r="C198">
        <v>388</v>
      </c>
      <c r="D198" t="s">
        <v>106</v>
      </c>
      <c r="E198" t="str">
        <f t="shared" si="2"/>
        <v>00388</v>
      </c>
      <c r="F198" t="s">
        <v>103</v>
      </c>
      <c r="G198" t="s">
        <v>167</v>
      </c>
      <c r="H198" t="s">
        <v>151</v>
      </c>
      <c r="I198" t="s">
        <v>4</v>
      </c>
      <c r="J198" t="s">
        <v>152</v>
      </c>
      <c r="K198" t="s">
        <v>153</v>
      </c>
      <c r="L198">
        <v>251200058</v>
      </c>
      <c r="M198" s="84">
        <v>45994</v>
      </c>
      <c r="N198" s="84">
        <v>45994</v>
      </c>
      <c r="O198" t="s">
        <v>160</v>
      </c>
      <c r="P198" t="s">
        <v>161</v>
      </c>
      <c r="Q198">
        <v>14250</v>
      </c>
      <c r="R198">
        <v>30</v>
      </c>
      <c r="S198">
        <v>427500</v>
      </c>
      <c r="T198">
        <v>0</v>
      </c>
      <c r="U198">
        <v>0</v>
      </c>
      <c r="V198">
        <v>30</v>
      </c>
      <c r="W198">
        <v>427500</v>
      </c>
      <c r="X198">
        <v>4500</v>
      </c>
      <c r="Y198">
        <v>6000</v>
      </c>
      <c r="Z198">
        <v>0</v>
      </c>
      <c r="AA198">
        <v>0</v>
      </c>
      <c r="AB198">
        <v>0</v>
      </c>
      <c r="AC198">
        <v>10500</v>
      </c>
    </row>
    <row r="199" spans="1:29">
      <c r="A199">
        <v>191</v>
      </c>
      <c r="B199" t="s">
        <v>149</v>
      </c>
      <c r="C199">
        <v>647</v>
      </c>
      <c r="D199" t="s">
        <v>237</v>
      </c>
      <c r="E199" t="str">
        <f t="shared" si="2"/>
        <v>00647</v>
      </c>
      <c r="F199" t="s">
        <v>65</v>
      </c>
      <c r="G199" t="s">
        <v>208</v>
      </c>
      <c r="H199" t="s">
        <v>157</v>
      </c>
      <c r="I199" t="s">
        <v>238</v>
      </c>
      <c r="J199" t="s">
        <v>158</v>
      </c>
      <c r="K199" t="s">
        <v>174</v>
      </c>
      <c r="L199">
        <v>251200058</v>
      </c>
      <c r="M199" s="84">
        <v>46019</v>
      </c>
      <c r="N199" s="84">
        <v>46019</v>
      </c>
      <c r="O199" t="s">
        <v>241</v>
      </c>
      <c r="P199" t="s">
        <v>242</v>
      </c>
      <c r="Q199">
        <v>17156</v>
      </c>
      <c r="R199">
        <v>2</v>
      </c>
      <c r="S199">
        <v>34312</v>
      </c>
      <c r="T199">
        <v>0</v>
      </c>
      <c r="U199">
        <v>0</v>
      </c>
      <c r="V199">
        <v>2</v>
      </c>
      <c r="W199">
        <v>34312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>
      <c r="A200">
        <v>192</v>
      </c>
      <c r="B200" t="s">
        <v>149</v>
      </c>
      <c r="C200">
        <v>647</v>
      </c>
      <c r="D200" t="s">
        <v>237</v>
      </c>
      <c r="E200" t="str">
        <f t="shared" si="2"/>
        <v>00647</v>
      </c>
      <c r="F200" t="s">
        <v>65</v>
      </c>
      <c r="G200" t="s">
        <v>208</v>
      </c>
      <c r="H200" t="s">
        <v>157</v>
      </c>
      <c r="I200" t="s">
        <v>238</v>
      </c>
      <c r="J200" t="s">
        <v>158</v>
      </c>
      <c r="K200" t="s">
        <v>174</v>
      </c>
      <c r="L200">
        <v>251200058</v>
      </c>
      <c r="M200" s="84">
        <v>46019</v>
      </c>
      <c r="N200" s="84">
        <v>46019</v>
      </c>
      <c r="O200" t="s">
        <v>239</v>
      </c>
      <c r="P200" t="s">
        <v>240</v>
      </c>
      <c r="Q200">
        <v>13684</v>
      </c>
      <c r="R200">
        <v>2</v>
      </c>
      <c r="S200">
        <v>27368</v>
      </c>
      <c r="T200">
        <v>0</v>
      </c>
      <c r="U200">
        <v>0</v>
      </c>
      <c r="V200">
        <v>2</v>
      </c>
      <c r="W200">
        <v>27368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193</v>
      </c>
      <c r="B201" t="s">
        <v>149</v>
      </c>
      <c r="C201">
        <v>647</v>
      </c>
      <c r="D201" t="s">
        <v>237</v>
      </c>
      <c r="E201" t="str">
        <f t="shared" ref="E201:E264" si="3">TEXT(C201,"00000")</f>
        <v>00647</v>
      </c>
      <c r="F201" t="s">
        <v>65</v>
      </c>
      <c r="G201" t="s">
        <v>208</v>
      </c>
      <c r="H201" t="s">
        <v>157</v>
      </c>
      <c r="I201" t="s">
        <v>238</v>
      </c>
      <c r="J201" t="s">
        <v>158</v>
      </c>
      <c r="K201" t="s">
        <v>174</v>
      </c>
      <c r="L201">
        <v>251200058</v>
      </c>
      <c r="M201" s="84">
        <v>46019</v>
      </c>
      <c r="N201" s="84">
        <v>46019</v>
      </c>
      <c r="O201" t="s">
        <v>247</v>
      </c>
      <c r="P201" t="s">
        <v>116</v>
      </c>
      <c r="Q201">
        <v>10982</v>
      </c>
      <c r="R201">
        <v>1</v>
      </c>
      <c r="S201">
        <v>10982</v>
      </c>
      <c r="T201">
        <v>0</v>
      </c>
      <c r="U201">
        <v>0</v>
      </c>
      <c r="V201">
        <v>1</v>
      </c>
      <c r="W201">
        <v>10982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194</v>
      </c>
      <c r="B202" t="s">
        <v>149</v>
      </c>
      <c r="C202">
        <v>823</v>
      </c>
      <c r="D202" t="s">
        <v>54</v>
      </c>
      <c r="E202" t="str">
        <f t="shared" si="3"/>
        <v>00823</v>
      </c>
      <c r="F202" t="s">
        <v>49</v>
      </c>
      <c r="G202" t="s">
        <v>167</v>
      </c>
      <c r="H202" t="s">
        <v>151</v>
      </c>
      <c r="I202" t="s">
        <v>4</v>
      </c>
      <c r="J202" t="s">
        <v>158</v>
      </c>
      <c r="K202" t="s">
        <v>153</v>
      </c>
      <c r="L202">
        <v>251200059</v>
      </c>
      <c r="M202" s="84">
        <v>46019</v>
      </c>
      <c r="N202" s="84">
        <v>46019</v>
      </c>
      <c r="O202" t="s">
        <v>168</v>
      </c>
      <c r="P202" t="s">
        <v>169</v>
      </c>
      <c r="Q202">
        <v>14250</v>
      </c>
      <c r="R202">
        <v>4</v>
      </c>
      <c r="S202">
        <v>57000</v>
      </c>
      <c r="T202">
        <v>0</v>
      </c>
      <c r="U202">
        <v>0</v>
      </c>
      <c r="V202">
        <v>4</v>
      </c>
      <c r="W202">
        <v>57000</v>
      </c>
      <c r="X202">
        <v>600</v>
      </c>
      <c r="Y202">
        <v>800</v>
      </c>
      <c r="Z202">
        <v>0</v>
      </c>
      <c r="AA202">
        <v>0</v>
      </c>
      <c r="AB202">
        <v>0</v>
      </c>
      <c r="AC202">
        <v>1400</v>
      </c>
    </row>
    <row r="203" spans="1:29">
      <c r="A203">
        <v>195</v>
      </c>
      <c r="B203" t="s">
        <v>149</v>
      </c>
      <c r="C203">
        <v>1175</v>
      </c>
      <c r="D203" t="s">
        <v>110</v>
      </c>
      <c r="E203" t="str">
        <f t="shared" si="3"/>
        <v>01175</v>
      </c>
      <c r="F203" t="s">
        <v>103</v>
      </c>
      <c r="G203" t="s">
        <v>167</v>
      </c>
      <c r="H203" t="s">
        <v>151</v>
      </c>
      <c r="I203" t="s">
        <v>4</v>
      </c>
      <c r="J203" t="s">
        <v>152</v>
      </c>
      <c r="K203" t="s">
        <v>153</v>
      </c>
      <c r="L203">
        <v>251200059</v>
      </c>
      <c r="M203" s="84">
        <v>45994</v>
      </c>
      <c r="N203" s="84">
        <v>45994</v>
      </c>
      <c r="O203" t="s">
        <v>160</v>
      </c>
      <c r="P203" t="s">
        <v>161</v>
      </c>
      <c r="Q203">
        <v>14250</v>
      </c>
      <c r="R203">
        <v>30</v>
      </c>
      <c r="S203">
        <v>427500</v>
      </c>
      <c r="T203">
        <v>0</v>
      </c>
      <c r="U203">
        <v>0</v>
      </c>
      <c r="V203">
        <v>30</v>
      </c>
      <c r="W203">
        <v>427500</v>
      </c>
      <c r="X203">
        <v>4500</v>
      </c>
      <c r="Y203">
        <v>6000</v>
      </c>
      <c r="Z203">
        <v>0</v>
      </c>
      <c r="AA203">
        <v>0</v>
      </c>
      <c r="AB203">
        <v>0</v>
      </c>
      <c r="AC203">
        <v>10500</v>
      </c>
    </row>
    <row r="204" spans="1:29">
      <c r="A204">
        <v>196</v>
      </c>
      <c r="B204" t="s">
        <v>149</v>
      </c>
      <c r="C204">
        <v>739</v>
      </c>
      <c r="D204" t="s">
        <v>14</v>
      </c>
      <c r="E204" t="str">
        <f t="shared" si="3"/>
        <v>00739</v>
      </c>
      <c r="F204" t="s">
        <v>10</v>
      </c>
      <c r="G204" t="s">
        <v>172</v>
      </c>
      <c r="H204" t="s">
        <v>157</v>
      </c>
      <c r="I204" t="s">
        <v>4</v>
      </c>
      <c r="J204" t="s">
        <v>152</v>
      </c>
      <c r="K204" t="s">
        <v>174</v>
      </c>
      <c r="L204">
        <v>251200060</v>
      </c>
      <c r="M204" s="84">
        <v>45994</v>
      </c>
      <c r="N204" s="84">
        <v>45994</v>
      </c>
      <c r="O204" t="s">
        <v>248</v>
      </c>
      <c r="P204" t="s">
        <v>249</v>
      </c>
      <c r="Q204">
        <v>14250</v>
      </c>
      <c r="R204">
        <v>16</v>
      </c>
      <c r="S204">
        <v>228000</v>
      </c>
      <c r="T204">
        <v>0</v>
      </c>
      <c r="U204">
        <v>0</v>
      </c>
      <c r="V204">
        <v>16</v>
      </c>
      <c r="W204">
        <v>228000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>
      <c r="A205">
        <v>197</v>
      </c>
      <c r="B205" t="s">
        <v>149</v>
      </c>
      <c r="C205">
        <v>833</v>
      </c>
      <c r="D205" t="s">
        <v>13</v>
      </c>
      <c r="E205" t="str">
        <f t="shared" si="3"/>
        <v>00833</v>
      </c>
      <c r="F205" t="s">
        <v>10</v>
      </c>
      <c r="G205" t="s">
        <v>172</v>
      </c>
      <c r="H205" t="s">
        <v>157</v>
      </c>
      <c r="I205" t="s">
        <v>4</v>
      </c>
      <c r="J205" t="s">
        <v>152</v>
      </c>
      <c r="K205" t="s">
        <v>174</v>
      </c>
      <c r="L205">
        <v>251200061</v>
      </c>
      <c r="M205" s="84">
        <v>45994</v>
      </c>
      <c r="N205" s="84">
        <v>45994</v>
      </c>
      <c r="O205" t="s">
        <v>160</v>
      </c>
      <c r="P205" t="s">
        <v>161</v>
      </c>
      <c r="Q205">
        <v>14250</v>
      </c>
      <c r="R205">
        <v>5</v>
      </c>
      <c r="S205">
        <v>71250</v>
      </c>
      <c r="T205">
        <v>0</v>
      </c>
      <c r="U205">
        <v>0</v>
      </c>
      <c r="V205">
        <v>5</v>
      </c>
      <c r="W205">
        <v>71250</v>
      </c>
      <c r="X205">
        <v>750</v>
      </c>
      <c r="Y205">
        <v>1000</v>
      </c>
      <c r="Z205">
        <v>0</v>
      </c>
      <c r="AA205">
        <v>0</v>
      </c>
      <c r="AB205">
        <v>0</v>
      </c>
      <c r="AC205">
        <v>1750</v>
      </c>
    </row>
    <row r="206" spans="1:29">
      <c r="A206">
        <v>198</v>
      </c>
      <c r="B206" t="s">
        <v>149</v>
      </c>
      <c r="C206">
        <v>1515</v>
      </c>
      <c r="D206" t="s">
        <v>347</v>
      </c>
      <c r="E206" t="str">
        <f t="shared" si="3"/>
        <v>01515</v>
      </c>
      <c r="F206" t="s">
        <v>65</v>
      </c>
      <c r="G206" t="s">
        <v>208</v>
      </c>
      <c r="H206" t="s">
        <v>157</v>
      </c>
      <c r="I206" t="s">
        <v>4</v>
      </c>
      <c r="J206" t="s">
        <v>152</v>
      </c>
      <c r="K206" t="s">
        <v>174</v>
      </c>
      <c r="L206">
        <v>251200062</v>
      </c>
      <c r="M206" s="84">
        <v>45994</v>
      </c>
      <c r="N206" s="84">
        <v>45994</v>
      </c>
      <c r="O206" t="s">
        <v>189</v>
      </c>
      <c r="P206" t="s">
        <v>190</v>
      </c>
      <c r="Q206">
        <v>5500</v>
      </c>
      <c r="R206">
        <v>5</v>
      </c>
      <c r="S206">
        <v>27500</v>
      </c>
      <c r="T206">
        <v>0</v>
      </c>
      <c r="U206">
        <v>0</v>
      </c>
      <c r="V206">
        <v>5</v>
      </c>
      <c r="W206">
        <v>27500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>
        <v>199</v>
      </c>
      <c r="B207" t="s">
        <v>149</v>
      </c>
      <c r="C207">
        <v>1284</v>
      </c>
      <c r="D207" t="s">
        <v>186</v>
      </c>
      <c r="E207" t="str">
        <f t="shared" si="3"/>
        <v>01284</v>
      </c>
      <c r="F207" t="s">
        <v>171</v>
      </c>
      <c r="G207" t="s">
        <v>172</v>
      </c>
      <c r="H207" t="s">
        <v>157</v>
      </c>
      <c r="I207" t="s">
        <v>210</v>
      </c>
      <c r="J207" t="s">
        <v>152</v>
      </c>
      <c r="K207" t="s">
        <v>174</v>
      </c>
      <c r="L207">
        <v>251200063</v>
      </c>
      <c r="M207" s="84">
        <v>45994</v>
      </c>
      <c r="N207" s="84">
        <v>45994</v>
      </c>
      <c r="O207" t="s">
        <v>250</v>
      </c>
      <c r="P207" t="s">
        <v>251</v>
      </c>
      <c r="Q207">
        <v>30930</v>
      </c>
      <c r="R207">
        <v>1</v>
      </c>
      <c r="S207">
        <v>30930</v>
      </c>
      <c r="T207">
        <v>0</v>
      </c>
      <c r="U207">
        <v>0</v>
      </c>
      <c r="V207">
        <v>1</v>
      </c>
      <c r="W207">
        <v>30930</v>
      </c>
      <c r="X207">
        <v>928</v>
      </c>
      <c r="Y207">
        <v>1237</v>
      </c>
      <c r="Z207">
        <v>619</v>
      </c>
      <c r="AA207">
        <v>1547</v>
      </c>
      <c r="AB207">
        <v>100</v>
      </c>
      <c r="AC207">
        <v>4431</v>
      </c>
    </row>
    <row r="208" spans="1:29">
      <c r="A208">
        <v>200</v>
      </c>
      <c r="B208" t="s">
        <v>149</v>
      </c>
      <c r="C208">
        <v>315</v>
      </c>
      <c r="D208" t="s">
        <v>85</v>
      </c>
      <c r="E208" t="str">
        <f t="shared" si="3"/>
        <v>00315</v>
      </c>
      <c r="F208" t="s">
        <v>83</v>
      </c>
      <c r="G208" t="s">
        <v>164</v>
      </c>
      <c r="H208" t="s">
        <v>151</v>
      </c>
      <c r="I208" t="s">
        <v>5</v>
      </c>
      <c r="J208" t="s">
        <v>158</v>
      </c>
      <c r="K208" t="s">
        <v>153</v>
      </c>
      <c r="L208">
        <v>251200063</v>
      </c>
      <c r="M208" s="84">
        <v>46020</v>
      </c>
      <c r="N208" s="84">
        <v>46020</v>
      </c>
      <c r="O208" t="s">
        <v>217</v>
      </c>
      <c r="P208" t="s">
        <v>218</v>
      </c>
      <c r="Q208">
        <v>11700</v>
      </c>
      <c r="R208">
        <v>50</v>
      </c>
      <c r="S208">
        <v>585000</v>
      </c>
      <c r="T208">
        <v>0</v>
      </c>
      <c r="U208">
        <v>0</v>
      </c>
      <c r="V208">
        <v>50</v>
      </c>
      <c r="W208">
        <v>585000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>
      <c r="A209">
        <v>201</v>
      </c>
      <c r="B209" t="s">
        <v>149</v>
      </c>
      <c r="C209">
        <v>1487</v>
      </c>
      <c r="D209" t="s">
        <v>88</v>
      </c>
      <c r="E209" t="str">
        <f t="shared" si="3"/>
        <v>01487</v>
      </c>
      <c r="F209" t="s">
        <v>86</v>
      </c>
      <c r="G209" t="s">
        <v>156</v>
      </c>
      <c r="H209" t="s">
        <v>157</v>
      </c>
      <c r="I209" t="s">
        <v>4</v>
      </c>
      <c r="J209" t="s">
        <v>152</v>
      </c>
      <c r="K209" t="s">
        <v>159</v>
      </c>
      <c r="L209">
        <v>251200064</v>
      </c>
      <c r="M209" s="84">
        <v>45994</v>
      </c>
      <c r="N209" s="84">
        <v>45994</v>
      </c>
      <c r="O209" t="s">
        <v>160</v>
      </c>
      <c r="P209" t="s">
        <v>161</v>
      </c>
      <c r="Q209">
        <v>14250</v>
      </c>
      <c r="R209">
        <v>15</v>
      </c>
      <c r="S209">
        <v>213750</v>
      </c>
      <c r="T209">
        <v>0</v>
      </c>
      <c r="U209">
        <v>0</v>
      </c>
      <c r="V209">
        <v>15</v>
      </c>
      <c r="W209">
        <v>213750</v>
      </c>
      <c r="X209">
        <v>2250</v>
      </c>
      <c r="Y209">
        <v>3000</v>
      </c>
      <c r="Z209">
        <v>0</v>
      </c>
      <c r="AA209">
        <v>0</v>
      </c>
      <c r="AB209">
        <v>0</v>
      </c>
      <c r="AC209">
        <v>5250</v>
      </c>
    </row>
    <row r="210" spans="1:29">
      <c r="A210">
        <v>202</v>
      </c>
      <c r="B210" t="s">
        <v>149</v>
      </c>
      <c r="C210">
        <v>1379</v>
      </c>
      <c r="D210" t="s">
        <v>252</v>
      </c>
      <c r="E210" t="str">
        <f t="shared" si="3"/>
        <v>01379</v>
      </c>
      <c r="F210" t="s">
        <v>95</v>
      </c>
      <c r="G210" t="s">
        <v>187</v>
      </c>
      <c r="H210" t="s">
        <v>188</v>
      </c>
      <c r="I210" t="s">
        <v>210</v>
      </c>
      <c r="J210" t="s">
        <v>152</v>
      </c>
      <c r="K210" t="s">
        <v>159</v>
      </c>
      <c r="L210">
        <v>251200065</v>
      </c>
      <c r="M210" s="84">
        <v>45994</v>
      </c>
      <c r="N210" s="84">
        <v>45994</v>
      </c>
      <c r="O210" t="s">
        <v>213</v>
      </c>
      <c r="P210" t="s">
        <v>214</v>
      </c>
      <c r="Q210">
        <v>21750</v>
      </c>
      <c r="R210">
        <v>50</v>
      </c>
      <c r="S210">
        <v>1087500</v>
      </c>
      <c r="T210">
        <v>0</v>
      </c>
      <c r="U210">
        <v>0</v>
      </c>
      <c r="V210">
        <v>50</v>
      </c>
      <c r="W210">
        <v>1087500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>
        <v>203</v>
      </c>
      <c r="B211" t="s">
        <v>149</v>
      </c>
      <c r="C211">
        <v>1563</v>
      </c>
      <c r="D211" t="s">
        <v>348</v>
      </c>
      <c r="E211" t="str">
        <f t="shared" si="3"/>
        <v>01563</v>
      </c>
      <c r="F211" t="s">
        <v>91</v>
      </c>
      <c r="G211" t="s">
        <v>202</v>
      </c>
      <c r="H211" t="s">
        <v>157</v>
      </c>
      <c r="I211" t="s">
        <v>5</v>
      </c>
      <c r="J211" t="s">
        <v>152</v>
      </c>
      <c r="K211" t="s">
        <v>159</v>
      </c>
      <c r="L211">
        <v>251200066</v>
      </c>
      <c r="M211" s="84">
        <v>45994</v>
      </c>
      <c r="N211" s="84">
        <v>45994</v>
      </c>
      <c r="O211" t="s">
        <v>198</v>
      </c>
      <c r="P211" t="s">
        <v>199</v>
      </c>
      <c r="Q211">
        <v>4500</v>
      </c>
      <c r="R211">
        <v>20</v>
      </c>
      <c r="S211">
        <v>90000</v>
      </c>
      <c r="T211">
        <v>0</v>
      </c>
      <c r="U211">
        <v>0</v>
      </c>
      <c r="V211">
        <v>20</v>
      </c>
      <c r="W211">
        <v>90000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204</v>
      </c>
      <c r="B212" t="s">
        <v>149</v>
      </c>
      <c r="C212">
        <v>814</v>
      </c>
      <c r="D212" t="s">
        <v>51</v>
      </c>
      <c r="E212" t="str">
        <f t="shared" si="3"/>
        <v>00814</v>
      </c>
      <c r="F212" t="s">
        <v>49</v>
      </c>
      <c r="G212" t="s">
        <v>167</v>
      </c>
      <c r="H212" t="s">
        <v>151</v>
      </c>
      <c r="I212" t="s">
        <v>4</v>
      </c>
      <c r="J212" t="s">
        <v>158</v>
      </c>
      <c r="K212" t="s">
        <v>153</v>
      </c>
      <c r="L212">
        <v>251200067</v>
      </c>
      <c r="M212" s="84">
        <v>46021</v>
      </c>
      <c r="N212" s="84">
        <v>46021</v>
      </c>
      <c r="O212" t="s">
        <v>160</v>
      </c>
      <c r="P212" t="s">
        <v>161</v>
      </c>
      <c r="Q212">
        <v>14250</v>
      </c>
      <c r="R212">
        <v>50</v>
      </c>
      <c r="S212">
        <v>712500</v>
      </c>
      <c r="T212">
        <v>0</v>
      </c>
      <c r="U212">
        <v>0</v>
      </c>
      <c r="V212">
        <v>50</v>
      </c>
      <c r="W212">
        <v>712500</v>
      </c>
      <c r="X212">
        <v>7500</v>
      </c>
      <c r="Y212">
        <v>10000</v>
      </c>
      <c r="Z212">
        <v>0</v>
      </c>
      <c r="AA212">
        <v>0</v>
      </c>
      <c r="AB212">
        <v>0</v>
      </c>
      <c r="AC212">
        <v>17500</v>
      </c>
    </row>
    <row r="213" spans="1:29">
      <c r="A213">
        <v>205</v>
      </c>
      <c r="B213" t="s">
        <v>149</v>
      </c>
      <c r="C213">
        <v>1352</v>
      </c>
      <c r="D213" t="s">
        <v>42</v>
      </c>
      <c r="E213" t="str">
        <f t="shared" si="3"/>
        <v>01352</v>
      </c>
      <c r="F213" t="s">
        <v>38</v>
      </c>
      <c r="G213" t="s">
        <v>202</v>
      </c>
      <c r="H213" t="s">
        <v>157</v>
      </c>
      <c r="I213" t="s">
        <v>4</v>
      </c>
      <c r="J213" t="s">
        <v>152</v>
      </c>
      <c r="K213" t="s">
        <v>203</v>
      </c>
      <c r="L213">
        <v>251200067</v>
      </c>
      <c r="M213" s="84">
        <v>45994</v>
      </c>
      <c r="N213" s="84">
        <v>45994</v>
      </c>
      <c r="O213" t="s">
        <v>160</v>
      </c>
      <c r="P213" t="s">
        <v>161</v>
      </c>
      <c r="Q213">
        <v>14250</v>
      </c>
      <c r="R213">
        <v>30</v>
      </c>
      <c r="S213">
        <v>427500</v>
      </c>
      <c r="T213">
        <v>0</v>
      </c>
      <c r="U213">
        <v>0</v>
      </c>
      <c r="V213">
        <v>30</v>
      </c>
      <c r="W213">
        <v>427500</v>
      </c>
      <c r="X213">
        <v>4500</v>
      </c>
      <c r="Y213">
        <v>6000</v>
      </c>
      <c r="Z213">
        <v>0</v>
      </c>
      <c r="AA213">
        <v>0</v>
      </c>
      <c r="AB213">
        <v>0</v>
      </c>
      <c r="AC213">
        <v>10500</v>
      </c>
    </row>
    <row r="214" spans="1:29">
      <c r="A214">
        <v>206</v>
      </c>
      <c r="B214" t="s">
        <v>149</v>
      </c>
      <c r="C214">
        <v>1493</v>
      </c>
      <c r="D214" t="s">
        <v>69</v>
      </c>
      <c r="E214" t="str">
        <f t="shared" si="3"/>
        <v>01493</v>
      </c>
      <c r="F214" t="s">
        <v>65</v>
      </c>
      <c r="G214" t="s">
        <v>208</v>
      </c>
      <c r="H214" t="s">
        <v>157</v>
      </c>
      <c r="I214" t="s">
        <v>182</v>
      </c>
      <c r="J214" t="s">
        <v>158</v>
      </c>
      <c r="K214" t="s">
        <v>174</v>
      </c>
      <c r="L214">
        <v>251200068</v>
      </c>
      <c r="M214" s="84">
        <v>46021</v>
      </c>
      <c r="N214" s="84">
        <v>46021</v>
      </c>
      <c r="O214" t="s">
        <v>183</v>
      </c>
      <c r="P214" t="s">
        <v>184</v>
      </c>
      <c r="Q214">
        <v>72</v>
      </c>
      <c r="R214">
        <v>200</v>
      </c>
      <c r="S214">
        <v>14400</v>
      </c>
      <c r="T214">
        <v>0</v>
      </c>
      <c r="U214">
        <v>0</v>
      </c>
      <c r="V214">
        <v>200</v>
      </c>
      <c r="W214">
        <v>14400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>
        <v>207</v>
      </c>
      <c r="B215" t="s">
        <v>149</v>
      </c>
      <c r="C215">
        <v>496</v>
      </c>
      <c r="D215" t="s">
        <v>8</v>
      </c>
      <c r="E215" t="str">
        <f t="shared" si="3"/>
        <v>00496</v>
      </c>
      <c r="F215" t="s">
        <v>7</v>
      </c>
      <c r="G215" t="s">
        <v>156</v>
      </c>
      <c r="H215" t="s">
        <v>157</v>
      </c>
      <c r="I215" t="s">
        <v>4</v>
      </c>
      <c r="J215" t="s">
        <v>152</v>
      </c>
      <c r="K215" t="s">
        <v>159</v>
      </c>
      <c r="L215">
        <v>251200068</v>
      </c>
      <c r="M215" s="84">
        <v>45994</v>
      </c>
      <c r="N215" s="84">
        <v>45994</v>
      </c>
      <c r="O215" t="s">
        <v>243</v>
      </c>
      <c r="P215" t="s">
        <v>244</v>
      </c>
      <c r="Q215">
        <v>15050</v>
      </c>
      <c r="R215">
        <v>5</v>
      </c>
      <c r="S215">
        <v>75250</v>
      </c>
      <c r="T215">
        <v>0</v>
      </c>
      <c r="U215">
        <v>0</v>
      </c>
      <c r="V215">
        <v>5</v>
      </c>
      <c r="W215">
        <v>75250</v>
      </c>
      <c r="X215">
        <v>750</v>
      </c>
      <c r="Y215">
        <v>1000</v>
      </c>
      <c r="Z215">
        <v>0</v>
      </c>
      <c r="AA215">
        <v>0</v>
      </c>
      <c r="AB215">
        <v>0</v>
      </c>
      <c r="AC215">
        <v>1750</v>
      </c>
    </row>
    <row r="216" spans="1:29">
      <c r="A216">
        <v>208</v>
      </c>
      <c r="B216" t="s">
        <v>149</v>
      </c>
      <c r="C216">
        <v>846</v>
      </c>
      <c r="D216" t="s">
        <v>94</v>
      </c>
      <c r="E216" t="str">
        <f t="shared" si="3"/>
        <v>00846</v>
      </c>
      <c r="F216" t="s">
        <v>91</v>
      </c>
      <c r="G216" t="s">
        <v>202</v>
      </c>
      <c r="H216" t="s">
        <v>157</v>
      </c>
      <c r="I216" t="s">
        <v>5</v>
      </c>
      <c r="J216" t="s">
        <v>152</v>
      </c>
      <c r="K216" t="s">
        <v>159</v>
      </c>
      <c r="L216">
        <v>251200069</v>
      </c>
      <c r="M216" s="84">
        <v>45994</v>
      </c>
      <c r="N216" s="84">
        <v>45994</v>
      </c>
      <c r="O216" t="s">
        <v>253</v>
      </c>
      <c r="P216" t="s">
        <v>254</v>
      </c>
      <c r="Q216">
        <v>11700</v>
      </c>
      <c r="R216">
        <v>12</v>
      </c>
      <c r="S216">
        <v>140400</v>
      </c>
      <c r="T216">
        <v>0</v>
      </c>
      <c r="U216">
        <v>0</v>
      </c>
      <c r="V216">
        <v>12</v>
      </c>
      <c r="W216">
        <v>140400</v>
      </c>
      <c r="X216">
        <v>1800</v>
      </c>
      <c r="Y216">
        <v>1800</v>
      </c>
      <c r="Z216">
        <v>0</v>
      </c>
      <c r="AA216">
        <v>0</v>
      </c>
      <c r="AB216">
        <v>0</v>
      </c>
      <c r="AC216">
        <v>3600</v>
      </c>
    </row>
    <row r="217" spans="1:29">
      <c r="A217">
        <v>209</v>
      </c>
      <c r="B217" t="s">
        <v>149</v>
      </c>
      <c r="C217">
        <v>846</v>
      </c>
      <c r="D217" t="s">
        <v>94</v>
      </c>
      <c r="E217" t="str">
        <f t="shared" si="3"/>
        <v>00846</v>
      </c>
      <c r="F217" t="s">
        <v>91</v>
      </c>
      <c r="G217" t="s">
        <v>202</v>
      </c>
      <c r="H217" t="s">
        <v>157</v>
      </c>
      <c r="I217" t="s">
        <v>4</v>
      </c>
      <c r="J217" t="s">
        <v>152</v>
      </c>
      <c r="K217" t="s">
        <v>159</v>
      </c>
      <c r="L217">
        <v>251200069</v>
      </c>
      <c r="M217" s="84">
        <v>45994</v>
      </c>
      <c r="N217" s="84">
        <v>45994</v>
      </c>
      <c r="O217" t="s">
        <v>162</v>
      </c>
      <c r="P217" t="s">
        <v>163</v>
      </c>
      <c r="Q217">
        <v>14250</v>
      </c>
      <c r="R217">
        <v>25</v>
      </c>
      <c r="S217">
        <v>356250</v>
      </c>
      <c r="T217">
        <v>0</v>
      </c>
      <c r="U217">
        <v>0</v>
      </c>
      <c r="V217">
        <v>25</v>
      </c>
      <c r="W217">
        <v>356250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>
        <v>210</v>
      </c>
      <c r="B218" t="s">
        <v>149</v>
      </c>
      <c r="C218">
        <v>1493</v>
      </c>
      <c r="D218" t="s">
        <v>69</v>
      </c>
      <c r="E218" t="str">
        <f t="shared" si="3"/>
        <v>01493</v>
      </c>
      <c r="F218" t="s">
        <v>65</v>
      </c>
      <c r="G218" t="s">
        <v>208</v>
      </c>
      <c r="H218" t="s">
        <v>157</v>
      </c>
      <c r="I218" t="s">
        <v>182</v>
      </c>
      <c r="J218" t="s">
        <v>158</v>
      </c>
      <c r="K218" t="s">
        <v>174</v>
      </c>
      <c r="L218">
        <v>251200069</v>
      </c>
      <c r="M218" s="84">
        <v>46021</v>
      </c>
      <c r="N218" s="84">
        <v>46021</v>
      </c>
      <c r="O218" t="s">
        <v>183</v>
      </c>
      <c r="P218" t="s">
        <v>184</v>
      </c>
      <c r="Q218">
        <v>72</v>
      </c>
      <c r="R218">
        <v>100</v>
      </c>
      <c r="S218">
        <v>7200</v>
      </c>
      <c r="T218">
        <v>0</v>
      </c>
      <c r="U218">
        <v>0</v>
      </c>
      <c r="V218">
        <v>100</v>
      </c>
      <c r="W218">
        <v>7200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211</v>
      </c>
      <c r="B219" t="s">
        <v>149</v>
      </c>
      <c r="C219">
        <v>1429</v>
      </c>
      <c r="D219" t="s">
        <v>47</v>
      </c>
      <c r="E219" t="str">
        <f t="shared" si="3"/>
        <v>01429</v>
      </c>
      <c r="F219" t="s">
        <v>43</v>
      </c>
      <c r="G219" t="s">
        <v>150</v>
      </c>
      <c r="H219" t="s">
        <v>151</v>
      </c>
      <c r="I219" t="s">
        <v>5</v>
      </c>
      <c r="J219" t="s">
        <v>152</v>
      </c>
      <c r="K219" t="s">
        <v>153</v>
      </c>
      <c r="L219">
        <v>251200070</v>
      </c>
      <c r="M219" s="84">
        <v>45994</v>
      </c>
      <c r="N219" s="84">
        <v>45994</v>
      </c>
      <c r="O219" t="s">
        <v>191</v>
      </c>
      <c r="P219" t="s">
        <v>192</v>
      </c>
      <c r="Q219">
        <v>11700</v>
      </c>
      <c r="R219">
        <v>8</v>
      </c>
      <c r="S219">
        <v>93600</v>
      </c>
      <c r="T219">
        <v>0</v>
      </c>
      <c r="U219">
        <v>0</v>
      </c>
      <c r="V219">
        <v>8</v>
      </c>
      <c r="W219">
        <v>93600</v>
      </c>
      <c r="X219">
        <v>1200</v>
      </c>
      <c r="Y219">
        <v>1200</v>
      </c>
      <c r="Z219">
        <v>0</v>
      </c>
      <c r="AA219">
        <v>0</v>
      </c>
      <c r="AB219">
        <v>0</v>
      </c>
      <c r="AC219">
        <v>2400</v>
      </c>
    </row>
    <row r="220" spans="1:29">
      <c r="A220">
        <v>212</v>
      </c>
      <c r="B220" t="s">
        <v>149</v>
      </c>
      <c r="C220">
        <v>1429</v>
      </c>
      <c r="D220" t="s">
        <v>47</v>
      </c>
      <c r="E220" t="str">
        <f t="shared" si="3"/>
        <v>01429</v>
      </c>
      <c r="F220" t="s">
        <v>43</v>
      </c>
      <c r="G220" t="s">
        <v>150</v>
      </c>
      <c r="H220" t="s">
        <v>151</v>
      </c>
      <c r="I220" t="s">
        <v>4</v>
      </c>
      <c r="J220" t="s">
        <v>152</v>
      </c>
      <c r="K220" t="s">
        <v>153</v>
      </c>
      <c r="L220">
        <v>251200070</v>
      </c>
      <c r="M220" s="84">
        <v>45994</v>
      </c>
      <c r="N220" s="84">
        <v>45994</v>
      </c>
      <c r="O220" t="s">
        <v>160</v>
      </c>
      <c r="P220" t="s">
        <v>161</v>
      </c>
      <c r="Q220">
        <v>14250</v>
      </c>
      <c r="R220">
        <v>5</v>
      </c>
      <c r="S220">
        <v>71250</v>
      </c>
      <c r="T220">
        <v>0</v>
      </c>
      <c r="U220">
        <v>0</v>
      </c>
      <c r="V220">
        <v>5</v>
      </c>
      <c r="W220">
        <v>71250</v>
      </c>
      <c r="X220">
        <v>750</v>
      </c>
      <c r="Y220">
        <v>1000</v>
      </c>
      <c r="Z220">
        <v>0</v>
      </c>
      <c r="AA220">
        <v>0</v>
      </c>
      <c r="AB220">
        <v>0</v>
      </c>
      <c r="AC220">
        <v>1750</v>
      </c>
    </row>
    <row r="221" spans="1:29">
      <c r="A221">
        <v>213</v>
      </c>
      <c r="B221" t="s">
        <v>149</v>
      </c>
      <c r="C221">
        <v>1320</v>
      </c>
      <c r="D221" t="s">
        <v>319</v>
      </c>
      <c r="E221" t="str">
        <f t="shared" si="3"/>
        <v>01320</v>
      </c>
      <c r="F221" t="s">
        <v>171</v>
      </c>
      <c r="G221" t="s">
        <v>172</v>
      </c>
      <c r="H221" t="s">
        <v>157</v>
      </c>
      <c r="I221" t="s">
        <v>4</v>
      </c>
      <c r="J221" t="s">
        <v>152</v>
      </c>
      <c r="K221" t="s">
        <v>174</v>
      </c>
      <c r="L221">
        <v>251200071</v>
      </c>
      <c r="M221" s="84">
        <v>45994</v>
      </c>
      <c r="N221" s="84">
        <v>45994</v>
      </c>
      <c r="O221" t="s">
        <v>294</v>
      </c>
      <c r="P221" t="s">
        <v>295</v>
      </c>
      <c r="Q221">
        <v>5500</v>
      </c>
      <c r="R221">
        <v>10</v>
      </c>
      <c r="S221">
        <v>55000</v>
      </c>
      <c r="T221">
        <v>0</v>
      </c>
      <c r="U221">
        <v>0</v>
      </c>
      <c r="V221">
        <v>10</v>
      </c>
      <c r="W221">
        <v>55000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>
      <c r="A222">
        <v>214</v>
      </c>
      <c r="B222" t="s">
        <v>149</v>
      </c>
      <c r="C222">
        <v>1320</v>
      </c>
      <c r="D222" t="s">
        <v>319</v>
      </c>
      <c r="E222" t="str">
        <f t="shared" si="3"/>
        <v>01320</v>
      </c>
      <c r="F222" t="s">
        <v>171</v>
      </c>
      <c r="G222" t="s">
        <v>172</v>
      </c>
      <c r="H222" t="s">
        <v>157</v>
      </c>
      <c r="I222" t="s">
        <v>4</v>
      </c>
      <c r="J222" t="s">
        <v>152</v>
      </c>
      <c r="K222" t="s">
        <v>174</v>
      </c>
      <c r="L222">
        <v>251200071</v>
      </c>
      <c r="M222" s="84">
        <v>45994</v>
      </c>
      <c r="N222" s="84">
        <v>45994</v>
      </c>
      <c r="O222" t="s">
        <v>256</v>
      </c>
      <c r="P222" t="s">
        <v>257</v>
      </c>
      <c r="Q222">
        <v>5500</v>
      </c>
      <c r="R222">
        <v>10</v>
      </c>
      <c r="S222">
        <v>55000</v>
      </c>
      <c r="T222">
        <v>0</v>
      </c>
      <c r="U222">
        <v>0</v>
      </c>
      <c r="V222">
        <v>10</v>
      </c>
      <c r="W222">
        <v>55000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215</v>
      </c>
      <c r="B223" t="s">
        <v>149</v>
      </c>
      <c r="C223">
        <v>1320</v>
      </c>
      <c r="D223" t="s">
        <v>319</v>
      </c>
      <c r="E223" t="str">
        <f t="shared" si="3"/>
        <v>01320</v>
      </c>
      <c r="F223" t="s">
        <v>171</v>
      </c>
      <c r="G223" t="s">
        <v>172</v>
      </c>
      <c r="H223" t="s">
        <v>157</v>
      </c>
      <c r="I223" t="s">
        <v>4</v>
      </c>
      <c r="J223" t="s">
        <v>152</v>
      </c>
      <c r="K223" t="s">
        <v>174</v>
      </c>
      <c r="L223">
        <v>251200071</v>
      </c>
      <c r="M223" s="84">
        <v>45994</v>
      </c>
      <c r="N223" s="84">
        <v>45994</v>
      </c>
      <c r="O223" t="s">
        <v>225</v>
      </c>
      <c r="P223" t="s">
        <v>226</v>
      </c>
      <c r="Q223">
        <v>5500</v>
      </c>
      <c r="R223">
        <v>15</v>
      </c>
      <c r="S223">
        <v>82500</v>
      </c>
      <c r="T223">
        <v>0</v>
      </c>
      <c r="U223">
        <v>0</v>
      </c>
      <c r="V223">
        <v>15</v>
      </c>
      <c r="W223">
        <v>82500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216</v>
      </c>
      <c r="B224" t="s">
        <v>149</v>
      </c>
      <c r="C224">
        <v>1320</v>
      </c>
      <c r="D224" t="s">
        <v>319</v>
      </c>
      <c r="E224" t="str">
        <f t="shared" si="3"/>
        <v>01320</v>
      </c>
      <c r="F224" t="s">
        <v>171</v>
      </c>
      <c r="G224" t="s">
        <v>172</v>
      </c>
      <c r="H224" t="s">
        <v>157</v>
      </c>
      <c r="I224" t="s">
        <v>4</v>
      </c>
      <c r="J224" t="s">
        <v>152</v>
      </c>
      <c r="K224" t="s">
        <v>174</v>
      </c>
      <c r="L224">
        <v>251200072</v>
      </c>
      <c r="M224" s="84">
        <v>45994</v>
      </c>
      <c r="N224" s="84">
        <v>45994</v>
      </c>
      <c r="O224" t="s">
        <v>349</v>
      </c>
      <c r="P224" t="s">
        <v>350</v>
      </c>
      <c r="Q224">
        <v>5500</v>
      </c>
      <c r="R224">
        <v>15</v>
      </c>
      <c r="S224">
        <v>82500</v>
      </c>
      <c r="T224">
        <v>0</v>
      </c>
      <c r="U224">
        <v>0</v>
      </c>
      <c r="V224">
        <v>15</v>
      </c>
      <c r="W224">
        <v>82500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>
        <v>217</v>
      </c>
      <c r="B225" t="s">
        <v>149</v>
      </c>
      <c r="C225">
        <v>1428</v>
      </c>
      <c r="D225" t="s">
        <v>351</v>
      </c>
      <c r="E225" t="str">
        <f t="shared" si="3"/>
        <v>01428</v>
      </c>
      <c r="F225" t="s">
        <v>171</v>
      </c>
      <c r="G225" t="s">
        <v>172</v>
      </c>
      <c r="H225" t="s">
        <v>157</v>
      </c>
      <c r="I225" t="s">
        <v>4</v>
      </c>
      <c r="J225" t="s">
        <v>152</v>
      </c>
      <c r="K225" t="s">
        <v>174</v>
      </c>
      <c r="L225">
        <v>251200073</v>
      </c>
      <c r="M225" s="84">
        <v>45994</v>
      </c>
      <c r="N225" s="84">
        <v>45994</v>
      </c>
      <c r="O225" t="s">
        <v>189</v>
      </c>
      <c r="P225" t="s">
        <v>190</v>
      </c>
      <c r="Q225">
        <v>5500</v>
      </c>
      <c r="R225">
        <v>8</v>
      </c>
      <c r="S225">
        <v>44000</v>
      </c>
      <c r="T225">
        <v>0</v>
      </c>
      <c r="U225">
        <v>0</v>
      </c>
      <c r="V225">
        <v>8</v>
      </c>
      <c r="W225">
        <v>44000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218</v>
      </c>
      <c r="B226" t="s">
        <v>149</v>
      </c>
      <c r="C226">
        <v>1428</v>
      </c>
      <c r="D226" t="s">
        <v>351</v>
      </c>
      <c r="E226" t="str">
        <f t="shared" si="3"/>
        <v>01428</v>
      </c>
      <c r="F226" t="s">
        <v>171</v>
      </c>
      <c r="G226" t="s">
        <v>172</v>
      </c>
      <c r="H226" t="s">
        <v>157</v>
      </c>
      <c r="I226" t="s">
        <v>4</v>
      </c>
      <c r="J226" t="s">
        <v>152</v>
      </c>
      <c r="K226" t="s">
        <v>174</v>
      </c>
      <c r="L226">
        <v>251200074</v>
      </c>
      <c r="M226" s="84">
        <v>45994</v>
      </c>
      <c r="N226" s="84">
        <v>45994</v>
      </c>
      <c r="O226" t="s">
        <v>300</v>
      </c>
      <c r="P226" t="s">
        <v>301</v>
      </c>
      <c r="Q226">
        <v>5500</v>
      </c>
      <c r="R226">
        <v>4</v>
      </c>
      <c r="S226">
        <v>22000</v>
      </c>
      <c r="T226">
        <v>0</v>
      </c>
      <c r="U226">
        <v>0</v>
      </c>
      <c r="V226">
        <v>4</v>
      </c>
      <c r="W226">
        <v>22000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219</v>
      </c>
      <c r="B227" t="s">
        <v>149</v>
      </c>
      <c r="C227">
        <v>159</v>
      </c>
      <c r="D227" t="s">
        <v>50</v>
      </c>
      <c r="E227" t="str">
        <f t="shared" si="3"/>
        <v>00159</v>
      </c>
      <c r="F227" t="s">
        <v>49</v>
      </c>
      <c r="G227" t="s">
        <v>167</v>
      </c>
      <c r="H227" t="s">
        <v>151</v>
      </c>
      <c r="I227" t="s">
        <v>4</v>
      </c>
      <c r="J227" t="s">
        <v>152</v>
      </c>
      <c r="K227" t="s">
        <v>153</v>
      </c>
      <c r="L227">
        <v>251200075</v>
      </c>
      <c r="M227" s="84">
        <v>45994</v>
      </c>
      <c r="N227" s="84">
        <v>45994</v>
      </c>
      <c r="O227" t="s">
        <v>160</v>
      </c>
      <c r="P227" t="s">
        <v>161</v>
      </c>
      <c r="Q227">
        <v>14250</v>
      </c>
      <c r="R227">
        <v>50</v>
      </c>
      <c r="S227">
        <v>712500</v>
      </c>
      <c r="T227">
        <v>0</v>
      </c>
      <c r="U227">
        <v>0</v>
      </c>
      <c r="V227">
        <v>50</v>
      </c>
      <c r="W227">
        <v>712500</v>
      </c>
      <c r="X227">
        <v>7500</v>
      </c>
      <c r="Y227">
        <v>10000</v>
      </c>
      <c r="Z227">
        <v>0</v>
      </c>
      <c r="AA227">
        <v>0</v>
      </c>
      <c r="AB227">
        <v>0</v>
      </c>
      <c r="AC227">
        <v>17500</v>
      </c>
    </row>
    <row r="228" spans="1:29">
      <c r="A228">
        <v>220</v>
      </c>
      <c r="B228" t="s">
        <v>149</v>
      </c>
      <c r="C228">
        <v>159</v>
      </c>
      <c r="D228" t="s">
        <v>50</v>
      </c>
      <c r="E228" t="str">
        <f t="shared" si="3"/>
        <v>00159</v>
      </c>
      <c r="F228" t="s">
        <v>49</v>
      </c>
      <c r="G228" t="s">
        <v>167</v>
      </c>
      <c r="H228" t="s">
        <v>151</v>
      </c>
      <c r="I228" t="s">
        <v>4</v>
      </c>
      <c r="J228" t="s">
        <v>152</v>
      </c>
      <c r="K228" t="s">
        <v>153</v>
      </c>
      <c r="L228">
        <v>251200075</v>
      </c>
      <c r="M228" s="84">
        <v>45994</v>
      </c>
      <c r="N228" s="84">
        <v>45994</v>
      </c>
      <c r="O228" t="s">
        <v>177</v>
      </c>
      <c r="P228" t="s">
        <v>178</v>
      </c>
      <c r="Q228">
        <v>14250</v>
      </c>
      <c r="R228">
        <v>2</v>
      </c>
      <c r="S228">
        <v>28500</v>
      </c>
      <c r="T228">
        <v>0</v>
      </c>
      <c r="U228">
        <v>0</v>
      </c>
      <c r="V228">
        <v>2</v>
      </c>
      <c r="W228">
        <v>28500</v>
      </c>
      <c r="X228">
        <v>300</v>
      </c>
      <c r="Y228">
        <v>400</v>
      </c>
      <c r="Z228">
        <v>0</v>
      </c>
      <c r="AA228">
        <v>0</v>
      </c>
      <c r="AB228">
        <v>0</v>
      </c>
      <c r="AC228">
        <v>700</v>
      </c>
    </row>
    <row r="229" spans="1:29">
      <c r="A229">
        <v>221</v>
      </c>
      <c r="B229" t="s">
        <v>149</v>
      </c>
      <c r="C229">
        <v>1152</v>
      </c>
      <c r="D229" t="s">
        <v>58</v>
      </c>
      <c r="E229" t="str">
        <f t="shared" si="3"/>
        <v>01152</v>
      </c>
      <c r="F229" t="s">
        <v>49</v>
      </c>
      <c r="G229" t="s">
        <v>167</v>
      </c>
      <c r="H229" t="s">
        <v>151</v>
      </c>
      <c r="I229" t="s">
        <v>4</v>
      </c>
      <c r="J229" t="s">
        <v>158</v>
      </c>
      <c r="K229" t="s">
        <v>153</v>
      </c>
      <c r="L229">
        <v>251200076</v>
      </c>
      <c r="M229" s="84">
        <v>46022</v>
      </c>
      <c r="N229" s="84">
        <v>46022</v>
      </c>
      <c r="O229" t="s">
        <v>160</v>
      </c>
      <c r="P229" t="s">
        <v>161</v>
      </c>
      <c r="Q229">
        <v>14250</v>
      </c>
      <c r="R229">
        <v>18</v>
      </c>
      <c r="S229">
        <v>256500</v>
      </c>
      <c r="T229">
        <v>0</v>
      </c>
      <c r="U229">
        <v>0</v>
      </c>
      <c r="V229">
        <v>18</v>
      </c>
      <c r="W229">
        <v>256500</v>
      </c>
      <c r="X229">
        <v>2700</v>
      </c>
      <c r="Y229">
        <v>3600</v>
      </c>
      <c r="Z229">
        <v>0</v>
      </c>
      <c r="AA229">
        <v>0</v>
      </c>
      <c r="AB229">
        <v>0</v>
      </c>
      <c r="AC229">
        <v>6300</v>
      </c>
    </row>
    <row r="230" spans="1:29">
      <c r="A230">
        <v>222</v>
      </c>
      <c r="B230" t="s">
        <v>149</v>
      </c>
      <c r="C230">
        <v>1108</v>
      </c>
      <c r="D230" t="s">
        <v>107</v>
      </c>
      <c r="E230" t="str">
        <f t="shared" si="3"/>
        <v>01108</v>
      </c>
      <c r="F230" t="s">
        <v>103</v>
      </c>
      <c r="G230" t="s">
        <v>167</v>
      </c>
      <c r="H230" t="s">
        <v>151</v>
      </c>
      <c r="I230" t="s">
        <v>5</v>
      </c>
      <c r="J230" t="s">
        <v>152</v>
      </c>
      <c r="K230" t="s">
        <v>153</v>
      </c>
      <c r="L230">
        <v>251200076</v>
      </c>
      <c r="M230" s="84">
        <v>45994</v>
      </c>
      <c r="N230" s="84">
        <v>45994</v>
      </c>
      <c r="O230" t="s">
        <v>191</v>
      </c>
      <c r="P230" t="s">
        <v>192</v>
      </c>
      <c r="Q230">
        <v>11700</v>
      </c>
      <c r="R230">
        <v>20</v>
      </c>
      <c r="S230">
        <v>234000</v>
      </c>
      <c r="T230">
        <v>0</v>
      </c>
      <c r="U230">
        <v>0</v>
      </c>
      <c r="V230">
        <v>20</v>
      </c>
      <c r="W230">
        <v>234000</v>
      </c>
      <c r="X230">
        <v>3000</v>
      </c>
      <c r="Y230">
        <v>3000</v>
      </c>
      <c r="Z230">
        <v>0</v>
      </c>
      <c r="AA230">
        <v>0</v>
      </c>
      <c r="AB230">
        <v>0</v>
      </c>
      <c r="AC230">
        <v>6000</v>
      </c>
    </row>
    <row r="231" spans="1:29">
      <c r="A231">
        <v>223</v>
      </c>
      <c r="B231" t="s">
        <v>149</v>
      </c>
      <c r="C231">
        <v>1108</v>
      </c>
      <c r="D231" t="s">
        <v>107</v>
      </c>
      <c r="E231" t="str">
        <f t="shared" si="3"/>
        <v>01108</v>
      </c>
      <c r="F231" t="s">
        <v>103</v>
      </c>
      <c r="G231" t="s">
        <v>167</v>
      </c>
      <c r="H231" t="s">
        <v>151</v>
      </c>
      <c r="I231" t="s">
        <v>4</v>
      </c>
      <c r="J231" t="s">
        <v>152</v>
      </c>
      <c r="K231" t="s">
        <v>153</v>
      </c>
      <c r="L231">
        <v>251200076</v>
      </c>
      <c r="M231" s="84">
        <v>45994</v>
      </c>
      <c r="N231" s="84">
        <v>45994</v>
      </c>
      <c r="O231" t="s">
        <v>160</v>
      </c>
      <c r="P231" t="s">
        <v>161</v>
      </c>
      <c r="Q231">
        <v>14250</v>
      </c>
      <c r="R231">
        <v>50</v>
      </c>
      <c r="S231">
        <v>712500</v>
      </c>
      <c r="T231">
        <v>0</v>
      </c>
      <c r="U231">
        <v>0</v>
      </c>
      <c r="V231">
        <v>50</v>
      </c>
      <c r="W231">
        <v>712500</v>
      </c>
      <c r="X231">
        <v>7500</v>
      </c>
      <c r="Y231">
        <v>10000</v>
      </c>
      <c r="Z231">
        <v>0</v>
      </c>
      <c r="AA231">
        <v>0</v>
      </c>
      <c r="AB231">
        <v>0</v>
      </c>
      <c r="AC231">
        <v>17500</v>
      </c>
    </row>
    <row r="232" spans="1:29">
      <c r="A232">
        <v>224</v>
      </c>
      <c r="B232" t="s">
        <v>149</v>
      </c>
      <c r="C232">
        <v>30</v>
      </c>
      <c r="D232" t="s">
        <v>255</v>
      </c>
      <c r="E232" t="str">
        <f t="shared" si="3"/>
        <v>00030</v>
      </c>
      <c r="F232" t="s">
        <v>111</v>
      </c>
      <c r="G232" t="s">
        <v>150</v>
      </c>
      <c r="H232" t="s">
        <v>151</v>
      </c>
      <c r="I232" t="s">
        <v>182</v>
      </c>
      <c r="J232" t="s">
        <v>152</v>
      </c>
      <c r="K232" t="s">
        <v>153</v>
      </c>
      <c r="L232">
        <v>251200077</v>
      </c>
      <c r="M232" s="84">
        <v>45994</v>
      </c>
      <c r="N232" s="84">
        <v>45994</v>
      </c>
      <c r="O232" t="s">
        <v>183</v>
      </c>
      <c r="P232" t="s">
        <v>184</v>
      </c>
      <c r="Q232">
        <v>72</v>
      </c>
      <c r="R232">
        <v>500</v>
      </c>
      <c r="S232">
        <v>36000</v>
      </c>
      <c r="T232">
        <v>0</v>
      </c>
      <c r="U232">
        <v>0</v>
      </c>
      <c r="V232">
        <v>500</v>
      </c>
      <c r="W232">
        <v>36000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225</v>
      </c>
      <c r="B233" t="s">
        <v>149</v>
      </c>
      <c r="C233">
        <v>537</v>
      </c>
      <c r="D233" t="s">
        <v>89</v>
      </c>
      <c r="E233" t="str">
        <f t="shared" si="3"/>
        <v>00537</v>
      </c>
      <c r="F233" t="s">
        <v>86</v>
      </c>
      <c r="G233" t="s">
        <v>156</v>
      </c>
      <c r="H233" t="s">
        <v>157</v>
      </c>
      <c r="I233" t="s">
        <v>4</v>
      </c>
      <c r="J233" t="s">
        <v>158</v>
      </c>
      <c r="K233" t="s">
        <v>159</v>
      </c>
      <c r="L233">
        <v>251200077</v>
      </c>
      <c r="M233" s="84">
        <v>46022</v>
      </c>
      <c r="N233" s="84">
        <v>46022</v>
      </c>
      <c r="O233" t="s">
        <v>160</v>
      </c>
      <c r="P233" t="s">
        <v>161</v>
      </c>
      <c r="Q233">
        <v>14250</v>
      </c>
      <c r="R233">
        <v>30</v>
      </c>
      <c r="S233">
        <v>427500</v>
      </c>
      <c r="T233">
        <v>0</v>
      </c>
      <c r="U233">
        <v>0</v>
      </c>
      <c r="V233">
        <v>30</v>
      </c>
      <c r="W233">
        <v>427500</v>
      </c>
      <c r="X233">
        <v>4500</v>
      </c>
      <c r="Y233">
        <v>6000</v>
      </c>
      <c r="Z233">
        <v>0</v>
      </c>
      <c r="AA233">
        <v>0</v>
      </c>
      <c r="AB233">
        <v>0</v>
      </c>
      <c r="AC233">
        <v>10500</v>
      </c>
    </row>
    <row r="234" spans="1:29">
      <c r="A234">
        <v>226</v>
      </c>
      <c r="B234" t="s">
        <v>149</v>
      </c>
      <c r="C234">
        <v>1112</v>
      </c>
      <c r="D234" t="s">
        <v>44</v>
      </c>
      <c r="E234" t="str">
        <f t="shared" si="3"/>
        <v>01112</v>
      </c>
      <c r="F234" t="s">
        <v>43</v>
      </c>
      <c r="G234" t="s">
        <v>150</v>
      </c>
      <c r="H234" t="s">
        <v>151</v>
      </c>
      <c r="I234" t="s">
        <v>182</v>
      </c>
      <c r="J234" t="s">
        <v>152</v>
      </c>
      <c r="K234" t="s">
        <v>153</v>
      </c>
      <c r="L234">
        <v>251200078</v>
      </c>
      <c r="M234" s="84">
        <v>45994</v>
      </c>
      <c r="N234" s="84">
        <v>45994</v>
      </c>
      <c r="O234" t="s">
        <v>183</v>
      </c>
      <c r="P234" t="s">
        <v>184</v>
      </c>
      <c r="Q234">
        <v>72</v>
      </c>
      <c r="R234">
        <v>300</v>
      </c>
      <c r="S234">
        <v>21600</v>
      </c>
      <c r="T234">
        <v>0</v>
      </c>
      <c r="U234">
        <v>0</v>
      </c>
      <c r="V234">
        <v>300</v>
      </c>
      <c r="W234">
        <v>21600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227</v>
      </c>
      <c r="B235" t="s">
        <v>149</v>
      </c>
      <c r="C235">
        <v>1503</v>
      </c>
      <c r="D235" t="s">
        <v>100</v>
      </c>
      <c r="E235" t="str">
        <f t="shared" si="3"/>
        <v>01503</v>
      </c>
      <c r="F235" t="s">
        <v>95</v>
      </c>
      <c r="G235" t="s">
        <v>187</v>
      </c>
      <c r="H235" t="s">
        <v>188</v>
      </c>
      <c r="I235" t="s">
        <v>4</v>
      </c>
      <c r="J235" t="s">
        <v>158</v>
      </c>
      <c r="K235" t="s">
        <v>174</v>
      </c>
      <c r="L235">
        <v>251200078</v>
      </c>
      <c r="M235" s="84">
        <v>46022</v>
      </c>
      <c r="N235" s="84">
        <v>46022</v>
      </c>
      <c r="O235" t="s">
        <v>256</v>
      </c>
      <c r="P235" t="s">
        <v>257</v>
      </c>
      <c r="Q235">
        <v>12700</v>
      </c>
      <c r="R235">
        <v>10</v>
      </c>
      <c r="S235">
        <v>127000</v>
      </c>
      <c r="T235">
        <v>0</v>
      </c>
      <c r="U235">
        <v>0</v>
      </c>
      <c r="V235">
        <v>10</v>
      </c>
      <c r="W235">
        <v>127000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228</v>
      </c>
      <c r="B236" t="s">
        <v>149</v>
      </c>
      <c r="C236">
        <v>315</v>
      </c>
      <c r="D236" t="s">
        <v>85</v>
      </c>
      <c r="E236" t="str">
        <f t="shared" si="3"/>
        <v>00315</v>
      </c>
      <c r="F236" t="s">
        <v>83</v>
      </c>
      <c r="G236" t="s">
        <v>164</v>
      </c>
      <c r="H236" t="s">
        <v>151</v>
      </c>
      <c r="I236" t="s">
        <v>5</v>
      </c>
      <c r="J236" t="s">
        <v>158</v>
      </c>
      <c r="K236" t="s">
        <v>153</v>
      </c>
      <c r="L236">
        <v>251200079</v>
      </c>
      <c r="M236" s="84">
        <v>46022</v>
      </c>
      <c r="N236" s="84">
        <v>46022</v>
      </c>
      <c r="O236" t="s">
        <v>191</v>
      </c>
      <c r="P236" t="s">
        <v>192</v>
      </c>
      <c r="Q236">
        <v>11700</v>
      </c>
      <c r="R236">
        <v>8</v>
      </c>
      <c r="S236">
        <v>93600</v>
      </c>
      <c r="T236">
        <v>0</v>
      </c>
      <c r="U236">
        <v>0</v>
      </c>
      <c r="V236">
        <v>8</v>
      </c>
      <c r="W236">
        <v>93600</v>
      </c>
      <c r="X236">
        <v>1200</v>
      </c>
      <c r="Y236">
        <v>1200</v>
      </c>
      <c r="Z236">
        <v>0</v>
      </c>
      <c r="AA236">
        <v>0</v>
      </c>
      <c r="AB236">
        <v>0</v>
      </c>
      <c r="AC236">
        <v>2400</v>
      </c>
    </row>
    <row r="237" spans="1:29">
      <c r="A237">
        <v>229</v>
      </c>
      <c r="B237" t="s">
        <v>149</v>
      </c>
      <c r="C237">
        <v>315</v>
      </c>
      <c r="D237" t="s">
        <v>85</v>
      </c>
      <c r="E237" t="str">
        <f t="shared" si="3"/>
        <v>00315</v>
      </c>
      <c r="F237" t="s">
        <v>83</v>
      </c>
      <c r="G237" t="s">
        <v>164</v>
      </c>
      <c r="H237" t="s">
        <v>151</v>
      </c>
      <c r="I237" t="s">
        <v>4</v>
      </c>
      <c r="J237" t="s">
        <v>158</v>
      </c>
      <c r="K237" t="s">
        <v>153</v>
      </c>
      <c r="L237">
        <v>251200079</v>
      </c>
      <c r="M237" s="84">
        <v>46022</v>
      </c>
      <c r="N237" s="84">
        <v>46022</v>
      </c>
      <c r="O237" t="s">
        <v>258</v>
      </c>
      <c r="P237" t="s">
        <v>259</v>
      </c>
      <c r="Q237">
        <v>14250</v>
      </c>
      <c r="R237">
        <v>20</v>
      </c>
      <c r="S237">
        <v>285000</v>
      </c>
      <c r="T237">
        <v>0</v>
      </c>
      <c r="U237">
        <v>0</v>
      </c>
      <c r="V237">
        <v>20</v>
      </c>
      <c r="W237">
        <v>285000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230</v>
      </c>
      <c r="B238" t="s">
        <v>149</v>
      </c>
      <c r="C238">
        <v>1517</v>
      </c>
      <c r="D238" t="s">
        <v>352</v>
      </c>
      <c r="E238" t="str">
        <f t="shared" si="3"/>
        <v>01517</v>
      </c>
      <c r="F238" t="s">
        <v>80</v>
      </c>
      <c r="G238" t="s">
        <v>164</v>
      </c>
      <c r="H238" t="s">
        <v>151</v>
      </c>
      <c r="I238" t="s">
        <v>4</v>
      </c>
      <c r="J238" t="s">
        <v>152</v>
      </c>
      <c r="K238" t="s">
        <v>153</v>
      </c>
      <c r="L238">
        <v>251200079</v>
      </c>
      <c r="M238" s="84">
        <v>45995</v>
      </c>
      <c r="N238" s="84">
        <v>45995</v>
      </c>
      <c r="O238" t="s">
        <v>160</v>
      </c>
      <c r="P238" t="s">
        <v>161</v>
      </c>
      <c r="Q238">
        <v>5500</v>
      </c>
      <c r="R238">
        <v>20</v>
      </c>
      <c r="S238">
        <v>110000</v>
      </c>
      <c r="T238">
        <v>0</v>
      </c>
      <c r="U238">
        <v>0</v>
      </c>
      <c r="V238">
        <v>20</v>
      </c>
      <c r="W238">
        <v>110000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>
        <v>231</v>
      </c>
      <c r="B239" t="s">
        <v>149</v>
      </c>
      <c r="C239">
        <v>315</v>
      </c>
      <c r="D239" t="s">
        <v>85</v>
      </c>
      <c r="E239" t="str">
        <f t="shared" si="3"/>
        <v>00315</v>
      </c>
      <c r="F239" t="s">
        <v>83</v>
      </c>
      <c r="G239" t="s">
        <v>164</v>
      </c>
      <c r="H239" t="s">
        <v>151</v>
      </c>
      <c r="I239" t="s">
        <v>5</v>
      </c>
      <c r="J239" t="s">
        <v>158</v>
      </c>
      <c r="K239" t="s">
        <v>153</v>
      </c>
      <c r="L239">
        <v>251200079</v>
      </c>
      <c r="M239" s="84">
        <v>46022</v>
      </c>
      <c r="N239" s="84">
        <v>46022</v>
      </c>
      <c r="O239" t="s">
        <v>217</v>
      </c>
      <c r="P239" t="s">
        <v>218</v>
      </c>
      <c r="Q239">
        <v>11700</v>
      </c>
      <c r="R239">
        <v>120</v>
      </c>
      <c r="S239">
        <v>1404000</v>
      </c>
      <c r="T239">
        <v>0</v>
      </c>
      <c r="U239">
        <v>0</v>
      </c>
      <c r="V239">
        <v>120</v>
      </c>
      <c r="W239">
        <v>1404000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232</v>
      </c>
      <c r="B240" t="s">
        <v>149</v>
      </c>
      <c r="C240">
        <v>1517</v>
      </c>
      <c r="D240" t="s">
        <v>352</v>
      </c>
      <c r="E240" t="str">
        <f t="shared" si="3"/>
        <v>01517</v>
      </c>
      <c r="F240" t="s">
        <v>80</v>
      </c>
      <c r="G240" t="s">
        <v>164</v>
      </c>
      <c r="H240" t="s">
        <v>151</v>
      </c>
      <c r="I240" t="s">
        <v>5</v>
      </c>
      <c r="J240" t="s">
        <v>152</v>
      </c>
      <c r="K240" t="s">
        <v>153</v>
      </c>
      <c r="L240">
        <v>251200079</v>
      </c>
      <c r="M240" s="84">
        <v>45995</v>
      </c>
      <c r="N240" s="84">
        <v>45995</v>
      </c>
      <c r="O240" t="s">
        <v>191</v>
      </c>
      <c r="P240" t="s">
        <v>192</v>
      </c>
      <c r="Q240">
        <v>4500</v>
      </c>
      <c r="R240">
        <v>20</v>
      </c>
      <c r="S240">
        <v>90000</v>
      </c>
      <c r="T240">
        <v>0</v>
      </c>
      <c r="U240">
        <v>0</v>
      </c>
      <c r="V240">
        <v>20</v>
      </c>
      <c r="W240">
        <v>90000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233</v>
      </c>
      <c r="B241" t="s">
        <v>149</v>
      </c>
      <c r="C241">
        <v>1466</v>
      </c>
      <c r="D241" t="s">
        <v>81</v>
      </c>
      <c r="E241" t="str">
        <f t="shared" si="3"/>
        <v>01466</v>
      </c>
      <c r="F241" t="s">
        <v>80</v>
      </c>
      <c r="G241" t="s">
        <v>164</v>
      </c>
      <c r="H241" t="s">
        <v>151</v>
      </c>
      <c r="I241" t="s">
        <v>4</v>
      </c>
      <c r="J241" t="s">
        <v>152</v>
      </c>
      <c r="K241" t="s">
        <v>153</v>
      </c>
      <c r="L241">
        <v>251200080</v>
      </c>
      <c r="M241" s="84">
        <v>45995</v>
      </c>
      <c r="N241" s="84">
        <v>45995</v>
      </c>
      <c r="O241" t="s">
        <v>160</v>
      </c>
      <c r="P241" t="s">
        <v>161</v>
      </c>
      <c r="Q241">
        <v>14250</v>
      </c>
      <c r="R241">
        <v>5</v>
      </c>
      <c r="S241">
        <v>71250</v>
      </c>
      <c r="T241">
        <v>0</v>
      </c>
      <c r="U241">
        <v>0</v>
      </c>
      <c r="V241">
        <v>5</v>
      </c>
      <c r="W241">
        <v>71250</v>
      </c>
      <c r="X241">
        <v>750</v>
      </c>
      <c r="Y241">
        <v>1000</v>
      </c>
      <c r="Z241">
        <v>0</v>
      </c>
      <c r="AA241">
        <v>0</v>
      </c>
      <c r="AB241">
        <v>0</v>
      </c>
      <c r="AC241">
        <v>1750</v>
      </c>
    </row>
    <row r="242" spans="1:29">
      <c r="A242">
        <v>234</v>
      </c>
      <c r="B242" t="s">
        <v>149</v>
      </c>
      <c r="C242">
        <v>1429</v>
      </c>
      <c r="D242" t="s">
        <v>47</v>
      </c>
      <c r="E242" t="str">
        <f t="shared" si="3"/>
        <v>01429</v>
      </c>
      <c r="F242" t="s">
        <v>43</v>
      </c>
      <c r="G242" t="s">
        <v>150</v>
      </c>
      <c r="H242" t="s">
        <v>151</v>
      </c>
      <c r="I242" t="s">
        <v>4</v>
      </c>
      <c r="J242" t="s">
        <v>152</v>
      </c>
      <c r="K242" t="s">
        <v>153</v>
      </c>
      <c r="L242">
        <v>251200081</v>
      </c>
      <c r="M242" s="84">
        <v>45995</v>
      </c>
      <c r="N242" s="84">
        <v>45995</v>
      </c>
      <c r="O242" t="s">
        <v>160</v>
      </c>
      <c r="P242" t="s">
        <v>161</v>
      </c>
      <c r="Q242">
        <v>14250</v>
      </c>
      <c r="R242">
        <v>5</v>
      </c>
      <c r="S242">
        <v>71250</v>
      </c>
      <c r="T242">
        <v>0</v>
      </c>
      <c r="U242">
        <v>0</v>
      </c>
      <c r="V242">
        <v>5</v>
      </c>
      <c r="W242">
        <v>71250</v>
      </c>
      <c r="X242">
        <v>750</v>
      </c>
      <c r="Y242">
        <v>1000</v>
      </c>
      <c r="Z242">
        <v>0</v>
      </c>
      <c r="AA242">
        <v>0</v>
      </c>
      <c r="AB242">
        <v>0</v>
      </c>
      <c r="AC242">
        <v>1750</v>
      </c>
    </row>
    <row r="243" spans="1:29">
      <c r="A243">
        <v>235</v>
      </c>
      <c r="B243" t="s">
        <v>149</v>
      </c>
      <c r="C243">
        <v>1429</v>
      </c>
      <c r="D243" t="s">
        <v>47</v>
      </c>
      <c r="E243" t="str">
        <f t="shared" si="3"/>
        <v>01429</v>
      </c>
      <c r="F243" t="s">
        <v>43</v>
      </c>
      <c r="G243" t="s">
        <v>150</v>
      </c>
      <c r="H243" t="s">
        <v>151</v>
      </c>
      <c r="I243" t="s">
        <v>5</v>
      </c>
      <c r="J243" t="s">
        <v>152</v>
      </c>
      <c r="K243" t="s">
        <v>153</v>
      </c>
      <c r="L243">
        <v>251200081</v>
      </c>
      <c r="M243" s="84">
        <v>45995</v>
      </c>
      <c r="N243" s="84">
        <v>45995</v>
      </c>
      <c r="O243" t="s">
        <v>191</v>
      </c>
      <c r="P243" t="s">
        <v>192</v>
      </c>
      <c r="Q243">
        <v>11700</v>
      </c>
      <c r="R243">
        <v>4</v>
      </c>
      <c r="S243">
        <v>46800</v>
      </c>
      <c r="T243">
        <v>0</v>
      </c>
      <c r="U243">
        <v>0</v>
      </c>
      <c r="V243">
        <v>4</v>
      </c>
      <c r="W243">
        <v>46800</v>
      </c>
      <c r="X243">
        <v>600</v>
      </c>
      <c r="Y243">
        <v>600</v>
      </c>
      <c r="Z243">
        <v>0</v>
      </c>
      <c r="AA243">
        <v>0</v>
      </c>
      <c r="AB243">
        <v>0</v>
      </c>
      <c r="AC243">
        <v>1200</v>
      </c>
    </row>
    <row r="244" spans="1:29">
      <c r="A244">
        <v>236</v>
      </c>
      <c r="B244" t="s">
        <v>149</v>
      </c>
      <c r="C244">
        <v>94</v>
      </c>
      <c r="D244" t="s">
        <v>45</v>
      </c>
      <c r="E244" t="str">
        <f t="shared" si="3"/>
        <v>00094</v>
      </c>
      <c r="F244" t="s">
        <v>43</v>
      </c>
      <c r="G244" t="s">
        <v>150</v>
      </c>
      <c r="H244" t="s">
        <v>151</v>
      </c>
      <c r="I244" t="s">
        <v>5</v>
      </c>
      <c r="J244" t="s">
        <v>152</v>
      </c>
      <c r="K244" t="s">
        <v>153</v>
      </c>
      <c r="L244">
        <v>251200082</v>
      </c>
      <c r="M244" s="84">
        <v>45995</v>
      </c>
      <c r="N244" s="84">
        <v>45995</v>
      </c>
      <c r="O244" t="s">
        <v>191</v>
      </c>
      <c r="P244" t="s">
        <v>192</v>
      </c>
      <c r="Q244">
        <v>11700</v>
      </c>
      <c r="R244">
        <v>8</v>
      </c>
      <c r="S244">
        <v>93600</v>
      </c>
      <c r="T244">
        <v>0</v>
      </c>
      <c r="U244">
        <v>0</v>
      </c>
      <c r="V244">
        <v>8</v>
      </c>
      <c r="W244">
        <v>93600</v>
      </c>
      <c r="X244">
        <v>1200</v>
      </c>
      <c r="Y244">
        <v>1200</v>
      </c>
      <c r="Z244">
        <v>0</v>
      </c>
      <c r="AA244">
        <v>0</v>
      </c>
      <c r="AB244">
        <v>0</v>
      </c>
      <c r="AC244">
        <v>2400</v>
      </c>
    </row>
    <row r="245" spans="1:29">
      <c r="A245">
        <v>237</v>
      </c>
      <c r="B245" t="s">
        <v>149</v>
      </c>
      <c r="C245">
        <v>1519</v>
      </c>
      <c r="D245" t="s">
        <v>353</v>
      </c>
      <c r="E245" t="str">
        <f t="shared" si="3"/>
        <v>01519</v>
      </c>
      <c r="F245" t="s">
        <v>111</v>
      </c>
      <c r="G245" t="s">
        <v>150</v>
      </c>
      <c r="H245" t="s">
        <v>151</v>
      </c>
      <c r="I245" t="s">
        <v>4</v>
      </c>
      <c r="J245" t="s">
        <v>152</v>
      </c>
      <c r="K245" t="s">
        <v>153</v>
      </c>
      <c r="L245">
        <v>251200083</v>
      </c>
      <c r="M245" s="84">
        <v>45995</v>
      </c>
      <c r="N245" s="84">
        <v>45995</v>
      </c>
      <c r="O245" t="s">
        <v>219</v>
      </c>
      <c r="P245" t="s">
        <v>220</v>
      </c>
      <c r="Q245">
        <v>5500</v>
      </c>
      <c r="R245">
        <v>10</v>
      </c>
      <c r="S245">
        <v>55000</v>
      </c>
      <c r="T245">
        <v>0</v>
      </c>
      <c r="U245">
        <v>0</v>
      </c>
      <c r="V245">
        <v>10</v>
      </c>
      <c r="W245">
        <v>55000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>
        <v>238</v>
      </c>
      <c r="B246" t="s">
        <v>149</v>
      </c>
      <c r="C246">
        <v>1519</v>
      </c>
      <c r="D246" t="s">
        <v>353</v>
      </c>
      <c r="E246" t="str">
        <f t="shared" si="3"/>
        <v>01519</v>
      </c>
      <c r="F246" t="s">
        <v>111</v>
      </c>
      <c r="G246" t="s">
        <v>150</v>
      </c>
      <c r="H246" t="s">
        <v>151</v>
      </c>
      <c r="I246" t="s">
        <v>4</v>
      </c>
      <c r="J246" t="s">
        <v>152</v>
      </c>
      <c r="K246" t="s">
        <v>153</v>
      </c>
      <c r="L246">
        <v>251200083</v>
      </c>
      <c r="M246" s="84">
        <v>45995</v>
      </c>
      <c r="N246" s="84">
        <v>45995</v>
      </c>
      <c r="O246" t="s">
        <v>160</v>
      </c>
      <c r="P246" t="s">
        <v>161</v>
      </c>
      <c r="Q246">
        <v>5500</v>
      </c>
      <c r="R246">
        <v>10</v>
      </c>
      <c r="S246">
        <v>55000</v>
      </c>
      <c r="T246">
        <v>0</v>
      </c>
      <c r="U246">
        <v>0</v>
      </c>
      <c r="V246">
        <v>10</v>
      </c>
      <c r="W246">
        <v>55000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239</v>
      </c>
      <c r="B247" t="s">
        <v>149</v>
      </c>
      <c r="C247">
        <v>1557</v>
      </c>
      <c r="D247" t="s">
        <v>344</v>
      </c>
      <c r="E247" t="str">
        <f t="shared" si="3"/>
        <v>01557</v>
      </c>
      <c r="F247" t="s">
        <v>111</v>
      </c>
      <c r="G247" t="s">
        <v>150</v>
      </c>
      <c r="H247" t="s">
        <v>151</v>
      </c>
      <c r="I247" t="s">
        <v>5</v>
      </c>
      <c r="J247" t="s">
        <v>152</v>
      </c>
      <c r="K247" t="s">
        <v>153</v>
      </c>
      <c r="L247">
        <v>251200084</v>
      </c>
      <c r="M247" s="84">
        <v>45995</v>
      </c>
      <c r="N247" s="84">
        <v>45995</v>
      </c>
      <c r="O247" t="s">
        <v>191</v>
      </c>
      <c r="P247" t="s">
        <v>192</v>
      </c>
      <c r="Q247">
        <v>4500</v>
      </c>
      <c r="R247">
        <v>40</v>
      </c>
      <c r="S247">
        <v>180000</v>
      </c>
      <c r="T247">
        <v>0</v>
      </c>
      <c r="U247">
        <v>0</v>
      </c>
      <c r="V247">
        <v>40</v>
      </c>
      <c r="W247">
        <v>180000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240</v>
      </c>
      <c r="B248" t="s">
        <v>149</v>
      </c>
      <c r="C248">
        <v>1404</v>
      </c>
      <c r="D248" t="s">
        <v>113</v>
      </c>
      <c r="E248" t="str">
        <f t="shared" si="3"/>
        <v>01404</v>
      </c>
      <c r="F248" t="s">
        <v>111</v>
      </c>
      <c r="G248" t="s">
        <v>150</v>
      </c>
      <c r="H248" t="s">
        <v>151</v>
      </c>
      <c r="I248" t="s">
        <v>5</v>
      </c>
      <c r="J248" t="s">
        <v>152</v>
      </c>
      <c r="K248" t="s">
        <v>153</v>
      </c>
      <c r="L248">
        <v>251200085</v>
      </c>
      <c r="M248" s="84">
        <v>45995</v>
      </c>
      <c r="N248" s="84">
        <v>45995</v>
      </c>
      <c r="O248" t="s">
        <v>260</v>
      </c>
      <c r="P248" t="s">
        <v>261</v>
      </c>
      <c r="Q248">
        <v>11700</v>
      </c>
      <c r="R248">
        <v>8</v>
      </c>
      <c r="S248">
        <v>93600</v>
      </c>
      <c r="T248">
        <v>0</v>
      </c>
      <c r="U248">
        <v>0</v>
      </c>
      <c r="V248">
        <v>8</v>
      </c>
      <c r="W248">
        <v>93600</v>
      </c>
      <c r="X248">
        <v>1200</v>
      </c>
      <c r="Y248">
        <v>1200</v>
      </c>
      <c r="Z248">
        <v>0</v>
      </c>
      <c r="AA248">
        <v>0</v>
      </c>
      <c r="AB248">
        <v>0</v>
      </c>
      <c r="AC248">
        <v>2400</v>
      </c>
    </row>
    <row r="249" spans="1:29">
      <c r="A249">
        <v>241</v>
      </c>
      <c r="B249" t="s">
        <v>149</v>
      </c>
      <c r="C249">
        <v>1404</v>
      </c>
      <c r="D249" t="s">
        <v>113</v>
      </c>
      <c r="E249" t="str">
        <f t="shared" si="3"/>
        <v>01404</v>
      </c>
      <c r="F249" t="s">
        <v>111</v>
      </c>
      <c r="G249" t="s">
        <v>150</v>
      </c>
      <c r="H249" t="s">
        <v>151</v>
      </c>
      <c r="I249" t="s">
        <v>4</v>
      </c>
      <c r="J249" t="s">
        <v>152</v>
      </c>
      <c r="K249" t="s">
        <v>153</v>
      </c>
      <c r="L249">
        <v>251200085</v>
      </c>
      <c r="M249" s="84">
        <v>45995</v>
      </c>
      <c r="N249" s="84">
        <v>45995</v>
      </c>
      <c r="O249" t="s">
        <v>160</v>
      </c>
      <c r="P249" t="s">
        <v>161</v>
      </c>
      <c r="Q249">
        <v>14250</v>
      </c>
      <c r="R249">
        <v>8</v>
      </c>
      <c r="S249">
        <v>114000</v>
      </c>
      <c r="T249">
        <v>0</v>
      </c>
      <c r="U249">
        <v>0</v>
      </c>
      <c r="V249">
        <v>8</v>
      </c>
      <c r="W249">
        <v>114000</v>
      </c>
      <c r="X249">
        <v>1200</v>
      </c>
      <c r="Y249">
        <v>1600</v>
      </c>
      <c r="Z249">
        <v>0</v>
      </c>
      <c r="AA249">
        <v>0</v>
      </c>
      <c r="AB249">
        <v>0</v>
      </c>
      <c r="AC249">
        <v>2800</v>
      </c>
    </row>
    <row r="250" spans="1:29">
      <c r="A250">
        <v>242</v>
      </c>
      <c r="B250" t="s">
        <v>149</v>
      </c>
      <c r="C250">
        <v>1404</v>
      </c>
      <c r="D250" t="s">
        <v>113</v>
      </c>
      <c r="E250" t="str">
        <f t="shared" si="3"/>
        <v>01404</v>
      </c>
      <c r="F250" t="s">
        <v>111</v>
      </c>
      <c r="G250" t="s">
        <v>150</v>
      </c>
      <c r="H250" t="s">
        <v>151</v>
      </c>
      <c r="I250" t="s">
        <v>4</v>
      </c>
      <c r="J250" t="s">
        <v>152</v>
      </c>
      <c r="K250" t="s">
        <v>153</v>
      </c>
      <c r="L250">
        <v>251200085</v>
      </c>
      <c r="M250" s="84">
        <v>45995</v>
      </c>
      <c r="N250" s="84">
        <v>45995</v>
      </c>
      <c r="O250" t="s">
        <v>154</v>
      </c>
      <c r="P250" t="s">
        <v>155</v>
      </c>
      <c r="Q250">
        <v>14250</v>
      </c>
      <c r="R250">
        <v>10</v>
      </c>
      <c r="S250">
        <v>142500</v>
      </c>
      <c r="T250">
        <v>0</v>
      </c>
      <c r="U250">
        <v>0</v>
      </c>
      <c r="V250">
        <v>10</v>
      </c>
      <c r="W250">
        <v>142500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>
      <c r="A251">
        <v>243</v>
      </c>
      <c r="B251" t="s">
        <v>149</v>
      </c>
      <c r="C251">
        <v>1478</v>
      </c>
      <c r="D251" t="s">
        <v>314</v>
      </c>
      <c r="E251" t="str">
        <f t="shared" si="3"/>
        <v>01478</v>
      </c>
      <c r="F251" t="s">
        <v>111</v>
      </c>
      <c r="G251" t="s">
        <v>150</v>
      </c>
      <c r="H251" t="s">
        <v>151</v>
      </c>
      <c r="I251" t="s">
        <v>5</v>
      </c>
      <c r="J251" t="s">
        <v>152</v>
      </c>
      <c r="K251" t="s">
        <v>153</v>
      </c>
      <c r="L251">
        <v>251200086</v>
      </c>
      <c r="M251" s="84">
        <v>45995</v>
      </c>
      <c r="N251" s="84">
        <v>45995</v>
      </c>
      <c r="O251" t="s">
        <v>196</v>
      </c>
      <c r="P251" t="s">
        <v>197</v>
      </c>
      <c r="Q251">
        <v>4500</v>
      </c>
      <c r="R251">
        <v>8</v>
      </c>
      <c r="S251">
        <v>36000</v>
      </c>
      <c r="T251">
        <v>0</v>
      </c>
      <c r="U251">
        <v>0</v>
      </c>
      <c r="V251">
        <v>8</v>
      </c>
      <c r="W251">
        <v>36000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>
        <v>244</v>
      </c>
      <c r="B252" t="s">
        <v>149</v>
      </c>
      <c r="C252">
        <v>1491</v>
      </c>
      <c r="D252" t="s">
        <v>354</v>
      </c>
      <c r="E252" t="str">
        <f t="shared" si="3"/>
        <v>01491</v>
      </c>
      <c r="F252" t="s">
        <v>111</v>
      </c>
      <c r="G252" t="s">
        <v>150</v>
      </c>
      <c r="H252" t="s">
        <v>151</v>
      </c>
      <c r="I252" t="s">
        <v>4</v>
      </c>
      <c r="J252" t="s">
        <v>152</v>
      </c>
      <c r="K252" t="s">
        <v>153</v>
      </c>
      <c r="L252">
        <v>251200087</v>
      </c>
      <c r="M252" s="84">
        <v>45995</v>
      </c>
      <c r="N252" s="84">
        <v>45995</v>
      </c>
      <c r="O252" t="s">
        <v>160</v>
      </c>
      <c r="P252" t="s">
        <v>161</v>
      </c>
      <c r="Q252">
        <v>5500</v>
      </c>
      <c r="R252">
        <v>25</v>
      </c>
      <c r="S252">
        <v>137500</v>
      </c>
      <c r="T252">
        <v>0</v>
      </c>
      <c r="U252">
        <v>0</v>
      </c>
      <c r="V252">
        <v>25</v>
      </c>
      <c r="W252">
        <v>137500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>
        <v>245</v>
      </c>
      <c r="B253" t="s">
        <v>149</v>
      </c>
      <c r="C253">
        <v>1551</v>
      </c>
      <c r="D253" t="s">
        <v>316</v>
      </c>
      <c r="E253" t="str">
        <f t="shared" si="3"/>
        <v>01551</v>
      </c>
      <c r="F253" t="s">
        <v>111</v>
      </c>
      <c r="G253" t="s">
        <v>150</v>
      </c>
      <c r="H253" t="s">
        <v>151</v>
      </c>
      <c r="I253" t="s">
        <v>5</v>
      </c>
      <c r="J253" t="s">
        <v>152</v>
      </c>
      <c r="K253" t="s">
        <v>153</v>
      </c>
      <c r="L253">
        <v>251200088</v>
      </c>
      <c r="M253" s="84">
        <v>45995</v>
      </c>
      <c r="N253" s="84">
        <v>45995</v>
      </c>
      <c r="O253" t="s">
        <v>271</v>
      </c>
      <c r="P253" t="s">
        <v>272</v>
      </c>
      <c r="Q253">
        <v>4500</v>
      </c>
      <c r="R253">
        <v>8</v>
      </c>
      <c r="S253">
        <v>36000</v>
      </c>
      <c r="T253">
        <v>0</v>
      </c>
      <c r="U253">
        <v>0</v>
      </c>
      <c r="V253">
        <v>8</v>
      </c>
      <c r="W253">
        <v>36000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246</v>
      </c>
      <c r="B254" t="s">
        <v>149</v>
      </c>
      <c r="C254">
        <v>1535</v>
      </c>
      <c r="D254" t="s">
        <v>355</v>
      </c>
      <c r="E254" t="str">
        <f t="shared" si="3"/>
        <v>01535</v>
      </c>
      <c r="F254" t="s">
        <v>7</v>
      </c>
      <c r="G254" t="s">
        <v>156</v>
      </c>
      <c r="H254" t="s">
        <v>157</v>
      </c>
      <c r="I254" t="s">
        <v>4</v>
      </c>
      <c r="J254" t="s">
        <v>152</v>
      </c>
      <c r="K254" t="s">
        <v>159</v>
      </c>
      <c r="L254">
        <v>251200089</v>
      </c>
      <c r="M254" s="84">
        <v>45995</v>
      </c>
      <c r="N254" s="84">
        <v>45995</v>
      </c>
      <c r="O254" t="s">
        <v>160</v>
      </c>
      <c r="P254" t="s">
        <v>161</v>
      </c>
      <c r="Q254">
        <v>5500</v>
      </c>
      <c r="R254">
        <v>50</v>
      </c>
      <c r="S254">
        <v>275000</v>
      </c>
      <c r="T254">
        <v>0</v>
      </c>
      <c r="U254">
        <v>0</v>
      </c>
      <c r="V254">
        <v>50</v>
      </c>
      <c r="W254">
        <v>275000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>
        <v>247</v>
      </c>
      <c r="B255" t="s">
        <v>149</v>
      </c>
      <c r="C255">
        <v>159</v>
      </c>
      <c r="D255" t="s">
        <v>50</v>
      </c>
      <c r="E255" t="str">
        <f t="shared" si="3"/>
        <v>00159</v>
      </c>
      <c r="F255" t="s">
        <v>49</v>
      </c>
      <c r="G255" t="s">
        <v>167</v>
      </c>
      <c r="H255" t="s">
        <v>151</v>
      </c>
      <c r="I255" t="s">
        <v>4</v>
      </c>
      <c r="J255" t="s">
        <v>152</v>
      </c>
      <c r="K255" t="s">
        <v>153</v>
      </c>
      <c r="L255">
        <v>251200090</v>
      </c>
      <c r="M255" s="84">
        <v>45995</v>
      </c>
      <c r="N255" s="84">
        <v>45995</v>
      </c>
      <c r="O255" t="s">
        <v>215</v>
      </c>
      <c r="P255" t="s">
        <v>216</v>
      </c>
      <c r="Q255">
        <v>14250</v>
      </c>
      <c r="R255">
        <v>1</v>
      </c>
      <c r="S255">
        <v>14250</v>
      </c>
      <c r="T255">
        <v>0</v>
      </c>
      <c r="U255">
        <v>0</v>
      </c>
      <c r="V255">
        <v>1</v>
      </c>
      <c r="W255">
        <v>14250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248</v>
      </c>
      <c r="B256" t="s">
        <v>149</v>
      </c>
      <c r="C256">
        <v>159</v>
      </c>
      <c r="D256" t="s">
        <v>50</v>
      </c>
      <c r="E256" t="str">
        <f t="shared" si="3"/>
        <v>00159</v>
      </c>
      <c r="F256" t="s">
        <v>49</v>
      </c>
      <c r="G256" t="s">
        <v>167</v>
      </c>
      <c r="H256" t="s">
        <v>151</v>
      </c>
      <c r="I256" t="s">
        <v>4</v>
      </c>
      <c r="J256" t="s">
        <v>152</v>
      </c>
      <c r="K256" t="s">
        <v>153</v>
      </c>
      <c r="L256">
        <v>251200090</v>
      </c>
      <c r="M256" s="84">
        <v>45995</v>
      </c>
      <c r="N256" s="84">
        <v>45995</v>
      </c>
      <c r="O256" t="s">
        <v>206</v>
      </c>
      <c r="P256" t="s">
        <v>207</v>
      </c>
      <c r="Q256">
        <v>14250</v>
      </c>
      <c r="R256">
        <v>4</v>
      </c>
      <c r="S256">
        <v>57000</v>
      </c>
      <c r="T256">
        <v>0</v>
      </c>
      <c r="U256">
        <v>0</v>
      </c>
      <c r="V256">
        <v>4</v>
      </c>
      <c r="W256">
        <v>57000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249</v>
      </c>
      <c r="B257" t="s">
        <v>149</v>
      </c>
      <c r="C257">
        <v>1130</v>
      </c>
      <c r="D257" t="s">
        <v>53</v>
      </c>
      <c r="E257" t="str">
        <f t="shared" si="3"/>
        <v>01130</v>
      </c>
      <c r="F257" t="s">
        <v>49</v>
      </c>
      <c r="G257" t="s">
        <v>167</v>
      </c>
      <c r="H257" t="s">
        <v>151</v>
      </c>
      <c r="I257" t="s">
        <v>4</v>
      </c>
      <c r="J257" t="s">
        <v>152</v>
      </c>
      <c r="K257" t="s">
        <v>153</v>
      </c>
      <c r="L257">
        <v>251200091</v>
      </c>
      <c r="M257" s="84">
        <v>45995</v>
      </c>
      <c r="N257" s="84">
        <v>45995</v>
      </c>
      <c r="O257" t="s">
        <v>168</v>
      </c>
      <c r="P257" t="s">
        <v>169</v>
      </c>
      <c r="Q257">
        <v>14250</v>
      </c>
      <c r="R257">
        <v>10</v>
      </c>
      <c r="S257">
        <v>142500</v>
      </c>
      <c r="T257">
        <v>0</v>
      </c>
      <c r="U257">
        <v>0</v>
      </c>
      <c r="V257">
        <v>10</v>
      </c>
      <c r="W257">
        <v>142500</v>
      </c>
      <c r="X257">
        <v>1500</v>
      </c>
      <c r="Y257">
        <v>2000</v>
      </c>
      <c r="Z257">
        <v>0</v>
      </c>
      <c r="AA257">
        <v>0</v>
      </c>
      <c r="AB257">
        <v>0</v>
      </c>
      <c r="AC257">
        <v>3500</v>
      </c>
    </row>
    <row r="258" spans="1:29">
      <c r="A258">
        <v>250</v>
      </c>
      <c r="B258" t="s">
        <v>149</v>
      </c>
      <c r="C258">
        <v>1130</v>
      </c>
      <c r="D258" t="s">
        <v>53</v>
      </c>
      <c r="E258" t="str">
        <f t="shared" si="3"/>
        <v>01130</v>
      </c>
      <c r="F258" t="s">
        <v>49</v>
      </c>
      <c r="G258" t="s">
        <v>167</v>
      </c>
      <c r="H258" t="s">
        <v>151</v>
      </c>
      <c r="I258" t="s">
        <v>4</v>
      </c>
      <c r="J258" t="s">
        <v>152</v>
      </c>
      <c r="K258" t="s">
        <v>153</v>
      </c>
      <c r="L258">
        <v>251200092</v>
      </c>
      <c r="M258" s="84">
        <v>45995</v>
      </c>
      <c r="N258" s="84">
        <v>45995</v>
      </c>
      <c r="O258" t="s">
        <v>177</v>
      </c>
      <c r="P258" t="s">
        <v>178</v>
      </c>
      <c r="Q258">
        <v>14250</v>
      </c>
      <c r="R258">
        <v>5</v>
      </c>
      <c r="S258">
        <v>71250</v>
      </c>
      <c r="T258">
        <v>0</v>
      </c>
      <c r="U258">
        <v>0</v>
      </c>
      <c r="V258">
        <v>5</v>
      </c>
      <c r="W258">
        <v>71250</v>
      </c>
      <c r="X258">
        <v>750</v>
      </c>
      <c r="Y258">
        <v>1000</v>
      </c>
      <c r="Z258">
        <v>0</v>
      </c>
      <c r="AA258">
        <v>0</v>
      </c>
      <c r="AB258">
        <v>0</v>
      </c>
      <c r="AC258">
        <v>1750</v>
      </c>
    </row>
    <row r="259" spans="1:29">
      <c r="A259">
        <v>251</v>
      </c>
      <c r="B259" t="s">
        <v>149</v>
      </c>
      <c r="C259">
        <v>1130</v>
      </c>
      <c r="D259" t="s">
        <v>53</v>
      </c>
      <c r="E259" t="str">
        <f t="shared" si="3"/>
        <v>01130</v>
      </c>
      <c r="F259" t="s">
        <v>49</v>
      </c>
      <c r="G259" t="s">
        <v>167</v>
      </c>
      <c r="H259" t="s">
        <v>151</v>
      </c>
      <c r="I259" t="s">
        <v>4</v>
      </c>
      <c r="J259" t="s">
        <v>152</v>
      </c>
      <c r="K259" t="s">
        <v>153</v>
      </c>
      <c r="L259">
        <v>251200092</v>
      </c>
      <c r="M259" s="84">
        <v>45995</v>
      </c>
      <c r="N259" s="84">
        <v>45995</v>
      </c>
      <c r="O259" t="s">
        <v>179</v>
      </c>
      <c r="P259" t="s">
        <v>180</v>
      </c>
      <c r="Q259">
        <v>14250</v>
      </c>
      <c r="R259">
        <v>10</v>
      </c>
      <c r="S259">
        <v>142500</v>
      </c>
      <c r="T259">
        <v>0</v>
      </c>
      <c r="U259">
        <v>0</v>
      </c>
      <c r="V259">
        <v>10</v>
      </c>
      <c r="W259">
        <v>142500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>
      <c r="A260">
        <v>252</v>
      </c>
      <c r="B260" t="s">
        <v>149</v>
      </c>
      <c r="C260">
        <v>337</v>
      </c>
      <c r="D260" t="s">
        <v>57</v>
      </c>
      <c r="E260" t="str">
        <f t="shared" si="3"/>
        <v>00337</v>
      </c>
      <c r="F260" t="s">
        <v>49</v>
      </c>
      <c r="G260" t="s">
        <v>167</v>
      </c>
      <c r="H260" t="s">
        <v>151</v>
      </c>
      <c r="I260" t="s">
        <v>4</v>
      </c>
      <c r="J260" t="s">
        <v>152</v>
      </c>
      <c r="K260" t="s">
        <v>153</v>
      </c>
      <c r="L260">
        <v>251200093</v>
      </c>
      <c r="M260" s="84">
        <v>45995</v>
      </c>
      <c r="N260" s="84">
        <v>45995</v>
      </c>
      <c r="O260" t="s">
        <v>160</v>
      </c>
      <c r="P260" t="s">
        <v>161</v>
      </c>
      <c r="Q260">
        <v>14250</v>
      </c>
      <c r="R260">
        <v>65</v>
      </c>
      <c r="S260">
        <v>926250</v>
      </c>
      <c r="T260">
        <v>0</v>
      </c>
      <c r="U260">
        <v>0</v>
      </c>
      <c r="V260">
        <v>65</v>
      </c>
      <c r="W260">
        <v>926250</v>
      </c>
      <c r="X260">
        <v>9750</v>
      </c>
      <c r="Y260">
        <v>13000</v>
      </c>
      <c r="Z260">
        <v>0</v>
      </c>
      <c r="AA260">
        <v>0</v>
      </c>
      <c r="AB260">
        <v>0</v>
      </c>
      <c r="AC260">
        <v>22750</v>
      </c>
    </row>
    <row r="261" spans="1:29">
      <c r="A261">
        <v>253</v>
      </c>
      <c r="B261" t="s">
        <v>149</v>
      </c>
      <c r="C261">
        <v>471</v>
      </c>
      <c r="D261" t="s">
        <v>25</v>
      </c>
      <c r="E261" t="str">
        <f t="shared" si="3"/>
        <v>00471</v>
      </c>
      <c r="F261" t="s">
        <v>20</v>
      </c>
      <c r="G261" t="s">
        <v>193</v>
      </c>
      <c r="H261" t="s">
        <v>151</v>
      </c>
      <c r="I261" t="s">
        <v>5</v>
      </c>
      <c r="J261" t="s">
        <v>152</v>
      </c>
      <c r="K261" t="s">
        <v>236</v>
      </c>
      <c r="L261">
        <v>251200094</v>
      </c>
      <c r="M261" s="84">
        <v>45995</v>
      </c>
      <c r="N261" s="84">
        <v>45995</v>
      </c>
      <c r="O261" t="s">
        <v>191</v>
      </c>
      <c r="P261" t="s">
        <v>192</v>
      </c>
      <c r="Q261">
        <v>11700</v>
      </c>
      <c r="R261">
        <v>28</v>
      </c>
      <c r="S261">
        <v>327600</v>
      </c>
      <c r="T261">
        <v>0</v>
      </c>
      <c r="U261">
        <v>0</v>
      </c>
      <c r="V261">
        <v>28</v>
      </c>
      <c r="W261">
        <v>327600</v>
      </c>
      <c r="X261">
        <v>4200</v>
      </c>
      <c r="Y261">
        <v>4200</v>
      </c>
      <c r="Z261">
        <v>0</v>
      </c>
      <c r="AA261">
        <v>0</v>
      </c>
      <c r="AB261">
        <v>0</v>
      </c>
      <c r="AC261">
        <v>8400</v>
      </c>
    </row>
    <row r="262" spans="1:29">
      <c r="A262">
        <v>254</v>
      </c>
      <c r="B262" t="s">
        <v>149</v>
      </c>
      <c r="C262">
        <v>471</v>
      </c>
      <c r="D262" t="s">
        <v>25</v>
      </c>
      <c r="E262" t="str">
        <f t="shared" si="3"/>
        <v>00471</v>
      </c>
      <c r="F262" t="s">
        <v>20</v>
      </c>
      <c r="G262" t="s">
        <v>193</v>
      </c>
      <c r="H262" t="s">
        <v>151</v>
      </c>
      <c r="I262" t="s">
        <v>4</v>
      </c>
      <c r="J262" t="s">
        <v>152</v>
      </c>
      <c r="K262" t="s">
        <v>236</v>
      </c>
      <c r="L262">
        <v>251200094</v>
      </c>
      <c r="M262" s="84">
        <v>45995</v>
      </c>
      <c r="N262" s="84">
        <v>45995</v>
      </c>
      <c r="O262" t="s">
        <v>160</v>
      </c>
      <c r="P262" t="s">
        <v>161</v>
      </c>
      <c r="Q262">
        <v>14250</v>
      </c>
      <c r="R262">
        <v>10</v>
      </c>
      <c r="S262">
        <v>142500</v>
      </c>
      <c r="T262">
        <v>0</v>
      </c>
      <c r="U262">
        <v>0</v>
      </c>
      <c r="V262">
        <v>10</v>
      </c>
      <c r="W262">
        <v>142500</v>
      </c>
      <c r="X262">
        <v>1500</v>
      </c>
      <c r="Y262">
        <v>2000</v>
      </c>
      <c r="Z262">
        <v>0</v>
      </c>
      <c r="AA262">
        <v>0</v>
      </c>
      <c r="AB262">
        <v>0</v>
      </c>
      <c r="AC262">
        <v>3500</v>
      </c>
    </row>
    <row r="263" spans="1:29">
      <c r="A263">
        <v>255</v>
      </c>
      <c r="B263" t="s">
        <v>149</v>
      </c>
      <c r="C263">
        <v>1448</v>
      </c>
      <c r="D263" t="s">
        <v>21</v>
      </c>
      <c r="E263" t="str">
        <f t="shared" si="3"/>
        <v>01448</v>
      </c>
      <c r="F263" t="s">
        <v>20</v>
      </c>
      <c r="G263" t="s">
        <v>193</v>
      </c>
      <c r="H263" t="s">
        <v>151</v>
      </c>
      <c r="I263" t="s">
        <v>4</v>
      </c>
      <c r="J263" t="s">
        <v>152</v>
      </c>
      <c r="K263" t="s">
        <v>236</v>
      </c>
      <c r="L263">
        <v>251200095</v>
      </c>
      <c r="M263" s="84">
        <v>45995</v>
      </c>
      <c r="N263" s="84">
        <v>45995</v>
      </c>
      <c r="O263" t="s">
        <v>219</v>
      </c>
      <c r="P263" t="s">
        <v>220</v>
      </c>
      <c r="Q263">
        <v>14250</v>
      </c>
      <c r="R263">
        <v>4</v>
      </c>
      <c r="S263">
        <v>57000</v>
      </c>
      <c r="T263">
        <v>0</v>
      </c>
      <c r="U263">
        <v>0</v>
      </c>
      <c r="V263">
        <v>4</v>
      </c>
      <c r="W263">
        <v>57000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>
        <v>256</v>
      </c>
      <c r="B264" t="s">
        <v>149</v>
      </c>
      <c r="C264">
        <v>1448</v>
      </c>
      <c r="D264" t="s">
        <v>21</v>
      </c>
      <c r="E264" t="str">
        <f t="shared" si="3"/>
        <v>01448</v>
      </c>
      <c r="F264" t="s">
        <v>20</v>
      </c>
      <c r="G264" t="s">
        <v>193</v>
      </c>
      <c r="H264" t="s">
        <v>151</v>
      </c>
      <c r="I264" t="s">
        <v>4</v>
      </c>
      <c r="J264" t="s">
        <v>152</v>
      </c>
      <c r="K264" t="s">
        <v>236</v>
      </c>
      <c r="L264">
        <v>251200095</v>
      </c>
      <c r="M264" s="84">
        <v>45995</v>
      </c>
      <c r="N264" s="84">
        <v>45995</v>
      </c>
      <c r="O264" t="s">
        <v>160</v>
      </c>
      <c r="P264" t="s">
        <v>161</v>
      </c>
      <c r="Q264">
        <v>14250</v>
      </c>
      <c r="R264">
        <v>5</v>
      </c>
      <c r="S264">
        <v>71250</v>
      </c>
      <c r="T264">
        <v>0</v>
      </c>
      <c r="U264">
        <v>0</v>
      </c>
      <c r="V264">
        <v>5</v>
      </c>
      <c r="W264">
        <v>71250</v>
      </c>
      <c r="X264">
        <v>750</v>
      </c>
      <c r="Y264">
        <v>1000</v>
      </c>
      <c r="Z264">
        <v>0</v>
      </c>
      <c r="AA264">
        <v>0</v>
      </c>
      <c r="AB264">
        <v>0</v>
      </c>
      <c r="AC264">
        <v>1750</v>
      </c>
    </row>
    <row r="265" spans="1:29">
      <c r="A265">
        <v>257</v>
      </c>
      <c r="B265" t="s">
        <v>149</v>
      </c>
      <c r="C265">
        <v>1441</v>
      </c>
      <c r="D265" t="s">
        <v>23</v>
      </c>
      <c r="E265" t="str">
        <f t="shared" ref="E265:E328" si="4">TEXT(C265,"00000")</f>
        <v>01441</v>
      </c>
      <c r="F265" t="s">
        <v>20</v>
      </c>
      <c r="G265" t="s">
        <v>193</v>
      </c>
      <c r="H265" t="s">
        <v>151</v>
      </c>
      <c r="I265" t="s">
        <v>4</v>
      </c>
      <c r="J265" t="s">
        <v>152</v>
      </c>
      <c r="K265" t="s">
        <v>236</v>
      </c>
      <c r="L265">
        <v>251200096</v>
      </c>
      <c r="M265" s="84">
        <v>45995</v>
      </c>
      <c r="N265" s="84">
        <v>45995</v>
      </c>
      <c r="O265" t="s">
        <v>177</v>
      </c>
      <c r="P265" t="s">
        <v>178</v>
      </c>
      <c r="Q265">
        <v>14250</v>
      </c>
      <c r="R265">
        <v>10</v>
      </c>
      <c r="S265">
        <v>142500</v>
      </c>
      <c r="T265">
        <v>0</v>
      </c>
      <c r="U265">
        <v>0</v>
      </c>
      <c r="V265">
        <v>10</v>
      </c>
      <c r="W265">
        <v>142500</v>
      </c>
      <c r="X265">
        <v>1500</v>
      </c>
      <c r="Y265">
        <v>2000</v>
      </c>
      <c r="Z265">
        <v>0</v>
      </c>
      <c r="AA265">
        <v>0</v>
      </c>
      <c r="AB265">
        <v>0</v>
      </c>
      <c r="AC265">
        <v>3500</v>
      </c>
    </row>
    <row r="266" spans="1:29">
      <c r="A266">
        <v>258</v>
      </c>
      <c r="B266" t="s">
        <v>149</v>
      </c>
      <c r="C266">
        <v>1441</v>
      </c>
      <c r="D266" t="s">
        <v>23</v>
      </c>
      <c r="E266" t="str">
        <f t="shared" si="4"/>
        <v>01441</v>
      </c>
      <c r="F266" t="s">
        <v>20</v>
      </c>
      <c r="G266" t="s">
        <v>193</v>
      </c>
      <c r="H266" t="s">
        <v>151</v>
      </c>
      <c r="I266" t="s">
        <v>4</v>
      </c>
      <c r="J266" t="s">
        <v>152</v>
      </c>
      <c r="K266" t="s">
        <v>236</v>
      </c>
      <c r="L266">
        <v>251200096</v>
      </c>
      <c r="M266" s="84">
        <v>45995</v>
      </c>
      <c r="N266" s="84">
        <v>45995</v>
      </c>
      <c r="O266" t="s">
        <v>215</v>
      </c>
      <c r="P266" t="s">
        <v>216</v>
      </c>
      <c r="Q266">
        <v>14250</v>
      </c>
      <c r="R266">
        <v>5</v>
      </c>
      <c r="S266">
        <v>71250</v>
      </c>
      <c r="T266">
        <v>0</v>
      </c>
      <c r="U266">
        <v>0</v>
      </c>
      <c r="V266">
        <v>5</v>
      </c>
      <c r="W266">
        <v>71250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>
      <c r="A267">
        <v>259</v>
      </c>
      <c r="B267" t="s">
        <v>149</v>
      </c>
      <c r="C267">
        <v>1353</v>
      </c>
      <c r="D267" t="s">
        <v>356</v>
      </c>
      <c r="E267" t="str">
        <f t="shared" si="4"/>
        <v>01353</v>
      </c>
      <c r="F267" t="s">
        <v>28</v>
      </c>
      <c r="G267" t="s">
        <v>164</v>
      </c>
      <c r="H267" t="s">
        <v>151</v>
      </c>
      <c r="I267" t="s">
        <v>5</v>
      </c>
      <c r="J267" t="s">
        <v>152</v>
      </c>
      <c r="K267" t="s">
        <v>153</v>
      </c>
      <c r="L267">
        <v>251200097</v>
      </c>
      <c r="M267" s="84">
        <v>45995</v>
      </c>
      <c r="N267" s="84">
        <v>45995</v>
      </c>
      <c r="O267" t="s">
        <v>196</v>
      </c>
      <c r="P267" t="s">
        <v>197</v>
      </c>
      <c r="Q267">
        <v>4500</v>
      </c>
      <c r="R267">
        <v>12</v>
      </c>
      <c r="S267">
        <v>54000</v>
      </c>
      <c r="T267">
        <v>0</v>
      </c>
      <c r="U267">
        <v>0</v>
      </c>
      <c r="V267">
        <v>12</v>
      </c>
      <c r="W267">
        <v>54000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260</v>
      </c>
      <c r="B268" t="s">
        <v>149</v>
      </c>
      <c r="C268">
        <v>1353</v>
      </c>
      <c r="D268" t="s">
        <v>356</v>
      </c>
      <c r="E268" t="str">
        <f t="shared" si="4"/>
        <v>01353</v>
      </c>
      <c r="F268" t="s">
        <v>28</v>
      </c>
      <c r="G268" t="s">
        <v>164</v>
      </c>
      <c r="H268" t="s">
        <v>151</v>
      </c>
      <c r="I268" t="s">
        <v>5</v>
      </c>
      <c r="J268" t="s">
        <v>152</v>
      </c>
      <c r="K268" t="s">
        <v>153</v>
      </c>
      <c r="L268">
        <v>251200097</v>
      </c>
      <c r="M268" s="84">
        <v>45995</v>
      </c>
      <c r="N268" s="84">
        <v>45995</v>
      </c>
      <c r="O268" t="s">
        <v>253</v>
      </c>
      <c r="P268" t="s">
        <v>254</v>
      </c>
      <c r="Q268">
        <v>4500</v>
      </c>
      <c r="R268">
        <v>8</v>
      </c>
      <c r="S268">
        <v>36000</v>
      </c>
      <c r="T268">
        <v>0</v>
      </c>
      <c r="U268">
        <v>0</v>
      </c>
      <c r="V268">
        <v>8</v>
      </c>
      <c r="W268">
        <v>36000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261</v>
      </c>
      <c r="B269" t="s">
        <v>149</v>
      </c>
      <c r="C269">
        <v>1353</v>
      </c>
      <c r="D269" t="s">
        <v>356</v>
      </c>
      <c r="E269" t="str">
        <f t="shared" si="4"/>
        <v>01353</v>
      </c>
      <c r="F269" t="s">
        <v>28</v>
      </c>
      <c r="G269" t="s">
        <v>164</v>
      </c>
      <c r="H269" t="s">
        <v>151</v>
      </c>
      <c r="I269" t="s">
        <v>5</v>
      </c>
      <c r="J269" t="s">
        <v>152</v>
      </c>
      <c r="K269" t="s">
        <v>153</v>
      </c>
      <c r="L269">
        <v>251200097</v>
      </c>
      <c r="M269" s="84">
        <v>45995</v>
      </c>
      <c r="N269" s="84">
        <v>45995</v>
      </c>
      <c r="O269" t="s">
        <v>217</v>
      </c>
      <c r="P269" t="s">
        <v>218</v>
      </c>
      <c r="Q269">
        <v>4500</v>
      </c>
      <c r="R269">
        <v>116</v>
      </c>
      <c r="S269">
        <v>522000</v>
      </c>
      <c r="T269">
        <v>0</v>
      </c>
      <c r="U269">
        <v>0</v>
      </c>
      <c r="V269">
        <v>116</v>
      </c>
      <c r="W269">
        <v>522000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>
      <c r="A270">
        <v>262</v>
      </c>
      <c r="B270" t="s">
        <v>149</v>
      </c>
      <c r="C270">
        <v>1444</v>
      </c>
      <c r="D270" t="s">
        <v>341</v>
      </c>
      <c r="E270" t="str">
        <f t="shared" si="4"/>
        <v>01444</v>
      </c>
      <c r="F270" t="s">
        <v>28</v>
      </c>
      <c r="G270" t="s">
        <v>164</v>
      </c>
      <c r="H270" t="s">
        <v>151</v>
      </c>
      <c r="I270" t="s">
        <v>4</v>
      </c>
      <c r="J270" t="s">
        <v>152</v>
      </c>
      <c r="K270" t="s">
        <v>153</v>
      </c>
      <c r="L270">
        <v>251200098</v>
      </c>
      <c r="M270" s="84">
        <v>45995</v>
      </c>
      <c r="N270" s="84">
        <v>45995</v>
      </c>
      <c r="O270" t="s">
        <v>160</v>
      </c>
      <c r="P270" t="s">
        <v>161</v>
      </c>
      <c r="Q270">
        <v>5500</v>
      </c>
      <c r="R270">
        <v>4</v>
      </c>
      <c r="S270">
        <v>22000</v>
      </c>
      <c r="T270">
        <v>0</v>
      </c>
      <c r="U270">
        <v>0</v>
      </c>
      <c r="V270">
        <v>4</v>
      </c>
      <c r="W270">
        <v>22000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>
        <v>263</v>
      </c>
      <c r="B271" t="s">
        <v>149</v>
      </c>
      <c r="C271">
        <v>1444</v>
      </c>
      <c r="D271" t="s">
        <v>341</v>
      </c>
      <c r="E271" t="str">
        <f t="shared" si="4"/>
        <v>01444</v>
      </c>
      <c r="F271" t="s">
        <v>28</v>
      </c>
      <c r="G271" t="s">
        <v>164</v>
      </c>
      <c r="H271" t="s">
        <v>151</v>
      </c>
      <c r="I271" t="s">
        <v>5</v>
      </c>
      <c r="J271" t="s">
        <v>152</v>
      </c>
      <c r="K271" t="s">
        <v>153</v>
      </c>
      <c r="L271">
        <v>251200098</v>
      </c>
      <c r="M271" s="84">
        <v>45995</v>
      </c>
      <c r="N271" s="84">
        <v>45995</v>
      </c>
      <c r="O271" t="s">
        <v>191</v>
      </c>
      <c r="P271" t="s">
        <v>192</v>
      </c>
      <c r="Q271">
        <v>4500</v>
      </c>
      <c r="R271">
        <v>20</v>
      </c>
      <c r="S271">
        <v>90000</v>
      </c>
      <c r="T271">
        <v>0</v>
      </c>
      <c r="U271">
        <v>0</v>
      </c>
      <c r="V271">
        <v>20</v>
      </c>
      <c r="W271">
        <v>90000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264</v>
      </c>
      <c r="B272" t="s">
        <v>149</v>
      </c>
      <c r="C272">
        <v>134</v>
      </c>
      <c r="D272" t="s">
        <v>79</v>
      </c>
      <c r="E272" t="str">
        <f t="shared" si="4"/>
        <v>00134</v>
      </c>
      <c r="F272" t="s">
        <v>73</v>
      </c>
      <c r="G272" t="s">
        <v>185</v>
      </c>
      <c r="H272" t="s">
        <v>151</v>
      </c>
      <c r="I272" t="s">
        <v>4</v>
      </c>
      <c r="J272" t="s">
        <v>152</v>
      </c>
      <c r="K272" t="s">
        <v>153</v>
      </c>
      <c r="L272">
        <v>251200099</v>
      </c>
      <c r="M272" s="84">
        <v>45995</v>
      </c>
      <c r="N272" s="84">
        <v>45995</v>
      </c>
      <c r="O272" t="s">
        <v>154</v>
      </c>
      <c r="P272" t="s">
        <v>155</v>
      </c>
      <c r="Q272">
        <v>14250</v>
      </c>
      <c r="R272">
        <v>4</v>
      </c>
      <c r="S272">
        <v>57000</v>
      </c>
      <c r="T272">
        <v>0</v>
      </c>
      <c r="U272">
        <v>0</v>
      </c>
      <c r="V272">
        <v>4</v>
      </c>
      <c r="W272">
        <v>57000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>
        <v>265</v>
      </c>
      <c r="B273" t="s">
        <v>149</v>
      </c>
      <c r="C273">
        <v>1557</v>
      </c>
      <c r="D273" t="s">
        <v>344</v>
      </c>
      <c r="E273" t="str">
        <f t="shared" si="4"/>
        <v>01557</v>
      </c>
      <c r="F273" t="s">
        <v>111</v>
      </c>
      <c r="G273" t="s">
        <v>150</v>
      </c>
      <c r="H273" t="s">
        <v>151</v>
      </c>
      <c r="I273" t="s">
        <v>4</v>
      </c>
      <c r="J273" t="s">
        <v>152</v>
      </c>
      <c r="K273" t="s">
        <v>153</v>
      </c>
      <c r="L273">
        <v>251200100</v>
      </c>
      <c r="M273" s="84">
        <v>45995</v>
      </c>
      <c r="N273" s="84">
        <v>45995</v>
      </c>
      <c r="O273" t="s">
        <v>179</v>
      </c>
      <c r="P273" t="s">
        <v>180</v>
      </c>
      <c r="Q273">
        <v>5500</v>
      </c>
      <c r="R273">
        <v>1</v>
      </c>
      <c r="S273">
        <v>5500</v>
      </c>
      <c r="T273">
        <v>0</v>
      </c>
      <c r="U273">
        <v>0</v>
      </c>
      <c r="V273">
        <v>1</v>
      </c>
      <c r="W273">
        <v>5500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266</v>
      </c>
      <c r="B274" t="s">
        <v>149</v>
      </c>
      <c r="C274">
        <v>1557</v>
      </c>
      <c r="D274" t="s">
        <v>344</v>
      </c>
      <c r="E274" t="str">
        <f t="shared" si="4"/>
        <v>01557</v>
      </c>
      <c r="F274" t="s">
        <v>111</v>
      </c>
      <c r="G274" t="s">
        <v>150</v>
      </c>
      <c r="H274" t="s">
        <v>151</v>
      </c>
      <c r="I274" t="s">
        <v>4</v>
      </c>
      <c r="J274" t="s">
        <v>152</v>
      </c>
      <c r="K274" t="s">
        <v>153</v>
      </c>
      <c r="L274">
        <v>251200100</v>
      </c>
      <c r="M274" s="84">
        <v>45995</v>
      </c>
      <c r="N274" s="84">
        <v>45995</v>
      </c>
      <c r="O274" t="s">
        <v>357</v>
      </c>
      <c r="P274" t="s">
        <v>358</v>
      </c>
      <c r="Q274">
        <v>5500</v>
      </c>
      <c r="R274">
        <v>5</v>
      </c>
      <c r="S274">
        <v>27500</v>
      </c>
      <c r="T274">
        <v>0</v>
      </c>
      <c r="U274">
        <v>0</v>
      </c>
      <c r="V274">
        <v>5</v>
      </c>
      <c r="W274">
        <v>27500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>
      <c r="A275">
        <v>267</v>
      </c>
      <c r="B275" t="s">
        <v>149</v>
      </c>
      <c r="C275">
        <v>988</v>
      </c>
      <c r="D275" t="s">
        <v>19</v>
      </c>
      <c r="E275" t="str">
        <f t="shared" si="4"/>
        <v>00988</v>
      </c>
      <c r="F275" t="s">
        <v>15</v>
      </c>
      <c r="G275" t="s">
        <v>193</v>
      </c>
      <c r="H275" t="s">
        <v>151</v>
      </c>
      <c r="I275" t="s">
        <v>5</v>
      </c>
      <c r="J275" t="s">
        <v>152</v>
      </c>
      <c r="K275" t="s">
        <v>153</v>
      </c>
      <c r="L275">
        <v>251200101</v>
      </c>
      <c r="M275" s="84">
        <v>45995</v>
      </c>
      <c r="N275" s="84">
        <v>45995</v>
      </c>
      <c r="O275" t="s">
        <v>191</v>
      </c>
      <c r="P275" t="s">
        <v>192</v>
      </c>
      <c r="Q275">
        <v>11700</v>
      </c>
      <c r="R275">
        <v>20</v>
      </c>
      <c r="S275">
        <v>234000</v>
      </c>
      <c r="T275">
        <v>0</v>
      </c>
      <c r="U275">
        <v>0</v>
      </c>
      <c r="V275">
        <v>20</v>
      </c>
      <c r="W275">
        <v>234000</v>
      </c>
      <c r="X275">
        <v>3000</v>
      </c>
      <c r="Y275">
        <v>3000</v>
      </c>
      <c r="Z275">
        <v>0</v>
      </c>
      <c r="AA275">
        <v>0</v>
      </c>
      <c r="AB275">
        <v>0</v>
      </c>
      <c r="AC275">
        <v>6000</v>
      </c>
    </row>
    <row r="276" spans="1:29">
      <c r="A276">
        <v>268</v>
      </c>
      <c r="B276" t="s">
        <v>149</v>
      </c>
      <c r="C276">
        <v>988</v>
      </c>
      <c r="D276" t="s">
        <v>19</v>
      </c>
      <c r="E276" t="str">
        <f t="shared" si="4"/>
        <v>00988</v>
      </c>
      <c r="F276" t="s">
        <v>15</v>
      </c>
      <c r="G276" t="s">
        <v>193</v>
      </c>
      <c r="H276" t="s">
        <v>151</v>
      </c>
      <c r="I276" t="s">
        <v>4</v>
      </c>
      <c r="J276" t="s">
        <v>152</v>
      </c>
      <c r="K276" t="s">
        <v>153</v>
      </c>
      <c r="L276">
        <v>251200101</v>
      </c>
      <c r="M276" s="84">
        <v>45995</v>
      </c>
      <c r="N276" s="84">
        <v>45995</v>
      </c>
      <c r="O276" t="s">
        <v>160</v>
      </c>
      <c r="P276" t="s">
        <v>161</v>
      </c>
      <c r="Q276">
        <v>14250</v>
      </c>
      <c r="R276">
        <v>10</v>
      </c>
      <c r="S276">
        <v>142500</v>
      </c>
      <c r="T276">
        <v>0</v>
      </c>
      <c r="U276">
        <v>0</v>
      </c>
      <c r="V276">
        <v>10</v>
      </c>
      <c r="W276">
        <v>142500</v>
      </c>
      <c r="X276">
        <v>1500</v>
      </c>
      <c r="Y276">
        <v>2000</v>
      </c>
      <c r="Z276">
        <v>0</v>
      </c>
      <c r="AA276">
        <v>0</v>
      </c>
      <c r="AB276">
        <v>0</v>
      </c>
      <c r="AC276">
        <v>3500</v>
      </c>
    </row>
    <row r="277" spans="1:29">
      <c r="A277">
        <v>269</v>
      </c>
      <c r="B277" t="s">
        <v>149</v>
      </c>
      <c r="C277">
        <v>1550</v>
      </c>
      <c r="D277" t="s">
        <v>337</v>
      </c>
      <c r="E277" t="str">
        <f t="shared" si="4"/>
        <v>01550</v>
      </c>
      <c r="F277" t="s">
        <v>15</v>
      </c>
      <c r="G277" t="s">
        <v>193</v>
      </c>
      <c r="H277" t="s">
        <v>151</v>
      </c>
      <c r="I277" t="s">
        <v>5</v>
      </c>
      <c r="J277" t="s">
        <v>152</v>
      </c>
      <c r="K277" t="s">
        <v>153</v>
      </c>
      <c r="L277">
        <v>251200102</v>
      </c>
      <c r="M277" s="84">
        <v>45995</v>
      </c>
      <c r="N277" s="84">
        <v>45995</v>
      </c>
      <c r="O277" t="s">
        <v>260</v>
      </c>
      <c r="P277" t="s">
        <v>261</v>
      </c>
      <c r="Q277">
        <v>4500</v>
      </c>
      <c r="R277">
        <v>8</v>
      </c>
      <c r="S277">
        <v>36000</v>
      </c>
      <c r="T277">
        <v>0</v>
      </c>
      <c r="U277">
        <v>0</v>
      </c>
      <c r="V277">
        <v>8</v>
      </c>
      <c r="W277">
        <v>36000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270</v>
      </c>
      <c r="B278" t="s">
        <v>149</v>
      </c>
      <c r="C278">
        <v>1550</v>
      </c>
      <c r="D278" t="s">
        <v>337</v>
      </c>
      <c r="E278" t="str">
        <f t="shared" si="4"/>
        <v>01550</v>
      </c>
      <c r="F278" t="s">
        <v>15</v>
      </c>
      <c r="G278" t="s">
        <v>193</v>
      </c>
      <c r="H278" t="s">
        <v>151</v>
      </c>
      <c r="I278" t="s">
        <v>5</v>
      </c>
      <c r="J278" t="s">
        <v>152</v>
      </c>
      <c r="K278" t="s">
        <v>153</v>
      </c>
      <c r="L278">
        <v>251200103</v>
      </c>
      <c r="M278" s="84">
        <v>45995</v>
      </c>
      <c r="N278" s="84">
        <v>45995</v>
      </c>
      <c r="O278" t="s">
        <v>191</v>
      </c>
      <c r="P278" t="s">
        <v>192</v>
      </c>
      <c r="Q278">
        <v>4500</v>
      </c>
      <c r="R278">
        <v>20</v>
      </c>
      <c r="S278">
        <v>90000</v>
      </c>
      <c r="T278">
        <v>0</v>
      </c>
      <c r="U278">
        <v>0</v>
      </c>
      <c r="V278">
        <v>20</v>
      </c>
      <c r="W278">
        <v>90000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>
      <c r="A279">
        <v>271</v>
      </c>
      <c r="B279" t="s">
        <v>149</v>
      </c>
      <c r="C279">
        <v>1550</v>
      </c>
      <c r="D279" t="s">
        <v>337</v>
      </c>
      <c r="E279" t="str">
        <f t="shared" si="4"/>
        <v>01550</v>
      </c>
      <c r="F279" t="s">
        <v>15</v>
      </c>
      <c r="G279" t="s">
        <v>193</v>
      </c>
      <c r="H279" t="s">
        <v>151</v>
      </c>
      <c r="I279" t="s">
        <v>4</v>
      </c>
      <c r="J279" t="s">
        <v>152</v>
      </c>
      <c r="K279" t="s">
        <v>153</v>
      </c>
      <c r="L279">
        <v>251200103</v>
      </c>
      <c r="M279" s="84">
        <v>45995</v>
      </c>
      <c r="N279" s="84">
        <v>45995</v>
      </c>
      <c r="O279" t="s">
        <v>160</v>
      </c>
      <c r="P279" t="s">
        <v>161</v>
      </c>
      <c r="Q279">
        <v>5500</v>
      </c>
      <c r="R279">
        <v>1</v>
      </c>
      <c r="S279">
        <v>5500</v>
      </c>
      <c r="T279">
        <v>0</v>
      </c>
      <c r="U279">
        <v>0</v>
      </c>
      <c r="V279">
        <v>1</v>
      </c>
      <c r="W279">
        <v>5500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272</v>
      </c>
      <c r="B280" t="s">
        <v>149</v>
      </c>
      <c r="C280">
        <v>1326</v>
      </c>
      <c r="D280" t="s">
        <v>338</v>
      </c>
      <c r="E280" t="str">
        <f t="shared" si="4"/>
        <v>01326</v>
      </c>
      <c r="F280" t="s">
        <v>15</v>
      </c>
      <c r="G280" t="s">
        <v>193</v>
      </c>
      <c r="H280" t="s">
        <v>151</v>
      </c>
      <c r="I280" t="s">
        <v>4</v>
      </c>
      <c r="J280" t="s">
        <v>152</v>
      </c>
      <c r="K280" t="s">
        <v>153</v>
      </c>
      <c r="L280">
        <v>251200104</v>
      </c>
      <c r="M280" s="84">
        <v>45995</v>
      </c>
      <c r="N280" s="84">
        <v>45995</v>
      </c>
      <c r="O280" t="s">
        <v>160</v>
      </c>
      <c r="P280" t="s">
        <v>161</v>
      </c>
      <c r="Q280">
        <v>5500</v>
      </c>
      <c r="R280">
        <v>10</v>
      </c>
      <c r="S280">
        <v>55000</v>
      </c>
      <c r="T280">
        <v>0</v>
      </c>
      <c r="U280">
        <v>0</v>
      </c>
      <c r="V280">
        <v>10</v>
      </c>
      <c r="W280">
        <v>55000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>
        <v>273</v>
      </c>
      <c r="B281" t="s">
        <v>149</v>
      </c>
      <c r="C281">
        <v>1326</v>
      </c>
      <c r="D281" t="s">
        <v>338</v>
      </c>
      <c r="E281" t="str">
        <f t="shared" si="4"/>
        <v>01326</v>
      </c>
      <c r="F281" t="s">
        <v>15</v>
      </c>
      <c r="G281" t="s">
        <v>193</v>
      </c>
      <c r="H281" t="s">
        <v>151</v>
      </c>
      <c r="I281" t="s">
        <v>5</v>
      </c>
      <c r="J281" t="s">
        <v>152</v>
      </c>
      <c r="K281" t="s">
        <v>153</v>
      </c>
      <c r="L281">
        <v>251200104</v>
      </c>
      <c r="M281" s="84">
        <v>45995</v>
      </c>
      <c r="N281" s="84">
        <v>45995</v>
      </c>
      <c r="O281" t="s">
        <v>191</v>
      </c>
      <c r="P281" t="s">
        <v>192</v>
      </c>
      <c r="Q281">
        <v>4500</v>
      </c>
      <c r="R281">
        <v>24</v>
      </c>
      <c r="S281">
        <v>108000</v>
      </c>
      <c r="T281">
        <v>0</v>
      </c>
      <c r="U281">
        <v>0</v>
      </c>
      <c r="V281">
        <v>24</v>
      </c>
      <c r="W281">
        <v>108000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>
      <c r="A282">
        <v>274</v>
      </c>
      <c r="B282" t="s">
        <v>149</v>
      </c>
      <c r="C282">
        <v>419</v>
      </c>
      <c r="D282" t="s">
        <v>16</v>
      </c>
      <c r="E282" t="str">
        <f t="shared" si="4"/>
        <v>00419</v>
      </c>
      <c r="F282" t="s">
        <v>15</v>
      </c>
      <c r="G282" t="s">
        <v>193</v>
      </c>
      <c r="H282" t="s">
        <v>151</v>
      </c>
      <c r="I282" t="s">
        <v>4</v>
      </c>
      <c r="J282" t="s">
        <v>152</v>
      </c>
      <c r="K282" t="s">
        <v>153</v>
      </c>
      <c r="L282">
        <v>251200105</v>
      </c>
      <c r="M282" s="84">
        <v>45995</v>
      </c>
      <c r="N282" s="84">
        <v>45995</v>
      </c>
      <c r="O282" t="s">
        <v>160</v>
      </c>
      <c r="P282" t="s">
        <v>161</v>
      </c>
      <c r="Q282">
        <v>14250</v>
      </c>
      <c r="R282">
        <v>20</v>
      </c>
      <c r="S282">
        <v>285000</v>
      </c>
      <c r="T282">
        <v>0</v>
      </c>
      <c r="U282">
        <v>0</v>
      </c>
      <c r="V282">
        <v>20</v>
      </c>
      <c r="W282">
        <v>285000</v>
      </c>
      <c r="X282">
        <v>3000</v>
      </c>
      <c r="Y282">
        <v>4000</v>
      </c>
      <c r="Z282">
        <v>0</v>
      </c>
      <c r="AA282">
        <v>0</v>
      </c>
      <c r="AB282">
        <v>0</v>
      </c>
      <c r="AC282">
        <v>7000</v>
      </c>
    </row>
    <row r="283" spans="1:29">
      <c r="A283">
        <v>275</v>
      </c>
      <c r="B283" t="s">
        <v>149</v>
      </c>
      <c r="C283">
        <v>1312</v>
      </c>
      <c r="D283" t="s">
        <v>359</v>
      </c>
      <c r="E283" t="str">
        <f t="shared" si="4"/>
        <v>01312</v>
      </c>
      <c r="F283" t="s">
        <v>15</v>
      </c>
      <c r="G283" t="s">
        <v>193</v>
      </c>
      <c r="H283" t="s">
        <v>151</v>
      </c>
      <c r="I283" t="s">
        <v>4</v>
      </c>
      <c r="J283" t="s">
        <v>152</v>
      </c>
      <c r="K283" t="s">
        <v>153</v>
      </c>
      <c r="L283">
        <v>251200106</v>
      </c>
      <c r="M283" s="84">
        <v>45995</v>
      </c>
      <c r="N283" s="84">
        <v>45995</v>
      </c>
      <c r="O283" t="s">
        <v>327</v>
      </c>
      <c r="P283" t="s">
        <v>328</v>
      </c>
      <c r="Q283">
        <v>5500</v>
      </c>
      <c r="R283">
        <v>30</v>
      </c>
      <c r="S283">
        <v>165000</v>
      </c>
      <c r="T283">
        <v>0</v>
      </c>
      <c r="U283">
        <v>0</v>
      </c>
      <c r="V283">
        <v>30</v>
      </c>
      <c r="W283">
        <v>165000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276</v>
      </c>
      <c r="B284" t="s">
        <v>149</v>
      </c>
      <c r="C284">
        <v>1312</v>
      </c>
      <c r="D284" t="s">
        <v>359</v>
      </c>
      <c r="E284" t="str">
        <f t="shared" si="4"/>
        <v>01312</v>
      </c>
      <c r="F284" t="s">
        <v>15</v>
      </c>
      <c r="G284" t="s">
        <v>193</v>
      </c>
      <c r="H284" t="s">
        <v>151</v>
      </c>
      <c r="I284" t="s">
        <v>5</v>
      </c>
      <c r="J284" t="s">
        <v>152</v>
      </c>
      <c r="K284" t="s">
        <v>153</v>
      </c>
      <c r="L284">
        <v>251200106</v>
      </c>
      <c r="M284" s="84">
        <v>45995</v>
      </c>
      <c r="N284" s="84">
        <v>45995</v>
      </c>
      <c r="O284" t="s">
        <v>360</v>
      </c>
      <c r="P284" t="s">
        <v>361</v>
      </c>
      <c r="Q284">
        <v>4500</v>
      </c>
      <c r="R284">
        <v>20</v>
      </c>
      <c r="S284">
        <v>90000</v>
      </c>
      <c r="T284">
        <v>0</v>
      </c>
      <c r="U284">
        <v>0</v>
      </c>
      <c r="V284">
        <v>20</v>
      </c>
      <c r="W284">
        <v>90000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277</v>
      </c>
      <c r="B285" t="s">
        <v>149</v>
      </c>
      <c r="C285">
        <v>1312</v>
      </c>
      <c r="D285" t="s">
        <v>359</v>
      </c>
      <c r="E285" t="str">
        <f t="shared" si="4"/>
        <v>01312</v>
      </c>
      <c r="F285" t="s">
        <v>15</v>
      </c>
      <c r="G285" t="s">
        <v>193</v>
      </c>
      <c r="H285" t="s">
        <v>151</v>
      </c>
      <c r="I285" t="s">
        <v>5</v>
      </c>
      <c r="J285" t="s">
        <v>152</v>
      </c>
      <c r="K285" t="s">
        <v>153</v>
      </c>
      <c r="L285">
        <v>251200106</v>
      </c>
      <c r="M285" s="84">
        <v>45995</v>
      </c>
      <c r="N285" s="84">
        <v>45995</v>
      </c>
      <c r="O285" t="s">
        <v>196</v>
      </c>
      <c r="P285" t="s">
        <v>197</v>
      </c>
      <c r="Q285">
        <v>4500</v>
      </c>
      <c r="R285">
        <v>12</v>
      </c>
      <c r="S285">
        <v>54000</v>
      </c>
      <c r="T285">
        <v>0</v>
      </c>
      <c r="U285">
        <v>0</v>
      </c>
      <c r="V285">
        <v>12</v>
      </c>
      <c r="W285">
        <v>54000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278</v>
      </c>
      <c r="B286" t="s">
        <v>149</v>
      </c>
      <c r="C286">
        <v>1454</v>
      </c>
      <c r="D286" t="s">
        <v>362</v>
      </c>
      <c r="E286" t="str">
        <f t="shared" si="4"/>
        <v>01454</v>
      </c>
      <c r="F286" t="s">
        <v>10</v>
      </c>
      <c r="G286" t="s">
        <v>172</v>
      </c>
      <c r="H286" t="s">
        <v>157</v>
      </c>
      <c r="I286" t="s">
        <v>4</v>
      </c>
      <c r="J286" t="s">
        <v>152</v>
      </c>
      <c r="K286" t="s">
        <v>174</v>
      </c>
      <c r="L286">
        <v>251200107</v>
      </c>
      <c r="M286" s="84">
        <v>45995</v>
      </c>
      <c r="N286" s="84">
        <v>45995</v>
      </c>
      <c r="O286" t="s">
        <v>204</v>
      </c>
      <c r="P286" t="s">
        <v>205</v>
      </c>
      <c r="Q286">
        <v>5500</v>
      </c>
      <c r="R286">
        <v>5</v>
      </c>
      <c r="S286">
        <v>27500</v>
      </c>
      <c r="T286">
        <v>0</v>
      </c>
      <c r="U286">
        <v>0</v>
      </c>
      <c r="V286">
        <v>5</v>
      </c>
      <c r="W286">
        <v>27500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279</v>
      </c>
      <c r="B287" t="s">
        <v>149</v>
      </c>
      <c r="C287">
        <v>1454</v>
      </c>
      <c r="D287" t="s">
        <v>362</v>
      </c>
      <c r="E287" t="str">
        <f t="shared" si="4"/>
        <v>01454</v>
      </c>
      <c r="F287" t="s">
        <v>10</v>
      </c>
      <c r="G287" t="s">
        <v>172</v>
      </c>
      <c r="H287" t="s">
        <v>157</v>
      </c>
      <c r="I287" t="s">
        <v>4</v>
      </c>
      <c r="J287" t="s">
        <v>152</v>
      </c>
      <c r="K287" t="s">
        <v>174</v>
      </c>
      <c r="L287">
        <v>251200107</v>
      </c>
      <c r="M287" s="84">
        <v>45995</v>
      </c>
      <c r="N287" s="84">
        <v>45995</v>
      </c>
      <c r="O287" t="s">
        <v>179</v>
      </c>
      <c r="P287" t="s">
        <v>180</v>
      </c>
      <c r="Q287">
        <v>5500</v>
      </c>
      <c r="R287">
        <v>5</v>
      </c>
      <c r="S287">
        <v>27500</v>
      </c>
      <c r="T287">
        <v>0</v>
      </c>
      <c r="U287">
        <v>0</v>
      </c>
      <c r="V287">
        <v>5</v>
      </c>
      <c r="W287">
        <v>27500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>
        <v>280</v>
      </c>
      <c r="B288" t="s">
        <v>149</v>
      </c>
      <c r="C288">
        <v>1439</v>
      </c>
      <c r="D288" t="s">
        <v>363</v>
      </c>
      <c r="E288" t="str">
        <f t="shared" si="4"/>
        <v>01439</v>
      </c>
      <c r="F288" t="s">
        <v>171</v>
      </c>
      <c r="G288" t="s">
        <v>172</v>
      </c>
      <c r="H288" t="s">
        <v>157</v>
      </c>
      <c r="I288" t="s">
        <v>4</v>
      </c>
      <c r="J288" t="s">
        <v>152</v>
      </c>
      <c r="K288" t="s">
        <v>174</v>
      </c>
      <c r="L288">
        <v>251200108</v>
      </c>
      <c r="M288" s="84">
        <v>45995</v>
      </c>
      <c r="N288" s="84">
        <v>45995</v>
      </c>
      <c r="O288" t="s">
        <v>225</v>
      </c>
      <c r="P288" t="s">
        <v>226</v>
      </c>
      <c r="Q288">
        <v>5500</v>
      </c>
      <c r="R288">
        <v>6</v>
      </c>
      <c r="S288">
        <v>33000</v>
      </c>
      <c r="T288">
        <v>0</v>
      </c>
      <c r="U288">
        <v>0</v>
      </c>
      <c r="V288">
        <v>6</v>
      </c>
      <c r="W288">
        <v>33000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>
      <c r="A289">
        <v>281</v>
      </c>
      <c r="B289" t="s">
        <v>149</v>
      </c>
      <c r="C289">
        <v>496</v>
      </c>
      <c r="D289" t="s">
        <v>8</v>
      </c>
      <c r="E289" t="str">
        <f t="shared" si="4"/>
        <v>00496</v>
      </c>
      <c r="F289" t="s">
        <v>7</v>
      </c>
      <c r="G289" t="s">
        <v>156</v>
      </c>
      <c r="H289" t="s">
        <v>157</v>
      </c>
      <c r="I289" t="s">
        <v>4</v>
      </c>
      <c r="J289" t="s">
        <v>152</v>
      </c>
      <c r="K289" t="s">
        <v>159</v>
      </c>
      <c r="L289">
        <v>251200109</v>
      </c>
      <c r="M289" s="84">
        <v>45995</v>
      </c>
      <c r="N289" s="84">
        <v>45995</v>
      </c>
      <c r="O289" t="s">
        <v>243</v>
      </c>
      <c r="P289" t="s">
        <v>244</v>
      </c>
      <c r="Q289">
        <v>15050</v>
      </c>
      <c r="R289">
        <v>5</v>
      </c>
      <c r="S289">
        <v>75250</v>
      </c>
      <c r="T289">
        <v>0</v>
      </c>
      <c r="U289">
        <v>0</v>
      </c>
      <c r="V289">
        <v>5</v>
      </c>
      <c r="W289">
        <v>75250</v>
      </c>
      <c r="X289">
        <v>750</v>
      </c>
      <c r="Y289">
        <v>1000</v>
      </c>
      <c r="Z289">
        <v>0</v>
      </c>
      <c r="AA289">
        <v>0</v>
      </c>
      <c r="AB289">
        <v>0</v>
      </c>
      <c r="AC289">
        <v>1750</v>
      </c>
    </row>
    <row r="290" spans="1:29">
      <c r="A290">
        <v>282</v>
      </c>
      <c r="B290" t="s">
        <v>149</v>
      </c>
      <c r="C290">
        <v>496</v>
      </c>
      <c r="D290" t="s">
        <v>8</v>
      </c>
      <c r="E290" t="str">
        <f t="shared" si="4"/>
        <v>00496</v>
      </c>
      <c r="F290" t="s">
        <v>7</v>
      </c>
      <c r="G290" t="s">
        <v>156</v>
      </c>
      <c r="H290" t="s">
        <v>157</v>
      </c>
      <c r="I290" t="s">
        <v>4</v>
      </c>
      <c r="J290" t="s">
        <v>152</v>
      </c>
      <c r="K290" t="s">
        <v>159</v>
      </c>
      <c r="L290">
        <v>251200109</v>
      </c>
      <c r="M290" s="84">
        <v>45995</v>
      </c>
      <c r="N290" s="84">
        <v>45995</v>
      </c>
      <c r="O290" t="s">
        <v>154</v>
      </c>
      <c r="P290" t="s">
        <v>155</v>
      </c>
      <c r="Q290">
        <v>14250</v>
      </c>
      <c r="R290">
        <v>8</v>
      </c>
      <c r="S290">
        <v>114000</v>
      </c>
      <c r="T290">
        <v>0</v>
      </c>
      <c r="U290">
        <v>0</v>
      </c>
      <c r="V290">
        <v>8</v>
      </c>
      <c r="W290">
        <v>114000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>
      <c r="A291">
        <v>283</v>
      </c>
      <c r="B291" t="s">
        <v>149</v>
      </c>
      <c r="C291">
        <v>1468</v>
      </c>
      <c r="D291" t="s">
        <v>342</v>
      </c>
      <c r="E291" t="str">
        <f t="shared" si="4"/>
        <v>01468</v>
      </c>
      <c r="F291" t="s">
        <v>7</v>
      </c>
      <c r="G291" t="s">
        <v>156</v>
      </c>
      <c r="H291" t="s">
        <v>157</v>
      </c>
      <c r="I291" t="s">
        <v>4</v>
      </c>
      <c r="J291" t="s">
        <v>152</v>
      </c>
      <c r="K291" t="s">
        <v>159</v>
      </c>
      <c r="L291">
        <v>251200110</v>
      </c>
      <c r="M291" s="84">
        <v>45995</v>
      </c>
      <c r="N291" s="84">
        <v>45995</v>
      </c>
      <c r="O291" t="s">
        <v>290</v>
      </c>
      <c r="P291" t="s">
        <v>291</v>
      </c>
      <c r="Q291">
        <v>5500</v>
      </c>
      <c r="R291">
        <v>50</v>
      </c>
      <c r="S291">
        <v>275000</v>
      </c>
      <c r="T291">
        <v>0</v>
      </c>
      <c r="U291">
        <v>0</v>
      </c>
      <c r="V291">
        <v>50</v>
      </c>
      <c r="W291">
        <v>275000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>
        <v>284</v>
      </c>
      <c r="B292" t="s">
        <v>149</v>
      </c>
      <c r="C292">
        <v>1497</v>
      </c>
      <c r="D292" t="s">
        <v>364</v>
      </c>
      <c r="E292" t="str">
        <f t="shared" si="4"/>
        <v>01497</v>
      </c>
      <c r="F292" t="s">
        <v>7</v>
      </c>
      <c r="G292" t="s">
        <v>156</v>
      </c>
      <c r="H292" t="s">
        <v>157</v>
      </c>
      <c r="I292" t="s">
        <v>4</v>
      </c>
      <c r="J292" t="s">
        <v>152</v>
      </c>
      <c r="K292" t="s">
        <v>159</v>
      </c>
      <c r="L292">
        <v>251200111</v>
      </c>
      <c r="M292" s="84">
        <v>45995</v>
      </c>
      <c r="N292" s="84">
        <v>45995</v>
      </c>
      <c r="O292" t="s">
        <v>256</v>
      </c>
      <c r="P292" t="s">
        <v>257</v>
      </c>
      <c r="Q292">
        <v>5500</v>
      </c>
      <c r="R292">
        <v>30</v>
      </c>
      <c r="S292">
        <v>165000</v>
      </c>
      <c r="T292">
        <v>0</v>
      </c>
      <c r="U292">
        <v>0</v>
      </c>
      <c r="V292">
        <v>30</v>
      </c>
      <c r="W292">
        <v>165000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>
      <c r="A293">
        <v>285</v>
      </c>
      <c r="B293" t="s">
        <v>149</v>
      </c>
      <c r="C293">
        <v>1497</v>
      </c>
      <c r="D293" t="s">
        <v>364</v>
      </c>
      <c r="E293" t="str">
        <f t="shared" si="4"/>
        <v>01497</v>
      </c>
      <c r="F293" t="s">
        <v>7</v>
      </c>
      <c r="G293" t="s">
        <v>156</v>
      </c>
      <c r="H293" t="s">
        <v>157</v>
      </c>
      <c r="I293" t="s">
        <v>4</v>
      </c>
      <c r="J293" t="s">
        <v>152</v>
      </c>
      <c r="K293" t="s">
        <v>159</v>
      </c>
      <c r="L293">
        <v>251200111</v>
      </c>
      <c r="M293" s="84">
        <v>45995</v>
      </c>
      <c r="N293" s="84">
        <v>45995</v>
      </c>
      <c r="O293" t="s">
        <v>248</v>
      </c>
      <c r="P293" t="s">
        <v>249</v>
      </c>
      <c r="Q293">
        <v>5500</v>
      </c>
      <c r="R293">
        <v>20</v>
      </c>
      <c r="S293">
        <v>110000</v>
      </c>
      <c r="T293">
        <v>0</v>
      </c>
      <c r="U293">
        <v>0</v>
      </c>
      <c r="V293">
        <v>20</v>
      </c>
      <c r="W293">
        <v>110000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286</v>
      </c>
      <c r="B294" t="s">
        <v>149</v>
      </c>
      <c r="C294">
        <v>1497</v>
      </c>
      <c r="D294" t="s">
        <v>364</v>
      </c>
      <c r="E294" t="str">
        <f t="shared" si="4"/>
        <v>01497</v>
      </c>
      <c r="F294" t="s">
        <v>7</v>
      </c>
      <c r="G294" t="s">
        <v>156</v>
      </c>
      <c r="H294" t="s">
        <v>157</v>
      </c>
      <c r="I294" t="s">
        <v>4</v>
      </c>
      <c r="J294" t="s">
        <v>152</v>
      </c>
      <c r="K294" t="s">
        <v>159</v>
      </c>
      <c r="L294">
        <v>251200111</v>
      </c>
      <c r="M294" s="84">
        <v>45995</v>
      </c>
      <c r="N294" s="84">
        <v>45995</v>
      </c>
      <c r="O294" t="s">
        <v>160</v>
      </c>
      <c r="P294" t="s">
        <v>161</v>
      </c>
      <c r="Q294">
        <v>5500</v>
      </c>
      <c r="R294">
        <v>10</v>
      </c>
      <c r="S294">
        <v>55000</v>
      </c>
      <c r="T294">
        <v>0</v>
      </c>
      <c r="U294">
        <v>0</v>
      </c>
      <c r="V294">
        <v>10</v>
      </c>
      <c r="W294">
        <v>55000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>
      <c r="A295">
        <v>287</v>
      </c>
      <c r="B295" t="s">
        <v>149</v>
      </c>
      <c r="C295">
        <v>1552</v>
      </c>
      <c r="D295" t="s">
        <v>365</v>
      </c>
      <c r="E295" t="str">
        <f t="shared" si="4"/>
        <v>01552</v>
      </c>
      <c r="F295" t="s">
        <v>91</v>
      </c>
      <c r="G295" t="s">
        <v>202</v>
      </c>
      <c r="H295" t="s">
        <v>157</v>
      </c>
      <c r="I295" t="s">
        <v>4</v>
      </c>
      <c r="J295" t="s">
        <v>152</v>
      </c>
      <c r="K295" t="s">
        <v>159</v>
      </c>
      <c r="L295">
        <v>251200112</v>
      </c>
      <c r="M295" s="84">
        <v>45995</v>
      </c>
      <c r="N295" s="84">
        <v>45995</v>
      </c>
      <c r="O295" t="s">
        <v>160</v>
      </c>
      <c r="P295" t="s">
        <v>161</v>
      </c>
      <c r="Q295">
        <v>5500</v>
      </c>
      <c r="R295">
        <v>20</v>
      </c>
      <c r="S295">
        <v>110000</v>
      </c>
      <c r="T295">
        <v>0</v>
      </c>
      <c r="U295">
        <v>0</v>
      </c>
      <c r="V295">
        <v>20</v>
      </c>
      <c r="W295">
        <v>110000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>
      <c r="A296">
        <v>288</v>
      </c>
      <c r="B296" t="s">
        <v>149</v>
      </c>
      <c r="C296">
        <v>1552</v>
      </c>
      <c r="D296" t="s">
        <v>365</v>
      </c>
      <c r="E296" t="str">
        <f t="shared" si="4"/>
        <v>01552</v>
      </c>
      <c r="F296" t="s">
        <v>91</v>
      </c>
      <c r="G296" t="s">
        <v>202</v>
      </c>
      <c r="H296" t="s">
        <v>157</v>
      </c>
      <c r="I296" t="s">
        <v>5</v>
      </c>
      <c r="J296" t="s">
        <v>152</v>
      </c>
      <c r="K296" t="s">
        <v>159</v>
      </c>
      <c r="L296">
        <v>251200112</v>
      </c>
      <c r="M296" s="84">
        <v>45995</v>
      </c>
      <c r="N296" s="84">
        <v>45995</v>
      </c>
      <c r="O296" t="s">
        <v>191</v>
      </c>
      <c r="P296" t="s">
        <v>192</v>
      </c>
      <c r="Q296">
        <v>4500</v>
      </c>
      <c r="R296">
        <v>20</v>
      </c>
      <c r="S296">
        <v>90000</v>
      </c>
      <c r="T296">
        <v>0</v>
      </c>
      <c r="U296">
        <v>0</v>
      </c>
      <c r="V296">
        <v>20</v>
      </c>
      <c r="W296">
        <v>90000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>
      <c r="A297">
        <v>289</v>
      </c>
      <c r="B297" t="s">
        <v>149</v>
      </c>
      <c r="C297">
        <v>1552</v>
      </c>
      <c r="D297" t="s">
        <v>365</v>
      </c>
      <c r="E297" t="str">
        <f t="shared" si="4"/>
        <v>01552</v>
      </c>
      <c r="F297" t="s">
        <v>91</v>
      </c>
      <c r="G297" t="s">
        <v>202</v>
      </c>
      <c r="H297" t="s">
        <v>157</v>
      </c>
      <c r="I297" t="s">
        <v>5</v>
      </c>
      <c r="J297" t="s">
        <v>152</v>
      </c>
      <c r="K297" t="s">
        <v>159</v>
      </c>
      <c r="L297">
        <v>251200113</v>
      </c>
      <c r="M297" s="84">
        <v>45995</v>
      </c>
      <c r="N297" s="84">
        <v>45995</v>
      </c>
      <c r="O297" t="s">
        <v>191</v>
      </c>
      <c r="P297" t="s">
        <v>192</v>
      </c>
      <c r="Q297">
        <v>4500</v>
      </c>
      <c r="R297">
        <v>12</v>
      </c>
      <c r="S297">
        <v>54000</v>
      </c>
      <c r="T297">
        <v>0</v>
      </c>
      <c r="U297">
        <v>0</v>
      </c>
      <c r="V297">
        <v>12</v>
      </c>
      <c r="W297">
        <v>54000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>
        <v>290</v>
      </c>
      <c r="B298" t="s">
        <v>149</v>
      </c>
      <c r="C298">
        <v>562</v>
      </c>
      <c r="D298" t="s">
        <v>92</v>
      </c>
      <c r="E298" t="str">
        <f t="shared" si="4"/>
        <v>00562</v>
      </c>
      <c r="F298" t="s">
        <v>91</v>
      </c>
      <c r="G298" t="s">
        <v>202</v>
      </c>
      <c r="H298" t="s">
        <v>157</v>
      </c>
      <c r="I298" t="s">
        <v>4</v>
      </c>
      <c r="J298" t="s">
        <v>152</v>
      </c>
      <c r="K298" t="s">
        <v>159</v>
      </c>
      <c r="L298">
        <v>251200114</v>
      </c>
      <c r="M298" s="84">
        <v>45995</v>
      </c>
      <c r="N298" s="84">
        <v>45995</v>
      </c>
      <c r="O298" t="s">
        <v>177</v>
      </c>
      <c r="P298" t="s">
        <v>178</v>
      </c>
      <c r="Q298">
        <v>14250</v>
      </c>
      <c r="R298">
        <v>20</v>
      </c>
      <c r="S298">
        <v>285000</v>
      </c>
      <c r="T298">
        <v>0</v>
      </c>
      <c r="U298">
        <v>0</v>
      </c>
      <c r="V298">
        <v>20</v>
      </c>
      <c r="W298">
        <v>285000</v>
      </c>
      <c r="X298">
        <v>3000</v>
      </c>
      <c r="Y298">
        <v>4000</v>
      </c>
      <c r="Z298">
        <v>0</v>
      </c>
      <c r="AA298">
        <v>0</v>
      </c>
      <c r="AB298">
        <v>0</v>
      </c>
      <c r="AC298">
        <v>7000</v>
      </c>
    </row>
    <row r="299" spans="1:29">
      <c r="A299">
        <v>291</v>
      </c>
      <c r="B299" t="s">
        <v>149</v>
      </c>
      <c r="C299">
        <v>562</v>
      </c>
      <c r="D299" t="s">
        <v>92</v>
      </c>
      <c r="E299" t="str">
        <f t="shared" si="4"/>
        <v>00562</v>
      </c>
      <c r="F299" t="s">
        <v>91</v>
      </c>
      <c r="G299" t="s">
        <v>202</v>
      </c>
      <c r="H299" t="s">
        <v>157</v>
      </c>
      <c r="I299" t="s">
        <v>4</v>
      </c>
      <c r="J299" t="s">
        <v>152</v>
      </c>
      <c r="K299" t="s">
        <v>159</v>
      </c>
      <c r="L299">
        <v>251200114</v>
      </c>
      <c r="M299" s="84">
        <v>45995</v>
      </c>
      <c r="N299" s="84">
        <v>45995</v>
      </c>
      <c r="O299" t="s">
        <v>160</v>
      </c>
      <c r="P299" t="s">
        <v>161</v>
      </c>
      <c r="Q299">
        <v>14250</v>
      </c>
      <c r="R299">
        <v>1</v>
      </c>
      <c r="S299">
        <v>14250</v>
      </c>
      <c r="T299">
        <v>0</v>
      </c>
      <c r="U299">
        <v>0</v>
      </c>
      <c r="V299">
        <v>1</v>
      </c>
      <c r="W299">
        <v>14250</v>
      </c>
      <c r="X299">
        <v>150</v>
      </c>
      <c r="Y299">
        <v>200</v>
      </c>
      <c r="Z299">
        <v>0</v>
      </c>
      <c r="AA299">
        <v>0</v>
      </c>
      <c r="AB299">
        <v>0</v>
      </c>
      <c r="AC299">
        <v>350</v>
      </c>
    </row>
    <row r="300" spans="1:29">
      <c r="A300">
        <v>292</v>
      </c>
      <c r="B300" t="s">
        <v>149</v>
      </c>
      <c r="C300">
        <v>562</v>
      </c>
      <c r="D300" t="s">
        <v>92</v>
      </c>
      <c r="E300" t="str">
        <f t="shared" si="4"/>
        <v>00562</v>
      </c>
      <c r="F300" t="s">
        <v>91</v>
      </c>
      <c r="G300" t="s">
        <v>202</v>
      </c>
      <c r="H300" t="s">
        <v>157</v>
      </c>
      <c r="I300" t="s">
        <v>5</v>
      </c>
      <c r="J300" t="s">
        <v>152</v>
      </c>
      <c r="K300" t="s">
        <v>159</v>
      </c>
      <c r="L300">
        <v>251200114</v>
      </c>
      <c r="M300" s="84">
        <v>45995</v>
      </c>
      <c r="N300" s="84">
        <v>45995</v>
      </c>
      <c r="O300" t="s">
        <v>191</v>
      </c>
      <c r="P300" t="s">
        <v>192</v>
      </c>
      <c r="Q300">
        <v>11700</v>
      </c>
      <c r="R300">
        <v>10</v>
      </c>
      <c r="S300">
        <v>117000</v>
      </c>
      <c r="T300">
        <v>0</v>
      </c>
      <c r="U300">
        <v>0</v>
      </c>
      <c r="V300">
        <v>10</v>
      </c>
      <c r="W300">
        <v>117000</v>
      </c>
      <c r="X300">
        <v>1500</v>
      </c>
      <c r="Y300">
        <v>1500</v>
      </c>
      <c r="Z300">
        <v>0</v>
      </c>
      <c r="AA300">
        <v>0</v>
      </c>
      <c r="AB300">
        <v>0</v>
      </c>
      <c r="AC300">
        <v>3000</v>
      </c>
    </row>
    <row r="301" spans="1:29">
      <c r="A301">
        <v>293</v>
      </c>
      <c r="B301" t="s">
        <v>149</v>
      </c>
      <c r="C301">
        <v>387</v>
      </c>
      <c r="D301" t="s">
        <v>109</v>
      </c>
      <c r="E301" t="str">
        <f t="shared" si="4"/>
        <v>00387</v>
      </c>
      <c r="F301" t="s">
        <v>103</v>
      </c>
      <c r="G301" t="s">
        <v>167</v>
      </c>
      <c r="H301" t="s">
        <v>151</v>
      </c>
      <c r="I301" t="s">
        <v>231</v>
      </c>
      <c r="J301" t="s">
        <v>152</v>
      </c>
      <c r="K301" t="s">
        <v>153</v>
      </c>
      <c r="L301">
        <v>251200115</v>
      </c>
      <c r="M301" s="84">
        <v>45995</v>
      </c>
      <c r="N301" s="84">
        <v>45995</v>
      </c>
      <c r="O301" t="s">
        <v>233</v>
      </c>
      <c r="P301" t="s">
        <v>118</v>
      </c>
      <c r="Q301">
        <v>4486</v>
      </c>
      <c r="R301">
        <v>10</v>
      </c>
      <c r="S301">
        <v>44860</v>
      </c>
      <c r="T301">
        <v>0</v>
      </c>
      <c r="U301">
        <v>0</v>
      </c>
      <c r="V301">
        <v>10</v>
      </c>
      <c r="W301">
        <v>44860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 spans="1:29">
      <c r="A302">
        <v>294</v>
      </c>
      <c r="B302" t="s">
        <v>149</v>
      </c>
      <c r="C302">
        <v>1596</v>
      </c>
      <c r="D302" t="s">
        <v>315</v>
      </c>
      <c r="E302" t="str">
        <f t="shared" si="4"/>
        <v>01596</v>
      </c>
      <c r="F302" t="s">
        <v>111</v>
      </c>
      <c r="G302" t="s">
        <v>150</v>
      </c>
      <c r="H302" t="s">
        <v>151</v>
      </c>
      <c r="I302" t="s">
        <v>4</v>
      </c>
      <c r="J302" t="s">
        <v>152</v>
      </c>
      <c r="K302" t="s">
        <v>153</v>
      </c>
      <c r="L302">
        <v>251200116</v>
      </c>
      <c r="M302" s="84">
        <v>45995</v>
      </c>
      <c r="N302" s="84">
        <v>45995</v>
      </c>
      <c r="O302" t="s">
        <v>294</v>
      </c>
      <c r="P302" t="s">
        <v>295</v>
      </c>
      <c r="Q302">
        <v>5500</v>
      </c>
      <c r="R302">
        <v>30</v>
      </c>
      <c r="S302">
        <v>165000</v>
      </c>
      <c r="T302">
        <v>0</v>
      </c>
      <c r="U302">
        <v>0</v>
      </c>
      <c r="V302">
        <v>30</v>
      </c>
      <c r="W302">
        <v>165000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>
      <c r="A303">
        <v>295</v>
      </c>
      <c r="B303" t="s">
        <v>149</v>
      </c>
      <c r="C303">
        <v>1596</v>
      </c>
      <c r="D303" t="s">
        <v>315</v>
      </c>
      <c r="E303" t="str">
        <f t="shared" si="4"/>
        <v>01596</v>
      </c>
      <c r="F303" t="s">
        <v>111</v>
      </c>
      <c r="G303" t="s">
        <v>150</v>
      </c>
      <c r="H303" t="s">
        <v>151</v>
      </c>
      <c r="I303" t="s">
        <v>4</v>
      </c>
      <c r="J303" t="s">
        <v>152</v>
      </c>
      <c r="K303" t="s">
        <v>153</v>
      </c>
      <c r="L303">
        <v>251200116</v>
      </c>
      <c r="M303" s="84">
        <v>45995</v>
      </c>
      <c r="N303" s="84">
        <v>45995</v>
      </c>
      <c r="O303" t="s">
        <v>357</v>
      </c>
      <c r="P303" t="s">
        <v>358</v>
      </c>
      <c r="Q303">
        <v>5500</v>
      </c>
      <c r="R303">
        <v>3</v>
      </c>
      <c r="S303">
        <v>16500</v>
      </c>
      <c r="T303">
        <v>0</v>
      </c>
      <c r="U303">
        <v>0</v>
      </c>
      <c r="V303">
        <v>3</v>
      </c>
      <c r="W303">
        <v>16500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>
      <c r="A304">
        <v>296</v>
      </c>
      <c r="B304" t="s">
        <v>149</v>
      </c>
      <c r="C304">
        <v>1331</v>
      </c>
      <c r="D304" t="s">
        <v>366</v>
      </c>
      <c r="E304" t="str">
        <f t="shared" si="4"/>
        <v>01331</v>
      </c>
      <c r="F304" t="s">
        <v>28</v>
      </c>
      <c r="G304" t="s">
        <v>164</v>
      </c>
      <c r="H304" t="s">
        <v>151</v>
      </c>
      <c r="I304" t="s">
        <v>5</v>
      </c>
      <c r="J304" t="s">
        <v>152</v>
      </c>
      <c r="K304" t="s">
        <v>153</v>
      </c>
      <c r="L304">
        <v>251200117</v>
      </c>
      <c r="M304" s="84">
        <v>45995</v>
      </c>
      <c r="N304" s="84">
        <v>45995</v>
      </c>
      <c r="O304" t="s">
        <v>260</v>
      </c>
      <c r="P304" t="s">
        <v>261</v>
      </c>
      <c r="Q304">
        <v>4500</v>
      </c>
      <c r="R304">
        <v>1</v>
      </c>
      <c r="S304">
        <v>4500</v>
      </c>
      <c r="T304">
        <v>0</v>
      </c>
      <c r="U304">
        <v>0</v>
      </c>
      <c r="V304">
        <v>1</v>
      </c>
      <c r="W304">
        <v>4500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>
        <v>297</v>
      </c>
      <c r="B305" t="s">
        <v>149</v>
      </c>
      <c r="C305">
        <v>1331</v>
      </c>
      <c r="D305" t="s">
        <v>366</v>
      </c>
      <c r="E305" t="str">
        <f t="shared" si="4"/>
        <v>01331</v>
      </c>
      <c r="F305" t="s">
        <v>28</v>
      </c>
      <c r="G305" t="s">
        <v>164</v>
      </c>
      <c r="H305" t="s">
        <v>151</v>
      </c>
      <c r="I305" t="s">
        <v>5</v>
      </c>
      <c r="J305" t="s">
        <v>152</v>
      </c>
      <c r="K305" t="s">
        <v>153</v>
      </c>
      <c r="L305">
        <v>251200118</v>
      </c>
      <c r="M305" s="84">
        <v>45995</v>
      </c>
      <c r="N305" s="84">
        <v>45995</v>
      </c>
      <c r="O305" t="s">
        <v>279</v>
      </c>
      <c r="P305" t="s">
        <v>280</v>
      </c>
      <c r="Q305">
        <v>4500</v>
      </c>
      <c r="R305">
        <v>80</v>
      </c>
      <c r="S305">
        <v>360000</v>
      </c>
      <c r="T305">
        <v>0</v>
      </c>
      <c r="U305">
        <v>0</v>
      </c>
      <c r="V305">
        <v>80</v>
      </c>
      <c r="W305">
        <v>360000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>
      <c r="A306">
        <v>298</v>
      </c>
      <c r="B306" t="s">
        <v>149</v>
      </c>
      <c r="C306">
        <v>1331</v>
      </c>
      <c r="D306" t="s">
        <v>366</v>
      </c>
      <c r="E306" t="str">
        <f t="shared" si="4"/>
        <v>01331</v>
      </c>
      <c r="F306" t="s">
        <v>28</v>
      </c>
      <c r="G306" t="s">
        <v>164</v>
      </c>
      <c r="H306" t="s">
        <v>151</v>
      </c>
      <c r="I306" t="s">
        <v>5</v>
      </c>
      <c r="J306" t="s">
        <v>152</v>
      </c>
      <c r="K306" t="s">
        <v>153</v>
      </c>
      <c r="L306">
        <v>251200118</v>
      </c>
      <c r="M306" s="84">
        <v>45995</v>
      </c>
      <c r="N306" s="84">
        <v>45995</v>
      </c>
      <c r="O306" t="s">
        <v>260</v>
      </c>
      <c r="P306" t="s">
        <v>261</v>
      </c>
      <c r="Q306">
        <v>4500</v>
      </c>
      <c r="R306">
        <v>7</v>
      </c>
      <c r="S306">
        <v>31500</v>
      </c>
      <c r="T306">
        <v>0</v>
      </c>
      <c r="U306">
        <v>0</v>
      </c>
      <c r="V306">
        <v>7</v>
      </c>
      <c r="W306">
        <v>31500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299</v>
      </c>
      <c r="B307" t="s">
        <v>149</v>
      </c>
      <c r="C307">
        <v>1331</v>
      </c>
      <c r="D307" t="s">
        <v>366</v>
      </c>
      <c r="E307" t="str">
        <f t="shared" si="4"/>
        <v>01331</v>
      </c>
      <c r="F307" t="s">
        <v>28</v>
      </c>
      <c r="G307" t="s">
        <v>164</v>
      </c>
      <c r="H307" t="s">
        <v>151</v>
      </c>
      <c r="I307" t="s">
        <v>5</v>
      </c>
      <c r="J307" t="s">
        <v>152</v>
      </c>
      <c r="K307" t="s">
        <v>153</v>
      </c>
      <c r="L307">
        <v>251200118</v>
      </c>
      <c r="M307" s="84">
        <v>45995</v>
      </c>
      <c r="N307" s="84">
        <v>45995</v>
      </c>
      <c r="O307" t="s">
        <v>297</v>
      </c>
      <c r="P307" t="s">
        <v>298</v>
      </c>
      <c r="Q307">
        <v>4500</v>
      </c>
      <c r="R307">
        <v>20</v>
      </c>
      <c r="S307">
        <v>90000</v>
      </c>
      <c r="T307">
        <v>0</v>
      </c>
      <c r="U307">
        <v>0</v>
      </c>
      <c r="V307">
        <v>20</v>
      </c>
      <c r="W307">
        <v>90000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>
      <c r="A308">
        <v>300</v>
      </c>
      <c r="B308" t="s">
        <v>149</v>
      </c>
      <c r="C308">
        <v>1331</v>
      </c>
      <c r="D308" t="s">
        <v>366</v>
      </c>
      <c r="E308" t="str">
        <f t="shared" si="4"/>
        <v>01331</v>
      </c>
      <c r="F308" t="s">
        <v>28</v>
      </c>
      <c r="G308" t="s">
        <v>164</v>
      </c>
      <c r="H308" t="s">
        <v>151</v>
      </c>
      <c r="I308" t="s">
        <v>5</v>
      </c>
      <c r="J308" t="s">
        <v>152</v>
      </c>
      <c r="K308" t="s">
        <v>153</v>
      </c>
      <c r="L308">
        <v>251200118</v>
      </c>
      <c r="M308" s="84">
        <v>45995</v>
      </c>
      <c r="N308" s="84">
        <v>45995</v>
      </c>
      <c r="O308" t="s">
        <v>191</v>
      </c>
      <c r="P308" t="s">
        <v>192</v>
      </c>
      <c r="Q308">
        <v>4500</v>
      </c>
      <c r="R308">
        <v>40</v>
      </c>
      <c r="S308">
        <v>180000</v>
      </c>
      <c r="T308">
        <v>0</v>
      </c>
      <c r="U308">
        <v>0</v>
      </c>
      <c r="V308">
        <v>40</v>
      </c>
      <c r="W308">
        <v>180000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>
      <c r="A309">
        <v>301</v>
      </c>
      <c r="B309" t="s">
        <v>149</v>
      </c>
      <c r="C309">
        <v>1404</v>
      </c>
      <c r="D309" t="s">
        <v>113</v>
      </c>
      <c r="E309" t="str">
        <f t="shared" si="4"/>
        <v>01404</v>
      </c>
      <c r="F309" t="s">
        <v>111</v>
      </c>
      <c r="G309" t="s">
        <v>150</v>
      </c>
      <c r="H309" t="s">
        <v>151</v>
      </c>
      <c r="I309" t="s">
        <v>4</v>
      </c>
      <c r="J309" t="s">
        <v>152</v>
      </c>
      <c r="K309" t="s">
        <v>153</v>
      </c>
      <c r="L309">
        <v>251200119</v>
      </c>
      <c r="M309" s="84">
        <v>45997</v>
      </c>
      <c r="N309" s="84">
        <v>45997</v>
      </c>
      <c r="O309" t="s">
        <v>154</v>
      </c>
      <c r="P309" t="s">
        <v>155</v>
      </c>
      <c r="Q309">
        <v>14250</v>
      </c>
      <c r="R309">
        <v>10</v>
      </c>
      <c r="S309">
        <v>142500</v>
      </c>
      <c r="T309">
        <v>0</v>
      </c>
      <c r="U309">
        <v>0</v>
      </c>
      <c r="V309">
        <v>10</v>
      </c>
      <c r="W309">
        <v>142500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>
      <c r="A310">
        <v>302</v>
      </c>
      <c r="B310" t="s">
        <v>149</v>
      </c>
      <c r="C310">
        <v>1519</v>
      </c>
      <c r="D310" t="s">
        <v>353</v>
      </c>
      <c r="E310" t="str">
        <f t="shared" si="4"/>
        <v>01519</v>
      </c>
      <c r="F310" t="s">
        <v>111</v>
      </c>
      <c r="G310" t="s">
        <v>150</v>
      </c>
      <c r="H310" t="s">
        <v>151</v>
      </c>
      <c r="I310" t="s">
        <v>4</v>
      </c>
      <c r="J310" t="s">
        <v>152</v>
      </c>
      <c r="K310" t="s">
        <v>153</v>
      </c>
      <c r="L310">
        <v>251200120</v>
      </c>
      <c r="M310" s="84">
        <v>45997</v>
      </c>
      <c r="N310" s="84">
        <v>45997</v>
      </c>
      <c r="O310" t="s">
        <v>160</v>
      </c>
      <c r="P310" t="s">
        <v>161</v>
      </c>
      <c r="Q310">
        <v>5500</v>
      </c>
      <c r="R310">
        <v>12</v>
      </c>
      <c r="S310">
        <v>66000</v>
      </c>
      <c r="T310">
        <v>0</v>
      </c>
      <c r="U310">
        <v>0</v>
      </c>
      <c r="V310">
        <v>12</v>
      </c>
      <c r="W310">
        <v>66000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>
        <v>303</v>
      </c>
      <c r="B311" t="s">
        <v>149</v>
      </c>
      <c r="C311">
        <v>1551</v>
      </c>
      <c r="D311" t="s">
        <v>316</v>
      </c>
      <c r="E311" t="str">
        <f t="shared" si="4"/>
        <v>01551</v>
      </c>
      <c r="F311" t="s">
        <v>111</v>
      </c>
      <c r="G311" t="s">
        <v>150</v>
      </c>
      <c r="H311" t="s">
        <v>151</v>
      </c>
      <c r="I311" t="s">
        <v>4</v>
      </c>
      <c r="J311" t="s">
        <v>152</v>
      </c>
      <c r="K311" t="s">
        <v>153</v>
      </c>
      <c r="L311">
        <v>251200121</v>
      </c>
      <c r="M311" s="84">
        <v>45997</v>
      </c>
      <c r="N311" s="84">
        <v>45997</v>
      </c>
      <c r="O311" t="s">
        <v>160</v>
      </c>
      <c r="P311" t="s">
        <v>161</v>
      </c>
      <c r="Q311">
        <v>5500</v>
      </c>
      <c r="R311">
        <v>12</v>
      </c>
      <c r="S311">
        <v>66000</v>
      </c>
      <c r="T311">
        <v>0</v>
      </c>
      <c r="U311">
        <v>0</v>
      </c>
      <c r="V311">
        <v>12</v>
      </c>
      <c r="W311">
        <v>66000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304</v>
      </c>
      <c r="B312" t="s">
        <v>149</v>
      </c>
      <c r="C312">
        <v>1551</v>
      </c>
      <c r="D312" t="s">
        <v>316</v>
      </c>
      <c r="E312" t="str">
        <f t="shared" si="4"/>
        <v>01551</v>
      </c>
      <c r="F312" t="s">
        <v>111</v>
      </c>
      <c r="G312" t="s">
        <v>150</v>
      </c>
      <c r="H312" t="s">
        <v>151</v>
      </c>
      <c r="I312" t="s">
        <v>5</v>
      </c>
      <c r="J312" t="s">
        <v>152</v>
      </c>
      <c r="K312" t="s">
        <v>153</v>
      </c>
      <c r="L312">
        <v>251200121</v>
      </c>
      <c r="M312" s="84">
        <v>45997</v>
      </c>
      <c r="N312" s="84">
        <v>45997</v>
      </c>
      <c r="O312" t="s">
        <v>271</v>
      </c>
      <c r="P312" t="s">
        <v>272</v>
      </c>
      <c r="Q312">
        <v>4500</v>
      </c>
      <c r="R312">
        <v>8</v>
      </c>
      <c r="S312">
        <v>36000</v>
      </c>
      <c r="T312">
        <v>0</v>
      </c>
      <c r="U312">
        <v>0</v>
      </c>
      <c r="V312">
        <v>8</v>
      </c>
      <c r="W312">
        <v>36000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>
      <c r="A313">
        <v>305</v>
      </c>
      <c r="B313" t="s">
        <v>149</v>
      </c>
      <c r="C313">
        <v>1551</v>
      </c>
      <c r="D313" t="s">
        <v>316</v>
      </c>
      <c r="E313" t="str">
        <f t="shared" si="4"/>
        <v>01551</v>
      </c>
      <c r="F313" t="s">
        <v>111</v>
      </c>
      <c r="G313" t="s">
        <v>150</v>
      </c>
      <c r="H313" t="s">
        <v>151</v>
      </c>
      <c r="I313" t="s">
        <v>4</v>
      </c>
      <c r="J313" t="s">
        <v>152</v>
      </c>
      <c r="K313" t="s">
        <v>153</v>
      </c>
      <c r="L313">
        <v>251200121</v>
      </c>
      <c r="M313" s="84">
        <v>45997</v>
      </c>
      <c r="N313" s="84">
        <v>45997</v>
      </c>
      <c r="O313" t="s">
        <v>219</v>
      </c>
      <c r="P313" t="s">
        <v>220</v>
      </c>
      <c r="Q313">
        <v>5500</v>
      </c>
      <c r="R313">
        <v>4</v>
      </c>
      <c r="S313">
        <v>22000</v>
      </c>
      <c r="T313">
        <v>0</v>
      </c>
      <c r="U313">
        <v>0</v>
      </c>
      <c r="V313">
        <v>4</v>
      </c>
      <c r="W313">
        <v>22000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>
      <c r="A314">
        <v>306</v>
      </c>
      <c r="B314" t="s">
        <v>149</v>
      </c>
      <c r="C314">
        <v>1551</v>
      </c>
      <c r="D314" t="s">
        <v>316</v>
      </c>
      <c r="E314" t="str">
        <f t="shared" si="4"/>
        <v>01551</v>
      </c>
      <c r="F314" t="s">
        <v>111</v>
      </c>
      <c r="G314" t="s">
        <v>150</v>
      </c>
      <c r="H314" t="s">
        <v>151</v>
      </c>
      <c r="I314" t="s">
        <v>5</v>
      </c>
      <c r="J314" t="s">
        <v>152</v>
      </c>
      <c r="K314" t="s">
        <v>153</v>
      </c>
      <c r="L314">
        <v>251200122</v>
      </c>
      <c r="M314" s="84">
        <v>45997</v>
      </c>
      <c r="N314" s="84">
        <v>45997</v>
      </c>
      <c r="O314" t="s">
        <v>191</v>
      </c>
      <c r="P314" t="s">
        <v>192</v>
      </c>
      <c r="Q314">
        <v>4500</v>
      </c>
      <c r="R314">
        <v>20</v>
      </c>
      <c r="S314">
        <v>90000</v>
      </c>
      <c r="T314">
        <v>0</v>
      </c>
      <c r="U314">
        <v>0</v>
      </c>
      <c r="V314">
        <v>20</v>
      </c>
      <c r="W314">
        <v>90000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>
      <c r="A315">
        <v>307</v>
      </c>
      <c r="B315" t="s">
        <v>149</v>
      </c>
      <c r="C315">
        <v>1288</v>
      </c>
      <c r="D315" t="s">
        <v>367</v>
      </c>
      <c r="E315" t="str">
        <f t="shared" si="4"/>
        <v>01288</v>
      </c>
      <c r="F315" t="s">
        <v>43</v>
      </c>
      <c r="G315" t="s">
        <v>150</v>
      </c>
      <c r="H315" t="s">
        <v>151</v>
      </c>
      <c r="I315" t="s">
        <v>4</v>
      </c>
      <c r="J315" t="s">
        <v>152</v>
      </c>
      <c r="K315" t="s">
        <v>153</v>
      </c>
      <c r="L315">
        <v>251200123</v>
      </c>
      <c r="M315" s="84">
        <v>45997</v>
      </c>
      <c r="N315" s="84">
        <v>45997</v>
      </c>
      <c r="O315" t="s">
        <v>206</v>
      </c>
      <c r="P315" t="s">
        <v>207</v>
      </c>
      <c r="Q315">
        <v>5500</v>
      </c>
      <c r="R315">
        <v>10</v>
      </c>
      <c r="S315">
        <v>55000</v>
      </c>
      <c r="T315">
        <v>0</v>
      </c>
      <c r="U315">
        <v>0</v>
      </c>
      <c r="V315">
        <v>10</v>
      </c>
      <c r="W315">
        <v>55000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>
        <v>308</v>
      </c>
      <c r="B316" t="s">
        <v>149</v>
      </c>
      <c r="C316">
        <v>1288</v>
      </c>
      <c r="D316" t="s">
        <v>367</v>
      </c>
      <c r="E316" t="str">
        <f t="shared" si="4"/>
        <v>01288</v>
      </c>
      <c r="F316" t="s">
        <v>43</v>
      </c>
      <c r="G316" t="s">
        <v>150</v>
      </c>
      <c r="H316" t="s">
        <v>151</v>
      </c>
      <c r="I316" t="s">
        <v>4</v>
      </c>
      <c r="J316" t="s">
        <v>152</v>
      </c>
      <c r="K316" t="s">
        <v>153</v>
      </c>
      <c r="L316">
        <v>251200123</v>
      </c>
      <c r="M316" s="84">
        <v>45997</v>
      </c>
      <c r="N316" s="84">
        <v>45997</v>
      </c>
      <c r="O316" t="s">
        <v>177</v>
      </c>
      <c r="P316" t="s">
        <v>178</v>
      </c>
      <c r="Q316">
        <v>5500</v>
      </c>
      <c r="R316">
        <v>10</v>
      </c>
      <c r="S316">
        <v>55000</v>
      </c>
      <c r="T316">
        <v>0</v>
      </c>
      <c r="U316">
        <v>0</v>
      </c>
      <c r="V316">
        <v>10</v>
      </c>
      <c r="W316">
        <v>55000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>
      <c r="A317">
        <v>309</v>
      </c>
      <c r="B317" t="s">
        <v>149</v>
      </c>
      <c r="C317">
        <v>1288</v>
      </c>
      <c r="D317" t="s">
        <v>367</v>
      </c>
      <c r="E317" t="str">
        <f t="shared" si="4"/>
        <v>01288</v>
      </c>
      <c r="F317" t="s">
        <v>43</v>
      </c>
      <c r="G317" t="s">
        <v>150</v>
      </c>
      <c r="H317" t="s">
        <v>151</v>
      </c>
      <c r="I317" t="s">
        <v>4</v>
      </c>
      <c r="J317" t="s">
        <v>152</v>
      </c>
      <c r="K317" t="s">
        <v>153</v>
      </c>
      <c r="L317">
        <v>251200123</v>
      </c>
      <c r="M317" s="84">
        <v>45997</v>
      </c>
      <c r="N317" s="84">
        <v>45997</v>
      </c>
      <c r="O317" t="s">
        <v>160</v>
      </c>
      <c r="P317" t="s">
        <v>161</v>
      </c>
      <c r="Q317">
        <v>5500</v>
      </c>
      <c r="R317">
        <v>10</v>
      </c>
      <c r="S317">
        <v>55000</v>
      </c>
      <c r="T317">
        <v>0</v>
      </c>
      <c r="U317">
        <v>0</v>
      </c>
      <c r="V317">
        <v>10</v>
      </c>
      <c r="W317">
        <v>55000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>
      <c r="A318">
        <v>310</v>
      </c>
      <c r="B318" t="s">
        <v>149</v>
      </c>
      <c r="C318">
        <v>337</v>
      </c>
      <c r="D318" t="s">
        <v>57</v>
      </c>
      <c r="E318" t="str">
        <f t="shared" si="4"/>
        <v>00337</v>
      </c>
      <c r="F318" t="s">
        <v>49</v>
      </c>
      <c r="G318" t="s">
        <v>167</v>
      </c>
      <c r="H318" t="s">
        <v>151</v>
      </c>
      <c r="I318" t="s">
        <v>4</v>
      </c>
      <c r="J318" t="s">
        <v>152</v>
      </c>
      <c r="K318" t="s">
        <v>153</v>
      </c>
      <c r="L318">
        <v>251200124</v>
      </c>
      <c r="M318" s="84">
        <v>45997</v>
      </c>
      <c r="N318" s="84">
        <v>45997</v>
      </c>
      <c r="O318" t="s">
        <v>160</v>
      </c>
      <c r="P318" t="s">
        <v>161</v>
      </c>
      <c r="Q318">
        <v>14250</v>
      </c>
      <c r="R318">
        <v>15</v>
      </c>
      <c r="S318">
        <v>213750</v>
      </c>
      <c r="T318">
        <v>0</v>
      </c>
      <c r="U318">
        <v>0</v>
      </c>
      <c r="V318">
        <v>15</v>
      </c>
      <c r="W318">
        <v>213750</v>
      </c>
      <c r="X318">
        <v>2250</v>
      </c>
      <c r="Y318">
        <v>3000</v>
      </c>
      <c r="Z318">
        <v>0</v>
      </c>
      <c r="AA318">
        <v>0</v>
      </c>
      <c r="AB318">
        <v>0</v>
      </c>
      <c r="AC318">
        <v>5250</v>
      </c>
    </row>
    <row r="319" spans="1:29">
      <c r="A319">
        <v>311</v>
      </c>
      <c r="B319" t="s">
        <v>149</v>
      </c>
      <c r="C319">
        <v>337</v>
      </c>
      <c r="D319" t="s">
        <v>57</v>
      </c>
      <c r="E319" t="str">
        <f t="shared" si="4"/>
        <v>00337</v>
      </c>
      <c r="F319" t="s">
        <v>49</v>
      </c>
      <c r="G319" t="s">
        <v>167</v>
      </c>
      <c r="H319" t="s">
        <v>151</v>
      </c>
      <c r="I319" t="s">
        <v>4</v>
      </c>
      <c r="J319" t="s">
        <v>152</v>
      </c>
      <c r="K319" t="s">
        <v>153</v>
      </c>
      <c r="L319">
        <v>251200124</v>
      </c>
      <c r="M319" s="84">
        <v>45997</v>
      </c>
      <c r="N319" s="84">
        <v>45997</v>
      </c>
      <c r="O319" t="s">
        <v>206</v>
      </c>
      <c r="P319" t="s">
        <v>207</v>
      </c>
      <c r="Q319">
        <v>14250</v>
      </c>
      <c r="R319">
        <v>5</v>
      </c>
      <c r="S319">
        <v>71250</v>
      </c>
      <c r="T319">
        <v>0</v>
      </c>
      <c r="U319">
        <v>0</v>
      </c>
      <c r="V319">
        <v>5</v>
      </c>
      <c r="W319">
        <v>71250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>
        <v>312</v>
      </c>
      <c r="B320" t="s">
        <v>149</v>
      </c>
      <c r="C320">
        <v>337</v>
      </c>
      <c r="D320" t="s">
        <v>57</v>
      </c>
      <c r="E320" t="str">
        <f t="shared" si="4"/>
        <v>00337</v>
      </c>
      <c r="F320" t="s">
        <v>49</v>
      </c>
      <c r="G320" t="s">
        <v>167</v>
      </c>
      <c r="H320" t="s">
        <v>151</v>
      </c>
      <c r="I320" t="s">
        <v>4</v>
      </c>
      <c r="J320" t="s">
        <v>152</v>
      </c>
      <c r="K320" t="s">
        <v>153</v>
      </c>
      <c r="L320">
        <v>251200124</v>
      </c>
      <c r="M320" s="84">
        <v>45997</v>
      </c>
      <c r="N320" s="84">
        <v>45997</v>
      </c>
      <c r="O320" t="s">
        <v>219</v>
      </c>
      <c r="P320" t="s">
        <v>220</v>
      </c>
      <c r="Q320">
        <v>14250</v>
      </c>
      <c r="R320">
        <v>20</v>
      </c>
      <c r="S320">
        <v>285000</v>
      </c>
      <c r="T320">
        <v>0</v>
      </c>
      <c r="U320">
        <v>0</v>
      </c>
      <c r="V320">
        <v>20</v>
      </c>
      <c r="W320">
        <v>285000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313</v>
      </c>
      <c r="B321" t="s">
        <v>149</v>
      </c>
      <c r="C321">
        <v>1444</v>
      </c>
      <c r="D321" t="s">
        <v>341</v>
      </c>
      <c r="E321" t="str">
        <f t="shared" si="4"/>
        <v>01444</v>
      </c>
      <c r="F321" t="s">
        <v>28</v>
      </c>
      <c r="G321" t="s">
        <v>164</v>
      </c>
      <c r="H321" t="s">
        <v>151</v>
      </c>
      <c r="I321" t="s">
        <v>5</v>
      </c>
      <c r="J321" t="s">
        <v>152</v>
      </c>
      <c r="K321" t="s">
        <v>153</v>
      </c>
      <c r="L321">
        <v>251200125</v>
      </c>
      <c r="M321" s="84">
        <v>45997</v>
      </c>
      <c r="N321" s="84">
        <v>45997</v>
      </c>
      <c r="O321" t="s">
        <v>191</v>
      </c>
      <c r="P321" t="s">
        <v>192</v>
      </c>
      <c r="Q321">
        <v>4500</v>
      </c>
      <c r="R321">
        <v>20</v>
      </c>
      <c r="S321">
        <v>90000</v>
      </c>
      <c r="T321">
        <v>0</v>
      </c>
      <c r="U321">
        <v>0</v>
      </c>
      <c r="V321">
        <v>20</v>
      </c>
      <c r="W321">
        <v>90000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>
        <v>314</v>
      </c>
      <c r="B322" t="s">
        <v>149</v>
      </c>
      <c r="C322">
        <v>1401</v>
      </c>
      <c r="D322" t="s">
        <v>29</v>
      </c>
      <c r="E322" t="str">
        <f t="shared" si="4"/>
        <v>01401</v>
      </c>
      <c r="F322" t="s">
        <v>28</v>
      </c>
      <c r="G322" t="s">
        <v>164</v>
      </c>
      <c r="H322" t="s">
        <v>151</v>
      </c>
      <c r="I322" t="s">
        <v>5</v>
      </c>
      <c r="J322" t="s">
        <v>152</v>
      </c>
      <c r="K322" t="s">
        <v>153</v>
      </c>
      <c r="L322">
        <v>251200126</v>
      </c>
      <c r="M322" s="84">
        <v>45997</v>
      </c>
      <c r="N322" s="84">
        <v>45997</v>
      </c>
      <c r="O322" t="s">
        <v>196</v>
      </c>
      <c r="P322" t="s">
        <v>197</v>
      </c>
      <c r="Q322">
        <v>11700</v>
      </c>
      <c r="R322">
        <v>8</v>
      </c>
      <c r="S322">
        <v>93600</v>
      </c>
      <c r="T322">
        <v>0</v>
      </c>
      <c r="U322">
        <v>0</v>
      </c>
      <c r="V322">
        <v>8</v>
      </c>
      <c r="W322">
        <v>93600</v>
      </c>
      <c r="X322">
        <v>1200</v>
      </c>
      <c r="Y322">
        <v>1200</v>
      </c>
      <c r="Z322">
        <v>0</v>
      </c>
      <c r="AA322">
        <v>0</v>
      </c>
      <c r="AB322">
        <v>0</v>
      </c>
      <c r="AC322">
        <v>2400</v>
      </c>
    </row>
    <row r="323" spans="1:29">
      <c r="A323">
        <v>315</v>
      </c>
      <c r="B323" t="s">
        <v>149</v>
      </c>
      <c r="C323">
        <v>1401</v>
      </c>
      <c r="D323" t="s">
        <v>29</v>
      </c>
      <c r="E323" t="str">
        <f t="shared" si="4"/>
        <v>01401</v>
      </c>
      <c r="F323" t="s">
        <v>28</v>
      </c>
      <c r="G323" t="s">
        <v>164</v>
      </c>
      <c r="H323" t="s">
        <v>151</v>
      </c>
      <c r="I323" t="s">
        <v>5</v>
      </c>
      <c r="J323" t="s">
        <v>152</v>
      </c>
      <c r="K323" t="s">
        <v>153</v>
      </c>
      <c r="L323">
        <v>251200126</v>
      </c>
      <c r="M323" s="84">
        <v>45997</v>
      </c>
      <c r="N323" s="84">
        <v>45997</v>
      </c>
      <c r="O323" t="s">
        <v>191</v>
      </c>
      <c r="P323" t="s">
        <v>192</v>
      </c>
      <c r="Q323">
        <v>11700</v>
      </c>
      <c r="R323">
        <v>32</v>
      </c>
      <c r="S323">
        <v>374400</v>
      </c>
      <c r="T323">
        <v>0</v>
      </c>
      <c r="U323">
        <v>0</v>
      </c>
      <c r="V323">
        <v>32</v>
      </c>
      <c r="W323">
        <v>374400</v>
      </c>
      <c r="X323">
        <v>4800</v>
      </c>
      <c r="Y323">
        <v>4800</v>
      </c>
      <c r="Z323">
        <v>0</v>
      </c>
      <c r="AA323">
        <v>0</v>
      </c>
      <c r="AB323">
        <v>0</v>
      </c>
      <c r="AC323">
        <v>9600</v>
      </c>
    </row>
    <row r="324" spans="1:29">
      <c r="A324">
        <v>316</v>
      </c>
      <c r="B324" t="s">
        <v>149</v>
      </c>
      <c r="C324">
        <v>1401</v>
      </c>
      <c r="D324" t="s">
        <v>29</v>
      </c>
      <c r="E324" t="str">
        <f t="shared" si="4"/>
        <v>01401</v>
      </c>
      <c r="F324" t="s">
        <v>28</v>
      </c>
      <c r="G324" t="s">
        <v>164</v>
      </c>
      <c r="H324" t="s">
        <v>151</v>
      </c>
      <c r="I324" t="s">
        <v>4</v>
      </c>
      <c r="J324" t="s">
        <v>152</v>
      </c>
      <c r="K324" t="s">
        <v>153</v>
      </c>
      <c r="L324">
        <v>251200126</v>
      </c>
      <c r="M324" s="84">
        <v>45997</v>
      </c>
      <c r="N324" s="84">
        <v>45997</v>
      </c>
      <c r="O324" t="s">
        <v>160</v>
      </c>
      <c r="P324" t="s">
        <v>161</v>
      </c>
      <c r="Q324">
        <v>14250</v>
      </c>
      <c r="R324">
        <v>24</v>
      </c>
      <c r="S324">
        <v>342000</v>
      </c>
      <c r="T324">
        <v>0</v>
      </c>
      <c r="U324">
        <v>0</v>
      </c>
      <c r="V324">
        <v>24</v>
      </c>
      <c r="W324">
        <v>342000</v>
      </c>
      <c r="X324">
        <v>3600</v>
      </c>
      <c r="Y324">
        <v>4800</v>
      </c>
      <c r="Z324">
        <v>0</v>
      </c>
      <c r="AA324">
        <v>0</v>
      </c>
      <c r="AB324">
        <v>0</v>
      </c>
      <c r="AC324">
        <v>8400</v>
      </c>
    </row>
    <row r="325" spans="1:29">
      <c r="A325">
        <v>317</v>
      </c>
      <c r="B325" t="s">
        <v>149</v>
      </c>
      <c r="C325">
        <v>1331</v>
      </c>
      <c r="D325" t="s">
        <v>366</v>
      </c>
      <c r="E325" t="str">
        <f t="shared" si="4"/>
        <v>01331</v>
      </c>
      <c r="F325" t="s">
        <v>28</v>
      </c>
      <c r="G325" t="s">
        <v>164</v>
      </c>
      <c r="H325" t="s">
        <v>151</v>
      </c>
      <c r="I325" t="s">
        <v>5</v>
      </c>
      <c r="J325" t="s">
        <v>152</v>
      </c>
      <c r="K325" t="s">
        <v>153</v>
      </c>
      <c r="L325">
        <v>251200127</v>
      </c>
      <c r="M325" s="84">
        <v>45997</v>
      </c>
      <c r="N325" s="84">
        <v>45997</v>
      </c>
      <c r="O325" t="s">
        <v>191</v>
      </c>
      <c r="P325" t="s">
        <v>192</v>
      </c>
      <c r="Q325">
        <v>4500</v>
      </c>
      <c r="R325">
        <v>40</v>
      </c>
      <c r="S325">
        <v>180000</v>
      </c>
      <c r="T325">
        <v>0</v>
      </c>
      <c r="U325">
        <v>0</v>
      </c>
      <c r="V325">
        <v>40</v>
      </c>
      <c r="W325">
        <v>180000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318</v>
      </c>
      <c r="B326" t="s">
        <v>149</v>
      </c>
      <c r="C326">
        <v>1308</v>
      </c>
      <c r="D326" t="s">
        <v>368</v>
      </c>
      <c r="E326" t="str">
        <f t="shared" si="4"/>
        <v>01308</v>
      </c>
      <c r="F326" t="s">
        <v>49</v>
      </c>
      <c r="G326" t="s">
        <v>167</v>
      </c>
      <c r="H326" t="s">
        <v>151</v>
      </c>
      <c r="I326" t="s">
        <v>5</v>
      </c>
      <c r="J326" t="s">
        <v>152</v>
      </c>
      <c r="K326" t="s">
        <v>153</v>
      </c>
      <c r="L326">
        <v>251200128</v>
      </c>
      <c r="M326" s="84">
        <v>45997</v>
      </c>
      <c r="N326" s="84">
        <v>45997</v>
      </c>
      <c r="O326" t="s">
        <v>191</v>
      </c>
      <c r="P326" t="s">
        <v>192</v>
      </c>
      <c r="Q326">
        <v>4500</v>
      </c>
      <c r="R326">
        <v>12</v>
      </c>
      <c r="S326">
        <v>54000</v>
      </c>
      <c r="T326">
        <v>0</v>
      </c>
      <c r="U326">
        <v>0</v>
      </c>
      <c r="V326">
        <v>12</v>
      </c>
      <c r="W326">
        <v>54000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319</v>
      </c>
      <c r="B327" t="s">
        <v>149</v>
      </c>
      <c r="C327">
        <v>334</v>
      </c>
      <c r="D327" t="s">
        <v>56</v>
      </c>
      <c r="E327" t="str">
        <f t="shared" si="4"/>
        <v>00334</v>
      </c>
      <c r="F327" t="s">
        <v>49</v>
      </c>
      <c r="G327" t="s">
        <v>167</v>
      </c>
      <c r="H327" t="s">
        <v>151</v>
      </c>
      <c r="I327" t="s">
        <v>231</v>
      </c>
      <c r="J327" t="s">
        <v>152</v>
      </c>
      <c r="K327" t="s">
        <v>153</v>
      </c>
      <c r="L327">
        <v>251200129</v>
      </c>
      <c r="M327" s="84">
        <v>45997</v>
      </c>
      <c r="N327" s="84">
        <v>45997</v>
      </c>
      <c r="O327" t="s">
        <v>232</v>
      </c>
      <c r="P327" t="s">
        <v>122</v>
      </c>
      <c r="Q327">
        <v>6213</v>
      </c>
      <c r="R327">
        <v>2</v>
      </c>
      <c r="S327">
        <v>12426</v>
      </c>
      <c r="T327">
        <v>0</v>
      </c>
      <c r="U327">
        <v>0</v>
      </c>
      <c r="V327">
        <v>2</v>
      </c>
      <c r="W327">
        <v>12426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320</v>
      </c>
      <c r="B328" t="s">
        <v>149</v>
      </c>
      <c r="C328">
        <v>334</v>
      </c>
      <c r="D328" t="s">
        <v>56</v>
      </c>
      <c r="E328" t="str">
        <f t="shared" si="4"/>
        <v>00334</v>
      </c>
      <c r="F328" t="s">
        <v>49</v>
      </c>
      <c r="G328" t="s">
        <v>167</v>
      </c>
      <c r="H328" t="s">
        <v>151</v>
      </c>
      <c r="I328" t="s">
        <v>4</v>
      </c>
      <c r="J328" t="s">
        <v>152</v>
      </c>
      <c r="K328" t="s">
        <v>153</v>
      </c>
      <c r="L328">
        <v>251200129</v>
      </c>
      <c r="M328" s="84">
        <v>45997</v>
      </c>
      <c r="N328" s="84">
        <v>45997</v>
      </c>
      <c r="O328" t="s">
        <v>160</v>
      </c>
      <c r="P328" t="s">
        <v>161</v>
      </c>
      <c r="Q328">
        <v>14250</v>
      </c>
      <c r="R328">
        <v>10</v>
      </c>
      <c r="S328">
        <v>142500</v>
      </c>
      <c r="T328">
        <v>0</v>
      </c>
      <c r="U328">
        <v>0</v>
      </c>
      <c r="V328">
        <v>10</v>
      </c>
      <c r="W328">
        <v>142500</v>
      </c>
      <c r="X328">
        <v>1500</v>
      </c>
      <c r="Y328">
        <v>2000</v>
      </c>
      <c r="Z328">
        <v>0</v>
      </c>
      <c r="AA328">
        <v>0</v>
      </c>
      <c r="AB328">
        <v>0</v>
      </c>
      <c r="AC328">
        <v>3500</v>
      </c>
    </row>
    <row r="329" spans="1:29">
      <c r="A329">
        <v>321</v>
      </c>
      <c r="B329" t="s">
        <v>149</v>
      </c>
      <c r="C329">
        <v>471</v>
      </c>
      <c r="D329" t="s">
        <v>25</v>
      </c>
      <c r="E329" t="str">
        <f t="shared" ref="E329:E392" si="5">TEXT(C329,"00000")</f>
        <v>00471</v>
      </c>
      <c r="F329" t="s">
        <v>20</v>
      </c>
      <c r="G329" t="s">
        <v>193</v>
      </c>
      <c r="H329" t="s">
        <v>151</v>
      </c>
      <c r="I329" t="s">
        <v>4</v>
      </c>
      <c r="J329" t="s">
        <v>152</v>
      </c>
      <c r="K329" t="s">
        <v>236</v>
      </c>
      <c r="L329">
        <v>251200130</v>
      </c>
      <c r="M329" s="84">
        <v>45997</v>
      </c>
      <c r="N329" s="84">
        <v>45997</v>
      </c>
      <c r="O329" t="s">
        <v>162</v>
      </c>
      <c r="P329" t="s">
        <v>163</v>
      </c>
      <c r="Q329">
        <v>14250</v>
      </c>
      <c r="R329">
        <v>10</v>
      </c>
      <c r="S329">
        <v>142500</v>
      </c>
      <c r="T329">
        <v>0</v>
      </c>
      <c r="U329">
        <v>0</v>
      </c>
      <c r="V329">
        <v>10</v>
      </c>
      <c r="W329">
        <v>142500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322</v>
      </c>
      <c r="B330" t="s">
        <v>149</v>
      </c>
      <c r="C330">
        <v>471</v>
      </c>
      <c r="D330" t="s">
        <v>25</v>
      </c>
      <c r="E330" t="str">
        <f t="shared" si="5"/>
        <v>00471</v>
      </c>
      <c r="F330" t="s">
        <v>20</v>
      </c>
      <c r="G330" t="s">
        <v>193</v>
      </c>
      <c r="H330" t="s">
        <v>151</v>
      </c>
      <c r="I330" t="s">
        <v>4</v>
      </c>
      <c r="J330" t="s">
        <v>152</v>
      </c>
      <c r="K330" t="s">
        <v>236</v>
      </c>
      <c r="L330">
        <v>251200130</v>
      </c>
      <c r="M330" s="84">
        <v>45997</v>
      </c>
      <c r="N330" s="84">
        <v>45997</v>
      </c>
      <c r="O330" t="s">
        <v>160</v>
      </c>
      <c r="P330" t="s">
        <v>161</v>
      </c>
      <c r="Q330">
        <v>14250</v>
      </c>
      <c r="R330">
        <v>5</v>
      </c>
      <c r="S330">
        <v>71250</v>
      </c>
      <c r="T330">
        <v>0</v>
      </c>
      <c r="U330">
        <v>0</v>
      </c>
      <c r="V330">
        <v>5</v>
      </c>
      <c r="W330">
        <v>71250</v>
      </c>
      <c r="X330">
        <v>750</v>
      </c>
      <c r="Y330">
        <v>1000</v>
      </c>
      <c r="Z330">
        <v>0</v>
      </c>
      <c r="AA330">
        <v>0</v>
      </c>
      <c r="AB330">
        <v>0</v>
      </c>
      <c r="AC330">
        <v>1750</v>
      </c>
    </row>
    <row r="331" spans="1:29">
      <c r="A331">
        <v>323</v>
      </c>
      <c r="B331" t="s">
        <v>149</v>
      </c>
      <c r="C331">
        <v>471</v>
      </c>
      <c r="D331" t="s">
        <v>25</v>
      </c>
      <c r="E331" t="str">
        <f t="shared" si="5"/>
        <v>00471</v>
      </c>
      <c r="F331" t="s">
        <v>20</v>
      </c>
      <c r="G331" t="s">
        <v>193</v>
      </c>
      <c r="H331" t="s">
        <v>151</v>
      </c>
      <c r="I331" t="s">
        <v>5</v>
      </c>
      <c r="J331" t="s">
        <v>152</v>
      </c>
      <c r="K331" t="s">
        <v>236</v>
      </c>
      <c r="L331">
        <v>251200130</v>
      </c>
      <c r="M331" s="84">
        <v>45997</v>
      </c>
      <c r="N331" s="84">
        <v>45997</v>
      </c>
      <c r="O331" t="s">
        <v>191</v>
      </c>
      <c r="P331" t="s">
        <v>192</v>
      </c>
      <c r="Q331">
        <v>11700</v>
      </c>
      <c r="R331">
        <v>12</v>
      </c>
      <c r="S331">
        <v>140400</v>
      </c>
      <c r="T331">
        <v>0</v>
      </c>
      <c r="U331">
        <v>0</v>
      </c>
      <c r="V331">
        <v>12</v>
      </c>
      <c r="W331">
        <v>140400</v>
      </c>
      <c r="X331">
        <v>1800</v>
      </c>
      <c r="Y331">
        <v>1800</v>
      </c>
      <c r="Z331">
        <v>0</v>
      </c>
      <c r="AA331">
        <v>0</v>
      </c>
      <c r="AB331">
        <v>0</v>
      </c>
      <c r="AC331">
        <v>3600</v>
      </c>
    </row>
    <row r="332" spans="1:29">
      <c r="A332">
        <v>324</v>
      </c>
      <c r="B332" t="s">
        <v>149</v>
      </c>
      <c r="C332">
        <v>471</v>
      </c>
      <c r="D332" t="s">
        <v>25</v>
      </c>
      <c r="E332" t="str">
        <f t="shared" si="5"/>
        <v>00471</v>
      </c>
      <c r="F332" t="s">
        <v>20</v>
      </c>
      <c r="G332" t="s">
        <v>193</v>
      </c>
      <c r="H332" t="s">
        <v>151</v>
      </c>
      <c r="I332" t="s">
        <v>4</v>
      </c>
      <c r="J332" t="s">
        <v>152</v>
      </c>
      <c r="K332" t="s">
        <v>236</v>
      </c>
      <c r="L332">
        <v>251200130</v>
      </c>
      <c r="M332" s="84">
        <v>45997</v>
      </c>
      <c r="N332" s="84">
        <v>45997</v>
      </c>
      <c r="O332" t="s">
        <v>206</v>
      </c>
      <c r="P332" t="s">
        <v>207</v>
      </c>
      <c r="Q332">
        <v>14250</v>
      </c>
      <c r="R332">
        <v>20</v>
      </c>
      <c r="S332">
        <v>285000</v>
      </c>
      <c r="T332">
        <v>0</v>
      </c>
      <c r="U332">
        <v>0</v>
      </c>
      <c r="V332">
        <v>20</v>
      </c>
      <c r="W332">
        <v>285000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325</v>
      </c>
      <c r="B333" t="s">
        <v>149</v>
      </c>
      <c r="C333">
        <v>1448</v>
      </c>
      <c r="D333" t="s">
        <v>21</v>
      </c>
      <c r="E333" t="str">
        <f t="shared" si="5"/>
        <v>01448</v>
      </c>
      <c r="F333" t="s">
        <v>20</v>
      </c>
      <c r="G333" t="s">
        <v>193</v>
      </c>
      <c r="H333" t="s">
        <v>151</v>
      </c>
      <c r="I333" t="s">
        <v>4</v>
      </c>
      <c r="J333" t="s">
        <v>152</v>
      </c>
      <c r="K333" t="s">
        <v>236</v>
      </c>
      <c r="L333">
        <v>251200131</v>
      </c>
      <c r="M333" s="84">
        <v>45997</v>
      </c>
      <c r="N333" s="84">
        <v>45997</v>
      </c>
      <c r="O333" t="s">
        <v>262</v>
      </c>
      <c r="P333" t="s">
        <v>263</v>
      </c>
      <c r="Q333">
        <v>14250</v>
      </c>
      <c r="R333">
        <v>10</v>
      </c>
      <c r="S333">
        <v>142500</v>
      </c>
      <c r="T333">
        <v>0</v>
      </c>
      <c r="U333">
        <v>0</v>
      </c>
      <c r="V333">
        <v>10</v>
      </c>
      <c r="W333">
        <v>142500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326</v>
      </c>
      <c r="B334" t="s">
        <v>149</v>
      </c>
      <c r="C334">
        <v>1368</v>
      </c>
      <c r="D334" t="s">
        <v>22</v>
      </c>
      <c r="E334" t="str">
        <f t="shared" si="5"/>
        <v>01368</v>
      </c>
      <c r="F334" t="s">
        <v>20</v>
      </c>
      <c r="G334" t="s">
        <v>193</v>
      </c>
      <c r="H334" t="s">
        <v>151</v>
      </c>
      <c r="I334" t="s">
        <v>4</v>
      </c>
      <c r="J334" t="s">
        <v>152</v>
      </c>
      <c r="K334" t="s">
        <v>236</v>
      </c>
      <c r="L334">
        <v>251200132</v>
      </c>
      <c r="M334" s="84">
        <v>45997</v>
      </c>
      <c r="N334" s="84">
        <v>45997</v>
      </c>
      <c r="O334" t="s">
        <v>160</v>
      </c>
      <c r="P334" t="s">
        <v>161</v>
      </c>
      <c r="Q334">
        <v>14250</v>
      </c>
      <c r="R334">
        <v>5</v>
      </c>
      <c r="S334">
        <v>71250</v>
      </c>
      <c r="T334">
        <v>0</v>
      </c>
      <c r="U334">
        <v>0</v>
      </c>
      <c r="V334">
        <v>5</v>
      </c>
      <c r="W334">
        <v>71250</v>
      </c>
      <c r="X334">
        <v>750</v>
      </c>
      <c r="Y334">
        <v>1000</v>
      </c>
      <c r="Z334">
        <v>0</v>
      </c>
      <c r="AA334">
        <v>0</v>
      </c>
      <c r="AB334">
        <v>0</v>
      </c>
      <c r="AC334">
        <v>1750</v>
      </c>
    </row>
    <row r="335" spans="1:29">
      <c r="A335">
        <v>327</v>
      </c>
      <c r="B335" t="s">
        <v>149</v>
      </c>
      <c r="C335">
        <v>1292</v>
      </c>
      <c r="D335" t="s">
        <v>336</v>
      </c>
      <c r="E335" t="str">
        <f t="shared" si="5"/>
        <v>01292</v>
      </c>
      <c r="F335" t="s">
        <v>73</v>
      </c>
      <c r="G335" t="s">
        <v>185</v>
      </c>
      <c r="H335" t="s">
        <v>151</v>
      </c>
      <c r="I335" t="s">
        <v>4</v>
      </c>
      <c r="J335" t="s">
        <v>152</v>
      </c>
      <c r="K335" t="s">
        <v>153</v>
      </c>
      <c r="L335">
        <v>251200133</v>
      </c>
      <c r="M335" s="84">
        <v>45997</v>
      </c>
      <c r="N335" s="84">
        <v>45997</v>
      </c>
      <c r="O335" t="s">
        <v>243</v>
      </c>
      <c r="P335" t="s">
        <v>244</v>
      </c>
      <c r="Q335">
        <v>5700</v>
      </c>
      <c r="R335">
        <v>5</v>
      </c>
      <c r="S335">
        <v>28500</v>
      </c>
      <c r="T335">
        <v>0</v>
      </c>
      <c r="U335">
        <v>0</v>
      </c>
      <c r="V335">
        <v>5</v>
      </c>
      <c r="W335">
        <v>28500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328</v>
      </c>
      <c r="B336" t="s">
        <v>149</v>
      </c>
      <c r="C336">
        <v>1471</v>
      </c>
      <c r="D336" t="s">
        <v>369</v>
      </c>
      <c r="E336" t="str">
        <f t="shared" si="5"/>
        <v>01471</v>
      </c>
      <c r="F336" t="s">
        <v>73</v>
      </c>
      <c r="G336" t="s">
        <v>185</v>
      </c>
      <c r="H336" t="s">
        <v>151</v>
      </c>
      <c r="I336" t="s">
        <v>4</v>
      </c>
      <c r="J336" t="s">
        <v>152</v>
      </c>
      <c r="K336" t="s">
        <v>153</v>
      </c>
      <c r="L336">
        <v>251200134</v>
      </c>
      <c r="M336" s="84">
        <v>45997</v>
      </c>
      <c r="N336" s="84">
        <v>45997</v>
      </c>
      <c r="O336" t="s">
        <v>168</v>
      </c>
      <c r="P336" t="s">
        <v>169</v>
      </c>
      <c r="Q336">
        <v>5500</v>
      </c>
      <c r="R336">
        <v>10</v>
      </c>
      <c r="S336">
        <v>55000</v>
      </c>
      <c r="T336">
        <v>0</v>
      </c>
      <c r="U336">
        <v>0</v>
      </c>
      <c r="V336">
        <v>10</v>
      </c>
      <c r="W336">
        <v>55000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329</v>
      </c>
      <c r="B337" t="s">
        <v>149</v>
      </c>
      <c r="C337">
        <v>1522</v>
      </c>
      <c r="D337" t="s">
        <v>370</v>
      </c>
      <c r="E337" t="str">
        <f t="shared" si="5"/>
        <v>01522</v>
      </c>
      <c r="F337" t="s">
        <v>73</v>
      </c>
      <c r="G337" t="s">
        <v>185</v>
      </c>
      <c r="H337" t="s">
        <v>151</v>
      </c>
      <c r="I337" t="s">
        <v>4</v>
      </c>
      <c r="J337" t="s">
        <v>152</v>
      </c>
      <c r="K337" t="s">
        <v>153</v>
      </c>
      <c r="L337">
        <v>251200135</v>
      </c>
      <c r="M337" s="84">
        <v>45997</v>
      </c>
      <c r="N337" s="84">
        <v>45997</v>
      </c>
      <c r="O337" t="s">
        <v>357</v>
      </c>
      <c r="P337" t="s">
        <v>358</v>
      </c>
      <c r="Q337">
        <v>5500</v>
      </c>
      <c r="R337">
        <v>20</v>
      </c>
      <c r="S337">
        <v>110000</v>
      </c>
      <c r="T337">
        <v>0</v>
      </c>
      <c r="U337">
        <v>0</v>
      </c>
      <c r="V337">
        <v>20</v>
      </c>
      <c r="W337">
        <v>110000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330</v>
      </c>
      <c r="B338" t="s">
        <v>149</v>
      </c>
      <c r="C338">
        <v>1522</v>
      </c>
      <c r="D338" t="s">
        <v>370</v>
      </c>
      <c r="E338" t="str">
        <f t="shared" si="5"/>
        <v>01522</v>
      </c>
      <c r="F338" t="s">
        <v>73</v>
      </c>
      <c r="G338" t="s">
        <v>185</v>
      </c>
      <c r="H338" t="s">
        <v>151</v>
      </c>
      <c r="I338" t="s">
        <v>4</v>
      </c>
      <c r="J338" t="s">
        <v>152</v>
      </c>
      <c r="K338" t="s">
        <v>153</v>
      </c>
      <c r="L338">
        <v>251200135</v>
      </c>
      <c r="M338" s="84">
        <v>45997</v>
      </c>
      <c r="N338" s="84">
        <v>45997</v>
      </c>
      <c r="O338" t="s">
        <v>154</v>
      </c>
      <c r="P338" t="s">
        <v>155</v>
      </c>
      <c r="Q338">
        <v>5500</v>
      </c>
      <c r="R338">
        <v>10</v>
      </c>
      <c r="S338">
        <v>55000</v>
      </c>
      <c r="T338">
        <v>0</v>
      </c>
      <c r="U338">
        <v>0</v>
      </c>
      <c r="V338">
        <v>10</v>
      </c>
      <c r="W338">
        <v>55000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>
      <c r="A339">
        <v>331</v>
      </c>
      <c r="B339" t="s">
        <v>149</v>
      </c>
      <c r="C339">
        <v>419</v>
      </c>
      <c r="D339" t="s">
        <v>16</v>
      </c>
      <c r="E339" t="str">
        <f t="shared" si="5"/>
        <v>00419</v>
      </c>
      <c r="F339" t="s">
        <v>15</v>
      </c>
      <c r="G339" t="s">
        <v>193</v>
      </c>
      <c r="H339" t="s">
        <v>151</v>
      </c>
      <c r="I339" t="s">
        <v>4</v>
      </c>
      <c r="J339" t="s">
        <v>152</v>
      </c>
      <c r="K339" t="s">
        <v>153</v>
      </c>
      <c r="L339">
        <v>251200136</v>
      </c>
      <c r="M339" s="84">
        <v>45997</v>
      </c>
      <c r="N339" s="84">
        <v>45997</v>
      </c>
      <c r="O339" t="s">
        <v>160</v>
      </c>
      <c r="P339" t="s">
        <v>161</v>
      </c>
      <c r="Q339">
        <v>14250</v>
      </c>
      <c r="R339">
        <v>7</v>
      </c>
      <c r="S339">
        <v>99750</v>
      </c>
      <c r="T339">
        <v>0</v>
      </c>
      <c r="U339">
        <v>0</v>
      </c>
      <c r="V339">
        <v>7</v>
      </c>
      <c r="W339">
        <v>99750</v>
      </c>
      <c r="X339">
        <v>1050</v>
      </c>
      <c r="Y339">
        <v>1400</v>
      </c>
      <c r="Z339">
        <v>0</v>
      </c>
      <c r="AA339">
        <v>0</v>
      </c>
      <c r="AB339">
        <v>0</v>
      </c>
      <c r="AC339">
        <v>2450</v>
      </c>
    </row>
    <row r="340" spans="1:29">
      <c r="A340">
        <v>332</v>
      </c>
      <c r="B340" t="s">
        <v>149</v>
      </c>
      <c r="C340">
        <v>1326</v>
      </c>
      <c r="D340" t="s">
        <v>338</v>
      </c>
      <c r="E340" t="str">
        <f t="shared" si="5"/>
        <v>01326</v>
      </c>
      <c r="F340" t="s">
        <v>15</v>
      </c>
      <c r="G340" t="s">
        <v>193</v>
      </c>
      <c r="H340" t="s">
        <v>151</v>
      </c>
      <c r="I340" t="s">
        <v>5</v>
      </c>
      <c r="J340" t="s">
        <v>152</v>
      </c>
      <c r="K340" t="s">
        <v>153</v>
      </c>
      <c r="L340">
        <v>251200137</v>
      </c>
      <c r="M340" s="84">
        <v>45997</v>
      </c>
      <c r="N340" s="84">
        <v>45997</v>
      </c>
      <c r="O340" t="s">
        <v>191</v>
      </c>
      <c r="P340" t="s">
        <v>192</v>
      </c>
      <c r="Q340">
        <v>4500</v>
      </c>
      <c r="R340">
        <v>12</v>
      </c>
      <c r="S340">
        <v>54000</v>
      </c>
      <c r="T340">
        <v>0</v>
      </c>
      <c r="U340">
        <v>0</v>
      </c>
      <c r="V340">
        <v>12</v>
      </c>
      <c r="W340">
        <v>54000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>
      <c r="A341">
        <v>333</v>
      </c>
      <c r="B341" t="s">
        <v>149</v>
      </c>
      <c r="C341">
        <v>1326</v>
      </c>
      <c r="D341" t="s">
        <v>338</v>
      </c>
      <c r="E341" t="str">
        <f t="shared" si="5"/>
        <v>01326</v>
      </c>
      <c r="F341" t="s">
        <v>15</v>
      </c>
      <c r="G341" t="s">
        <v>193</v>
      </c>
      <c r="H341" t="s">
        <v>151</v>
      </c>
      <c r="I341" t="s">
        <v>4</v>
      </c>
      <c r="J341" t="s">
        <v>152</v>
      </c>
      <c r="K341" t="s">
        <v>153</v>
      </c>
      <c r="L341">
        <v>251200138</v>
      </c>
      <c r="M341" s="84">
        <v>45997</v>
      </c>
      <c r="N341" s="84">
        <v>45997</v>
      </c>
      <c r="O341" t="s">
        <v>160</v>
      </c>
      <c r="P341" t="s">
        <v>161</v>
      </c>
      <c r="Q341">
        <v>5500</v>
      </c>
      <c r="R341">
        <v>8</v>
      </c>
      <c r="S341">
        <v>44000</v>
      </c>
      <c r="T341">
        <v>0</v>
      </c>
      <c r="U341">
        <v>0</v>
      </c>
      <c r="V341">
        <v>8</v>
      </c>
      <c r="W341">
        <v>44000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>
      <c r="A342">
        <v>334</v>
      </c>
      <c r="B342" t="s">
        <v>149</v>
      </c>
      <c r="C342">
        <v>1326</v>
      </c>
      <c r="D342" t="s">
        <v>338</v>
      </c>
      <c r="E342" t="str">
        <f t="shared" si="5"/>
        <v>01326</v>
      </c>
      <c r="F342" t="s">
        <v>15</v>
      </c>
      <c r="G342" t="s">
        <v>193</v>
      </c>
      <c r="H342" t="s">
        <v>151</v>
      </c>
      <c r="I342" t="s">
        <v>4</v>
      </c>
      <c r="J342" t="s">
        <v>152</v>
      </c>
      <c r="K342" t="s">
        <v>153</v>
      </c>
      <c r="L342">
        <v>251200138</v>
      </c>
      <c r="M342" s="84">
        <v>45997</v>
      </c>
      <c r="N342" s="84">
        <v>45997</v>
      </c>
      <c r="O342" t="s">
        <v>243</v>
      </c>
      <c r="P342" t="s">
        <v>244</v>
      </c>
      <c r="Q342">
        <v>5700</v>
      </c>
      <c r="R342">
        <v>5</v>
      </c>
      <c r="S342">
        <v>28500</v>
      </c>
      <c r="T342">
        <v>0</v>
      </c>
      <c r="U342">
        <v>0</v>
      </c>
      <c r="V342">
        <v>5</v>
      </c>
      <c r="W342">
        <v>28500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>
      <c r="A343">
        <v>335</v>
      </c>
      <c r="B343" t="s">
        <v>149</v>
      </c>
      <c r="C343">
        <v>1326</v>
      </c>
      <c r="D343" t="s">
        <v>338</v>
      </c>
      <c r="E343" t="str">
        <f t="shared" si="5"/>
        <v>01326</v>
      </c>
      <c r="F343" t="s">
        <v>15</v>
      </c>
      <c r="G343" t="s">
        <v>193</v>
      </c>
      <c r="H343" t="s">
        <v>151</v>
      </c>
      <c r="I343" t="s">
        <v>5</v>
      </c>
      <c r="J343" t="s">
        <v>152</v>
      </c>
      <c r="K343" t="s">
        <v>153</v>
      </c>
      <c r="L343">
        <v>251200138</v>
      </c>
      <c r="M343" s="84">
        <v>45997</v>
      </c>
      <c r="N343" s="84">
        <v>45997</v>
      </c>
      <c r="O343" t="s">
        <v>339</v>
      </c>
      <c r="P343" t="s">
        <v>340</v>
      </c>
      <c r="Q343">
        <v>4500</v>
      </c>
      <c r="R343">
        <v>12</v>
      </c>
      <c r="S343">
        <v>54000</v>
      </c>
      <c r="T343">
        <v>0</v>
      </c>
      <c r="U343">
        <v>0</v>
      </c>
      <c r="V343">
        <v>12</v>
      </c>
      <c r="W343">
        <v>54000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>
      <c r="A344">
        <v>336</v>
      </c>
      <c r="B344" t="s">
        <v>149</v>
      </c>
      <c r="C344">
        <v>1550</v>
      </c>
      <c r="D344" t="s">
        <v>337</v>
      </c>
      <c r="E344" t="str">
        <f t="shared" si="5"/>
        <v>01550</v>
      </c>
      <c r="F344" t="s">
        <v>15</v>
      </c>
      <c r="G344" t="s">
        <v>193</v>
      </c>
      <c r="H344" t="s">
        <v>151</v>
      </c>
      <c r="I344" t="s">
        <v>5</v>
      </c>
      <c r="J344" t="s">
        <v>152</v>
      </c>
      <c r="K344" t="s">
        <v>153</v>
      </c>
      <c r="L344">
        <v>251200139</v>
      </c>
      <c r="M344" s="84">
        <v>45997</v>
      </c>
      <c r="N344" s="84">
        <v>45997</v>
      </c>
      <c r="O344" t="s">
        <v>191</v>
      </c>
      <c r="P344" t="s">
        <v>192</v>
      </c>
      <c r="Q344">
        <v>4500</v>
      </c>
      <c r="R344">
        <v>16</v>
      </c>
      <c r="S344">
        <v>72000</v>
      </c>
      <c r="T344">
        <v>0</v>
      </c>
      <c r="U344">
        <v>0</v>
      </c>
      <c r="V344">
        <v>16</v>
      </c>
      <c r="W344">
        <v>72000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>
      <c r="A345">
        <v>337</v>
      </c>
      <c r="B345" t="s">
        <v>149</v>
      </c>
      <c r="C345">
        <v>1326</v>
      </c>
      <c r="D345" t="s">
        <v>338</v>
      </c>
      <c r="E345" t="str">
        <f t="shared" si="5"/>
        <v>01326</v>
      </c>
      <c r="F345" t="s">
        <v>15</v>
      </c>
      <c r="G345" t="s">
        <v>193</v>
      </c>
      <c r="H345" t="s">
        <v>151</v>
      </c>
      <c r="I345" t="s">
        <v>5</v>
      </c>
      <c r="J345" t="s">
        <v>152</v>
      </c>
      <c r="K345" t="s">
        <v>153</v>
      </c>
      <c r="L345">
        <v>251200140</v>
      </c>
      <c r="M345" s="84">
        <v>45997</v>
      </c>
      <c r="N345" s="84">
        <v>45997</v>
      </c>
      <c r="O345" t="s">
        <v>191</v>
      </c>
      <c r="P345" t="s">
        <v>192</v>
      </c>
      <c r="Q345">
        <v>4500</v>
      </c>
      <c r="R345">
        <v>20</v>
      </c>
      <c r="S345">
        <v>90000</v>
      </c>
      <c r="T345">
        <v>0</v>
      </c>
      <c r="U345">
        <v>0</v>
      </c>
      <c r="V345">
        <v>20</v>
      </c>
      <c r="W345">
        <v>90000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>
      <c r="A346">
        <v>338</v>
      </c>
      <c r="B346" t="s">
        <v>149</v>
      </c>
      <c r="C346">
        <v>1326</v>
      </c>
      <c r="D346" t="s">
        <v>338</v>
      </c>
      <c r="E346" t="str">
        <f t="shared" si="5"/>
        <v>01326</v>
      </c>
      <c r="F346" t="s">
        <v>15</v>
      </c>
      <c r="G346" t="s">
        <v>193</v>
      </c>
      <c r="H346" t="s">
        <v>151</v>
      </c>
      <c r="I346" t="s">
        <v>5</v>
      </c>
      <c r="J346" t="s">
        <v>152</v>
      </c>
      <c r="K346" t="s">
        <v>153</v>
      </c>
      <c r="L346">
        <v>251200140</v>
      </c>
      <c r="M346" s="84">
        <v>45997</v>
      </c>
      <c r="N346" s="84">
        <v>45997</v>
      </c>
      <c r="O346" t="s">
        <v>339</v>
      </c>
      <c r="P346" t="s">
        <v>340</v>
      </c>
      <c r="Q346">
        <v>4500</v>
      </c>
      <c r="R346">
        <v>12</v>
      </c>
      <c r="S346">
        <v>54000</v>
      </c>
      <c r="T346">
        <v>0</v>
      </c>
      <c r="U346">
        <v>0</v>
      </c>
      <c r="V346">
        <v>12</v>
      </c>
      <c r="W346">
        <v>54000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>
      <c r="A347">
        <v>339</v>
      </c>
      <c r="B347" t="s">
        <v>149</v>
      </c>
      <c r="C347">
        <v>1312</v>
      </c>
      <c r="D347" t="s">
        <v>359</v>
      </c>
      <c r="E347" t="str">
        <f t="shared" si="5"/>
        <v>01312</v>
      </c>
      <c r="F347" t="s">
        <v>15</v>
      </c>
      <c r="G347" t="s">
        <v>193</v>
      </c>
      <c r="H347" t="s">
        <v>151</v>
      </c>
      <c r="I347" t="s">
        <v>5</v>
      </c>
      <c r="J347" t="s">
        <v>152</v>
      </c>
      <c r="K347" t="s">
        <v>153</v>
      </c>
      <c r="L347">
        <v>251200141</v>
      </c>
      <c r="M347" s="84">
        <v>45997</v>
      </c>
      <c r="N347" s="84">
        <v>45997</v>
      </c>
      <c r="O347" t="s">
        <v>196</v>
      </c>
      <c r="P347" t="s">
        <v>197</v>
      </c>
      <c r="Q347">
        <v>4500</v>
      </c>
      <c r="R347">
        <v>8</v>
      </c>
      <c r="S347">
        <v>36000</v>
      </c>
      <c r="T347">
        <v>0</v>
      </c>
      <c r="U347">
        <v>0</v>
      </c>
      <c r="V347">
        <v>8</v>
      </c>
      <c r="W347">
        <v>36000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 spans="1:29">
      <c r="A348">
        <v>340</v>
      </c>
      <c r="B348" t="s">
        <v>149</v>
      </c>
      <c r="C348">
        <v>1465</v>
      </c>
      <c r="D348" t="s">
        <v>264</v>
      </c>
      <c r="E348" t="str">
        <f t="shared" si="5"/>
        <v>01465</v>
      </c>
      <c r="F348" t="s">
        <v>95</v>
      </c>
      <c r="G348" t="s">
        <v>187</v>
      </c>
      <c r="H348" t="s">
        <v>188</v>
      </c>
      <c r="I348" t="s">
        <v>173</v>
      </c>
      <c r="J348" t="s">
        <v>152</v>
      </c>
      <c r="K348" t="s">
        <v>159</v>
      </c>
      <c r="L348">
        <v>251200142</v>
      </c>
      <c r="M348" s="84">
        <v>45997</v>
      </c>
      <c r="N348" s="84">
        <v>45997</v>
      </c>
      <c r="O348" t="s">
        <v>265</v>
      </c>
      <c r="P348" t="s">
        <v>266</v>
      </c>
      <c r="Q348">
        <v>12780</v>
      </c>
      <c r="R348">
        <v>1</v>
      </c>
      <c r="S348">
        <v>12780</v>
      </c>
      <c r="T348">
        <v>0</v>
      </c>
      <c r="U348">
        <v>0</v>
      </c>
      <c r="V348">
        <v>1</v>
      </c>
      <c r="W348">
        <v>12780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>
      <c r="A349">
        <v>341</v>
      </c>
      <c r="B349" t="s">
        <v>149</v>
      </c>
      <c r="C349">
        <v>1534</v>
      </c>
      <c r="D349" t="s">
        <v>371</v>
      </c>
      <c r="E349" t="str">
        <f t="shared" si="5"/>
        <v>01534</v>
      </c>
      <c r="F349" t="s">
        <v>65</v>
      </c>
      <c r="G349" t="s">
        <v>208</v>
      </c>
      <c r="H349" t="s">
        <v>157</v>
      </c>
      <c r="I349" t="s">
        <v>4</v>
      </c>
      <c r="J349" t="s">
        <v>152</v>
      </c>
      <c r="K349" t="s">
        <v>174</v>
      </c>
      <c r="L349">
        <v>251200143</v>
      </c>
      <c r="M349" s="84">
        <v>45997</v>
      </c>
      <c r="N349" s="84">
        <v>45997</v>
      </c>
      <c r="O349" t="s">
        <v>221</v>
      </c>
      <c r="P349" t="s">
        <v>222</v>
      </c>
      <c r="Q349">
        <v>5500</v>
      </c>
      <c r="R349">
        <v>5</v>
      </c>
      <c r="S349">
        <v>27500</v>
      </c>
      <c r="T349">
        <v>0</v>
      </c>
      <c r="U349">
        <v>0</v>
      </c>
      <c r="V349">
        <v>5</v>
      </c>
      <c r="W349">
        <v>27500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>
      <c r="A350">
        <v>342</v>
      </c>
      <c r="B350" t="s">
        <v>149</v>
      </c>
      <c r="C350">
        <v>1575</v>
      </c>
      <c r="D350" t="s">
        <v>372</v>
      </c>
      <c r="E350" t="str">
        <f t="shared" si="5"/>
        <v>01575</v>
      </c>
      <c r="F350" t="s">
        <v>10</v>
      </c>
      <c r="G350" t="s">
        <v>172</v>
      </c>
      <c r="H350" t="s">
        <v>157</v>
      </c>
      <c r="I350" t="s">
        <v>4</v>
      </c>
      <c r="J350" t="s">
        <v>152</v>
      </c>
      <c r="K350" t="s">
        <v>174</v>
      </c>
      <c r="L350">
        <v>251200144</v>
      </c>
      <c r="M350" s="84">
        <v>45997</v>
      </c>
      <c r="N350" s="84">
        <v>45997</v>
      </c>
      <c r="O350" t="s">
        <v>262</v>
      </c>
      <c r="P350" t="s">
        <v>263</v>
      </c>
      <c r="Q350">
        <v>5500</v>
      </c>
      <c r="R350">
        <v>5</v>
      </c>
      <c r="S350">
        <v>27500</v>
      </c>
      <c r="T350">
        <v>0</v>
      </c>
      <c r="U350">
        <v>0</v>
      </c>
      <c r="V350">
        <v>5</v>
      </c>
      <c r="W350">
        <v>27500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>
      <c r="A351">
        <v>343</v>
      </c>
      <c r="B351" t="s">
        <v>149</v>
      </c>
      <c r="C351">
        <v>1523</v>
      </c>
      <c r="D351" t="s">
        <v>326</v>
      </c>
      <c r="E351" t="str">
        <f t="shared" si="5"/>
        <v>01523</v>
      </c>
      <c r="F351" t="s">
        <v>10</v>
      </c>
      <c r="G351" t="s">
        <v>172</v>
      </c>
      <c r="H351" t="s">
        <v>157</v>
      </c>
      <c r="I351" t="s">
        <v>4</v>
      </c>
      <c r="J351" t="s">
        <v>152</v>
      </c>
      <c r="K351" t="s">
        <v>174</v>
      </c>
      <c r="L351">
        <v>251200145</v>
      </c>
      <c r="M351" s="84">
        <v>45997</v>
      </c>
      <c r="N351" s="84">
        <v>45997</v>
      </c>
      <c r="O351" t="s">
        <v>262</v>
      </c>
      <c r="P351" t="s">
        <v>263</v>
      </c>
      <c r="Q351">
        <v>5500</v>
      </c>
      <c r="R351">
        <v>5</v>
      </c>
      <c r="S351">
        <v>27500</v>
      </c>
      <c r="T351">
        <v>0</v>
      </c>
      <c r="U351">
        <v>0</v>
      </c>
      <c r="V351">
        <v>5</v>
      </c>
      <c r="W351">
        <v>27500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>
      <c r="A352">
        <v>344</v>
      </c>
      <c r="B352" t="s">
        <v>149</v>
      </c>
      <c r="C352">
        <v>1484</v>
      </c>
      <c r="D352" t="s">
        <v>331</v>
      </c>
      <c r="E352" t="str">
        <f t="shared" si="5"/>
        <v>01484</v>
      </c>
      <c r="F352" t="s">
        <v>71</v>
      </c>
      <c r="G352" t="s">
        <v>305</v>
      </c>
      <c r="H352" t="s">
        <v>157</v>
      </c>
      <c r="I352" t="s">
        <v>4</v>
      </c>
      <c r="J352" t="s">
        <v>152</v>
      </c>
      <c r="K352" t="s">
        <v>174</v>
      </c>
      <c r="L352">
        <v>251200146</v>
      </c>
      <c r="M352" s="84">
        <v>45997</v>
      </c>
      <c r="N352" s="84">
        <v>45997</v>
      </c>
      <c r="O352" t="s">
        <v>160</v>
      </c>
      <c r="P352" t="s">
        <v>161</v>
      </c>
      <c r="Q352">
        <v>5500</v>
      </c>
      <c r="R352">
        <v>10</v>
      </c>
      <c r="S352">
        <v>55000</v>
      </c>
      <c r="T352">
        <v>0</v>
      </c>
      <c r="U352">
        <v>0</v>
      </c>
      <c r="V352">
        <v>10</v>
      </c>
      <c r="W352">
        <v>55000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>
      <c r="A353">
        <v>345</v>
      </c>
      <c r="B353" t="s">
        <v>149</v>
      </c>
      <c r="C353">
        <v>1484</v>
      </c>
      <c r="D353" t="s">
        <v>331</v>
      </c>
      <c r="E353" t="str">
        <f t="shared" si="5"/>
        <v>01484</v>
      </c>
      <c r="F353" t="s">
        <v>71</v>
      </c>
      <c r="G353" t="s">
        <v>305</v>
      </c>
      <c r="H353" t="s">
        <v>157</v>
      </c>
      <c r="I353" t="s">
        <v>4</v>
      </c>
      <c r="J353" t="s">
        <v>152</v>
      </c>
      <c r="K353" t="s">
        <v>174</v>
      </c>
      <c r="L353">
        <v>251200146</v>
      </c>
      <c r="M353" s="84">
        <v>45997</v>
      </c>
      <c r="N353" s="84">
        <v>45997</v>
      </c>
      <c r="O353" t="s">
        <v>256</v>
      </c>
      <c r="P353" t="s">
        <v>257</v>
      </c>
      <c r="Q353">
        <v>5500</v>
      </c>
      <c r="R353">
        <v>5</v>
      </c>
      <c r="S353">
        <v>27500</v>
      </c>
      <c r="T353">
        <v>0</v>
      </c>
      <c r="U353">
        <v>0</v>
      </c>
      <c r="V353">
        <v>5</v>
      </c>
      <c r="W353">
        <v>27500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>
      <c r="A354">
        <v>346</v>
      </c>
      <c r="B354" t="s">
        <v>149</v>
      </c>
      <c r="C354">
        <v>1345</v>
      </c>
      <c r="D354" t="s">
        <v>332</v>
      </c>
      <c r="E354" t="str">
        <f t="shared" si="5"/>
        <v>01345</v>
      </c>
      <c r="F354" t="s">
        <v>71</v>
      </c>
      <c r="G354" t="s">
        <v>305</v>
      </c>
      <c r="H354" t="s">
        <v>157</v>
      </c>
      <c r="I354" t="s">
        <v>4</v>
      </c>
      <c r="J354" t="s">
        <v>152</v>
      </c>
      <c r="K354" t="s">
        <v>174</v>
      </c>
      <c r="L354">
        <v>251200147</v>
      </c>
      <c r="M354" s="84">
        <v>45997</v>
      </c>
      <c r="N354" s="84">
        <v>45997</v>
      </c>
      <c r="O354" t="s">
        <v>256</v>
      </c>
      <c r="P354" t="s">
        <v>257</v>
      </c>
      <c r="Q354">
        <v>5500</v>
      </c>
      <c r="R354">
        <v>15</v>
      </c>
      <c r="S354">
        <v>82500</v>
      </c>
      <c r="T354">
        <v>0</v>
      </c>
      <c r="U354">
        <v>0</v>
      </c>
      <c r="V354">
        <v>15</v>
      </c>
      <c r="W354">
        <v>82500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>
      <c r="A355">
        <v>347</v>
      </c>
      <c r="B355" t="s">
        <v>149</v>
      </c>
      <c r="C355">
        <v>622</v>
      </c>
      <c r="D355" t="s">
        <v>70</v>
      </c>
      <c r="E355" t="str">
        <f t="shared" si="5"/>
        <v>00622</v>
      </c>
      <c r="F355" t="s">
        <v>65</v>
      </c>
      <c r="G355" t="s">
        <v>208</v>
      </c>
      <c r="H355" t="s">
        <v>157</v>
      </c>
      <c r="I355" t="s">
        <v>4</v>
      </c>
      <c r="J355" t="s">
        <v>152</v>
      </c>
      <c r="K355" t="s">
        <v>174</v>
      </c>
      <c r="L355">
        <v>251200148</v>
      </c>
      <c r="M355" s="84">
        <v>45997</v>
      </c>
      <c r="N355" s="84">
        <v>45997</v>
      </c>
      <c r="O355" t="s">
        <v>179</v>
      </c>
      <c r="P355" t="s">
        <v>180</v>
      </c>
      <c r="Q355">
        <v>14250</v>
      </c>
      <c r="R355">
        <v>5</v>
      </c>
      <c r="S355">
        <v>71250</v>
      </c>
      <c r="T355">
        <v>0</v>
      </c>
      <c r="U355">
        <v>0</v>
      </c>
      <c r="V355">
        <v>5</v>
      </c>
      <c r="W355">
        <v>71250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>
      <c r="A356">
        <v>348</v>
      </c>
      <c r="B356" t="s">
        <v>149</v>
      </c>
      <c r="C356">
        <v>622</v>
      </c>
      <c r="D356" t="s">
        <v>70</v>
      </c>
      <c r="E356" t="str">
        <f t="shared" si="5"/>
        <v>00622</v>
      </c>
      <c r="F356" t="s">
        <v>65</v>
      </c>
      <c r="G356" t="s">
        <v>208</v>
      </c>
      <c r="H356" t="s">
        <v>157</v>
      </c>
      <c r="I356" t="s">
        <v>4</v>
      </c>
      <c r="J356" t="s">
        <v>152</v>
      </c>
      <c r="K356" t="s">
        <v>174</v>
      </c>
      <c r="L356">
        <v>251200148</v>
      </c>
      <c r="M356" s="84">
        <v>45997</v>
      </c>
      <c r="N356" s="84">
        <v>45997</v>
      </c>
      <c r="O356" t="s">
        <v>206</v>
      </c>
      <c r="P356" t="s">
        <v>207</v>
      </c>
      <c r="Q356">
        <v>14250</v>
      </c>
      <c r="R356">
        <v>10</v>
      </c>
      <c r="S356">
        <v>142500</v>
      </c>
      <c r="T356">
        <v>0</v>
      </c>
      <c r="U356">
        <v>0</v>
      </c>
      <c r="V356">
        <v>10</v>
      </c>
      <c r="W356">
        <v>142500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>
      <c r="A357">
        <v>349</v>
      </c>
      <c r="B357" t="s">
        <v>149</v>
      </c>
      <c r="C357">
        <v>562</v>
      </c>
      <c r="D357" t="s">
        <v>92</v>
      </c>
      <c r="E357" t="str">
        <f t="shared" si="5"/>
        <v>00562</v>
      </c>
      <c r="F357" t="s">
        <v>91</v>
      </c>
      <c r="G357" t="s">
        <v>202</v>
      </c>
      <c r="H357" t="s">
        <v>157</v>
      </c>
      <c r="I357" t="s">
        <v>5</v>
      </c>
      <c r="J357" t="s">
        <v>152</v>
      </c>
      <c r="K357" t="s">
        <v>159</v>
      </c>
      <c r="L357">
        <v>251200149</v>
      </c>
      <c r="M357" s="84">
        <v>45997</v>
      </c>
      <c r="N357" s="84">
        <v>45997</v>
      </c>
      <c r="O357" t="s">
        <v>191</v>
      </c>
      <c r="P357" t="s">
        <v>192</v>
      </c>
      <c r="Q357">
        <v>11700</v>
      </c>
      <c r="R357">
        <v>10</v>
      </c>
      <c r="S357">
        <v>117000</v>
      </c>
      <c r="T357">
        <v>0</v>
      </c>
      <c r="U357">
        <v>0</v>
      </c>
      <c r="V357">
        <v>10</v>
      </c>
      <c r="W357">
        <v>117000</v>
      </c>
      <c r="X357">
        <v>1500</v>
      </c>
      <c r="Y357">
        <v>1500</v>
      </c>
      <c r="Z357">
        <v>0</v>
      </c>
      <c r="AA357">
        <v>0</v>
      </c>
      <c r="AB357">
        <v>0</v>
      </c>
      <c r="AC357">
        <v>3000</v>
      </c>
    </row>
    <row r="358" spans="1:29">
      <c r="A358">
        <v>350</v>
      </c>
      <c r="B358" t="s">
        <v>149</v>
      </c>
      <c r="C358">
        <v>1323</v>
      </c>
      <c r="D358" t="s">
        <v>373</v>
      </c>
      <c r="E358" t="str">
        <f t="shared" si="5"/>
        <v>01323</v>
      </c>
      <c r="F358" t="s">
        <v>43</v>
      </c>
      <c r="G358" t="s">
        <v>150</v>
      </c>
      <c r="H358" t="s">
        <v>151</v>
      </c>
      <c r="I358" t="s">
        <v>4</v>
      </c>
      <c r="J358" t="s">
        <v>152</v>
      </c>
      <c r="K358" t="s">
        <v>153</v>
      </c>
      <c r="L358">
        <v>251200150</v>
      </c>
      <c r="M358" s="84">
        <v>45998</v>
      </c>
      <c r="N358" s="84">
        <v>45998</v>
      </c>
      <c r="O358" t="s">
        <v>219</v>
      </c>
      <c r="P358" t="s">
        <v>220</v>
      </c>
      <c r="Q358">
        <v>5500</v>
      </c>
      <c r="R358">
        <v>20</v>
      </c>
      <c r="S358">
        <v>110000</v>
      </c>
      <c r="T358">
        <v>0</v>
      </c>
      <c r="U358">
        <v>0</v>
      </c>
      <c r="V358">
        <v>20</v>
      </c>
      <c r="W358">
        <v>110000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>
      <c r="A359">
        <v>351</v>
      </c>
      <c r="B359" t="s">
        <v>149</v>
      </c>
      <c r="C359">
        <v>1323</v>
      </c>
      <c r="D359" t="s">
        <v>373</v>
      </c>
      <c r="E359" t="str">
        <f t="shared" si="5"/>
        <v>01323</v>
      </c>
      <c r="F359" t="s">
        <v>43</v>
      </c>
      <c r="G359" t="s">
        <v>150</v>
      </c>
      <c r="H359" t="s">
        <v>151</v>
      </c>
      <c r="I359" t="s">
        <v>4</v>
      </c>
      <c r="J359" t="s">
        <v>152</v>
      </c>
      <c r="K359" t="s">
        <v>153</v>
      </c>
      <c r="L359">
        <v>251200150</v>
      </c>
      <c r="M359" s="84">
        <v>45998</v>
      </c>
      <c r="N359" s="84">
        <v>45998</v>
      </c>
      <c r="O359" t="s">
        <v>177</v>
      </c>
      <c r="P359" t="s">
        <v>178</v>
      </c>
      <c r="Q359">
        <v>5500</v>
      </c>
      <c r="R359">
        <v>15</v>
      </c>
      <c r="S359">
        <v>82500</v>
      </c>
      <c r="T359">
        <v>0</v>
      </c>
      <c r="U359">
        <v>0</v>
      </c>
      <c r="V359">
        <v>15</v>
      </c>
      <c r="W359">
        <v>82500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>
      <c r="A360">
        <v>352</v>
      </c>
      <c r="B360" t="s">
        <v>149</v>
      </c>
      <c r="C360">
        <v>1323</v>
      </c>
      <c r="D360" t="s">
        <v>373</v>
      </c>
      <c r="E360" t="str">
        <f t="shared" si="5"/>
        <v>01323</v>
      </c>
      <c r="F360" t="s">
        <v>43</v>
      </c>
      <c r="G360" t="s">
        <v>150</v>
      </c>
      <c r="H360" t="s">
        <v>151</v>
      </c>
      <c r="I360" t="s">
        <v>4</v>
      </c>
      <c r="J360" t="s">
        <v>152</v>
      </c>
      <c r="K360" t="s">
        <v>153</v>
      </c>
      <c r="L360">
        <v>251200150</v>
      </c>
      <c r="M360" s="84">
        <v>45998</v>
      </c>
      <c r="N360" s="84">
        <v>45998</v>
      </c>
      <c r="O360" t="s">
        <v>160</v>
      </c>
      <c r="P360" t="s">
        <v>161</v>
      </c>
      <c r="Q360">
        <v>5500</v>
      </c>
      <c r="R360">
        <v>50</v>
      </c>
      <c r="S360">
        <v>275000</v>
      </c>
      <c r="T360">
        <v>0</v>
      </c>
      <c r="U360">
        <v>0</v>
      </c>
      <c r="V360">
        <v>50</v>
      </c>
      <c r="W360">
        <v>275000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>
      <c r="A361">
        <v>353</v>
      </c>
      <c r="B361" t="s">
        <v>149</v>
      </c>
      <c r="C361">
        <v>1323</v>
      </c>
      <c r="D361" t="s">
        <v>373</v>
      </c>
      <c r="E361" t="str">
        <f t="shared" si="5"/>
        <v>01323</v>
      </c>
      <c r="F361" t="s">
        <v>43</v>
      </c>
      <c r="G361" t="s">
        <v>150</v>
      </c>
      <c r="H361" t="s">
        <v>151</v>
      </c>
      <c r="I361" t="s">
        <v>4</v>
      </c>
      <c r="J361" t="s">
        <v>152</v>
      </c>
      <c r="K361" t="s">
        <v>153</v>
      </c>
      <c r="L361">
        <v>251200150</v>
      </c>
      <c r="M361" s="84">
        <v>45998</v>
      </c>
      <c r="N361" s="84">
        <v>45998</v>
      </c>
      <c r="O361" t="s">
        <v>154</v>
      </c>
      <c r="P361" t="s">
        <v>155</v>
      </c>
      <c r="Q361">
        <v>5500</v>
      </c>
      <c r="R361">
        <v>5</v>
      </c>
      <c r="S361">
        <v>27500</v>
      </c>
      <c r="T361">
        <v>0</v>
      </c>
      <c r="U361">
        <v>0</v>
      </c>
      <c r="V361">
        <v>5</v>
      </c>
      <c r="W361">
        <v>27500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>
      <c r="A362">
        <v>354</v>
      </c>
      <c r="B362" t="s">
        <v>149</v>
      </c>
      <c r="C362">
        <v>1323</v>
      </c>
      <c r="D362" t="s">
        <v>373</v>
      </c>
      <c r="E362" t="str">
        <f t="shared" si="5"/>
        <v>01323</v>
      </c>
      <c r="F362" t="s">
        <v>43</v>
      </c>
      <c r="G362" t="s">
        <v>150</v>
      </c>
      <c r="H362" t="s">
        <v>151</v>
      </c>
      <c r="I362" t="s">
        <v>4</v>
      </c>
      <c r="J362" t="s">
        <v>152</v>
      </c>
      <c r="K362" t="s">
        <v>153</v>
      </c>
      <c r="L362">
        <v>251200150</v>
      </c>
      <c r="M362" s="84">
        <v>45998</v>
      </c>
      <c r="N362" s="84">
        <v>45998</v>
      </c>
      <c r="O362" t="s">
        <v>267</v>
      </c>
      <c r="P362" t="s">
        <v>268</v>
      </c>
      <c r="Q362">
        <v>5500</v>
      </c>
      <c r="R362">
        <v>10</v>
      </c>
      <c r="S362">
        <v>55000</v>
      </c>
      <c r="T362">
        <v>0</v>
      </c>
      <c r="U362">
        <v>0</v>
      </c>
      <c r="V362">
        <v>10</v>
      </c>
      <c r="W362">
        <v>55000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>
      <c r="A363">
        <v>355</v>
      </c>
      <c r="B363" t="s">
        <v>149</v>
      </c>
      <c r="C363">
        <v>1282</v>
      </c>
      <c r="D363" t="s">
        <v>374</v>
      </c>
      <c r="E363" t="str">
        <f t="shared" si="5"/>
        <v>01282</v>
      </c>
      <c r="F363" t="s">
        <v>111</v>
      </c>
      <c r="G363" t="s">
        <v>150</v>
      </c>
      <c r="H363" t="s">
        <v>151</v>
      </c>
      <c r="I363" t="s">
        <v>5</v>
      </c>
      <c r="J363" t="s">
        <v>152</v>
      </c>
      <c r="K363" t="s">
        <v>153</v>
      </c>
      <c r="L363">
        <v>251200151</v>
      </c>
      <c r="M363" s="84">
        <v>45998</v>
      </c>
      <c r="N363" s="84">
        <v>45998</v>
      </c>
      <c r="O363" t="s">
        <v>198</v>
      </c>
      <c r="P363" t="s">
        <v>199</v>
      </c>
      <c r="Q363">
        <v>4500</v>
      </c>
      <c r="R363">
        <v>48</v>
      </c>
      <c r="S363">
        <v>216000</v>
      </c>
      <c r="T363">
        <v>0</v>
      </c>
      <c r="U363">
        <v>0</v>
      </c>
      <c r="V363">
        <v>48</v>
      </c>
      <c r="W363">
        <v>216000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>
      <c r="A364">
        <v>356</v>
      </c>
      <c r="B364" t="s">
        <v>149</v>
      </c>
      <c r="C364">
        <v>1282</v>
      </c>
      <c r="D364" t="s">
        <v>374</v>
      </c>
      <c r="E364" t="str">
        <f t="shared" si="5"/>
        <v>01282</v>
      </c>
      <c r="F364" t="s">
        <v>111</v>
      </c>
      <c r="G364" t="s">
        <v>150</v>
      </c>
      <c r="H364" t="s">
        <v>151</v>
      </c>
      <c r="I364" t="s">
        <v>4</v>
      </c>
      <c r="J364" t="s">
        <v>152</v>
      </c>
      <c r="K364" t="s">
        <v>153</v>
      </c>
      <c r="L364">
        <v>251200151</v>
      </c>
      <c r="M364" s="84">
        <v>45998</v>
      </c>
      <c r="N364" s="84">
        <v>45998</v>
      </c>
      <c r="O364" t="s">
        <v>221</v>
      </c>
      <c r="P364" t="s">
        <v>222</v>
      </c>
      <c r="Q364">
        <v>5500</v>
      </c>
      <c r="R364">
        <v>10</v>
      </c>
      <c r="S364">
        <v>55000</v>
      </c>
      <c r="T364">
        <v>0</v>
      </c>
      <c r="U364">
        <v>0</v>
      </c>
      <c r="V364">
        <v>10</v>
      </c>
      <c r="W364">
        <v>55000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>
      <c r="A365">
        <v>357</v>
      </c>
      <c r="B365" t="s">
        <v>149</v>
      </c>
      <c r="C365">
        <v>1282</v>
      </c>
      <c r="D365" t="s">
        <v>374</v>
      </c>
      <c r="E365" t="str">
        <f t="shared" si="5"/>
        <v>01282</v>
      </c>
      <c r="F365" t="s">
        <v>111</v>
      </c>
      <c r="G365" t="s">
        <v>150</v>
      </c>
      <c r="H365" t="s">
        <v>151</v>
      </c>
      <c r="I365" t="s">
        <v>4</v>
      </c>
      <c r="J365" t="s">
        <v>152</v>
      </c>
      <c r="K365" t="s">
        <v>153</v>
      </c>
      <c r="L365">
        <v>251200151</v>
      </c>
      <c r="M365" s="84">
        <v>45998</v>
      </c>
      <c r="N365" s="84">
        <v>45998</v>
      </c>
      <c r="O365" t="s">
        <v>262</v>
      </c>
      <c r="P365" t="s">
        <v>263</v>
      </c>
      <c r="Q365">
        <v>5500</v>
      </c>
      <c r="R365">
        <v>10</v>
      </c>
      <c r="S365">
        <v>55000</v>
      </c>
      <c r="T365">
        <v>0</v>
      </c>
      <c r="U365">
        <v>0</v>
      </c>
      <c r="V365">
        <v>10</v>
      </c>
      <c r="W365">
        <v>55000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>
      <c r="A366">
        <v>358</v>
      </c>
      <c r="B366" t="s">
        <v>149</v>
      </c>
      <c r="C366">
        <v>1557</v>
      </c>
      <c r="D366" t="s">
        <v>344</v>
      </c>
      <c r="E366" t="str">
        <f t="shared" si="5"/>
        <v>01557</v>
      </c>
      <c r="F366" t="s">
        <v>111</v>
      </c>
      <c r="G366" t="s">
        <v>150</v>
      </c>
      <c r="H366" t="s">
        <v>151</v>
      </c>
      <c r="I366" t="s">
        <v>4</v>
      </c>
      <c r="J366" t="s">
        <v>152</v>
      </c>
      <c r="K366" t="s">
        <v>153</v>
      </c>
      <c r="L366">
        <v>251200152</v>
      </c>
      <c r="M366" s="84">
        <v>45998</v>
      </c>
      <c r="N366" s="84">
        <v>45998</v>
      </c>
      <c r="O366" t="s">
        <v>160</v>
      </c>
      <c r="P366" t="s">
        <v>161</v>
      </c>
      <c r="Q366">
        <v>5500</v>
      </c>
      <c r="R366">
        <v>20</v>
      </c>
      <c r="S366">
        <v>110000</v>
      </c>
      <c r="T366">
        <v>0</v>
      </c>
      <c r="U366">
        <v>0</v>
      </c>
      <c r="V366">
        <v>20</v>
      </c>
      <c r="W366">
        <v>110000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>
      <c r="A367">
        <v>359</v>
      </c>
      <c r="B367" t="s">
        <v>149</v>
      </c>
      <c r="C367">
        <v>1557</v>
      </c>
      <c r="D367" t="s">
        <v>344</v>
      </c>
      <c r="E367" t="str">
        <f t="shared" si="5"/>
        <v>01557</v>
      </c>
      <c r="F367" t="s">
        <v>111</v>
      </c>
      <c r="G367" t="s">
        <v>150</v>
      </c>
      <c r="H367" t="s">
        <v>151</v>
      </c>
      <c r="I367" t="s">
        <v>5</v>
      </c>
      <c r="J367" t="s">
        <v>152</v>
      </c>
      <c r="K367" t="s">
        <v>153</v>
      </c>
      <c r="L367">
        <v>251200152</v>
      </c>
      <c r="M367" s="84">
        <v>45998</v>
      </c>
      <c r="N367" s="84">
        <v>45998</v>
      </c>
      <c r="O367" t="s">
        <v>191</v>
      </c>
      <c r="P367" t="s">
        <v>192</v>
      </c>
      <c r="Q367">
        <v>4500</v>
      </c>
      <c r="R367">
        <v>20</v>
      </c>
      <c r="S367">
        <v>90000</v>
      </c>
      <c r="T367">
        <v>0</v>
      </c>
      <c r="U367">
        <v>0</v>
      </c>
      <c r="V367">
        <v>20</v>
      </c>
      <c r="W367">
        <v>90000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>
      <c r="A368">
        <v>360</v>
      </c>
      <c r="B368" t="s">
        <v>149</v>
      </c>
      <c r="C368">
        <v>88</v>
      </c>
      <c r="D368" t="s">
        <v>46</v>
      </c>
      <c r="E368" t="str">
        <f t="shared" si="5"/>
        <v>00088</v>
      </c>
      <c r="F368" t="s">
        <v>43</v>
      </c>
      <c r="G368" t="s">
        <v>150</v>
      </c>
      <c r="H368" t="s">
        <v>151</v>
      </c>
      <c r="I368" t="s">
        <v>5</v>
      </c>
      <c r="J368" t="s">
        <v>152</v>
      </c>
      <c r="K368" t="s">
        <v>153</v>
      </c>
      <c r="L368">
        <v>251200153</v>
      </c>
      <c r="M368" s="84">
        <v>45998</v>
      </c>
      <c r="N368" s="84">
        <v>45998</v>
      </c>
      <c r="O368" t="s">
        <v>191</v>
      </c>
      <c r="P368" t="s">
        <v>192</v>
      </c>
      <c r="Q368">
        <v>11700</v>
      </c>
      <c r="R368">
        <v>40</v>
      </c>
      <c r="S368">
        <v>468000</v>
      </c>
      <c r="T368">
        <v>0</v>
      </c>
      <c r="U368">
        <v>0</v>
      </c>
      <c r="V368">
        <v>40</v>
      </c>
      <c r="W368">
        <v>468000</v>
      </c>
      <c r="X368">
        <v>6000</v>
      </c>
      <c r="Y368">
        <v>6000</v>
      </c>
      <c r="Z368">
        <v>0</v>
      </c>
      <c r="AA368">
        <v>0</v>
      </c>
      <c r="AB368">
        <v>0</v>
      </c>
      <c r="AC368">
        <v>12000</v>
      </c>
    </row>
    <row r="369" spans="1:29">
      <c r="A369">
        <v>361</v>
      </c>
      <c r="B369" t="s">
        <v>149</v>
      </c>
      <c r="C369">
        <v>1112</v>
      </c>
      <c r="D369" t="s">
        <v>44</v>
      </c>
      <c r="E369" t="str">
        <f t="shared" si="5"/>
        <v>01112</v>
      </c>
      <c r="F369" t="s">
        <v>43</v>
      </c>
      <c r="G369" t="s">
        <v>150</v>
      </c>
      <c r="H369" t="s">
        <v>151</v>
      </c>
      <c r="I369" t="s">
        <v>5</v>
      </c>
      <c r="J369" t="s">
        <v>152</v>
      </c>
      <c r="K369" t="s">
        <v>153</v>
      </c>
      <c r="L369">
        <v>251200154</v>
      </c>
      <c r="M369" s="84">
        <v>45998</v>
      </c>
      <c r="N369" s="84">
        <v>45998</v>
      </c>
      <c r="O369" t="s">
        <v>165</v>
      </c>
      <c r="P369" t="s">
        <v>166</v>
      </c>
      <c r="Q369">
        <v>8500</v>
      </c>
      <c r="R369">
        <v>20</v>
      </c>
      <c r="S369">
        <v>170000</v>
      </c>
      <c r="T369">
        <v>0</v>
      </c>
      <c r="U369">
        <v>0</v>
      </c>
      <c r="V369">
        <v>20</v>
      </c>
      <c r="W369">
        <v>170000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>
      <c r="A370">
        <v>362</v>
      </c>
      <c r="B370" t="s">
        <v>149</v>
      </c>
      <c r="C370">
        <v>1288</v>
      </c>
      <c r="D370" t="s">
        <v>367</v>
      </c>
      <c r="E370" t="str">
        <f t="shared" si="5"/>
        <v>01288</v>
      </c>
      <c r="F370" t="s">
        <v>43</v>
      </c>
      <c r="G370" t="s">
        <v>150</v>
      </c>
      <c r="H370" t="s">
        <v>151</v>
      </c>
      <c r="I370" t="s">
        <v>4</v>
      </c>
      <c r="J370" t="s">
        <v>152</v>
      </c>
      <c r="K370" t="s">
        <v>153</v>
      </c>
      <c r="L370">
        <v>251200155</v>
      </c>
      <c r="M370" s="84">
        <v>45998</v>
      </c>
      <c r="N370" s="84">
        <v>45998</v>
      </c>
      <c r="O370" t="s">
        <v>160</v>
      </c>
      <c r="P370" t="s">
        <v>161</v>
      </c>
      <c r="Q370">
        <v>5500</v>
      </c>
      <c r="R370">
        <v>20</v>
      </c>
      <c r="S370">
        <v>110000</v>
      </c>
      <c r="T370">
        <v>0</v>
      </c>
      <c r="U370">
        <v>0</v>
      </c>
      <c r="V370">
        <v>20</v>
      </c>
      <c r="W370">
        <v>110000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>
      <c r="A371">
        <v>363</v>
      </c>
      <c r="B371" t="s">
        <v>149</v>
      </c>
      <c r="C371">
        <v>1549</v>
      </c>
      <c r="D371" t="s">
        <v>345</v>
      </c>
      <c r="E371" t="str">
        <f t="shared" si="5"/>
        <v>01549</v>
      </c>
      <c r="F371" t="s">
        <v>43</v>
      </c>
      <c r="G371" t="s">
        <v>150</v>
      </c>
      <c r="H371" t="s">
        <v>151</v>
      </c>
      <c r="I371" t="s">
        <v>4</v>
      </c>
      <c r="J371" t="s">
        <v>152</v>
      </c>
      <c r="K371" t="s">
        <v>153</v>
      </c>
      <c r="L371">
        <v>251200156</v>
      </c>
      <c r="M371" s="84">
        <v>45998</v>
      </c>
      <c r="N371" s="84">
        <v>45998</v>
      </c>
      <c r="O371" t="s">
        <v>215</v>
      </c>
      <c r="P371" t="s">
        <v>216</v>
      </c>
      <c r="Q371">
        <v>5500</v>
      </c>
      <c r="R371">
        <v>5</v>
      </c>
      <c r="S371">
        <v>27500</v>
      </c>
      <c r="T371">
        <v>0</v>
      </c>
      <c r="U371">
        <v>0</v>
      </c>
      <c r="V371">
        <v>5</v>
      </c>
      <c r="W371">
        <v>27500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>
      <c r="A372">
        <v>364</v>
      </c>
      <c r="B372" t="s">
        <v>149</v>
      </c>
      <c r="C372">
        <v>1290</v>
      </c>
      <c r="D372" t="s">
        <v>375</v>
      </c>
      <c r="E372" t="str">
        <f t="shared" si="5"/>
        <v>01290</v>
      </c>
      <c r="F372" t="s">
        <v>43</v>
      </c>
      <c r="G372" t="s">
        <v>150</v>
      </c>
      <c r="H372" t="s">
        <v>151</v>
      </c>
      <c r="I372" t="s">
        <v>5</v>
      </c>
      <c r="J372" t="s">
        <v>152</v>
      </c>
      <c r="K372" t="s">
        <v>153</v>
      </c>
      <c r="L372">
        <v>251200157</v>
      </c>
      <c r="M372" s="84">
        <v>45998</v>
      </c>
      <c r="N372" s="84">
        <v>45998</v>
      </c>
      <c r="O372" t="s">
        <v>260</v>
      </c>
      <c r="P372" t="s">
        <v>261</v>
      </c>
      <c r="Q372">
        <v>4500</v>
      </c>
      <c r="R372">
        <v>8</v>
      </c>
      <c r="S372">
        <v>36000</v>
      </c>
      <c r="T372">
        <v>0</v>
      </c>
      <c r="U372">
        <v>0</v>
      </c>
      <c r="V372">
        <v>8</v>
      </c>
      <c r="W372">
        <v>36000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>
      <c r="A373">
        <v>365</v>
      </c>
      <c r="B373" t="s">
        <v>149</v>
      </c>
      <c r="C373">
        <v>1290</v>
      </c>
      <c r="D373" t="s">
        <v>375</v>
      </c>
      <c r="E373" t="str">
        <f t="shared" si="5"/>
        <v>01290</v>
      </c>
      <c r="F373" t="s">
        <v>43</v>
      </c>
      <c r="G373" t="s">
        <v>150</v>
      </c>
      <c r="H373" t="s">
        <v>151</v>
      </c>
      <c r="I373" t="s">
        <v>5</v>
      </c>
      <c r="J373" t="s">
        <v>152</v>
      </c>
      <c r="K373" t="s">
        <v>153</v>
      </c>
      <c r="L373">
        <v>251200157</v>
      </c>
      <c r="M373" s="84">
        <v>45998</v>
      </c>
      <c r="N373" s="84">
        <v>45998</v>
      </c>
      <c r="O373" t="s">
        <v>253</v>
      </c>
      <c r="P373" t="s">
        <v>254</v>
      </c>
      <c r="Q373">
        <v>4500</v>
      </c>
      <c r="R373">
        <v>8</v>
      </c>
      <c r="S373">
        <v>36000</v>
      </c>
      <c r="T373">
        <v>0</v>
      </c>
      <c r="U373">
        <v>0</v>
      </c>
      <c r="V373">
        <v>8</v>
      </c>
      <c r="W373">
        <v>36000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>
      <c r="A374">
        <v>366</v>
      </c>
      <c r="B374" t="s">
        <v>149</v>
      </c>
      <c r="C374">
        <v>1355</v>
      </c>
      <c r="D374" t="s">
        <v>102</v>
      </c>
      <c r="E374" t="str">
        <f t="shared" si="5"/>
        <v>01355</v>
      </c>
      <c r="F374" t="s">
        <v>95</v>
      </c>
      <c r="G374" t="s">
        <v>187</v>
      </c>
      <c r="H374" t="s">
        <v>188</v>
      </c>
      <c r="I374" t="s">
        <v>4</v>
      </c>
      <c r="J374" t="s">
        <v>152</v>
      </c>
      <c r="K374" t="s">
        <v>159</v>
      </c>
      <c r="L374">
        <v>251200158</v>
      </c>
      <c r="M374" s="84">
        <v>45998</v>
      </c>
      <c r="N374" s="84">
        <v>45998</v>
      </c>
      <c r="O374" t="s">
        <v>160</v>
      </c>
      <c r="P374" t="s">
        <v>161</v>
      </c>
      <c r="Q374">
        <v>13200</v>
      </c>
      <c r="R374">
        <v>4</v>
      </c>
      <c r="S374">
        <v>52800</v>
      </c>
      <c r="T374">
        <v>0</v>
      </c>
      <c r="U374">
        <v>0</v>
      </c>
      <c r="V374">
        <v>4</v>
      </c>
      <c r="W374">
        <v>52800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 spans="1:29">
      <c r="A375">
        <v>367</v>
      </c>
      <c r="B375" t="s">
        <v>149</v>
      </c>
      <c r="C375">
        <v>471</v>
      </c>
      <c r="D375" t="s">
        <v>25</v>
      </c>
      <c r="E375" t="str">
        <f t="shared" si="5"/>
        <v>00471</v>
      </c>
      <c r="F375" t="s">
        <v>20</v>
      </c>
      <c r="G375" t="s">
        <v>193</v>
      </c>
      <c r="H375" t="s">
        <v>151</v>
      </c>
      <c r="I375" t="s">
        <v>4</v>
      </c>
      <c r="J375" t="s">
        <v>152</v>
      </c>
      <c r="K375" t="s">
        <v>236</v>
      </c>
      <c r="L375">
        <v>251200159</v>
      </c>
      <c r="M375" s="84">
        <v>45998</v>
      </c>
      <c r="N375" s="84">
        <v>45998</v>
      </c>
      <c r="O375" t="s">
        <v>206</v>
      </c>
      <c r="P375" t="s">
        <v>207</v>
      </c>
      <c r="Q375">
        <v>14250</v>
      </c>
      <c r="R375">
        <v>15</v>
      </c>
      <c r="S375">
        <v>213750</v>
      </c>
      <c r="T375">
        <v>0</v>
      </c>
      <c r="U375">
        <v>0</v>
      </c>
      <c r="V375">
        <v>15</v>
      </c>
      <c r="W375">
        <v>213750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>
      <c r="A376">
        <v>368</v>
      </c>
      <c r="B376" t="s">
        <v>149</v>
      </c>
      <c r="C376">
        <v>471</v>
      </c>
      <c r="D376" t="s">
        <v>25</v>
      </c>
      <c r="E376" t="str">
        <f t="shared" si="5"/>
        <v>00471</v>
      </c>
      <c r="F376" t="s">
        <v>20</v>
      </c>
      <c r="G376" t="s">
        <v>193</v>
      </c>
      <c r="H376" t="s">
        <v>151</v>
      </c>
      <c r="I376" t="s">
        <v>4</v>
      </c>
      <c r="J376" t="s">
        <v>152</v>
      </c>
      <c r="K376" t="s">
        <v>236</v>
      </c>
      <c r="L376">
        <v>251200160</v>
      </c>
      <c r="M376" s="84">
        <v>45998</v>
      </c>
      <c r="N376" s="84">
        <v>45998</v>
      </c>
      <c r="O376" t="s">
        <v>204</v>
      </c>
      <c r="P376" t="s">
        <v>205</v>
      </c>
      <c r="Q376">
        <v>14250</v>
      </c>
      <c r="R376">
        <v>5</v>
      </c>
      <c r="S376">
        <v>71250</v>
      </c>
      <c r="T376">
        <v>0</v>
      </c>
      <c r="U376">
        <v>0</v>
      </c>
      <c r="V376">
        <v>5</v>
      </c>
      <c r="W376">
        <v>71250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>
      <c r="A377">
        <v>369</v>
      </c>
      <c r="B377" t="s">
        <v>149</v>
      </c>
      <c r="C377">
        <v>471</v>
      </c>
      <c r="D377" t="s">
        <v>25</v>
      </c>
      <c r="E377" t="str">
        <f t="shared" si="5"/>
        <v>00471</v>
      </c>
      <c r="F377" t="s">
        <v>20</v>
      </c>
      <c r="G377" t="s">
        <v>193</v>
      </c>
      <c r="H377" t="s">
        <v>151</v>
      </c>
      <c r="I377" t="s">
        <v>4</v>
      </c>
      <c r="J377" t="s">
        <v>152</v>
      </c>
      <c r="K377" t="s">
        <v>236</v>
      </c>
      <c r="L377">
        <v>251200160</v>
      </c>
      <c r="M377" s="84">
        <v>45998</v>
      </c>
      <c r="N377" s="84">
        <v>45998</v>
      </c>
      <c r="O377" t="s">
        <v>179</v>
      </c>
      <c r="P377" t="s">
        <v>180</v>
      </c>
      <c r="Q377">
        <v>14250</v>
      </c>
      <c r="R377">
        <v>10</v>
      </c>
      <c r="S377">
        <v>142500</v>
      </c>
      <c r="T377">
        <v>0</v>
      </c>
      <c r="U377">
        <v>0</v>
      </c>
      <c r="V377">
        <v>10</v>
      </c>
      <c r="W377">
        <v>142500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>
      <c r="A378">
        <v>370</v>
      </c>
      <c r="B378" t="s">
        <v>149</v>
      </c>
      <c r="C378">
        <v>471</v>
      </c>
      <c r="D378" t="s">
        <v>25</v>
      </c>
      <c r="E378" t="str">
        <f t="shared" si="5"/>
        <v>00471</v>
      </c>
      <c r="F378" t="s">
        <v>20</v>
      </c>
      <c r="G378" t="s">
        <v>193</v>
      </c>
      <c r="H378" t="s">
        <v>151</v>
      </c>
      <c r="I378" t="s">
        <v>4</v>
      </c>
      <c r="J378" t="s">
        <v>152</v>
      </c>
      <c r="K378" t="s">
        <v>236</v>
      </c>
      <c r="L378">
        <v>251200160</v>
      </c>
      <c r="M378" s="84">
        <v>45998</v>
      </c>
      <c r="N378" s="84">
        <v>45998</v>
      </c>
      <c r="O378" t="s">
        <v>162</v>
      </c>
      <c r="P378" t="s">
        <v>163</v>
      </c>
      <c r="Q378">
        <v>14250</v>
      </c>
      <c r="R378">
        <v>10</v>
      </c>
      <c r="S378">
        <v>142500</v>
      </c>
      <c r="T378">
        <v>0</v>
      </c>
      <c r="U378">
        <v>0</v>
      </c>
      <c r="V378">
        <v>10</v>
      </c>
      <c r="W378">
        <v>142500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>
      <c r="A379">
        <v>371</v>
      </c>
      <c r="B379" t="s">
        <v>149</v>
      </c>
      <c r="C379">
        <v>471</v>
      </c>
      <c r="D379" t="s">
        <v>25</v>
      </c>
      <c r="E379" t="str">
        <f t="shared" si="5"/>
        <v>00471</v>
      </c>
      <c r="F379" t="s">
        <v>20</v>
      </c>
      <c r="G379" t="s">
        <v>193</v>
      </c>
      <c r="H379" t="s">
        <v>151</v>
      </c>
      <c r="I379" t="s">
        <v>4</v>
      </c>
      <c r="J379" t="s">
        <v>152</v>
      </c>
      <c r="K379" t="s">
        <v>236</v>
      </c>
      <c r="L379">
        <v>251200160</v>
      </c>
      <c r="M379" s="84">
        <v>45998</v>
      </c>
      <c r="N379" s="84">
        <v>45998</v>
      </c>
      <c r="O379" t="s">
        <v>160</v>
      </c>
      <c r="P379" t="s">
        <v>161</v>
      </c>
      <c r="Q379">
        <v>14250</v>
      </c>
      <c r="R379">
        <v>20</v>
      </c>
      <c r="S379">
        <v>285000</v>
      </c>
      <c r="T379">
        <v>0</v>
      </c>
      <c r="U379">
        <v>0</v>
      </c>
      <c r="V379">
        <v>20</v>
      </c>
      <c r="W379">
        <v>285000</v>
      </c>
      <c r="X379">
        <v>3000</v>
      </c>
      <c r="Y379">
        <v>4000</v>
      </c>
      <c r="Z379">
        <v>0</v>
      </c>
      <c r="AA379">
        <v>0</v>
      </c>
      <c r="AB379">
        <v>0</v>
      </c>
      <c r="AC379">
        <v>7000</v>
      </c>
    </row>
    <row r="380" spans="1:29">
      <c r="A380">
        <v>372</v>
      </c>
      <c r="B380" t="s">
        <v>149</v>
      </c>
      <c r="C380">
        <v>471</v>
      </c>
      <c r="D380" t="s">
        <v>25</v>
      </c>
      <c r="E380" t="str">
        <f t="shared" si="5"/>
        <v>00471</v>
      </c>
      <c r="F380" t="s">
        <v>20</v>
      </c>
      <c r="G380" t="s">
        <v>193</v>
      </c>
      <c r="H380" t="s">
        <v>151</v>
      </c>
      <c r="I380" t="s">
        <v>5</v>
      </c>
      <c r="J380" t="s">
        <v>152</v>
      </c>
      <c r="K380" t="s">
        <v>236</v>
      </c>
      <c r="L380">
        <v>251200160</v>
      </c>
      <c r="M380" s="84">
        <v>45998</v>
      </c>
      <c r="N380" s="84">
        <v>45998</v>
      </c>
      <c r="O380" t="s">
        <v>191</v>
      </c>
      <c r="P380" t="s">
        <v>192</v>
      </c>
      <c r="Q380">
        <v>11700</v>
      </c>
      <c r="R380">
        <v>15</v>
      </c>
      <c r="S380">
        <v>175500</v>
      </c>
      <c r="T380">
        <v>0</v>
      </c>
      <c r="U380">
        <v>0</v>
      </c>
      <c r="V380">
        <v>15</v>
      </c>
      <c r="W380">
        <v>175500</v>
      </c>
      <c r="X380">
        <v>2250</v>
      </c>
      <c r="Y380">
        <v>2250</v>
      </c>
      <c r="Z380">
        <v>0</v>
      </c>
      <c r="AA380">
        <v>0</v>
      </c>
      <c r="AB380">
        <v>0</v>
      </c>
      <c r="AC380">
        <v>4500</v>
      </c>
    </row>
    <row r="381" spans="1:29">
      <c r="A381">
        <v>373</v>
      </c>
      <c r="B381" t="s">
        <v>149</v>
      </c>
      <c r="C381">
        <v>1581</v>
      </c>
      <c r="D381" t="s">
        <v>96</v>
      </c>
      <c r="E381" t="str">
        <f t="shared" si="5"/>
        <v>01581</v>
      </c>
      <c r="F381" t="s">
        <v>95</v>
      </c>
      <c r="G381" t="s">
        <v>187</v>
      </c>
      <c r="H381" t="s">
        <v>188</v>
      </c>
      <c r="I381" t="s">
        <v>4</v>
      </c>
      <c r="J381" t="s">
        <v>152</v>
      </c>
      <c r="K381" t="s">
        <v>159</v>
      </c>
      <c r="L381">
        <v>251200161</v>
      </c>
      <c r="M381" s="84">
        <v>45998</v>
      </c>
      <c r="N381" s="84">
        <v>45998</v>
      </c>
      <c r="O381" t="s">
        <v>262</v>
      </c>
      <c r="P381" t="s">
        <v>263</v>
      </c>
      <c r="Q381">
        <v>13300</v>
      </c>
      <c r="R381">
        <v>5</v>
      </c>
      <c r="S381">
        <v>66500</v>
      </c>
      <c r="T381">
        <v>0</v>
      </c>
      <c r="U381">
        <v>0</v>
      </c>
      <c r="V381">
        <v>5</v>
      </c>
      <c r="W381">
        <v>66500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>
      <c r="A382">
        <v>374</v>
      </c>
      <c r="B382" t="s">
        <v>149</v>
      </c>
      <c r="C382">
        <v>1356</v>
      </c>
      <c r="D382" t="s">
        <v>98</v>
      </c>
      <c r="E382" t="str">
        <f t="shared" si="5"/>
        <v>01356</v>
      </c>
      <c r="F382" t="s">
        <v>95</v>
      </c>
      <c r="G382" t="s">
        <v>187</v>
      </c>
      <c r="H382" t="s">
        <v>188</v>
      </c>
      <c r="I382" t="s">
        <v>4</v>
      </c>
      <c r="J382" t="s">
        <v>152</v>
      </c>
      <c r="K382" t="s">
        <v>159</v>
      </c>
      <c r="L382">
        <v>251200162</v>
      </c>
      <c r="M382" s="84">
        <v>45998</v>
      </c>
      <c r="N382" s="84">
        <v>45998</v>
      </c>
      <c r="O382" t="s">
        <v>168</v>
      </c>
      <c r="P382" t="s">
        <v>169</v>
      </c>
      <c r="Q382">
        <v>13300</v>
      </c>
      <c r="R382">
        <v>10</v>
      </c>
      <c r="S382">
        <v>133000</v>
      </c>
      <c r="T382">
        <v>0</v>
      </c>
      <c r="U382">
        <v>0</v>
      </c>
      <c r="V382">
        <v>10</v>
      </c>
      <c r="W382">
        <v>133000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>
      <c r="A383">
        <v>375</v>
      </c>
      <c r="B383" t="s">
        <v>149</v>
      </c>
      <c r="C383">
        <v>1448</v>
      </c>
      <c r="D383" t="s">
        <v>21</v>
      </c>
      <c r="E383" t="str">
        <f t="shared" si="5"/>
        <v>01448</v>
      </c>
      <c r="F383" t="s">
        <v>20</v>
      </c>
      <c r="G383" t="s">
        <v>193</v>
      </c>
      <c r="H383" t="s">
        <v>151</v>
      </c>
      <c r="I383" t="s">
        <v>5</v>
      </c>
      <c r="J383" t="s">
        <v>152</v>
      </c>
      <c r="K383" t="s">
        <v>236</v>
      </c>
      <c r="L383">
        <v>251200163</v>
      </c>
      <c r="M383" s="84">
        <v>45998</v>
      </c>
      <c r="N383" s="84">
        <v>45998</v>
      </c>
      <c r="O383" t="s">
        <v>191</v>
      </c>
      <c r="P383" t="s">
        <v>192</v>
      </c>
      <c r="Q383">
        <v>11700</v>
      </c>
      <c r="R383">
        <v>5</v>
      </c>
      <c r="S383">
        <v>58500</v>
      </c>
      <c r="T383">
        <v>0</v>
      </c>
      <c r="U383">
        <v>0</v>
      </c>
      <c r="V383">
        <v>5</v>
      </c>
      <c r="W383">
        <v>58500</v>
      </c>
      <c r="X383">
        <v>750</v>
      </c>
      <c r="Y383">
        <v>750</v>
      </c>
      <c r="Z383">
        <v>0</v>
      </c>
      <c r="AA383">
        <v>0</v>
      </c>
      <c r="AB383">
        <v>0</v>
      </c>
      <c r="AC383">
        <v>1500</v>
      </c>
    </row>
    <row r="384" spans="1:29">
      <c r="A384">
        <v>376</v>
      </c>
      <c r="B384" t="s">
        <v>149</v>
      </c>
      <c r="C384">
        <v>1326</v>
      </c>
      <c r="D384" t="s">
        <v>338</v>
      </c>
      <c r="E384" t="str">
        <f t="shared" si="5"/>
        <v>01326</v>
      </c>
      <c r="F384" t="s">
        <v>15</v>
      </c>
      <c r="G384" t="s">
        <v>193</v>
      </c>
      <c r="H384" t="s">
        <v>151</v>
      </c>
      <c r="I384" t="s">
        <v>5</v>
      </c>
      <c r="J384" t="s">
        <v>152</v>
      </c>
      <c r="K384" t="s">
        <v>153</v>
      </c>
      <c r="L384">
        <v>251200164</v>
      </c>
      <c r="M384" s="84">
        <v>45998</v>
      </c>
      <c r="N384" s="84">
        <v>45998</v>
      </c>
      <c r="O384" t="s">
        <v>260</v>
      </c>
      <c r="P384" t="s">
        <v>261</v>
      </c>
      <c r="Q384">
        <v>4500</v>
      </c>
      <c r="R384">
        <v>4</v>
      </c>
      <c r="S384">
        <v>18000</v>
      </c>
      <c r="T384">
        <v>0</v>
      </c>
      <c r="U384">
        <v>0</v>
      </c>
      <c r="V384">
        <v>4</v>
      </c>
      <c r="W384">
        <v>18000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>
      <c r="A385">
        <v>377</v>
      </c>
      <c r="B385" t="s">
        <v>149</v>
      </c>
      <c r="C385">
        <v>1326</v>
      </c>
      <c r="D385" t="s">
        <v>338</v>
      </c>
      <c r="E385" t="str">
        <f t="shared" si="5"/>
        <v>01326</v>
      </c>
      <c r="F385" t="s">
        <v>15</v>
      </c>
      <c r="G385" t="s">
        <v>193</v>
      </c>
      <c r="H385" t="s">
        <v>151</v>
      </c>
      <c r="I385" t="s">
        <v>5</v>
      </c>
      <c r="J385" t="s">
        <v>152</v>
      </c>
      <c r="K385" t="s">
        <v>153</v>
      </c>
      <c r="L385">
        <v>251200165</v>
      </c>
      <c r="M385" s="84">
        <v>45998</v>
      </c>
      <c r="N385" s="84">
        <v>45998</v>
      </c>
      <c r="O385" t="s">
        <v>339</v>
      </c>
      <c r="P385" t="s">
        <v>340</v>
      </c>
      <c r="Q385">
        <v>4500</v>
      </c>
      <c r="R385">
        <v>8</v>
      </c>
      <c r="S385">
        <v>36000</v>
      </c>
      <c r="T385">
        <v>0</v>
      </c>
      <c r="U385">
        <v>0</v>
      </c>
      <c r="V385">
        <v>8</v>
      </c>
      <c r="W385">
        <v>36000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>
      <c r="A386">
        <v>378</v>
      </c>
      <c r="B386" t="s">
        <v>149</v>
      </c>
      <c r="C386">
        <v>1326</v>
      </c>
      <c r="D386" t="s">
        <v>338</v>
      </c>
      <c r="E386" t="str">
        <f t="shared" si="5"/>
        <v>01326</v>
      </c>
      <c r="F386" t="s">
        <v>15</v>
      </c>
      <c r="G386" t="s">
        <v>193</v>
      </c>
      <c r="H386" t="s">
        <v>151</v>
      </c>
      <c r="I386" t="s">
        <v>5</v>
      </c>
      <c r="J386" t="s">
        <v>152</v>
      </c>
      <c r="K386" t="s">
        <v>153</v>
      </c>
      <c r="L386">
        <v>251200165</v>
      </c>
      <c r="M386" s="84">
        <v>45998</v>
      </c>
      <c r="N386" s="84">
        <v>45998</v>
      </c>
      <c r="O386" t="s">
        <v>191</v>
      </c>
      <c r="P386" t="s">
        <v>192</v>
      </c>
      <c r="Q386">
        <v>4500</v>
      </c>
      <c r="R386">
        <v>80</v>
      </c>
      <c r="S386">
        <v>360000</v>
      </c>
      <c r="T386">
        <v>0</v>
      </c>
      <c r="U386">
        <v>0</v>
      </c>
      <c r="V386">
        <v>80</v>
      </c>
      <c r="W386">
        <v>360000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 spans="1:29">
      <c r="A387">
        <v>379</v>
      </c>
      <c r="B387" t="s">
        <v>149</v>
      </c>
      <c r="C387">
        <v>988</v>
      </c>
      <c r="D387" t="s">
        <v>19</v>
      </c>
      <c r="E387" t="str">
        <f t="shared" si="5"/>
        <v>00988</v>
      </c>
      <c r="F387" t="s">
        <v>15</v>
      </c>
      <c r="G387" t="s">
        <v>193</v>
      </c>
      <c r="H387" t="s">
        <v>151</v>
      </c>
      <c r="I387" t="s">
        <v>5</v>
      </c>
      <c r="J387" t="s">
        <v>152</v>
      </c>
      <c r="K387" t="s">
        <v>153</v>
      </c>
      <c r="L387">
        <v>251200166</v>
      </c>
      <c r="M387" s="84">
        <v>45998</v>
      </c>
      <c r="N387" s="84">
        <v>45998</v>
      </c>
      <c r="O387" t="s">
        <v>253</v>
      </c>
      <c r="P387" t="s">
        <v>254</v>
      </c>
      <c r="Q387">
        <v>11700</v>
      </c>
      <c r="R387">
        <v>4</v>
      </c>
      <c r="S387">
        <v>46800</v>
      </c>
      <c r="T387">
        <v>0</v>
      </c>
      <c r="U387">
        <v>0</v>
      </c>
      <c r="V387">
        <v>4</v>
      </c>
      <c r="W387">
        <v>46800</v>
      </c>
      <c r="X387">
        <v>600</v>
      </c>
      <c r="Y387">
        <v>600</v>
      </c>
      <c r="Z387">
        <v>0</v>
      </c>
      <c r="AA387">
        <v>0</v>
      </c>
      <c r="AB387">
        <v>0</v>
      </c>
      <c r="AC387">
        <v>1200</v>
      </c>
    </row>
    <row r="388" spans="1:29">
      <c r="A388">
        <v>380</v>
      </c>
      <c r="B388" t="s">
        <v>149</v>
      </c>
      <c r="C388">
        <v>988</v>
      </c>
      <c r="D388" t="s">
        <v>19</v>
      </c>
      <c r="E388" t="str">
        <f t="shared" si="5"/>
        <v>00988</v>
      </c>
      <c r="F388" t="s">
        <v>15</v>
      </c>
      <c r="G388" t="s">
        <v>193</v>
      </c>
      <c r="H388" t="s">
        <v>151</v>
      </c>
      <c r="I388" t="s">
        <v>210</v>
      </c>
      <c r="J388" t="s">
        <v>152</v>
      </c>
      <c r="K388" t="s">
        <v>153</v>
      </c>
      <c r="L388">
        <v>251200166</v>
      </c>
      <c r="M388" s="84">
        <v>45998</v>
      </c>
      <c r="N388" s="84">
        <v>45998</v>
      </c>
      <c r="O388" t="s">
        <v>213</v>
      </c>
      <c r="P388" t="s">
        <v>214</v>
      </c>
      <c r="Q388">
        <v>23802</v>
      </c>
      <c r="R388">
        <v>5</v>
      </c>
      <c r="S388">
        <v>119010</v>
      </c>
      <c r="T388">
        <v>0</v>
      </c>
      <c r="U388">
        <v>0</v>
      </c>
      <c r="V388">
        <v>5</v>
      </c>
      <c r="W388">
        <v>119010</v>
      </c>
      <c r="X388">
        <v>2380</v>
      </c>
      <c r="Y388">
        <v>2380</v>
      </c>
      <c r="Z388">
        <v>5000</v>
      </c>
      <c r="AA388">
        <v>0</v>
      </c>
      <c r="AB388">
        <v>500</v>
      </c>
      <c r="AC388">
        <v>10260</v>
      </c>
    </row>
    <row r="389" spans="1:29">
      <c r="A389">
        <v>381</v>
      </c>
      <c r="B389" t="s">
        <v>149</v>
      </c>
      <c r="C389">
        <v>988</v>
      </c>
      <c r="D389" t="s">
        <v>19</v>
      </c>
      <c r="E389" t="str">
        <f t="shared" si="5"/>
        <v>00988</v>
      </c>
      <c r="F389" t="s">
        <v>15</v>
      </c>
      <c r="G389" t="s">
        <v>193</v>
      </c>
      <c r="H389" t="s">
        <v>151</v>
      </c>
      <c r="I389" t="s">
        <v>238</v>
      </c>
      <c r="J389" t="s">
        <v>152</v>
      </c>
      <c r="K389" t="s">
        <v>153</v>
      </c>
      <c r="L389">
        <v>251200166</v>
      </c>
      <c r="M389" s="84">
        <v>45998</v>
      </c>
      <c r="N389" s="84">
        <v>45998</v>
      </c>
      <c r="O389" t="s">
        <v>247</v>
      </c>
      <c r="P389" t="s">
        <v>116</v>
      </c>
      <c r="Q389">
        <v>10982</v>
      </c>
      <c r="R389">
        <v>1</v>
      </c>
      <c r="S389">
        <v>10982</v>
      </c>
      <c r="T389">
        <v>0</v>
      </c>
      <c r="U389">
        <v>0</v>
      </c>
      <c r="V389">
        <v>1</v>
      </c>
      <c r="W389">
        <v>10982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>
      <c r="A390">
        <v>382</v>
      </c>
      <c r="B390" t="s">
        <v>149</v>
      </c>
      <c r="C390">
        <v>988</v>
      </c>
      <c r="D390" t="s">
        <v>19</v>
      </c>
      <c r="E390" t="str">
        <f t="shared" si="5"/>
        <v>00988</v>
      </c>
      <c r="F390" t="s">
        <v>15</v>
      </c>
      <c r="G390" t="s">
        <v>193</v>
      </c>
      <c r="H390" t="s">
        <v>151</v>
      </c>
      <c r="I390" t="s">
        <v>5</v>
      </c>
      <c r="J390" t="s">
        <v>152</v>
      </c>
      <c r="K390" t="s">
        <v>153</v>
      </c>
      <c r="L390">
        <v>251200166</v>
      </c>
      <c r="M390" s="84">
        <v>45998</v>
      </c>
      <c r="N390" s="84">
        <v>45998</v>
      </c>
      <c r="O390" t="s">
        <v>191</v>
      </c>
      <c r="P390" t="s">
        <v>192</v>
      </c>
      <c r="Q390">
        <v>11700</v>
      </c>
      <c r="R390">
        <v>40</v>
      </c>
      <c r="S390">
        <v>468000</v>
      </c>
      <c r="T390">
        <v>0</v>
      </c>
      <c r="U390">
        <v>0</v>
      </c>
      <c r="V390">
        <v>40</v>
      </c>
      <c r="W390">
        <v>468000</v>
      </c>
      <c r="X390">
        <v>6000</v>
      </c>
      <c r="Y390">
        <v>6000</v>
      </c>
      <c r="Z390">
        <v>0</v>
      </c>
      <c r="AA390">
        <v>0</v>
      </c>
      <c r="AB390">
        <v>0</v>
      </c>
      <c r="AC390">
        <v>12000</v>
      </c>
    </row>
    <row r="391" spans="1:29">
      <c r="A391">
        <v>383</v>
      </c>
      <c r="B391" t="s">
        <v>149</v>
      </c>
      <c r="C391">
        <v>988</v>
      </c>
      <c r="D391" t="s">
        <v>19</v>
      </c>
      <c r="E391" t="str">
        <f t="shared" si="5"/>
        <v>00988</v>
      </c>
      <c r="F391" t="s">
        <v>15</v>
      </c>
      <c r="G391" t="s">
        <v>193</v>
      </c>
      <c r="H391" t="s">
        <v>151</v>
      </c>
      <c r="I391" t="s">
        <v>238</v>
      </c>
      <c r="J391" t="s">
        <v>152</v>
      </c>
      <c r="K391" t="s">
        <v>153</v>
      </c>
      <c r="L391">
        <v>251200166</v>
      </c>
      <c r="M391" s="84">
        <v>45998</v>
      </c>
      <c r="N391" s="84">
        <v>45998</v>
      </c>
      <c r="O391" t="s">
        <v>241</v>
      </c>
      <c r="P391" t="s">
        <v>242</v>
      </c>
      <c r="Q391">
        <v>17156</v>
      </c>
      <c r="R391">
        <v>2</v>
      </c>
      <c r="S391">
        <v>34312</v>
      </c>
      <c r="T391">
        <v>0</v>
      </c>
      <c r="U391">
        <v>0</v>
      </c>
      <c r="V391">
        <v>2</v>
      </c>
      <c r="W391">
        <v>34312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>
      <c r="A392">
        <v>384</v>
      </c>
      <c r="B392" t="s">
        <v>149</v>
      </c>
      <c r="C392">
        <v>988</v>
      </c>
      <c r="D392" t="s">
        <v>19</v>
      </c>
      <c r="E392" t="str">
        <f t="shared" si="5"/>
        <v>00988</v>
      </c>
      <c r="F392" t="s">
        <v>15</v>
      </c>
      <c r="G392" t="s">
        <v>193</v>
      </c>
      <c r="H392" t="s">
        <v>151</v>
      </c>
      <c r="I392" t="s">
        <v>4</v>
      </c>
      <c r="J392" t="s">
        <v>152</v>
      </c>
      <c r="K392" t="s">
        <v>153</v>
      </c>
      <c r="L392">
        <v>251200166</v>
      </c>
      <c r="M392" s="84">
        <v>45998</v>
      </c>
      <c r="N392" s="84">
        <v>45998</v>
      </c>
      <c r="O392" t="s">
        <v>179</v>
      </c>
      <c r="P392" t="s">
        <v>180</v>
      </c>
      <c r="Q392">
        <v>14250</v>
      </c>
      <c r="R392">
        <v>15</v>
      </c>
      <c r="S392">
        <v>213750</v>
      </c>
      <c r="T392">
        <v>0</v>
      </c>
      <c r="U392">
        <v>0</v>
      </c>
      <c r="V392">
        <v>15</v>
      </c>
      <c r="W392">
        <v>213750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>
      <c r="A393">
        <v>385</v>
      </c>
      <c r="B393" t="s">
        <v>149</v>
      </c>
      <c r="C393">
        <v>988</v>
      </c>
      <c r="D393" t="s">
        <v>19</v>
      </c>
      <c r="E393" t="str">
        <f t="shared" ref="E393:E456" si="6">TEXT(C393,"00000")</f>
        <v>00988</v>
      </c>
      <c r="F393" t="s">
        <v>15</v>
      </c>
      <c r="G393" t="s">
        <v>193</v>
      </c>
      <c r="H393" t="s">
        <v>151</v>
      </c>
      <c r="I393" t="s">
        <v>231</v>
      </c>
      <c r="J393" t="s">
        <v>152</v>
      </c>
      <c r="K393" t="s">
        <v>153</v>
      </c>
      <c r="L393">
        <v>251200166</v>
      </c>
      <c r="M393" s="84">
        <v>45998</v>
      </c>
      <c r="N393" s="84">
        <v>45998</v>
      </c>
      <c r="O393" t="s">
        <v>233</v>
      </c>
      <c r="P393" t="s">
        <v>118</v>
      </c>
      <c r="Q393">
        <v>4486</v>
      </c>
      <c r="R393">
        <v>2</v>
      </c>
      <c r="S393">
        <v>8972</v>
      </c>
      <c r="T393">
        <v>0</v>
      </c>
      <c r="U393">
        <v>0</v>
      </c>
      <c r="V393">
        <v>2</v>
      </c>
      <c r="W393">
        <v>8972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>
      <c r="A394">
        <v>386</v>
      </c>
      <c r="B394" t="s">
        <v>149</v>
      </c>
      <c r="C394">
        <v>988</v>
      </c>
      <c r="D394" t="s">
        <v>19</v>
      </c>
      <c r="E394" t="str">
        <f t="shared" si="6"/>
        <v>00988</v>
      </c>
      <c r="F394" t="s">
        <v>15</v>
      </c>
      <c r="G394" t="s">
        <v>193</v>
      </c>
      <c r="H394" t="s">
        <v>151</v>
      </c>
      <c r="I394" t="s">
        <v>4</v>
      </c>
      <c r="J394" t="s">
        <v>152</v>
      </c>
      <c r="K394" t="s">
        <v>153</v>
      </c>
      <c r="L394">
        <v>251200166</v>
      </c>
      <c r="M394" s="84">
        <v>45998</v>
      </c>
      <c r="N394" s="84">
        <v>45998</v>
      </c>
      <c r="O394" t="s">
        <v>160</v>
      </c>
      <c r="P394" t="s">
        <v>161</v>
      </c>
      <c r="Q394">
        <v>14250</v>
      </c>
      <c r="R394">
        <v>5</v>
      </c>
      <c r="S394">
        <v>71250</v>
      </c>
      <c r="T394">
        <v>0</v>
      </c>
      <c r="U394">
        <v>0</v>
      </c>
      <c r="V394">
        <v>5</v>
      </c>
      <c r="W394">
        <v>71250</v>
      </c>
      <c r="X394">
        <v>750</v>
      </c>
      <c r="Y394">
        <v>1000</v>
      </c>
      <c r="Z394">
        <v>0</v>
      </c>
      <c r="AA394">
        <v>0</v>
      </c>
      <c r="AB394">
        <v>0</v>
      </c>
      <c r="AC394">
        <v>1750</v>
      </c>
    </row>
    <row r="395" spans="1:29">
      <c r="A395">
        <v>387</v>
      </c>
      <c r="B395" t="s">
        <v>149</v>
      </c>
      <c r="C395">
        <v>1326</v>
      </c>
      <c r="D395" t="s">
        <v>338</v>
      </c>
      <c r="E395" t="str">
        <f t="shared" si="6"/>
        <v>01326</v>
      </c>
      <c r="F395" t="s">
        <v>15</v>
      </c>
      <c r="G395" t="s">
        <v>193</v>
      </c>
      <c r="H395" t="s">
        <v>151</v>
      </c>
      <c r="I395" t="s">
        <v>5</v>
      </c>
      <c r="J395" t="s">
        <v>152</v>
      </c>
      <c r="K395" t="s">
        <v>153</v>
      </c>
      <c r="L395">
        <v>251200167</v>
      </c>
      <c r="M395" s="84">
        <v>45998</v>
      </c>
      <c r="N395" s="84">
        <v>45998</v>
      </c>
      <c r="O395" t="s">
        <v>253</v>
      </c>
      <c r="P395" t="s">
        <v>254</v>
      </c>
      <c r="Q395">
        <v>4500</v>
      </c>
      <c r="R395">
        <v>4</v>
      </c>
      <c r="S395">
        <v>18000</v>
      </c>
      <c r="T395">
        <v>0</v>
      </c>
      <c r="U395">
        <v>0</v>
      </c>
      <c r="V395">
        <v>4</v>
      </c>
      <c r="W395">
        <v>18000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>
      <c r="A396">
        <v>388</v>
      </c>
      <c r="B396" t="s">
        <v>149</v>
      </c>
      <c r="C396">
        <v>1326</v>
      </c>
      <c r="D396" t="s">
        <v>338</v>
      </c>
      <c r="E396" t="str">
        <f t="shared" si="6"/>
        <v>01326</v>
      </c>
      <c r="F396" t="s">
        <v>15</v>
      </c>
      <c r="G396" t="s">
        <v>193</v>
      </c>
      <c r="H396" t="s">
        <v>151</v>
      </c>
      <c r="I396" t="s">
        <v>4</v>
      </c>
      <c r="J396" t="s">
        <v>152</v>
      </c>
      <c r="K396" t="s">
        <v>153</v>
      </c>
      <c r="L396">
        <v>251200167</v>
      </c>
      <c r="M396" s="84">
        <v>45998</v>
      </c>
      <c r="N396" s="84">
        <v>45998</v>
      </c>
      <c r="O396" t="s">
        <v>160</v>
      </c>
      <c r="P396" t="s">
        <v>161</v>
      </c>
      <c r="Q396">
        <v>5500</v>
      </c>
      <c r="R396">
        <v>20</v>
      </c>
      <c r="S396">
        <v>110000</v>
      </c>
      <c r="T396">
        <v>0</v>
      </c>
      <c r="U396">
        <v>0</v>
      </c>
      <c r="V396">
        <v>20</v>
      </c>
      <c r="W396">
        <v>110000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>
      <c r="A397">
        <v>389</v>
      </c>
      <c r="B397" t="s">
        <v>149</v>
      </c>
      <c r="C397">
        <v>1326</v>
      </c>
      <c r="D397" t="s">
        <v>338</v>
      </c>
      <c r="E397" t="str">
        <f t="shared" si="6"/>
        <v>01326</v>
      </c>
      <c r="F397" t="s">
        <v>15</v>
      </c>
      <c r="G397" t="s">
        <v>193</v>
      </c>
      <c r="H397" t="s">
        <v>151</v>
      </c>
      <c r="I397" t="s">
        <v>5</v>
      </c>
      <c r="J397" t="s">
        <v>152</v>
      </c>
      <c r="K397" t="s">
        <v>153</v>
      </c>
      <c r="L397">
        <v>251200167</v>
      </c>
      <c r="M397" s="84">
        <v>45998</v>
      </c>
      <c r="N397" s="84">
        <v>45998</v>
      </c>
      <c r="O397" t="s">
        <v>191</v>
      </c>
      <c r="P397" t="s">
        <v>192</v>
      </c>
      <c r="Q397">
        <v>4500</v>
      </c>
      <c r="R397">
        <v>40</v>
      </c>
      <c r="S397">
        <v>180000</v>
      </c>
      <c r="T397">
        <v>0</v>
      </c>
      <c r="U397">
        <v>0</v>
      </c>
      <c r="V397">
        <v>40</v>
      </c>
      <c r="W397">
        <v>180000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 spans="1:29">
      <c r="A398">
        <v>390</v>
      </c>
      <c r="B398" t="s">
        <v>149</v>
      </c>
      <c r="C398">
        <v>1326</v>
      </c>
      <c r="D398" t="s">
        <v>338</v>
      </c>
      <c r="E398" t="str">
        <f t="shared" si="6"/>
        <v>01326</v>
      </c>
      <c r="F398" t="s">
        <v>15</v>
      </c>
      <c r="G398" t="s">
        <v>193</v>
      </c>
      <c r="H398" t="s">
        <v>151</v>
      </c>
      <c r="I398" t="s">
        <v>5</v>
      </c>
      <c r="J398" t="s">
        <v>152</v>
      </c>
      <c r="K398" t="s">
        <v>153</v>
      </c>
      <c r="L398">
        <v>251200167</v>
      </c>
      <c r="M398" s="84">
        <v>45998</v>
      </c>
      <c r="N398" s="84">
        <v>45998</v>
      </c>
      <c r="O398" t="s">
        <v>339</v>
      </c>
      <c r="P398" t="s">
        <v>340</v>
      </c>
      <c r="Q398">
        <v>4500</v>
      </c>
      <c r="R398">
        <v>12</v>
      </c>
      <c r="S398">
        <v>54000</v>
      </c>
      <c r="T398">
        <v>0</v>
      </c>
      <c r="U398">
        <v>0</v>
      </c>
      <c r="V398">
        <v>12</v>
      </c>
      <c r="W398">
        <v>54000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>
      <c r="A399">
        <v>391</v>
      </c>
      <c r="B399" t="s">
        <v>149</v>
      </c>
      <c r="C399">
        <v>1550</v>
      </c>
      <c r="D399" t="s">
        <v>337</v>
      </c>
      <c r="E399" t="str">
        <f t="shared" si="6"/>
        <v>01550</v>
      </c>
      <c r="F399" t="s">
        <v>15</v>
      </c>
      <c r="G399" t="s">
        <v>193</v>
      </c>
      <c r="H399" t="s">
        <v>151</v>
      </c>
      <c r="I399" t="s">
        <v>5</v>
      </c>
      <c r="J399" t="s">
        <v>152</v>
      </c>
      <c r="K399" t="s">
        <v>153</v>
      </c>
      <c r="L399">
        <v>251200168</v>
      </c>
      <c r="M399" s="84">
        <v>45998</v>
      </c>
      <c r="N399" s="84">
        <v>45998</v>
      </c>
      <c r="O399" t="s">
        <v>253</v>
      </c>
      <c r="P399" t="s">
        <v>254</v>
      </c>
      <c r="Q399">
        <v>4500</v>
      </c>
      <c r="R399">
        <v>4</v>
      </c>
      <c r="S399">
        <v>18000</v>
      </c>
      <c r="T399">
        <v>0</v>
      </c>
      <c r="U399">
        <v>0</v>
      </c>
      <c r="V399">
        <v>4</v>
      </c>
      <c r="W399">
        <v>18000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>
      <c r="A400">
        <v>392</v>
      </c>
      <c r="B400" t="s">
        <v>149</v>
      </c>
      <c r="C400">
        <v>1550</v>
      </c>
      <c r="D400" t="s">
        <v>337</v>
      </c>
      <c r="E400" t="str">
        <f t="shared" si="6"/>
        <v>01550</v>
      </c>
      <c r="F400" t="s">
        <v>15</v>
      </c>
      <c r="G400" t="s">
        <v>193</v>
      </c>
      <c r="H400" t="s">
        <v>151</v>
      </c>
      <c r="I400" t="s">
        <v>5</v>
      </c>
      <c r="J400" t="s">
        <v>152</v>
      </c>
      <c r="K400" t="s">
        <v>153</v>
      </c>
      <c r="L400">
        <v>251200168</v>
      </c>
      <c r="M400" s="84">
        <v>45998</v>
      </c>
      <c r="N400" s="84">
        <v>45998</v>
      </c>
      <c r="O400" t="s">
        <v>191</v>
      </c>
      <c r="P400" t="s">
        <v>192</v>
      </c>
      <c r="Q400">
        <v>4500</v>
      </c>
      <c r="R400">
        <v>40</v>
      </c>
      <c r="S400">
        <v>180000</v>
      </c>
      <c r="T400">
        <v>0</v>
      </c>
      <c r="U400">
        <v>0</v>
      </c>
      <c r="V400">
        <v>40</v>
      </c>
      <c r="W400">
        <v>180000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>
      <c r="A401">
        <v>393</v>
      </c>
      <c r="B401" t="s">
        <v>149</v>
      </c>
      <c r="C401">
        <v>1550</v>
      </c>
      <c r="D401" t="s">
        <v>337</v>
      </c>
      <c r="E401" t="str">
        <f t="shared" si="6"/>
        <v>01550</v>
      </c>
      <c r="F401" t="s">
        <v>15</v>
      </c>
      <c r="G401" t="s">
        <v>193</v>
      </c>
      <c r="H401" t="s">
        <v>151</v>
      </c>
      <c r="I401" t="s">
        <v>4</v>
      </c>
      <c r="J401" t="s">
        <v>152</v>
      </c>
      <c r="K401" t="s">
        <v>153</v>
      </c>
      <c r="L401">
        <v>251200168</v>
      </c>
      <c r="M401" s="84">
        <v>45998</v>
      </c>
      <c r="N401" s="84">
        <v>45998</v>
      </c>
      <c r="O401" t="s">
        <v>160</v>
      </c>
      <c r="P401" t="s">
        <v>161</v>
      </c>
      <c r="Q401">
        <v>5500</v>
      </c>
      <c r="R401">
        <v>1</v>
      </c>
      <c r="S401">
        <v>5500</v>
      </c>
      <c r="T401">
        <v>0</v>
      </c>
      <c r="U401">
        <v>0</v>
      </c>
      <c r="V401">
        <v>1</v>
      </c>
      <c r="W401">
        <v>5500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>
      <c r="A402">
        <v>394</v>
      </c>
      <c r="B402" t="s">
        <v>149</v>
      </c>
      <c r="C402">
        <v>1550</v>
      </c>
      <c r="D402" t="s">
        <v>337</v>
      </c>
      <c r="E402" t="str">
        <f t="shared" si="6"/>
        <v>01550</v>
      </c>
      <c r="F402" t="s">
        <v>15</v>
      </c>
      <c r="G402" t="s">
        <v>193</v>
      </c>
      <c r="H402" t="s">
        <v>151</v>
      </c>
      <c r="I402" t="s">
        <v>5</v>
      </c>
      <c r="J402" t="s">
        <v>152</v>
      </c>
      <c r="K402" t="s">
        <v>153</v>
      </c>
      <c r="L402">
        <v>251200168</v>
      </c>
      <c r="M402" s="84">
        <v>45998</v>
      </c>
      <c r="N402" s="84">
        <v>45998</v>
      </c>
      <c r="O402" t="s">
        <v>260</v>
      </c>
      <c r="P402" t="s">
        <v>261</v>
      </c>
      <c r="Q402">
        <v>4500</v>
      </c>
      <c r="R402">
        <v>8</v>
      </c>
      <c r="S402">
        <v>36000</v>
      </c>
      <c r="T402">
        <v>0</v>
      </c>
      <c r="U402">
        <v>0</v>
      </c>
      <c r="V402">
        <v>8</v>
      </c>
      <c r="W402">
        <v>36000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>
      <c r="A403">
        <v>395</v>
      </c>
      <c r="B403" t="s">
        <v>149</v>
      </c>
      <c r="C403">
        <v>1312</v>
      </c>
      <c r="D403" t="s">
        <v>359</v>
      </c>
      <c r="E403" t="str">
        <f t="shared" si="6"/>
        <v>01312</v>
      </c>
      <c r="F403" t="s">
        <v>15</v>
      </c>
      <c r="G403" t="s">
        <v>193</v>
      </c>
      <c r="H403" t="s">
        <v>151</v>
      </c>
      <c r="I403" t="s">
        <v>5</v>
      </c>
      <c r="J403" t="s">
        <v>152</v>
      </c>
      <c r="K403" t="s">
        <v>153</v>
      </c>
      <c r="L403">
        <v>251200169</v>
      </c>
      <c r="M403" s="84">
        <v>45998</v>
      </c>
      <c r="N403" s="84">
        <v>45998</v>
      </c>
      <c r="O403" t="s">
        <v>196</v>
      </c>
      <c r="P403" t="s">
        <v>197</v>
      </c>
      <c r="Q403">
        <v>4500</v>
      </c>
      <c r="R403">
        <v>10</v>
      </c>
      <c r="S403">
        <v>45000</v>
      </c>
      <c r="T403">
        <v>0</v>
      </c>
      <c r="U403">
        <v>0</v>
      </c>
      <c r="V403">
        <v>10</v>
      </c>
      <c r="W403">
        <v>45000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>
      <c r="A404">
        <v>396</v>
      </c>
      <c r="B404" t="s">
        <v>149</v>
      </c>
      <c r="C404">
        <v>1312</v>
      </c>
      <c r="D404" t="s">
        <v>359</v>
      </c>
      <c r="E404" t="str">
        <f t="shared" si="6"/>
        <v>01312</v>
      </c>
      <c r="F404" t="s">
        <v>15</v>
      </c>
      <c r="G404" t="s">
        <v>193</v>
      </c>
      <c r="H404" t="s">
        <v>151</v>
      </c>
      <c r="I404" t="s">
        <v>4</v>
      </c>
      <c r="J404" t="s">
        <v>152</v>
      </c>
      <c r="K404" t="s">
        <v>153</v>
      </c>
      <c r="L404">
        <v>251200169</v>
      </c>
      <c r="M404" s="84">
        <v>45998</v>
      </c>
      <c r="N404" s="84">
        <v>45998</v>
      </c>
      <c r="O404" t="s">
        <v>327</v>
      </c>
      <c r="P404" t="s">
        <v>328</v>
      </c>
      <c r="Q404">
        <v>5500</v>
      </c>
      <c r="R404">
        <v>30</v>
      </c>
      <c r="S404">
        <v>165000</v>
      </c>
      <c r="T404">
        <v>0</v>
      </c>
      <c r="U404">
        <v>0</v>
      </c>
      <c r="V404">
        <v>30</v>
      </c>
      <c r="W404">
        <v>165000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>
      <c r="A405">
        <v>397</v>
      </c>
      <c r="B405" t="s">
        <v>149</v>
      </c>
      <c r="C405">
        <v>1326</v>
      </c>
      <c r="D405" t="s">
        <v>338</v>
      </c>
      <c r="E405" t="str">
        <f t="shared" si="6"/>
        <v>01326</v>
      </c>
      <c r="F405" t="s">
        <v>15</v>
      </c>
      <c r="G405" t="s">
        <v>193</v>
      </c>
      <c r="H405" t="s">
        <v>151</v>
      </c>
      <c r="I405" t="s">
        <v>5</v>
      </c>
      <c r="J405" t="s">
        <v>152</v>
      </c>
      <c r="K405" t="s">
        <v>153</v>
      </c>
      <c r="L405">
        <v>251200170</v>
      </c>
      <c r="M405" s="84">
        <v>45998</v>
      </c>
      <c r="N405" s="84">
        <v>45998</v>
      </c>
      <c r="O405" t="s">
        <v>191</v>
      </c>
      <c r="P405" t="s">
        <v>192</v>
      </c>
      <c r="Q405">
        <v>4500</v>
      </c>
      <c r="R405">
        <v>32</v>
      </c>
      <c r="S405">
        <v>144000</v>
      </c>
      <c r="T405">
        <v>0</v>
      </c>
      <c r="U405">
        <v>0</v>
      </c>
      <c r="V405">
        <v>32</v>
      </c>
      <c r="W405">
        <v>144000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>
      <c r="A406">
        <v>398</v>
      </c>
      <c r="B406" t="s">
        <v>149</v>
      </c>
      <c r="C406">
        <v>1569</v>
      </c>
      <c r="D406" t="s">
        <v>329</v>
      </c>
      <c r="E406" t="str">
        <f t="shared" si="6"/>
        <v>01569</v>
      </c>
      <c r="F406" t="s">
        <v>10</v>
      </c>
      <c r="G406" t="s">
        <v>172</v>
      </c>
      <c r="H406" t="s">
        <v>157</v>
      </c>
      <c r="I406" t="s">
        <v>4</v>
      </c>
      <c r="J406" t="s">
        <v>152</v>
      </c>
      <c r="K406" t="s">
        <v>174</v>
      </c>
      <c r="L406">
        <v>251200171</v>
      </c>
      <c r="M406" s="84">
        <v>45998</v>
      </c>
      <c r="N406" s="84">
        <v>45998</v>
      </c>
      <c r="O406" t="s">
        <v>177</v>
      </c>
      <c r="P406" t="s">
        <v>178</v>
      </c>
      <c r="Q406">
        <v>5500</v>
      </c>
      <c r="R406">
        <v>10</v>
      </c>
      <c r="S406">
        <v>55000</v>
      </c>
      <c r="T406">
        <v>0</v>
      </c>
      <c r="U406">
        <v>0</v>
      </c>
      <c r="V406">
        <v>10</v>
      </c>
      <c r="W406">
        <v>55000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>
      <c r="A407">
        <v>399</v>
      </c>
      <c r="B407" t="s">
        <v>149</v>
      </c>
      <c r="C407">
        <v>1569</v>
      </c>
      <c r="D407" t="s">
        <v>329</v>
      </c>
      <c r="E407" t="str">
        <f t="shared" si="6"/>
        <v>01569</v>
      </c>
      <c r="F407" t="s">
        <v>10</v>
      </c>
      <c r="G407" t="s">
        <v>172</v>
      </c>
      <c r="H407" t="s">
        <v>157</v>
      </c>
      <c r="I407" t="s">
        <v>4</v>
      </c>
      <c r="J407" t="s">
        <v>152</v>
      </c>
      <c r="K407" t="s">
        <v>174</v>
      </c>
      <c r="L407">
        <v>251200171</v>
      </c>
      <c r="M407" s="84">
        <v>45998</v>
      </c>
      <c r="N407" s="84">
        <v>45998</v>
      </c>
      <c r="O407" t="s">
        <v>206</v>
      </c>
      <c r="P407" t="s">
        <v>207</v>
      </c>
      <c r="Q407">
        <v>5500</v>
      </c>
      <c r="R407">
        <v>60</v>
      </c>
      <c r="S407">
        <v>330000</v>
      </c>
      <c r="T407">
        <v>0</v>
      </c>
      <c r="U407">
        <v>0</v>
      </c>
      <c r="V407">
        <v>60</v>
      </c>
      <c r="W407">
        <v>330000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>
      <c r="A408">
        <v>400</v>
      </c>
      <c r="B408" t="s">
        <v>149</v>
      </c>
      <c r="C408">
        <v>1534</v>
      </c>
      <c r="D408" t="s">
        <v>371</v>
      </c>
      <c r="E408" t="str">
        <f t="shared" si="6"/>
        <v>01534</v>
      </c>
      <c r="F408" t="s">
        <v>65</v>
      </c>
      <c r="G408" t="s">
        <v>208</v>
      </c>
      <c r="H408" t="s">
        <v>157</v>
      </c>
      <c r="I408" t="s">
        <v>4</v>
      </c>
      <c r="J408" t="s">
        <v>152</v>
      </c>
      <c r="K408" t="s">
        <v>174</v>
      </c>
      <c r="L408">
        <v>251200172</v>
      </c>
      <c r="M408" s="84">
        <v>45998</v>
      </c>
      <c r="N408" s="84">
        <v>45998</v>
      </c>
      <c r="O408" t="s">
        <v>294</v>
      </c>
      <c r="P408" t="s">
        <v>295</v>
      </c>
      <c r="Q408">
        <v>5500</v>
      </c>
      <c r="R408">
        <v>5</v>
      </c>
      <c r="S408">
        <v>27500</v>
      </c>
      <c r="T408">
        <v>0</v>
      </c>
      <c r="U408">
        <v>0</v>
      </c>
      <c r="V408">
        <v>5</v>
      </c>
      <c r="W408">
        <v>27500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>
      <c r="A409">
        <v>401</v>
      </c>
      <c r="B409" t="s">
        <v>149</v>
      </c>
      <c r="C409">
        <v>1575</v>
      </c>
      <c r="D409" t="s">
        <v>372</v>
      </c>
      <c r="E409" t="str">
        <f t="shared" si="6"/>
        <v>01575</v>
      </c>
      <c r="F409" t="s">
        <v>10</v>
      </c>
      <c r="G409" t="s">
        <v>172</v>
      </c>
      <c r="H409" t="s">
        <v>157</v>
      </c>
      <c r="I409" t="s">
        <v>4</v>
      </c>
      <c r="J409" t="s">
        <v>152</v>
      </c>
      <c r="K409" t="s">
        <v>174</v>
      </c>
      <c r="L409">
        <v>251200173</v>
      </c>
      <c r="M409" s="84">
        <v>45998</v>
      </c>
      <c r="N409" s="84">
        <v>45998</v>
      </c>
      <c r="O409" t="s">
        <v>168</v>
      </c>
      <c r="P409" t="s">
        <v>169</v>
      </c>
      <c r="Q409">
        <v>5500</v>
      </c>
      <c r="R409">
        <v>5</v>
      </c>
      <c r="S409">
        <v>27500</v>
      </c>
      <c r="T409">
        <v>0</v>
      </c>
      <c r="U409">
        <v>0</v>
      </c>
      <c r="V409">
        <v>5</v>
      </c>
      <c r="W409">
        <v>27500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>
      <c r="A410">
        <v>402</v>
      </c>
      <c r="B410" t="s">
        <v>149</v>
      </c>
      <c r="C410">
        <v>1523</v>
      </c>
      <c r="D410" t="s">
        <v>326</v>
      </c>
      <c r="E410" t="str">
        <f t="shared" si="6"/>
        <v>01523</v>
      </c>
      <c r="F410" t="s">
        <v>10</v>
      </c>
      <c r="G410" t="s">
        <v>172</v>
      </c>
      <c r="H410" t="s">
        <v>157</v>
      </c>
      <c r="I410" t="s">
        <v>4</v>
      </c>
      <c r="J410" t="s">
        <v>152</v>
      </c>
      <c r="K410" t="s">
        <v>174</v>
      </c>
      <c r="L410">
        <v>251200174</v>
      </c>
      <c r="M410" s="84">
        <v>45998</v>
      </c>
      <c r="N410" s="84">
        <v>45998</v>
      </c>
      <c r="O410" t="s">
        <v>267</v>
      </c>
      <c r="P410" t="s">
        <v>268</v>
      </c>
      <c r="Q410">
        <v>5500</v>
      </c>
      <c r="R410">
        <v>10</v>
      </c>
      <c r="S410">
        <v>55000</v>
      </c>
      <c r="T410">
        <v>0</v>
      </c>
      <c r="U410">
        <v>0</v>
      </c>
      <c r="V410">
        <v>10</v>
      </c>
      <c r="W410">
        <v>55000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>
      <c r="A411">
        <v>403</v>
      </c>
      <c r="B411" t="s">
        <v>149</v>
      </c>
      <c r="C411">
        <v>1470</v>
      </c>
      <c r="D411" t="s">
        <v>12</v>
      </c>
      <c r="E411" t="str">
        <f t="shared" si="6"/>
        <v>01470</v>
      </c>
      <c r="F411" t="s">
        <v>10</v>
      </c>
      <c r="G411" t="s">
        <v>172</v>
      </c>
      <c r="H411" t="s">
        <v>157</v>
      </c>
      <c r="I411" t="s">
        <v>5</v>
      </c>
      <c r="J411" t="s">
        <v>152</v>
      </c>
      <c r="K411" t="s">
        <v>174</v>
      </c>
      <c r="L411">
        <v>251200175</v>
      </c>
      <c r="M411" s="84">
        <v>45998</v>
      </c>
      <c r="N411" s="84">
        <v>45998</v>
      </c>
      <c r="O411" t="s">
        <v>191</v>
      </c>
      <c r="P411" t="s">
        <v>192</v>
      </c>
      <c r="Q411">
        <v>11700</v>
      </c>
      <c r="R411">
        <v>4</v>
      </c>
      <c r="S411">
        <v>46800</v>
      </c>
      <c r="T411">
        <v>0</v>
      </c>
      <c r="U411">
        <v>0</v>
      </c>
      <c r="V411">
        <v>4</v>
      </c>
      <c r="W411">
        <v>46800</v>
      </c>
      <c r="X411">
        <v>600</v>
      </c>
      <c r="Y411">
        <v>600</v>
      </c>
      <c r="Z411">
        <v>0</v>
      </c>
      <c r="AA411">
        <v>0</v>
      </c>
      <c r="AB411">
        <v>0</v>
      </c>
      <c r="AC411">
        <v>1200</v>
      </c>
    </row>
    <row r="412" spans="1:29">
      <c r="A412">
        <v>404</v>
      </c>
      <c r="B412" t="s">
        <v>149</v>
      </c>
      <c r="C412">
        <v>1428</v>
      </c>
      <c r="D412" t="s">
        <v>351</v>
      </c>
      <c r="E412" t="str">
        <f t="shared" si="6"/>
        <v>01428</v>
      </c>
      <c r="F412" t="s">
        <v>171</v>
      </c>
      <c r="G412" t="s">
        <v>172</v>
      </c>
      <c r="H412" t="s">
        <v>157</v>
      </c>
      <c r="I412" t="s">
        <v>4</v>
      </c>
      <c r="J412" t="s">
        <v>152</v>
      </c>
      <c r="K412" t="s">
        <v>174</v>
      </c>
      <c r="L412">
        <v>251200176</v>
      </c>
      <c r="M412" s="84">
        <v>45998</v>
      </c>
      <c r="N412" s="84">
        <v>45998</v>
      </c>
      <c r="O412" t="s">
        <v>225</v>
      </c>
      <c r="P412" t="s">
        <v>226</v>
      </c>
      <c r="Q412">
        <v>5500</v>
      </c>
      <c r="R412">
        <v>5</v>
      </c>
      <c r="S412">
        <v>27500</v>
      </c>
      <c r="T412">
        <v>0</v>
      </c>
      <c r="U412">
        <v>0</v>
      </c>
      <c r="V412">
        <v>5</v>
      </c>
      <c r="W412">
        <v>27500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>
      <c r="A413">
        <v>405</v>
      </c>
      <c r="B413" t="s">
        <v>149</v>
      </c>
      <c r="C413">
        <v>622</v>
      </c>
      <c r="D413" t="s">
        <v>70</v>
      </c>
      <c r="E413" t="str">
        <f t="shared" si="6"/>
        <v>00622</v>
      </c>
      <c r="F413" t="s">
        <v>65</v>
      </c>
      <c r="G413" t="s">
        <v>208</v>
      </c>
      <c r="H413" t="s">
        <v>157</v>
      </c>
      <c r="I413" t="s">
        <v>4</v>
      </c>
      <c r="J413" t="s">
        <v>152</v>
      </c>
      <c r="K413" t="s">
        <v>174</v>
      </c>
      <c r="L413">
        <v>251200177</v>
      </c>
      <c r="M413" s="84">
        <v>45998</v>
      </c>
      <c r="N413" s="84">
        <v>45998</v>
      </c>
      <c r="O413" t="s">
        <v>179</v>
      </c>
      <c r="P413" t="s">
        <v>180</v>
      </c>
      <c r="Q413">
        <v>14250</v>
      </c>
      <c r="R413">
        <v>5</v>
      </c>
      <c r="S413">
        <v>71250</v>
      </c>
      <c r="T413">
        <v>0</v>
      </c>
      <c r="U413">
        <v>0</v>
      </c>
      <c r="V413">
        <v>5</v>
      </c>
      <c r="W413">
        <v>71250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>
      <c r="A414">
        <v>406</v>
      </c>
      <c r="B414" t="s">
        <v>149</v>
      </c>
      <c r="C414">
        <v>622</v>
      </c>
      <c r="D414" t="s">
        <v>70</v>
      </c>
      <c r="E414" t="str">
        <f t="shared" si="6"/>
        <v>00622</v>
      </c>
      <c r="F414" t="s">
        <v>65</v>
      </c>
      <c r="G414" t="s">
        <v>208</v>
      </c>
      <c r="H414" t="s">
        <v>157</v>
      </c>
      <c r="I414" t="s">
        <v>4</v>
      </c>
      <c r="J414" t="s">
        <v>152</v>
      </c>
      <c r="K414" t="s">
        <v>174</v>
      </c>
      <c r="L414">
        <v>251200177</v>
      </c>
      <c r="M414" s="84">
        <v>45998</v>
      </c>
      <c r="N414" s="84">
        <v>45998</v>
      </c>
      <c r="O414" t="s">
        <v>160</v>
      </c>
      <c r="P414" t="s">
        <v>161</v>
      </c>
      <c r="Q414">
        <v>14250</v>
      </c>
      <c r="R414">
        <v>20</v>
      </c>
      <c r="S414">
        <v>285000</v>
      </c>
      <c r="T414">
        <v>0</v>
      </c>
      <c r="U414">
        <v>0</v>
      </c>
      <c r="V414">
        <v>20</v>
      </c>
      <c r="W414">
        <v>285000</v>
      </c>
      <c r="X414">
        <v>3000</v>
      </c>
      <c r="Y414">
        <v>4000</v>
      </c>
      <c r="Z414">
        <v>0</v>
      </c>
      <c r="AA414">
        <v>0</v>
      </c>
      <c r="AB414">
        <v>0</v>
      </c>
      <c r="AC414">
        <v>7000</v>
      </c>
    </row>
    <row r="415" spans="1:29">
      <c r="A415">
        <v>407</v>
      </c>
      <c r="B415" t="s">
        <v>149</v>
      </c>
      <c r="C415">
        <v>1484</v>
      </c>
      <c r="D415" t="s">
        <v>331</v>
      </c>
      <c r="E415" t="str">
        <f t="shared" si="6"/>
        <v>01484</v>
      </c>
      <c r="F415" t="s">
        <v>71</v>
      </c>
      <c r="G415" t="s">
        <v>305</v>
      </c>
      <c r="H415" t="s">
        <v>157</v>
      </c>
      <c r="I415" t="s">
        <v>4</v>
      </c>
      <c r="J415" t="s">
        <v>152</v>
      </c>
      <c r="K415" t="s">
        <v>174</v>
      </c>
      <c r="L415">
        <v>251200178</v>
      </c>
      <c r="M415" s="84">
        <v>45998</v>
      </c>
      <c r="N415" s="84">
        <v>45998</v>
      </c>
      <c r="O415" t="s">
        <v>215</v>
      </c>
      <c r="P415" t="s">
        <v>216</v>
      </c>
      <c r="Q415">
        <v>5500</v>
      </c>
      <c r="R415">
        <v>5</v>
      </c>
      <c r="S415">
        <v>27500</v>
      </c>
      <c r="T415">
        <v>0</v>
      </c>
      <c r="U415">
        <v>0</v>
      </c>
      <c r="V415">
        <v>5</v>
      </c>
      <c r="W415">
        <v>27500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 spans="1:29">
      <c r="A416">
        <v>408</v>
      </c>
      <c r="B416" t="s">
        <v>149</v>
      </c>
      <c r="C416">
        <v>1395</v>
      </c>
      <c r="D416" t="s">
        <v>101</v>
      </c>
      <c r="E416" t="str">
        <f t="shared" si="6"/>
        <v>01395</v>
      </c>
      <c r="F416" t="s">
        <v>95</v>
      </c>
      <c r="G416" t="s">
        <v>187</v>
      </c>
      <c r="H416" t="s">
        <v>188</v>
      </c>
      <c r="I416" t="s">
        <v>4</v>
      </c>
      <c r="J416" t="s">
        <v>152</v>
      </c>
      <c r="K416" t="s">
        <v>159</v>
      </c>
      <c r="L416">
        <v>251200179</v>
      </c>
      <c r="M416" s="84">
        <v>45998</v>
      </c>
      <c r="N416" s="84">
        <v>45998</v>
      </c>
      <c r="O416" t="s">
        <v>160</v>
      </c>
      <c r="P416" t="s">
        <v>161</v>
      </c>
      <c r="Q416">
        <v>13200</v>
      </c>
      <c r="R416">
        <v>5</v>
      </c>
      <c r="S416">
        <v>66000</v>
      </c>
      <c r="T416">
        <v>0</v>
      </c>
      <c r="U416">
        <v>0</v>
      </c>
      <c r="V416">
        <v>5</v>
      </c>
      <c r="W416">
        <v>66000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 spans="1:29">
      <c r="A417">
        <v>409</v>
      </c>
      <c r="B417" t="s">
        <v>149</v>
      </c>
      <c r="C417">
        <v>1471</v>
      </c>
      <c r="D417" t="s">
        <v>369</v>
      </c>
      <c r="E417" t="str">
        <f t="shared" si="6"/>
        <v>01471</v>
      </c>
      <c r="F417" t="s">
        <v>73</v>
      </c>
      <c r="G417" t="s">
        <v>185</v>
      </c>
      <c r="H417" t="s">
        <v>151</v>
      </c>
      <c r="I417" t="s">
        <v>4</v>
      </c>
      <c r="J417" t="s">
        <v>152</v>
      </c>
      <c r="K417" t="s">
        <v>153</v>
      </c>
      <c r="L417">
        <v>251200180</v>
      </c>
      <c r="M417" s="84">
        <v>45998</v>
      </c>
      <c r="N417" s="84">
        <v>45998</v>
      </c>
      <c r="O417" t="s">
        <v>168</v>
      </c>
      <c r="P417" t="s">
        <v>169</v>
      </c>
      <c r="Q417">
        <v>5500</v>
      </c>
      <c r="R417">
        <v>10</v>
      </c>
      <c r="S417">
        <v>55000</v>
      </c>
      <c r="T417">
        <v>0</v>
      </c>
      <c r="U417">
        <v>0</v>
      </c>
      <c r="V417">
        <v>10</v>
      </c>
      <c r="W417">
        <v>55000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 spans="1:29">
      <c r="A418">
        <v>410</v>
      </c>
      <c r="B418" t="s">
        <v>149</v>
      </c>
      <c r="C418">
        <v>1551</v>
      </c>
      <c r="D418" t="s">
        <v>316</v>
      </c>
      <c r="E418" t="str">
        <f t="shared" si="6"/>
        <v>01551</v>
      </c>
      <c r="F418" t="s">
        <v>111</v>
      </c>
      <c r="G418" t="s">
        <v>150</v>
      </c>
      <c r="H418" t="s">
        <v>151</v>
      </c>
      <c r="I418" t="s">
        <v>4</v>
      </c>
      <c r="J418" t="s">
        <v>152</v>
      </c>
      <c r="K418" t="s">
        <v>153</v>
      </c>
      <c r="L418">
        <v>251200181</v>
      </c>
      <c r="M418" s="84">
        <v>45998</v>
      </c>
      <c r="N418" s="84">
        <v>45998</v>
      </c>
      <c r="O418" t="s">
        <v>262</v>
      </c>
      <c r="P418" t="s">
        <v>263</v>
      </c>
      <c r="Q418">
        <v>5500</v>
      </c>
      <c r="R418">
        <v>5</v>
      </c>
      <c r="S418">
        <v>27500</v>
      </c>
      <c r="T418">
        <v>0</v>
      </c>
      <c r="U418">
        <v>0</v>
      </c>
      <c r="V418">
        <v>5</v>
      </c>
      <c r="W418">
        <v>27500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>
      <c r="A419">
        <v>411</v>
      </c>
      <c r="B419" t="s">
        <v>149</v>
      </c>
      <c r="C419">
        <v>1551</v>
      </c>
      <c r="D419" t="s">
        <v>316</v>
      </c>
      <c r="E419" t="str">
        <f t="shared" si="6"/>
        <v>01551</v>
      </c>
      <c r="F419" t="s">
        <v>111</v>
      </c>
      <c r="G419" t="s">
        <v>150</v>
      </c>
      <c r="H419" t="s">
        <v>151</v>
      </c>
      <c r="I419" t="s">
        <v>4</v>
      </c>
      <c r="J419" t="s">
        <v>152</v>
      </c>
      <c r="K419" t="s">
        <v>153</v>
      </c>
      <c r="L419">
        <v>251200181</v>
      </c>
      <c r="M419" s="84">
        <v>45998</v>
      </c>
      <c r="N419" s="84">
        <v>45998</v>
      </c>
      <c r="O419" t="s">
        <v>219</v>
      </c>
      <c r="P419" t="s">
        <v>220</v>
      </c>
      <c r="Q419">
        <v>5500</v>
      </c>
      <c r="R419">
        <v>15</v>
      </c>
      <c r="S419">
        <v>82500</v>
      </c>
      <c r="T419">
        <v>0</v>
      </c>
      <c r="U419">
        <v>0</v>
      </c>
      <c r="V419">
        <v>15</v>
      </c>
      <c r="W419">
        <v>82500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>
      <c r="A420">
        <v>412</v>
      </c>
      <c r="B420" t="s">
        <v>149</v>
      </c>
      <c r="C420">
        <v>1551</v>
      </c>
      <c r="D420" t="s">
        <v>316</v>
      </c>
      <c r="E420" t="str">
        <f t="shared" si="6"/>
        <v>01551</v>
      </c>
      <c r="F420" t="s">
        <v>111</v>
      </c>
      <c r="G420" t="s">
        <v>150</v>
      </c>
      <c r="H420" t="s">
        <v>151</v>
      </c>
      <c r="I420" t="s">
        <v>4</v>
      </c>
      <c r="J420" t="s">
        <v>152</v>
      </c>
      <c r="K420" t="s">
        <v>153</v>
      </c>
      <c r="L420">
        <v>251200181</v>
      </c>
      <c r="M420" s="84">
        <v>45998</v>
      </c>
      <c r="N420" s="84">
        <v>45998</v>
      </c>
      <c r="O420" t="s">
        <v>168</v>
      </c>
      <c r="P420" t="s">
        <v>169</v>
      </c>
      <c r="Q420">
        <v>5500</v>
      </c>
      <c r="R420">
        <v>5</v>
      </c>
      <c r="S420">
        <v>27500</v>
      </c>
      <c r="T420">
        <v>0</v>
      </c>
      <c r="U420">
        <v>0</v>
      </c>
      <c r="V420">
        <v>5</v>
      </c>
      <c r="W420">
        <v>27500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>
      <c r="A421">
        <v>413</v>
      </c>
      <c r="B421" t="s">
        <v>149</v>
      </c>
      <c r="C421">
        <v>1331</v>
      </c>
      <c r="D421" t="s">
        <v>366</v>
      </c>
      <c r="E421" t="str">
        <f t="shared" si="6"/>
        <v>01331</v>
      </c>
      <c r="F421" t="s">
        <v>28</v>
      </c>
      <c r="G421" t="s">
        <v>164</v>
      </c>
      <c r="H421" t="s">
        <v>151</v>
      </c>
      <c r="I421" t="s">
        <v>5</v>
      </c>
      <c r="J421" t="s">
        <v>152</v>
      </c>
      <c r="K421" t="s">
        <v>153</v>
      </c>
      <c r="L421">
        <v>251200182</v>
      </c>
      <c r="M421" s="84">
        <v>45998</v>
      </c>
      <c r="N421" s="84">
        <v>45998</v>
      </c>
      <c r="O421" t="s">
        <v>297</v>
      </c>
      <c r="P421" t="s">
        <v>298</v>
      </c>
      <c r="Q421">
        <v>4500</v>
      </c>
      <c r="R421">
        <v>48</v>
      </c>
      <c r="S421">
        <v>216000</v>
      </c>
      <c r="T421">
        <v>0</v>
      </c>
      <c r="U421">
        <v>0</v>
      </c>
      <c r="V421">
        <v>48</v>
      </c>
      <c r="W421">
        <v>216000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>
      <c r="A422">
        <v>414</v>
      </c>
      <c r="B422" t="s">
        <v>149</v>
      </c>
      <c r="C422">
        <v>1331</v>
      </c>
      <c r="D422" t="s">
        <v>366</v>
      </c>
      <c r="E422" t="str">
        <f t="shared" si="6"/>
        <v>01331</v>
      </c>
      <c r="F422" t="s">
        <v>28</v>
      </c>
      <c r="G422" t="s">
        <v>164</v>
      </c>
      <c r="H422" t="s">
        <v>151</v>
      </c>
      <c r="I422" t="s">
        <v>5</v>
      </c>
      <c r="J422" t="s">
        <v>152</v>
      </c>
      <c r="K422" t="s">
        <v>153</v>
      </c>
      <c r="L422">
        <v>251200182</v>
      </c>
      <c r="M422" s="84">
        <v>45998</v>
      </c>
      <c r="N422" s="84">
        <v>45998</v>
      </c>
      <c r="O422" t="s">
        <v>191</v>
      </c>
      <c r="P422" t="s">
        <v>192</v>
      </c>
      <c r="Q422">
        <v>4500</v>
      </c>
      <c r="R422">
        <v>120</v>
      </c>
      <c r="S422">
        <v>540000</v>
      </c>
      <c r="T422">
        <v>0</v>
      </c>
      <c r="U422">
        <v>0</v>
      </c>
      <c r="V422">
        <v>120</v>
      </c>
      <c r="W422">
        <v>540000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>
      <c r="A423">
        <v>415</v>
      </c>
      <c r="B423" t="s">
        <v>149</v>
      </c>
      <c r="C423">
        <v>1118</v>
      </c>
      <c r="D423" t="s">
        <v>37</v>
      </c>
      <c r="E423" t="str">
        <f t="shared" si="6"/>
        <v>01118</v>
      </c>
      <c r="F423" t="s">
        <v>28</v>
      </c>
      <c r="G423" t="s">
        <v>164</v>
      </c>
      <c r="H423" t="s">
        <v>151</v>
      </c>
      <c r="I423" t="s">
        <v>210</v>
      </c>
      <c r="J423" t="s">
        <v>152</v>
      </c>
      <c r="K423" t="s">
        <v>153</v>
      </c>
      <c r="L423">
        <v>251200183</v>
      </c>
      <c r="M423" s="84">
        <v>45998</v>
      </c>
      <c r="N423" s="84">
        <v>45998</v>
      </c>
      <c r="O423" t="s">
        <v>213</v>
      </c>
      <c r="P423" t="s">
        <v>214</v>
      </c>
      <c r="Q423">
        <v>23802</v>
      </c>
      <c r="R423">
        <v>5</v>
      </c>
      <c r="S423">
        <v>119010</v>
      </c>
      <c r="T423">
        <v>0</v>
      </c>
      <c r="U423">
        <v>0</v>
      </c>
      <c r="V423">
        <v>5</v>
      </c>
      <c r="W423">
        <v>119010</v>
      </c>
      <c r="X423">
        <v>2380</v>
      </c>
      <c r="Y423">
        <v>2380</v>
      </c>
      <c r="Z423">
        <v>5000</v>
      </c>
      <c r="AA423">
        <v>0</v>
      </c>
      <c r="AB423">
        <v>500</v>
      </c>
      <c r="AC423">
        <v>10260</v>
      </c>
    </row>
    <row r="424" spans="1:29">
      <c r="A424">
        <v>416</v>
      </c>
      <c r="B424" t="s">
        <v>149</v>
      </c>
      <c r="C424">
        <v>1401</v>
      </c>
      <c r="D424" t="s">
        <v>29</v>
      </c>
      <c r="E424" t="str">
        <f t="shared" si="6"/>
        <v>01401</v>
      </c>
      <c r="F424" t="s">
        <v>28</v>
      </c>
      <c r="G424" t="s">
        <v>164</v>
      </c>
      <c r="H424" t="s">
        <v>151</v>
      </c>
      <c r="I424" t="s">
        <v>4</v>
      </c>
      <c r="J424" t="s">
        <v>152</v>
      </c>
      <c r="K424" t="s">
        <v>153</v>
      </c>
      <c r="L424">
        <v>251200184</v>
      </c>
      <c r="M424" s="84">
        <v>45998</v>
      </c>
      <c r="N424" s="84">
        <v>45998</v>
      </c>
      <c r="O424" t="s">
        <v>267</v>
      </c>
      <c r="P424" t="s">
        <v>268</v>
      </c>
      <c r="Q424">
        <v>14250</v>
      </c>
      <c r="R424">
        <v>20</v>
      </c>
      <c r="S424">
        <v>285000</v>
      </c>
      <c r="T424">
        <v>0</v>
      </c>
      <c r="U424">
        <v>0</v>
      </c>
      <c r="V424">
        <v>20</v>
      </c>
      <c r="W424">
        <v>285000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 spans="1:29">
      <c r="A425">
        <v>417</v>
      </c>
      <c r="B425" t="s">
        <v>149</v>
      </c>
      <c r="C425">
        <v>1300</v>
      </c>
      <c r="D425" t="s">
        <v>335</v>
      </c>
      <c r="E425" t="str">
        <f t="shared" si="6"/>
        <v>01300</v>
      </c>
      <c r="F425" t="s">
        <v>83</v>
      </c>
      <c r="G425" t="s">
        <v>164</v>
      </c>
      <c r="H425" t="s">
        <v>151</v>
      </c>
      <c r="I425" t="s">
        <v>5</v>
      </c>
      <c r="J425" t="s">
        <v>152</v>
      </c>
      <c r="K425" t="s">
        <v>153</v>
      </c>
      <c r="L425">
        <v>251200185</v>
      </c>
      <c r="M425" s="84">
        <v>45998</v>
      </c>
      <c r="N425" s="84">
        <v>45998</v>
      </c>
      <c r="O425" t="s">
        <v>191</v>
      </c>
      <c r="P425" t="s">
        <v>192</v>
      </c>
      <c r="Q425">
        <v>4500</v>
      </c>
      <c r="R425">
        <v>20</v>
      </c>
      <c r="S425">
        <v>90000</v>
      </c>
      <c r="T425">
        <v>0</v>
      </c>
      <c r="U425">
        <v>0</v>
      </c>
      <c r="V425">
        <v>20</v>
      </c>
      <c r="W425">
        <v>90000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>
      <c r="A426">
        <v>418</v>
      </c>
      <c r="B426" t="s">
        <v>149</v>
      </c>
      <c r="C426">
        <v>1308</v>
      </c>
      <c r="D426" t="s">
        <v>368</v>
      </c>
      <c r="E426" t="str">
        <f t="shared" si="6"/>
        <v>01308</v>
      </c>
      <c r="F426" t="s">
        <v>49</v>
      </c>
      <c r="G426" t="s">
        <v>167</v>
      </c>
      <c r="H426" t="s">
        <v>151</v>
      </c>
      <c r="I426" t="s">
        <v>5</v>
      </c>
      <c r="J426" t="s">
        <v>152</v>
      </c>
      <c r="K426" t="s">
        <v>153</v>
      </c>
      <c r="L426">
        <v>251200186</v>
      </c>
      <c r="M426" s="84">
        <v>45998</v>
      </c>
      <c r="N426" s="84">
        <v>45998</v>
      </c>
      <c r="O426" t="s">
        <v>260</v>
      </c>
      <c r="P426" t="s">
        <v>261</v>
      </c>
      <c r="Q426">
        <v>4500</v>
      </c>
      <c r="R426">
        <v>8</v>
      </c>
      <c r="S426">
        <v>36000</v>
      </c>
      <c r="T426">
        <v>0</v>
      </c>
      <c r="U426">
        <v>0</v>
      </c>
      <c r="V426">
        <v>8</v>
      </c>
      <c r="W426">
        <v>36000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>
      <c r="A427">
        <v>419</v>
      </c>
      <c r="B427" t="s">
        <v>149</v>
      </c>
      <c r="C427">
        <v>1308</v>
      </c>
      <c r="D427" t="s">
        <v>368</v>
      </c>
      <c r="E427" t="str">
        <f t="shared" si="6"/>
        <v>01308</v>
      </c>
      <c r="F427" t="s">
        <v>49</v>
      </c>
      <c r="G427" t="s">
        <v>167</v>
      </c>
      <c r="H427" t="s">
        <v>151</v>
      </c>
      <c r="I427" t="s">
        <v>5</v>
      </c>
      <c r="J427" t="s">
        <v>152</v>
      </c>
      <c r="K427" t="s">
        <v>153</v>
      </c>
      <c r="L427">
        <v>251200186</v>
      </c>
      <c r="M427" s="84">
        <v>45998</v>
      </c>
      <c r="N427" s="84">
        <v>45998</v>
      </c>
      <c r="O427" t="s">
        <v>191</v>
      </c>
      <c r="P427" t="s">
        <v>192</v>
      </c>
      <c r="Q427">
        <v>4500</v>
      </c>
      <c r="R427">
        <v>16</v>
      </c>
      <c r="S427">
        <v>72000</v>
      </c>
      <c r="T427">
        <v>0</v>
      </c>
      <c r="U427">
        <v>0</v>
      </c>
      <c r="V427">
        <v>16</v>
      </c>
      <c r="W427">
        <v>72000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 spans="1:29">
      <c r="A428">
        <v>420</v>
      </c>
      <c r="B428" t="s">
        <v>149</v>
      </c>
      <c r="C428">
        <v>337</v>
      </c>
      <c r="D428" t="s">
        <v>57</v>
      </c>
      <c r="E428" t="str">
        <f t="shared" si="6"/>
        <v>00337</v>
      </c>
      <c r="F428" t="s">
        <v>49</v>
      </c>
      <c r="G428" t="s">
        <v>167</v>
      </c>
      <c r="H428" t="s">
        <v>151</v>
      </c>
      <c r="I428" t="s">
        <v>4</v>
      </c>
      <c r="J428" t="s">
        <v>152</v>
      </c>
      <c r="K428" t="s">
        <v>153</v>
      </c>
      <c r="L428">
        <v>251200187</v>
      </c>
      <c r="M428" s="84">
        <v>45998</v>
      </c>
      <c r="N428" s="84">
        <v>45998</v>
      </c>
      <c r="O428" t="s">
        <v>160</v>
      </c>
      <c r="P428" t="s">
        <v>161</v>
      </c>
      <c r="Q428">
        <v>14250</v>
      </c>
      <c r="R428">
        <v>30</v>
      </c>
      <c r="S428">
        <v>427500</v>
      </c>
      <c r="T428">
        <v>0</v>
      </c>
      <c r="U428">
        <v>0</v>
      </c>
      <c r="V428">
        <v>30</v>
      </c>
      <c r="W428">
        <v>427500</v>
      </c>
      <c r="X428">
        <v>4500</v>
      </c>
      <c r="Y428">
        <v>6000</v>
      </c>
      <c r="Z428">
        <v>0</v>
      </c>
      <c r="AA428">
        <v>0</v>
      </c>
      <c r="AB428">
        <v>0</v>
      </c>
      <c r="AC428">
        <v>10500</v>
      </c>
    </row>
    <row r="429" spans="1:29">
      <c r="A429">
        <v>421</v>
      </c>
      <c r="B429" t="s">
        <v>149</v>
      </c>
      <c r="C429">
        <v>1108</v>
      </c>
      <c r="D429" t="s">
        <v>107</v>
      </c>
      <c r="E429" t="str">
        <f t="shared" si="6"/>
        <v>01108</v>
      </c>
      <c r="F429" t="s">
        <v>103</v>
      </c>
      <c r="G429" t="s">
        <v>167</v>
      </c>
      <c r="H429" t="s">
        <v>151</v>
      </c>
      <c r="I429" t="s">
        <v>4</v>
      </c>
      <c r="J429" t="s">
        <v>152</v>
      </c>
      <c r="K429" t="s">
        <v>153</v>
      </c>
      <c r="L429">
        <v>251200188</v>
      </c>
      <c r="M429" s="84">
        <v>45998</v>
      </c>
      <c r="N429" s="84">
        <v>45998</v>
      </c>
      <c r="O429" t="s">
        <v>160</v>
      </c>
      <c r="P429" t="s">
        <v>161</v>
      </c>
      <c r="Q429">
        <v>14250</v>
      </c>
      <c r="R429">
        <v>40</v>
      </c>
      <c r="S429">
        <v>570000</v>
      </c>
      <c r="T429">
        <v>0</v>
      </c>
      <c r="U429">
        <v>0</v>
      </c>
      <c r="V429">
        <v>40</v>
      </c>
      <c r="W429">
        <v>570000</v>
      </c>
      <c r="X429">
        <v>6000</v>
      </c>
      <c r="Y429">
        <v>8000</v>
      </c>
      <c r="Z429">
        <v>0</v>
      </c>
      <c r="AA429">
        <v>0</v>
      </c>
      <c r="AB429">
        <v>0</v>
      </c>
      <c r="AC429">
        <v>14000</v>
      </c>
    </row>
    <row r="430" spans="1:29">
      <c r="A430">
        <v>422</v>
      </c>
      <c r="B430" t="s">
        <v>149</v>
      </c>
      <c r="C430">
        <v>1108</v>
      </c>
      <c r="D430" t="s">
        <v>107</v>
      </c>
      <c r="E430" t="str">
        <f t="shared" si="6"/>
        <v>01108</v>
      </c>
      <c r="F430" t="s">
        <v>103</v>
      </c>
      <c r="G430" t="s">
        <v>167</v>
      </c>
      <c r="H430" t="s">
        <v>151</v>
      </c>
      <c r="I430" t="s">
        <v>5</v>
      </c>
      <c r="J430" t="s">
        <v>152</v>
      </c>
      <c r="K430" t="s">
        <v>153</v>
      </c>
      <c r="L430">
        <v>251200188</v>
      </c>
      <c r="M430" s="84">
        <v>45998</v>
      </c>
      <c r="N430" s="84">
        <v>45998</v>
      </c>
      <c r="O430" t="s">
        <v>191</v>
      </c>
      <c r="P430" t="s">
        <v>192</v>
      </c>
      <c r="Q430">
        <v>11700</v>
      </c>
      <c r="R430">
        <v>20</v>
      </c>
      <c r="S430">
        <v>234000</v>
      </c>
      <c r="T430">
        <v>0</v>
      </c>
      <c r="U430">
        <v>0</v>
      </c>
      <c r="V430">
        <v>20</v>
      </c>
      <c r="W430">
        <v>234000</v>
      </c>
      <c r="X430">
        <v>3000</v>
      </c>
      <c r="Y430">
        <v>3000</v>
      </c>
      <c r="Z430">
        <v>0</v>
      </c>
      <c r="AA430">
        <v>0</v>
      </c>
      <c r="AB430">
        <v>0</v>
      </c>
      <c r="AC430">
        <v>6000</v>
      </c>
    </row>
    <row r="431" spans="1:29">
      <c r="A431">
        <v>423</v>
      </c>
      <c r="B431" t="s">
        <v>149</v>
      </c>
      <c r="C431">
        <v>388</v>
      </c>
      <c r="D431" t="s">
        <v>106</v>
      </c>
      <c r="E431" t="str">
        <f t="shared" si="6"/>
        <v>00388</v>
      </c>
      <c r="F431" t="s">
        <v>103</v>
      </c>
      <c r="G431" t="s">
        <v>167</v>
      </c>
      <c r="H431" t="s">
        <v>151</v>
      </c>
      <c r="I431" t="s">
        <v>4</v>
      </c>
      <c r="J431" t="s">
        <v>152</v>
      </c>
      <c r="K431" t="s">
        <v>153</v>
      </c>
      <c r="L431">
        <v>251200189</v>
      </c>
      <c r="M431" s="84">
        <v>45998</v>
      </c>
      <c r="N431" s="84">
        <v>45998</v>
      </c>
      <c r="O431" t="s">
        <v>160</v>
      </c>
      <c r="P431" t="s">
        <v>161</v>
      </c>
      <c r="Q431">
        <v>14250</v>
      </c>
      <c r="R431">
        <v>50</v>
      </c>
      <c r="S431">
        <v>712500</v>
      </c>
      <c r="T431">
        <v>0</v>
      </c>
      <c r="U431">
        <v>0</v>
      </c>
      <c r="V431">
        <v>50</v>
      </c>
      <c r="W431">
        <v>712500</v>
      </c>
      <c r="X431">
        <v>7500</v>
      </c>
      <c r="Y431">
        <v>10000</v>
      </c>
      <c r="Z431">
        <v>0</v>
      </c>
      <c r="AA431">
        <v>0</v>
      </c>
      <c r="AB431">
        <v>0</v>
      </c>
      <c r="AC431">
        <v>17500</v>
      </c>
    </row>
    <row r="432" spans="1:29">
      <c r="A432">
        <v>424</v>
      </c>
      <c r="B432" t="s">
        <v>149</v>
      </c>
      <c r="C432">
        <v>1566</v>
      </c>
      <c r="D432" t="s">
        <v>376</v>
      </c>
      <c r="E432" t="str">
        <f t="shared" si="6"/>
        <v>01566</v>
      </c>
      <c r="F432" t="s">
        <v>91</v>
      </c>
      <c r="G432" t="s">
        <v>202</v>
      </c>
      <c r="H432" t="s">
        <v>157</v>
      </c>
      <c r="I432" t="s">
        <v>4</v>
      </c>
      <c r="J432" t="s">
        <v>152</v>
      </c>
      <c r="K432" t="s">
        <v>159</v>
      </c>
      <c r="L432">
        <v>251200190</v>
      </c>
      <c r="M432" s="84">
        <v>45998</v>
      </c>
      <c r="N432" s="84">
        <v>45998</v>
      </c>
      <c r="O432" t="s">
        <v>256</v>
      </c>
      <c r="P432" t="s">
        <v>257</v>
      </c>
      <c r="Q432">
        <v>5500</v>
      </c>
      <c r="R432">
        <v>10</v>
      </c>
      <c r="S432">
        <v>55000</v>
      </c>
      <c r="T432">
        <v>0</v>
      </c>
      <c r="U432">
        <v>0</v>
      </c>
      <c r="V432">
        <v>10</v>
      </c>
      <c r="W432">
        <v>55000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>
      <c r="A433">
        <v>425</v>
      </c>
      <c r="B433" t="s">
        <v>149</v>
      </c>
      <c r="C433">
        <v>1484</v>
      </c>
      <c r="D433" t="s">
        <v>331</v>
      </c>
      <c r="E433" t="str">
        <f t="shared" si="6"/>
        <v>01484</v>
      </c>
      <c r="F433" t="s">
        <v>71</v>
      </c>
      <c r="G433" t="s">
        <v>305</v>
      </c>
      <c r="H433" t="s">
        <v>157</v>
      </c>
      <c r="I433" t="s">
        <v>4</v>
      </c>
      <c r="J433" t="s">
        <v>152</v>
      </c>
      <c r="K433" t="s">
        <v>174</v>
      </c>
      <c r="L433">
        <v>251200191</v>
      </c>
      <c r="M433" s="84">
        <v>45998</v>
      </c>
      <c r="N433" s="84">
        <v>45998</v>
      </c>
      <c r="O433" t="s">
        <v>160</v>
      </c>
      <c r="P433" t="s">
        <v>161</v>
      </c>
      <c r="Q433">
        <v>5500</v>
      </c>
      <c r="R433">
        <v>5</v>
      </c>
      <c r="S433">
        <v>27500</v>
      </c>
      <c r="T433">
        <v>0</v>
      </c>
      <c r="U433">
        <v>0</v>
      </c>
      <c r="V433">
        <v>5</v>
      </c>
      <c r="W433">
        <v>27500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>
      <c r="A434">
        <v>426</v>
      </c>
      <c r="B434" t="s">
        <v>149</v>
      </c>
      <c r="C434">
        <v>1497</v>
      </c>
      <c r="D434" t="s">
        <v>364</v>
      </c>
      <c r="E434" t="str">
        <f t="shared" si="6"/>
        <v>01497</v>
      </c>
      <c r="F434" t="s">
        <v>7</v>
      </c>
      <c r="G434" t="s">
        <v>156</v>
      </c>
      <c r="H434" t="s">
        <v>157</v>
      </c>
      <c r="I434" t="s">
        <v>4</v>
      </c>
      <c r="J434" t="s">
        <v>152</v>
      </c>
      <c r="K434" t="s">
        <v>159</v>
      </c>
      <c r="L434">
        <v>251200192</v>
      </c>
      <c r="M434" s="84">
        <v>45998</v>
      </c>
      <c r="N434" s="84">
        <v>45998</v>
      </c>
      <c r="O434" t="s">
        <v>160</v>
      </c>
      <c r="P434" t="s">
        <v>161</v>
      </c>
      <c r="Q434">
        <v>5500</v>
      </c>
      <c r="R434">
        <v>12</v>
      </c>
      <c r="S434">
        <v>66000</v>
      </c>
      <c r="T434">
        <v>0</v>
      </c>
      <c r="U434">
        <v>0</v>
      </c>
      <c r="V434">
        <v>12</v>
      </c>
      <c r="W434">
        <v>66000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>
      <c r="A435">
        <v>427</v>
      </c>
      <c r="B435" t="s">
        <v>149</v>
      </c>
      <c r="C435">
        <v>1282</v>
      </c>
      <c r="D435" t="s">
        <v>374</v>
      </c>
      <c r="E435" t="str">
        <f t="shared" si="6"/>
        <v>01282</v>
      </c>
      <c r="F435" t="s">
        <v>111</v>
      </c>
      <c r="G435" t="s">
        <v>150</v>
      </c>
      <c r="H435" t="s">
        <v>151</v>
      </c>
      <c r="I435" t="s">
        <v>5</v>
      </c>
      <c r="J435" t="s">
        <v>152</v>
      </c>
      <c r="K435" t="s">
        <v>153</v>
      </c>
      <c r="L435">
        <v>251200193</v>
      </c>
      <c r="M435" s="84">
        <v>45998</v>
      </c>
      <c r="N435" s="84">
        <v>45998</v>
      </c>
      <c r="O435" t="s">
        <v>198</v>
      </c>
      <c r="P435" t="s">
        <v>199</v>
      </c>
      <c r="Q435">
        <v>4500</v>
      </c>
      <c r="R435">
        <v>30</v>
      </c>
      <c r="S435">
        <v>135000</v>
      </c>
      <c r="T435">
        <v>0</v>
      </c>
      <c r="U435">
        <v>0</v>
      </c>
      <c r="V435">
        <v>30</v>
      </c>
      <c r="W435">
        <v>135000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>
      <c r="A436">
        <v>428</v>
      </c>
      <c r="B436" t="s">
        <v>149</v>
      </c>
      <c r="C436">
        <v>1282</v>
      </c>
      <c r="D436" t="s">
        <v>374</v>
      </c>
      <c r="E436" t="str">
        <f t="shared" si="6"/>
        <v>01282</v>
      </c>
      <c r="F436" t="s">
        <v>111</v>
      </c>
      <c r="G436" t="s">
        <v>150</v>
      </c>
      <c r="H436" t="s">
        <v>151</v>
      </c>
      <c r="I436" t="s">
        <v>4</v>
      </c>
      <c r="J436" t="s">
        <v>152</v>
      </c>
      <c r="K436" t="s">
        <v>153</v>
      </c>
      <c r="L436">
        <v>251200194</v>
      </c>
      <c r="M436" s="84">
        <v>45998</v>
      </c>
      <c r="N436" s="84">
        <v>45998</v>
      </c>
      <c r="O436" t="s">
        <v>243</v>
      </c>
      <c r="P436" t="s">
        <v>244</v>
      </c>
      <c r="Q436">
        <v>5700</v>
      </c>
      <c r="R436">
        <v>20</v>
      </c>
      <c r="S436">
        <v>114000</v>
      </c>
      <c r="T436">
        <v>0</v>
      </c>
      <c r="U436">
        <v>0</v>
      </c>
      <c r="V436">
        <v>20</v>
      </c>
      <c r="W436">
        <v>114000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>
      <c r="A437">
        <v>429</v>
      </c>
      <c r="B437" t="s">
        <v>149</v>
      </c>
      <c r="C437">
        <v>1282</v>
      </c>
      <c r="D437" t="s">
        <v>374</v>
      </c>
      <c r="E437" t="str">
        <f t="shared" si="6"/>
        <v>01282</v>
      </c>
      <c r="F437" t="s">
        <v>111</v>
      </c>
      <c r="G437" t="s">
        <v>150</v>
      </c>
      <c r="H437" t="s">
        <v>151</v>
      </c>
      <c r="I437" t="s">
        <v>4</v>
      </c>
      <c r="J437" t="s">
        <v>152</v>
      </c>
      <c r="K437" t="s">
        <v>153</v>
      </c>
      <c r="L437">
        <v>251200194</v>
      </c>
      <c r="M437" s="84">
        <v>45998</v>
      </c>
      <c r="N437" s="84">
        <v>45998</v>
      </c>
      <c r="O437" t="s">
        <v>160</v>
      </c>
      <c r="P437" t="s">
        <v>161</v>
      </c>
      <c r="Q437">
        <v>5500</v>
      </c>
      <c r="R437">
        <v>30</v>
      </c>
      <c r="S437">
        <v>165000</v>
      </c>
      <c r="T437">
        <v>0</v>
      </c>
      <c r="U437">
        <v>0</v>
      </c>
      <c r="V437">
        <v>30</v>
      </c>
      <c r="W437">
        <v>165000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 spans="1:29">
      <c r="A438">
        <v>430</v>
      </c>
      <c r="B438" t="s">
        <v>149</v>
      </c>
      <c r="C438">
        <v>1282</v>
      </c>
      <c r="D438" t="s">
        <v>374</v>
      </c>
      <c r="E438" t="str">
        <f t="shared" si="6"/>
        <v>01282</v>
      </c>
      <c r="F438" t="s">
        <v>111</v>
      </c>
      <c r="G438" t="s">
        <v>150</v>
      </c>
      <c r="H438" t="s">
        <v>151</v>
      </c>
      <c r="I438" t="s">
        <v>4</v>
      </c>
      <c r="J438" t="s">
        <v>152</v>
      </c>
      <c r="K438" t="s">
        <v>153</v>
      </c>
      <c r="L438">
        <v>251200194</v>
      </c>
      <c r="M438" s="84">
        <v>45998</v>
      </c>
      <c r="N438" s="84">
        <v>45998</v>
      </c>
      <c r="O438" t="s">
        <v>248</v>
      </c>
      <c r="P438" t="s">
        <v>249</v>
      </c>
      <c r="Q438">
        <v>5500</v>
      </c>
      <c r="R438">
        <v>25</v>
      </c>
      <c r="S438">
        <v>137500</v>
      </c>
      <c r="T438">
        <v>0</v>
      </c>
      <c r="U438">
        <v>0</v>
      </c>
      <c r="V438">
        <v>25</v>
      </c>
      <c r="W438">
        <v>137500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29">
      <c r="A439">
        <v>431</v>
      </c>
      <c r="B439" t="s">
        <v>149</v>
      </c>
      <c r="C439">
        <v>1282</v>
      </c>
      <c r="D439" t="s">
        <v>374</v>
      </c>
      <c r="E439" t="str">
        <f t="shared" si="6"/>
        <v>01282</v>
      </c>
      <c r="F439" t="s">
        <v>111</v>
      </c>
      <c r="G439" t="s">
        <v>150</v>
      </c>
      <c r="H439" t="s">
        <v>151</v>
      </c>
      <c r="I439" t="s">
        <v>4</v>
      </c>
      <c r="J439" t="s">
        <v>152</v>
      </c>
      <c r="K439" t="s">
        <v>153</v>
      </c>
      <c r="L439">
        <v>251200194</v>
      </c>
      <c r="M439" s="84">
        <v>45998</v>
      </c>
      <c r="N439" s="84">
        <v>45998</v>
      </c>
      <c r="O439" t="s">
        <v>262</v>
      </c>
      <c r="P439" t="s">
        <v>263</v>
      </c>
      <c r="Q439">
        <v>5500</v>
      </c>
      <c r="R439">
        <v>16</v>
      </c>
      <c r="S439">
        <v>88000</v>
      </c>
      <c r="T439">
        <v>0</v>
      </c>
      <c r="U439">
        <v>0</v>
      </c>
      <c r="V439">
        <v>16</v>
      </c>
      <c r="W439">
        <v>88000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>
      <c r="A440">
        <v>432</v>
      </c>
      <c r="B440" t="s">
        <v>149</v>
      </c>
      <c r="C440">
        <v>1282</v>
      </c>
      <c r="D440" t="s">
        <v>374</v>
      </c>
      <c r="E440" t="str">
        <f t="shared" si="6"/>
        <v>01282</v>
      </c>
      <c r="F440" t="s">
        <v>111</v>
      </c>
      <c r="G440" t="s">
        <v>150</v>
      </c>
      <c r="H440" t="s">
        <v>151</v>
      </c>
      <c r="I440" t="s">
        <v>5</v>
      </c>
      <c r="J440" t="s">
        <v>152</v>
      </c>
      <c r="K440" t="s">
        <v>153</v>
      </c>
      <c r="L440">
        <v>251200194</v>
      </c>
      <c r="M440" s="84">
        <v>45998</v>
      </c>
      <c r="N440" s="84">
        <v>45998</v>
      </c>
      <c r="O440" t="s">
        <v>198</v>
      </c>
      <c r="P440" t="s">
        <v>199</v>
      </c>
      <c r="Q440">
        <v>4500</v>
      </c>
      <c r="R440">
        <v>70</v>
      </c>
      <c r="S440">
        <v>315000</v>
      </c>
      <c r="T440">
        <v>0</v>
      </c>
      <c r="U440">
        <v>0</v>
      </c>
      <c r="V440">
        <v>70</v>
      </c>
      <c r="W440">
        <v>315000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>
      <c r="A441">
        <v>433</v>
      </c>
      <c r="B441" t="s">
        <v>149</v>
      </c>
      <c r="C441">
        <v>1282</v>
      </c>
      <c r="D441" t="s">
        <v>374</v>
      </c>
      <c r="E441" t="str">
        <f t="shared" si="6"/>
        <v>01282</v>
      </c>
      <c r="F441" t="s">
        <v>111</v>
      </c>
      <c r="G441" t="s">
        <v>150</v>
      </c>
      <c r="H441" t="s">
        <v>151</v>
      </c>
      <c r="I441" t="s">
        <v>4</v>
      </c>
      <c r="J441" t="s">
        <v>152</v>
      </c>
      <c r="K441" t="s">
        <v>153</v>
      </c>
      <c r="L441">
        <v>251200195</v>
      </c>
      <c r="M441" s="84">
        <v>45998</v>
      </c>
      <c r="N441" s="84">
        <v>45998</v>
      </c>
      <c r="O441" t="s">
        <v>262</v>
      </c>
      <c r="P441" t="s">
        <v>263</v>
      </c>
      <c r="Q441">
        <v>5500</v>
      </c>
      <c r="R441">
        <v>9</v>
      </c>
      <c r="S441">
        <v>49500</v>
      </c>
      <c r="T441">
        <v>0</v>
      </c>
      <c r="U441">
        <v>0</v>
      </c>
      <c r="V441">
        <v>9</v>
      </c>
      <c r="W441">
        <v>49500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>
      <c r="A442">
        <v>434</v>
      </c>
      <c r="B442" t="s">
        <v>149</v>
      </c>
      <c r="C442">
        <v>1290</v>
      </c>
      <c r="D442" t="s">
        <v>375</v>
      </c>
      <c r="E442" t="str">
        <f t="shared" si="6"/>
        <v>01290</v>
      </c>
      <c r="F442" t="s">
        <v>43</v>
      </c>
      <c r="G442" t="s">
        <v>150</v>
      </c>
      <c r="H442" t="s">
        <v>151</v>
      </c>
      <c r="I442" t="s">
        <v>5</v>
      </c>
      <c r="J442" t="s">
        <v>152</v>
      </c>
      <c r="K442" t="s">
        <v>153</v>
      </c>
      <c r="L442">
        <v>251200196</v>
      </c>
      <c r="M442" s="84">
        <v>45998</v>
      </c>
      <c r="N442" s="84">
        <v>45998</v>
      </c>
      <c r="O442" t="s">
        <v>191</v>
      </c>
      <c r="P442" t="s">
        <v>192</v>
      </c>
      <c r="Q442">
        <v>4500</v>
      </c>
      <c r="R442">
        <v>12</v>
      </c>
      <c r="S442">
        <v>54000</v>
      </c>
      <c r="T442">
        <v>0</v>
      </c>
      <c r="U442">
        <v>0</v>
      </c>
      <c r="V442">
        <v>12</v>
      </c>
      <c r="W442">
        <v>54000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>
      <c r="A443">
        <v>435</v>
      </c>
      <c r="B443" t="s">
        <v>149</v>
      </c>
      <c r="C443">
        <v>1</v>
      </c>
      <c r="D443" t="s">
        <v>114</v>
      </c>
      <c r="E443" t="str">
        <f t="shared" si="6"/>
        <v>00001</v>
      </c>
      <c r="F443" t="s">
        <v>111</v>
      </c>
      <c r="G443" t="s">
        <v>150</v>
      </c>
      <c r="H443" t="s">
        <v>151</v>
      </c>
      <c r="I443" t="s">
        <v>5</v>
      </c>
      <c r="J443" t="s">
        <v>152</v>
      </c>
      <c r="K443" t="s">
        <v>153</v>
      </c>
      <c r="L443">
        <v>251200197</v>
      </c>
      <c r="M443" s="84">
        <v>45998</v>
      </c>
      <c r="N443" s="84">
        <v>45998</v>
      </c>
      <c r="O443" t="s">
        <v>165</v>
      </c>
      <c r="P443" t="s">
        <v>166</v>
      </c>
      <c r="Q443">
        <v>8500</v>
      </c>
      <c r="R443">
        <v>20</v>
      </c>
      <c r="S443">
        <v>170000</v>
      </c>
      <c r="T443">
        <v>0</v>
      </c>
      <c r="U443">
        <v>0</v>
      </c>
      <c r="V443">
        <v>20</v>
      </c>
      <c r="W443">
        <v>170000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 spans="1:29">
      <c r="A444">
        <v>436</v>
      </c>
      <c r="B444" t="s">
        <v>149</v>
      </c>
      <c r="C444">
        <v>334</v>
      </c>
      <c r="D444" t="s">
        <v>56</v>
      </c>
      <c r="E444" t="str">
        <f t="shared" si="6"/>
        <v>00334</v>
      </c>
      <c r="F444" t="s">
        <v>49</v>
      </c>
      <c r="G444" t="s">
        <v>167</v>
      </c>
      <c r="H444" t="s">
        <v>151</v>
      </c>
      <c r="I444" t="s">
        <v>182</v>
      </c>
      <c r="J444" t="s">
        <v>152</v>
      </c>
      <c r="K444" t="s">
        <v>153</v>
      </c>
      <c r="L444">
        <v>251200198</v>
      </c>
      <c r="M444" s="84">
        <v>45998</v>
      </c>
      <c r="N444" s="84">
        <v>45998</v>
      </c>
      <c r="O444" t="s">
        <v>183</v>
      </c>
      <c r="P444" t="s">
        <v>184</v>
      </c>
      <c r="Q444">
        <v>72</v>
      </c>
      <c r="R444">
        <v>100</v>
      </c>
      <c r="S444">
        <v>7200</v>
      </c>
      <c r="T444">
        <v>0</v>
      </c>
      <c r="U444">
        <v>0</v>
      </c>
      <c r="V444">
        <v>100</v>
      </c>
      <c r="W444">
        <v>7200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>
      <c r="A445">
        <v>437</v>
      </c>
      <c r="B445" t="s">
        <v>149</v>
      </c>
      <c r="C445">
        <v>334</v>
      </c>
      <c r="D445" t="s">
        <v>56</v>
      </c>
      <c r="E445" t="str">
        <f t="shared" si="6"/>
        <v>00334</v>
      </c>
      <c r="F445" t="s">
        <v>49</v>
      </c>
      <c r="G445" t="s">
        <v>167</v>
      </c>
      <c r="H445" t="s">
        <v>151</v>
      </c>
      <c r="I445" t="s">
        <v>182</v>
      </c>
      <c r="J445" t="s">
        <v>152</v>
      </c>
      <c r="K445" t="s">
        <v>153</v>
      </c>
      <c r="L445">
        <v>251200199</v>
      </c>
      <c r="M445" s="84">
        <v>45998</v>
      </c>
      <c r="N445" s="84">
        <v>45998</v>
      </c>
      <c r="O445" t="s">
        <v>183</v>
      </c>
      <c r="P445" t="s">
        <v>184</v>
      </c>
      <c r="Q445">
        <v>72</v>
      </c>
      <c r="R445">
        <v>200</v>
      </c>
      <c r="S445">
        <v>14400</v>
      </c>
      <c r="T445">
        <v>0</v>
      </c>
      <c r="U445">
        <v>0</v>
      </c>
      <c r="V445">
        <v>200</v>
      </c>
      <c r="W445">
        <v>14400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>
      <c r="A446">
        <v>438</v>
      </c>
      <c r="B446" t="s">
        <v>149</v>
      </c>
      <c r="C446">
        <v>88</v>
      </c>
      <c r="D446" t="s">
        <v>46</v>
      </c>
      <c r="E446" t="str">
        <f t="shared" si="6"/>
        <v>00088</v>
      </c>
      <c r="F446" t="s">
        <v>43</v>
      </c>
      <c r="G446" t="s">
        <v>150</v>
      </c>
      <c r="H446" t="s">
        <v>151</v>
      </c>
      <c r="I446" t="s">
        <v>4</v>
      </c>
      <c r="J446" t="s">
        <v>152</v>
      </c>
      <c r="K446" t="s">
        <v>153</v>
      </c>
      <c r="L446">
        <v>251200200</v>
      </c>
      <c r="M446" s="84">
        <v>45999</v>
      </c>
      <c r="N446" s="84">
        <v>45999</v>
      </c>
      <c r="O446" t="s">
        <v>160</v>
      </c>
      <c r="P446" t="s">
        <v>161</v>
      </c>
      <c r="Q446">
        <v>14250</v>
      </c>
      <c r="R446">
        <v>10</v>
      </c>
      <c r="S446">
        <v>142500</v>
      </c>
      <c r="T446">
        <v>0</v>
      </c>
      <c r="U446">
        <v>0</v>
      </c>
      <c r="V446">
        <v>10</v>
      </c>
      <c r="W446">
        <v>142500</v>
      </c>
      <c r="X446">
        <v>1500</v>
      </c>
      <c r="Y446">
        <v>2000</v>
      </c>
      <c r="Z446">
        <v>0</v>
      </c>
      <c r="AA446">
        <v>0</v>
      </c>
      <c r="AB446">
        <v>0</v>
      </c>
      <c r="AC446">
        <v>3500</v>
      </c>
    </row>
    <row r="447" spans="1:29">
      <c r="A447">
        <v>439</v>
      </c>
      <c r="B447" t="s">
        <v>149</v>
      </c>
      <c r="C447">
        <v>1112</v>
      </c>
      <c r="D447" t="s">
        <v>44</v>
      </c>
      <c r="E447" t="str">
        <f t="shared" si="6"/>
        <v>01112</v>
      </c>
      <c r="F447" t="s">
        <v>43</v>
      </c>
      <c r="G447" t="s">
        <v>150</v>
      </c>
      <c r="H447" t="s">
        <v>151</v>
      </c>
      <c r="I447" t="s">
        <v>5</v>
      </c>
      <c r="J447" t="s">
        <v>152</v>
      </c>
      <c r="K447" t="s">
        <v>153</v>
      </c>
      <c r="L447">
        <v>251200201</v>
      </c>
      <c r="M447" s="84">
        <v>45999</v>
      </c>
      <c r="N447" s="84">
        <v>45999</v>
      </c>
      <c r="O447" t="s">
        <v>269</v>
      </c>
      <c r="P447" t="s">
        <v>270</v>
      </c>
      <c r="Q447">
        <v>8700</v>
      </c>
      <c r="R447">
        <v>12</v>
      </c>
      <c r="S447">
        <v>104400</v>
      </c>
      <c r="T447">
        <v>0</v>
      </c>
      <c r="U447">
        <v>0</v>
      </c>
      <c r="V447">
        <v>12</v>
      </c>
      <c r="W447">
        <v>104400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>
      <c r="A448">
        <v>440</v>
      </c>
      <c r="B448" t="s">
        <v>149</v>
      </c>
      <c r="C448">
        <v>1551</v>
      </c>
      <c r="D448" t="s">
        <v>316</v>
      </c>
      <c r="E448" t="str">
        <f t="shared" si="6"/>
        <v>01551</v>
      </c>
      <c r="F448" t="s">
        <v>111</v>
      </c>
      <c r="G448" t="s">
        <v>150</v>
      </c>
      <c r="H448" t="s">
        <v>151</v>
      </c>
      <c r="I448" t="s">
        <v>4</v>
      </c>
      <c r="J448" t="s">
        <v>152</v>
      </c>
      <c r="K448" t="s">
        <v>153</v>
      </c>
      <c r="L448">
        <v>251200202</v>
      </c>
      <c r="M448" s="84">
        <v>45999</v>
      </c>
      <c r="N448" s="84">
        <v>45999</v>
      </c>
      <c r="O448" t="s">
        <v>160</v>
      </c>
      <c r="P448" t="s">
        <v>161</v>
      </c>
      <c r="Q448">
        <v>5500</v>
      </c>
      <c r="R448">
        <v>24</v>
      </c>
      <c r="S448">
        <v>132000</v>
      </c>
      <c r="T448">
        <v>0</v>
      </c>
      <c r="U448">
        <v>0</v>
      </c>
      <c r="V448">
        <v>24</v>
      </c>
      <c r="W448">
        <v>132000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>
      <c r="A449">
        <v>441</v>
      </c>
      <c r="B449" t="s">
        <v>149</v>
      </c>
      <c r="C449">
        <v>1519</v>
      </c>
      <c r="D449" t="s">
        <v>353</v>
      </c>
      <c r="E449" t="str">
        <f t="shared" si="6"/>
        <v>01519</v>
      </c>
      <c r="F449" t="s">
        <v>111</v>
      </c>
      <c r="G449" t="s">
        <v>150</v>
      </c>
      <c r="H449" t="s">
        <v>151</v>
      </c>
      <c r="I449" t="s">
        <v>4</v>
      </c>
      <c r="J449" t="s">
        <v>152</v>
      </c>
      <c r="K449" t="s">
        <v>153</v>
      </c>
      <c r="L449">
        <v>251200203</v>
      </c>
      <c r="M449" s="84">
        <v>45999</v>
      </c>
      <c r="N449" s="84">
        <v>45999</v>
      </c>
      <c r="O449" t="s">
        <v>219</v>
      </c>
      <c r="P449" t="s">
        <v>220</v>
      </c>
      <c r="Q449">
        <v>5500</v>
      </c>
      <c r="R449">
        <v>8</v>
      </c>
      <c r="S449">
        <v>44000</v>
      </c>
      <c r="T449">
        <v>0</v>
      </c>
      <c r="U449">
        <v>0</v>
      </c>
      <c r="V449">
        <v>8</v>
      </c>
      <c r="W449">
        <v>44000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>
      <c r="A450">
        <v>442</v>
      </c>
      <c r="B450" t="s">
        <v>149</v>
      </c>
      <c r="C450">
        <v>1306</v>
      </c>
      <c r="D450" t="s">
        <v>377</v>
      </c>
      <c r="E450" t="str">
        <f t="shared" si="6"/>
        <v>01306</v>
      </c>
      <c r="F450" t="s">
        <v>28</v>
      </c>
      <c r="G450" t="s">
        <v>164</v>
      </c>
      <c r="H450" t="s">
        <v>151</v>
      </c>
      <c r="I450" t="s">
        <v>5</v>
      </c>
      <c r="J450" t="s">
        <v>152</v>
      </c>
      <c r="K450" t="s">
        <v>153</v>
      </c>
      <c r="L450">
        <v>251200204</v>
      </c>
      <c r="M450" s="84">
        <v>45999</v>
      </c>
      <c r="N450" s="84">
        <v>45999</v>
      </c>
      <c r="O450" t="s">
        <v>253</v>
      </c>
      <c r="P450" t="s">
        <v>254</v>
      </c>
      <c r="Q450">
        <v>4500</v>
      </c>
      <c r="R450">
        <v>4</v>
      </c>
      <c r="S450">
        <v>18000</v>
      </c>
      <c r="T450">
        <v>0</v>
      </c>
      <c r="U450">
        <v>0</v>
      </c>
      <c r="V450">
        <v>4</v>
      </c>
      <c r="W450">
        <v>18000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>
      <c r="A451">
        <v>443</v>
      </c>
      <c r="B451" t="s">
        <v>149</v>
      </c>
      <c r="C451">
        <v>1306</v>
      </c>
      <c r="D451" t="s">
        <v>377</v>
      </c>
      <c r="E451" t="str">
        <f t="shared" si="6"/>
        <v>01306</v>
      </c>
      <c r="F451" t="s">
        <v>28</v>
      </c>
      <c r="G451" t="s">
        <v>164</v>
      </c>
      <c r="H451" t="s">
        <v>151</v>
      </c>
      <c r="I451" t="s">
        <v>5</v>
      </c>
      <c r="J451" t="s">
        <v>152</v>
      </c>
      <c r="K451" t="s">
        <v>153</v>
      </c>
      <c r="L451">
        <v>251200204</v>
      </c>
      <c r="M451" s="84">
        <v>45999</v>
      </c>
      <c r="N451" s="84">
        <v>45999</v>
      </c>
      <c r="O451" t="s">
        <v>191</v>
      </c>
      <c r="P451" t="s">
        <v>192</v>
      </c>
      <c r="Q451">
        <v>4500</v>
      </c>
      <c r="R451">
        <v>20</v>
      </c>
      <c r="S451">
        <v>90000</v>
      </c>
      <c r="T451">
        <v>0</v>
      </c>
      <c r="U451">
        <v>0</v>
      </c>
      <c r="V451">
        <v>20</v>
      </c>
      <c r="W451">
        <v>90000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 spans="1:29">
      <c r="A452">
        <v>444</v>
      </c>
      <c r="B452" t="s">
        <v>149</v>
      </c>
      <c r="C452">
        <v>1306</v>
      </c>
      <c r="D452" t="s">
        <v>377</v>
      </c>
      <c r="E452" t="str">
        <f t="shared" si="6"/>
        <v>01306</v>
      </c>
      <c r="F452" t="s">
        <v>28</v>
      </c>
      <c r="G452" t="s">
        <v>164</v>
      </c>
      <c r="H452" t="s">
        <v>151</v>
      </c>
      <c r="I452" t="s">
        <v>4</v>
      </c>
      <c r="J452" t="s">
        <v>152</v>
      </c>
      <c r="K452" t="s">
        <v>153</v>
      </c>
      <c r="L452">
        <v>251200204</v>
      </c>
      <c r="M452" s="84">
        <v>45999</v>
      </c>
      <c r="N452" s="84">
        <v>45999</v>
      </c>
      <c r="O452" t="s">
        <v>179</v>
      </c>
      <c r="P452" t="s">
        <v>180</v>
      </c>
      <c r="Q452">
        <v>5500</v>
      </c>
      <c r="R452">
        <v>10</v>
      </c>
      <c r="S452">
        <v>55000</v>
      </c>
      <c r="T452">
        <v>0</v>
      </c>
      <c r="U452">
        <v>0</v>
      </c>
      <c r="V452">
        <v>10</v>
      </c>
      <c r="W452">
        <v>55000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1:29">
      <c r="A453">
        <v>445</v>
      </c>
      <c r="B453" t="s">
        <v>149</v>
      </c>
      <c r="C453">
        <v>1306</v>
      </c>
      <c r="D453" t="s">
        <v>377</v>
      </c>
      <c r="E453" t="str">
        <f t="shared" si="6"/>
        <v>01306</v>
      </c>
      <c r="F453" t="s">
        <v>28</v>
      </c>
      <c r="G453" t="s">
        <v>164</v>
      </c>
      <c r="H453" t="s">
        <v>151</v>
      </c>
      <c r="I453" t="s">
        <v>5</v>
      </c>
      <c r="J453" t="s">
        <v>152</v>
      </c>
      <c r="K453" t="s">
        <v>153</v>
      </c>
      <c r="L453">
        <v>251200204</v>
      </c>
      <c r="M453" s="84">
        <v>45999</v>
      </c>
      <c r="N453" s="84">
        <v>45999</v>
      </c>
      <c r="O453" t="s">
        <v>194</v>
      </c>
      <c r="P453" t="s">
        <v>195</v>
      </c>
      <c r="Q453">
        <v>4500</v>
      </c>
      <c r="R453">
        <v>4</v>
      </c>
      <c r="S453">
        <v>18000</v>
      </c>
      <c r="T453">
        <v>0</v>
      </c>
      <c r="U453">
        <v>0</v>
      </c>
      <c r="V453">
        <v>4</v>
      </c>
      <c r="W453">
        <v>18000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 spans="1:29">
      <c r="A454">
        <v>446</v>
      </c>
      <c r="B454" t="s">
        <v>149</v>
      </c>
      <c r="C454">
        <v>1306</v>
      </c>
      <c r="D454" t="s">
        <v>377</v>
      </c>
      <c r="E454" t="str">
        <f t="shared" si="6"/>
        <v>01306</v>
      </c>
      <c r="F454" t="s">
        <v>28</v>
      </c>
      <c r="G454" t="s">
        <v>164</v>
      </c>
      <c r="H454" t="s">
        <v>151</v>
      </c>
      <c r="I454" t="s">
        <v>5</v>
      </c>
      <c r="J454" t="s">
        <v>152</v>
      </c>
      <c r="K454" t="s">
        <v>153</v>
      </c>
      <c r="L454">
        <v>251200204</v>
      </c>
      <c r="M454" s="84">
        <v>45999</v>
      </c>
      <c r="N454" s="84">
        <v>45999</v>
      </c>
      <c r="O454" t="s">
        <v>260</v>
      </c>
      <c r="P454" t="s">
        <v>261</v>
      </c>
      <c r="Q454">
        <v>4500</v>
      </c>
      <c r="R454">
        <v>12</v>
      </c>
      <c r="S454">
        <v>54000</v>
      </c>
      <c r="T454">
        <v>0</v>
      </c>
      <c r="U454">
        <v>0</v>
      </c>
      <c r="V454">
        <v>12</v>
      </c>
      <c r="W454">
        <v>54000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 spans="1:29">
      <c r="A455">
        <v>447</v>
      </c>
      <c r="B455" t="s">
        <v>149</v>
      </c>
      <c r="C455">
        <v>988</v>
      </c>
      <c r="D455" t="s">
        <v>19</v>
      </c>
      <c r="E455" t="str">
        <f t="shared" si="6"/>
        <v>00988</v>
      </c>
      <c r="F455" t="s">
        <v>15</v>
      </c>
      <c r="G455" t="s">
        <v>193</v>
      </c>
      <c r="H455" t="s">
        <v>151</v>
      </c>
      <c r="I455" t="s">
        <v>4</v>
      </c>
      <c r="J455" t="s">
        <v>152</v>
      </c>
      <c r="K455" t="s">
        <v>153</v>
      </c>
      <c r="L455">
        <v>251200205</v>
      </c>
      <c r="M455" s="84">
        <v>45999</v>
      </c>
      <c r="N455" s="84">
        <v>45999</v>
      </c>
      <c r="O455" t="s">
        <v>179</v>
      </c>
      <c r="P455" t="s">
        <v>180</v>
      </c>
      <c r="Q455">
        <v>14250</v>
      </c>
      <c r="R455">
        <v>10</v>
      </c>
      <c r="S455">
        <v>142500</v>
      </c>
      <c r="T455">
        <v>0</v>
      </c>
      <c r="U455">
        <v>0</v>
      </c>
      <c r="V455">
        <v>10</v>
      </c>
      <c r="W455">
        <v>142500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 spans="1:29">
      <c r="A456">
        <v>448</v>
      </c>
      <c r="B456" t="s">
        <v>149</v>
      </c>
      <c r="C456">
        <v>988</v>
      </c>
      <c r="D456" t="s">
        <v>19</v>
      </c>
      <c r="E456" t="str">
        <f t="shared" si="6"/>
        <v>00988</v>
      </c>
      <c r="F456" t="s">
        <v>15</v>
      </c>
      <c r="G456" t="s">
        <v>193</v>
      </c>
      <c r="H456" t="s">
        <v>151</v>
      </c>
      <c r="I456" t="s">
        <v>5</v>
      </c>
      <c r="J456" t="s">
        <v>152</v>
      </c>
      <c r="K456" t="s">
        <v>153</v>
      </c>
      <c r="L456">
        <v>251200205</v>
      </c>
      <c r="M456" s="84">
        <v>45999</v>
      </c>
      <c r="N456" s="84">
        <v>45999</v>
      </c>
      <c r="O456" t="s">
        <v>191</v>
      </c>
      <c r="P456" t="s">
        <v>192</v>
      </c>
      <c r="Q456">
        <v>11700</v>
      </c>
      <c r="R456">
        <v>8</v>
      </c>
      <c r="S456">
        <v>93600</v>
      </c>
      <c r="T456">
        <v>0</v>
      </c>
      <c r="U456">
        <v>0</v>
      </c>
      <c r="V456">
        <v>8</v>
      </c>
      <c r="W456">
        <v>93600</v>
      </c>
      <c r="X456">
        <v>1200</v>
      </c>
      <c r="Y456">
        <v>1200</v>
      </c>
      <c r="Z456">
        <v>0</v>
      </c>
      <c r="AA456">
        <v>0</v>
      </c>
      <c r="AB456">
        <v>0</v>
      </c>
      <c r="AC456">
        <v>2400</v>
      </c>
    </row>
    <row r="457" spans="1:29">
      <c r="A457">
        <v>449</v>
      </c>
      <c r="B457" t="s">
        <v>149</v>
      </c>
      <c r="C457">
        <v>1326</v>
      </c>
      <c r="D457" t="s">
        <v>338</v>
      </c>
      <c r="E457" t="str">
        <f t="shared" ref="E457:E520" si="7">TEXT(C457,"00000")</f>
        <v>01326</v>
      </c>
      <c r="F457" t="s">
        <v>15</v>
      </c>
      <c r="G457" t="s">
        <v>193</v>
      </c>
      <c r="H457" t="s">
        <v>151</v>
      </c>
      <c r="I457" t="s">
        <v>5</v>
      </c>
      <c r="J457" t="s">
        <v>152</v>
      </c>
      <c r="K457" t="s">
        <v>153</v>
      </c>
      <c r="L457">
        <v>251200206</v>
      </c>
      <c r="M457" s="84">
        <v>45999</v>
      </c>
      <c r="N457" s="84">
        <v>45999</v>
      </c>
      <c r="O457" t="s">
        <v>253</v>
      </c>
      <c r="P457" t="s">
        <v>254</v>
      </c>
      <c r="Q457">
        <v>4500</v>
      </c>
      <c r="R457">
        <v>8</v>
      </c>
      <c r="S457">
        <v>36000</v>
      </c>
      <c r="T457">
        <v>0</v>
      </c>
      <c r="U457">
        <v>0</v>
      </c>
      <c r="V457">
        <v>8</v>
      </c>
      <c r="W457">
        <v>36000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</row>
    <row r="458" spans="1:29">
      <c r="A458">
        <v>450</v>
      </c>
      <c r="B458" t="s">
        <v>149</v>
      </c>
      <c r="C458">
        <v>1326</v>
      </c>
      <c r="D458" t="s">
        <v>338</v>
      </c>
      <c r="E458" t="str">
        <f t="shared" si="7"/>
        <v>01326</v>
      </c>
      <c r="F458" t="s">
        <v>15</v>
      </c>
      <c r="G458" t="s">
        <v>193</v>
      </c>
      <c r="H458" t="s">
        <v>151</v>
      </c>
      <c r="I458" t="s">
        <v>5</v>
      </c>
      <c r="J458" t="s">
        <v>152</v>
      </c>
      <c r="K458" t="s">
        <v>153</v>
      </c>
      <c r="L458">
        <v>251200206</v>
      </c>
      <c r="M458" s="84">
        <v>45999</v>
      </c>
      <c r="N458" s="84">
        <v>45999</v>
      </c>
      <c r="O458" t="s">
        <v>260</v>
      </c>
      <c r="P458" t="s">
        <v>261</v>
      </c>
      <c r="Q458">
        <v>4500</v>
      </c>
      <c r="R458">
        <v>8</v>
      </c>
      <c r="S458">
        <v>36000</v>
      </c>
      <c r="T458">
        <v>0</v>
      </c>
      <c r="U458">
        <v>0</v>
      </c>
      <c r="V458">
        <v>8</v>
      </c>
      <c r="W458">
        <v>36000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</row>
    <row r="459" spans="1:29">
      <c r="A459">
        <v>451</v>
      </c>
      <c r="B459" t="s">
        <v>149</v>
      </c>
      <c r="C459">
        <v>1326</v>
      </c>
      <c r="D459" t="s">
        <v>338</v>
      </c>
      <c r="E459" t="str">
        <f t="shared" si="7"/>
        <v>01326</v>
      </c>
      <c r="F459" t="s">
        <v>15</v>
      </c>
      <c r="G459" t="s">
        <v>193</v>
      </c>
      <c r="H459" t="s">
        <v>151</v>
      </c>
      <c r="I459" t="s">
        <v>5</v>
      </c>
      <c r="J459" t="s">
        <v>152</v>
      </c>
      <c r="K459" t="s">
        <v>153</v>
      </c>
      <c r="L459">
        <v>251200206</v>
      </c>
      <c r="M459" s="84">
        <v>45999</v>
      </c>
      <c r="N459" s="84">
        <v>45999</v>
      </c>
      <c r="O459" t="s">
        <v>191</v>
      </c>
      <c r="P459" t="s">
        <v>192</v>
      </c>
      <c r="Q459">
        <v>4500</v>
      </c>
      <c r="R459">
        <v>20</v>
      </c>
      <c r="S459">
        <v>90000</v>
      </c>
      <c r="T459">
        <v>0</v>
      </c>
      <c r="U459">
        <v>0</v>
      </c>
      <c r="V459">
        <v>20</v>
      </c>
      <c r="W459">
        <v>90000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</row>
    <row r="460" spans="1:29">
      <c r="A460">
        <v>452</v>
      </c>
      <c r="B460" t="s">
        <v>149</v>
      </c>
      <c r="C460">
        <v>988</v>
      </c>
      <c r="D460" t="s">
        <v>19</v>
      </c>
      <c r="E460" t="str">
        <f t="shared" si="7"/>
        <v>00988</v>
      </c>
      <c r="F460" t="s">
        <v>15</v>
      </c>
      <c r="G460" t="s">
        <v>193</v>
      </c>
      <c r="H460" t="s">
        <v>151</v>
      </c>
      <c r="I460" t="s">
        <v>4</v>
      </c>
      <c r="J460" t="s">
        <v>152</v>
      </c>
      <c r="K460" t="s">
        <v>153</v>
      </c>
      <c r="L460">
        <v>251200207</v>
      </c>
      <c r="M460" s="84">
        <v>45999</v>
      </c>
      <c r="N460" s="84">
        <v>45999</v>
      </c>
      <c r="O460" t="s">
        <v>160</v>
      </c>
      <c r="P460" t="s">
        <v>161</v>
      </c>
      <c r="Q460">
        <v>14250</v>
      </c>
      <c r="R460">
        <v>15</v>
      </c>
      <c r="S460">
        <v>213750</v>
      </c>
      <c r="T460">
        <v>0</v>
      </c>
      <c r="U460">
        <v>0</v>
      </c>
      <c r="V460">
        <v>15</v>
      </c>
      <c r="W460">
        <v>213750</v>
      </c>
      <c r="X460">
        <v>2250</v>
      </c>
      <c r="Y460">
        <v>3000</v>
      </c>
      <c r="Z460">
        <v>0</v>
      </c>
      <c r="AA460">
        <v>0</v>
      </c>
      <c r="AB460">
        <v>0</v>
      </c>
      <c r="AC460">
        <v>5250</v>
      </c>
    </row>
    <row r="461" spans="1:29">
      <c r="A461">
        <v>453</v>
      </c>
      <c r="B461" t="s">
        <v>149</v>
      </c>
      <c r="C461">
        <v>337</v>
      </c>
      <c r="D461" t="s">
        <v>57</v>
      </c>
      <c r="E461" t="str">
        <f t="shared" si="7"/>
        <v>00337</v>
      </c>
      <c r="F461" t="s">
        <v>49</v>
      </c>
      <c r="G461" t="s">
        <v>167</v>
      </c>
      <c r="H461" t="s">
        <v>151</v>
      </c>
      <c r="I461" t="s">
        <v>4</v>
      </c>
      <c r="J461" t="s">
        <v>152</v>
      </c>
      <c r="K461" t="s">
        <v>153</v>
      </c>
      <c r="L461">
        <v>251200208</v>
      </c>
      <c r="M461" s="84">
        <v>45999</v>
      </c>
      <c r="N461" s="84">
        <v>45999</v>
      </c>
      <c r="O461" t="s">
        <v>160</v>
      </c>
      <c r="P461" t="s">
        <v>161</v>
      </c>
      <c r="Q461">
        <v>14250</v>
      </c>
      <c r="R461">
        <v>15</v>
      </c>
      <c r="S461">
        <v>213750</v>
      </c>
      <c r="T461">
        <v>0</v>
      </c>
      <c r="U461">
        <v>0</v>
      </c>
      <c r="V461">
        <v>15</v>
      </c>
      <c r="W461">
        <v>213750</v>
      </c>
      <c r="X461">
        <v>2250</v>
      </c>
      <c r="Y461">
        <v>3000</v>
      </c>
      <c r="Z461">
        <v>0</v>
      </c>
      <c r="AA461">
        <v>0</v>
      </c>
      <c r="AB461">
        <v>0</v>
      </c>
      <c r="AC461">
        <v>5250</v>
      </c>
    </row>
    <row r="462" spans="1:29">
      <c r="A462">
        <v>454</v>
      </c>
      <c r="B462" t="s">
        <v>149</v>
      </c>
      <c r="C462">
        <v>1471</v>
      </c>
      <c r="D462" t="s">
        <v>369</v>
      </c>
      <c r="E462" t="str">
        <f t="shared" si="7"/>
        <v>01471</v>
      </c>
      <c r="F462" t="s">
        <v>73</v>
      </c>
      <c r="G462" t="s">
        <v>185</v>
      </c>
      <c r="H462" t="s">
        <v>151</v>
      </c>
      <c r="I462" t="s">
        <v>4</v>
      </c>
      <c r="J462" t="s">
        <v>152</v>
      </c>
      <c r="K462" t="s">
        <v>153</v>
      </c>
      <c r="L462">
        <v>251200209</v>
      </c>
      <c r="M462" s="84">
        <v>45999</v>
      </c>
      <c r="N462" s="84">
        <v>45999</v>
      </c>
      <c r="O462" t="s">
        <v>168</v>
      </c>
      <c r="P462" t="s">
        <v>169</v>
      </c>
      <c r="Q462">
        <v>5500</v>
      </c>
      <c r="R462">
        <v>5</v>
      </c>
      <c r="S462">
        <v>27500</v>
      </c>
      <c r="T462">
        <v>0</v>
      </c>
      <c r="U462">
        <v>0</v>
      </c>
      <c r="V462">
        <v>5</v>
      </c>
      <c r="W462">
        <v>27500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>
      <c r="A463">
        <v>455</v>
      </c>
      <c r="B463" t="s">
        <v>149</v>
      </c>
      <c r="C463">
        <v>1395</v>
      </c>
      <c r="D463" t="s">
        <v>101</v>
      </c>
      <c r="E463" t="str">
        <f t="shared" si="7"/>
        <v>01395</v>
      </c>
      <c r="F463" t="s">
        <v>95</v>
      </c>
      <c r="G463" t="s">
        <v>187</v>
      </c>
      <c r="H463" t="s">
        <v>188</v>
      </c>
      <c r="I463" t="s">
        <v>238</v>
      </c>
      <c r="J463" t="s">
        <v>152</v>
      </c>
      <c r="K463" t="s">
        <v>159</v>
      </c>
      <c r="L463">
        <v>251200210</v>
      </c>
      <c r="M463" s="84">
        <v>45999</v>
      </c>
      <c r="N463" s="84">
        <v>45999</v>
      </c>
      <c r="O463" t="s">
        <v>247</v>
      </c>
      <c r="P463" t="s">
        <v>116</v>
      </c>
      <c r="Q463">
        <v>10003</v>
      </c>
      <c r="R463">
        <v>1</v>
      </c>
      <c r="S463">
        <v>10003</v>
      </c>
      <c r="T463">
        <v>0</v>
      </c>
      <c r="U463">
        <v>0</v>
      </c>
      <c r="V463">
        <v>1</v>
      </c>
      <c r="W463">
        <v>10003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</row>
    <row r="464" spans="1:29">
      <c r="A464">
        <v>456</v>
      </c>
      <c r="B464" t="s">
        <v>149</v>
      </c>
      <c r="C464">
        <v>1581</v>
      </c>
      <c r="D464" t="s">
        <v>96</v>
      </c>
      <c r="E464" t="str">
        <f t="shared" si="7"/>
        <v>01581</v>
      </c>
      <c r="F464" t="s">
        <v>95</v>
      </c>
      <c r="G464" t="s">
        <v>187</v>
      </c>
      <c r="H464" t="s">
        <v>188</v>
      </c>
      <c r="I464" t="s">
        <v>5</v>
      </c>
      <c r="J464" t="s">
        <v>152</v>
      </c>
      <c r="K464" t="s">
        <v>159</v>
      </c>
      <c r="L464">
        <v>251200211</v>
      </c>
      <c r="M464" s="84">
        <v>45999</v>
      </c>
      <c r="N464" s="84">
        <v>45999</v>
      </c>
      <c r="O464" t="s">
        <v>271</v>
      </c>
      <c r="P464" t="s">
        <v>272</v>
      </c>
      <c r="Q464">
        <v>10800</v>
      </c>
      <c r="R464">
        <v>8</v>
      </c>
      <c r="S464">
        <v>86400</v>
      </c>
      <c r="T464">
        <v>0</v>
      </c>
      <c r="U464">
        <v>0</v>
      </c>
      <c r="V464">
        <v>8</v>
      </c>
      <c r="W464">
        <v>86400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</row>
    <row r="465" spans="1:29">
      <c r="A465">
        <v>457</v>
      </c>
      <c r="B465" t="s">
        <v>149</v>
      </c>
      <c r="C465">
        <v>1341</v>
      </c>
      <c r="D465" t="s">
        <v>24</v>
      </c>
      <c r="E465" t="str">
        <f t="shared" si="7"/>
        <v>01341</v>
      </c>
      <c r="F465" t="s">
        <v>20</v>
      </c>
      <c r="G465" t="s">
        <v>193</v>
      </c>
      <c r="H465" t="s">
        <v>151</v>
      </c>
      <c r="I465" t="s">
        <v>4</v>
      </c>
      <c r="J465" t="s">
        <v>152</v>
      </c>
      <c r="K465" t="s">
        <v>236</v>
      </c>
      <c r="L465">
        <v>251200212</v>
      </c>
      <c r="M465" s="84">
        <v>45999</v>
      </c>
      <c r="N465" s="84">
        <v>45999</v>
      </c>
      <c r="O465" t="s">
        <v>219</v>
      </c>
      <c r="P465" t="s">
        <v>220</v>
      </c>
      <c r="Q465">
        <v>14250</v>
      </c>
      <c r="R465">
        <v>5</v>
      </c>
      <c r="S465">
        <v>71250</v>
      </c>
      <c r="T465">
        <v>0</v>
      </c>
      <c r="U465">
        <v>0</v>
      </c>
      <c r="V465">
        <v>5</v>
      </c>
      <c r="W465">
        <v>71250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</row>
    <row r="466" spans="1:29">
      <c r="A466">
        <v>458</v>
      </c>
      <c r="B466" t="s">
        <v>149</v>
      </c>
      <c r="C466">
        <v>1341</v>
      </c>
      <c r="D466" t="s">
        <v>24</v>
      </c>
      <c r="E466" t="str">
        <f t="shared" si="7"/>
        <v>01341</v>
      </c>
      <c r="F466" t="s">
        <v>20</v>
      </c>
      <c r="G466" t="s">
        <v>193</v>
      </c>
      <c r="H466" t="s">
        <v>151</v>
      </c>
      <c r="I466" t="s">
        <v>4</v>
      </c>
      <c r="J466" t="s">
        <v>152</v>
      </c>
      <c r="K466" t="s">
        <v>236</v>
      </c>
      <c r="L466">
        <v>251200212</v>
      </c>
      <c r="M466" s="84">
        <v>45999</v>
      </c>
      <c r="N466" s="84">
        <v>45999</v>
      </c>
      <c r="O466" t="s">
        <v>267</v>
      </c>
      <c r="P466" t="s">
        <v>268</v>
      </c>
      <c r="Q466">
        <v>14250</v>
      </c>
      <c r="R466">
        <v>4</v>
      </c>
      <c r="S466">
        <v>57000</v>
      </c>
      <c r="T466">
        <v>0</v>
      </c>
      <c r="U466">
        <v>0</v>
      </c>
      <c r="V466">
        <v>4</v>
      </c>
      <c r="W466">
        <v>57000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</row>
    <row r="467" spans="1:29">
      <c r="A467">
        <v>459</v>
      </c>
      <c r="B467" t="s">
        <v>149</v>
      </c>
      <c r="C467">
        <v>1368</v>
      </c>
      <c r="D467" t="s">
        <v>22</v>
      </c>
      <c r="E467" t="str">
        <f t="shared" si="7"/>
        <v>01368</v>
      </c>
      <c r="F467" t="s">
        <v>20</v>
      </c>
      <c r="G467" t="s">
        <v>193</v>
      </c>
      <c r="H467" t="s">
        <v>151</v>
      </c>
      <c r="I467" t="s">
        <v>4</v>
      </c>
      <c r="J467" t="s">
        <v>152</v>
      </c>
      <c r="K467" t="s">
        <v>236</v>
      </c>
      <c r="L467">
        <v>251200213</v>
      </c>
      <c r="M467" s="84">
        <v>45999</v>
      </c>
      <c r="N467" s="84">
        <v>45999</v>
      </c>
      <c r="O467" t="s">
        <v>179</v>
      </c>
      <c r="P467" t="s">
        <v>180</v>
      </c>
      <c r="Q467">
        <v>14250</v>
      </c>
      <c r="R467">
        <v>5</v>
      </c>
      <c r="S467">
        <v>71250</v>
      </c>
      <c r="T467">
        <v>0</v>
      </c>
      <c r="U467">
        <v>0</v>
      </c>
      <c r="V467">
        <v>5</v>
      </c>
      <c r="W467">
        <v>71250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>
      <c r="A468">
        <v>460</v>
      </c>
      <c r="B468" t="s">
        <v>149</v>
      </c>
      <c r="C468">
        <v>471</v>
      </c>
      <c r="D468" t="s">
        <v>25</v>
      </c>
      <c r="E468" t="str">
        <f t="shared" si="7"/>
        <v>00471</v>
      </c>
      <c r="F468" t="s">
        <v>20</v>
      </c>
      <c r="G468" t="s">
        <v>193</v>
      </c>
      <c r="H468" t="s">
        <v>151</v>
      </c>
      <c r="I468" t="s">
        <v>4</v>
      </c>
      <c r="J468" t="s">
        <v>152</v>
      </c>
      <c r="K468" t="s">
        <v>236</v>
      </c>
      <c r="L468">
        <v>251200214</v>
      </c>
      <c r="M468" s="84">
        <v>45999</v>
      </c>
      <c r="N468" s="84">
        <v>45999</v>
      </c>
      <c r="O468" t="s">
        <v>179</v>
      </c>
      <c r="P468" t="s">
        <v>180</v>
      </c>
      <c r="Q468">
        <v>14250</v>
      </c>
      <c r="R468">
        <v>5</v>
      </c>
      <c r="S468">
        <v>71250</v>
      </c>
      <c r="T468">
        <v>0</v>
      </c>
      <c r="U468">
        <v>0</v>
      </c>
      <c r="V468">
        <v>5</v>
      </c>
      <c r="W468">
        <v>71250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1:29">
      <c r="A469">
        <v>461</v>
      </c>
      <c r="B469" t="s">
        <v>149</v>
      </c>
      <c r="C469">
        <v>471</v>
      </c>
      <c r="D469" t="s">
        <v>25</v>
      </c>
      <c r="E469" t="str">
        <f t="shared" si="7"/>
        <v>00471</v>
      </c>
      <c r="F469" t="s">
        <v>20</v>
      </c>
      <c r="G469" t="s">
        <v>193</v>
      </c>
      <c r="H469" t="s">
        <v>151</v>
      </c>
      <c r="I469" t="s">
        <v>4</v>
      </c>
      <c r="J469" t="s">
        <v>152</v>
      </c>
      <c r="K469" t="s">
        <v>236</v>
      </c>
      <c r="L469">
        <v>251200214</v>
      </c>
      <c r="M469" s="84">
        <v>45999</v>
      </c>
      <c r="N469" s="84">
        <v>45999</v>
      </c>
      <c r="O469" t="s">
        <v>206</v>
      </c>
      <c r="P469" t="s">
        <v>207</v>
      </c>
      <c r="Q469">
        <v>14250</v>
      </c>
      <c r="R469">
        <v>5</v>
      </c>
      <c r="S469">
        <v>71250</v>
      </c>
      <c r="T469">
        <v>0</v>
      </c>
      <c r="U469">
        <v>0</v>
      </c>
      <c r="V469">
        <v>5</v>
      </c>
      <c r="W469">
        <v>71250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>
      <c r="A470">
        <v>462</v>
      </c>
      <c r="B470" t="s">
        <v>149</v>
      </c>
      <c r="C470">
        <v>471</v>
      </c>
      <c r="D470" t="s">
        <v>25</v>
      </c>
      <c r="E470" t="str">
        <f t="shared" si="7"/>
        <v>00471</v>
      </c>
      <c r="F470" t="s">
        <v>20</v>
      </c>
      <c r="G470" t="s">
        <v>193</v>
      </c>
      <c r="H470" t="s">
        <v>151</v>
      </c>
      <c r="I470" t="s">
        <v>4</v>
      </c>
      <c r="J470" t="s">
        <v>152</v>
      </c>
      <c r="K470" t="s">
        <v>236</v>
      </c>
      <c r="L470">
        <v>251200214</v>
      </c>
      <c r="M470" s="84">
        <v>45999</v>
      </c>
      <c r="N470" s="84">
        <v>45999</v>
      </c>
      <c r="O470" t="s">
        <v>160</v>
      </c>
      <c r="P470" t="s">
        <v>161</v>
      </c>
      <c r="Q470">
        <v>14250</v>
      </c>
      <c r="R470">
        <v>10</v>
      </c>
      <c r="S470">
        <v>142500</v>
      </c>
      <c r="T470">
        <v>0</v>
      </c>
      <c r="U470">
        <v>0</v>
      </c>
      <c r="V470">
        <v>10</v>
      </c>
      <c r="W470">
        <v>142500</v>
      </c>
      <c r="X470">
        <v>1500</v>
      </c>
      <c r="Y470">
        <v>2000</v>
      </c>
      <c r="Z470">
        <v>0</v>
      </c>
      <c r="AA470">
        <v>0</v>
      </c>
      <c r="AB470">
        <v>0</v>
      </c>
      <c r="AC470">
        <v>3500</v>
      </c>
    </row>
    <row r="471" spans="1:29">
      <c r="A471">
        <v>463</v>
      </c>
      <c r="B471" t="s">
        <v>149</v>
      </c>
      <c r="C471">
        <v>471</v>
      </c>
      <c r="D471" t="s">
        <v>25</v>
      </c>
      <c r="E471" t="str">
        <f t="shared" si="7"/>
        <v>00471</v>
      </c>
      <c r="F471" t="s">
        <v>20</v>
      </c>
      <c r="G471" t="s">
        <v>193</v>
      </c>
      <c r="H471" t="s">
        <v>151</v>
      </c>
      <c r="I471" t="s">
        <v>5</v>
      </c>
      <c r="J471" t="s">
        <v>152</v>
      </c>
      <c r="K471" t="s">
        <v>236</v>
      </c>
      <c r="L471">
        <v>251200214</v>
      </c>
      <c r="M471" s="84">
        <v>45999</v>
      </c>
      <c r="N471" s="84">
        <v>45999</v>
      </c>
      <c r="O471" t="s">
        <v>191</v>
      </c>
      <c r="P471" t="s">
        <v>192</v>
      </c>
      <c r="Q471">
        <v>11700</v>
      </c>
      <c r="R471">
        <v>4</v>
      </c>
      <c r="S471">
        <v>46800</v>
      </c>
      <c r="T471">
        <v>0</v>
      </c>
      <c r="U471">
        <v>0</v>
      </c>
      <c r="V471">
        <v>4</v>
      </c>
      <c r="W471">
        <v>46800</v>
      </c>
      <c r="X471">
        <v>600</v>
      </c>
      <c r="Y471">
        <v>600</v>
      </c>
      <c r="Z471">
        <v>0</v>
      </c>
      <c r="AA471">
        <v>0</v>
      </c>
      <c r="AB471">
        <v>0</v>
      </c>
      <c r="AC471">
        <v>1200</v>
      </c>
    </row>
    <row r="472" spans="1:29">
      <c r="A472">
        <v>464</v>
      </c>
      <c r="B472" t="s">
        <v>149</v>
      </c>
      <c r="C472">
        <v>1448</v>
      </c>
      <c r="D472" t="s">
        <v>21</v>
      </c>
      <c r="E472" t="str">
        <f t="shared" si="7"/>
        <v>01448</v>
      </c>
      <c r="F472" t="s">
        <v>20</v>
      </c>
      <c r="G472" t="s">
        <v>193</v>
      </c>
      <c r="H472" t="s">
        <v>151</v>
      </c>
      <c r="I472" t="s">
        <v>5</v>
      </c>
      <c r="J472" t="s">
        <v>152</v>
      </c>
      <c r="K472" t="s">
        <v>236</v>
      </c>
      <c r="L472">
        <v>251200215</v>
      </c>
      <c r="M472" s="84">
        <v>45999</v>
      </c>
      <c r="N472" s="84">
        <v>45999</v>
      </c>
      <c r="O472" t="s">
        <v>191</v>
      </c>
      <c r="P472" t="s">
        <v>192</v>
      </c>
      <c r="Q472">
        <v>11700</v>
      </c>
      <c r="R472">
        <v>4</v>
      </c>
      <c r="S472">
        <v>46800</v>
      </c>
      <c r="T472">
        <v>0</v>
      </c>
      <c r="U472">
        <v>0</v>
      </c>
      <c r="V472">
        <v>4</v>
      </c>
      <c r="W472">
        <v>46800</v>
      </c>
      <c r="X472">
        <v>600</v>
      </c>
      <c r="Y472">
        <v>600</v>
      </c>
      <c r="Z472">
        <v>0</v>
      </c>
      <c r="AA472">
        <v>0</v>
      </c>
      <c r="AB472">
        <v>0</v>
      </c>
      <c r="AC472">
        <v>1200</v>
      </c>
    </row>
    <row r="473" spans="1:29">
      <c r="A473">
        <v>465</v>
      </c>
      <c r="B473" t="s">
        <v>149</v>
      </c>
      <c r="C473">
        <v>1441</v>
      </c>
      <c r="D473" t="s">
        <v>23</v>
      </c>
      <c r="E473" t="str">
        <f t="shared" si="7"/>
        <v>01441</v>
      </c>
      <c r="F473" t="s">
        <v>20</v>
      </c>
      <c r="G473" t="s">
        <v>193</v>
      </c>
      <c r="H473" t="s">
        <v>151</v>
      </c>
      <c r="I473" t="s">
        <v>5</v>
      </c>
      <c r="J473" t="s">
        <v>152</v>
      </c>
      <c r="K473" t="s">
        <v>236</v>
      </c>
      <c r="L473">
        <v>251200216</v>
      </c>
      <c r="M473" s="84">
        <v>45999</v>
      </c>
      <c r="N473" s="84">
        <v>45999</v>
      </c>
      <c r="O473" t="s">
        <v>273</v>
      </c>
      <c r="P473" t="s">
        <v>274</v>
      </c>
      <c r="Q473">
        <v>11700</v>
      </c>
      <c r="R473">
        <v>8</v>
      </c>
      <c r="S473">
        <v>93600</v>
      </c>
      <c r="T473">
        <v>0</v>
      </c>
      <c r="U473">
        <v>0</v>
      </c>
      <c r="V473">
        <v>8</v>
      </c>
      <c r="W473">
        <v>93600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 spans="1:29">
      <c r="A474">
        <v>466</v>
      </c>
      <c r="B474" t="s">
        <v>149</v>
      </c>
      <c r="C474">
        <v>1602</v>
      </c>
      <c r="D474" t="s">
        <v>378</v>
      </c>
      <c r="E474" t="str">
        <f t="shared" si="7"/>
        <v>01602</v>
      </c>
      <c r="F474" t="s">
        <v>10</v>
      </c>
      <c r="G474" t="s">
        <v>172</v>
      </c>
      <c r="H474" t="s">
        <v>157</v>
      </c>
      <c r="I474" t="s">
        <v>4</v>
      </c>
      <c r="J474" t="s">
        <v>152</v>
      </c>
      <c r="K474" t="s">
        <v>174</v>
      </c>
      <c r="L474">
        <v>251200217</v>
      </c>
      <c r="M474" s="84">
        <v>45999</v>
      </c>
      <c r="N474" s="84">
        <v>45999</v>
      </c>
      <c r="O474" t="s">
        <v>160</v>
      </c>
      <c r="P474" t="s">
        <v>161</v>
      </c>
      <c r="Q474">
        <v>5500</v>
      </c>
      <c r="R474">
        <v>4</v>
      </c>
      <c r="S474">
        <v>22000</v>
      </c>
      <c r="T474">
        <v>0</v>
      </c>
      <c r="U474">
        <v>0</v>
      </c>
      <c r="V474">
        <v>4</v>
      </c>
      <c r="W474">
        <v>22000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 spans="1:29">
      <c r="A475">
        <v>467</v>
      </c>
      <c r="B475" t="s">
        <v>149</v>
      </c>
      <c r="C475">
        <v>1470</v>
      </c>
      <c r="D475" t="s">
        <v>12</v>
      </c>
      <c r="E475" t="str">
        <f t="shared" si="7"/>
        <v>01470</v>
      </c>
      <c r="F475" t="s">
        <v>10</v>
      </c>
      <c r="G475" t="s">
        <v>172</v>
      </c>
      <c r="H475" t="s">
        <v>157</v>
      </c>
      <c r="I475" t="s">
        <v>4</v>
      </c>
      <c r="J475" t="s">
        <v>152</v>
      </c>
      <c r="K475" t="s">
        <v>174</v>
      </c>
      <c r="L475">
        <v>251200218</v>
      </c>
      <c r="M475" s="84">
        <v>45999</v>
      </c>
      <c r="N475" s="84">
        <v>45999</v>
      </c>
      <c r="O475" t="s">
        <v>160</v>
      </c>
      <c r="P475" t="s">
        <v>161</v>
      </c>
      <c r="Q475">
        <v>14250</v>
      </c>
      <c r="R475">
        <v>10</v>
      </c>
      <c r="S475">
        <v>142500</v>
      </c>
      <c r="T475">
        <v>0</v>
      </c>
      <c r="U475">
        <v>0</v>
      </c>
      <c r="V475">
        <v>10</v>
      </c>
      <c r="W475">
        <v>142500</v>
      </c>
      <c r="X475">
        <v>1500</v>
      </c>
      <c r="Y475">
        <v>2000</v>
      </c>
      <c r="Z475">
        <v>0</v>
      </c>
      <c r="AA475">
        <v>0</v>
      </c>
      <c r="AB475">
        <v>0</v>
      </c>
      <c r="AC475">
        <v>3500</v>
      </c>
    </row>
    <row r="476" spans="1:29">
      <c r="A476">
        <v>468</v>
      </c>
      <c r="B476" t="s">
        <v>149</v>
      </c>
      <c r="C476">
        <v>1470</v>
      </c>
      <c r="D476" t="s">
        <v>12</v>
      </c>
      <c r="E476" t="str">
        <f t="shared" si="7"/>
        <v>01470</v>
      </c>
      <c r="F476" t="s">
        <v>10</v>
      </c>
      <c r="G476" t="s">
        <v>172</v>
      </c>
      <c r="H476" t="s">
        <v>157</v>
      </c>
      <c r="I476" t="s">
        <v>4</v>
      </c>
      <c r="J476" t="s">
        <v>152</v>
      </c>
      <c r="K476" t="s">
        <v>174</v>
      </c>
      <c r="L476">
        <v>251200218</v>
      </c>
      <c r="M476" s="84">
        <v>45999</v>
      </c>
      <c r="N476" s="84">
        <v>45999</v>
      </c>
      <c r="O476" t="s">
        <v>177</v>
      </c>
      <c r="P476" t="s">
        <v>178</v>
      </c>
      <c r="Q476">
        <v>14250</v>
      </c>
      <c r="R476">
        <v>10</v>
      </c>
      <c r="S476">
        <v>142500</v>
      </c>
      <c r="T476">
        <v>0</v>
      </c>
      <c r="U476">
        <v>0</v>
      </c>
      <c r="V476">
        <v>10</v>
      </c>
      <c r="W476">
        <v>142500</v>
      </c>
      <c r="X476">
        <v>1500</v>
      </c>
      <c r="Y476">
        <v>2000</v>
      </c>
      <c r="Z476">
        <v>0</v>
      </c>
      <c r="AA476">
        <v>0</v>
      </c>
      <c r="AB476">
        <v>0</v>
      </c>
      <c r="AC476">
        <v>3500</v>
      </c>
    </row>
    <row r="477" spans="1:29">
      <c r="A477">
        <v>469</v>
      </c>
      <c r="B477" t="s">
        <v>149</v>
      </c>
      <c r="C477">
        <v>1485</v>
      </c>
      <c r="D477" t="s">
        <v>275</v>
      </c>
      <c r="E477" t="str">
        <f t="shared" si="7"/>
        <v>01485</v>
      </c>
      <c r="F477" t="s">
        <v>95</v>
      </c>
      <c r="G477" t="s">
        <v>187</v>
      </c>
      <c r="H477" t="s">
        <v>188</v>
      </c>
      <c r="I477" t="s">
        <v>210</v>
      </c>
      <c r="J477" t="s">
        <v>152</v>
      </c>
      <c r="K477" t="s">
        <v>159</v>
      </c>
      <c r="L477">
        <v>251200219</v>
      </c>
      <c r="M477" s="84">
        <v>45999</v>
      </c>
      <c r="N477" s="84">
        <v>45999</v>
      </c>
      <c r="O477" t="s">
        <v>211</v>
      </c>
      <c r="P477" t="s">
        <v>212</v>
      </c>
      <c r="Q477">
        <v>17550</v>
      </c>
      <c r="R477">
        <v>2</v>
      </c>
      <c r="S477">
        <v>35100</v>
      </c>
      <c r="T477">
        <v>0</v>
      </c>
      <c r="U477">
        <v>0</v>
      </c>
      <c r="V477">
        <v>2</v>
      </c>
      <c r="W477">
        <v>35100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>
      <c r="A478">
        <v>470</v>
      </c>
      <c r="B478" t="s">
        <v>149</v>
      </c>
      <c r="C478">
        <v>740</v>
      </c>
      <c r="D478" t="s">
        <v>276</v>
      </c>
      <c r="E478" t="str">
        <f t="shared" si="7"/>
        <v>00740</v>
      </c>
      <c r="F478" t="s">
        <v>171</v>
      </c>
      <c r="G478" t="s">
        <v>172</v>
      </c>
      <c r="H478" t="s">
        <v>157</v>
      </c>
      <c r="I478" t="s">
        <v>173</v>
      </c>
      <c r="J478" t="s">
        <v>152</v>
      </c>
      <c r="K478" t="s">
        <v>174</v>
      </c>
      <c r="L478">
        <v>251200220</v>
      </c>
      <c r="M478" s="84">
        <v>45999</v>
      </c>
      <c r="N478" s="84">
        <v>45999</v>
      </c>
      <c r="O478" t="s">
        <v>277</v>
      </c>
      <c r="P478" t="s">
        <v>278</v>
      </c>
      <c r="Q478">
        <v>8632</v>
      </c>
      <c r="R478">
        <v>2</v>
      </c>
      <c r="S478">
        <v>17264</v>
      </c>
      <c r="T478">
        <v>0</v>
      </c>
      <c r="U478">
        <v>0</v>
      </c>
      <c r="V478">
        <v>2</v>
      </c>
      <c r="W478">
        <v>17264</v>
      </c>
      <c r="X478">
        <v>0</v>
      </c>
      <c r="Y478">
        <v>346</v>
      </c>
      <c r="Z478">
        <v>864</v>
      </c>
      <c r="AA478">
        <v>0</v>
      </c>
      <c r="AB478">
        <v>200</v>
      </c>
      <c r="AC478">
        <v>1410</v>
      </c>
    </row>
    <row r="479" spans="1:29">
      <c r="A479">
        <v>471</v>
      </c>
      <c r="B479" t="s">
        <v>149</v>
      </c>
      <c r="C479">
        <v>562</v>
      </c>
      <c r="D479" t="s">
        <v>92</v>
      </c>
      <c r="E479" t="str">
        <f t="shared" si="7"/>
        <v>00562</v>
      </c>
      <c r="F479" t="s">
        <v>91</v>
      </c>
      <c r="G479" t="s">
        <v>202</v>
      </c>
      <c r="H479" t="s">
        <v>157</v>
      </c>
      <c r="I479" t="s">
        <v>4</v>
      </c>
      <c r="J479" t="s">
        <v>152</v>
      </c>
      <c r="K479" t="s">
        <v>159</v>
      </c>
      <c r="L479">
        <v>251200221</v>
      </c>
      <c r="M479" s="84">
        <v>45999</v>
      </c>
      <c r="N479" s="84">
        <v>45999</v>
      </c>
      <c r="O479" t="s">
        <v>221</v>
      </c>
      <c r="P479" t="s">
        <v>222</v>
      </c>
      <c r="Q479">
        <v>14250</v>
      </c>
      <c r="R479">
        <v>5</v>
      </c>
      <c r="S479">
        <v>71250</v>
      </c>
      <c r="T479">
        <v>0</v>
      </c>
      <c r="U479">
        <v>0</v>
      </c>
      <c r="V479">
        <v>5</v>
      </c>
      <c r="W479">
        <v>71250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>
      <c r="A480">
        <v>472</v>
      </c>
      <c r="B480" t="s">
        <v>149</v>
      </c>
      <c r="C480">
        <v>622</v>
      </c>
      <c r="D480" t="s">
        <v>70</v>
      </c>
      <c r="E480" t="str">
        <f t="shared" si="7"/>
        <v>00622</v>
      </c>
      <c r="F480" t="s">
        <v>65</v>
      </c>
      <c r="G480" t="s">
        <v>208</v>
      </c>
      <c r="H480" t="s">
        <v>157</v>
      </c>
      <c r="I480" t="s">
        <v>4</v>
      </c>
      <c r="J480" t="s">
        <v>152</v>
      </c>
      <c r="K480" t="s">
        <v>174</v>
      </c>
      <c r="L480">
        <v>251200222</v>
      </c>
      <c r="M480" s="84">
        <v>45999</v>
      </c>
      <c r="N480" s="84">
        <v>45999</v>
      </c>
      <c r="O480" t="s">
        <v>160</v>
      </c>
      <c r="P480" t="s">
        <v>161</v>
      </c>
      <c r="Q480">
        <v>14250</v>
      </c>
      <c r="R480">
        <v>15</v>
      </c>
      <c r="S480">
        <v>213750</v>
      </c>
      <c r="T480">
        <v>0</v>
      </c>
      <c r="U480">
        <v>0</v>
      </c>
      <c r="V480">
        <v>15</v>
      </c>
      <c r="W480">
        <v>213750</v>
      </c>
      <c r="X480">
        <v>2250</v>
      </c>
      <c r="Y480">
        <v>3000</v>
      </c>
      <c r="Z480">
        <v>0</v>
      </c>
      <c r="AA480">
        <v>0</v>
      </c>
      <c r="AB480">
        <v>0</v>
      </c>
      <c r="AC480">
        <v>5250</v>
      </c>
    </row>
    <row r="481" spans="1:29">
      <c r="A481">
        <v>473</v>
      </c>
      <c r="B481" t="s">
        <v>149</v>
      </c>
      <c r="C481">
        <v>622</v>
      </c>
      <c r="D481" t="s">
        <v>70</v>
      </c>
      <c r="E481" t="str">
        <f t="shared" si="7"/>
        <v>00622</v>
      </c>
      <c r="F481" t="s">
        <v>65</v>
      </c>
      <c r="G481" t="s">
        <v>208</v>
      </c>
      <c r="H481" t="s">
        <v>157</v>
      </c>
      <c r="I481" t="s">
        <v>4</v>
      </c>
      <c r="J481" t="s">
        <v>152</v>
      </c>
      <c r="K481" t="s">
        <v>174</v>
      </c>
      <c r="L481">
        <v>251200222</v>
      </c>
      <c r="M481" s="84">
        <v>45999</v>
      </c>
      <c r="N481" s="84">
        <v>45999</v>
      </c>
      <c r="O481" t="s">
        <v>179</v>
      </c>
      <c r="P481" t="s">
        <v>180</v>
      </c>
      <c r="Q481">
        <v>14250</v>
      </c>
      <c r="R481">
        <v>5</v>
      </c>
      <c r="S481">
        <v>71250</v>
      </c>
      <c r="T481">
        <v>0</v>
      </c>
      <c r="U481">
        <v>0</v>
      </c>
      <c r="V481">
        <v>5</v>
      </c>
      <c r="W481">
        <v>71250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</row>
    <row r="482" spans="1:29">
      <c r="A482">
        <v>474</v>
      </c>
      <c r="B482" t="s">
        <v>149</v>
      </c>
      <c r="C482">
        <v>1444</v>
      </c>
      <c r="D482" t="s">
        <v>341</v>
      </c>
      <c r="E482" t="str">
        <f t="shared" si="7"/>
        <v>01444</v>
      </c>
      <c r="F482" t="s">
        <v>28</v>
      </c>
      <c r="G482" t="s">
        <v>164</v>
      </c>
      <c r="H482" t="s">
        <v>151</v>
      </c>
      <c r="I482" t="s">
        <v>4</v>
      </c>
      <c r="J482" t="s">
        <v>152</v>
      </c>
      <c r="K482" t="s">
        <v>153</v>
      </c>
      <c r="L482">
        <v>251200223</v>
      </c>
      <c r="M482" s="84">
        <v>45999</v>
      </c>
      <c r="N482" s="84">
        <v>45999</v>
      </c>
      <c r="O482" t="s">
        <v>179</v>
      </c>
      <c r="P482" t="s">
        <v>180</v>
      </c>
      <c r="Q482">
        <v>5500</v>
      </c>
      <c r="R482">
        <v>1</v>
      </c>
      <c r="S482">
        <v>5500</v>
      </c>
      <c r="T482">
        <v>0</v>
      </c>
      <c r="U482">
        <v>0</v>
      </c>
      <c r="V482">
        <v>1</v>
      </c>
      <c r="W482">
        <v>5500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</row>
    <row r="483" spans="1:29">
      <c r="A483">
        <v>475</v>
      </c>
      <c r="B483" t="s">
        <v>149</v>
      </c>
      <c r="C483">
        <v>1444</v>
      </c>
      <c r="D483" t="s">
        <v>341</v>
      </c>
      <c r="E483" t="str">
        <f t="shared" si="7"/>
        <v>01444</v>
      </c>
      <c r="F483" t="s">
        <v>28</v>
      </c>
      <c r="G483" t="s">
        <v>164</v>
      </c>
      <c r="H483" t="s">
        <v>151</v>
      </c>
      <c r="I483" t="s">
        <v>4</v>
      </c>
      <c r="J483" t="s">
        <v>152</v>
      </c>
      <c r="K483" t="s">
        <v>153</v>
      </c>
      <c r="L483">
        <v>251200224</v>
      </c>
      <c r="M483" s="84">
        <v>45999</v>
      </c>
      <c r="N483" s="84">
        <v>45999</v>
      </c>
      <c r="O483" t="s">
        <v>179</v>
      </c>
      <c r="P483" t="s">
        <v>180</v>
      </c>
      <c r="Q483">
        <v>5500</v>
      </c>
      <c r="R483">
        <v>9</v>
      </c>
      <c r="S483">
        <v>49500</v>
      </c>
      <c r="T483">
        <v>0</v>
      </c>
      <c r="U483">
        <v>0</v>
      </c>
      <c r="V483">
        <v>9</v>
      </c>
      <c r="W483">
        <v>49500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>
      <c r="A484">
        <v>476</v>
      </c>
      <c r="B484" t="s">
        <v>149</v>
      </c>
      <c r="C484">
        <v>827</v>
      </c>
      <c r="D484" t="s">
        <v>84</v>
      </c>
      <c r="E484" t="str">
        <f t="shared" si="7"/>
        <v>00827</v>
      </c>
      <c r="F484" t="s">
        <v>83</v>
      </c>
      <c r="G484" t="s">
        <v>164</v>
      </c>
      <c r="H484" t="s">
        <v>151</v>
      </c>
      <c r="I484" t="s">
        <v>5</v>
      </c>
      <c r="J484" t="s">
        <v>152</v>
      </c>
      <c r="K484" t="s">
        <v>153</v>
      </c>
      <c r="L484">
        <v>251200225</v>
      </c>
      <c r="M484" s="84">
        <v>45999</v>
      </c>
      <c r="N484" s="84">
        <v>45999</v>
      </c>
      <c r="O484" t="s">
        <v>191</v>
      </c>
      <c r="P484" t="s">
        <v>192</v>
      </c>
      <c r="Q484">
        <v>11700</v>
      </c>
      <c r="R484">
        <v>4</v>
      </c>
      <c r="S484">
        <v>46800</v>
      </c>
      <c r="T484">
        <v>0</v>
      </c>
      <c r="U484">
        <v>0</v>
      </c>
      <c r="V484">
        <v>4</v>
      </c>
      <c r="W484">
        <v>46800</v>
      </c>
      <c r="X484">
        <v>600</v>
      </c>
      <c r="Y484">
        <v>600</v>
      </c>
      <c r="Z484">
        <v>0</v>
      </c>
      <c r="AA484">
        <v>0</v>
      </c>
      <c r="AB484">
        <v>0</v>
      </c>
      <c r="AC484">
        <v>1200</v>
      </c>
    </row>
    <row r="485" spans="1:29">
      <c r="A485">
        <v>477</v>
      </c>
      <c r="B485" t="s">
        <v>149</v>
      </c>
      <c r="C485">
        <v>1282</v>
      </c>
      <c r="D485" t="s">
        <v>374</v>
      </c>
      <c r="E485" t="str">
        <f t="shared" si="7"/>
        <v>01282</v>
      </c>
      <c r="F485" t="s">
        <v>111</v>
      </c>
      <c r="G485" t="s">
        <v>150</v>
      </c>
      <c r="H485" t="s">
        <v>151</v>
      </c>
      <c r="I485" t="s">
        <v>5</v>
      </c>
      <c r="J485" t="s">
        <v>152</v>
      </c>
      <c r="K485" t="s">
        <v>153</v>
      </c>
      <c r="L485">
        <v>251200226</v>
      </c>
      <c r="M485" s="84">
        <v>45999</v>
      </c>
      <c r="N485" s="84">
        <v>45999</v>
      </c>
      <c r="O485" t="s">
        <v>198</v>
      </c>
      <c r="P485" t="s">
        <v>199</v>
      </c>
      <c r="Q485">
        <v>4500</v>
      </c>
      <c r="R485">
        <v>8</v>
      </c>
      <c r="S485">
        <v>36000</v>
      </c>
      <c r="T485">
        <v>0</v>
      </c>
      <c r="U485">
        <v>0</v>
      </c>
      <c r="V485">
        <v>8</v>
      </c>
      <c r="W485">
        <v>36000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</row>
    <row r="486" spans="1:29">
      <c r="A486">
        <v>478</v>
      </c>
      <c r="B486" t="s">
        <v>149</v>
      </c>
      <c r="C486">
        <v>1282</v>
      </c>
      <c r="D486" t="s">
        <v>374</v>
      </c>
      <c r="E486" t="str">
        <f t="shared" si="7"/>
        <v>01282</v>
      </c>
      <c r="F486" t="s">
        <v>111</v>
      </c>
      <c r="G486" t="s">
        <v>150</v>
      </c>
      <c r="H486" t="s">
        <v>151</v>
      </c>
      <c r="I486" t="s">
        <v>4</v>
      </c>
      <c r="J486" t="s">
        <v>152</v>
      </c>
      <c r="K486" t="s">
        <v>153</v>
      </c>
      <c r="L486">
        <v>251200227</v>
      </c>
      <c r="M486" s="84">
        <v>45999</v>
      </c>
      <c r="N486" s="84">
        <v>45999</v>
      </c>
      <c r="O486" t="s">
        <v>221</v>
      </c>
      <c r="P486" t="s">
        <v>222</v>
      </c>
      <c r="Q486">
        <v>5500</v>
      </c>
      <c r="R486">
        <v>20</v>
      </c>
      <c r="S486">
        <v>110000</v>
      </c>
      <c r="T486">
        <v>0</v>
      </c>
      <c r="U486">
        <v>0</v>
      </c>
      <c r="V486">
        <v>20</v>
      </c>
      <c r="W486">
        <v>110000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 spans="1:29">
      <c r="A487">
        <v>479</v>
      </c>
      <c r="B487" t="s">
        <v>149</v>
      </c>
      <c r="C487">
        <v>1282</v>
      </c>
      <c r="D487" t="s">
        <v>374</v>
      </c>
      <c r="E487" t="str">
        <f t="shared" si="7"/>
        <v>01282</v>
      </c>
      <c r="F487" t="s">
        <v>111</v>
      </c>
      <c r="G487" t="s">
        <v>150</v>
      </c>
      <c r="H487" t="s">
        <v>151</v>
      </c>
      <c r="I487" t="s">
        <v>4</v>
      </c>
      <c r="J487" t="s">
        <v>152</v>
      </c>
      <c r="K487" t="s">
        <v>153</v>
      </c>
      <c r="L487">
        <v>251200227</v>
      </c>
      <c r="M487" s="84">
        <v>45999</v>
      </c>
      <c r="N487" s="84">
        <v>45999</v>
      </c>
      <c r="O487" t="s">
        <v>262</v>
      </c>
      <c r="P487" t="s">
        <v>263</v>
      </c>
      <c r="Q487">
        <v>5500</v>
      </c>
      <c r="R487">
        <v>10</v>
      </c>
      <c r="S487">
        <v>55000</v>
      </c>
      <c r="T487">
        <v>0</v>
      </c>
      <c r="U487">
        <v>0</v>
      </c>
      <c r="V487">
        <v>10</v>
      </c>
      <c r="W487">
        <v>55000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1:29">
      <c r="A488">
        <v>480</v>
      </c>
      <c r="B488" t="s">
        <v>149</v>
      </c>
      <c r="C488">
        <v>1530</v>
      </c>
      <c r="D488" t="s">
        <v>379</v>
      </c>
      <c r="E488" t="str">
        <f t="shared" si="7"/>
        <v>01530</v>
      </c>
      <c r="F488" t="s">
        <v>111</v>
      </c>
      <c r="G488" t="s">
        <v>150</v>
      </c>
      <c r="H488" t="s">
        <v>151</v>
      </c>
      <c r="I488" t="s">
        <v>4</v>
      </c>
      <c r="J488" t="s">
        <v>152</v>
      </c>
      <c r="K488" t="s">
        <v>153</v>
      </c>
      <c r="L488">
        <v>251200228</v>
      </c>
      <c r="M488" s="84">
        <v>45999</v>
      </c>
      <c r="N488" s="84">
        <v>45999</v>
      </c>
      <c r="O488" t="s">
        <v>380</v>
      </c>
      <c r="P488" t="s">
        <v>381</v>
      </c>
      <c r="Q488">
        <v>5500</v>
      </c>
      <c r="R488">
        <v>10</v>
      </c>
      <c r="S488">
        <v>55000</v>
      </c>
      <c r="T488">
        <v>0</v>
      </c>
      <c r="U488">
        <v>0</v>
      </c>
      <c r="V488">
        <v>10</v>
      </c>
      <c r="W488">
        <v>55000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>
      <c r="A489">
        <v>481</v>
      </c>
      <c r="B489" t="s">
        <v>149</v>
      </c>
      <c r="C489">
        <v>1530</v>
      </c>
      <c r="D489" t="s">
        <v>379</v>
      </c>
      <c r="E489" t="str">
        <f t="shared" si="7"/>
        <v>01530</v>
      </c>
      <c r="F489" t="s">
        <v>111</v>
      </c>
      <c r="G489" t="s">
        <v>150</v>
      </c>
      <c r="H489" t="s">
        <v>151</v>
      </c>
      <c r="I489" t="s">
        <v>4</v>
      </c>
      <c r="J489" t="s">
        <v>152</v>
      </c>
      <c r="K489" t="s">
        <v>153</v>
      </c>
      <c r="L489">
        <v>251200228</v>
      </c>
      <c r="M489" s="84">
        <v>45999</v>
      </c>
      <c r="N489" s="84">
        <v>45999</v>
      </c>
      <c r="O489" t="s">
        <v>321</v>
      </c>
      <c r="P489" t="s">
        <v>322</v>
      </c>
      <c r="Q489">
        <v>5500</v>
      </c>
      <c r="R489">
        <v>28</v>
      </c>
      <c r="S489">
        <v>154000</v>
      </c>
      <c r="T489">
        <v>0</v>
      </c>
      <c r="U489">
        <v>0</v>
      </c>
      <c r="V489">
        <v>28</v>
      </c>
      <c r="W489">
        <v>154000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 spans="1:29">
      <c r="A490">
        <v>482</v>
      </c>
      <c r="B490" t="s">
        <v>149</v>
      </c>
      <c r="C490">
        <v>1530</v>
      </c>
      <c r="D490" t="s">
        <v>379</v>
      </c>
      <c r="E490" t="str">
        <f t="shared" si="7"/>
        <v>01530</v>
      </c>
      <c r="F490" t="s">
        <v>111</v>
      </c>
      <c r="G490" t="s">
        <v>150</v>
      </c>
      <c r="H490" t="s">
        <v>151</v>
      </c>
      <c r="I490" t="s">
        <v>4</v>
      </c>
      <c r="J490" t="s">
        <v>152</v>
      </c>
      <c r="K490" t="s">
        <v>153</v>
      </c>
      <c r="L490">
        <v>251200229</v>
      </c>
      <c r="M490" s="84">
        <v>45999</v>
      </c>
      <c r="N490" s="84">
        <v>45999</v>
      </c>
      <c r="O490" t="s">
        <v>321</v>
      </c>
      <c r="P490" t="s">
        <v>322</v>
      </c>
      <c r="Q490">
        <v>5500</v>
      </c>
      <c r="R490">
        <v>10</v>
      </c>
      <c r="S490">
        <v>55000</v>
      </c>
      <c r="T490">
        <v>0</v>
      </c>
      <c r="U490">
        <v>0</v>
      </c>
      <c r="V490">
        <v>10</v>
      </c>
      <c r="W490">
        <v>55000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</row>
    <row r="491" spans="1:29">
      <c r="A491">
        <v>483</v>
      </c>
      <c r="B491" t="s">
        <v>149</v>
      </c>
      <c r="C491">
        <v>1530</v>
      </c>
      <c r="D491" t="s">
        <v>379</v>
      </c>
      <c r="E491" t="str">
        <f t="shared" si="7"/>
        <v>01530</v>
      </c>
      <c r="F491" t="s">
        <v>111</v>
      </c>
      <c r="G491" t="s">
        <v>150</v>
      </c>
      <c r="H491" t="s">
        <v>151</v>
      </c>
      <c r="I491" t="s">
        <v>4</v>
      </c>
      <c r="J491" t="s">
        <v>152</v>
      </c>
      <c r="K491" t="s">
        <v>153</v>
      </c>
      <c r="L491">
        <v>251200230</v>
      </c>
      <c r="M491" s="84">
        <v>45999</v>
      </c>
      <c r="N491" s="84">
        <v>45999</v>
      </c>
      <c r="O491" t="s">
        <v>321</v>
      </c>
      <c r="P491" t="s">
        <v>322</v>
      </c>
      <c r="Q491">
        <v>5500</v>
      </c>
      <c r="R491">
        <v>12</v>
      </c>
      <c r="S491">
        <v>66000</v>
      </c>
      <c r="T491">
        <v>0</v>
      </c>
      <c r="U491">
        <v>0</v>
      </c>
      <c r="V491">
        <v>12</v>
      </c>
      <c r="W491">
        <v>66000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</row>
    <row r="492" spans="1:29">
      <c r="A492">
        <v>484</v>
      </c>
      <c r="B492" t="s">
        <v>149</v>
      </c>
      <c r="C492">
        <v>827</v>
      </c>
      <c r="D492" t="s">
        <v>84</v>
      </c>
      <c r="E492" t="str">
        <f t="shared" si="7"/>
        <v>00827</v>
      </c>
      <c r="F492" t="s">
        <v>83</v>
      </c>
      <c r="G492" t="s">
        <v>164</v>
      </c>
      <c r="H492" t="s">
        <v>151</v>
      </c>
      <c r="I492" t="s">
        <v>5</v>
      </c>
      <c r="J492" t="s">
        <v>152</v>
      </c>
      <c r="K492" t="s">
        <v>153</v>
      </c>
      <c r="L492">
        <v>251200231</v>
      </c>
      <c r="M492" s="84">
        <v>45999</v>
      </c>
      <c r="N492" s="84">
        <v>45999</v>
      </c>
      <c r="O492" t="s">
        <v>198</v>
      </c>
      <c r="P492" t="s">
        <v>199</v>
      </c>
      <c r="Q492">
        <v>11700</v>
      </c>
      <c r="R492">
        <v>1</v>
      </c>
      <c r="S492">
        <v>11700</v>
      </c>
      <c r="T492">
        <v>0</v>
      </c>
      <c r="U492">
        <v>0</v>
      </c>
      <c r="V492">
        <v>1</v>
      </c>
      <c r="W492">
        <v>11700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</row>
    <row r="493" spans="1:29">
      <c r="A493">
        <v>485</v>
      </c>
      <c r="B493" t="s">
        <v>149</v>
      </c>
      <c r="C493">
        <v>1404</v>
      </c>
      <c r="D493" t="s">
        <v>113</v>
      </c>
      <c r="E493" t="str">
        <f t="shared" si="7"/>
        <v>01404</v>
      </c>
      <c r="F493" t="s">
        <v>111</v>
      </c>
      <c r="G493" t="s">
        <v>150</v>
      </c>
      <c r="H493" t="s">
        <v>151</v>
      </c>
      <c r="I493" t="s">
        <v>5</v>
      </c>
      <c r="J493" t="s">
        <v>152</v>
      </c>
      <c r="K493" t="s">
        <v>153</v>
      </c>
      <c r="L493">
        <v>251200232</v>
      </c>
      <c r="M493" s="84">
        <v>46000</v>
      </c>
      <c r="N493" s="84">
        <v>46000</v>
      </c>
      <c r="O493" t="s">
        <v>191</v>
      </c>
      <c r="P493" t="s">
        <v>192</v>
      </c>
      <c r="Q493">
        <v>11700</v>
      </c>
      <c r="R493">
        <v>4</v>
      </c>
      <c r="S493">
        <v>46800</v>
      </c>
      <c r="T493">
        <v>0</v>
      </c>
      <c r="U493">
        <v>0</v>
      </c>
      <c r="V493">
        <v>4</v>
      </c>
      <c r="W493">
        <v>46800</v>
      </c>
      <c r="X493">
        <v>600</v>
      </c>
      <c r="Y493">
        <v>600</v>
      </c>
      <c r="Z493">
        <v>0</v>
      </c>
      <c r="AA493">
        <v>0</v>
      </c>
      <c r="AB493">
        <v>0</v>
      </c>
      <c r="AC493">
        <v>1200</v>
      </c>
    </row>
    <row r="494" spans="1:29">
      <c r="A494">
        <v>486</v>
      </c>
      <c r="B494" t="s">
        <v>149</v>
      </c>
      <c r="C494">
        <v>1553</v>
      </c>
      <c r="D494" t="s">
        <v>317</v>
      </c>
      <c r="E494" t="str">
        <f t="shared" si="7"/>
        <v>01553</v>
      </c>
      <c r="F494" t="s">
        <v>43</v>
      </c>
      <c r="G494" t="s">
        <v>150</v>
      </c>
      <c r="H494" t="s">
        <v>151</v>
      </c>
      <c r="I494" t="s">
        <v>4</v>
      </c>
      <c r="J494" t="s">
        <v>152</v>
      </c>
      <c r="K494" t="s">
        <v>153</v>
      </c>
      <c r="L494">
        <v>251200233</v>
      </c>
      <c r="M494" s="84">
        <v>46000</v>
      </c>
      <c r="N494" s="84">
        <v>46000</v>
      </c>
      <c r="O494" t="s">
        <v>160</v>
      </c>
      <c r="P494" t="s">
        <v>161</v>
      </c>
      <c r="Q494">
        <v>5500</v>
      </c>
      <c r="R494">
        <v>20</v>
      </c>
      <c r="S494">
        <v>110000</v>
      </c>
      <c r="T494">
        <v>0</v>
      </c>
      <c r="U494">
        <v>0</v>
      </c>
      <c r="V494">
        <v>20</v>
      </c>
      <c r="W494">
        <v>110000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>
      <c r="A495">
        <v>487</v>
      </c>
      <c r="B495" t="s">
        <v>149</v>
      </c>
      <c r="C495">
        <v>1553</v>
      </c>
      <c r="D495" t="s">
        <v>317</v>
      </c>
      <c r="E495" t="str">
        <f t="shared" si="7"/>
        <v>01553</v>
      </c>
      <c r="F495" t="s">
        <v>43</v>
      </c>
      <c r="G495" t="s">
        <v>150</v>
      </c>
      <c r="H495" t="s">
        <v>151</v>
      </c>
      <c r="I495" t="s">
        <v>5</v>
      </c>
      <c r="J495" t="s">
        <v>152</v>
      </c>
      <c r="K495" t="s">
        <v>153</v>
      </c>
      <c r="L495">
        <v>251200233</v>
      </c>
      <c r="M495" s="84">
        <v>46000</v>
      </c>
      <c r="N495" s="84">
        <v>46000</v>
      </c>
      <c r="O495" t="s">
        <v>191</v>
      </c>
      <c r="P495" t="s">
        <v>192</v>
      </c>
      <c r="Q495">
        <v>4500</v>
      </c>
      <c r="R495">
        <v>12</v>
      </c>
      <c r="S495">
        <v>54000</v>
      </c>
      <c r="T495">
        <v>0</v>
      </c>
      <c r="U495">
        <v>0</v>
      </c>
      <c r="V495">
        <v>12</v>
      </c>
      <c r="W495">
        <v>54000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6" spans="1:29">
      <c r="A496">
        <v>488</v>
      </c>
      <c r="B496" t="s">
        <v>149</v>
      </c>
      <c r="C496">
        <v>1288</v>
      </c>
      <c r="D496" t="s">
        <v>367</v>
      </c>
      <c r="E496" t="str">
        <f t="shared" si="7"/>
        <v>01288</v>
      </c>
      <c r="F496" t="s">
        <v>43</v>
      </c>
      <c r="G496" t="s">
        <v>150</v>
      </c>
      <c r="H496" t="s">
        <v>151</v>
      </c>
      <c r="I496" t="s">
        <v>4</v>
      </c>
      <c r="J496" t="s">
        <v>152</v>
      </c>
      <c r="K496" t="s">
        <v>153</v>
      </c>
      <c r="L496">
        <v>251200234</v>
      </c>
      <c r="M496" s="84">
        <v>46000</v>
      </c>
      <c r="N496" s="84">
        <v>46000</v>
      </c>
      <c r="O496" t="s">
        <v>219</v>
      </c>
      <c r="P496" t="s">
        <v>220</v>
      </c>
      <c r="Q496">
        <v>5500</v>
      </c>
      <c r="R496">
        <v>5</v>
      </c>
      <c r="S496">
        <v>27500</v>
      </c>
      <c r="T496">
        <v>0</v>
      </c>
      <c r="U496">
        <v>0</v>
      </c>
      <c r="V496">
        <v>5</v>
      </c>
      <c r="W496">
        <v>27500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</row>
    <row r="497" spans="1:29">
      <c r="A497">
        <v>489</v>
      </c>
      <c r="B497" t="s">
        <v>149</v>
      </c>
      <c r="C497">
        <v>1326</v>
      </c>
      <c r="D497" t="s">
        <v>338</v>
      </c>
      <c r="E497" t="str">
        <f t="shared" si="7"/>
        <v>01326</v>
      </c>
      <c r="F497" t="s">
        <v>15</v>
      </c>
      <c r="G497" t="s">
        <v>193</v>
      </c>
      <c r="H497" t="s">
        <v>151</v>
      </c>
      <c r="I497" t="s">
        <v>4</v>
      </c>
      <c r="J497" t="s">
        <v>152</v>
      </c>
      <c r="K497" t="s">
        <v>153</v>
      </c>
      <c r="L497">
        <v>251200235</v>
      </c>
      <c r="M497" s="84">
        <v>46000</v>
      </c>
      <c r="N497" s="84">
        <v>46000</v>
      </c>
      <c r="O497" t="s">
        <v>160</v>
      </c>
      <c r="P497" t="s">
        <v>161</v>
      </c>
      <c r="Q497">
        <v>5500</v>
      </c>
      <c r="R497">
        <v>15</v>
      </c>
      <c r="S497">
        <v>82500</v>
      </c>
      <c r="T497">
        <v>0</v>
      </c>
      <c r="U497">
        <v>0</v>
      </c>
      <c r="V497">
        <v>15</v>
      </c>
      <c r="W497">
        <v>82500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 spans="1:29">
      <c r="A498">
        <v>490</v>
      </c>
      <c r="B498" t="s">
        <v>149</v>
      </c>
      <c r="C498">
        <v>1326</v>
      </c>
      <c r="D498" t="s">
        <v>338</v>
      </c>
      <c r="E498" t="str">
        <f t="shared" si="7"/>
        <v>01326</v>
      </c>
      <c r="F498" t="s">
        <v>15</v>
      </c>
      <c r="G498" t="s">
        <v>193</v>
      </c>
      <c r="H498" t="s">
        <v>151</v>
      </c>
      <c r="I498" t="s">
        <v>5</v>
      </c>
      <c r="J498" t="s">
        <v>152</v>
      </c>
      <c r="K498" t="s">
        <v>153</v>
      </c>
      <c r="L498">
        <v>251200235</v>
      </c>
      <c r="M498" s="84">
        <v>46000</v>
      </c>
      <c r="N498" s="84">
        <v>46000</v>
      </c>
      <c r="O498" t="s">
        <v>253</v>
      </c>
      <c r="P498" t="s">
        <v>254</v>
      </c>
      <c r="Q498">
        <v>4500</v>
      </c>
      <c r="R498">
        <v>8</v>
      </c>
      <c r="S498">
        <v>36000</v>
      </c>
      <c r="T498">
        <v>0</v>
      </c>
      <c r="U498">
        <v>0</v>
      </c>
      <c r="V498">
        <v>8</v>
      </c>
      <c r="W498">
        <v>36000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 spans="1:29">
      <c r="A499">
        <v>491</v>
      </c>
      <c r="B499" t="s">
        <v>149</v>
      </c>
      <c r="C499">
        <v>1312</v>
      </c>
      <c r="D499" t="s">
        <v>359</v>
      </c>
      <c r="E499" t="str">
        <f t="shared" si="7"/>
        <v>01312</v>
      </c>
      <c r="F499" t="s">
        <v>15</v>
      </c>
      <c r="G499" t="s">
        <v>193</v>
      </c>
      <c r="H499" t="s">
        <v>151</v>
      </c>
      <c r="I499" t="s">
        <v>5</v>
      </c>
      <c r="J499" t="s">
        <v>152</v>
      </c>
      <c r="K499" t="s">
        <v>153</v>
      </c>
      <c r="L499">
        <v>251200236</v>
      </c>
      <c r="M499" s="84">
        <v>46000</v>
      </c>
      <c r="N499" s="84">
        <v>46000</v>
      </c>
      <c r="O499" t="s">
        <v>196</v>
      </c>
      <c r="P499" t="s">
        <v>197</v>
      </c>
      <c r="Q499">
        <v>4500</v>
      </c>
      <c r="R499">
        <v>8</v>
      </c>
      <c r="S499">
        <v>36000</v>
      </c>
      <c r="T499">
        <v>0</v>
      </c>
      <c r="U499">
        <v>0</v>
      </c>
      <c r="V499">
        <v>8</v>
      </c>
      <c r="W499">
        <v>36000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1:29">
      <c r="A500">
        <v>492</v>
      </c>
      <c r="B500" t="s">
        <v>149</v>
      </c>
      <c r="C500">
        <v>988</v>
      </c>
      <c r="D500" t="s">
        <v>19</v>
      </c>
      <c r="E500" t="str">
        <f t="shared" si="7"/>
        <v>00988</v>
      </c>
      <c r="F500" t="s">
        <v>15</v>
      </c>
      <c r="G500" t="s">
        <v>193</v>
      </c>
      <c r="H500" t="s">
        <v>151</v>
      </c>
      <c r="I500" t="s">
        <v>4</v>
      </c>
      <c r="J500" t="s">
        <v>152</v>
      </c>
      <c r="K500" t="s">
        <v>153</v>
      </c>
      <c r="L500">
        <v>251200237</v>
      </c>
      <c r="M500" s="84">
        <v>46000</v>
      </c>
      <c r="N500" s="84">
        <v>46000</v>
      </c>
      <c r="O500" t="s">
        <v>160</v>
      </c>
      <c r="P500" t="s">
        <v>161</v>
      </c>
      <c r="Q500">
        <v>14250</v>
      </c>
      <c r="R500">
        <v>10</v>
      </c>
      <c r="S500">
        <v>142500</v>
      </c>
      <c r="T500">
        <v>0</v>
      </c>
      <c r="U500">
        <v>0</v>
      </c>
      <c r="V500">
        <v>10</v>
      </c>
      <c r="W500">
        <v>142500</v>
      </c>
      <c r="X500">
        <v>1500</v>
      </c>
      <c r="Y500">
        <v>2000</v>
      </c>
      <c r="Z500">
        <v>0</v>
      </c>
      <c r="AA500">
        <v>0</v>
      </c>
      <c r="AB500">
        <v>0</v>
      </c>
      <c r="AC500">
        <v>3500</v>
      </c>
    </row>
    <row r="501" spans="1:29">
      <c r="A501">
        <v>493</v>
      </c>
      <c r="B501" t="s">
        <v>149</v>
      </c>
      <c r="C501">
        <v>988</v>
      </c>
      <c r="D501" t="s">
        <v>19</v>
      </c>
      <c r="E501" t="str">
        <f t="shared" si="7"/>
        <v>00988</v>
      </c>
      <c r="F501" t="s">
        <v>15</v>
      </c>
      <c r="G501" t="s">
        <v>193</v>
      </c>
      <c r="H501" t="s">
        <v>151</v>
      </c>
      <c r="I501" t="s">
        <v>5</v>
      </c>
      <c r="J501" t="s">
        <v>152</v>
      </c>
      <c r="K501" t="s">
        <v>153</v>
      </c>
      <c r="L501">
        <v>251200237</v>
      </c>
      <c r="M501" s="84">
        <v>46000</v>
      </c>
      <c r="N501" s="84">
        <v>46000</v>
      </c>
      <c r="O501" t="s">
        <v>191</v>
      </c>
      <c r="P501" t="s">
        <v>192</v>
      </c>
      <c r="Q501">
        <v>11700</v>
      </c>
      <c r="R501">
        <v>20</v>
      </c>
      <c r="S501">
        <v>234000</v>
      </c>
      <c r="T501">
        <v>0</v>
      </c>
      <c r="U501">
        <v>0</v>
      </c>
      <c r="V501">
        <v>20</v>
      </c>
      <c r="W501">
        <v>234000</v>
      </c>
      <c r="X501">
        <v>3000</v>
      </c>
      <c r="Y501">
        <v>3000</v>
      </c>
      <c r="Z501">
        <v>0</v>
      </c>
      <c r="AA501">
        <v>0</v>
      </c>
      <c r="AB501">
        <v>0</v>
      </c>
      <c r="AC501">
        <v>6000</v>
      </c>
    </row>
    <row r="502" spans="1:29">
      <c r="A502">
        <v>494</v>
      </c>
      <c r="B502" t="s">
        <v>149</v>
      </c>
      <c r="C502">
        <v>1522</v>
      </c>
      <c r="D502" t="s">
        <v>370</v>
      </c>
      <c r="E502" t="str">
        <f t="shared" si="7"/>
        <v>01522</v>
      </c>
      <c r="F502" t="s">
        <v>73</v>
      </c>
      <c r="G502" t="s">
        <v>185</v>
      </c>
      <c r="H502" t="s">
        <v>151</v>
      </c>
      <c r="I502" t="s">
        <v>4</v>
      </c>
      <c r="J502" t="s">
        <v>152</v>
      </c>
      <c r="K502" t="s">
        <v>153</v>
      </c>
      <c r="L502">
        <v>251200238</v>
      </c>
      <c r="M502" s="84">
        <v>46000</v>
      </c>
      <c r="N502" s="84">
        <v>46000</v>
      </c>
      <c r="O502" t="s">
        <v>154</v>
      </c>
      <c r="P502" t="s">
        <v>155</v>
      </c>
      <c r="Q502">
        <v>5500</v>
      </c>
      <c r="R502">
        <v>10</v>
      </c>
      <c r="S502">
        <v>55000</v>
      </c>
      <c r="T502">
        <v>0</v>
      </c>
      <c r="U502">
        <v>0</v>
      </c>
      <c r="V502">
        <v>10</v>
      </c>
      <c r="W502">
        <v>55000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 spans="1:29">
      <c r="A503">
        <v>495</v>
      </c>
      <c r="B503" t="s">
        <v>149</v>
      </c>
      <c r="C503">
        <v>1522</v>
      </c>
      <c r="D503" t="s">
        <v>370</v>
      </c>
      <c r="E503" t="str">
        <f t="shared" si="7"/>
        <v>01522</v>
      </c>
      <c r="F503" t="s">
        <v>73</v>
      </c>
      <c r="G503" t="s">
        <v>185</v>
      </c>
      <c r="H503" t="s">
        <v>151</v>
      </c>
      <c r="I503" t="s">
        <v>4</v>
      </c>
      <c r="J503" t="s">
        <v>152</v>
      </c>
      <c r="K503" t="s">
        <v>153</v>
      </c>
      <c r="L503">
        <v>251200238</v>
      </c>
      <c r="M503" s="84">
        <v>46000</v>
      </c>
      <c r="N503" s="84">
        <v>46000</v>
      </c>
      <c r="O503" t="s">
        <v>168</v>
      </c>
      <c r="P503" t="s">
        <v>169</v>
      </c>
      <c r="Q503">
        <v>5500</v>
      </c>
      <c r="R503">
        <v>5</v>
      </c>
      <c r="S503">
        <v>27500</v>
      </c>
      <c r="T503">
        <v>0</v>
      </c>
      <c r="U503">
        <v>0</v>
      </c>
      <c r="V503">
        <v>5</v>
      </c>
      <c r="W503">
        <v>27500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>
      <c r="A504">
        <v>496</v>
      </c>
      <c r="B504" t="s">
        <v>149</v>
      </c>
      <c r="C504">
        <v>1395</v>
      </c>
      <c r="D504" t="s">
        <v>101</v>
      </c>
      <c r="E504" t="str">
        <f t="shared" si="7"/>
        <v>01395</v>
      </c>
      <c r="F504" t="s">
        <v>95</v>
      </c>
      <c r="G504" t="s">
        <v>187</v>
      </c>
      <c r="H504" t="s">
        <v>188</v>
      </c>
      <c r="I504" t="s">
        <v>4</v>
      </c>
      <c r="J504" t="s">
        <v>152</v>
      </c>
      <c r="K504" t="s">
        <v>159</v>
      </c>
      <c r="L504">
        <v>251200239</v>
      </c>
      <c r="M504" s="84">
        <v>46000</v>
      </c>
      <c r="N504" s="84">
        <v>46000</v>
      </c>
      <c r="O504" t="s">
        <v>160</v>
      </c>
      <c r="P504" t="s">
        <v>161</v>
      </c>
      <c r="Q504">
        <v>13200</v>
      </c>
      <c r="R504">
        <v>4</v>
      </c>
      <c r="S504">
        <v>52800</v>
      </c>
      <c r="T504">
        <v>0</v>
      </c>
      <c r="U504">
        <v>0</v>
      </c>
      <c r="V504">
        <v>4</v>
      </c>
      <c r="W504">
        <v>52800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>
      <c r="A505">
        <v>497</v>
      </c>
      <c r="B505" t="s">
        <v>149</v>
      </c>
      <c r="C505">
        <v>842</v>
      </c>
      <c r="D505" t="s">
        <v>26</v>
      </c>
      <c r="E505" t="str">
        <f t="shared" si="7"/>
        <v>00842</v>
      </c>
      <c r="F505" t="s">
        <v>20</v>
      </c>
      <c r="G505" t="s">
        <v>193</v>
      </c>
      <c r="H505" t="s">
        <v>151</v>
      </c>
      <c r="I505" t="s">
        <v>5</v>
      </c>
      <c r="J505" t="s">
        <v>152</v>
      </c>
      <c r="K505" t="s">
        <v>236</v>
      </c>
      <c r="L505">
        <v>251200240</v>
      </c>
      <c r="M505" s="84">
        <v>46000</v>
      </c>
      <c r="N505" s="84">
        <v>46000</v>
      </c>
      <c r="O505" t="s">
        <v>196</v>
      </c>
      <c r="P505" t="s">
        <v>197</v>
      </c>
      <c r="Q505">
        <v>11700</v>
      </c>
      <c r="R505">
        <v>32</v>
      </c>
      <c r="S505">
        <v>374400</v>
      </c>
      <c r="T505">
        <v>0</v>
      </c>
      <c r="U505">
        <v>0</v>
      </c>
      <c r="V505">
        <v>32</v>
      </c>
      <c r="W505">
        <v>374400</v>
      </c>
      <c r="X505">
        <v>4800</v>
      </c>
      <c r="Y505">
        <v>4800</v>
      </c>
      <c r="Z505">
        <v>0</v>
      </c>
      <c r="AA505">
        <v>0</v>
      </c>
      <c r="AB505">
        <v>0</v>
      </c>
      <c r="AC505">
        <v>9600</v>
      </c>
    </row>
    <row r="506" spans="1:29">
      <c r="A506">
        <v>498</v>
      </c>
      <c r="B506" t="s">
        <v>149</v>
      </c>
      <c r="C506">
        <v>842</v>
      </c>
      <c r="D506" t="s">
        <v>26</v>
      </c>
      <c r="E506" t="str">
        <f t="shared" si="7"/>
        <v>00842</v>
      </c>
      <c r="F506" t="s">
        <v>20</v>
      </c>
      <c r="G506" t="s">
        <v>193</v>
      </c>
      <c r="H506" t="s">
        <v>151</v>
      </c>
      <c r="I506" t="s">
        <v>4</v>
      </c>
      <c r="J506" t="s">
        <v>152</v>
      </c>
      <c r="K506" t="s">
        <v>236</v>
      </c>
      <c r="L506">
        <v>251200240</v>
      </c>
      <c r="M506" s="84">
        <v>46000</v>
      </c>
      <c r="N506" s="84">
        <v>46000</v>
      </c>
      <c r="O506" t="s">
        <v>177</v>
      </c>
      <c r="P506" t="s">
        <v>178</v>
      </c>
      <c r="Q506">
        <v>14250</v>
      </c>
      <c r="R506">
        <v>80</v>
      </c>
      <c r="S506">
        <v>1140000</v>
      </c>
      <c r="T506">
        <v>0</v>
      </c>
      <c r="U506">
        <v>0</v>
      </c>
      <c r="V506">
        <v>80</v>
      </c>
      <c r="W506">
        <v>1140000</v>
      </c>
      <c r="X506">
        <v>12000</v>
      </c>
      <c r="Y506">
        <v>16000</v>
      </c>
      <c r="Z506">
        <v>0</v>
      </c>
      <c r="AA506">
        <v>0</v>
      </c>
      <c r="AB506">
        <v>0</v>
      </c>
      <c r="AC506">
        <v>28000</v>
      </c>
    </row>
    <row r="507" spans="1:29">
      <c r="A507">
        <v>499</v>
      </c>
      <c r="B507" t="s">
        <v>149</v>
      </c>
      <c r="C507">
        <v>842</v>
      </c>
      <c r="D507" t="s">
        <v>26</v>
      </c>
      <c r="E507" t="str">
        <f t="shared" si="7"/>
        <v>00842</v>
      </c>
      <c r="F507" t="s">
        <v>20</v>
      </c>
      <c r="G507" t="s">
        <v>193</v>
      </c>
      <c r="H507" t="s">
        <v>151</v>
      </c>
      <c r="I507" t="s">
        <v>5</v>
      </c>
      <c r="J507" t="s">
        <v>152</v>
      </c>
      <c r="K507" t="s">
        <v>236</v>
      </c>
      <c r="L507">
        <v>251200240</v>
      </c>
      <c r="M507" s="84">
        <v>46000</v>
      </c>
      <c r="N507" s="84">
        <v>46000</v>
      </c>
      <c r="O507" t="s">
        <v>279</v>
      </c>
      <c r="P507" t="s">
        <v>280</v>
      </c>
      <c r="Q507">
        <v>11700</v>
      </c>
      <c r="R507">
        <v>48</v>
      </c>
      <c r="S507">
        <v>561600</v>
      </c>
      <c r="T507">
        <v>0</v>
      </c>
      <c r="U507">
        <v>0</v>
      </c>
      <c r="V507">
        <v>48</v>
      </c>
      <c r="W507">
        <v>561600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>
      <c r="A508">
        <v>500</v>
      </c>
      <c r="B508" t="s">
        <v>149</v>
      </c>
      <c r="C508">
        <v>842</v>
      </c>
      <c r="D508" t="s">
        <v>26</v>
      </c>
      <c r="E508" t="str">
        <f t="shared" si="7"/>
        <v>00842</v>
      </c>
      <c r="F508" t="s">
        <v>20</v>
      </c>
      <c r="G508" t="s">
        <v>193</v>
      </c>
      <c r="H508" t="s">
        <v>151</v>
      </c>
      <c r="I508" t="s">
        <v>4</v>
      </c>
      <c r="J508" t="s">
        <v>152</v>
      </c>
      <c r="K508" t="s">
        <v>236</v>
      </c>
      <c r="L508">
        <v>251200240</v>
      </c>
      <c r="M508" s="84">
        <v>46000</v>
      </c>
      <c r="N508" s="84">
        <v>46000</v>
      </c>
      <c r="O508" t="s">
        <v>267</v>
      </c>
      <c r="P508" t="s">
        <v>268</v>
      </c>
      <c r="Q508">
        <v>14250</v>
      </c>
      <c r="R508">
        <v>40</v>
      </c>
      <c r="S508">
        <v>570000</v>
      </c>
      <c r="T508">
        <v>0</v>
      </c>
      <c r="U508">
        <v>0</v>
      </c>
      <c r="V508">
        <v>40</v>
      </c>
      <c r="W508">
        <v>570000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>
      <c r="A509">
        <v>501</v>
      </c>
      <c r="B509" t="s">
        <v>149</v>
      </c>
      <c r="C509">
        <v>1581</v>
      </c>
      <c r="D509" t="s">
        <v>96</v>
      </c>
      <c r="E509" t="str">
        <f t="shared" si="7"/>
        <v>01581</v>
      </c>
      <c r="F509" t="s">
        <v>95</v>
      </c>
      <c r="G509" t="s">
        <v>187</v>
      </c>
      <c r="H509" t="s">
        <v>188</v>
      </c>
      <c r="I509" t="s">
        <v>4</v>
      </c>
      <c r="J509" t="s">
        <v>152</v>
      </c>
      <c r="K509" t="s">
        <v>159</v>
      </c>
      <c r="L509">
        <v>251200241</v>
      </c>
      <c r="M509" s="84">
        <v>46000</v>
      </c>
      <c r="N509" s="84">
        <v>46000</v>
      </c>
      <c r="O509" t="s">
        <v>262</v>
      </c>
      <c r="P509" t="s">
        <v>263</v>
      </c>
      <c r="Q509">
        <v>13300</v>
      </c>
      <c r="R509">
        <v>5</v>
      </c>
      <c r="S509">
        <v>66500</v>
      </c>
      <c r="T509">
        <v>0</v>
      </c>
      <c r="U509">
        <v>0</v>
      </c>
      <c r="V509">
        <v>5</v>
      </c>
      <c r="W509">
        <v>66500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 spans="1:29">
      <c r="A510">
        <v>502</v>
      </c>
      <c r="B510" t="s">
        <v>149</v>
      </c>
      <c r="C510">
        <v>1448</v>
      </c>
      <c r="D510" t="s">
        <v>21</v>
      </c>
      <c r="E510" t="str">
        <f t="shared" si="7"/>
        <v>01448</v>
      </c>
      <c r="F510" t="s">
        <v>20</v>
      </c>
      <c r="G510" t="s">
        <v>193</v>
      </c>
      <c r="H510" t="s">
        <v>151</v>
      </c>
      <c r="I510" t="s">
        <v>4</v>
      </c>
      <c r="J510" t="s">
        <v>152</v>
      </c>
      <c r="K510" t="s">
        <v>236</v>
      </c>
      <c r="L510">
        <v>251200242</v>
      </c>
      <c r="M510" s="84">
        <v>46000</v>
      </c>
      <c r="N510" s="84">
        <v>46000</v>
      </c>
      <c r="O510" t="s">
        <v>179</v>
      </c>
      <c r="P510" t="s">
        <v>180</v>
      </c>
      <c r="Q510">
        <v>14250</v>
      </c>
      <c r="R510">
        <v>5</v>
      </c>
      <c r="S510">
        <v>71250</v>
      </c>
      <c r="T510">
        <v>0</v>
      </c>
      <c r="U510">
        <v>0</v>
      </c>
      <c r="V510">
        <v>5</v>
      </c>
      <c r="W510">
        <v>71250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1:29">
      <c r="A511">
        <v>503</v>
      </c>
      <c r="B511" t="s">
        <v>149</v>
      </c>
      <c r="C511">
        <v>1448</v>
      </c>
      <c r="D511" t="s">
        <v>21</v>
      </c>
      <c r="E511" t="str">
        <f t="shared" si="7"/>
        <v>01448</v>
      </c>
      <c r="F511" t="s">
        <v>20</v>
      </c>
      <c r="G511" t="s">
        <v>193</v>
      </c>
      <c r="H511" t="s">
        <v>151</v>
      </c>
      <c r="I511" t="s">
        <v>4</v>
      </c>
      <c r="J511" t="s">
        <v>152</v>
      </c>
      <c r="K511" t="s">
        <v>236</v>
      </c>
      <c r="L511">
        <v>251200242</v>
      </c>
      <c r="M511" s="84">
        <v>46000</v>
      </c>
      <c r="N511" s="84">
        <v>46000</v>
      </c>
      <c r="O511" t="s">
        <v>262</v>
      </c>
      <c r="P511" t="s">
        <v>263</v>
      </c>
      <c r="Q511">
        <v>14250</v>
      </c>
      <c r="R511">
        <v>5</v>
      </c>
      <c r="S511">
        <v>71250</v>
      </c>
      <c r="T511">
        <v>0</v>
      </c>
      <c r="U511">
        <v>0</v>
      </c>
      <c r="V511">
        <v>5</v>
      </c>
      <c r="W511">
        <v>71250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</row>
    <row r="512" spans="1:29">
      <c r="A512">
        <v>504</v>
      </c>
      <c r="B512" t="s">
        <v>149</v>
      </c>
      <c r="C512">
        <v>471</v>
      </c>
      <c r="D512" t="s">
        <v>25</v>
      </c>
      <c r="E512" t="str">
        <f t="shared" si="7"/>
        <v>00471</v>
      </c>
      <c r="F512" t="s">
        <v>20</v>
      </c>
      <c r="G512" t="s">
        <v>193</v>
      </c>
      <c r="H512" t="s">
        <v>151</v>
      </c>
      <c r="I512" t="s">
        <v>5</v>
      </c>
      <c r="J512" t="s">
        <v>152</v>
      </c>
      <c r="K512" t="s">
        <v>236</v>
      </c>
      <c r="L512">
        <v>251200243</v>
      </c>
      <c r="M512" s="84">
        <v>46000</v>
      </c>
      <c r="N512" s="84">
        <v>46000</v>
      </c>
      <c r="O512" t="s">
        <v>191</v>
      </c>
      <c r="P512" t="s">
        <v>192</v>
      </c>
      <c r="Q512">
        <v>11700</v>
      </c>
      <c r="R512">
        <v>12</v>
      </c>
      <c r="S512">
        <v>140400</v>
      </c>
      <c r="T512">
        <v>0</v>
      </c>
      <c r="U512">
        <v>0</v>
      </c>
      <c r="V512">
        <v>12</v>
      </c>
      <c r="W512">
        <v>140400</v>
      </c>
      <c r="X512">
        <v>1800</v>
      </c>
      <c r="Y512">
        <v>1800</v>
      </c>
      <c r="Z512">
        <v>0</v>
      </c>
      <c r="AA512">
        <v>0</v>
      </c>
      <c r="AB512">
        <v>0</v>
      </c>
      <c r="AC512">
        <v>3600</v>
      </c>
    </row>
    <row r="513" spans="1:29">
      <c r="A513">
        <v>505</v>
      </c>
      <c r="B513" t="s">
        <v>149</v>
      </c>
      <c r="C513">
        <v>471</v>
      </c>
      <c r="D513" t="s">
        <v>25</v>
      </c>
      <c r="E513" t="str">
        <f t="shared" si="7"/>
        <v>00471</v>
      </c>
      <c r="F513" t="s">
        <v>20</v>
      </c>
      <c r="G513" t="s">
        <v>193</v>
      </c>
      <c r="H513" t="s">
        <v>151</v>
      </c>
      <c r="I513" t="s">
        <v>4</v>
      </c>
      <c r="J513" t="s">
        <v>152</v>
      </c>
      <c r="K513" t="s">
        <v>236</v>
      </c>
      <c r="L513">
        <v>251200243</v>
      </c>
      <c r="M513" s="84">
        <v>46000</v>
      </c>
      <c r="N513" s="84">
        <v>46000</v>
      </c>
      <c r="O513" t="s">
        <v>179</v>
      </c>
      <c r="P513" t="s">
        <v>180</v>
      </c>
      <c r="Q513">
        <v>14250</v>
      </c>
      <c r="R513">
        <v>5</v>
      </c>
      <c r="S513">
        <v>71250</v>
      </c>
      <c r="T513">
        <v>0</v>
      </c>
      <c r="U513">
        <v>0</v>
      </c>
      <c r="V513">
        <v>5</v>
      </c>
      <c r="W513">
        <v>71250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 spans="1:29">
      <c r="A514">
        <v>506</v>
      </c>
      <c r="B514" t="s">
        <v>149</v>
      </c>
      <c r="C514">
        <v>471</v>
      </c>
      <c r="D514" t="s">
        <v>25</v>
      </c>
      <c r="E514" t="str">
        <f t="shared" si="7"/>
        <v>00471</v>
      </c>
      <c r="F514" t="s">
        <v>20</v>
      </c>
      <c r="G514" t="s">
        <v>193</v>
      </c>
      <c r="H514" t="s">
        <v>151</v>
      </c>
      <c r="I514" t="s">
        <v>4</v>
      </c>
      <c r="J514" t="s">
        <v>152</v>
      </c>
      <c r="K514" t="s">
        <v>236</v>
      </c>
      <c r="L514">
        <v>251200243</v>
      </c>
      <c r="M514" s="84">
        <v>46000</v>
      </c>
      <c r="N514" s="84">
        <v>46000</v>
      </c>
      <c r="O514" t="s">
        <v>160</v>
      </c>
      <c r="P514" t="s">
        <v>161</v>
      </c>
      <c r="Q514">
        <v>14250</v>
      </c>
      <c r="R514">
        <v>20</v>
      </c>
      <c r="S514">
        <v>285000</v>
      </c>
      <c r="T514">
        <v>0</v>
      </c>
      <c r="U514">
        <v>0</v>
      </c>
      <c r="V514">
        <v>20</v>
      </c>
      <c r="W514">
        <v>285000</v>
      </c>
      <c r="X514">
        <v>3000</v>
      </c>
      <c r="Y514">
        <v>4000</v>
      </c>
      <c r="Z514">
        <v>0</v>
      </c>
      <c r="AA514">
        <v>0</v>
      </c>
      <c r="AB514">
        <v>0</v>
      </c>
      <c r="AC514">
        <v>7000</v>
      </c>
    </row>
    <row r="515" spans="1:29">
      <c r="A515">
        <v>507</v>
      </c>
      <c r="B515" t="s">
        <v>149</v>
      </c>
      <c r="C515">
        <v>367</v>
      </c>
      <c r="D515" t="s">
        <v>63</v>
      </c>
      <c r="E515" t="str">
        <f t="shared" si="7"/>
        <v>00367</v>
      </c>
      <c r="F515" t="s">
        <v>49</v>
      </c>
      <c r="G515" t="s">
        <v>167</v>
      </c>
      <c r="H515" t="s">
        <v>151</v>
      </c>
      <c r="I515" t="s">
        <v>4</v>
      </c>
      <c r="J515" t="s">
        <v>152</v>
      </c>
      <c r="K515" t="s">
        <v>153</v>
      </c>
      <c r="L515">
        <v>251200244</v>
      </c>
      <c r="M515" s="84">
        <v>46000</v>
      </c>
      <c r="N515" s="84">
        <v>46000</v>
      </c>
      <c r="O515" t="s">
        <v>168</v>
      </c>
      <c r="P515" t="s">
        <v>169</v>
      </c>
      <c r="Q515">
        <v>14250</v>
      </c>
      <c r="R515">
        <v>15</v>
      </c>
      <c r="S515">
        <v>213750</v>
      </c>
      <c r="T515">
        <v>0</v>
      </c>
      <c r="U515">
        <v>0</v>
      </c>
      <c r="V515">
        <v>15</v>
      </c>
      <c r="W515">
        <v>213750</v>
      </c>
      <c r="X515">
        <v>2250</v>
      </c>
      <c r="Y515">
        <v>3000</v>
      </c>
      <c r="Z515">
        <v>0</v>
      </c>
      <c r="AA515">
        <v>0</v>
      </c>
      <c r="AB515">
        <v>0</v>
      </c>
      <c r="AC515">
        <v>5250</v>
      </c>
    </row>
    <row r="516" spans="1:29">
      <c r="A516">
        <v>508</v>
      </c>
      <c r="B516" t="s">
        <v>149</v>
      </c>
      <c r="C516">
        <v>367</v>
      </c>
      <c r="D516" t="s">
        <v>63</v>
      </c>
      <c r="E516" t="str">
        <f t="shared" si="7"/>
        <v>00367</v>
      </c>
      <c r="F516" t="s">
        <v>49</v>
      </c>
      <c r="G516" t="s">
        <v>167</v>
      </c>
      <c r="H516" t="s">
        <v>151</v>
      </c>
      <c r="I516" t="s">
        <v>4</v>
      </c>
      <c r="J516" t="s">
        <v>152</v>
      </c>
      <c r="K516" t="s">
        <v>153</v>
      </c>
      <c r="L516">
        <v>251200244</v>
      </c>
      <c r="M516" s="84">
        <v>46000</v>
      </c>
      <c r="N516" s="84">
        <v>46000</v>
      </c>
      <c r="O516" t="s">
        <v>219</v>
      </c>
      <c r="P516" t="s">
        <v>220</v>
      </c>
      <c r="Q516">
        <v>14250</v>
      </c>
      <c r="R516">
        <v>5</v>
      </c>
      <c r="S516">
        <v>71250</v>
      </c>
      <c r="T516">
        <v>0</v>
      </c>
      <c r="U516">
        <v>0</v>
      </c>
      <c r="V516">
        <v>5</v>
      </c>
      <c r="W516">
        <v>71250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 spans="1:29">
      <c r="A517">
        <v>509</v>
      </c>
      <c r="B517" t="s">
        <v>149</v>
      </c>
      <c r="C517">
        <v>1308</v>
      </c>
      <c r="D517" t="s">
        <v>368</v>
      </c>
      <c r="E517" t="str">
        <f t="shared" si="7"/>
        <v>01308</v>
      </c>
      <c r="F517" t="s">
        <v>49</v>
      </c>
      <c r="G517" t="s">
        <v>167</v>
      </c>
      <c r="H517" t="s">
        <v>151</v>
      </c>
      <c r="I517" t="s">
        <v>5</v>
      </c>
      <c r="J517" t="s">
        <v>152</v>
      </c>
      <c r="K517" t="s">
        <v>153</v>
      </c>
      <c r="L517">
        <v>251200245</v>
      </c>
      <c r="M517" s="84">
        <v>46000</v>
      </c>
      <c r="N517" s="84">
        <v>46000</v>
      </c>
      <c r="O517" t="s">
        <v>191</v>
      </c>
      <c r="P517" t="s">
        <v>192</v>
      </c>
      <c r="Q517">
        <v>4500</v>
      </c>
      <c r="R517">
        <v>60</v>
      </c>
      <c r="S517">
        <v>270000</v>
      </c>
      <c r="T517">
        <v>0</v>
      </c>
      <c r="U517">
        <v>0</v>
      </c>
      <c r="V517">
        <v>60</v>
      </c>
      <c r="W517">
        <v>270000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>
      <c r="A518">
        <v>510</v>
      </c>
      <c r="B518" t="s">
        <v>149</v>
      </c>
      <c r="C518">
        <v>1530</v>
      </c>
      <c r="D518" t="s">
        <v>379</v>
      </c>
      <c r="E518" t="str">
        <f t="shared" si="7"/>
        <v>01530</v>
      </c>
      <c r="F518" t="s">
        <v>111</v>
      </c>
      <c r="G518" t="s">
        <v>150</v>
      </c>
      <c r="H518" t="s">
        <v>151</v>
      </c>
      <c r="I518" t="s">
        <v>4</v>
      </c>
      <c r="J518" t="s">
        <v>152</v>
      </c>
      <c r="K518" t="s">
        <v>153</v>
      </c>
      <c r="L518">
        <v>251200246</v>
      </c>
      <c r="M518" s="84">
        <v>46000</v>
      </c>
      <c r="N518" s="84">
        <v>46000</v>
      </c>
      <c r="O518" t="s">
        <v>179</v>
      </c>
      <c r="P518" t="s">
        <v>180</v>
      </c>
      <c r="Q518">
        <v>5500</v>
      </c>
      <c r="R518">
        <v>5</v>
      </c>
      <c r="S518">
        <v>27500</v>
      </c>
      <c r="T518">
        <v>0</v>
      </c>
      <c r="U518">
        <v>0</v>
      </c>
      <c r="V518">
        <v>5</v>
      </c>
      <c r="W518">
        <v>27500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 spans="1:29">
      <c r="A519">
        <v>511</v>
      </c>
      <c r="B519" t="s">
        <v>149</v>
      </c>
      <c r="C519">
        <v>1554</v>
      </c>
      <c r="D519" t="s">
        <v>382</v>
      </c>
      <c r="E519" t="str">
        <f t="shared" si="7"/>
        <v>01554</v>
      </c>
      <c r="F519" t="s">
        <v>111</v>
      </c>
      <c r="G519" t="s">
        <v>150</v>
      </c>
      <c r="H519" t="s">
        <v>151</v>
      </c>
      <c r="I519" t="s">
        <v>4</v>
      </c>
      <c r="J519" t="s">
        <v>152</v>
      </c>
      <c r="K519" t="s">
        <v>153</v>
      </c>
      <c r="L519">
        <v>251200247</v>
      </c>
      <c r="M519" s="84">
        <v>46000</v>
      </c>
      <c r="N519" s="84">
        <v>46000</v>
      </c>
      <c r="O519" t="s">
        <v>160</v>
      </c>
      <c r="P519" t="s">
        <v>161</v>
      </c>
      <c r="Q519">
        <v>5500</v>
      </c>
      <c r="R519">
        <v>10</v>
      </c>
      <c r="S519">
        <v>55000</v>
      </c>
      <c r="T519">
        <v>0</v>
      </c>
      <c r="U519">
        <v>0</v>
      </c>
      <c r="V519">
        <v>10</v>
      </c>
      <c r="W519">
        <v>55000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 spans="1:29">
      <c r="A520">
        <v>512</v>
      </c>
      <c r="B520" t="s">
        <v>149</v>
      </c>
      <c r="C520">
        <v>1554</v>
      </c>
      <c r="D520" t="s">
        <v>382</v>
      </c>
      <c r="E520" t="str">
        <f t="shared" si="7"/>
        <v>01554</v>
      </c>
      <c r="F520" t="s">
        <v>111</v>
      </c>
      <c r="G520" t="s">
        <v>150</v>
      </c>
      <c r="H520" t="s">
        <v>151</v>
      </c>
      <c r="I520" t="s">
        <v>4</v>
      </c>
      <c r="J520" t="s">
        <v>152</v>
      </c>
      <c r="K520" t="s">
        <v>153</v>
      </c>
      <c r="L520">
        <v>251200248</v>
      </c>
      <c r="M520" s="84">
        <v>46000</v>
      </c>
      <c r="N520" s="84">
        <v>46000</v>
      </c>
      <c r="O520" t="s">
        <v>262</v>
      </c>
      <c r="P520" t="s">
        <v>263</v>
      </c>
      <c r="Q520">
        <v>5500</v>
      </c>
      <c r="R520">
        <v>10</v>
      </c>
      <c r="S520">
        <v>55000</v>
      </c>
      <c r="T520">
        <v>0</v>
      </c>
      <c r="U520">
        <v>0</v>
      </c>
      <c r="V520">
        <v>10</v>
      </c>
      <c r="W520">
        <v>55000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>
      <c r="A521">
        <v>513</v>
      </c>
      <c r="B521" t="s">
        <v>149</v>
      </c>
      <c r="C521">
        <v>1478</v>
      </c>
      <c r="D521" t="s">
        <v>314</v>
      </c>
      <c r="E521" t="str">
        <f t="shared" ref="E521:E584" si="8">TEXT(C521,"00000")</f>
        <v>01478</v>
      </c>
      <c r="F521" t="s">
        <v>111</v>
      </c>
      <c r="G521" t="s">
        <v>150</v>
      </c>
      <c r="H521" t="s">
        <v>151</v>
      </c>
      <c r="I521" t="s">
        <v>5</v>
      </c>
      <c r="J521" t="s">
        <v>152</v>
      </c>
      <c r="K521" t="s">
        <v>153</v>
      </c>
      <c r="L521">
        <v>251200249</v>
      </c>
      <c r="M521" s="84">
        <v>46000</v>
      </c>
      <c r="N521" s="84">
        <v>46000</v>
      </c>
      <c r="O521" t="s">
        <v>191</v>
      </c>
      <c r="P521" t="s">
        <v>192</v>
      </c>
      <c r="Q521">
        <v>4500</v>
      </c>
      <c r="R521">
        <v>28</v>
      </c>
      <c r="S521">
        <v>126000</v>
      </c>
      <c r="T521">
        <v>0</v>
      </c>
      <c r="U521">
        <v>0</v>
      </c>
      <c r="V521">
        <v>28</v>
      </c>
      <c r="W521">
        <v>126000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 spans="1:29">
      <c r="A522">
        <v>514</v>
      </c>
      <c r="B522" t="s">
        <v>149</v>
      </c>
      <c r="C522">
        <v>1519</v>
      </c>
      <c r="D522" t="s">
        <v>353</v>
      </c>
      <c r="E522" t="str">
        <f t="shared" si="8"/>
        <v>01519</v>
      </c>
      <c r="F522" t="s">
        <v>111</v>
      </c>
      <c r="G522" t="s">
        <v>150</v>
      </c>
      <c r="H522" t="s">
        <v>151</v>
      </c>
      <c r="I522" t="s">
        <v>4</v>
      </c>
      <c r="J522" t="s">
        <v>152</v>
      </c>
      <c r="K522" t="s">
        <v>153</v>
      </c>
      <c r="L522">
        <v>251200250</v>
      </c>
      <c r="M522" s="84">
        <v>46000</v>
      </c>
      <c r="N522" s="84">
        <v>46000</v>
      </c>
      <c r="O522" t="s">
        <v>219</v>
      </c>
      <c r="P522" t="s">
        <v>220</v>
      </c>
      <c r="Q522">
        <v>5500</v>
      </c>
      <c r="R522">
        <v>8</v>
      </c>
      <c r="S522">
        <v>44000</v>
      </c>
      <c r="T522">
        <v>0</v>
      </c>
      <c r="U522">
        <v>0</v>
      </c>
      <c r="V522">
        <v>8</v>
      </c>
      <c r="W522">
        <v>44000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</row>
    <row r="523" spans="1:29">
      <c r="A523">
        <v>515</v>
      </c>
      <c r="B523" t="s">
        <v>149</v>
      </c>
      <c r="C523">
        <v>1305</v>
      </c>
      <c r="D523" t="s">
        <v>383</v>
      </c>
      <c r="E523" t="str">
        <f t="shared" si="8"/>
        <v>01305</v>
      </c>
      <c r="F523" t="s">
        <v>28</v>
      </c>
      <c r="G523" t="s">
        <v>164</v>
      </c>
      <c r="H523" t="s">
        <v>151</v>
      </c>
      <c r="I523" t="s">
        <v>5</v>
      </c>
      <c r="J523" t="s">
        <v>152</v>
      </c>
      <c r="K523" t="s">
        <v>153</v>
      </c>
      <c r="L523">
        <v>251200251</v>
      </c>
      <c r="M523" s="84">
        <v>46000</v>
      </c>
      <c r="N523" s="84">
        <v>46000</v>
      </c>
      <c r="O523" t="s">
        <v>191</v>
      </c>
      <c r="P523" t="s">
        <v>192</v>
      </c>
      <c r="Q523">
        <v>4500</v>
      </c>
      <c r="R523">
        <v>40</v>
      </c>
      <c r="S523">
        <v>180000</v>
      </c>
      <c r="T523">
        <v>0</v>
      </c>
      <c r="U523">
        <v>0</v>
      </c>
      <c r="V523">
        <v>40</v>
      </c>
      <c r="W523">
        <v>180000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 spans="1:29">
      <c r="A524">
        <v>516</v>
      </c>
      <c r="B524" t="s">
        <v>149</v>
      </c>
      <c r="C524">
        <v>1305</v>
      </c>
      <c r="D524" t="s">
        <v>383</v>
      </c>
      <c r="E524" t="str">
        <f t="shared" si="8"/>
        <v>01305</v>
      </c>
      <c r="F524" t="s">
        <v>28</v>
      </c>
      <c r="G524" t="s">
        <v>164</v>
      </c>
      <c r="H524" t="s">
        <v>151</v>
      </c>
      <c r="I524" t="s">
        <v>4</v>
      </c>
      <c r="J524" t="s">
        <v>152</v>
      </c>
      <c r="K524" t="s">
        <v>153</v>
      </c>
      <c r="L524">
        <v>251200251</v>
      </c>
      <c r="M524" s="84">
        <v>46000</v>
      </c>
      <c r="N524" s="84">
        <v>46000</v>
      </c>
      <c r="O524" t="s">
        <v>160</v>
      </c>
      <c r="P524" t="s">
        <v>161</v>
      </c>
      <c r="Q524">
        <v>5500</v>
      </c>
      <c r="R524">
        <v>40</v>
      </c>
      <c r="S524">
        <v>220000</v>
      </c>
      <c r="T524">
        <v>0</v>
      </c>
      <c r="U524">
        <v>0</v>
      </c>
      <c r="V524">
        <v>40</v>
      </c>
      <c r="W524">
        <v>220000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 spans="1:29">
      <c r="A525">
        <v>517</v>
      </c>
      <c r="B525" t="s">
        <v>149</v>
      </c>
      <c r="C525">
        <v>1305</v>
      </c>
      <c r="D525" t="s">
        <v>383</v>
      </c>
      <c r="E525" t="str">
        <f t="shared" si="8"/>
        <v>01305</v>
      </c>
      <c r="F525" t="s">
        <v>28</v>
      </c>
      <c r="G525" t="s">
        <v>164</v>
      </c>
      <c r="H525" t="s">
        <v>151</v>
      </c>
      <c r="I525" t="s">
        <v>5</v>
      </c>
      <c r="J525" t="s">
        <v>152</v>
      </c>
      <c r="K525" t="s">
        <v>153</v>
      </c>
      <c r="L525">
        <v>251200251</v>
      </c>
      <c r="M525" s="84">
        <v>46000</v>
      </c>
      <c r="N525" s="84">
        <v>46000</v>
      </c>
      <c r="O525" t="s">
        <v>384</v>
      </c>
      <c r="P525" t="s">
        <v>385</v>
      </c>
      <c r="Q525">
        <v>4500</v>
      </c>
      <c r="R525">
        <v>50</v>
      </c>
      <c r="S525">
        <v>225000</v>
      </c>
      <c r="T525">
        <v>0</v>
      </c>
      <c r="U525">
        <v>0</v>
      </c>
      <c r="V525">
        <v>50</v>
      </c>
      <c r="W525">
        <v>225000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</row>
    <row r="526" spans="1:29">
      <c r="A526">
        <v>518</v>
      </c>
      <c r="B526" t="s">
        <v>149</v>
      </c>
      <c r="C526">
        <v>1331</v>
      </c>
      <c r="D526" t="s">
        <v>366</v>
      </c>
      <c r="E526" t="str">
        <f t="shared" si="8"/>
        <v>01331</v>
      </c>
      <c r="F526" t="s">
        <v>28</v>
      </c>
      <c r="G526" t="s">
        <v>164</v>
      </c>
      <c r="H526" t="s">
        <v>151</v>
      </c>
      <c r="I526" t="s">
        <v>5</v>
      </c>
      <c r="J526" t="s">
        <v>152</v>
      </c>
      <c r="K526" t="s">
        <v>153</v>
      </c>
      <c r="L526">
        <v>251200252</v>
      </c>
      <c r="M526" s="84">
        <v>46000</v>
      </c>
      <c r="N526" s="84">
        <v>46000</v>
      </c>
      <c r="O526" t="s">
        <v>253</v>
      </c>
      <c r="P526" t="s">
        <v>254</v>
      </c>
      <c r="Q526">
        <v>4500</v>
      </c>
      <c r="R526">
        <v>20</v>
      </c>
      <c r="S526">
        <v>90000</v>
      </c>
      <c r="T526">
        <v>0</v>
      </c>
      <c r="U526">
        <v>0</v>
      </c>
      <c r="V526">
        <v>20</v>
      </c>
      <c r="W526">
        <v>90000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 spans="1:29">
      <c r="A527">
        <v>519</v>
      </c>
      <c r="B527" t="s">
        <v>149</v>
      </c>
      <c r="C527">
        <v>1331</v>
      </c>
      <c r="D527" t="s">
        <v>366</v>
      </c>
      <c r="E527" t="str">
        <f t="shared" si="8"/>
        <v>01331</v>
      </c>
      <c r="F527" t="s">
        <v>28</v>
      </c>
      <c r="G527" t="s">
        <v>164</v>
      </c>
      <c r="H527" t="s">
        <v>151</v>
      </c>
      <c r="I527" t="s">
        <v>5</v>
      </c>
      <c r="J527" t="s">
        <v>152</v>
      </c>
      <c r="K527" t="s">
        <v>153</v>
      </c>
      <c r="L527">
        <v>251200252</v>
      </c>
      <c r="M527" s="84">
        <v>46000</v>
      </c>
      <c r="N527" s="84">
        <v>46000</v>
      </c>
      <c r="O527" t="s">
        <v>271</v>
      </c>
      <c r="P527" t="s">
        <v>272</v>
      </c>
      <c r="Q527">
        <v>4500</v>
      </c>
      <c r="R527">
        <v>12</v>
      </c>
      <c r="S527">
        <v>54000</v>
      </c>
      <c r="T527">
        <v>0</v>
      </c>
      <c r="U527">
        <v>0</v>
      </c>
      <c r="V527">
        <v>12</v>
      </c>
      <c r="W527">
        <v>54000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 spans="1:29">
      <c r="A528">
        <v>520</v>
      </c>
      <c r="B528" t="s">
        <v>149</v>
      </c>
      <c r="C528">
        <v>1331</v>
      </c>
      <c r="D528" t="s">
        <v>366</v>
      </c>
      <c r="E528" t="str">
        <f t="shared" si="8"/>
        <v>01331</v>
      </c>
      <c r="F528" t="s">
        <v>28</v>
      </c>
      <c r="G528" t="s">
        <v>164</v>
      </c>
      <c r="H528" t="s">
        <v>151</v>
      </c>
      <c r="I528" t="s">
        <v>5</v>
      </c>
      <c r="J528" t="s">
        <v>152</v>
      </c>
      <c r="K528" t="s">
        <v>153</v>
      </c>
      <c r="L528">
        <v>251200252</v>
      </c>
      <c r="M528" s="84">
        <v>46000</v>
      </c>
      <c r="N528" s="84">
        <v>46000</v>
      </c>
      <c r="O528" t="s">
        <v>191</v>
      </c>
      <c r="P528" t="s">
        <v>192</v>
      </c>
      <c r="Q528">
        <v>4500</v>
      </c>
      <c r="R528">
        <v>32</v>
      </c>
      <c r="S528">
        <v>144000</v>
      </c>
      <c r="T528">
        <v>0</v>
      </c>
      <c r="U528">
        <v>0</v>
      </c>
      <c r="V528">
        <v>32</v>
      </c>
      <c r="W528">
        <v>144000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 spans="1:29">
      <c r="A529">
        <v>521</v>
      </c>
      <c r="B529" t="s">
        <v>149</v>
      </c>
      <c r="C529">
        <v>1331</v>
      </c>
      <c r="D529" t="s">
        <v>366</v>
      </c>
      <c r="E529" t="str">
        <f t="shared" si="8"/>
        <v>01331</v>
      </c>
      <c r="F529" t="s">
        <v>28</v>
      </c>
      <c r="G529" t="s">
        <v>164</v>
      </c>
      <c r="H529" t="s">
        <v>151</v>
      </c>
      <c r="I529" t="s">
        <v>5</v>
      </c>
      <c r="J529" t="s">
        <v>152</v>
      </c>
      <c r="K529" t="s">
        <v>153</v>
      </c>
      <c r="L529">
        <v>251200252</v>
      </c>
      <c r="M529" s="84">
        <v>46000</v>
      </c>
      <c r="N529" s="84">
        <v>46000</v>
      </c>
      <c r="O529" t="s">
        <v>297</v>
      </c>
      <c r="P529" t="s">
        <v>298</v>
      </c>
      <c r="Q529">
        <v>4500</v>
      </c>
      <c r="R529">
        <v>36</v>
      </c>
      <c r="S529">
        <v>162000</v>
      </c>
      <c r="T529">
        <v>0</v>
      </c>
      <c r="U529">
        <v>0</v>
      </c>
      <c r="V529">
        <v>36</v>
      </c>
      <c r="W529">
        <v>162000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1:29">
      <c r="A530">
        <v>522</v>
      </c>
      <c r="B530" t="s">
        <v>149</v>
      </c>
      <c r="C530">
        <v>827</v>
      </c>
      <c r="D530" t="s">
        <v>84</v>
      </c>
      <c r="E530" t="str">
        <f t="shared" si="8"/>
        <v>00827</v>
      </c>
      <c r="F530" t="s">
        <v>83</v>
      </c>
      <c r="G530" t="s">
        <v>164</v>
      </c>
      <c r="H530" t="s">
        <v>151</v>
      </c>
      <c r="I530" t="s">
        <v>4</v>
      </c>
      <c r="J530" t="s">
        <v>152</v>
      </c>
      <c r="K530" t="s">
        <v>153</v>
      </c>
      <c r="L530">
        <v>251200253</v>
      </c>
      <c r="M530" s="84">
        <v>46000</v>
      </c>
      <c r="N530" s="84">
        <v>46000</v>
      </c>
      <c r="O530" t="s">
        <v>177</v>
      </c>
      <c r="P530" t="s">
        <v>178</v>
      </c>
      <c r="Q530">
        <v>14250</v>
      </c>
      <c r="R530">
        <v>1</v>
      </c>
      <c r="S530">
        <v>14250</v>
      </c>
      <c r="T530">
        <v>0</v>
      </c>
      <c r="U530">
        <v>0</v>
      </c>
      <c r="V530">
        <v>1</v>
      </c>
      <c r="W530">
        <v>14250</v>
      </c>
      <c r="X530">
        <v>150</v>
      </c>
      <c r="Y530">
        <v>200</v>
      </c>
      <c r="Z530">
        <v>0</v>
      </c>
      <c r="AA530">
        <v>0</v>
      </c>
      <c r="AB530">
        <v>0</v>
      </c>
      <c r="AC530">
        <v>350</v>
      </c>
    </row>
    <row r="531" spans="1:29">
      <c r="A531">
        <v>523</v>
      </c>
      <c r="B531" t="s">
        <v>149</v>
      </c>
      <c r="C531">
        <v>1534</v>
      </c>
      <c r="D531" t="s">
        <v>371</v>
      </c>
      <c r="E531" t="str">
        <f t="shared" si="8"/>
        <v>01534</v>
      </c>
      <c r="F531" t="s">
        <v>65</v>
      </c>
      <c r="G531" t="s">
        <v>208</v>
      </c>
      <c r="H531" t="s">
        <v>157</v>
      </c>
      <c r="I531" t="s">
        <v>4</v>
      </c>
      <c r="J531" t="s">
        <v>152</v>
      </c>
      <c r="K531" t="s">
        <v>174</v>
      </c>
      <c r="L531">
        <v>251200254</v>
      </c>
      <c r="M531" s="84">
        <v>46000</v>
      </c>
      <c r="N531" s="84">
        <v>46000</v>
      </c>
      <c r="O531" t="s">
        <v>321</v>
      </c>
      <c r="P531" t="s">
        <v>322</v>
      </c>
      <c r="Q531">
        <v>5500</v>
      </c>
      <c r="R531">
        <v>5</v>
      </c>
      <c r="S531">
        <v>27500</v>
      </c>
      <c r="T531">
        <v>0</v>
      </c>
      <c r="U531">
        <v>0</v>
      </c>
      <c r="V531">
        <v>5</v>
      </c>
      <c r="W531">
        <v>27500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 spans="1:29">
      <c r="A532">
        <v>524</v>
      </c>
      <c r="B532" t="s">
        <v>149</v>
      </c>
      <c r="C532">
        <v>1470</v>
      </c>
      <c r="D532" t="s">
        <v>12</v>
      </c>
      <c r="E532" t="str">
        <f t="shared" si="8"/>
        <v>01470</v>
      </c>
      <c r="F532" t="s">
        <v>10</v>
      </c>
      <c r="G532" t="s">
        <v>172</v>
      </c>
      <c r="H532" t="s">
        <v>157</v>
      </c>
      <c r="I532" t="s">
        <v>4</v>
      </c>
      <c r="J532" t="s">
        <v>152</v>
      </c>
      <c r="K532" t="s">
        <v>174</v>
      </c>
      <c r="L532">
        <v>251200255</v>
      </c>
      <c r="M532" s="84">
        <v>46000</v>
      </c>
      <c r="N532" s="84">
        <v>46000</v>
      </c>
      <c r="O532" t="s">
        <v>243</v>
      </c>
      <c r="P532" t="s">
        <v>244</v>
      </c>
      <c r="Q532">
        <v>15050</v>
      </c>
      <c r="R532">
        <v>5</v>
      </c>
      <c r="S532">
        <v>75250</v>
      </c>
      <c r="T532">
        <v>0</v>
      </c>
      <c r="U532">
        <v>0</v>
      </c>
      <c r="V532">
        <v>5</v>
      </c>
      <c r="W532">
        <v>75250</v>
      </c>
      <c r="X532">
        <v>750</v>
      </c>
      <c r="Y532">
        <v>1000</v>
      </c>
      <c r="Z532">
        <v>0</v>
      </c>
      <c r="AA532">
        <v>0</v>
      </c>
      <c r="AB532">
        <v>0</v>
      </c>
      <c r="AC532">
        <v>1750</v>
      </c>
    </row>
    <row r="533" spans="1:29">
      <c r="A533">
        <v>525</v>
      </c>
      <c r="B533" t="s">
        <v>149</v>
      </c>
      <c r="C533">
        <v>1470</v>
      </c>
      <c r="D533" t="s">
        <v>12</v>
      </c>
      <c r="E533" t="str">
        <f t="shared" si="8"/>
        <v>01470</v>
      </c>
      <c r="F533" t="s">
        <v>10</v>
      </c>
      <c r="G533" t="s">
        <v>172</v>
      </c>
      <c r="H533" t="s">
        <v>157</v>
      </c>
      <c r="I533" t="s">
        <v>4</v>
      </c>
      <c r="J533" t="s">
        <v>152</v>
      </c>
      <c r="K533" t="s">
        <v>174</v>
      </c>
      <c r="L533">
        <v>251200256</v>
      </c>
      <c r="M533" s="84">
        <v>46000</v>
      </c>
      <c r="N533" s="84">
        <v>46000</v>
      </c>
      <c r="O533" t="s">
        <v>177</v>
      </c>
      <c r="P533" t="s">
        <v>178</v>
      </c>
      <c r="Q533">
        <v>14250</v>
      </c>
      <c r="R533">
        <v>10</v>
      </c>
      <c r="S533">
        <v>142500</v>
      </c>
      <c r="T533">
        <v>0</v>
      </c>
      <c r="U533">
        <v>0</v>
      </c>
      <c r="V533">
        <v>10</v>
      </c>
      <c r="W533">
        <v>142500</v>
      </c>
      <c r="X533">
        <v>1500</v>
      </c>
      <c r="Y533">
        <v>2000</v>
      </c>
      <c r="Z533">
        <v>0</v>
      </c>
      <c r="AA533">
        <v>0</v>
      </c>
      <c r="AB533">
        <v>0</v>
      </c>
      <c r="AC533">
        <v>3500</v>
      </c>
    </row>
    <row r="534" spans="1:29">
      <c r="A534">
        <v>526</v>
      </c>
      <c r="B534" t="s">
        <v>149</v>
      </c>
      <c r="C534">
        <v>1470</v>
      </c>
      <c r="D534" t="s">
        <v>12</v>
      </c>
      <c r="E534" t="str">
        <f t="shared" si="8"/>
        <v>01470</v>
      </c>
      <c r="F534" t="s">
        <v>10</v>
      </c>
      <c r="G534" t="s">
        <v>172</v>
      </c>
      <c r="H534" t="s">
        <v>157</v>
      </c>
      <c r="I534" t="s">
        <v>4</v>
      </c>
      <c r="J534" t="s">
        <v>152</v>
      </c>
      <c r="K534" t="s">
        <v>174</v>
      </c>
      <c r="L534">
        <v>251200256</v>
      </c>
      <c r="M534" s="84">
        <v>46000</v>
      </c>
      <c r="N534" s="84">
        <v>46000</v>
      </c>
      <c r="O534" t="s">
        <v>160</v>
      </c>
      <c r="P534" t="s">
        <v>161</v>
      </c>
      <c r="Q534">
        <v>14250</v>
      </c>
      <c r="R534">
        <v>10</v>
      </c>
      <c r="S534">
        <v>142500</v>
      </c>
      <c r="T534">
        <v>0</v>
      </c>
      <c r="U534">
        <v>0</v>
      </c>
      <c r="V534">
        <v>10</v>
      </c>
      <c r="W534">
        <v>142500</v>
      </c>
      <c r="X534">
        <v>1500</v>
      </c>
      <c r="Y534">
        <v>2000</v>
      </c>
      <c r="Z534">
        <v>0</v>
      </c>
      <c r="AA534">
        <v>0</v>
      </c>
      <c r="AB534">
        <v>0</v>
      </c>
      <c r="AC534">
        <v>3500</v>
      </c>
    </row>
    <row r="535" spans="1:29">
      <c r="A535">
        <v>527</v>
      </c>
      <c r="B535" t="s">
        <v>149</v>
      </c>
      <c r="C535">
        <v>1439</v>
      </c>
      <c r="D535" t="s">
        <v>363</v>
      </c>
      <c r="E535" t="str">
        <f t="shared" si="8"/>
        <v>01439</v>
      </c>
      <c r="F535" t="s">
        <v>171</v>
      </c>
      <c r="G535" t="s">
        <v>172</v>
      </c>
      <c r="H535" t="s">
        <v>157</v>
      </c>
      <c r="I535" t="s">
        <v>4</v>
      </c>
      <c r="J535" t="s">
        <v>152</v>
      </c>
      <c r="K535" t="s">
        <v>174</v>
      </c>
      <c r="L535">
        <v>251200257</v>
      </c>
      <c r="M535" s="84">
        <v>46000</v>
      </c>
      <c r="N535" s="84">
        <v>46000</v>
      </c>
      <c r="O535" t="s">
        <v>243</v>
      </c>
      <c r="P535" t="s">
        <v>244</v>
      </c>
      <c r="Q535">
        <v>5700</v>
      </c>
      <c r="R535">
        <v>5</v>
      </c>
      <c r="S535">
        <v>28500</v>
      </c>
      <c r="T535">
        <v>0</v>
      </c>
      <c r="U535">
        <v>0</v>
      </c>
      <c r="V535">
        <v>5</v>
      </c>
      <c r="W535">
        <v>28500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 spans="1:29">
      <c r="A536">
        <v>528</v>
      </c>
      <c r="B536" t="s">
        <v>149</v>
      </c>
      <c r="C536">
        <v>1577</v>
      </c>
      <c r="D536" t="s">
        <v>386</v>
      </c>
      <c r="E536" t="str">
        <f t="shared" si="8"/>
        <v>01577</v>
      </c>
      <c r="F536" t="s">
        <v>38</v>
      </c>
      <c r="G536" t="s">
        <v>202</v>
      </c>
      <c r="H536" t="s">
        <v>157</v>
      </c>
      <c r="I536" t="s">
        <v>4</v>
      </c>
      <c r="J536" t="s">
        <v>152</v>
      </c>
      <c r="K536" t="s">
        <v>203</v>
      </c>
      <c r="L536">
        <v>251200258</v>
      </c>
      <c r="M536" s="84">
        <v>46000</v>
      </c>
      <c r="N536" s="84">
        <v>46000</v>
      </c>
      <c r="O536" t="s">
        <v>357</v>
      </c>
      <c r="P536" t="s">
        <v>358</v>
      </c>
      <c r="Q536">
        <v>5500</v>
      </c>
      <c r="R536">
        <v>25</v>
      </c>
      <c r="S536">
        <v>137500</v>
      </c>
      <c r="T536">
        <v>0</v>
      </c>
      <c r="U536">
        <v>0</v>
      </c>
      <c r="V536">
        <v>25</v>
      </c>
      <c r="W536">
        <v>137500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 spans="1:29">
      <c r="A537">
        <v>529</v>
      </c>
      <c r="B537" t="s">
        <v>149</v>
      </c>
      <c r="C537">
        <v>1563</v>
      </c>
      <c r="D537" t="s">
        <v>348</v>
      </c>
      <c r="E537" t="str">
        <f t="shared" si="8"/>
        <v>01563</v>
      </c>
      <c r="F537" t="s">
        <v>91</v>
      </c>
      <c r="G537" t="s">
        <v>202</v>
      </c>
      <c r="H537" t="s">
        <v>157</v>
      </c>
      <c r="I537" t="s">
        <v>5</v>
      </c>
      <c r="J537" t="s">
        <v>152</v>
      </c>
      <c r="K537" t="s">
        <v>159</v>
      </c>
      <c r="L537">
        <v>251200259</v>
      </c>
      <c r="M537" s="84">
        <v>46000</v>
      </c>
      <c r="N537" s="84">
        <v>46000</v>
      </c>
      <c r="O537" t="s">
        <v>191</v>
      </c>
      <c r="P537" t="s">
        <v>192</v>
      </c>
      <c r="Q537">
        <v>4500</v>
      </c>
      <c r="R537">
        <v>70</v>
      </c>
      <c r="S537">
        <v>315000</v>
      </c>
      <c r="T537">
        <v>0</v>
      </c>
      <c r="U537">
        <v>0</v>
      </c>
      <c r="V537">
        <v>70</v>
      </c>
      <c r="W537">
        <v>315000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</row>
    <row r="538" spans="1:29">
      <c r="A538">
        <v>530</v>
      </c>
      <c r="B538" t="s">
        <v>149</v>
      </c>
      <c r="C538">
        <v>1545</v>
      </c>
      <c r="D538" t="s">
        <v>387</v>
      </c>
      <c r="E538" t="str">
        <f t="shared" si="8"/>
        <v>01545</v>
      </c>
      <c r="F538" t="s">
        <v>7</v>
      </c>
      <c r="G538" t="s">
        <v>156</v>
      </c>
      <c r="H538" t="s">
        <v>157</v>
      </c>
      <c r="I538" t="s">
        <v>4</v>
      </c>
      <c r="J538" t="s">
        <v>152</v>
      </c>
      <c r="K538" t="s">
        <v>159</v>
      </c>
      <c r="L538">
        <v>251200260</v>
      </c>
      <c r="M538" s="84">
        <v>46000</v>
      </c>
      <c r="N538" s="84">
        <v>46000</v>
      </c>
      <c r="O538" t="s">
        <v>262</v>
      </c>
      <c r="P538" t="s">
        <v>263</v>
      </c>
      <c r="Q538">
        <v>5500</v>
      </c>
      <c r="R538">
        <v>10</v>
      </c>
      <c r="S538">
        <v>55000</v>
      </c>
      <c r="T538">
        <v>0</v>
      </c>
      <c r="U538">
        <v>0</v>
      </c>
      <c r="V538">
        <v>10</v>
      </c>
      <c r="W538">
        <v>55000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</row>
    <row r="539" spans="1:29">
      <c r="A539">
        <v>531</v>
      </c>
      <c r="B539" t="s">
        <v>149</v>
      </c>
      <c r="C539">
        <v>1575</v>
      </c>
      <c r="D539" t="s">
        <v>372</v>
      </c>
      <c r="E539" t="str">
        <f t="shared" si="8"/>
        <v>01575</v>
      </c>
      <c r="F539" t="s">
        <v>10</v>
      </c>
      <c r="G539" t="s">
        <v>172</v>
      </c>
      <c r="H539" t="s">
        <v>157</v>
      </c>
      <c r="I539" t="s">
        <v>4</v>
      </c>
      <c r="J539" t="s">
        <v>152</v>
      </c>
      <c r="K539" t="s">
        <v>174</v>
      </c>
      <c r="L539">
        <v>251200261</v>
      </c>
      <c r="M539" s="84">
        <v>46000</v>
      </c>
      <c r="N539" s="84">
        <v>46000</v>
      </c>
      <c r="O539" t="s">
        <v>262</v>
      </c>
      <c r="P539" t="s">
        <v>263</v>
      </c>
      <c r="Q539">
        <v>5500</v>
      </c>
      <c r="R539">
        <v>10</v>
      </c>
      <c r="S539">
        <v>55000</v>
      </c>
      <c r="T539">
        <v>0</v>
      </c>
      <c r="U539">
        <v>0</v>
      </c>
      <c r="V539">
        <v>10</v>
      </c>
      <c r="W539">
        <v>55000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</row>
    <row r="540" spans="1:29">
      <c r="A540">
        <v>532</v>
      </c>
      <c r="B540" t="s">
        <v>149</v>
      </c>
      <c r="C540">
        <v>2</v>
      </c>
      <c r="D540" t="s">
        <v>281</v>
      </c>
      <c r="E540" t="str">
        <f t="shared" si="8"/>
        <v>00002</v>
      </c>
      <c r="F540" t="s">
        <v>111</v>
      </c>
      <c r="G540" t="s">
        <v>150</v>
      </c>
      <c r="H540" t="s">
        <v>151</v>
      </c>
      <c r="I540" t="s">
        <v>238</v>
      </c>
      <c r="J540" t="s">
        <v>152</v>
      </c>
      <c r="K540" t="s">
        <v>153</v>
      </c>
      <c r="L540">
        <v>251200262</v>
      </c>
      <c r="M540" s="84">
        <v>46000</v>
      </c>
      <c r="N540" s="84">
        <v>46000</v>
      </c>
      <c r="O540" t="s">
        <v>241</v>
      </c>
      <c r="P540" t="s">
        <v>242</v>
      </c>
      <c r="Q540">
        <v>17156</v>
      </c>
      <c r="R540">
        <v>2</v>
      </c>
      <c r="S540">
        <v>34312</v>
      </c>
      <c r="T540">
        <v>0</v>
      </c>
      <c r="U540">
        <v>0</v>
      </c>
      <c r="V540">
        <v>2</v>
      </c>
      <c r="W540">
        <v>34312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</row>
    <row r="541" spans="1:29">
      <c r="A541">
        <v>533</v>
      </c>
      <c r="B541" t="s">
        <v>149</v>
      </c>
      <c r="C541">
        <v>2</v>
      </c>
      <c r="D541" t="s">
        <v>281</v>
      </c>
      <c r="E541" t="str">
        <f t="shared" si="8"/>
        <v>00002</v>
      </c>
      <c r="F541" t="s">
        <v>111</v>
      </c>
      <c r="G541" t="s">
        <v>150</v>
      </c>
      <c r="H541" t="s">
        <v>151</v>
      </c>
      <c r="I541" t="s">
        <v>231</v>
      </c>
      <c r="J541" t="s">
        <v>152</v>
      </c>
      <c r="K541" t="s">
        <v>153</v>
      </c>
      <c r="L541">
        <v>251200262</v>
      </c>
      <c r="M541" s="84">
        <v>46000</v>
      </c>
      <c r="N541" s="84">
        <v>46000</v>
      </c>
      <c r="O541" t="s">
        <v>232</v>
      </c>
      <c r="P541" t="s">
        <v>122</v>
      </c>
      <c r="Q541">
        <v>6213</v>
      </c>
      <c r="R541">
        <v>5</v>
      </c>
      <c r="S541">
        <v>31065</v>
      </c>
      <c r="T541">
        <v>0</v>
      </c>
      <c r="U541">
        <v>0</v>
      </c>
      <c r="V541">
        <v>5</v>
      </c>
      <c r="W541">
        <v>31065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</row>
    <row r="542" spans="1:29">
      <c r="A542">
        <v>534</v>
      </c>
      <c r="B542" t="s">
        <v>149</v>
      </c>
      <c r="C542">
        <v>2</v>
      </c>
      <c r="D542" t="s">
        <v>281</v>
      </c>
      <c r="E542" t="str">
        <f t="shared" si="8"/>
        <v>00002</v>
      </c>
      <c r="F542" t="s">
        <v>111</v>
      </c>
      <c r="G542" t="s">
        <v>150</v>
      </c>
      <c r="H542" t="s">
        <v>151</v>
      </c>
      <c r="I542" t="s">
        <v>238</v>
      </c>
      <c r="J542" t="s">
        <v>152</v>
      </c>
      <c r="K542" t="s">
        <v>153</v>
      </c>
      <c r="L542">
        <v>251200262</v>
      </c>
      <c r="M542" s="84">
        <v>46000</v>
      </c>
      <c r="N542" s="84">
        <v>46000</v>
      </c>
      <c r="O542" t="s">
        <v>247</v>
      </c>
      <c r="P542" t="s">
        <v>116</v>
      </c>
      <c r="Q542">
        <v>10982</v>
      </c>
      <c r="R542">
        <v>2</v>
      </c>
      <c r="S542">
        <v>21964</v>
      </c>
      <c r="T542">
        <v>0</v>
      </c>
      <c r="U542">
        <v>0</v>
      </c>
      <c r="V542">
        <v>2</v>
      </c>
      <c r="W542">
        <v>21964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 spans="1:29">
      <c r="A543">
        <v>535</v>
      </c>
      <c r="B543" t="s">
        <v>149</v>
      </c>
      <c r="C543">
        <v>2</v>
      </c>
      <c r="D543" t="s">
        <v>281</v>
      </c>
      <c r="E543" t="str">
        <f t="shared" si="8"/>
        <v>00002</v>
      </c>
      <c r="F543" t="s">
        <v>111</v>
      </c>
      <c r="G543" t="s">
        <v>150</v>
      </c>
      <c r="H543" t="s">
        <v>151</v>
      </c>
      <c r="I543" t="s">
        <v>238</v>
      </c>
      <c r="J543" t="s">
        <v>152</v>
      </c>
      <c r="K543" t="s">
        <v>153</v>
      </c>
      <c r="L543">
        <v>251200262</v>
      </c>
      <c r="M543" s="84">
        <v>46000</v>
      </c>
      <c r="N543" s="84">
        <v>46000</v>
      </c>
      <c r="O543" t="s">
        <v>239</v>
      </c>
      <c r="P543" t="s">
        <v>240</v>
      </c>
      <c r="Q543">
        <v>13684</v>
      </c>
      <c r="R543">
        <v>2</v>
      </c>
      <c r="S543">
        <v>27368</v>
      </c>
      <c r="T543">
        <v>0</v>
      </c>
      <c r="U543">
        <v>0</v>
      </c>
      <c r="V543">
        <v>2</v>
      </c>
      <c r="W543">
        <v>27368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</row>
    <row r="544" spans="1:29">
      <c r="A544">
        <v>536</v>
      </c>
      <c r="B544" t="s">
        <v>149</v>
      </c>
      <c r="C544">
        <v>2</v>
      </c>
      <c r="D544" t="s">
        <v>281</v>
      </c>
      <c r="E544" t="str">
        <f t="shared" si="8"/>
        <v>00002</v>
      </c>
      <c r="F544" t="s">
        <v>111</v>
      </c>
      <c r="G544" t="s">
        <v>150</v>
      </c>
      <c r="H544" t="s">
        <v>151</v>
      </c>
      <c r="I544" t="s">
        <v>231</v>
      </c>
      <c r="J544" t="s">
        <v>152</v>
      </c>
      <c r="K544" t="s">
        <v>153</v>
      </c>
      <c r="L544">
        <v>251200262</v>
      </c>
      <c r="M544" s="84">
        <v>46000</v>
      </c>
      <c r="N544" s="84">
        <v>46000</v>
      </c>
      <c r="O544" t="s">
        <v>234</v>
      </c>
      <c r="P544" t="s">
        <v>235</v>
      </c>
      <c r="Q544">
        <v>10432</v>
      </c>
      <c r="R544">
        <v>2</v>
      </c>
      <c r="S544">
        <v>20864</v>
      </c>
      <c r="T544">
        <v>0</v>
      </c>
      <c r="U544">
        <v>0</v>
      </c>
      <c r="V544">
        <v>2</v>
      </c>
      <c r="W544">
        <v>20864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</row>
    <row r="545" spans="1:29">
      <c r="A545">
        <v>537</v>
      </c>
      <c r="B545" t="s">
        <v>149</v>
      </c>
      <c r="C545">
        <v>2</v>
      </c>
      <c r="D545" t="s">
        <v>281</v>
      </c>
      <c r="E545" t="str">
        <f t="shared" si="8"/>
        <v>00002</v>
      </c>
      <c r="F545" t="s">
        <v>111</v>
      </c>
      <c r="G545" t="s">
        <v>150</v>
      </c>
      <c r="H545" t="s">
        <v>151</v>
      </c>
      <c r="I545" t="s">
        <v>238</v>
      </c>
      <c r="J545" t="s">
        <v>152</v>
      </c>
      <c r="K545" t="s">
        <v>153</v>
      </c>
      <c r="L545">
        <v>251200262</v>
      </c>
      <c r="M545" s="84">
        <v>46000</v>
      </c>
      <c r="N545" s="84">
        <v>46000</v>
      </c>
      <c r="O545" t="s">
        <v>282</v>
      </c>
      <c r="P545" t="s">
        <v>283</v>
      </c>
      <c r="Q545">
        <v>18880</v>
      </c>
      <c r="R545">
        <v>3</v>
      </c>
      <c r="S545">
        <v>56640</v>
      </c>
      <c r="T545">
        <v>0</v>
      </c>
      <c r="U545">
        <v>0</v>
      </c>
      <c r="V545">
        <v>3</v>
      </c>
      <c r="W545">
        <v>56640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 spans="1:29">
      <c r="A546">
        <v>538</v>
      </c>
      <c r="B546" t="s">
        <v>149</v>
      </c>
      <c r="C546">
        <v>387</v>
      </c>
      <c r="D546" t="s">
        <v>109</v>
      </c>
      <c r="E546" t="str">
        <f t="shared" si="8"/>
        <v>00387</v>
      </c>
      <c r="F546" t="s">
        <v>103</v>
      </c>
      <c r="G546" t="s">
        <v>167</v>
      </c>
      <c r="H546" t="s">
        <v>151</v>
      </c>
      <c r="I546" t="s">
        <v>231</v>
      </c>
      <c r="J546" t="s">
        <v>152</v>
      </c>
      <c r="K546" t="s">
        <v>153</v>
      </c>
      <c r="L546">
        <v>251200263</v>
      </c>
      <c r="M546" s="84">
        <v>46000</v>
      </c>
      <c r="N546" s="84">
        <v>46000</v>
      </c>
      <c r="O546" t="s">
        <v>234</v>
      </c>
      <c r="P546" t="s">
        <v>235</v>
      </c>
      <c r="Q546">
        <v>10432</v>
      </c>
      <c r="R546">
        <v>5</v>
      </c>
      <c r="S546">
        <v>52160</v>
      </c>
      <c r="T546">
        <v>0</v>
      </c>
      <c r="U546">
        <v>0</v>
      </c>
      <c r="V546">
        <v>5</v>
      </c>
      <c r="W546">
        <v>52160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</row>
    <row r="547" spans="1:29">
      <c r="A547">
        <v>539</v>
      </c>
      <c r="B547" t="s">
        <v>149</v>
      </c>
      <c r="C547">
        <v>1335</v>
      </c>
      <c r="D547" t="s">
        <v>318</v>
      </c>
      <c r="E547" t="str">
        <f t="shared" si="8"/>
        <v>01335</v>
      </c>
      <c r="F547" t="s">
        <v>43</v>
      </c>
      <c r="G547" t="s">
        <v>150</v>
      </c>
      <c r="H547" t="s">
        <v>151</v>
      </c>
      <c r="I547" t="s">
        <v>5</v>
      </c>
      <c r="J547" t="s">
        <v>152</v>
      </c>
      <c r="K547" t="s">
        <v>153</v>
      </c>
      <c r="L547">
        <v>251200264</v>
      </c>
      <c r="M547" s="84">
        <v>46000</v>
      </c>
      <c r="N547" s="84">
        <v>46000</v>
      </c>
      <c r="O547" t="s">
        <v>191</v>
      </c>
      <c r="P547" t="s">
        <v>192</v>
      </c>
      <c r="Q547">
        <v>4500</v>
      </c>
      <c r="R547">
        <v>12</v>
      </c>
      <c r="S547">
        <v>54000</v>
      </c>
      <c r="T547">
        <v>0</v>
      </c>
      <c r="U547">
        <v>0</v>
      </c>
      <c r="V547">
        <v>12</v>
      </c>
      <c r="W547">
        <v>54000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 spans="1:29">
      <c r="A548">
        <v>540</v>
      </c>
      <c r="B548" t="s">
        <v>149</v>
      </c>
      <c r="C548">
        <v>1450</v>
      </c>
      <c r="D548" t="s">
        <v>82</v>
      </c>
      <c r="E548" t="str">
        <f t="shared" si="8"/>
        <v>01450</v>
      </c>
      <c r="F548" t="s">
        <v>80</v>
      </c>
      <c r="G548" t="s">
        <v>164</v>
      </c>
      <c r="H548" t="s">
        <v>151</v>
      </c>
      <c r="I548" t="s">
        <v>4</v>
      </c>
      <c r="J548" t="s">
        <v>152</v>
      </c>
      <c r="K548" t="s">
        <v>153</v>
      </c>
      <c r="L548">
        <v>251200265</v>
      </c>
      <c r="M548" s="84">
        <v>46000</v>
      </c>
      <c r="N548" s="84">
        <v>46000</v>
      </c>
      <c r="O548" t="s">
        <v>160</v>
      </c>
      <c r="P548" t="s">
        <v>161</v>
      </c>
      <c r="Q548">
        <v>14250</v>
      </c>
      <c r="R548">
        <v>10</v>
      </c>
      <c r="S548">
        <v>142500</v>
      </c>
      <c r="T548">
        <v>0</v>
      </c>
      <c r="U548">
        <v>0</v>
      </c>
      <c r="V548">
        <v>10</v>
      </c>
      <c r="W548">
        <v>142500</v>
      </c>
      <c r="X548">
        <v>1500</v>
      </c>
      <c r="Y548">
        <v>2000</v>
      </c>
      <c r="Z548">
        <v>0</v>
      </c>
      <c r="AA548">
        <v>0</v>
      </c>
      <c r="AB548">
        <v>0</v>
      </c>
      <c r="AC548">
        <v>3500</v>
      </c>
    </row>
    <row r="549" spans="1:29">
      <c r="A549">
        <v>541</v>
      </c>
      <c r="B549" t="s">
        <v>149</v>
      </c>
      <c r="C549">
        <v>1450</v>
      </c>
      <c r="D549" t="s">
        <v>82</v>
      </c>
      <c r="E549" t="str">
        <f t="shared" si="8"/>
        <v>01450</v>
      </c>
      <c r="F549" t="s">
        <v>80</v>
      </c>
      <c r="G549" t="s">
        <v>164</v>
      </c>
      <c r="H549" t="s">
        <v>151</v>
      </c>
      <c r="I549" t="s">
        <v>5</v>
      </c>
      <c r="J549" t="s">
        <v>152</v>
      </c>
      <c r="K549" t="s">
        <v>153</v>
      </c>
      <c r="L549">
        <v>251200265</v>
      </c>
      <c r="M549" s="84">
        <v>46000</v>
      </c>
      <c r="N549" s="84">
        <v>46000</v>
      </c>
      <c r="O549" t="s">
        <v>191</v>
      </c>
      <c r="P549" t="s">
        <v>192</v>
      </c>
      <c r="Q549">
        <v>11700</v>
      </c>
      <c r="R549">
        <v>10</v>
      </c>
      <c r="S549">
        <v>117000</v>
      </c>
      <c r="T549">
        <v>0</v>
      </c>
      <c r="U549">
        <v>0</v>
      </c>
      <c r="V549">
        <v>10</v>
      </c>
      <c r="W549">
        <v>117000</v>
      </c>
      <c r="X549">
        <v>1500</v>
      </c>
      <c r="Y549">
        <v>1500</v>
      </c>
      <c r="Z549">
        <v>0</v>
      </c>
      <c r="AA549">
        <v>0</v>
      </c>
      <c r="AB549">
        <v>0</v>
      </c>
      <c r="AC549">
        <v>3000</v>
      </c>
    </row>
    <row r="550" spans="1:29">
      <c r="A550">
        <v>542</v>
      </c>
      <c r="B550" t="s">
        <v>149</v>
      </c>
      <c r="C550">
        <v>1450</v>
      </c>
      <c r="D550" t="s">
        <v>82</v>
      </c>
      <c r="E550" t="str">
        <f t="shared" si="8"/>
        <v>01450</v>
      </c>
      <c r="F550" t="s">
        <v>80</v>
      </c>
      <c r="G550" t="s">
        <v>164</v>
      </c>
      <c r="H550" t="s">
        <v>151</v>
      </c>
      <c r="I550" t="s">
        <v>5</v>
      </c>
      <c r="J550" t="s">
        <v>152</v>
      </c>
      <c r="K550" t="s">
        <v>153</v>
      </c>
      <c r="L550">
        <v>251200265</v>
      </c>
      <c r="M550" s="84">
        <v>46000</v>
      </c>
      <c r="N550" s="84">
        <v>46000</v>
      </c>
      <c r="O550" t="s">
        <v>194</v>
      </c>
      <c r="P550" t="s">
        <v>195</v>
      </c>
      <c r="Q550">
        <v>11700</v>
      </c>
      <c r="R550">
        <v>8</v>
      </c>
      <c r="S550">
        <v>93600</v>
      </c>
      <c r="T550">
        <v>0</v>
      </c>
      <c r="U550">
        <v>0</v>
      </c>
      <c r="V550">
        <v>8</v>
      </c>
      <c r="W550">
        <v>93600</v>
      </c>
      <c r="X550">
        <v>1200</v>
      </c>
      <c r="Y550">
        <v>1200</v>
      </c>
      <c r="Z550">
        <v>0</v>
      </c>
      <c r="AA550">
        <v>0</v>
      </c>
      <c r="AB550">
        <v>0</v>
      </c>
      <c r="AC550">
        <v>2400</v>
      </c>
    </row>
    <row r="551" spans="1:29">
      <c r="A551">
        <v>543</v>
      </c>
      <c r="B551" t="s">
        <v>149</v>
      </c>
      <c r="C551">
        <v>1118</v>
      </c>
      <c r="D551" t="s">
        <v>37</v>
      </c>
      <c r="E551" t="str">
        <f t="shared" si="8"/>
        <v>01118</v>
      </c>
      <c r="F551" t="s">
        <v>28</v>
      </c>
      <c r="G551" t="s">
        <v>164</v>
      </c>
      <c r="H551" t="s">
        <v>151</v>
      </c>
      <c r="I551" t="s">
        <v>182</v>
      </c>
      <c r="J551" t="s">
        <v>152</v>
      </c>
      <c r="K551" t="s">
        <v>153</v>
      </c>
      <c r="L551">
        <v>251200266</v>
      </c>
      <c r="M551" s="84">
        <v>46000</v>
      </c>
      <c r="N551" s="84">
        <v>46000</v>
      </c>
      <c r="O551" t="s">
        <v>183</v>
      </c>
      <c r="P551" t="s">
        <v>184</v>
      </c>
      <c r="Q551">
        <v>72</v>
      </c>
      <c r="R551">
        <v>40</v>
      </c>
      <c r="S551">
        <v>2880</v>
      </c>
      <c r="T551">
        <v>0</v>
      </c>
      <c r="U551">
        <v>0</v>
      </c>
      <c r="V551">
        <v>40</v>
      </c>
      <c r="W551">
        <v>2880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 spans="1:29">
      <c r="A552">
        <v>544</v>
      </c>
      <c r="B552" t="s">
        <v>149</v>
      </c>
      <c r="C552">
        <v>1312</v>
      </c>
      <c r="D552" t="s">
        <v>359</v>
      </c>
      <c r="E552" t="str">
        <f t="shared" si="8"/>
        <v>01312</v>
      </c>
      <c r="F552" t="s">
        <v>15</v>
      </c>
      <c r="G552" t="s">
        <v>193</v>
      </c>
      <c r="H552" t="s">
        <v>151</v>
      </c>
      <c r="I552" t="s">
        <v>5</v>
      </c>
      <c r="J552" t="s">
        <v>152</v>
      </c>
      <c r="K552" t="s">
        <v>153</v>
      </c>
      <c r="L552">
        <v>251200267</v>
      </c>
      <c r="M552" s="84">
        <v>46000</v>
      </c>
      <c r="N552" s="84">
        <v>46000</v>
      </c>
      <c r="O552" t="s">
        <v>360</v>
      </c>
      <c r="P552" t="s">
        <v>361</v>
      </c>
      <c r="Q552">
        <v>4500</v>
      </c>
      <c r="R552">
        <v>20</v>
      </c>
      <c r="S552">
        <v>90000</v>
      </c>
      <c r="T552">
        <v>0</v>
      </c>
      <c r="U552">
        <v>0</v>
      </c>
      <c r="V552">
        <v>20</v>
      </c>
      <c r="W552">
        <v>90000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 spans="1:29">
      <c r="A553">
        <v>545</v>
      </c>
      <c r="B553" t="s">
        <v>149</v>
      </c>
      <c r="C553">
        <v>1312</v>
      </c>
      <c r="D553" t="s">
        <v>359</v>
      </c>
      <c r="E553" t="str">
        <f t="shared" si="8"/>
        <v>01312</v>
      </c>
      <c r="F553" t="s">
        <v>15</v>
      </c>
      <c r="G553" t="s">
        <v>193</v>
      </c>
      <c r="H553" t="s">
        <v>151</v>
      </c>
      <c r="I553" t="s">
        <v>5</v>
      </c>
      <c r="J553" t="s">
        <v>152</v>
      </c>
      <c r="K553" t="s">
        <v>153</v>
      </c>
      <c r="L553">
        <v>251200267</v>
      </c>
      <c r="M553" s="84">
        <v>46000</v>
      </c>
      <c r="N553" s="84">
        <v>46000</v>
      </c>
      <c r="O553" t="s">
        <v>196</v>
      </c>
      <c r="P553" t="s">
        <v>197</v>
      </c>
      <c r="Q553">
        <v>4500</v>
      </c>
      <c r="R553">
        <v>8</v>
      </c>
      <c r="S553">
        <v>36000</v>
      </c>
      <c r="T553">
        <v>0</v>
      </c>
      <c r="U553">
        <v>0</v>
      </c>
      <c r="V553">
        <v>8</v>
      </c>
      <c r="W553">
        <v>36000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>
      <c r="A554">
        <v>546</v>
      </c>
      <c r="B554" t="s">
        <v>149</v>
      </c>
      <c r="C554">
        <v>1593</v>
      </c>
      <c r="D554" t="s">
        <v>343</v>
      </c>
      <c r="E554" t="str">
        <f t="shared" si="8"/>
        <v>01593</v>
      </c>
      <c r="F554" t="s">
        <v>111</v>
      </c>
      <c r="G554" t="s">
        <v>150</v>
      </c>
      <c r="H554" t="s">
        <v>151</v>
      </c>
      <c r="I554" t="s">
        <v>4</v>
      </c>
      <c r="J554" t="s">
        <v>152</v>
      </c>
      <c r="K554" t="s">
        <v>153</v>
      </c>
      <c r="L554">
        <v>251200268</v>
      </c>
      <c r="M554" s="84">
        <v>46001</v>
      </c>
      <c r="N554" s="84">
        <v>46001</v>
      </c>
      <c r="O554" t="s">
        <v>154</v>
      </c>
      <c r="P554" t="s">
        <v>155</v>
      </c>
      <c r="Q554">
        <v>5500</v>
      </c>
      <c r="R554">
        <v>10</v>
      </c>
      <c r="S554">
        <v>55000</v>
      </c>
      <c r="T554">
        <v>0</v>
      </c>
      <c r="U554">
        <v>0</v>
      </c>
      <c r="V554">
        <v>10</v>
      </c>
      <c r="W554">
        <v>55000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</row>
    <row r="555" spans="1:29">
      <c r="A555">
        <v>547</v>
      </c>
      <c r="B555" t="s">
        <v>149</v>
      </c>
      <c r="C555">
        <v>1593</v>
      </c>
      <c r="D555" t="s">
        <v>343</v>
      </c>
      <c r="E555" t="str">
        <f t="shared" si="8"/>
        <v>01593</v>
      </c>
      <c r="F555" t="s">
        <v>111</v>
      </c>
      <c r="G555" t="s">
        <v>150</v>
      </c>
      <c r="H555" t="s">
        <v>151</v>
      </c>
      <c r="I555" t="s">
        <v>4</v>
      </c>
      <c r="J555" t="s">
        <v>152</v>
      </c>
      <c r="K555" t="s">
        <v>153</v>
      </c>
      <c r="L555">
        <v>251200268</v>
      </c>
      <c r="M555" s="84">
        <v>46001</v>
      </c>
      <c r="N555" s="84">
        <v>46001</v>
      </c>
      <c r="O555" t="s">
        <v>160</v>
      </c>
      <c r="P555" t="s">
        <v>161</v>
      </c>
      <c r="Q555">
        <v>5500</v>
      </c>
      <c r="R555">
        <v>10</v>
      </c>
      <c r="S555">
        <v>55000</v>
      </c>
      <c r="T555">
        <v>0</v>
      </c>
      <c r="U555">
        <v>0</v>
      </c>
      <c r="V555">
        <v>10</v>
      </c>
      <c r="W555">
        <v>55000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>
      <c r="A556">
        <v>548</v>
      </c>
      <c r="B556" t="s">
        <v>149</v>
      </c>
      <c r="C556">
        <v>1593</v>
      </c>
      <c r="D556" t="s">
        <v>343</v>
      </c>
      <c r="E556" t="str">
        <f t="shared" si="8"/>
        <v>01593</v>
      </c>
      <c r="F556" t="s">
        <v>111</v>
      </c>
      <c r="G556" t="s">
        <v>150</v>
      </c>
      <c r="H556" t="s">
        <v>151</v>
      </c>
      <c r="I556" t="s">
        <v>5</v>
      </c>
      <c r="J556" t="s">
        <v>152</v>
      </c>
      <c r="K556" t="s">
        <v>153</v>
      </c>
      <c r="L556">
        <v>251200268</v>
      </c>
      <c r="M556" s="84">
        <v>46001</v>
      </c>
      <c r="N556" s="84">
        <v>46001</v>
      </c>
      <c r="O556" t="s">
        <v>273</v>
      </c>
      <c r="P556" t="s">
        <v>274</v>
      </c>
      <c r="Q556">
        <v>4500</v>
      </c>
      <c r="R556">
        <v>8</v>
      </c>
      <c r="S556">
        <v>36000</v>
      </c>
      <c r="T556">
        <v>0</v>
      </c>
      <c r="U556">
        <v>0</v>
      </c>
      <c r="V556">
        <v>8</v>
      </c>
      <c r="W556">
        <v>36000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</row>
    <row r="557" spans="1:29">
      <c r="A557">
        <v>549</v>
      </c>
      <c r="B557" t="s">
        <v>149</v>
      </c>
      <c r="C557">
        <v>1530</v>
      </c>
      <c r="D557" t="s">
        <v>379</v>
      </c>
      <c r="E557" t="str">
        <f t="shared" si="8"/>
        <v>01530</v>
      </c>
      <c r="F557" t="s">
        <v>111</v>
      </c>
      <c r="G557" t="s">
        <v>150</v>
      </c>
      <c r="H557" t="s">
        <v>151</v>
      </c>
      <c r="I557" t="s">
        <v>4</v>
      </c>
      <c r="J557" t="s">
        <v>152</v>
      </c>
      <c r="K557" t="s">
        <v>153</v>
      </c>
      <c r="L557">
        <v>251200269</v>
      </c>
      <c r="M557" s="84">
        <v>46001</v>
      </c>
      <c r="N557" s="84">
        <v>46001</v>
      </c>
      <c r="O557" t="s">
        <v>221</v>
      </c>
      <c r="P557" t="s">
        <v>222</v>
      </c>
      <c r="Q557">
        <v>5500</v>
      </c>
      <c r="R557">
        <v>10</v>
      </c>
      <c r="S557">
        <v>55000</v>
      </c>
      <c r="T557">
        <v>0</v>
      </c>
      <c r="U557">
        <v>0</v>
      </c>
      <c r="V557">
        <v>10</v>
      </c>
      <c r="W557">
        <v>55000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</row>
    <row r="558" spans="1:29">
      <c r="A558">
        <v>550</v>
      </c>
      <c r="B558" t="s">
        <v>149</v>
      </c>
      <c r="C558">
        <v>1551</v>
      </c>
      <c r="D558" t="s">
        <v>316</v>
      </c>
      <c r="E558" t="str">
        <f t="shared" si="8"/>
        <v>01551</v>
      </c>
      <c r="F558" t="s">
        <v>111</v>
      </c>
      <c r="G558" t="s">
        <v>150</v>
      </c>
      <c r="H558" t="s">
        <v>151</v>
      </c>
      <c r="I558" t="s">
        <v>4</v>
      </c>
      <c r="J558" t="s">
        <v>152</v>
      </c>
      <c r="K558" t="s">
        <v>153</v>
      </c>
      <c r="L558">
        <v>251200270</v>
      </c>
      <c r="M558" s="84">
        <v>46001</v>
      </c>
      <c r="N558" s="84">
        <v>46001</v>
      </c>
      <c r="O558" t="s">
        <v>160</v>
      </c>
      <c r="P558" t="s">
        <v>161</v>
      </c>
      <c r="Q558">
        <v>5500</v>
      </c>
      <c r="R558">
        <v>20</v>
      </c>
      <c r="S558">
        <v>110000</v>
      </c>
      <c r="T558">
        <v>0</v>
      </c>
      <c r="U558">
        <v>0</v>
      </c>
      <c r="V558">
        <v>20</v>
      </c>
      <c r="W558">
        <v>110000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>
      <c r="A559">
        <v>551</v>
      </c>
      <c r="B559" t="s">
        <v>149</v>
      </c>
      <c r="C559">
        <v>471</v>
      </c>
      <c r="D559" t="s">
        <v>25</v>
      </c>
      <c r="E559" t="str">
        <f t="shared" si="8"/>
        <v>00471</v>
      </c>
      <c r="F559" t="s">
        <v>20</v>
      </c>
      <c r="G559" t="s">
        <v>193</v>
      </c>
      <c r="H559" t="s">
        <v>151</v>
      </c>
      <c r="I559" t="s">
        <v>5</v>
      </c>
      <c r="J559" t="s">
        <v>152</v>
      </c>
      <c r="K559" t="s">
        <v>236</v>
      </c>
      <c r="L559">
        <v>251200271</v>
      </c>
      <c r="M559" s="84">
        <v>46001</v>
      </c>
      <c r="N559" s="84">
        <v>46001</v>
      </c>
      <c r="O559" t="s">
        <v>191</v>
      </c>
      <c r="P559" t="s">
        <v>192</v>
      </c>
      <c r="Q559">
        <v>11700</v>
      </c>
      <c r="R559">
        <v>4</v>
      </c>
      <c r="S559">
        <v>46800</v>
      </c>
      <c r="T559">
        <v>0</v>
      </c>
      <c r="U559">
        <v>0</v>
      </c>
      <c r="V559">
        <v>4</v>
      </c>
      <c r="W559">
        <v>46800</v>
      </c>
      <c r="X559">
        <v>600</v>
      </c>
      <c r="Y559">
        <v>600</v>
      </c>
      <c r="Z559">
        <v>0</v>
      </c>
      <c r="AA559">
        <v>0</v>
      </c>
      <c r="AB559">
        <v>0</v>
      </c>
      <c r="AC559">
        <v>1200</v>
      </c>
    </row>
    <row r="560" spans="1:29">
      <c r="A560">
        <v>552</v>
      </c>
      <c r="B560" t="s">
        <v>149</v>
      </c>
      <c r="C560">
        <v>471</v>
      </c>
      <c r="D560" t="s">
        <v>25</v>
      </c>
      <c r="E560" t="str">
        <f t="shared" si="8"/>
        <v>00471</v>
      </c>
      <c r="F560" t="s">
        <v>20</v>
      </c>
      <c r="G560" t="s">
        <v>193</v>
      </c>
      <c r="H560" t="s">
        <v>151</v>
      </c>
      <c r="I560" t="s">
        <v>4</v>
      </c>
      <c r="J560" t="s">
        <v>152</v>
      </c>
      <c r="K560" t="s">
        <v>236</v>
      </c>
      <c r="L560">
        <v>251200271</v>
      </c>
      <c r="M560" s="84">
        <v>46001</v>
      </c>
      <c r="N560" s="84">
        <v>46001</v>
      </c>
      <c r="O560" t="s">
        <v>160</v>
      </c>
      <c r="P560" t="s">
        <v>161</v>
      </c>
      <c r="Q560">
        <v>14250</v>
      </c>
      <c r="R560">
        <v>10</v>
      </c>
      <c r="S560">
        <v>142500</v>
      </c>
      <c r="T560">
        <v>0</v>
      </c>
      <c r="U560">
        <v>0</v>
      </c>
      <c r="V560">
        <v>10</v>
      </c>
      <c r="W560">
        <v>142500</v>
      </c>
      <c r="X560">
        <v>1500</v>
      </c>
      <c r="Y560">
        <v>2000</v>
      </c>
      <c r="Z560">
        <v>0</v>
      </c>
      <c r="AA560">
        <v>0</v>
      </c>
      <c r="AB560">
        <v>0</v>
      </c>
      <c r="AC560">
        <v>3500</v>
      </c>
    </row>
    <row r="561" spans="1:29">
      <c r="A561">
        <v>553</v>
      </c>
      <c r="B561" t="s">
        <v>149</v>
      </c>
      <c r="C561">
        <v>471</v>
      </c>
      <c r="D561" t="s">
        <v>25</v>
      </c>
      <c r="E561" t="str">
        <f t="shared" si="8"/>
        <v>00471</v>
      </c>
      <c r="F561" t="s">
        <v>20</v>
      </c>
      <c r="G561" t="s">
        <v>193</v>
      </c>
      <c r="H561" t="s">
        <v>151</v>
      </c>
      <c r="I561" t="s">
        <v>4</v>
      </c>
      <c r="J561" t="s">
        <v>152</v>
      </c>
      <c r="K561" t="s">
        <v>236</v>
      </c>
      <c r="L561">
        <v>251200271</v>
      </c>
      <c r="M561" s="84">
        <v>46001</v>
      </c>
      <c r="N561" s="84">
        <v>46001</v>
      </c>
      <c r="O561" t="s">
        <v>179</v>
      </c>
      <c r="P561" t="s">
        <v>180</v>
      </c>
      <c r="Q561">
        <v>14250</v>
      </c>
      <c r="R561">
        <v>10</v>
      </c>
      <c r="S561">
        <v>142500</v>
      </c>
      <c r="T561">
        <v>0</v>
      </c>
      <c r="U561">
        <v>0</v>
      </c>
      <c r="V561">
        <v>10</v>
      </c>
      <c r="W561">
        <v>142500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>
      <c r="A562">
        <v>554</v>
      </c>
      <c r="B562" t="s">
        <v>149</v>
      </c>
      <c r="C562">
        <v>1448</v>
      </c>
      <c r="D562" t="s">
        <v>21</v>
      </c>
      <c r="E562" t="str">
        <f t="shared" si="8"/>
        <v>01448</v>
      </c>
      <c r="F562" t="s">
        <v>20</v>
      </c>
      <c r="G562" t="s">
        <v>193</v>
      </c>
      <c r="H562" t="s">
        <v>151</v>
      </c>
      <c r="I562" t="s">
        <v>4</v>
      </c>
      <c r="J562" t="s">
        <v>152</v>
      </c>
      <c r="K562" t="s">
        <v>236</v>
      </c>
      <c r="L562">
        <v>251200272</v>
      </c>
      <c r="M562" s="84">
        <v>46001</v>
      </c>
      <c r="N562" s="84">
        <v>46001</v>
      </c>
      <c r="O562" t="s">
        <v>160</v>
      </c>
      <c r="P562" t="s">
        <v>161</v>
      </c>
      <c r="Q562">
        <v>14250</v>
      </c>
      <c r="R562">
        <v>5</v>
      </c>
      <c r="S562">
        <v>71250</v>
      </c>
      <c r="T562">
        <v>0</v>
      </c>
      <c r="U562">
        <v>0</v>
      </c>
      <c r="V562">
        <v>5</v>
      </c>
      <c r="W562">
        <v>71250</v>
      </c>
      <c r="X562">
        <v>750</v>
      </c>
      <c r="Y562">
        <v>1000</v>
      </c>
      <c r="Z562">
        <v>0</v>
      </c>
      <c r="AA562">
        <v>0</v>
      </c>
      <c r="AB562">
        <v>0</v>
      </c>
      <c r="AC562">
        <v>1750</v>
      </c>
    </row>
    <row r="563" spans="1:29">
      <c r="A563">
        <v>555</v>
      </c>
      <c r="B563" t="s">
        <v>149</v>
      </c>
      <c r="C563">
        <v>1300</v>
      </c>
      <c r="D563" t="s">
        <v>335</v>
      </c>
      <c r="E563" t="str">
        <f t="shared" si="8"/>
        <v>01300</v>
      </c>
      <c r="F563" t="s">
        <v>83</v>
      </c>
      <c r="G563" t="s">
        <v>164</v>
      </c>
      <c r="H563" t="s">
        <v>151</v>
      </c>
      <c r="I563" t="s">
        <v>4</v>
      </c>
      <c r="J563" t="s">
        <v>152</v>
      </c>
      <c r="K563" t="s">
        <v>153</v>
      </c>
      <c r="L563">
        <v>251200273</v>
      </c>
      <c r="M563" s="84">
        <v>46001</v>
      </c>
      <c r="N563" s="84">
        <v>46001</v>
      </c>
      <c r="O563" t="s">
        <v>160</v>
      </c>
      <c r="P563" t="s">
        <v>161</v>
      </c>
      <c r="Q563">
        <v>5500</v>
      </c>
      <c r="R563">
        <v>20</v>
      </c>
      <c r="S563">
        <v>110000</v>
      </c>
      <c r="T563">
        <v>0</v>
      </c>
      <c r="U563">
        <v>0</v>
      </c>
      <c r="V563">
        <v>20</v>
      </c>
      <c r="W563">
        <v>110000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 spans="1:29">
      <c r="A564">
        <v>556</v>
      </c>
      <c r="B564" t="s">
        <v>149</v>
      </c>
      <c r="C564">
        <v>1326</v>
      </c>
      <c r="D564" t="s">
        <v>338</v>
      </c>
      <c r="E564" t="str">
        <f t="shared" si="8"/>
        <v>01326</v>
      </c>
      <c r="F564" t="s">
        <v>15</v>
      </c>
      <c r="G564" t="s">
        <v>193</v>
      </c>
      <c r="H564" t="s">
        <v>151</v>
      </c>
      <c r="I564" t="s">
        <v>5</v>
      </c>
      <c r="J564" t="s">
        <v>152</v>
      </c>
      <c r="K564" t="s">
        <v>153</v>
      </c>
      <c r="L564">
        <v>251200274</v>
      </c>
      <c r="M564" s="84">
        <v>46001</v>
      </c>
      <c r="N564" s="84">
        <v>46001</v>
      </c>
      <c r="O564" t="s">
        <v>191</v>
      </c>
      <c r="P564" t="s">
        <v>192</v>
      </c>
      <c r="Q564">
        <v>4500</v>
      </c>
      <c r="R564">
        <v>12</v>
      </c>
      <c r="S564">
        <v>54000</v>
      </c>
      <c r="T564">
        <v>0</v>
      </c>
      <c r="U564">
        <v>0</v>
      </c>
      <c r="V564">
        <v>12</v>
      </c>
      <c r="W564">
        <v>54000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 spans="1:29">
      <c r="A565">
        <v>557</v>
      </c>
      <c r="B565" t="s">
        <v>149</v>
      </c>
      <c r="C565">
        <v>1326</v>
      </c>
      <c r="D565" t="s">
        <v>338</v>
      </c>
      <c r="E565" t="str">
        <f t="shared" si="8"/>
        <v>01326</v>
      </c>
      <c r="F565" t="s">
        <v>15</v>
      </c>
      <c r="G565" t="s">
        <v>193</v>
      </c>
      <c r="H565" t="s">
        <v>151</v>
      </c>
      <c r="I565" t="s">
        <v>4</v>
      </c>
      <c r="J565" t="s">
        <v>152</v>
      </c>
      <c r="K565" t="s">
        <v>153</v>
      </c>
      <c r="L565">
        <v>251200274</v>
      </c>
      <c r="M565" s="84">
        <v>46001</v>
      </c>
      <c r="N565" s="84">
        <v>46001</v>
      </c>
      <c r="O565" t="s">
        <v>160</v>
      </c>
      <c r="P565" t="s">
        <v>161</v>
      </c>
      <c r="Q565">
        <v>5500</v>
      </c>
      <c r="R565">
        <v>15</v>
      </c>
      <c r="S565">
        <v>82500</v>
      </c>
      <c r="T565">
        <v>0</v>
      </c>
      <c r="U565">
        <v>0</v>
      </c>
      <c r="V565">
        <v>15</v>
      </c>
      <c r="W565">
        <v>82500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 spans="1:29">
      <c r="A566">
        <v>558</v>
      </c>
      <c r="B566" t="s">
        <v>149</v>
      </c>
      <c r="C566">
        <v>988</v>
      </c>
      <c r="D566" t="s">
        <v>19</v>
      </c>
      <c r="E566" t="str">
        <f t="shared" si="8"/>
        <v>00988</v>
      </c>
      <c r="F566" t="s">
        <v>15</v>
      </c>
      <c r="G566" t="s">
        <v>193</v>
      </c>
      <c r="H566" t="s">
        <v>151</v>
      </c>
      <c r="I566" t="s">
        <v>210</v>
      </c>
      <c r="J566" t="s">
        <v>152</v>
      </c>
      <c r="K566" t="s">
        <v>153</v>
      </c>
      <c r="L566">
        <v>251200275</v>
      </c>
      <c r="M566" s="84">
        <v>46001</v>
      </c>
      <c r="N566" s="84">
        <v>46001</v>
      </c>
      <c r="O566" t="s">
        <v>250</v>
      </c>
      <c r="P566" t="s">
        <v>251</v>
      </c>
      <c r="Q566">
        <v>30930</v>
      </c>
      <c r="R566">
        <v>2</v>
      </c>
      <c r="S566">
        <v>61860</v>
      </c>
      <c r="T566">
        <v>0</v>
      </c>
      <c r="U566">
        <v>0</v>
      </c>
      <c r="V566">
        <v>2</v>
      </c>
      <c r="W566">
        <v>61860</v>
      </c>
      <c r="X566">
        <v>1856</v>
      </c>
      <c r="Y566">
        <v>2474</v>
      </c>
      <c r="Z566">
        <v>1238</v>
      </c>
      <c r="AA566">
        <v>3094</v>
      </c>
      <c r="AB566">
        <v>200</v>
      </c>
      <c r="AC566">
        <v>8862</v>
      </c>
    </row>
    <row r="567" spans="1:29">
      <c r="A567">
        <v>559</v>
      </c>
      <c r="B567" t="s">
        <v>149</v>
      </c>
      <c r="C567">
        <v>988</v>
      </c>
      <c r="D567" t="s">
        <v>19</v>
      </c>
      <c r="E567" t="str">
        <f t="shared" si="8"/>
        <v>00988</v>
      </c>
      <c r="F567" t="s">
        <v>15</v>
      </c>
      <c r="G567" t="s">
        <v>193</v>
      </c>
      <c r="H567" t="s">
        <v>151</v>
      </c>
      <c r="I567" t="s">
        <v>4</v>
      </c>
      <c r="J567" t="s">
        <v>152</v>
      </c>
      <c r="K567" t="s">
        <v>153</v>
      </c>
      <c r="L567">
        <v>251200275</v>
      </c>
      <c r="M567" s="84">
        <v>46001</v>
      </c>
      <c r="N567" s="84">
        <v>46001</v>
      </c>
      <c r="O567" t="s">
        <v>179</v>
      </c>
      <c r="P567" t="s">
        <v>180</v>
      </c>
      <c r="Q567">
        <v>14250</v>
      </c>
      <c r="R567">
        <v>5</v>
      </c>
      <c r="S567">
        <v>71250</v>
      </c>
      <c r="T567">
        <v>0</v>
      </c>
      <c r="U567">
        <v>0</v>
      </c>
      <c r="V567">
        <v>5</v>
      </c>
      <c r="W567">
        <v>71250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 spans="1:29">
      <c r="A568">
        <v>560</v>
      </c>
      <c r="B568" t="s">
        <v>149</v>
      </c>
      <c r="C568">
        <v>1312</v>
      </c>
      <c r="D568" t="s">
        <v>359</v>
      </c>
      <c r="E568" t="str">
        <f t="shared" si="8"/>
        <v>01312</v>
      </c>
      <c r="F568" t="s">
        <v>15</v>
      </c>
      <c r="G568" t="s">
        <v>193</v>
      </c>
      <c r="H568" t="s">
        <v>151</v>
      </c>
      <c r="I568" t="s">
        <v>4</v>
      </c>
      <c r="J568" t="s">
        <v>152</v>
      </c>
      <c r="K568" t="s">
        <v>153</v>
      </c>
      <c r="L568">
        <v>251200276</v>
      </c>
      <c r="M568" s="84">
        <v>46001</v>
      </c>
      <c r="N568" s="84">
        <v>46001</v>
      </c>
      <c r="O568" t="s">
        <v>327</v>
      </c>
      <c r="P568" t="s">
        <v>328</v>
      </c>
      <c r="Q568">
        <v>5500</v>
      </c>
      <c r="R568">
        <v>20</v>
      </c>
      <c r="S568">
        <v>110000</v>
      </c>
      <c r="T568">
        <v>0</v>
      </c>
      <c r="U568">
        <v>0</v>
      </c>
      <c r="V568">
        <v>20</v>
      </c>
      <c r="W568">
        <v>110000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 spans="1:29">
      <c r="A569">
        <v>561</v>
      </c>
      <c r="B569" t="s">
        <v>149</v>
      </c>
      <c r="C569">
        <v>1312</v>
      </c>
      <c r="D569" t="s">
        <v>359</v>
      </c>
      <c r="E569" t="str">
        <f t="shared" si="8"/>
        <v>01312</v>
      </c>
      <c r="F569" t="s">
        <v>15</v>
      </c>
      <c r="G569" t="s">
        <v>193</v>
      </c>
      <c r="H569" t="s">
        <v>151</v>
      </c>
      <c r="I569" t="s">
        <v>5</v>
      </c>
      <c r="J569" t="s">
        <v>152</v>
      </c>
      <c r="K569" t="s">
        <v>153</v>
      </c>
      <c r="L569">
        <v>251200276</v>
      </c>
      <c r="M569" s="84">
        <v>46001</v>
      </c>
      <c r="N569" s="84">
        <v>46001</v>
      </c>
      <c r="O569" t="s">
        <v>196</v>
      </c>
      <c r="P569" t="s">
        <v>197</v>
      </c>
      <c r="Q569">
        <v>4500</v>
      </c>
      <c r="R569">
        <v>8</v>
      </c>
      <c r="S569">
        <v>36000</v>
      </c>
      <c r="T569">
        <v>0</v>
      </c>
      <c r="U569">
        <v>0</v>
      </c>
      <c r="V569">
        <v>8</v>
      </c>
      <c r="W569">
        <v>36000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</row>
    <row r="570" spans="1:29">
      <c r="A570">
        <v>562</v>
      </c>
      <c r="B570" t="s">
        <v>149</v>
      </c>
      <c r="C570">
        <v>1522</v>
      </c>
      <c r="D570" t="s">
        <v>370</v>
      </c>
      <c r="E570" t="str">
        <f t="shared" si="8"/>
        <v>01522</v>
      </c>
      <c r="F570" t="s">
        <v>73</v>
      </c>
      <c r="G570" t="s">
        <v>185</v>
      </c>
      <c r="H570" t="s">
        <v>151</v>
      </c>
      <c r="I570" t="s">
        <v>4</v>
      </c>
      <c r="J570" t="s">
        <v>152</v>
      </c>
      <c r="K570" t="s">
        <v>153</v>
      </c>
      <c r="L570">
        <v>251200277</v>
      </c>
      <c r="M570" s="84">
        <v>46001</v>
      </c>
      <c r="N570" s="84">
        <v>46001</v>
      </c>
      <c r="O570" t="s">
        <v>168</v>
      </c>
      <c r="P570" t="s">
        <v>169</v>
      </c>
      <c r="Q570">
        <v>5500</v>
      </c>
      <c r="R570">
        <v>10</v>
      </c>
      <c r="S570">
        <v>55000</v>
      </c>
      <c r="T570">
        <v>0</v>
      </c>
      <c r="U570">
        <v>0</v>
      </c>
      <c r="V570">
        <v>10</v>
      </c>
      <c r="W570">
        <v>55000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</row>
    <row r="571" spans="1:29">
      <c r="A571">
        <v>563</v>
      </c>
      <c r="B571" t="s">
        <v>149</v>
      </c>
      <c r="C571">
        <v>1444</v>
      </c>
      <c r="D571" t="s">
        <v>341</v>
      </c>
      <c r="E571" t="str">
        <f t="shared" si="8"/>
        <v>01444</v>
      </c>
      <c r="F571" t="s">
        <v>28</v>
      </c>
      <c r="G571" t="s">
        <v>164</v>
      </c>
      <c r="H571" t="s">
        <v>151</v>
      </c>
      <c r="I571" t="s">
        <v>4</v>
      </c>
      <c r="J571" t="s">
        <v>152</v>
      </c>
      <c r="K571" t="s">
        <v>153</v>
      </c>
      <c r="L571">
        <v>251200278</v>
      </c>
      <c r="M571" s="84">
        <v>46001</v>
      </c>
      <c r="N571" s="84">
        <v>46001</v>
      </c>
      <c r="O571" t="s">
        <v>160</v>
      </c>
      <c r="P571" t="s">
        <v>161</v>
      </c>
      <c r="Q571">
        <v>5500</v>
      </c>
      <c r="R571">
        <v>12</v>
      </c>
      <c r="S571">
        <v>66000</v>
      </c>
      <c r="T571">
        <v>0</v>
      </c>
      <c r="U571">
        <v>0</v>
      </c>
      <c r="V571">
        <v>12</v>
      </c>
      <c r="W571">
        <v>66000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</row>
    <row r="572" spans="1:29">
      <c r="A572">
        <v>564</v>
      </c>
      <c r="B572" t="s">
        <v>149</v>
      </c>
      <c r="C572">
        <v>1305</v>
      </c>
      <c r="D572" t="s">
        <v>383</v>
      </c>
      <c r="E572" t="str">
        <f t="shared" si="8"/>
        <v>01305</v>
      </c>
      <c r="F572" t="s">
        <v>28</v>
      </c>
      <c r="G572" t="s">
        <v>164</v>
      </c>
      <c r="H572" t="s">
        <v>151</v>
      </c>
      <c r="I572" t="s">
        <v>5</v>
      </c>
      <c r="J572" t="s">
        <v>152</v>
      </c>
      <c r="K572" t="s">
        <v>153</v>
      </c>
      <c r="L572">
        <v>251200279</v>
      </c>
      <c r="M572" s="84">
        <v>46001</v>
      </c>
      <c r="N572" s="84">
        <v>46001</v>
      </c>
      <c r="O572" t="s">
        <v>191</v>
      </c>
      <c r="P572" t="s">
        <v>192</v>
      </c>
      <c r="Q572">
        <v>4500</v>
      </c>
      <c r="R572">
        <v>20</v>
      </c>
      <c r="S572">
        <v>90000</v>
      </c>
      <c r="T572">
        <v>0</v>
      </c>
      <c r="U572">
        <v>0</v>
      </c>
      <c r="V572">
        <v>20</v>
      </c>
      <c r="W572">
        <v>90000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</row>
    <row r="573" spans="1:29">
      <c r="A573">
        <v>565</v>
      </c>
      <c r="B573" t="s">
        <v>149</v>
      </c>
      <c r="C573">
        <v>387</v>
      </c>
      <c r="D573" t="s">
        <v>109</v>
      </c>
      <c r="E573" t="str">
        <f t="shared" si="8"/>
        <v>00387</v>
      </c>
      <c r="F573" t="s">
        <v>103</v>
      </c>
      <c r="G573" t="s">
        <v>167</v>
      </c>
      <c r="H573" t="s">
        <v>151</v>
      </c>
      <c r="I573" t="s">
        <v>4</v>
      </c>
      <c r="J573" t="s">
        <v>152</v>
      </c>
      <c r="K573" t="s">
        <v>153</v>
      </c>
      <c r="L573">
        <v>251200280</v>
      </c>
      <c r="M573" s="84">
        <v>46001</v>
      </c>
      <c r="N573" s="84">
        <v>46001</v>
      </c>
      <c r="O573" t="s">
        <v>160</v>
      </c>
      <c r="P573" t="s">
        <v>161</v>
      </c>
      <c r="Q573">
        <v>14250</v>
      </c>
      <c r="R573">
        <v>20</v>
      </c>
      <c r="S573">
        <v>285000</v>
      </c>
      <c r="T573">
        <v>0</v>
      </c>
      <c r="U573">
        <v>0</v>
      </c>
      <c r="V573">
        <v>20</v>
      </c>
      <c r="W573">
        <v>285000</v>
      </c>
      <c r="X573">
        <v>3000</v>
      </c>
      <c r="Y573">
        <v>4000</v>
      </c>
      <c r="Z573">
        <v>0</v>
      </c>
      <c r="AA573">
        <v>0</v>
      </c>
      <c r="AB573">
        <v>0</v>
      </c>
      <c r="AC573">
        <v>7000</v>
      </c>
    </row>
    <row r="574" spans="1:29">
      <c r="A574">
        <v>566</v>
      </c>
      <c r="B574" t="s">
        <v>149</v>
      </c>
      <c r="C574">
        <v>387</v>
      </c>
      <c r="D574" t="s">
        <v>109</v>
      </c>
      <c r="E574" t="str">
        <f t="shared" si="8"/>
        <v>00387</v>
      </c>
      <c r="F574" t="s">
        <v>103</v>
      </c>
      <c r="G574" t="s">
        <v>167</v>
      </c>
      <c r="H574" t="s">
        <v>151</v>
      </c>
      <c r="I574" t="s">
        <v>231</v>
      </c>
      <c r="J574" t="s">
        <v>152</v>
      </c>
      <c r="K574" t="s">
        <v>153</v>
      </c>
      <c r="L574">
        <v>251200280</v>
      </c>
      <c r="M574" s="84">
        <v>46001</v>
      </c>
      <c r="N574" s="84">
        <v>46001</v>
      </c>
      <c r="O574" t="s">
        <v>234</v>
      </c>
      <c r="P574" t="s">
        <v>235</v>
      </c>
      <c r="Q574">
        <v>10432</v>
      </c>
      <c r="R574">
        <v>10</v>
      </c>
      <c r="S574">
        <v>104320</v>
      </c>
      <c r="T574">
        <v>0</v>
      </c>
      <c r="U574">
        <v>0</v>
      </c>
      <c r="V574">
        <v>10</v>
      </c>
      <c r="W574">
        <v>104320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 spans="1:29">
      <c r="A575">
        <v>567</v>
      </c>
      <c r="B575" t="s">
        <v>149</v>
      </c>
      <c r="C575">
        <v>1599</v>
      </c>
      <c r="D575" t="s">
        <v>388</v>
      </c>
      <c r="E575" t="str">
        <f t="shared" si="8"/>
        <v>01599</v>
      </c>
      <c r="F575" t="s">
        <v>65</v>
      </c>
      <c r="G575" t="s">
        <v>208</v>
      </c>
      <c r="H575" t="s">
        <v>157</v>
      </c>
      <c r="I575" t="s">
        <v>4</v>
      </c>
      <c r="J575" t="s">
        <v>152</v>
      </c>
      <c r="K575" t="s">
        <v>174</v>
      </c>
      <c r="L575">
        <v>251200281</v>
      </c>
      <c r="M575" s="84">
        <v>46001</v>
      </c>
      <c r="N575" s="84">
        <v>46001</v>
      </c>
      <c r="O575" t="s">
        <v>225</v>
      </c>
      <c r="P575" t="s">
        <v>226</v>
      </c>
      <c r="Q575">
        <v>5500</v>
      </c>
      <c r="R575">
        <v>50</v>
      </c>
      <c r="S575">
        <v>275000</v>
      </c>
      <c r="T575">
        <v>0</v>
      </c>
      <c r="U575">
        <v>0</v>
      </c>
      <c r="V575">
        <v>50</v>
      </c>
      <c r="W575">
        <v>275000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 spans="1:29">
      <c r="A576">
        <v>568</v>
      </c>
      <c r="B576" t="s">
        <v>149</v>
      </c>
      <c r="C576">
        <v>1470</v>
      </c>
      <c r="D576" t="s">
        <v>12</v>
      </c>
      <c r="E576" t="str">
        <f t="shared" si="8"/>
        <v>01470</v>
      </c>
      <c r="F576" t="s">
        <v>10</v>
      </c>
      <c r="G576" t="s">
        <v>172</v>
      </c>
      <c r="H576" t="s">
        <v>157</v>
      </c>
      <c r="I576" t="s">
        <v>5</v>
      </c>
      <c r="J576" t="s">
        <v>152</v>
      </c>
      <c r="K576" t="s">
        <v>174</v>
      </c>
      <c r="L576">
        <v>251200282</v>
      </c>
      <c r="M576" s="84">
        <v>46001</v>
      </c>
      <c r="N576" s="84">
        <v>46001</v>
      </c>
      <c r="O576" t="s">
        <v>191</v>
      </c>
      <c r="P576" t="s">
        <v>192</v>
      </c>
      <c r="Q576">
        <v>11700</v>
      </c>
      <c r="R576">
        <v>20</v>
      </c>
      <c r="S576">
        <v>234000</v>
      </c>
      <c r="T576">
        <v>0</v>
      </c>
      <c r="U576">
        <v>0</v>
      </c>
      <c r="V576">
        <v>20</v>
      </c>
      <c r="W576">
        <v>234000</v>
      </c>
      <c r="X576">
        <v>3000</v>
      </c>
      <c r="Y576">
        <v>3000</v>
      </c>
      <c r="Z576">
        <v>0</v>
      </c>
      <c r="AA576">
        <v>0</v>
      </c>
      <c r="AB576">
        <v>0</v>
      </c>
      <c r="AC576">
        <v>6000</v>
      </c>
    </row>
    <row r="577" spans="1:29">
      <c r="A577">
        <v>569</v>
      </c>
      <c r="B577" t="s">
        <v>149</v>
      </c>
      <c r="C577">
        <v>1566</v>
      </c>
      <c r="D577" t="s">
        <v>376</v>
      </c>
      <c r="E577" t="str">
        <f t="shared" si="8"/>
        <v>01566</v>
      </c>
      <c r="F577" t="s">
        <v>91</v>
      </c>
      <c r="G577" t="s">
        <v>202</v>
      </c>
      <c r="H577" t="s">
        <v>157</v>
      </c>
      <c r="I577" t="s">
        <v>4</v>
      </c>
      <c r="J577" t="s">
        <v>152</v>
      </c>
      <c r="K577" t="s">
        <v>159</v>
      </c>
      <c r="L577">
        <v>251200283</v>
      </c>
      <c r="M577" s="84">
        <v>46001</v>
      </c>
      <c r="N577" s="84">
        <v>46001</v>
      </c>
      <c r="O577" t="s">
        <v>290</v>
      </c>
      <c r="P577" t="s">
        <v>291</v>
      </c>
      <c r="Q577">
        <v>5500</v>
      </c>
      <c r="R577">
        <v>10</v>
      </c>
      <c r="S577">
        <v>55000</v>
      </c>
      <c r="T577">
        <v>0</v>
      </c>
      <c r="U577">
        <v>0</v>
      </c>
      <c r="V577">
        <v>10</v>
      </c>
      <c r="W577">
        <v>55000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 spans="1:29">
      <c r="A578">
        <v>570</v>
      </c>
      <c r="B578" t="s">
        <v>149</v>
      </c>
      <c r="C578">
        <v>1566</v>
      </c>
      <c r="D578" t="s">
        <v>376</v>
      </c>
      <c r="E578" t="str">
        <f t="shared" si="8"/>
        <v>01566</v>
      </c>
      <c r="F578" t="s">
        <v>91</v>
      </c>
      <c r="G578" t="s">
        <v>202</v>
      </c>
      <c r="H578" t="s">
        <v>157</v>
      </c>
      <c r="I578" t="s">
        <v>4</v>
      </c>
      <c r="J578" t="s">
        <v>152</v>
      </c>
      <c r="K578" t="s">
        <v>159</v>
      </c>
      <c r="L578">
        <v>251200283</v>
      </c>
      <c r="M578" s="84">
        <v>46001</v>
      </c>
      <c r="N578" s="84">
        <v>46001</v>
      </c>
      <c r="O578" t="s">
        <v>256</v>
      </c>
      <c r="P578" t="s">
        <v>257</v>
      </c>
      <c r="Q578">
        <v>5500</v>
      </c>
      <c r="R578">
        <v>40</v>
      </c>
      <c r="S578">
        <v>220000</v>
      </c>
      <c r="T578">
        <v>0</v>
      </c>
      <c r="U578">
        <v>0</v>
      </c>
      <c r="V578">
        <v>40</v>
      </c>
      <c r="W578">
        <v>220000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</row>
    <row r="579" spans="1:29">
      <c r="A579">
        <v>571</v>
      </c>
      <c r="B579" t="s">
        <v>149</v>
      </c>
      <c r="C579">
        <v>1563</v>
      </c>
      <c r="D579" t="s">
        <v>348</v>
      </c>
      <c r="E579" t="str">
        <f t="shared" si="8"/>
        <v>01563</v>
      </c>
      <c r="F579" t="s">
        <v>91</v>
      </c>
      <c r="G579" t="s">
        <v>202</v>
      </c>
      <c r="H579" t="s">
        <v>157</v>
      </c>
      <c r="I579" t="s">
        <v>5</v>
      </c>
      <c r="J579" t="s">
        <v>152</v>
      </c>
      <c r="K579" t="s">
        <v>159</v>
      </c>
      <c r="L579">
        <v>251200284</v>
      </c>
      <c r="M579" s="84">
        <v>46001</v>
      </c>
      <c r="N579" s="84">
        <v>46001</v>
      </c>
      <c r="O579" t="s">
        <v>191</v>
      </c>
      <c r="P579" t="s">
        <v>192</v>
      </c>
      <c r="Q579">
        <v>4500</v>
      </c>
      <c r="R579">
        <v>30</v>
      </c>
      <c r="S579">
        <v>135000</v>
      </c>
      <c r="T579">
        <v>0</v>
      </c>
      <c r="U579">
        <v>0</v>
      </c>
      <c r="V579">
        <v>30</v>
      </c>
      <c r="W579">
        <v>135000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 spans="1:29">
      <c r="A580">
        <v>572</v>
      </c>
      <c r="B580" t="s">
        <v>149</v>
      </c>
      <c r="C580">
        <v>1530</v>
      </c>
      <c r="D580" t="s">
        <v>379</v>
      </c>
      <c r="E580" t="str">
        <f t="shared" si="8"/>
        <v>01530</v>
      </c>
      <c r="F580" t="s">
        <v>111</v>
      </c>
      <c r="G580" t="s">
        <v>150</v>
      </c>
      <c r="H580" t="s">
        <v>151</v>
      </c>
      <c r="I580" t="s">
        <v>4</v>
      </c>
      <c r="J580" t="s">
        <v>152</v>
      </c>
      <c r="K580" t="s">
        <v>153</v>
      </c>
      <c r="L580">
        <v>251200285</v>
      </c>
      <c r="M580" s="84">
        <v>46002</v>
      </c>
      <c r="N580" s="84">
        <v>46002</v>
      </c>
      <c r="O580" t="s">
        <v>380</v>
      </c>
      <c r="P580" t="s">
        <v>381</v>
      </c>
      <c r="Q580">
        <v>5500</v>
      </c>
      <c r="R580">
        <v>5</v>
      </c>
      <c r="S580">
        <v>27500</v>
      </c>
      <c r="T580">
        <v>0</v>
      </c>
      <c r="U580">
        <v>0</v>
      </c>
      <c r="V580">
        <v>5</v>
      </c>
      <c r="W580">
        <v>27500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1:29">
      <c r="A581">
        <v>573</v>
      </c>
      <c r="B581" t="s">
        <v>149</v>
      </c>
      <c r="C581">
        <v>1478</v>
      </c>
      <c r="D581" t="s">
        <v>314</v>
      </c>
      <c r="E581" t="str">
        <f t="shared" si="8"/>
        <v>01478</v>
      </c>
      <c r="F581" t="s">
        <v>111</v>
      </c>
      <c r="G581" t="s">
        <v>150</v>
      </c>
      <c r="H581" t="s">
        <v>151</v>
      </c>
      <c r="I581" t="s">
        <v>5</v>
      </c>
      <c r="J581" t="s">
        <v>152</v>
      </c>
      <c r="K581" t="s">
        <v>153</v>
      </c>
      <c r="L581">
        <v>251200286</v>
      </c>
      <c r="M581" s="84">
        <v>46002</v>
      </c>
      <c r="N581" s="84">
        <v>46002</v>
      </c>
      <c r="O581" t="s">
        <v>191</v>
      </c>
      <c r="P581" t="s">
        <v>192</v>
      </c>
      <c r="Q581">
        <v>4500</v>
      </c>
      <c r="R581">
        <v>20</v>
      </c>
      <c r="S581">
        <v>90000</v>
      </c>
      <c r="T581">
        <v>0</v>
      </c>
      <c r="U581">
        <v>0</v>
      </c>
      <c r="V581">
        <v>20</v>
      </c>
      <c r="W581">
        <v>90000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</row>
    <row r="582" spans="1:29">
      <c r="A582">
        <v>574</v>
      </c>
      <c r="B582" t="s">
        <v>149</v>
      </c>
      <c r="C582">
        <v>1519</v>
      </c>
      <c r="D582" t="s">
        <v>353</v>
      </c>
      <c r="E582" t="str">
        <f t="shared" si="8"/>
        <v>01519</v>
      </c>
      <c r="F582" t="s">
        <v>111</v>
      </c>
      <c r="G582" t="s">
        <v>150</v>
      </c>
      <c r="H582" t="s">
        <v>151</v>
      </c>
      <c r="I582" t="s">
        <v>4</v>
      </c>
      <c r="J582" t="s">
        <v>152</v>
      </c>
      <c r="K582" t="s">
        <v>153</v>
      </c>
      <c r="L582">
        <v>251200287</v>
      </c>
      <c r="M582" s="84">
        <v>46002</v>
      </c>
      <c r="N582" s="84">
        <v>46002</v>
      </c>
      <c r="O582" t="s">
        <v>160</v>
      </c>
      <c r="P582" t="s">
        <v>161</v>
      </c>
      <c r="Q582">
        <v>5500</v>
      </c>
      <c r="R582">
        <v>12</v>
      </c>
      <c r="S582">
        <v>66000</v>
      </c>
      <c r="T582">
        <v>0</v>
      </c>
      <c r="U582">
        <v>0</v>
      </c>
      <c r="V582">
        <v>12</v>
      </c>
      <c r="W582">
        <v>66000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</row>
    <row r="583" spans="1:29">
      <c r="A583">
        <v>575</v>
      </c>
      <c r="B583" t="s">
        <v>149</v>
      </c>
      <c r="C583">
        <v>1112</v>
      </c>
      <c r="D583" t="s">
        <v>44</v>
      </c>
      <c r="E583" t="str">
        <f t="shared" si="8"/>
        <v>01112</v>
      </c>
      <c r="F583" t="s">
        <v>43</v>
      </c>
      <c r="G583" t="s">
        <v>150</v>
      </c>
      <c r="H583" t="s">
        <v>151</v>
      </c>
      <c r="I583" t="s">
        <v>5</v>
      </c>
      <c r="J583" t="s">
        <v>152</v>
      </c>
      <c r="K583" t="s">
        <v>153</v>
      </c>
      <c r="L583">
        <v>251200288</v>
      </c>
      <c r="M583" s="84">
        <v>46002</v>
      </c>
      <c r="N583" s="84">
        <v>46002</v>
      </c>
      <c r="O583" t="s">
        <v>165</v>
      </c>
      <c r="P583" t="s">
        <v>166</v>
      </c>
      <c r="Q583">
        <v>8500</v>
      </c>
      <c r="R583">
        <v>24</v>
      </c>
      <c r="S583">
        <v>204000</v>
      </c>
      <c r="T583">
        <v>0</v>
      </c>
      <c r="U583">
        <v>0</v>
      </c>
      <c r="V583">
        <v>24</v>
      </c>
      <c r="W583">
        <v>204000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 spans="1:29">
      <c r="A584">
        <v>576</v>
      </c>
      <c r="B584" t="s">
        <v>149</v>
      </c>
      <c r="C584">
        <v>1553</v>
      </c>
      <c r="D584" t="s">
        <v>317</v>
      </c>
      <c r="E584" t="str">
        <f t="shared" si="8"/>
        <v>01553</v>
      </c>
      <c r="F584" t="s">
        <v>43</v>
      </c>
      <c r="G584" t="s">
        <v>150</v>
      </c>
      <c r="H584" t="s">
        <v>151</v>
      </c>
      <c r="I584" t="s">
        <v>5</v>
      </c>
      <c r="J584" t="s">
        <v>152</v>
      </c>
      <c r="K584" t="s">
        <v>153</v>
      </c>
      <c r="L584">
        <v>251200289</v>
      </c>
      <c r="M584" s="84">
        <v>46002</v>
      </c>
      <c r="N584" s="84">
        <v>46002</v>
      </c>
      <c r="O584" t="s">
        <v>191</v>
      </c>
      <c r="P584" t="s">
        <v>192</v>
      </c>
      <c r="Q584">
        <v>4500</v>
      </c>
      <c r="R584">
        <v>8</v>
      </c>
      <c r="S584">
        <v>36000</v>
      </c>
      <c r="T584">
        <v>0</v>
      </c>
      <c r="U584">
        <v>0</v>
      </c>
      <c r="V584">
        <v>8</v>
      </c>
      <c r="W584">
        <v>36000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</row>
    <row r="585" spans="1:29">
      <c r="A585">
        <v>577</v>
      </c>
      <c r="B585" t="s">
        <v>149</v>
      </c>
      <c r="C585">
        <v>1553</v>
      </c>
      <c r="D585" t="s">
        <v>317</v>
      </c>
      <c r="E585" t="str">
        <f t="shared" ref="E585:E648" si="9">TEXT(C585,"00000")</f>
        <v>01553</v>
      </c>
      <c r="F585" t="s">
        <v>43</v>
      </c>
      <c r="G585" t="s">
        <v>150</v>
      </c>
      <c r="H585" t="s">
        <v>151</v>
      </c>
      <c r="I585" t="s">
        <v>4</v>
      </c>
      <c r="J585" t="s">
        <v>152</v>
      </c>
      <c r="K585" t="s">
        <v>153</v>
      </c>
      <c r="L585">
        <v>251200289</v>
      </c>
      <c r="M585" s="84">
        <v>46002</v>
      </c>
      <c r="N585" s="84">
        <v>46002</v>
      </c>
      <c r="O585" t="s">
        <v>219</v>
      </c>
      <c r="P585" t="s">
        <v>220</v>
      </c>
      <c r="Q585">
        <v>5500</v>
      </c>
      <c r="R585">
        <v>10</v>
      </c>
      <c r="S585">
        <v>55000</v>
      </c>
      <c r="T585">
        <v>0</v>
      </c>
      <c r="U585">
        <v>0</v>
      </c>
      <c r="V585">
        <v>10</v>
      </c>
      <c r="W585">
        <v>55000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 spans="1:29">
      <c r="A586">
        <v>578</v>
      </c>
      <c r="B586" t="s">
        <v>149</v>
      </c>
      <c r="C586">
        <v>1553</v>
      </c>
      <c r="D586" t="s">
        <v>317</v>
      </c>
      <c r="E586" t="str">
        <f t="shared" si="9"/>
        <v>01553</v>
      </c>
      <c r="F586" t="s">
        <v>43</v>
      </c>
      <c r="G586" t="s">
        <v>150</v>
      </c>
      <c r="H586" t="s">
        <v>151</v>
      </c>
      <c r="I586" t="s">
        <v>4</v>
      </c>
      <c r="J586" t="s">
        <v>152</v>
      </c>
      <c r="K586" t="s">
        <v>153</v>
      </c>
      <c r="L586">
        <v>251200289</v>
      </c>
      <c r="M586" s="84">
        <v>46002</v>
      </c>
      <c r="N586" s="84">
        <v>46002</v>
      </c>
      <c r="O586" t="s">
        <v>160</v>
      </c>
      <c r="P586" t="s">
        <v>161</v>
      </c>
      <c r="Q586">
        <v>5500</v>
      </c>
      <c r="R586">
        <v>10</v>
      </c>
      <c r="S586">
        <v>55000</v>
      </c>
      <c r="T586">
        <v>0</v>
      </c>
      <c r="U586">
        <v>0</v>
      </c>
      <c r="V586">
        <v>10</v>
      </c>
      <c r="W586">
        <v>55000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</row>
    <row r="587" spans="1:29">
      <c r="A587">
        <v>579</v>
      </c>
      <c r="B587" t="s">
        <v>149</v>
      </c>
      <c r="C587">
        <v>1288</v>
      </c>
      <c r="D587" t="s">
        <v>367</v>
      </c>
      <c r="E587" t="str">
        <f t="shared" si="9"/>
        <v>01288</v>
      </c>
      <c r="F587" t="s">
        <v>43</v>
      </c>
      <c r="G587" t="s">
        <v>150</v>
      </c>
      <c r="H587" t="s">
        <v>151</v>
      </c>
      <c r="I587" t="s">
        <v>4</v>
      </c>
      <c r="J587" t="s">
        <v>152</v>
      </c>
      <c r="K587" t="s">
        <v>153</v>
      </c>
      <c r="L587">
        <v>251200290</v>
      </c>
      <c r="M587" s="84">
        <v>46002</v>
      </c>
      <c r="N587" s="84">
        <v>46002</v>
      </c>
      <c r="O587" t="s">
        <v>219</v>
      </c>
      <c r="P587" t="s">
        <v>220</v>
      </c>
      <c r="Q587">
        <v>5500</v>
      </c>
      <c r="R587">
        <v>10</v>
      </c>
      <c r="S587">
        <v>55000</v>
      </c>
      <c r="T587">
        <v>0</v>
      </c>
      <c r="U587">
        <v>0</v>
      </c>
      <c r="V587">
        <v>10</v>
      </c>
      <c r="W587">
        <v>55000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</row>
    <row r="588" spans="1:29">
      <c r="A588">
        <v>580</v>
      </c>
      <c r="B588" t="s">
        <v>149</v>
      </c>
      <c r="C588">
        <v>1288</v>
      </c>
      <c r="D588" t="s">
        <v>367</v>
      </c>
      <c r="E588" t="str">
        <f t="shared" si="9"/>
        <v>01288</v>
      </c>
      <c r="F588" t="s">
        <v>43</v>
      </c>
      <c r="G588" t="s">
        <v>150</v>
      </c>
      <c r="H588" t="s">
        <v>151</v>
      </c>
      <c r="I588" t="s">
        <v>4</v>
      </c>
      <c r="J588" t="s">
        <v>152</v>
      </c>
      <c r="K588" t="s">
        <v>153</v>
      </c>
      <c r="L588">
        <v>251200291</v>
      </c>
      <c r="M588" s="84">
        <v>46002</v>
      </c>
      <c r="N588" s="84">
        <v>46002</v>
      </c>
      <c r="O588" t="s">
        <v>160</v>
      </c>
      <c r="P588" t="s">
        <v>161</v>
      </c>
      <c r="Q588">
        <v>5500</v>
      </c>
      <c r="R588">
        <v>10</v>
      </c>
      <c r="S588">
        <v>55000</v>
      </c>
      <c r="T588">
        <v>0</v>
      </c>
      <c r="U588">
        <v>0</v>
      </c>
      <c r="V588">
        <v>10</v>
      </c>
      <c r="W588">
        <v>55000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</row>
    <row r="589" spans="1:29">
      <c r="A589">
        <v>581</v>
      </c>
      <c r="B589" t="s">
        <v>149</v>
      </c>
      <c r="C589">
        <v>1288</v>
      </c>
      <c r="D589" t="s">
        <v>367</v>
      </c>
      <c r="E589" t="str">
        <f t="shared" si="9"/>
        <v>01288</v>
      </c>
      <c r="F589" t="s">
        <v>43</v>
      </c>
      <c r="G589" t="s">
        <v>150</v>
      </c>
      <c r="H589" t="s">
        <v>151</v>
      </c>
      <c r="I589" t="s">
        <v>4</v>
      </c>
      <c r="J589" t="s">
        <v>152</v>
      </c>
      <c r="K589" t="s">
        <v>153</v>
      </c>
      <c r="L589">
        <v>251200291</v>
      </c>
      <c r="M589" s="84">
        <v>46002</v>
      </c>
      <c r="N589" s="84">
        <v>46002</v>
      </c>
      <c r="O589" t="s">
        <v>206</v>
      </c>
      <c r="P589" t="s">
        <v>207</v>
      </c>
      <c r="Q589">
        <v>5500</v>
      </c>
      <c r="R589">
        <v>5</v>
      </c>
      <c r="S589">
        <v>27500</v>
      </c>
      <c r="T589">
        <v>0</v>
      </c>
      <c r="U589">
        <v>0</v>
      </c>
      <c r="V589">
        <v>5</v>
      </c>
      <c r="W589">
        <v>27500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 spans="1:29">
      <c r="A590">
        <v>582</v>
      </c>
      <c r="B590" t="s">
        <v>149</v>
      </c>
      <c r="C590">
        <v>1298</v>
      </c>
      <c r="D590" t="s">
        <v>389</v>
      </c>
      <c r="E590" t="str">
        <f t="shared" si="9"/>
        <v>01298</v>
      </c>
      <c r="F590" t="s">
        <v>83</v>
      </c>
      <c r="G590" t="s">
        <v>164</v>
      </c>
      <c r="H590" t="s">
        <v>151</v>
      </c>
      <c r="I590" t="s">
        <v>5</v>
      </c>
      <c r="J590" t="s">
        <v>152</v>
      </c>
      <c r="K590" t="s">
        <v>153</v>
      </c>
      <c r="L590">
        <v>251200292</v>
      </c>
      <c r="M590" s="84">
        <v>46002</v>
      </c>
      <c r="N590" s="84">
        <v>46002</v>
      </c>
      <c r="O590" t="s">
        <v>191</v>
      </c>
      <c r="P590" t="s">
        <v>192</v>
      </c>
      <c r="Q590">
        <v>4500</v>
      </c>
      <c r="R590">
        <v>120</v>
      </c>
      <c r="S590">
        <v>540000</v>
      </c>
      <c r="T590">
        <v>0</v>
      </c>
      <c r="U590">
        <v>0</v>
      </c>
      <c r="V590">
        <v>120</v>
      </c>
      <c r="W590">
        <v>540000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 spans="1:29">
      <c r="A591">
        <v>583</v>
      </c>
      <c r="B591" t="s">
        <v>149</v>
      </c>
      <c r="C591">
        <v>1298</v>
      </c>
      <c r="D591" t="s">
        <v>389</v>
      </c>
      <c r="E591" t="str">
        <f t="shared" si="9"/>
        <v>01298</v>
      </c>
      <c r="F591" t="s">
        <v>83</v>
      </c>
      <c r="G591" t="s">
        <v>164</v>
      </c>
      <c r="H591" t="s">
        <v>151</v>
      </c>
      <c r="I591" t="s">
        <v>4</v>
      </c>
      <c r="J591" t="s">
        <v>152</v>
      </c>
      <c r="K591" t="s">
        <v>153</v>
      </c>
      <c r="L591">
        <v>251200292</v>
      </c>
      <c r="M591" s="84">
        <v>46002</v>
      </c>
      <c r="N591" s="84">
        <v>46002</v>
      </c>
      <c r="O591" t="s">
        <v>162</v>
      </c>
      <c r="P591" t="s">
        <v>163</v>
      </c>
      <c r="Q591">
        <v>5500</v>
      </c>
      <c r="R591">
        <v>30</v>
      </c>
      <c r="S591">
        <v>165000</v>
      </c>
      <c r="T591">
        <v>0</v>
      </c>
      <c r="U591">
        <v>0</v>
      </c>
      <c r="V591">
        <v>30</v>
      </c>
      <c r="W591">
        <v>165000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 spans="1:29">
      <c r="A592">
        <v>584</v>
      </c>
      <c r="B592" t="s">
        <v>149</v>
      </c>
      <c r="C592">
        <v>1298</v>
      </c>
      <c r="D592" t="s">
        <v>389</v>
      </c>
      <c r="E592" t="str">
        <f t="shared" si="9"/>
        <v>01298</v>
      </c>
      <c r="F592" t="s">
        <v>83</v>
      </c>
      <c r="G592" t="s">
        <v>164</v>
      </c>
      <c r="H592" t="s">
        <v>151</v>
      </c>
      <c r="I592" t="s">
        <v>5</v>
      </c>
      <c r="J592" t="s">
        <v>152</v>
      </c>
      <c r="K592" t="s">
        <v>153</v>
      </c>
      <c r="L592">
        <v>251200292</v>
      </c>
      <c r="M592" s="84">
        <v>46002</v>
      </c>
      <c r="N592" s="84">
        <v>46002</v>
      </c>
      <c r="O592" t="s">
        <v>253</v>
      </c>
      <c r="P592" t="s">
        <v>254</v>
      </c>
      <c r="Q592">
        <v>4500</v>
      </c>
      <c r="R592">
        <v>40</v>
      </c>
      <c r="S592">
        <v>180000</v>
      </c>
      <c r="T592">
        <v>0</v>
      </c>
      <c r="U592">
        <v>0</v>
      </c>
      <c r="V592">
        <v>40</v>
      </c>
      <c r="W592">
        <v>180000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 spans="1:29">
      <c r="A593">
        <v>585</v>
      </c>
      <c r="B593" t="s">
        <v>149</v>
      </c>
      <c r="C593">
        <v>1298</v>
      </c>
      <c r="D593" t="s">
        <v>389</v>
      </c>
      <c r="E593" t="str">
        <f t="shared" si="9"/>
        <v>01298</v>
      </c>
      <c r="F593" t="s">
        <v>83</v>
      </c>
      <c r="G593" t="s">
        <v>164</v>
      </c>
      <c r="H593" t="s">
        <v>151</v>
      </c>
      <c r="I593" t="s">
        <v>4</v>
      </c>
      <c r="J593" t="s">
        <v>152</v>
      </c>
      <c r="K593" t="s">
        <v>153</v>
      </c>
      <c r="L593">
        <v>251200292</v>
      </c>
      <c r="M593" s="84">
        <v>46002</v>
      </c>
      <c r="N593" s="84">
        <v>46002</v>
      </c>
      <c r="O593" t="s">
        <v>160</v>
      </c>
      <c r="P593" t="s">
        <v>161</v>
      </c>
      <c r="Q593">
        <v>5500</v>
      </c>
      <c r="R593">
        <v>50</v>
      </c>
      <c r="S593">
        <v>275000</v>
      </c>
      <c r="T593">
        <v>0</v>
      </c>
      <c r="U593">
        <v>0</v>
      </c>
      <c r="V593">
        <v>50</v>
      </c>
      <c r="W593">
        <v>275000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 spans="1:29">
      <c r="A594">
        <v>586</v>
      </c>
      <c r="B594" t="s">
        <v>149</v>
      </c>
      <c r="C594">
        <v>1572</v>
      </c>
      <c r="D594" t="s">
        <v>284</v>
      </c>
      <c r="E594" t="str">
        <f t="shared" si="9"/>
        <v>01572</v>
      </c>
      <c r="F594" t="s">
        <v>95</v>
      </c>
      <c r="G594" t="s">
        <v>187</v>
      </c>
      <c r="H594" t="s">
        <v>188</v>
      </c>
      <c r="I594" t="s">
        <v>173</v>
      </c>
      <c r="J594" t="s">
        <v>152</v>
      </c>
      <c r="K594" t="s">
        <v>159</v>
      </c>
      <c r="L594">
        <v>251200293</v>
      </c>
      <c r="M594" s="84">
        <v>46002</v>
      </c>
      <c r="N594" s="84">
        <v>46002</v>
      </c>
      <c r="O594" t="s">
        <v>175</v>
      </c>
      <c r="P594" t="s">
        <v>176</v>
      </c>
      <c r="Q594">
        <v>4040</v>
      </c>
      <c r="R594">
        <v>5</v>
      </c>
      <c r="S594">
        <v>20200</v>
      </c>
      <c r="T594">
        <v>0</v>
      </c>
      <c r="U594">
        <v>0</v>
      </c>
      <c r="V594">
        <v>5</v>
      </c>
      <c r="W594">
        <v>20200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 spans="1:29">
      <c r="A595">
        <v>587</v>
      </c>
      <c r="B595" t="s">
        <v>149</v>
      </c>
      <c r="C595">
        <v>1572</v>
      </c>
      <c r="D595" t="s">
        <v>284</v>
      </c>
      <c r="E595" t="str">
        <f t="shared" si="9"/>
        <v>01572</v>
      </c>
      <c r="F595" t="s">
        <v>95</v>
      </c>
      <c r="G595" t="s">
        <v>187</v>
      </c>
      <c r="H595" t="s">
        <v>188</v>
      </c>
      <c r="I595" t="s">
        <v>173</v>
      </c>
      <c r="J595" t="s">
        <v>152</v>
      </c>
      <c r="K595" t="s">
        <v>159</v>
      </c>
      <c r="L595">
        <v>251200293</v>
      </c>
      <c r="M595" s="84">
        <v>46002</v>
      </c>
      <c r="N595" s="84">
        <v>46002</v>
      </c>
      <c r="O595" t="s">
        <v>285</v>
      </c>
      <c r="P595" t="s">
        <v>286</v>
      </c>
      <c r="Q595">
        <v>3388</v>
      </c>
      <c r="R595">
        <v>7</v>
      </c>
      <c r="S595">
        <v>23716</v>
      </c>
      <c r="T595">
        <v>0</v>
      </c>
      <c r="U595">
        <v>0</v>
      </c>
      <c r="V595">
        <v>7</v>
      </c>
      <c r="W595">
        <v>23716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 spans="1:29">
      <c r="A596">
        <v>588</v>
      </c>
      <c r="B596" t="s">
        <v>149</v>
      </c>
      <c r="C596">
        <v>1572</v>
      </c>
      <c r="D596" t="s">
        <v>284</v>
      </c>
      <c r="E596" t="str">
        <f t="shared" si="9"/>
        <v>01572</v>
      </c>
      <c r="F596" t="s">
        <v>95</v>
      </c>
      <c r="G596" t="s">
        <v>187</v>
      </c>
      <c r="H596" t="s">
        <v>188</v>
      </c>
      <c r="I596" t="s">
        <v>173</v>
      </c>
      <c r="J596" t="s">
        <v>152</v>
      </c>
      <c r="K596" t="s">
        <v>159</v>
      </c>
      <c r="L596">
        <v>251200293</v>
      </c>
      <c r="M596" s="84">
        <v>46002</v>
      </c>
      <c r="N596" s="84">
        <v>46002</v>
      </c>
      <c r="O596" t="s">
        <v>287</v>
      </c>
      <c r="P596" t="s">
        <v>288</v>
      </c>
      <c r="Q596">
        <v>5866</v>
      </c>
      <c r="R596">
        <v>3</v>
      </c>
      <c r="S596">
        <v>17598</v>
      </c>
      <c r="T596">
        <v>0</v>
      </c>
      <c r="U596">
        <v>0</v>
      </c>
      <c r="V596">
        <v>3</v>
      </c>
      <c r="W596">
        <v>17598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</row>
    <row r="597" spans="1:29">
      <c r="A597">
        <v>589</v>
      </c>
      <c r="B597" t="s">
        <v>149</v>
      </c>
      <c r="C597">
        <v>1581</v>
      </c>
      <c r="D597" t="s">
        <v>96</v>
      </c>
      <c r="E597" t="str">
        <f t="shared" si="9"/>
        <v>01581</v>
      </c>
      <c r="F597" t="s">
        <v>95</v>
      </c>
      <c r="G597" t="s">
        <v>187</v>
      </c>
      <c r="H597" t="s">
        <v>188</v>
      </c>
      <c r="I597" t="s">
        <v>4</v>
      </c>
      <c r="J597" t="s">
        <v>152</v>
      </c>
      <c r="K597" t="s">
        <v>159</v>
      </c>
      <c r="L597">
        <v>251200294</v>
      </c>
      <c r="M597" s="84">
        <v>46002</v>
      </c>
      <c r="N597" s="84">
        <v>46002</v>
      </c>
      <c r="O597" t="s">
        <v>221</v>
      </c>
      <c r="P597" t="s">
        <v>222</v>
      </c>
      <c r="Q597">
        <v>13300</v>
      </c>
      <c r="R597">
        <v>5</v>
      </c>
      <c r="S597">
        <v>66500</v>
      </c>
      <c r="T597">
        <v>0</v>
      </c>
      <c r="U597">
        <v>0</v>
      </c>
      <c r="V597">
        <v>5</v>
      </c>
      <c r="W597">
        <v>66500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</row>
    <row r="598" spans="1:29">
      <c r="A598">
        <v>590</v>
      </c>
      <c r="B598" t="s">
        <v>149</v>
      </c>
      <c r="C598">
        <v>471</v>
      </c>
      <c r="D598" t="s">
        <v>25</v>
      </c>
      <c r="E598" t="str">
        <f t="shared" si="9"/>
        <v>00471</v>
      </c>
      <c r="F598" t="s">
        <v>20</v>
      </c>
      <c r="G598" t="s">
        <v>193</v>
      </c>
      <c r="H598" t="s">
        <v>151</v>
      </c>
      <c r="I598" t="s">
        <v>4</v>
      </c>
      <c r="J598" t="s">
        <v>152</v>
      </c>
      <c r="K598" t="s">
        <v>236</v>
      </c>
      <c r="L598">
        <v>251200295</v>
      </c>
      <c r="M598" s="84">
        <v>46002</v>
      </c>
      <c r="N598" s="84">
        <v>46002</v>
      </c>
      <c r="O598" t="s">
        <v>179</v>
      </c>
      <c r="P598" t="s">
        <v>180</v>
      </c>
      <c r="Q598">
        <v>14250</v>
      </c>
      <c r="R598">
        <v>15</v>
      </c>
      <c r="S598">
        <v>213750</v>
      </c>
      <c r="T598">
        <v>0</v>
      </c>
      <c r="U598">
        <v>0</v>
      </c>
      <c r="V598">
        <v>15</v>
      </c>
      <c r="W598">
        <v>213750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</row>
    <row r="599" spans="1:29">
      <c r="A599">
        <v>591</v>
      </c>
      <c r="B599" t="s">
        <v>149</v>
      </c>
      <c r="C599">
        <v>471</v>
      </c>
      <c r="D599" t="s">
        <v>25</v>
      </c>
      <c r="E599" t="str">
        <f t="shared" si="9"/>
        <v>00471</v>
      </c>
      <c r="F599" t="s">
        <v>20</v>
      </c>
      <c r="G599" t="s">
        <v>193</v>
      </c>
      <c r="H599" t="s">
        <v>151</v>
      </c>
      <c r="I599" t="s">
        <v>4</v>
      </c>
      <c r="J599" t="s">
        <v>152</v>
      </c>
      <c r="K599" t="s">
        <v>236</v>
      </c>
      <c r="L599">
        <v>251200295</v>
      </c>
      <c r="M599" s="84">
        <v>46002</v>
      </c>
      <c r="N599" s="84">
        <v>46002</v>
      </c>
      <c r="O599" t="s">
        <v>162</v>
      </c>
      <c r="P599" t="s">
        <v>163</v>
      </c>
      <c r="Q599">
        <v>14250</v>
      </c>
      <c r="R599">
        <v>10</v>
      </c>
      <c r="S599">
        <v>142500</v>
      </c>
      <c r="T599">
        <v>0</v>
      </c>
      <c r="U599">
        <v>0</v>
      </c>
      <c r="V599">
        <v>10</v>
      </c>
      <c r="W599">
        <v>142500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 spans="1:29">
      <c r="A600">
        <v>592</v>
      </c>
      <c r="B600" t="s">
        <v>149</v>
      </c>
      <c r="C600">
        <v>471</v>
      </c>
      <c r="D600" t="s">
        <v>25</v>
      </c>
      <c r="E600" t="str">
        <f t="shared" si="9"/>
        <v>00471</v>
      </c>
      <c r="F600" t="s">
        <v>20</v>
      </c>
      <c r="G600" t="s">
        <v>193</v>
      </c>
      <c r="H600" t="s">
        <v>151</v>
      </c>
      <c r="I600" t="s">
        <v>4</v>
      </c>
      <c r="J600" t="s">
        <v>152</v>
      </c>
      <c r="K600" t="s">
        <v>236</v>
      </c>
      <c r="L600">
        <v>251200295</v>
      </c>
      <c r="M600" s="84">
        <v>46002</v>
      </c>
      <c r="N600" s="84">
        <v>46002</v>
      </c>
      <c r="O600" t="s">
        <v>160</v>
      </c>
      <c r="P600" t="s">
        <v>161</v>
      </c>
      <c r="Q600">
        <v>14250</v>
      </c>
      <c r="R600">
        <v>10</v>
      </c>
      <c r="S600">
        <v>142500</v>
      </c>
      <c r="T600">
        <v>0</v>
      </c>
      <c r="U600">
        <v>0</v>
      </c>
      <c r="V600">
        <v>10</v>
      </c>
      <c r="W600">
        <v>142500</v>
      </c>
      <c r="X600">
        <v>1500</v>
      </c>
      <c r="Y600">
        <v>2000</v>
      </c>
      <c r="Z600">
        <v>0</v>
      </c>
      <c r="AA600">
        <v>0</v>
      </c>
      <c r="AB600">
        <v>0</v>
      </c>
      <c r="AC600">
        <v>3500</v>
      </c>
    </row>
    <row r="601" spans="1:29">
      <c r="A601">
        <v>593</v>
      </c>
      <c r="B601" t="s">
        <v>149</v>
      </c>
      <c r="C601">
        <v>471</v>
      </c>
      <c r="D601" t="s">
        <v>25</v>
      </c>
      <c r="E601" t="str">
        <f t="shared" si="9"/>
        <v>00471</v>
      </c>
      <c r="F601" t="s">
        <v>20</v>
      </c>
      <c r="G601" t="s">
        <v>193</v>
      </c>
      <c r="H601" t="s">
        <v>151</v>
      </c>
      <c r="I601" t="s">
        <v>5</v>
      </c>
      <c r="J601" t="s">
        <v>152</v>
      </c>
      <c r="K601" t="s">
        <v>236</v>
      </c>
      <c r="L601">
        <v>251200295</v>
      </c>
      <c r="M601" s="84">
        <v>46002</v>
      </c>
      <c r="N601" s="84">
        <v>46002</v>
      </c>
      <c r="O601" t="s">
        <v>191</v>
      </c>
      <c r="P601" t="s">
        <v>192</v>
      </c>
      <c r="Q601">
        <v>11700</v>
      </c>
      <c r="R601">
        <v>12</v>
      </c>
      <c r="S601">
        <v>140400</v>
      </c>
      <c r="T601">
        <v>0</v>
      </c>
      <c r="U601">
        <v>0</v>
      </c>
      <c r="V601">
        <v>12</v>
      </c>
      <c r="W601">
        <v>140400</v>
      </c>
      <c r="X601">
        <v>1800</v>
      </c>
      <c r="Y601">
        <v>1800</v>
      </c>
      <c r="Z601">
        <v>0</v>
      </c>
      <c r="AA601">
        <v>0</v>
      </c>
      <c r="AB601">
        <v>0</v>
      </c>
      <c r="AC601">
        <v>3600</v>
      </c>
    </row>
    <row r="602" spans="1:29">
      <c r="A602">
        <v>594</v>
      </c>
      <c r="B602" t="s">
        <v>149</v>
      </c>
      <c r="C602">
        <v>471</v>
      </c>
      <c r="D602" t="s">
        <v>25</v>
      </c>
      <c r="E602" t="str">
        <f t="shared" si="9"/>
        <v>00471</v>
      </c>
      <c r="F602" t="s">
        <v>20</v>
      </c>
      <c r="G602" t="s">
        <v>193</v>
      </c>
      <c r="H602" t="s">
        <v>151</v>
      </c>
      <c r="I602" t="s">
        <v>4</v>
      </c>
      <c r="J602" t="s">
        <v>152</v>
      </c>
      <c r="K602" t="s">
        <v>236</v>
      </c>
      <c r="L602">
        <v>251200295</v>
      </c>
      <c r="M602" s="84">
        <v>46002</v>
      </c>
      <c r="N602" s="84">
        <v>46002</v>
      </c>
      <c r="O602" t="s">
        <v>206</v>
      </c>
      <c r="P602" t="s">
        <v>207</v>
      </c>
      <c r="Q602">
        <v>14250</v>
      </c>
      <c r="R602">
        <v>5</v>
      </c>
      <c r="S602">
        <v>71250</v>
      </c>
      <c r="T602">
        <v>0</v>
      </c>
      <c r="U602">
        <v>0</v>
      </c>
      <c r="V602">
        <v>5</v>
      </c>
      <c r="W602">
        <v>71250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 spans="1:29">
      <c r="A603">
        <v>595</v>
      </c>
      <c r="B603" t="s">
        <v>149</v>
      </c>
      <c r="C603">
        <v>842</v>
      </c>
      <c r="D603" t="s">
        <v>26</v>
      </c>
      <c r="E603" t="str">
        <f t="shared" si="9"/>
        <v>00842</v>
      </c>
      <c r="F603" t="s">
        <v>20</v>
      </c>
      <c r="G603" t="s">
        <v>193</v>
      </c>
      <c r="H603" t="s">
        <v>151</v>
      </c>
      <c r="I603" t="s">
        <v>4</v>
      </c>
      <c r="J603" t="s">
        <v>152</v>
      </c>
      <c r="K603" t="s">
        <v>236</v>
      </c>
      <c r="L603">
        <v>251200296</v>
      </c>
      <c r="M603" s="84">
        <v>46002</v>
      </c>
      <c r="N603" s="84">
        <v>46002</v>
      </c>
      <c r="O603" t="s">
        <v>177</v>
      </c>
      <c r="P603" t="s">
        <v>178</v>
      </c>
      <c r="Q603">
        <v>14250</v>
      </c>
      <c r="R603">
        <v>25</v>
      </c>
      <c r="S603">
        <v>356250</v>
      </c>
      <c r="T603">
        <v>0</v>
      </c>
      <c r="U603">
        <v>0</v>
      </c>
      <c r="V603">
        <v>25</v>
      </c>
      <c r="W603">
        <v>356250</v>
      </c>
      <c r="X603">
        <v>3750</v>
      </c>
      <c r="Y603">
        <v>5000</v>
      </c>
      <c r="Z603">
        <v>0</v>
      </c>
      <c r="AA603">
        <v>0</v>
      </c>
      <c r="AB603">
        <v>0</v>
      </c>
      <c r="AC603">
        <v>8750</v>
      </c>
    </row>
    <row r="604" spans="1:29">
      <c r="A604">
        <v>596</v>
      </c>
      <c r="B604" t="s">
        <v>149</v>
      </c>
      <c r="C604">
        <v>842</v>
      </c>
      <c r="D604" t="s">
        <v>26</v>
      </c>
      <c r="E604" t="str">
        <f t="shared" si="9"/>
        <v>00842</v>
      </c>
      <c r="F604" t="s">
        <v>20</v>
      </c>
      <c r="G604" t="s">
        <v>193</v>
      </c>
      <c r="H604" t="s">
        <v>151</v>
      </c>
      <c r="I604" t="s">
        <v>5</v>
      </c>
      <c r="J604" t="s">
        <v>152</v>
      </c>
      <c r="K604" t="s">
        <v>236</v>
      </c>
      <c r="L604">
        <v>251200296</v>
      </c>
      <c r="M604" s="84">
        <v>46002</v>
      </c>
      <c r="N604" s="84">
        <v>46002</v>
      </c>
      <c r="O604" t="s">
        <v>196</v>
      </c>
      <c r="P604" t="s">
        <v>197</v>
      </c>
      <c r="Q604">
        <v>11700</v>
      </c>
      <c r="R604">
        <v>8</v>
      </c>
      <c r="S604">
        <v>93600</v>
      </c>
      <c r="T604">
        <v>0</v>
      </c>
      <c r="U604">
        <v>0</v>
      </c>
      <c r="V604">
        <v>8</v>
      </c>
      <c r="W604">
        <v>93600</v>
      </c>
      <c r="X604">
        <v>1200</v>
      </c>
      <c r="Y604">
        <v>1200</v>
      </c>
      <c r="Z604">
        <v>0</v>
      </c>
      <c r="AA604">
        <v>0</v>
      </c>
      <c r="AB604">
        <v>0</v>
      </c>
      <c r="AC604">
        <v>2400</v>
      </c>
    </row>
    <row r="605" spans="1:29">
      <c r="A605">
        <v>597</v>
      </c>
      <c r="B605" t="s">
        <v>149</v>
      </c>
      <c r="C605">
        <v>1368</v>
      </c>
      <c r="D605" t="s">
        <v>22</v>
      </c>
      <c r="E605" t="str">
        <f t="shared" si="9"/>
        <v>01368</v>
      </c>
      <c r="F605" t="s">
        <v>20</v>
      </c>
      <c r="G605" t="s">
        <v>193</v>
      </c>
      <c r="H605" t="s">
        <v>151</v>
      </c>
      <c r="I605" t="s">
        <v>4</v>
      </c>
      <c r="J605" t="s">
        <v>152</v>
      </c>
      <c r="K605" t="s">
        <v>236</v>
      </c>
      <c r="L605">
        <v>251200297</v>
      </c>
      <c r="M605" s="84">
        <v>46002</v>
      </c>
      <c r="N605" s="84">
        <v>46002</v>
      </c>
      <c r="O605" t="s">
        <v>160</v>
      </c>
      <c r="P605" t="s">
        <v>161</v>
      </c>
      <c r="Q605">
        <v>14250</v>
      </c>
      <c r="R605">
        <v>5</v>
      </c>
      <c r="S605">
        <v>71250</v>
      </c>
      <c r="T605">
        <v>0</v>
      </c>
      <c r="U605">
        <v>0</v>
      </c>
      <c r="V605">
        <v>5</v>
      </c>
      <c r="W605">
        <v>71250</v>
      </c>
      <c r="X605">
        <v>750</v>
      </c>
      <c r="Y605">
        <v>1000</v>
      </c>
      <c r="Z605">
        <v>0</v>
      </c>
      <c r="AA605">
        <v>0</v>
      </c>
      <c r="AB605">
        <v>0</v>
      </c>
      <c r="AC605">
        <v>1750</v>
      </c>
    </row>
    <row r="606" spans="1:29">
      <c r="A606">
        <v>598</v>
      </c>
      <c r="B606" t="s">
        <v>149</v>
      </c>
      <c r="C606">
        <v>1551</v>
      </c>
      <c r="D606" t="s">
        <v>316</v>
      </c>
      <c r="E606" t="str">
        <f t="shared" si="9"/>
        <v>01551</v>
      </c>
      <c r="F606" t="s">
        <v>111</v>
      </c>
      <c r="G606" t="s">
        <v>150</v>
      </c>
      <c r="H606" t="s">
        <v>151</v>
      </c>
      <c r="I606" t="s">
        <v>4</v>
      </c>
      <c r="J606" t="s">
        <v>152</v>
      </c>
      <c r="K606" t="s">
        <v>153</v>
      </c>
      <c r="L606">
        <v>251200298</v>
      </c>
      <c r="M606" s="84">
        <v>46002</v>
      </c>
      <c r="N606" s="84">
        <v>46002</v>
      </c>
      <c r="O606" t="s">
        <v>219</v>
      </c>
      <c r="P606" t="s">
        <v>220</v>
      </c>
      <c r="Q606">
        <v>5500</v>
      </c>
      <c r="R606">
        <v>13</v>
      </c>
      <c r="S606">
        <v>71500</v>
      </c>
      <c r="T606">
        <v>0</v>
      </c>
      <c r="U606">
        <v>0</v>
      </c>
      <c r="V606">
        <v>13</v>
      </c>
      <c r="W606">
        <v>71500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>
      <c r="A607">
        <v>599</v>
      </c>
      <c r="B607" t="s">
        <v>149</v>
      </c>
      <c r="C607">
        <v>1401</v>
      </c>
      <c r="D607" t="s">
        <v>29</v>
      </c>
      <c r="E607" t="str">
        <f t="shared" si="9"/>
        <v>01401</v>
      </c>
      <c r="F607" t="s">
        <v>28</v>
      </c>
      <c r="G607" t="s">
        <v>164</v>
      </c>
      <c r="H607" t="s">
        <v>151</v>
      </c>
      <c r="I607" t="s">
        <v>4</v>
      </c>
      <c r="J607" t="s">
        <v>152</v>
      </c>
      <c r="K607" t="s">
        <v>153</v>
      </c>
      <c r="L607">
        <v>251200299</v>
      </c>
      <c r="M607" s="84">
        <v>46002</v>
      </c>
      <c r="N607" s="84">
        <v>46002</v>
      </c>
      <c r="O607" t="s">
        <v>267</v>
      </c>
      <c r="P607" t="s">
        <v>268</v>
      </c>
      <c r="Q607">
        <v>14250</v>
      </c>
      <c r="R607">
        <v>12</v>
      </c>
      <c r="S607">
        <v>171000</v>
      </c>
      <c r="T607">
        <v>0</v>
      </c>
      <c r="U607">
        <v>0</v>
      </c>
      <c r="V607">
        <v>12</v>
      </c>
      <c r="W607">
        <v>171000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>
      <c r="A608">
        <v>600</v>
      </c>
      <c r="B608" t="s">
        <v>149</v>
      </c>
      <c r="C608">
        <v>1401</v>
      </c>
      <c r="D608" t="s">
        <v>29</v>
      </c>
      <c r="E608" t="str">
        <f t="shared" si="9"/>
        <v>01401</v>
      </c>
      <c r="F608" t="s">
        <v>28</v>
      </c>
      <c r="G608" t="s">
        <v>164</v>
      </c>
      <c r="H608" t="s">
        <v>151</v>
      </c>
      <c r="I608" t="s">
        <v>5</v>
      </c>
      <c r="J608" t="s">
        <v>152</v>
      </c>
      <c r="K608" t="s">
        <v>153</v>
      </c>
      <c r="L608">
        <v>251200299</v>
      </c>
      <c r="M608" s="84">
        <v>46002</v>
      </c>
      <c r="N608" s="84">
        <v>46002</v>
      </c>
      <c r="O608" t="s">
        <v>196</v>
      </c>
      <c r="P608" t="s">
        <v>197</v>
      </c>
      <c r="Q608">
        <v>11700</v>
      </c>
      <c r="R608">
        <v>12</v>
      </c>
      <c r="S608">
        <v>140400</v>
      </c>
      <c r="T608">
        <v>0</v>
      </c>
      <c r="U608">
        <v>0</v>
      </c>
      <c r="V608">
        <v>12</v>
      </c>
      <c r="W608">
        <v>140400</v>
      </c>
      <c r="X608">
        <v>1800</v>
      </c>
      <c r="Y608">
        <v>1800</v>
      </c>
      <c r="Z608">
        <v>0</v>
      </c>
      <c r="AA608">
        <v>0</v>
      </c>
      <c r="AB608">
        <v>0</v>
      </c>
      <c r="AC608">
        <v>3600</v>
      </c>
    </row>
    <row r="609" spans="1:29">
      <c r="A609">
        <v>601</v>
      </c>
      <c r="B609" t="s">
        <v>149</v>
      </c>
      <c r="C609">
        <v>1401</v>
      </c>
      <c r="D609" t="s">
        <v>29</v>
      </c>
      <c r="E609" t="str">
        <f t="shared" si="9"/>
        <v>01401</v>
      </c>
      <c r="F609" t="s">
        <v>28</v>
      </c>
      <c r="G609" t="s">
        <v>164</v>
      </c>
      <c r="H609" t="s">
        <v>151</v>
      </c>
      <c r="I609" t="s">
        <v>5</v>
      </c>
      <c r="J609" t="s">
        <v>152</v>
      </c>
      <c r="K609" t="s">
        <v>153</v>
      </c>
      <c r="L609">
        <v>251200299</v>
      </c>
      <c r="M609" s="84">
        <v>46002</v>
      </c>
      <c r="N609" s="84">
        <v>46002</v>
      </c>
      <c r="O609" t="s">
        <v>191</v>
      </c>
      <c r="P609" t="s">
        <v>192</v>
      </c>
      <c r="Q609">
        <v>11700</v>
      </c>
      <c r="R609">
        <v>20</v>
      </c>
      <c r="S609">
        <v>234000</v>
      </c>
      <c r="T609">
        <v>0</v>
      </c>
      <c r="U609">
        <v>0</v>
      </c>
      <c r="V609">
        <v>20</v>
      </c>
      <c r="W609">
        <v>234000</v>
      </c>
      <c r="X609">
        <v>3000</v>
      </c>
      <c r="Y609">
        <v>3000</v>
      </c>
      <c r="Z609">
        <v>0</v>
      </c>
      <c r="AA609">
        <v>0</v>
      </c>
      <c r="AB609">
        <v>0</v>
      </c>
      <c r="AC609">
        <v>6000</v>
      </c>
    </row>
    <row r="610" spans="1:29">
      <c r="A610">
        <v>602</v>
      </c>
      <c r="B610" t="s">
        <v>149</v>
      </c>
      <c r="C610">
        <v>1400</v>
      </c>
      <c r="D610" t="s">
        <v>289</v>
      </c>
      <c r="E610" t="str">
        <f t="shared" si="9"/>
        <v>01400</v>
      </c>
      <c r="F610" t="s">
        <v>28</v>
      </c>
      <c r="G610" t="s">
        <v>164</v>
      </c>
      <c r="H610" t="s">
        <v>151</v>
      </c>
      <c r="I610" t="s">
        <v>210</v>
      </c>
      <c r="J610" t="s">
        <v>152</v>
      </c>
      <c r="K610" t="s">
        <v>153</v>
      </c>
      <c r="L610">
        <v>251200300</v>
      </c>
      <c r="M610" s="84">
        <v>46002</v>
      </c>
      <c r="N610" s="84">
        <v>46002</v>
      </c>
      <c r="O610" t="s">
        <v>213</v>
      </c>
      <c r="P610" t="s">
        <v>214</v>
      </c>
      <c r="Q610">
        <v>23802</v>
      </c>
      <c r="R610">
        <v>5</v>
      </c>
      <c r="S610">
        <v>119010</v>
      </c>
      <c r="T610">
        <v>0</v>
      </c>
      <c r="U610">
        <v>0</v>
      </c>
      <c r="V610">
        <v>5</v>
      </c>
      <c r="W610">
        <v>119010</v>
      </c>
      <c r="X610">
        <v>2380</v>
      </c>
      <c r="Y610">
        <v>2380</v>
      </c>
      <c r="Z610">
        <v>5000</v>
      </c>
      <c r="AA610">
        <v>0</v>
      </c>
      <c r="AB610">
        <v>500</v>
      </c>
      <c r="AC610">
        <v>10260</v>
      </c>
    </row>
    <row r="611" spans="1:29">
      <c r="A611">
        <v>603</v>
      </c>
      <c r="B611" t="s">
        <v>149</v>
      </c>
      <c r="C611">
        <v>336</v>
      </c>
      <c r="D611" t="s">
        <v>31</v>
      </c>
      <c r="E611" t="str">
        <f t="shared" si="9"/>
        <v>00336</v>
      </c>
      <c r="F611" t="s">
        <v>28</v>
      </c>
      <c r="G611" t="s">
        <v>164</v>
      </c>
      <c r="H611" t="s">
        <v>151</v>
      </c>
      <c r="I611" t="s">
        <v>231</v>
      </c>
      <c r="J611" t="s">
        <v>152</v>
      </c>
      <c r="K611" t="s">
        <v>153</v>
      </c>
      <c r="L611">
        <v>251200301</v>
      </c>
      <c r="M611" s="84">
        <v>46002</v>
      </c>
      <c r="N611" s="84">
        <v>46002</v>
      </c>
      <c r="O611" t="s">
        <v>234</v>
      </c>
      <c r="P611" t="s">
        <v>235</v>
      </c>
      <c r="Q611">
        <v>10432</v>
      </c>
      <c r="R611">
        <v>2</v>
      </c>
      <c r="S611">
        <v>20864</v>
      </c>
      <c r="T611">
        <v>0</v>
      </c>
      <c r="U611">
        <v>0</v>
      </c>
      <c r="V611">
        <v>2</v>
      </c>
      <c r="W611">
        <v>20864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 spans="1:29">
      <c r="A612">
        <v>604</v>
      </c>
      <c r="B612" t="s">
        <v>149</v>
      </c>
      <c r="C612">
        <v>336</v>
      </c>
      <c r="D612" t="s">
        <v>31</v>
      </c>
      <c r="E612" t="str">
        <f t="shared" si="9"/>
        <v>00336</v>
      </c>
      <c r="F612" t="s">
        <v>28</v>
      </c>
      <c r="G612" t="s">
        <v>164</v>
      </c>
      <c r="H612" t="s">
        <v>151</v>
      </c>
      <c r="I612" t="s">
        <v>231</v>
      </c>
      <c r="J612" t="s">
        <v>152</v>
      </c>
      <c r="K612" t="s">
        <v>153</v>
      </c>
      <c r="L612">
        <v>251200301</v>
      </c>
      <c r="M612" s="84">
        <v>46002</v>
      </c>
      <c r="N612" s="84">
        <v>46002</v>
      </c>
      <c r="O612" t="s">
        <v>232</v>
      </c>
      <c r="P612" t="s">
        <v>122</v>
      </c>
      <c r="Q612">
        <v>6213</v>
      </c>
      <c r="R612">
        <v>1</v>
      </c>
      <c r="S612">
        <v>6213</v>
      </c>
      <c r="T612">
        <v>0</v>
      </c>
      <c r="U612">
        <v>0</v>
      </c>
      <c r="V612">
        <v>1</v>
      </c>
      <c r="W612">
        <v>6213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 spans="1:29">
      <c r="A613">
        <v>605</v>
      </c>
      <c r="B613" t="s">
        <v>149</v>
      </c>
      <c r="C613">
        <v>1305</v>
      </c>
      <c r="D613" t="s">
        <v>383</v>
      </c>
      <c r="E613" t="str">
        <f t="shared" si="9"/>
        <v>01305</v>
      </c>
      <c r="F613" t="s">
        <v>28</v>
      </c>
      <c r="G613" t="s">
        <v>164</v>
      </c>
      <c r="H613" t="s">
        <v>151</v>
      </c>
      <c r="I613" t="s">
        <v>5</v>
      </c>
      <c r="J613" t="s">
        <v>152</v>
      </c>
      <c r="K613" t="s">
        <v>153</v>
      </c>
      <c r="L613">
        <v>251200302</v>
      </c>
      <c r="M613" s="84">
        <v>46002</v>
      </c>
      <c r="N613" s="84">
        <v>46002</v>
      </c>
      <c r="O613" t="s">
        <v>191</v>
      </c>
      <c r="P613" t="s">
        <v>192</v>
      </c>
      <c r="Q613">
        <v>4500</v>
      </c>
      <c r="R613">
        <v>32</v>
      </c>
      <c r="S613">
        <v>144000</v>
      </c>
      <c r="T613">
        <v>0</v>
      </c>
      <c r="U613">
        <v>0</v>
      </c>
      <c r="V613">
        <v>32</v>
      </c>
      <c r="W613">
        <v>144000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</row>
    <row r="614" spans="1:29">
      <c r="A614">
        <v>606</v>
      </c>
      <c r="B614" t="s">
        <v>149</v>
      </c>
      <c r="C614">
        <v>398</v>
      </c>
      <c r="D614" t="s">
        <v>105</v>
      </c>
      <c r="E614" t="str">
        <f t="shared" si="9"/>
        <v>00398</v>
      </c>
      <c r="F614" t="s">
        <v>103</v>
      </c>
      <c r="G614" t="s">
        <v>167</v>
      </c>
      <c r="H614" t="s">
        <v>151</v>
      </c>
      <c r="I614" t="s">
        <v>4</v>
      </c>
      <c r="J614" t="s">
        <v>152</v>
      </c>
      <c r="K614" t="s">
        <v>153</v>
      </c>
      <c r="L614">
        <v>251200303</v>
      </c>
      <c r="M614" s="84">
        <v>46002</v>
      </c>
      <c r="N614" s="84">
        <v>46002</v>
      </c>
      <c r="O614" t="s">
        <v>200</v>
      </c>
      <c r="P614" t="s">
        <v>201</v>
      </c>
      <c r="Q614">
        <v>14250</v>
      </c>
      <c r="R614">
        <v>10</v>
      </c>
      <c r="S614">
        <v>142500</v>
      </c>
      <c r="T614">
        <v>0</v>
      </c>
      <c r="U614">
        <v>0</v>
      </c>
      <c r="V614">
        <v>10</v>
      </c>
      <c r="W614">
        <v>142500</v>
      </c>
      <c r="X614">
        <v>1500</v>
      </c>
      <c r="Y614">
        <v>2000</v>
      </c>
      <c r="Z614">
        <v>0</v>
      </c>
      <c r="AA614">
        <v>0</v>
      </c>
      <c r="AB614">
        <v>0</v>
      </c>
      <c r="AC614">
        <v>3500</v>
      </c>
    </row>
    <row r="615" spans="1:29">
      <c r="A615">
        <v>607</v>
      </c>
      <c r="B615" t="s">
        <v>149</v>
      </c>
      <c r="C615">
        <v>387</v>
      </c>
      <c r="D615" t="s">
        <v>109</v>
      </c>
      <c r="E615" t="str">
        <f t="shared" si="9"/>
        <v>00387</v>
      </c>
      <c r="F615" t="s">
        <v>103</v>
      </c>
      <c r="G615" t="s">
        <v>167</v>
      </c>
      <c r="H615" t="s">
        <v>151</v>
      </c>
      <c r="I615" t="s">
        <v>173</v>
      </c>
      <c r="J615" t="s">
        <v>152</v>
      </c>
      <c r="K615" t="s">
        <v>153</v>
      </c>
      <c r="L615">
        <v>251200304</v>
      </c>
      <c r="M615" s="84">
        <v>46002</v>
      </c>
      <c r="N615" s="84">
        <v>46002</v>
      </c>
      <c r="O615" t="s">
        <v>285</v>
      </c>
      <c r="P615" t="s">
        <v>286</v>
      </c>
      <c r="Q615">
        <v>3750</v>
      </c>
      <c r="R615">
        <v>10</v>
      </c>
      <c r="S615">
        <v>37500</v>
      </c>
      <c r="T615">
        <v>0</v>
      </c>
      <c r="U615">
        <v>0</v>
      </c>
      <c r="V615">
        <v>10</v>
      </c>
      <c r="W615">
        <v>37500</v>
      </c>
      <c r="X615">
        <v>0</v>
      </c>
      <c r="Y615">
        <v>750</v>
      </c>
      <c r="Z615">
        <v>1880</v>
      </c>
      <c r="AA615">
        <v>0</v>
      </c>
      <c r="AB615">
        <v>1000</v>
      </c>
      <c r="AC615">
        <v>3630</v>
      </c>
    </row>
    <row r="616" spans="1:29">
      <c r="A616">
        <v>608</v>
      </c>
      <c r="B616" t="s">
        <v>149</v>
      </c>
      <c r="C616">
        <v>387</v>
      </c>
      <c r="D616" t="s">
        <v>109</v>
      </c>
      <c r="E616" t="str">
        <f t="shared" si="9"/>
        <v>00387</v>
      </c>
      <c r="F616" t="s">
        <v>103</v>
      </c>
      <c r="G616" t="s">
        <v>167</v>
      </c>
      <c r="H616" t="s">
        <v>151</v>
      </c>
      <c r="I616" t="s">
        <v>231</v>
      </c>
      <c r="J616" t="s">
        <v>152</v>
      </c>
      <c r="K616" t="s">
        <v>153</v>
      </c>
      <c r="L616">
        <v>251200304</v>
      </c>
      <c r="M616" s="84">
        <v>46002</v>
      </c>
      <c r="N616" s="84">
        <v>46002</v>
      </c>
      <c r="O616" t="s">
        <v>233</v>
      </c>
      <c r="P616" t="s">
        <v>118</v>
      </c>
      <c r="Q616">
        <v>4486</v>
      </c>
      <c r="R616">
        <v>4</v>
      </c>
      <c r="S616">
        <v>17944</v>
      </c>
      <c r="T616">
        <v>0</v>
      </c>
      <c r="U616">
        <v>0</v>
      </c>
      <c r="V616">
        <v>4</v>
      </c>
      <c r="W616">
        <v>17944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 spans="1:29">
      <c r="A617">
        <v>609</v>
      </c>
      <c r="B617" t="s">
        <v>149</v>
      </c>
      <c r="C617">
        <v>1326</v>
      </c>
      <c r="D617" t="s">
        <v>338</v>
      </c>
      <c r="E617" t="str">
        <f t="shared" si="9"/>
        <v>01326</v>
      </c>
      <c r="F617" t="s">
        <v>15</v>
      </c>
      <c r="G617" t="s">
        <v>193</v>
      </c>
      <c r="H617" t="s">
        <v>151</v>
      </c>
      <c r="I617" t="s">
        <v>5</v>
      </c>
      <c r="J617" t="s">
        <v>152</v>
      </c>
      <c r="K617" t="s">
        <v>153</v>
      </c>
      <c r="L617">
        <v>251200305</v>
      </c>
      <c r="M617" s="84">
        <v>46002</v>
      </c>
      <c r="N617" s="84">
        <v>46002</v>
      </c>
      <c r="O617" t="s">
        <v>191</v>
      </c>
      <c r="P617" t="s">
        <v>192</v>
      </c>
      <c r="Q617">
        <v>4500</v>
      </c>
      <c r="R617">
        <v>12</v>
      </c>
      <c r="S617">
        <v>54000</v>
      </c>
      <c r="T617">
        <v>0</v>
      </c>
      <c r="U617">
        <v>0</v>
      </c>
      <c r="V617">
        <v>12</v>
      </c>
      <c r="W617">
        <v>54000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 spans="1:29">
      <c r="A618">
        <v>610</v>
      </c>
      <c r="B618" t="s">
        <v>149</v>
      </c>
      <c r="C618">
        <v>1326</v>
      </c>
      <c r="D618" t="s">
        <v>338</v>
      </c>
      <c r="E618" t="str">
        <f t="shared" si="9"/>
        <v>01326</v>
      </c>
      <c r="F618" t="s">
        <v>15</v>
      </c>
      <c r="G618" t="s">
        <v>193</v>
      </c>
      <c r="H618" t="s">
        <v>151</v>
      </c>
      <c r="I618" t="s">
        <v>4</v>
      </c>
      <c r="J618" t="s">
        <v>152</v>
      </c>
      <c r="K618" t="s">
        <v>153</v>
      </c>
      <c r="L618">
        <v>251200305</v>
      </c>
      <c r="M618" s="84">
        <v>46002</v>
      </c>
      <c r="N618" s="84">
        <v>46002</v>
      </c>
      <c r="O618" t="s">
        <v>160</v>
      </c>
      <c r="P618" t="s">
        <v>161</v>
      </c>
      <c r="Q618">
        <v>5500</v>
      </c>
      <c r="R618">
        <v>15</v>
      </c>
      <c r="S618">
        <v>82500</v>
      </c>
      <c r="T618">
        <v>0</v>
      </c>
      <c r="U618">
        <v>0</v>
      </c>
      <c r="V618">
        <v>15</v>
      </c>
      <c r="W618">
        <v>82500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</row>
    <row r="619" spans="1:29">
      <c r="A619">
        <v>611</v>
      </c>
      <c r="B619" t="s">
        <v>149</v>
      </c>
      <c r="C619">
        <v>1550</v>
      </c>
      <c r="D619" t="s">
        <v>337</v>
      </c>
      <c r="E619" t="str">
        <f t="shared" si="9"/>
        <v>01550</v>
      </c>
      <c r="F619" t="s">
        <v>15</v>
      </c>
      <c r="G619" t="s">
        <v>193</v>
      </c>
      <c r="H619" t="s">
        <v>151</v>
      </c>
      <c r="I619" t="s">
        <v>5</v>
      </c>
      <c r="J619" t="s">
        <v>152</v>
      </c>
      <c r="K619" t="s">
        <v>153</v>
      </c>
      <c r="L619">
        <v>251200306</v>
      </c>
      <c r="M619" s="84">
        <v>46002</v>
      </c>
      <c r="N619" s="84">
        <v>46002</v>
      </c>
      <c r="O619" t="s">
        <v>191</v>
      </c>
      <c r="P619" t="s">
        <v>192</v>
      </c>
      <c r="Q619">
        <v>4500</v>
      </c>
      <c r="R619">
        <v>28</v>
      </c>
      <c r="S619">
        <v>126000</v>
      </c>
      <c r="T619">
        <v>0</v>
      </c>
      <c r="U619">
        <v>0</v>
      </c>
      <c r="V619">
        <v>28</v>
      </c>
      <c r="W619">
        <v>126000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</row>
    <row r="620" spans="1:29">
      <c r="A620">
        <v>612</v>
      </c>
      <c r="B620" t="s">
        <v>149</v>
      </c>
      <c r="C620">
        <v>988</v>
      </c>
      <c r="D620" t="s">
        <v>19</v>
      </c>
      <c r="E620" t="str">
        <f t="shared" si="9"/>
        <v>00988</v>
      </c>
      <c r="F620" t="s">
        <v>15</v>
      </c>
      <c r="G620" t="s">
        <v>193</v>
      </c>
      <c r="H620" t="s">
        <v>151</v>
      </c>
      <c r="I620" t="s">
        <v>4</v>
      </c>
      <c r="J620" t="s">
        <v>152</v>
      </c>
      <c r="K620" t="s">
        <v>153</v>
      </c>
      <c r="L620">
        <v>251200307</v>
      </c>
      <c r="M620" s="84">
        <v>46002</v>
      </c>
      <c r="N620" s="84">
        <v>46002</v>
      </c>
      <c r="O620" t="s">
        <v>179</v>
      </c>
      <c r="P620" t="s">
        <v>180</v>
      </c>
      <c r="Q620">
        <v>14250</v>
      </c>
      <c r="R620">
        <v>10</v>
      </c>
      <c r="S620">
        <v>142500</v>
      </c>
      <c r="T620">
        <v>0</v>
      </c>
      <c r="U620">
        <v>0</v>
      </c>
      <c r="V620">
        <v>10</v>
      </c>
      <c r="W620">
        <v>142500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</row>
    <row r="621" spans="1:29">
      <c r="A621">
        <v>613</v>
      </c>
      <c r="B621" t="s">
        <v>149</v>
      </c>
      <c r="C621">
        <v>988</v>
      </c>
      <c r="D621" t="s">
        <v>19</v>
      </c>
      <c r="E621" t="str">
        <f t="shared" si="9"/>
        <v>00988</v>
      </c>
      <c r="F621" t="s">
        <v>15</v>
      </c>
      <c r="G621" t="s">
        <v>193</v>
      </c>
      <c r="H621" t="s">
        <v>151</v>
      </c>
      <c r="I621" t="s">
        <v>5</v>
      </c>
      <c r="J621" t="s">
        <v>152</v>
      </c>
      <c r="K621" t="s">
        <v>153</v>
      </c>
      <c r="L621">
        <v>251200307</v>
      </c>
      <c r="M621" s="84">
        <v>46002</v>
      </c>
      <c r="N621" s="84">
        <v>46002</v>
      </c>
      <c r="O621" t="s">
        <v>191</v>
      </c>
      <c r="P621" t="s">
        <v>192</v>
      </c>
      <c r="Q621">
        <v>11700</v>
      </c>
      <c r="R621">
        <v>20</v>
      </c>
      <c r="S621">
        <v>234000</v>
      </c>
      <c r="T621">
        <v>0</v>
      </c>
      <c r="U621">
        <v>0</v>
      </c>
      <c r="V621">
        <v>20</v>
      </c>
      <c r="W621">
        <v>234000</v>
      </c>
      <c r="X621">
        <v>3000</v>
      </c>
      <c r="Y621">
        <v>3000</v>
      </c>
      <c r="Z621">
        <v>0</v>
      </c>
      <c r="AA621">
        <v>0</v>
      </c>
      <c r="AB621">
        <v>0</v>
      </c>
      <c r="AC621">
        <v>6000</v>
      </c>
    </row>
    <row r="622" spans="1:29">
      <c r="A622">
        <v>614</v>
      </c>
      <c r="B622" t="s">
        <v>149</v>
      </c>
      <c r="C622">
        <v>1312</v>
      </c>
      <c r="D622" t="s">
        <v>359</v>
      </c>
      <c r="E622" t="str">
        <f t="shared" si="9"/>
        <v>01312</v>
      </c>
      <c r="F622" t="s">
        <v>15</v>
      </c>
      <c r="G622" t="s">
        <v>193</v>
      </c>
      <c r="H622" t="s">
        <v>151</v>
      </c>
      <c r="I622" t="s">
        <v>5</v>
      </c>
      <c r="J622" t="s">
        <v>152</v>
      </c>
      <c r="K622" t="s">
        <v>153</v>
      </c>
      <c r="L622">
        <v>251200308</v>
      </c>
      <c r="M622" s="84">
        <v>46002</v>
      </c>
      <c r="N622" s="84">
        <v>46002</v>
      </c>
      <c r="O622" t="s">
        <v>360</v>
      </c>
      <c r="P622" t="s">
        <v>361</v>
      </c>
      <c r="Q622">
        <v>4500</v>
      </c>
      <c r="R622">
        <v>20</v>
      </c>
      <c r="S622">
        <v>90000</v>
      </c>
      <c r="T622">
        <v>0</v>
      </c>
      <c r="U622">
        <v>0</v>
      </c>
      <c r="V622">
        <v>20</v>
      </c>
      <c r="W622">
        <v>90000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 spans="1:29">
      <c r="A623">
        <v>615</v>
      </c>
      <c r="B623" t="s">
        <v>149</v>
      </c>
      <c r="C623">
        <v>1312</v>
      </c>
      <c r="D623" t="s">
        <v>359</v>
      </c>
      <c r="E623" t="str">
        <f t="shared" si="9"/>
        <v>01312</v>
      </c>
      <c r="F623" t="s">
        <v>15</v>
      </c>
      <c r="G623" t="s">
        <v>193</v>
      </c>
      <c r="H623" t="s">
        <v>151</v>
      </c>
      <c r="I623" t="s">
        <v>5</v>
      </c>
      <c r="J623" t="s">
        <v>152</v>
      </c>
      <c r="K623" t="s">
        <v>153</v>
      </c>
      <c r="L623">
        <v>251200308</v>
      </c>
      <c r="M623" s="84">
        <v>46002</v>
      </c>
      <c r="N623" s="84">
        <v>46002</v>
      </c>
      <c r="O623" t="s">
        <v>196</v>
      </c>
      <c r="P623" t="s">
        <v>197</v>
      </c>
      <c r="Q623">
        <v>4500</v>
      </c>
      <c r="R623">
        <v>8</v>
      </c>
      <c r="S623">
        <v>36000</v>
      </c>
      <c r="T623">
        <v>0</v>
      </c>
      <c r="U623">
        <v>0</v>
      </c>
      <c r="V623">
        <v>8</v>
      </c>
      <c r="W623">
        <v>36000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</row>
    <row r="624" spans="1:29">
      <c r="A624">
        <v>616</v>
      </c>
      <c r="B624" t="s">
        <v>149</v>
      </c>
      <c r="C624">
        <v>1320</v>
      </c>
      <c r="D624" t="s">
        <v>319</v>
      </c>
      <c r="E624" t="str">
        <f t="shared" si="9"/>
        <v>01320</v>
      </c>
      <c r="F624" t="s">
        <v>171</v>
      </c>
      <c r="G624" t="s">
        <v>172</v>
      </c>
      <c r="H624" t="s">
        <v>157</v>
      </c>
      <c r="I624" t="s">
        <v>4</v>
      </c>
      <c r="J624" t="s">
        <v>152</v>
      </c>
      <c r="K624" t="s">
        <v>174</v>
      </c>
      <c r="L624">
        <v>251200309</v>
      </c>
      <c r="M624" s="84">
        <v>46002</v>
      </c>
      <c r="N624" s="84">
        <v>46002</v>
      </c>
      <c r="O624" t="s">
        <v>390</v>
      </c>
      <c r="P624" t="s">
        <v>391</v>
      </c>
      <c r="Q624">
        <v>5500</v>
      </c>
      <c r="R624">
        <v>10</v>
      </c>
      <c r="S624">
        <v>55000</v>
      </c>
      <c r="T624">
        <v>0</v>
      </c>
      <c r="U624">
        <v>0</v>
      </c>
      <c r="V624">
        <v>10</v>
      </c>
      <c r="W624">
        <v>55000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</row>
    <row r="625" spans="1:29">
      <c r="A625">
        <v>617</v>
      </c>
      <c r="B625" t="s">
        <v>149</v>
      </c>
      <c r="C625">
        <v>1438</v>
      </c>
      <c r="D625" t="s">
        <v>320</v>
      </c>
      <c r="E625" t="str">
        <f t="shared" si="9"/>
        <v>01438</v>
      </c>
      <c r="F625" t="s">
        <v>171</v>
      </c>
      <c r="G625" t="s">
        <v>172</v>
      </c>
      <c r="H625" t="s">
        <v>157</v>
      </c>
      <c r="I625" t="s">
        <v>4</v>
      </c>
      <c r="J625" t="s">
        <v>152</v>
      </c>
      <c r="K625" t="s">
        <v>174</v>
      </c>
      <c r="L625">
        <v>251200310</v>
      </c>
      <c r="M625" s="84">
        <v>46002</v>
      </c>
      <c r="N625" s="84">
        <v>46002</v>
      </c>
      <c r="O625" t="s">
        <v>248</v>
      </c>
      <c r="P625" t="s">
        <v>249</v>
      </c>
      <c r="Q625">
        <v>5500</v>
      </c>
      <c r="R625">
        <v>10</v>
      </c>
      <c r="S625">
        <v>55000</v>
      </c>
      <c r="T625">
        <v>0</v>
      </c>
      <c r="U625">
        <v>0</v>
      </c>
      <c r="V625">
        <v>10</v>
      </c>
      <c r="W625">
        <v>55000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 spans="1:29">
      <c r="A626">
        <v>618</v>
      </c>
      <c r="B626" t="s">
        <v>149</v>
      </c>
      <c r="C626">
        <v>1470</v>
      </c>
      <c r="D626" t="s">
        <v>12</v>
      </c>
      <c r="E626" t="str">
        <f t="shared" si="9"/>
        <v>01470</v>
      </c>
      <c r="F626" t="s">
        <v>10</v>
      </c>
      <c r="G626" t="s">
        <v>172</v>
      </c>
      <c r="H626" t="s">
        <v>157</v>
      </c>
      <c r="I626" t="s">
        <v>4</v>
      </c>
      <c r="J626" t="s">
        <v>152</v>
      </c>
      <c r="K626" t="s">
        <v>174</v>
      </c>
      <c r="L626">
        <v>251200311</v>
      </c>
      <c r="M626" s="84">
        <v>46002</v>
      </c>
      <c r="N626" s="84">
        <v>46002</v>
      </c>
      <c r="O626" t="s">
        <v>290</v>
      </c>
      <c r="P626" t="s">
        <v>291</v>
      </c>
      <c r="Q626">
        <v>14250</v>
      </c>
      <c r="R626">
        <v>10</v>
      </c>
      <c r="S626">
        <v>142500</v>
      </c>
      <c r="T626">
        <v>0</v>
      </c>
      <c r="U626">
        <v>0</v>
      </c>
      <c r="V626">
        <v>10</v>
      </c>
      <c r="W626">
        <v>142500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</row>
    <row r="627" spans="1:29">
      <c r="A627">
        <v>619</v>
      </c>
      <c r="B627" t="s">
        <v>149</v>
      </c>
      <c r="C627">
        <v>1470</v>
      </c>
      <c r="D627" t="s">
        <v>12</v>
      </c>
      <c r="E627" t="str">
        <f t="shared" si="9"/>
        <v>01470</v>
      </c>
      <c r="F627" t="s">
        <v>10</v>
      </c>
      <c r="G627" t="s">
        <v>172</v>
      </c>
      <c r="H627" t="s">
        <v>157</v>
      </c>
      <c r="I627" t="s">
        <v>4</v>
      </c>
      <c r="J627" t="s">
        <v>152</v>
      </c>
      <c r="K627" t="s">
        <v>174</v>
      </c>
      <c r="L627">
        <v>251200311</v>
      </c>
      <c r="M627" s="84">
        <v>46002</v>
      </c>
      <c r="N627" s="84">
        <v>46002</v>
      </c>
      <c r="O627" t="s">
        <v>256</v>
      </c>
      <c r="P627" t="s">
        <v>257</v>
      </c>
      <c r="Q627">
        <v>14250</v>
      </c>
      <c r="R627">
        <v>25</v>
      </c>
      <c r="S627">
        <v>356250</v>
      </c>
      <c r="T627">
        <v>0</v>
      </c>
      <c r="U627">
        <v>0</v>
      </c>
      <c r="V627">
        <v>25</v>
      </c>
      <c r="W627">
        <v>356250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 spans="1:29">
      <c r="A628">
        <v>620</v>
      </c>
      <c r="B628" t="s">
        <v>149</v>
      </c>
      <c r="C628">
        <v>1470</v>
      </c>
      <c r="D628" t="s">
        <v>12</v>
      </c>
      <c r="E628" t="str">
        <f t="shared" si="9"/>
        <v>01470</v>
      </c>
      <c r="F628" t="s">
        <v>10</v>
      </c>
      <c r="G628" t="s">
        <v>172</v>
      </c>
      <c r="H628" t="s">
        <v>157</v>
      </c>
      <c r="I628" t="s">
        <v>5</v>
      </c>
      <c r="J628" t="s">
        <v>152</v>
      </c>
      <c r="K628" t="s">
        <v>174</v>
      </c>
      <c r="L628">
        <v>251200312</v>
      </c>
      <c r="M628" s="84">
        <v>46002</v>
      </c>
      <c r="N628" s="84">
        <v>46002</v>
      </c>
      <c r="O628" t="s">
        <v>191</v>
      </c>
      <c r="P628" t="s">
        <v>192</v>
      </c>
      <c r="Q628">
        <v>11700</v>
      </c>
      <c r="R628">
        <v>20</v>
      </c>
      <c r="S628">
        <v>234000</v>
      </c>
      <c r="T628">
        <v>0</v>
      </c>
      <c r="U628">
        <v>0</v>
      </c>
      <c r="V628">
        <v>20</v>
      </c>
      <c r="W628">
        <v>234000</v>
      </c>
      <c r="X628">
        <v>3000</v>
      </c>
      <c r="Y628">
        <v>3000</v>
      </c>
      <c r="Z628">
        <v>0</v>
      </c>
      <c r="AA628">
        <v>0</v>
      </c>
      <c r="AB628">
        <v>0</v>
      </c>
      <c r="AC628">
        <v>6000</v>
      </c>
    </row>
    <row r="629" spans="1:29">
      <c r="A629">
        <v>621</v>
      </c>
      <c r="B629" t="s">
        <v>149</v>
      </c>
      <c r="C629">
        <v>1470</v>
      </c>
      <c r="D629" t="s">
        <v>12</v>
      </c>
      <c r="E629" t="str">
        <f t="shared" si="9"/>
        <v>01470</v>
      </c>
      <c r="F629" t="s">
        <v>10</v>
      </c>
      <c r="G629" t="s">
        <v>172</v>
      </c>
      <c r="H629" t="s">
        <v>157</v>
      </c>
      <c r="I629" t="s">
        <v>5</v>
      </c>
      <c r="J629" t="s">
        <v>152</v>
      </c>
      <c r="K629" t="s">
        <v>174</v>
      </c>
      <c r="L629">
        <v>251200313</v>
      </c>
      <c r="M629" s="84">
        <v>46002</v>
      </c>
      <c r="N629" s="84">
        <v>46002</v>
      </c>
      <c r="O629" t="s">
        <v>191</v>
      </c>
      <c r="P629" t="s">
        <v>192</v>
      </c>
      <c r="Q629">
        <v>11700</v>
      </c>
      <c r="R629">
        <v>4</v>
      </c>
      <c r="S629">
        <v>46800</v>
      </c>
      <c r="T629">
        <v>0</v>
      </c>
      <c r="U629">
        <v>0</v>
      </c>
      <c r="V629">
        <v>4</v>
      </c>
      <c r="W629">
        <v>46800</v>
      </c>
      <c r="X629">
        <v>600</v>
      </c>
      <c r="Y629">
        <v>600</v>
      </c>
      <c r="Z629">
        <v>0</v>
      </c>
      <c r="AA629">
        <v>0</v>
      </c>
      <c r="AB629">
        <v>0</v>
      </c>
      <c r="AC629">
        <v>1200</v>
      </c>
    </row>
    <row r="630" spans="1:29">
      <c r="A630">
        <v>622</v>
      </c>
      <c r="B630" t="s">
        <v>149</v>
      </c>
      <c r="C630">
        <v>1533</v>
      </c>
      <c r="D630" t="s">
        <v>330</v>
      </c>
      <c r="E630" t="str">
        <f t="shared" si="9"/>
        <v>01533</v>
      </c>
      <c r="F630" t="s">
        <v>65</v>
      </c>
      <c r="G630" t="s">
        <v>208</v>
      </c>
      <c r="H630" t="s">
        <v>157</v>
      </c>
      <c r="I630" t="s">
        <v>4</v>
      </c>
      <c r="J630" t="s">
        <v>152</v>
      </c>
      <c r="K630" t="s">
        <v>174</v>
      </c>
      <c r="L630">
        <v>251200314</v>
      </c>
      <c r="M630" s="84">
        <v>46002</v>
      </c>
      <c r="N630" s="84">
        <v>46002</v>
      </c>
      <c r="O630" t="s">
        <v>256</v>
      </c>
      <c r="P630" t="s">
        <v>257</v>
      </c>
      <c r="Q630">
        <v>5500</v>
      </c>
      <c r="R630">
        <v>5</v>
      </c>
      <c r="S630">
        <v>27500</v>
      </c>
      <c r="T630">
        <v>0</v>
      </c>
      <c r="U630">
        <v>0</v>
      </c>
      <c r="V630">
        <v>5</v>
      </c>
      <c r="W630">
        <v>27500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 spans="1:29">
      <c r="A631">
        <v>623</v>
      </c>
      <c r="B631" t="s">
        <v>149</v>
      </c>
      <c r="C631">
        <v>1533</v>
      </c>
      <c r="D631" t="s">
        <v>330</v>
      </c>
      <c r="E631" t="str">
        <f t="shared" si="9"/>
        <v>01533</v>
      </c>
      <c r="F631" t="s">
        <v>65</v>
      </c>
      <c r="G631" t="s">
        <v>208</v>
      </c>
      <c r="H631" t="s">
        <v>157</v>
      </c>
      <c r="I631" t="s">
        <v>4</v>
      </c>
      <c r="J631" t="s">
        <v>152</v>
      </c>
      <c r="K631" t="s">
        <v>174</v>
      </c>
      <c r="L631">
        <v>251200314</v>
      </c>
      <c r="M631" s="84">
        <v>46002</v>
      </c>
      <c r="N631" s="84">
        <v>46002</v>
      </c>
      <c r="O631" t="s">
        <v>160</v>
      </c>
      <c r="P631" t="s">
        <v>161</v>
      </c>
      <c r="Q631">
        <v>5500</v>
      </c>
      <c r="R631">
        <v>5</v>
      </c>
      <c r="S631">
        <v>27500</v>
      </c>
      <c r="T631">
        <v>0</v>
      </c>
      <c r="U631">
        <v>0</v>
      </c>
      <c r="V631">
        <v>5</v>
      </c>
      <c r="W631">
        <v>27500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</row>
    <row r="632" spans="1:29">
      <c r="A632">
        <v>624</v>
      </c>
      <c r="B632" t="s">
        <v>149</v>
      </c>
      <c r="C632">
        <v>1391</v>
      </c>
      <c r="D632" t="s">
        <v>97</v>
      </c>
      <c r="E632" t="str">
        <f t="shared" si="9"/>
        <v>01391</v>
      </c>
      <c r="F632" t="s">
        <v>95</v>
      </c>
      <c r="G632" t="s">
        <v>187</v>
      </c>
      <c r="H632" t="s">
        <v>188</v>
      </c>
      <c r="I632" t="s">
        <v>4</v>
      </c>
      <c r="J632" t="s">
        <v>152</v>
      </c>
      <c r="K632" t="s">
        <v>159</v>
      </c>
      <c r="L632">
        <v>251200315</v>
      </c>
      <c r="M632" s="84">
        <v>46002</v>
      </c>
      <c r="N632" s="84">
        <v>46002</v>
      </c>
      <c r="O632" t="s">
        <v>219</v>
      </c>
      <c r="P632" t="s">
        <v>220</v>
      </c>
      <c r="Q632">
        <v>13200</v>
      </c>
      <c r="R632">
        <v>5</v>
      </c>
      <c r="S632">
        <v>66000</v>
      </c>
      <c r="T632">
        <v>0</v>
      </c>
      <c r="U632">
        <v>0</v>
      </c>
      <c r="V632">
        <v>5</v>
      </c>
      <c r="W632">
        <v>66000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</row>
    <row r="633" spans="1:29">
      <c r="A633">
        <v>625</v>
      </c>
      <c r="B633" t="s">
        <v>149</v>
      </c>
      <c r="C633">
        <v>1588</v>
      </c>
      <c r="D633" t="s">
        <v>90</v>
      </c>
      <c r="E633" t="str">
        <f t="shared" si="9"/>
        <v>01588</v>
      </c>
      <c r="F633" t="s">
        <v>86</v>
      </c>
      <c r="G633" t="s">
        <v>156</v>
      </c>
      <c r="H633" t="s">
        <v>157</v>
      </c>
      <c r="I633" t="s">
        <v>4</v>
      </c>
      <c r="J633" t="s">
        <v>152</v>
      </c>
      <c r="K633" t="s">
        <v>159</v>
      </c>
      <c r="L633">
        <v>251200316</v>
      </c>
      <c r="M633" s="84">
        <v>46002</v>
      </c>
      <c r="N633" s="84">
        <v>46002</v>
      </c>
      <c r="O633" t="s">
        <v>160</v>
      </c>
      <c r="P633" t="s">
        <v>161</v>
      </c>
      <c r="Q633">
        <v>14250</v>
      </c>
      <c r="R633">
        <v>10</v>
      </c>
      <c r="S633">
        <v>142500</v>
      </c>
      <c r="T633">
        <v>0</v>
      </c>
      <c r="U633">
        <v>0</v>
      </c>
      <c r="V633">
        <v>10</v>
      </c>
      <c r="W633">
        <v>142500</v>
      </c>
      <c r="X633">
        <v>1500</v>
      </c>
      <c r="Y633">
        <v>2000</v>
      </c>
      <c r="Z633">
        <v>0</v>
      </c>
      <c r="AA633">
        <v>0</v>
      </c>
      <c r="AB633">
        <v>0</v>
      </c>
      <c r="AC633">
        <v>3500</v>
      </c>
    </row>
    <row r="634" spans="1:29">
      <c r="A634">
        <v>626</v>
      </c>
      <c r="B634" t="s">
        <v>149</v>
      </c>
      <c r="C634">
        <v>496</v>
      </c>
      <c r="D634" t="s">
        <v>8</v>
      </c>
      <c r="E634" t="str">
        <f t="shared" si="9"/>
        <v>00496</v>
      </c>
      <c r="F634" t="s">
        <v>7</v>
      </c>
      <c r="G634" t="s">
        <v>156</v>
      </c>
      <c r="H634" t="s">
        <v>157</v>
      </c>
      <c r="I634" t="s">
        <v>4</v>
      </c>
      <c r="J634" t="s">
        <v>152</v>
      </c>
      <c r="K634" t="s">
        <v>159</v>
      </c>
      <c r="L634">
        <v>251200317</v>
      </c>
      <c r="M634" s="84">
        <v>46002</v>
      </c>
      <c r="N634" s="84">
        <v>46002</v>
      </c>
      <c r="O634" t="s">
        <v>160</v>
      </c>
      <c r="P634" t="s">
        <v>161</v>
      </c>
      <c r="Q634">
        <v>14250</v>
      </c>
      <c r="R634">
        <v>4</v>
      </c>
      <c r="S634">
        <v>57000</v>
      </c>
      <c r="T634">
        <v>0</v>
      </c>
      <c r="U634">
        <v>0</v>
      </c>
      <c r="V634">
        <v>4</v>
      </c>
      <c r="W634">
        <v>57000</v>
      </c>
      <c r="X634">
        <v>600</v>
      </c>
      <c r="Y634">
        <v>800</v>
      </c>
      <c r="Z634">
        <v>0</v>
      </c>
      <c r="AA634">
        <v>0</v>
      </c>
      <c r="AB634">
        <v>0</v>
      </c>
      <c r="AC634">
        <v>1400</v>
      </c>
    </row>
    <row r="635" spans="1:29">
      <c r="A635">
        <v>627</v>
      </c>
      <c r="B635" t="s">
        <v>149</v>
      </c>
      <c r="C635">
        <v>1112</v>
      </c>
      <c r="D635" t="s">
        <v>44</v>
      </c>
      <c r="E635" t="str">
        <f t="shared" si="9"/>
        <v>01112</v>
      </c>
      <c r="F635" t="s">
        <v>43</v>
      </c>
      <c r="G635" t="s">
        <v>150</v>
      </c>
      <c r="H635" t="s">
        <v>151</v>
      </c>
      <c r="I635" t="s">
        <v>5</v>
      </c>
      <c r="J635" t="s">
        <v>152</v>
      </c>
      <c r="K635" t="s">
        <v>153</v>
      </c>
      <c r="L635">
        <v>251200318</v>
      </c>
      <c r="M635" s="84">
        <v>46002</v>
      </c>
      <c r="N635" s="84">
        <v>46002</v>
      </c>
      <c r="O635" t="s">
        <v>165</v>
      </c>
      <c r="P635" t="s">
        <v>166</v>
      </c>
      <c r="Q635">
        <v>8500</v>
      </c>
      <c r="R635">
        <v>28</v>
      </c>
      <c r="S635">
        <v>238000</v>
      </c>
      <c r="T635">
        <v>0</v>
      </c>
      <c r="U635">
        <v>0</v>
      </c>
      <c r="V635">
        <v>28</v>
      </c>
      <c r="W635">
        <v>238000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 spans="1:29">
      <c r="A636">
        <v>628</v>
      </c>
      <c r="B636" t="s">
        <v>149</v>
      </c>
      <c r="C636">
        <v>1553</v>
      </c>
      <c r="D636" t="s">
        <v>317</v>
      </c>
      <c r="E636" t="str">
        <f t="shared" si="9"/>
        <v>01553</v>
      </c>
      <c r="F636" t="s">
        <v>43</v>
      </c>
      <c r="G636" t="s">
        <v>150</v>
      </c>
      <c r="H636" t="s">
        <v>151</v>
      </c>
      <c r="I636" t="s">
        <v>5</v>
      </c>
      <c r="J636" t="s">
        <v>152</v>
      </c>
      <c r="K636" t="s">
        <v>153</v>
      </c>
      <c r="L636">
        <v>251200319</v>
      </c>
      <c r="M636" s="84">
        <v>46002</v>
      </c>
      <c r="N636" s="84">
        <v>46002</v>
      </c>
      <c r="O636" t="s">
        <v>191</v>
      </c>
      <c r="P636" t="s">
        <v>192</v>
      </c>
      <c r="Q636">
        <v>4500</v>
      </c>
      <c r="R636">
        <v>12</v>
      </c>
      <c r="S636">
        <v>54000</v>
      </c>
      <c r="T636">
        <v>0</v>
      </c>
      <c r="U636">
        <v>0</v>
      </c>
      <c r="V636">
        <v>12</v>
      </c>
      <c r="W636">
        <v>54000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</row>
    <row r="637" spans="1:29">
      <c r="A637">
        <v>629</v>
      </c>
      <c r="B637" t="s">
        <v>149</v>
      </c>
      <c r="C637">
        <v>1553</v>
      </c>
      <c r="D637" t="s">
        <v>317</v>
      </c>
      <c r="E637" t="str">
        <f t="shared" si="9"/>
        <v>01553</v>
      </c>
      <c r="F637" t="s">
        <v>43</v>
      </c>
      <c r="G637" t="s">
        <v>150</v>
      </c>
      <c r="H637" t="s">
        <v>151</v>
      </c>
      <c r="I637" t="s">
        <v>4</v>
      </c>
      <c r="J637" t="s">
        <v>152</v>
      </c>
      <c r="K637" t="s">
        <v>153</v>
      </c>
      <c r="L637">
        <v>251200319</v>
      </c>
      <c r="M637" s="84">
        <v>46002</v>
      </c>
      <c r="N637" s="84">
        <v>46002</v>
      </c>
      <c r="O637" t="s">
        <v>160</v>
      </c>
      <c r="P637" t="s">
        <v>161</v>
      </c>
      <c r="Q637">
        <v>5500</v>
      </c>
      <c r="R637">
        <v>20</v>
      </c>
      <c r="S637">
        <v>110000</v>
      </c>
      <c r="T637">
        <v>0</v>
      </c>
      <c r="U637">
        <v>0</v>
      </c>
      <c r="V637">
        <v>20</v>
      </c>
      <c r="W637">
        <v>110000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</row>
    <row r="638" spans="1:29">
      <c r="A638">
        <v>630</v>
      </c>
      <c r="B638" t="s">
        <v>149</v>
      </c>
      <c r="C638">
        <v>1290</v>
      </c>
      <c r="D638" t="s">
        <v>375</v>
      </c>
      <c r="E638" t="str">
        <f t="shared" si="9"/>
        <v>01290</v>
      </c>
      <c r="F638" t="s">
        <v>43</v>
      </c>
      <c r="G638" t="s">
        <v>150</v>
      </c>
      <c r="H638" t="s">
        <v>151</v>
      </c>
      <c r="I638" t="s">
        <v>4</v>
      </c>
      <c r="J638" t="s">
        <v>152</v>
      </c>
      <c r="K638" t="s">
        <v>153</v>
      </c>
      <c r="L638">
        <v>251200320</v>
      </c>
      <c r="M638" s="84">
        <v>46002</v>
      </c>
      <c r="N638" s="84">
        <v>46002</v>
      </c>
      <c r="O638" t="s">
        <v>154</v>
      </c>
      <c r="P638" t="s">
        <v>155</v>
      </c>
      <c r="Q638">
        <v>5500</v>
      </c>
      <c r="R638">
        <v>3</v>
      </c>
      <c r="S638">
        <v>16500</v>
      </c>
      <c r="T638">
        <v>0</v>
      </c>
      <c r="U638">
        <v>0</v>
      </c>
      <c r="V638">
        <v>3</v>
      </c>
      <c r="W638">
        <v>16500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 spans="1:29">
      <c r="A639">
        <v>631</v>
      </c>
      <c r="B639" t="s">
        <v>149</v>
      </c>
      <c r="C639">
        <v>1517</v>
      </c>
      <c r="D639" t="s">
        <v>352</v>
      </c>
      <c r="E639" t="str">
        <f t="shared" si="9"/>
        <v>01517</v>
      </c>
      <c r="F639" t="s">
        <v>80</v>
      </c>
      <c r="G639" t="s">
        <v>164</v>
      </c>
      <c r="H639" t="s">
        <v>151</v>
      </c>
      <c r="I639" t="s">
        <v>4</v>
      </c>
      <c r="J639" t="s">
        <v>152</v>
      </c>
      <c r="K639" t="s">
        <v>153</v>
      </c>
      <c r="L639">
        <v>251200321</v>
      </c>
      <c r="M639" s="84">
        <v>46002</v>
      </c>
      <c r="N639" s="84">
        <v>46002</v>
      </c>
      <c r="O639" t="s">
        <v>160</v>
      </c>
      <c r="P639" t="s">
        <v>161</v>
      </c>
      <c r="Q639">
        <v>5500</v>
      </c>
      <c r="R639">
        <v>24</v>
      </c>
      <c r="S639">
        <v>132000</v>
      </c>
      <c r="T639">
        <v>0</v>
      </c>
      <c r="U639">
        <v>0</v>
      </c>
      <c r="V639">
        <v>24</v>
      </c>
      <c r="W639">
        <v>132000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0" spans="1:29">
      <c r="A640">
        <v>632</v>
      </c>
      <c r="B640" t="s">
        <v>149</v>
      </c>
      <c r="C640">
        <v>1450</v>
      </c>
      <c r="D640" t="s">
        <v>82</v>
      </c>
      <c r="E640" t="str">
        <f t="shared" si="9"/>
        <v>01450</v>
      </c>
      <c r="F640" t="s">
        <v>80</v>
      </c>
      <c r="G640" t="s">
        <v>164</v>
      </c>
      <c r="H640" t="s">
        <v>151</v>
      </c>
      <c r="I640" t="s">
        <v>5</v>
      </c>
      <c r="J640" t="s">
        <v>152</v>
      </c>
      <c r="K640" t="s">
        <v>153</v>
      </c>
      <c r="L640">
        <v>251200322</v>
      </c>
      <c r="M640" s="84">
        <v>46002</v>
      </c>
      <c r="N640" s="84">
        <v>46002</v>
      </c>
      <c r="O640" t="s">
        <v>191</v>
      </c>
      <c r="P640" t="s">
        <v>192</v>
      </c>
      <c r="Q640">
        <v>11700</v>
      </c>
      <c r="R640">
        <v>20</v>
      </c>
      <c r="S640">
        <v>234000</v>
      </c>
      <c r="T640">
        <v>0</v>
      </c>
      <c r="U640">
        <v>0</v>
      </c>
      <c r="V640">
        <v>20</v>
      </c>
      <c r="W640">
        <v>234000</v>
      </c>
      <c r="X640">
        <v>3000</v>
      </c>
      <c r="Y640">
        <v>3000</v>
      </c>
      <c r="Z640">
        <v>0</v>
      </c>
      <c r="AA640">
        <v>0</v>
      </c>
      <c r="AB640">
        <v>0</v>
      </c>
      <c r="AC640">
        <v>6000</v>
      </c>
    </row>
    <row r="641" spans="1:29">
      <c r="A641">
        <v>633</v>
      </c>
      <c r="B641" t="s">
        <v>149</v>
      </c>
      <c r="C641">
        <v>1491</v>
      </c>
      <c r="D641" t="s">
        <v>354</v>
      </c>
      <c r="E641" t="str">
        <f t="shared" si="9"/>
        <v>01491</v>
      </c>
      <c r="F641" t="s">
        <v>111</v>
      </c>
      <c r="G641" t="s">
        <v>150</v>
      </c>
      <c r="H641" t="s">
        <v>151</v>
      </c>
      <c r="I641" t="s">
        <v>4</v>
      </c>
      <c r="J641" t="s">
        <v>152</v>
      </c>
      <c r="K641" t="s">
        <v>153</v>
      </c>
      <c r="L641">
        <v>251200323</v>
      </c>
      <c r="M641" s="84">
        <v>46002</v>
      </c>
      <c r="N641" s="84">
        <v>46002</v>
      </c>
      <c r="O641" t="s">
        <v>162</v>
      </c>
      <c r="P641" t="s">
        <v>163</v>
      </c>
      <c r="Q641">
        <v>5500</v>
      </c>
      <c r="R641">
        <v>4</v>
      </c>
      <c r="S641">
        <v>22000</v>
      </c>
      <c r="T641">
        <v>0</v>
      </c>
      <c r="U641">
        <v>0</v>
      </c>
      <c r="V641">
        <v>4</v>
      </c>
      <c r="W641">
        <v>22000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 spans="1:29">
      <c r="A642">
        <v>634</v>
      </c>
      <c r="B642" t="s">
        <v>149</v>
      </c>
      <c r="C642">
        <v>1491</v>
      </c>
      <c r="D642" t="s">
        <v>354</v>
      </c>
      <c r="E642" t="str">
        <f t="shared" si="9"/>
        <v>01491</v>
      </c>
      <c r="F642" t="s">
        <v>111</v>
      </c>
      <c r="G642" t="s">
        <v>150</v>
      </c>
      <c r="H642" t="s">
        <v>151</v>
      </c>
      <c r="I642" t="s">
        <v>4</v>
      </c>
      <c r="J642" t="s">
        <v>152</v>
      </c>
      <c r="K642" t="s">
        <v>153</v>
      </c>
      <c r="L642">
        <v>251200323</v>
      </c>
      <c r="M642" s="84">
        <v>46002</v>
      </c>
      <c r="N642" s="84">
        <v>46002</v>
      </c>
      <c r="O642" t="s">
        <v>179</v>
      </c>
      <c r="P642" t="s">
        <v>180</v>
      </c>
      <c r="Q642">
        <v>5500</v>
      </c>
      <c r="R642">
        <v>8</v>
      </c>
      <c r="S642">
        <v>44000</v>
      </c>
      <c r="T642">
        <v>0</v>
      </c>
      <c r="U642">
        <v>0</v>
      </c>
      <c r="V642">
        <v>8</v>
      </c>
      <c r="W642">
        <v>44000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>
      <c r="A643">
        <v>635</v>
      </c>
      <c r="B643" t="s">
        <v>149</v>
      </c>
      <c r="C643">
        <v>1491</v>
      </c>
      <c r="D643" t="s">
        <v>354</v>
      </c>
      <c r="E643" t="str">
        <f t="shared" si="9"/>
        <v>01491</v>
      </c>
      <c r="F643" t="s">
        <v>111</v>
      </c>
      <c r="G643" t="s">
        <v>150</v>
      </c>
      <c r="H643" t="s">
        <v>151</v>
      </c>
      <c r="I643" t="s">
        <v>4</v>
      </c>
      <c r="J643" t="s">
        <v>152</v>
      </c>
      <c r="K643" t="s">
        <v>153</v>
      </c>
      <c r="L643">
        <v>251200323</v>
      </c>
      <c r="M643" s="84">
        <v>46002</v>
      </c>
      <c r="N643" s="84">
        <v>46002</v>
      </c>
      <c r="O643" t="s">
        <v>160</v>
      </c>
      <c r="P643" t="s">
        <v>161</v>
      </c>
      <c r="Q643">
        <v>5500</v>
      </c>
      <c r="R643">
        <v>13</v>
      </c>
      <c r="S643">
        <v>71500</v>
      </c>
      <c r="T643">
        <v>0</v>
      </c>
      <c r="U643">
        <v>0</v>
      </c>
      <c r="V643">
        <v>13</v>
      </c>
      <c r="W643">
        <v>71500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</row>
    <row r="644" spans="1:29">
      <c r="A644">
        <v>636</v>
      </c>
      <c r="B644" t="s">
        <v>149</v>
      </c>
      <c r="C644">
        <v>336</v>
      </c>
      <c r="D644" t="s">
        <v>31</v>
      </c>
      <c r="E644" t="str">
        <f t="shared" si="9"/>
        <v>00336</v>
      </c>
      <c r="F644" t="s">
        <v>28</v>
      </c>
      <c r="G644" t="s">
        <v>164</v>
      </c>
      <c r="H644" t="s">
        <v>151</v>
      </c>
      <c r="I644" t="s">
        <v>182</v>
      </c>
      <c r="J644" t="s">
        <v>152</v>
      </c>
      <c r="K644" t="s">
        <v>153</v>
      </c>
      <c r="L644">
        <v>251200324</v>
      </c>
      <c r="M644" s="84">
        <v>46002</v>
      </c>
      <c r="N644" s="84">
        <v>46002</v>
      </c>
      <c r="O644" t="s">
        <v>183</v>
      </c>
      <c r="P644" t="s">
        <v>184</v>
      </c>
      <c r="Q644">
        <v>68</v>
      </c>
      <c r="R644">
        <v>500</v>
      </c>
      <c r="S644">
        <v>34000</v>
      </c>
      <c r="T644">
        <v>0</v>
      </c>
      <c r="U644">
        <v>0</v>
      </c>
      <c r="V644">
        <v>500</v>
      </c>
      <c r="W644">
        <v>34000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</row>
    <row r="645" spans="1:29">
      <c r="A645">
        <v>637</v>
      </c>
      <c r="B645" t="s">
        <v>149</v>
      </c>
      <c r="C645">
        <v>1335</v>
      </c>
      <c r="D645" t="s">
        <v>318</v>
      </c>
      <c r="E645" t="str">
        <f t="shared" si="9"/>
        <v>01335</v>
      </c>
      <c r="F645" t="s">
        <v>43</v>
      </c>
      <c r="G645" t="s">
        <v>150</v>
      </c>
      <c r="H645" t="s">
        <v>151</v>
      </c>
      <c r="I645" t="s">
        <v>5</v>
      </c>
      <c r="J645" t="s">
        <v>152</v>
      </c>
      <c r="K645" t="s">
        <v>153</v>
      </c>
      <c r="L645">
        <v>251200325</v>
      </c>
      <c r="M645" s="84">
        <v>46004</v>
      </c>
      <c r="N645" s="84">
        <v>46004</v>
      </c>
      <c r="O645" t="s">
        <v>191</v>
      </c>
      <c r="P645" t="s">
        <v>192</v>
      </c>
      <c r="Q645">
        <v>4500</v>
      </c>
      <c r="R645">
        <v>20</v>
      </c>
      <c r="S645">
        <v>90000</v>
      </c>
      <c r="T645">
        <v>0</v>
      </c>
      <c r="U645">
        <v>0</v>
      </c>
      <c r="V645">
        <v>20</v>
      </c>
      <c r="W645">
        <v>90000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</row>
    <row r="646" spans="1:29">
      <c r="A646">
        <v>638</v>
      </c>
      <c r="B646" t="s">
        <v>149</v>
      </c>
      <c r="C646">
        <v>1530</v>
      </c>
      <c r="D646" t="s">
        <v>379</v>
      </c>
      <c r="E646" t="str">
        <f t="shared" si="9"/>
        <v>01530</v>
      </c>
      <c r="F646" t="s">
        <v>111</v>
      </c>
      <c r="G646" t="s">
        <v>150</v>
      </c>
      <c r="H646" t="s">
        <v>151</v>
      </c>
      <c r="I646" t="s">
        <v>4</v>
      </c>
      <c r="J646" t="s">
        <v>152</v>
      </c>
      <c r="K646" t="s">
        <v>153</v>
      </c>
      <c r="L646">
        <v>251200326</v>
      </c>
      <c r="M646" s="84">
        <v>46004</v>
      </c>
      <c r="N646" s="84">
        <v>46004</v>
      </c>
      <c r="O646" t="s">
        <v>321</v>
      </c>
      <c r="P646" t="s">
        <v>322</v>
      </c>
      <c r="Q646">
        <v>5500</v>
      </c>
      <c r="R646">
        <v>20</v>
      </c>
      <c r="S646">
        <v>110000</v>
      </c>
      <c r="T646">
        <v>0</v>
      </c>
      <c r="U646">
        <v>0</v>
      </c>
      <c r="V646">
        <v>20</v>
      </c>
      <c r="W646">
        <v>110000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</row>
    <row r="647" spans="1:29">
      <c r="A647">
        <v>639</v>
      </c>
      <c r="B647" t="s">
        <v>149</v>
      </c>
      <c r="C647">
        <v>1530</v>
      </c>
      <c r="D647" t="s">
        <v>379</v>
      </c>
      <c r="E647" t="str">
        <f t="shared" si="9"/>
        <v>01530</v>
      </c>
      <c r="F647" t="s">
        <v>111</v>
      </c>
      <c r="G647" t="s">
        <v>150</v>
      </c>
      <c r="H647" t="s">
        <v>151</v>
      </c>
      <c r="I647" t="s">
        <v>4</v>
      </c>
      <c r="J647" t="s">
        <v>152</v>
      </c>
      <c r="K647" t="s">
        <v>153</v>
      </c>
      <c r="L647">
        <v>251200326</v>
      </c>
      <c r="M647" s="84">
        <v>46004</v>
      </c>
      <c r="N647" s="84">
        <v>46004</v>
      </c>
      <c r="O647" t="s">
        <v>380</v>
      </c>
      <c r="P647" t="s">
        <v>381</v>
      </c>
      <c r="Q647">
        <v>5500</v>
      </c>
      <c r="R647">
        <v>20</v>
      </c>
      <c r="S647">
        <v>110000</v>
      </c>
      <c r="T647">
        <v>0</v>
      </c>
      <c r="U647">
        <v>0</v>
      </c>
      <c r="V647">
        <v>20</v>
      </c>
      <c r="W647">
        <v>110000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>
      <c r="A648">
        <v>640</v>
      </c>
      <c r="B648" t="s">
        <v>149</v>
      </c>
      <c r="C648">
        <v>1551</v>
      </c>
      <c r="D648" t="s">
        <v>316</v>
      </c>
      <c r="E648" t="str">
        <f t="shared" si="9"/>
        <v>01551</v>
      </c>
      <c r="F648" t="s">
        <v>111</v>
      </c>
      <c r="G648" t="s">
        <v>150</v>
      </c>
      <c r="H648" t="s">
        <v>151</v>
      </c>
      <c r="I648" t="s">
        <v>4</v>
      </c>
      <c r="J648" t="s">
        <v>152</v>
      </c>
      <c r="K648" t="s">
        <v>153</v>
      </c>
      <c r="L648">
        <v>251200327</v>
      </c>
      <c r="M648" s="84">
        <v>46004</v>
      </c>
      <c r="N648" s="84">
        <v>46004</v>
      </c>
      <c r="O648" t="s">
        <v>168</v>
      </c>
      <c r="P648" t="s">
        <v>169</v>
      </c>
      <c r="Q648">
        <v>5500</v>
      </c>
      <c r="R648">
        <v>8</v>
      </c>
      <c r="S648">
        <v>44000</v>
      </c>
      <c r="T648">
        <v>0</v>
      </c>
      <c r="U648">
        <v>0</v>
      </c>
      <c r="V648">
        <v>8</v>
      </c>
      <c r="W648">
        <v>44000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</row>
    <row r="649" spans="1:29">
      <c r="A649">
        <v>641</v>
      </c>
      <c r="B649" t="s">
        <v>149</v>
      </c>
      <c r="C649">
        <v>1551</v>
      </c>
      <c r="D649" t="s">
        <v>316</v>
      </c>
      <c r="E649" t="str">
        <f t="shared" ref="E649:E712" si="10">TEXT(C649,"00000")</f>
        <v>01551</v>
      </c>
      <c r="F649" t="s">
        <v>111</v>
      </c>
      <c r="G649" t="s">
        <v>150</v>
      </c>
      <c r="H649" t="s">
        <v>151</v>
      </c>
      <c r="I649" t="s">
        <v>5</v>
      </c>
      <c r="J649" t="s">
        <v>152</v>
      </c>
      <c r="K649" t="s">
        <v>153</v>
      </c>
      <c r="L649">
        <v>251200327</v>
      </c>
      <c r="M649" s="84">
        <v>46004</v>
      </c>
      <c r="N649" s="84">
        <v>46004</v>
      </c>
      <c r="O649" t="s">
        <v>191</v>
      </c>
      <c r="P649" t="s">
        <v>192</v>
      </c>
      <c r="Q649">
        <v>4500</v>
      </c>
      <c r="R649">
        <v>12</v>
      </c>
      <c r="S649">
        <v>54000</v>
      </c>
      <c r="T649">
        <v>0</v>
      </c>
      <c r="U649">
        <v>0</v>
      </c>
      <c r="V649">
        <v>12</v>
      </c>
      <c r="W649">
        <v>54000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</row>
    <row r="650" spans="1:29">
      <c r="A650">
        <v>642</v>
      </c>
      <c r="B650" t="s">
        <v>149</v>
      </c>
      <c r="C650">
        <v>1551</v>
      </c>
      <c r="D650" t="s">
        <v>316</v>
      </c>
      <c r="E650" t="str">
        <f t="shared" si="10"/>
        <v>01551</v>
      </c>
      <c r="F650" t="s">
        <v>111</v>
      </c>
      <c r="G650" t="s">
        <v>150</v>
      </c>
      <c r="H650" t="s">
        <v>151</v>
      </c>
      <c r="I650" t="s">
        <v>4</v>
      </c>
      <c r="J650" t="s">
        <v>152</v>
      </c>
      <c r="K650" t="s">
        <v>153</v>
      </c>
      <c r="L650">
        <v>251200327</v>
      </c>
      <c r="M650" s="84">
        <v>46004</v>
      </c>
      <c r="N650" s="84">
        <v>46004</v>
      </c>
      <c r="O650" t="s">
        <v>267</v>
      </c>
      <c r="P650" t="s">
        <v>268</v>
      </c>
      <c r="Q650">
        <v>5500</v>
      </c>
      <c r="R650">
        <v>12</v>
      </c>
      <c r="S650">
        <v>66000</v>
      </c>
      <c r="T650">
        <v>0</v>
      </c>
      <c r="U650">
        <v>0</v>
      </c>
      <c r="V650">
        <v>12</v>
      </c>
      <c r="W650">
        <v>66000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</row>
    <row r="651" spans="1:29">
      <c r="A651">
        <v>643</v>
      </c>
      <c r="B651" t="s">
        <v>149</v>
      </c>
      <c r="C651">
        <v>1404</v>
      </c>
      <c r="D651" t="s">
        <v>113</v>
      </c>
      <c r="E651" t="str">
        <f t="shared" si="10"/>
        <v>01404</v>
      </c>
      <c r="F651" t="s">
        <v>111</v>
      </c>
      <c r="G651" t="s">
        <v>150</v>
      </c>
      <c r="H651" t="s">
        <v>151</v>
      </c>
      <c r="I651" t="s">
        <v>5</v>
      </c>
      <c r="J651" t="s">
        <v>152</v>
      </c>
      <c r="K651" t="s">
        <v>153</v>
      </c>
      <c r="L651">
        <v>251200328</v>
      </c>
      <c r="M651" s="84">
        <v>46004</v>
      </c>
      <c r="N651" s="84">
        <v>46004</v>
      </c>
      <c r="O651" t="s">
        <v>260</v>
      </c>
      <c r="P651" t="s">
        <v>261</v>
      </c>
      <c r="Q651">
        <v>11700</v>
      </c>
      <c r="R651">
        <v>8</v>
      </c>
      <c r="S651">
        <v>93600</v>
      </c>
      <c r="T651">
        <v>0</v>
      </c>
      <c r="U651">
        <v>0</v>
      </c>
      <c r="V651">
        <v>8</v>
      </c>
      <c r="W651">
        <v>93600</v>
      </c>
      <c r="X651">
        <v>1200</v>
      </c>
      <c r="Y651">
        <v>1200</v>
      </c>
      <c r="Z651">
        <v>0</v>
      </c>
      <c r="AA651">
        <v>0</v>
      </c>
      <c r="AB651">
        <v>0</v>
      </c>
      <c r="AC651">
        <v>2400</v>
      </c>
    </row>
    <row r="652" spans="1:29">
      <c r="A652">
        <v>644</v>
      </c>
      <c r="B652" t="s">
        <v>149</v>
      </c>
      <c r="C652">
        <v>1596</v>
      </c>
      <c r="D652" t="s">
        <v>315</v>
      </c>
      <c r="E652" t="str">
        <f t="shared" si="10"/>
        <v>01596</v>
      </c>
      <c r="F652" t="s">
        <v>111</v>
      </c>
      <c r="G652" t="s">
        <v>150</v>
      </c>
      <c r="H652" t="s">
        <v>151</v>
      </c>
      <c r="I652" t="s">
        <v>4</v>
      </c>
      <c r="J652" t="s">
        <v>152</v>
      </c>
      <c r="K652" t="s">
        <v>153</v>
      </c>
      <c r="L652">
        <v>251200329</v>
      </c>
      <c r="M652" s="84">
        <v>46004</v>
      </c>
      <c r="N652" s="84">
        <v>46004</v>
      </c>
      <c r="O652" t="s">
        <v>168</v>
      </c>
      <c r="P652" t="s">
        <v>169</v>
      </c>
      <c r="Q652">
        <v>5500</v>
      </c>
      <c r="R652">
        <v>2</v>
      </c>
      <c r="S652">
        <v>11000</v>
      </c>
      <c r="T652">
        <v>0</v>
      </c>
      <c r="U652">
        <v>0</v>
      </c>
      <c r="V652">
        <v>2</v>
      </c>
      <c r="W652">
        <v>11000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</row>
    <row r="653" spans="1:29">
      <c r="A653">
        <v>645</v>
      </c>
      <c r="B653" t="s">
        <v>149</v>
      </c>
      <c r="C653">
        <v>1596</v>
      </c>
      <c r="D653" t="s">
        <v>315</v>
      </c>
      <c r="E653" t="str">
        <f t="shared" si="10"/>
        <v>01596</v>
      </c>
      <c r="F653" t="s">
        <v>111</v>
      </c>
      <c r="G653" t="s">
        <v>150</v>
      </c>
      <c r="H653" t="s">
        <v>151</v>
      </c>
      <c r="I653" t="s">
        <v>4</v>
      </c>
      <c r="J653" t="s">
        <v>152</v>
      </c>
      <c r="K653" t="s">
        <v>153</v>
      </c>
      <c r="L653">
        <v>251200329</v>
      </c>
      <c r="M653" s="84">
        <v>46004</v>
      </c>
      <c r="N653" s="84">
        <v>46004</v>
      </c>
      <c r="O653" t="s">
        <v>248</v>
      </c>
      <c r="P653" t="s">
        <v>249</v>
      </c>
      <c r="Q653">
        <v>5500</v>
      </c>
      <c r="R653">
        <v>10</v>
      </c>
      <c r="S653">
        <v>55000</v>
      </c>
      <c r="T653">
        <v>0</v>
      </c>
      <c r="U653">
        <v>0</v>
      </c>
      <c r="V653">
        <v>10</v>
      </c>
      <c r="W653">
        <v>55000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</row>
    <row r="654" spans="1:29">
      <c r="A654">
        <v>646</v>
      </c>
      <c r="B654" t="s">
        <v>149</v>
      </c>
      <c r="C654">
        <v>1593</v>
      </c>
      <c r="D654" t="s">
        <v>343</v>
      </c>
      <c r="E654" t="str">
        <f t="shared" si="10"/>
        <v>01593</v>
      </c>
      <c r="F654" t="s">
        <v>111</v>
      </c>
      <c r="G654" t="s">
        <v>150</v>
      </c>
      <c r="H654" t="s">
        <v>151</v>
      </c>
      <c r="I654" t="s">
        <v>4</v>
      </c>
      <c r="J654" t="s">
        <v>152</v>
      </c>
      <c r="K654" t="s">
        <v>153</v>
      </c>
      <c r="L654">
        <v>251200330</v>
      </c>
      <c r="M654" s="84">
        <v>46004</v>
      </c>
      <c r="N654" s="84">
        <v>46004</v>
      </c>
      <c r="O654" t="s">
        <v>160</v>
      </c>
      <c r="P654" t="s">
        <v>161</v>
      </c>
      <c r="Q654">
        <v>5500</v>
      </c>
      <c r="R654">
        <v>10</v>
      </c>
      <c r="S654">
        <v>55000</v>
      </c>
      <c r="T654">
        <v>0</v>
      </c>
      <c r="U654">
        <v>0</v>
      </c>
      <c r="V654">
        <v>10</v>
      </c>
      <c r="W654">
        <v>55000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 spans="1:29">
      <c r="A655">
        <v>647</v>
      </c>
      <c r="B655" t="s">
        <v>149</v>
      </c>
      <c r="C655">
        <v>1593</v>
      </c>
      <c r="D655" t="s">
        <v>343</v>
      </c>
      <c r="E655" t="str">
        <f t="shared" si="10"/>
        <v>01593</v>
      </c>
      <c r="F655" t="s">
        <v>111</v>
      </c>
      <c r="G655" t="s">
        <v>150</v>
      </c>
      <c r="H655" t="s">
        <v>151</v>
      </c>
      <c r="I655" t="s">
        <v>4</v>
      </c>
      <c r="J655" t="s">
        <v>152</v>
      </c>
      <c r="K655" t="s">
        <v>153</v>
      </c>
      <c r="L655">
        <v>251200330</v>
      </c>
      <c r="M655" s="84">
        <v>46004</v>
      </c>
      <c r="N655" s="84">
        <v>46004</v>
      </c>
      <c r="O655" t="s">
        <v>206</v>
      </c>
      <c r="P655" t="s">
        <v>207</v>
      </c>
      <c r="Q655">
        <v>5500</v>
      </c>
      <c r="R655">
        <v>10</v>
      </c>
      <c r="S655">
        <v>55000</v>
      </c>
      <c r="T655">
        <v>0</v>
      </c>
      <c r="U655">
        <v>0</v>
      </c>
      <c r="V655">
        <v>10</v>
      </c>
      <c r="W655">
        <v>55000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29">
      <c r="A656">
        <v>648</v>
      </c>
      <c r="B656" t="s">
        <v>149</v>
      </c>
      <c r="C656">
        <v>1593</v>
      </c>
      <c r="D656" t="s">
        <v>343</v>
      </c>
      <c r="E656" t="str">
        <f t="shared" si="10"/>
        <v>01593</v>
      </c>
      <c r="F656" t="s">
        <v>111</v>
      </c>
      <c r="G656" t="s">
        <v>150</v>
      </c>
      <c r="H656" t="s">
        <v>151</v>
      </c>
      <c r="I656" t="s">
        <v>4</v>
      </c>
      <c r="J656" t="s">
        <v>152</v>
      </c>
      <c r="K656" t="s">
        <v>153</v>
      </c>
      <c r="L656">
        <v>251200330</v>
      </c>
      <c r="M656" s="84">
        <v>46004</v>
      </c>
      <c r="N656" s="84">
        <v>46004</v>
      </c>
      <c r="O656" t="s">
        <v>154</v>
      </c>
      <c r="P656" t="s">
        <v>155</v>
      </c>
      <c r="Q656">
        <v>5500</v>
      </c>
      <c r="R656">
        <v>10</v>
      </c>
      <c r="S656">
        <v>55000</v>
      </c>
      <c r="T656">
        <v>0</v>
      </c>
      <c r="U656">
        <v>0</v>
      </c>
      <c r="V656">
        <v>10</v>
      </c>
      <c r="W656">
        <v>55000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</row>
    <row r="657" spans="1:29">
      <c r="A657">
        <v>649</v>
      </c>
      <c r="B657" t="s">
        <v>149</v>
      </c>
      <c r="C657">
        <v>1557</v>
      </c>
      <c r="D657" t="s">
        <v>344</v>
      </c>
      <c r="E657" t="str">
        <f t="shared" si="10"/>
        <v>01557</v>
      </c>
      <c r="F657" t="s">
        <v>111</v>
      </c>
      <c r="G657" t="s">
        <v>150</v>
      </c>
      <c r="H657" t="s">
        <v>151</v>
      </c>
      <c r="I657" t="s">
        <v>4</v>
      </c>
      <c r="J657" t="s">
        <v>152</v>
      </c>
      <c r="K657" t="s">
        <v>153</v>
      </c>
      <c r="L657">
        <v>251200331</v>
      </c>
      <c r="M657" s="84">
        <v>46004</v>
      </c>
      <c r="N657" s="84">
        <v>46004</v>
      </c>
      <c r="O657" t="s">
        <v>160</v>
      </c>
      <c r="P657" t="s">
        <v>161</v>
      </c>
      <c r="Q657">
        <v>5500</v>
      </c>
      <c r="R657">
        <v>15</v>
      </c>
      <c r="S657">
        <v>82500</v>
      </c>
      <c r="T657">
        <v>0</v>
      </c>
      <c r="U657">
        <v>0</v>
      </c>
      <c r="V657">
        <v>15</v>
      </c>
      <c r="W657">
        <v>82500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>
      <c r="A658">
        <v>650</v>
      </c>
      <c r="B658" t="s">
        <v>149</v>
      </c>
      <c r="C658">
        <v>388</v>
      </c>
      <c r="D658" t="s">
        <v>106</v>
      </c>
      <c r="E658" t="str">
        <f t="shared" si="10"/>
        <v>00388</v>
      </c>
      <c r="F658" t="s">
        <v>103</v>
      </c>
      <c r="G658" t="s">
        <v>167</v>
      </c>
      <c r="H658" t="s">
        <v>151</v>
      </c>
      <c r="I658" t="s">
        <v>4</v>
      </c>
      <c r="J658" t="s">
        <v>152</v>
      </c>
      <c r="K658" t="s">
        <v>153</v>
      </c>
      <c r="L658">
        <v>251200332</v>
      </c>
      <c r="M658" s="84">
        <v>46004</v>
      </c>
      <c r="N658" s="84">
        <v>46004</v>
      </c>
      <c r="O658" t="s">
        <v>200</v>
      </c>
      <c r="P658" t="s">
        <v>201</v>
      </c>
      <c r="Q658">
        <v>14250</v>
      </c>
      <c r="R658">
        <v>5</v>
      </c>
      <c r="S658">
        <v>71250</v>
      </c>
      <c r="T658">
        <v>0</v>
      </c>
      <c r="U658">
        <v>0</v>
      </c>
      <c r="V658">
        <v>5</v>
      </c>
      <c r="W658">
        <v>71250</v>
      </c>
      <c r="X658">
        <v>750</v>
      </c>
      <c r="Y658">
        <v>1000</v>
      </c>
      <c r="Z658">
        <v>0</v>
      </c>
      <c r="AA658">
        <v>0</v>
      </c>
      <c r="AB658">
        <v>0</v>
      </c>
      <c r="AC658">
        <v>1750</v>
      </c>
    </row>
    <row r="659" spans="1:29">
      <c r="A659">
        <v>651</v>
      </c>
      <c r="B659" t="s">
        <v>149</v>
      </c>
      <c r="C659">
        <v>388</v>
      </c>
      <c r="D659" t="s">
        <v>106</v>
      </c>
      <c r="E659" t="str">
        <f t="shared" si="10"/>
        <v>00388</v>
      </c>
      <c r="F659" t="s">
        <v>103</v>
      </c>
      <c r="G659" t="s">
        <v>167</v>
      </c>
      <c r="H659" t="s">
        <v>151</v>
      </c>
      <c r="I659" t="s">
        <v>5</v>
      </c>
      <c r="J659" t="s">
        <v>152</v>
      </c>
      <c r="K659" t="s">
        <v>153</v>
      </c>
      <c r="L659">
        <v>251200332</v>
      </c>
      <c r="M659" s="84">
        <v>46004</v>
      </c>
      <c r="N659" s="84">
        <v>46004</v>
      </c>
      <c r="O659" t="s">
        <v>191</v>
      </c>
      <c r="P659" t="s">
        <v>192</v>
      </c>
      <c r="Q659">
        <v>11700</v>
      </c>
      <c r="R659">
        <v>20</v>
      </c>
      <c r="S659">
        <v>234000</v>
      </c>
      <c r="T659">
        <v>0</v>
      </c>
      <c r="U659">
        <v>0</v>
      </c>
      <c r="V659">
        <v>20</v>
      </c>
      <c r="W659">
        <v>234000</v>
      </c>
      <c r="X659">
        <v>3000</v>
      </c>
      <c r="Y659">
        <v>3000</v>
      </c>
      <c r="Z659">
        <v>0</v>
      </c>
      <c r="AA659">
        <v>0</v>
      </c>
      <c r="AB659">
        <v>0</v>
      </c>
      <c r="AC659">
        <v>6000</v>
      </c>
    </row>
    <row r="660" spans="1:29">
      <c r="A660">
        <v>652</v>
      </c>
      <c r="B660" t="s">
        <v>149</v>
      </c>
      <c r="C660">
        <v>388</v>
      </c>
      <c r="D660" t="s">
        <v>106</v>
      </c>
      <c r="E660" t="str">
        <f t="shared" si="10"/>
        <v>00388</v>
      </c>
      <c r="F660" t="s">
        <v>103</v>
      </c>
      <c r="G660" t="s">
        <v>167</v>
      </c>
      <c r="H660" t="s">
        <v>151</v>
      </c>
      <c r="I660" t="s">
        <v>238</v>
      </c>
      <c r="J660" t="s">
        <v>152</v>
      </c>
      <c r="K660" t="s">
        <v>153</v>
      </c>
      <c r="L660">
        <v>251200332</v>
      </c>
      <c r="M660" s="84">
        <v>46004</v>
      </c>
      <c r="N660" s="84">
        <v>46004</v>
      </c>
      <c r="O660" t="s">
        <v>241</v>
      </c>
      <c r="P660" t="s">
        <v>242</v>
      </c>
      <c r="Q660">
        <v>17156</v>
      </c>
      <c r="R660">
        <v>2</v>
      </c>
      <c r="S660">
        <v>34312</v>
      </c>
      <c r="T660">
        <v>0</v>
      </c>
      <c r="U660">
        <v>0</v>
      </c>
      <c r="V660">
        <v>2</v>
      </c>
      <c r="W660">
        <v>34312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1:29">
      <c r="A661">
        <v>653</v>
      </c>
      <c r="B661" t="s">
        <v>149</v>
      </c>
      <c r="C661">
        <v>388</v>
      </c>
      <c r="D661" t="s">
        <v>106</v>
      </c>
      <c r="E661" t="str">
        <f t="shared" si="10"/>
        <v>00388</v>
      </c>
      <c r="F661" t="s">
        <v>103</v>
      </c>
      <c r="G661" t="s">
        <v>167</v>
      </c>
      <c r="H661" t="s">
        <v>151</v>
      </c>
      <c r="I661" t="s">
        <v>4</v>
      </c>
      <c r="J661" t="s">
        <v>152</v>
      </c>
      <c r="K661" t="s">
        <v>153</v>
      </c>
      <c r="L661">
        <v>251200332</v>
      </c>
      <c r="M661" s="84">
        <v>46004</v>
      </c>
      <c r="N661" s="84">
        <v>46004</v>
      </c>
      <c r="O661" t="s">
        <v>160</v>
      </c>
      <c r="P661" t="s">
        <v>161</v>
      </c>
      <c r="Q661">
        <v>14250</v>
      </c>
      <c r="R661">
        <v>50</v>
      </c>
      <c r="S661">
        <v>712500</v>
      </c>
      <c r="T661">
        <v>0</v>
      </c>
      <c r="U661">
        <v>0</v>
      </c>
      <c r="V661">
        <v>50</v>
      </c>
      <c r="W661">
        <v>712500</v>
      </c>
      <c r="X661">
        <v>7500</v>
      </c>
      <c r="Y661">
        <v>10000</v>
      </c>
      <c r="Z661">
        <v>0</v>
      </c>
      <c r="AA661">
        <v>0</v>
      </c>
      <c r="AB661">
        <v>0</v>
      </c>
      <c r="AC661">
        <v>17500</v>
      </c>
    </row>
    <row r="662" spans="1:29">
      <c r="A662">
        <v>654</v>
      </c>
      <c r="B662" t="s">
        <v>149</v>
      </c>
      <c r="C662">
        <v>398</v>
      </c>
      <c r="D662" t="s">
        <v>105</v>
      </c>
      <c r="E662" t="str">
        <f t="shared" si="10"/>
        <v>00398</v>
      </c>
      <c r="F662" t="s">
        <v>103</v>
      </c>
      <c r="G662" t="s">
        <v>167</v>
      </c>
      <c r="H662" t="s">
        <v>151</v>
      </c>
      <c r="I662" t="s">
        <v>4</v>
      </c>
      <c r="J662" t="s">
        <v>152</v>
      </c>
      <c r="K662" t="s">
        <v>153</v>
      </c>
      <c r="L662">
        <v>251200333</v>
      </c>
      <c r="M662" s="84">
        <v>46004</v>
      </c>
      <c r="N662" s="84">
        <v>46004</v>
      </c>
      <c r="O662" t="s">
        <v>200</v>
      </c>
      <c r="P662" t="s">
        <v>201</v>
      </c>
      <c r="Q662">
        <v>14250</v>
      </c>
      <c r="R662">
        <v>10</v>
      </c>
      <c r="S662">
        <v>142500</v>
      </c>
      <c r="T662">
        <v>0</v>
      </c>
      <c r="U662">
        <v>0</v>
      </c>
      <c r="V662">
        <v>10</v>
      </c>
      <c r="W662">
        <v>142500</v>
      </c>
      <c r="X662">
        <v>1500</v>
      </c>
      <c r="Y662">
        <v>2000</v>
      </c>
      <c r="Z662">
        <v>0</v>
      </c>
      <c r="AA662">
        <v>0</v>
      </c>
      <c r="AB662">
        <v>0</v>
      </c>
      <c r="AC662">
        <v>3500</v>
      </c>
    </row>
    <row r="663" spans="1:29">
      <c r="A663">
        <v>655</v>
      </c>
      <c r="B663" t="s">
        <v>149</v>
      </c>
      <c r="C663">
        <v>398</v>
      </c>
      <c r="D663" t="s">
        <v>105</v>
      </c>
      <c r="E663" t="str">
        <f t="shared" si="10"/>
        <v>00398</v>
      </c>
      <c r="F663" t="s">
        <v>103</v>
      </c>
      <c r="G663" t="s">
        <v>167</v>
      </c>
      <c r="H663" t="s">
        <v>151</v>
      </c>
      <c r="I663" t="s">
        <v>5</v>
      </c>
      <c r="J663" t="s">
        <v>152</v>
      </c>
      <c r="K663" t="s">
        <v>153</v>
      </c>
      <c r="L663">
        <v>251200333</v>
      </c>
      <c r="M663" s="84">
        <v>46004</v>
      </c>
      <c r="N663" s="84">
        <v>46004</v>
      </c>
      <c r="O663" t="s">
        <v>191</v>
      </c>
      <c r="P663" t="s">
        <v>192</v>
      </c>
      <c r="Q663">
        <v>11700</v>
      </c>
      <c r="R663">
        <v>36</v>
      </c>
      <c r="S663">
        <v>421200</v>
      </c>
      <c r="T663">
        <v>0</v>
      </c>
      <c r="U663">
        <v>0</v>
      </c>
      <c r="V663">
        <v>36</v>
      </c>
      <c r="W663">
        <v>421200</v>
      </c>
      <c r="X663">
        <v>5400</v>
      </c>
      <c r="Y663">
        <v>5400</v>
      </c>
      <c r="Z663">
        <v>0</v>
      </c>
      <c r="AA663">
        <v>0</v>
      </c>
      <c r="AB663">
        <v>0</v>
      </c>
      <c r="AC663">
        <v>10800</v>
      </c>
    </row>
    <row r="664" spans="1:29">
      <c r="A664">
        <v>656</v>
      </c>
      <c r="B664" t="s">
        <v>149</v>
      </c>
      <c r="C664">
        <v>1108</v>
      </c>
      <c r="D664" t="s">
        <v>107</v>
      </c>
      <c r="E664" t="str">
        <f t="shared" si="10"/>
        <v>01108</v>
      </c>
      <c r="F664" t="s">
        <v>103</v>
      </c>
      <c r="G664" t="s">
        <v>167</v>
      </c>
      <c r="H664" t="s">
        <v>151</v>
      </c>
      <c r="I664" t="s">
        <v>4</v>
      </c>
      <c r="J664" t="s">
        <v>152</v>
      </c>
      <c r="K664" t="s">
        <v>153</v>
      </c>
      <c r="L664">
        <v>251200334</v>
      </c>
      <c r="M664" s="84">
        <v>46004</v>
      </c>
      <c r="N664" s="84">
        <v>46004</v>
      </c>
      <c r="O664" t="s">
        <v>160</v>
      </c>
      <c r="P664" t="s">
        <v>161</v>
      </c>
      <c r="Q664">
        <v>14250</v>
      </c>
      <c r="R664">
        <v>30</v>
      </c>
      <c r="S664">
        <v>427500</v>
      </c>
      <c r="T664">
        <v>0</v>
      </c>
      <c r="U664">
        <v>0</v>
      </c>
      <c r="V664">
        <v>30</v>
      </c>
      <c r="W664">
        <v>427500</v>
      </c>
      <c r="X664">
        <v>4500</v>
      </c>
      <c r="Y664">
        <v>6000</v>
      </c>
      <c r="Z664">
        <v>0</v>
      </c>
      <c r="AA664">
        <v>0</v>
      </c>
      <c r="AB664">
        <v>0</v>
      </c>
      <c r="AC664">
        <v>10500</v>
      </c>
    </row>
    <row r="665" spans="1:29">
      <c r="A665">
        <v>657</v>
      </c>
      <c r="B665" t="s">
        <v>149</v>
      </c>
      <c r="C665">
        <v>827</v>
      </c>
      <c r="D665" t="s">
        <v>84</v>
      </c>
      <c r="E665" t="str">
        <f t="shared" si="10"/>
        <v>00827</v>
      </c>
      <c r="F665" t="s">
        <v>83</v>
      </c>
      <c r="G665" t="s">
        <v>164</v>
      </c>
      <c r="H665" t="s">
        <v>151</v>
      </c>
      <c r="I665" t="s">
        <v>5</v>
      </c>
      <c r="J665" t="s">
        <v>152</v>
      </c>
      <c r="K665" t="s">
        <v>153</v>
      </c>
      <c r="L665">
        <v>251200335</v>
      </c>
      <c r="M665" s="84">
        <v>46004</v>
      </c>
      <c r="N665" s="84">
        <v>46004</v>
      </c>
      <c r="O665" t="s">
        <v>191</v>
      </c>
      <c r="P665" t="s">
        <v>192</v>
      </c>
      <c r="Q665">
        <v>11700</v>
      </c>
      <c r="R665">
        <v>4</v>
      </c>
      <c r="S665">
        <v>46800</v>
      </c>
      <c r="T665">
        <v>0</v>
      </c>
      <c r="U665">
        <v>0</v>
      </c>
      <c r="V665">
        <v>4</v>
      </c>
      <c r="W665">
        <v>46800</v>
      </c>
      <c r="X665">
        <v>600</v>
      </c>
      <c r="Y665">
        <v>600</v>
      </c>
      <c r="Z665">
        <v>0</v>
      </c>
      <c r="AA665">
        <v>0</v>
      </c>
      <c r="AB665">
        <v>0</v>
      </c>
      <c r="AC665">
        <v>1200</v>
      </c>
    </row>
    <row r="666" spans="1:29">
      <c r="A666">
        <v>658</v>
      </c>
      <c r="B666" t="s">
        <v>149</v>
      </c>
      <c r="C666">
        <v>827</v>
      </c>
      <c r="D666" t="s">
        <v>84</v>
      </c>
      <c r="E666" t="str">
        <f t="shared" si="10"/>
        <v>00827</v>
      </c>
      <c r="F666" t="s">
        <v>83</v>
      </c>
      <c r="G666" t="s">
        <v>164</v>
      </c>
      <c r="H666" t="s">
        <v>151</v>
      </c>
      <c r="I666" t="s">
        <v>4</v>
      </c>
      <c r="J666" t="s">
        <v>152</v>
      </c>
      <c r="K666" t="s">
        <v>153</v>
      </c>
      <c r="L666">
        <v>251200335</v>
      </c>
      <c r="M666" s="84">
        <v>46004</v>
      </c>
      <c r="N666" s="84">
        <v>46004</v>
      </c>
      <c r="O666" t="s">
        <v>177</v>
      </c>
      <c r="P666" t="s">
        <v>178</v>
      </c>
      <c r="Q666">
        <v>14250</v>
      </c>
      <c r="R666">
        <v>5</v>
      </c>
      <c r="S666">
        <v>71250</v>
      </c>
      <c r="T666">
        <v>0</v>
      </c>
      <c r="U666">
        <v>0</v>
      </c>
      <c r="V666">
        <v>5</v>
      </c>
      <c r="W666">
        <v>71250</v>
      </c>
      <c r="X666">
        <v>750</v>
      </c>
      <c r="Y666">
        <v>1000</v>
      </c>
      <c r="Z666">
        <v>0</v>
      </c>
      <c r="AA666">
        <v>0</v>
      </c>
      <c r="AB666">
        <v>0</v>
      </c>
      <c r="AC666">
        <v>1750</v>
      </c>
    </row>
    <row r="667" spans="1:29">
      <c r="A667">
        <v>659</v>
      </c>
      <c r="B667" t="s">
        <v>149</v>
      </c>
      <c r="C667">
        <v>337</v>
      </c>
      <c r="D667" t="s">
        <v>57</v>
      </c>
      <c r="E667" t="str">
        <f t="shared" si="10"/>
        <v>00337</v>
      </c>
      <c r="F667" t="s">
        <v>49</v>
      </c>
      <c r="G667" t="s">
        <v>167</v>
      </c>
      <c r="H667" t="s">
        <v>151</v>
      </c>
      <c r="I667" t="s">
        <v>4</v>
      </c>
      <c r="J667" t="s">
        <v>152</v>
      </c>
      <c r="K667" t="s">
        <v>153</v>
      </c>
      <c r="L667">
        <v>251200336</v>
      </c>
      <c r="M667" s="84">
        <v>46004</v>
      </c>
      <c r="N667" s="84">
        <v>46004</v>
      </c>
      <c r="O667" t="s">
        <v>154</v>
      </c>
      <c r="P667" t="s">
        <v>155</v>
      </c>
      <c r="Q667">
        <v>14250</v>
      </c>
      <c r="R667">
        <v>10</v>
      </c>
      <c r="S667">
        <v>142500</v>
      </c>
      <c r="T667">
        <v>0</v>
      </c>
      <c r="U667">
        <v>0</v>
      </c>
      <c r="V667">
        <v>10</v>
      </c>
      <c r="W667">
        <v>142500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</row>
    <row r="668" spans="1:29">
      <c r="A668">
        <v>660</v>
      </c>
      <c r="B668" t="s">
        <v>149</v>
      </c>
      <c r="C668">
        <v>337</v>
      </c>
      <c r="D668" t="s">
        <v>57</v>
      </c>
      <c r="E668" t="str">
        <f t="shared" si="10"/>
        <v>00337</v>
      </c>
      <c r="F668" t="s">
        <v>49</v>
      </c>
      <c r="G668" t="s">
        <v>167</v>
      </c>
      <c r="H668" t="s">
        <v>151</v>
      </c>
      <c r="I668" t="s">
        <v>4</v>
      </c>
      <c r="J668" t="s">
        <v>152</v>
      </c>
      <c r="K668" t="s">
        <v>153</v>
      </c>
      <c r="L668">
        <v>251200336</v>
      </c>
      <c r="M668" s="84">
        <v>46004</v>
      </c>
      <c r="N668" s="84">
        <v>46004</v>
      </c>
      <c r="O668" t="s">
        <v>162</v>
      </c>
      <c r="P668" t="s">
        <v>163</v>
      </c>
      <c r="Q668">
        <v>14250</v>
      </c>
      <c r="R668">
        <v>5</v>
      </c>
      <c r="S668">
        <v>71250</v>
      </c>
      <c r="T668">
        <v>0</v>
      </c>
      <c r="U668">
        <v>0</v>
      </c>
      <c r="V668">
        <v>5</v>
      </c>
      <c r="W668">
        <v>71250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</row>
    <row r="669" spans="1:29">
      <c r="A669">
        <v>661</v>
      </c>
      <c r="B669" t="s">
        <v>149</v>
      </c>
      <c r="C669">
        <v>337</v>
      </c>
      <c r="D669" t="s">
        <v>57</v>
      </c>
      <c r="E669" t="str">
        <f t="shared" si="10"/>
        <v>00337</v>
      </c>
      <c r="F669" t="s">
        <v>49</v>
      </c>
      <c r="G669" t="s">
        <v>167</v>
      </c>
      <c r="H669" t="s">
        <v>151</v>
      </c>
      <c r="I669" t="s">
        <v>4</v>
      </c>
      <c r="J669" t="s">
        <v>152</v>
      </c>
      <c r="K669" t="s">
        <v>153</v>
      </c>
      <c r="L669">
        <v>251200336</v>
      </c>
      <c r="M669" s="84">
        <v>46004</v>
      </c>
      <c r="N669" s="84">
        <v>46004</v>
      </c>
      <c r="O669" t="s">
        <v>160</v>
      </c>
      <c r="P669" t="s">
        <v>161</v>
      </c>
      <c r="Q669">
        <v>14250</v>
      </c>
      <c r="R669">
        <v>20</v>
      </c>
      <c r="S669">
        <v>285000</v>
      </c>
      <c r="T669">
        <v>0</v>
      </c>
      <c r="U669">
        <v>0</v>
      </c>
      <c r="V669">
        <v>20</v>
      </c>
      <c r="W669">
        <v>285000</v>
      </c>
      <c r="X669">
        <v>3000</v>
      </c>
      <c r="Y669">
        <v>4000</v>
      </c>
      <c r="Z669">
        <v>0</v>
      </c>
      <c r="AA669">
        <v>0</v>
      </c>
      <c r="AB669">
        <v>0</v>
      </c>
      <c r="AC669">
        <v>7000</v>
      </c>
    </row>
    <row r="670" spans="1:29">
      <c r="A670">
        <v>662</v>
      </c>
      <c r="B670" t="s">
        <v>149</v>
      </c>
      <c r="C670">
        <v>867</v>
      </c>
      <c r="D670" t="s">
        <v>292</v>
      </c>
      <c r="E670" t="str">
        <f t="shared" si="10"/>
        <v>00867</v>
      </c>
      <c r="F670" t="s">
        <v>49</v>
      </c>
      <c r="G670" t="s">
        <v>167</v>
      </c>
      <c r="H670" t="s">
        <v>151</v>
      </c>
      <c r="I670" t="s">
        <v>238</v>
      </c>
      <c r="J670" t="s">
        <v>152</v>
      </c>
      <c r="K670" t="s">
        <v>153</v>
      </c>
      <c r="L670">
        <v>251200337</v>
      </c>
      <c r="M670" s="84">
        <v>46004</v>
      </c>
      <c r="N670" s="84">
        <v>46004</v>
      </c>
      <c r="O670" t="s">
        <v>247</v>
      </c>
      <c r="P670" t="s">
        <v>116</v>
      </c>
      <c r="Q670">
        <v>10982</v>
      </c>
      <c r="R670">
        <v>1</v>
      </c>
      <c r="S670">
        <v>10982</v>
      </c>
      <c r="T670">
        <v>0</v>
      </c>
      <c r="U670">
        <v>0</v>
      </c>
      <c r="V670">
        <v>1</v>
      </c>
      <c r="W670">
        <v>10982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</row>
    <row r="671" spans="1:29">
      <c r="A671">
        <v>663</v>
      </c>
      <c r="B671" t="s">
        <v>149</v>
      </c>
      <c r="C671">
        <v>1362</v>
      </c>
      <c r="D671" t="s">
        <v>62</v>
      </c>
      <c r="E671" t="str">
        <f t="shared" si="10"/>
        <v>01362</v>
      </c>
      <c r="F671" t="s">
        <v>49</v>
      </c>
      <c r="G671" t="s">
        <v>167</v>
      </c>
      <c r="H671" t="s">
        <v>151</v>
      </c>
      <c r="I671" t="s">
        <v>5</v>
      </c>
      <c r="J671" t="s">
        <v>152</v>
      </c>
      <c r="K671" t="s">
        <v>153</v>
      </c>
      <c r="L671">
        <v>251200338</v>
      </c>
      <c r="M671" s="84">
        <v>46004</v>
      </c>
      <c r="N671" s="84">
        <v>46004</v>
      </c>
      <c r="O671" t="s">
        <v>191</v>
      </c>
      <c r="P671" t="s">
        <v>192</v>
      </c>
      <c r="Q671">
        <v>11700</v>
      </c>
      <c r="R671">
        <v>4</v>
      </c>
      <c r="S671">
        <v>46800</v>
      </c>
      <c r="T671">
        <v>0</v>
      </c>
      <c r="U671">
        <v>0</v>
      </c>
      <c r="V671">
        <v>4</v>
      </c>
      <c r="W671">
        <v>46800</v>
      </c>
      <c r="X671">
        <v>600</v>
      </c>
      <c r="Y671">
        <v>600</v>
      </c>
      <c r="Z671">
        <v>0</v>
      </c>
      <c r="AA671">
        <v>0</v>
      </c>
      <c r="AB671">
        <v>0</v>
      </c>
      <c r="AC671">
        <v>1200</v>
      </c>
    </row>
    <row r="672" spans="1:29">
      <c r="A672">
        <v>664</v>
      </c>
      <c r="B672" t="s">
        <v>149</v>
      </c>
      <c r="C672">
        <v>1362</v>
      </c>
      <c r="D672" t="s">
        <v>62</v>
      </c>
      <c r="E672" t="str">
        <f t="shared" si="10"/>
        <v>01362</v>
      </c>
      <c r="F672" t="s">
        <v>49</v>
      </c>
      <c r="G672" t="s">
        <v>167</v>
      </c>
      <c r="H672" t="s">
        <v>151</v>
      </c>
      <c r="I672" t="s">
        <v>4</v>
      </c>
      <c r="J672" t="s">
        <v>152</v>
      </c>
      <c r="K672" t="s">
        <v>153</v>
      </c>
      <c r="L672">
        <v>251200338</v>
      </c>
      <c r="M672" s="84">
        <v>46004</v>
      </c>
      <c r="N672" s="84">
        <v>46004</v>
      </c>
      <c r="O672" t="s">
        <v>160</v>
      </c>
      <c r="P672" t="s">
        <v>161</v>
      </c>
      <c r="Q672">
        <v>14250</v>
      </c>
      <c r="R672">
        <v>12</v>
      </c>
      <c r="S672">
        <v>171000</v>
      </c>
      <c r="T672">
        <v>0</v>
      </c>
      <c r="U672">
        <v>0</v>
      </c>
      <c r="V672">
        <v>12</v>
      </c>
      <c r="W672">
        <v>171000</v>
      </c>
      <c r="X672">
        <v>1800</v>
      </c>
      <c r="Y672">
        <v>2400</v>
      </c>
      <c r="Z672">
        <v>0</v>
      </c>
      <c r="AA672">
        <v>0</v>
      </c>
      <c r="AB672">
        <v>0</v>
      </c>
      <c r="AC672">
        <v>4200</v>
      </c>
    </row>
    <row r="673" spans="1:29">
      <c r="A673">
        <v>665</v>
      </c>
      <c r="B673" t="s">
        <v>149</v>
      </c>
      <c r="C673">
        <v>1149</v>
      </c>
      <c r="D673" t="s">
        <v>55</v>
      </c>
      <c r="E673" t="str">
        <f t="shared" si="10"/>
        <v>01149</v>
      </c>
      <c r="F673" t="s">
        <v>49</v>
      </c>
      <c r="G673" t="s">
        <v>167</v>
      </c>
      <c r="H673" t="s">
        <v>151</v>
      </c>
      <c r="I673" t="s">
        <v>4</v>
      </c>
      <c r="J673" t="s">
        <v>152</v>
      </c>
      <c r="K673" t="s">
        <v>153</v>
      </c>
      <c r="L673">
        <v>251200339</v>
      </c>
      <c r="M673" s="84">
        <v>46004</v>
      </c>
      <c r="N673" s="84">
        <v>46004</v>
      </c>
      <c r="O673" t="s">
        <v>179</v>
      </c>
      <c r="P673" t="s">
        <v>180</v>
      </c>
      <c r="Q673">
        <v>14250</v>
      </c>
      <c r="R673">
        <v>20</v>
      </c>
      <c r="S673">
        <v>285000</v>
      </c>
      <c r="T673">
        <v>0</v>
      </c>
      <c r="U673">
        <v>0</v>
      </c>
      <c r="V673">
        <v>20</v>
      </c>
      <c r="W673">
        <v>285000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>
      <c r="A674">
        <v>666</v>
      </c>
      <c r="B674" t="s">
        <v>149</v>
      </c>
      <c r="C674">
        <v>1149</v>
      </c>
      <c r="D674" t="s">
        <v>55</v>
      </c>
      <c r="E674" t="str">
        <f t="shared" si="10"/>
        <v>01149</v>
      </c>
      <c r="F674" t="s">
        <v>49</v>
      </c>
      <c r="G674" t="s">
        <v>167</v>
      </c>
      <c r="H674" t="s">
        <v>151</v>
      </c>
      <c r="I674" t="s">
        <v>4</v>
      </c>
      <c r="J674" t="s">
        <v>152</v>
      </c>
      <c r="K674" t="s">
        <v>153</v>
      </c>
      <c r="L674">
        <v>251200339</v>
      </c>
      <c r="M674" s="84">
        <v>46004</v>
      </c>
      <c r="N674" s="84">
        <v>46004</v>
      </c>
      <c r="O674" t="s">
        <v>219</v>
      </c>
      <c r="P674" t="s">
        <v>220</v>
      </c>
      <c r="Q674">
        <v>14250</v>
      </c>
      <c r="R674">
        <v>10</v>
      </c>
      <c r="S674">
        <v>142500</v>
      </c>
      <c r="T674">
        <v>0</v>
      </c>
      <c r="U674">
        <v>0</v>
      </c>
      <c r="V674">
        <v>10</v>
      </c>
      <c r="W674">
        <v>142500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 spans="1:29">
      <c r="A675">
        <v>667</v>
      </c>
      <c r="B675" t="s">
        <v>149</v>
      </c>
      <c r="C675">
        <v>1149</v>
      </c>
      <c r="D675" t="s">
        <v>55</v>
      </c>
      <c r="E675" t="str">
        <f t="shared" si="10"/>
        <v>01149</v>
      </c>
      <c r="F675" t="s">
        <v>49</v>
      </c>
      <c r="G675" t="s">
        <v>167</v>
      </c>
      <c r="H675" t="s">
        <v>151</v>
      </c>
      <c r="I675" t="s">
        <v>4</v>
      </c>
      <c r="J675" t="s">
        <v>152</v>
      </c>
      <c r="K675" t="s">
        <v>153</v>
      </c>
      <c r="L675">
        <v>251200339</v>
      </c>
      <c r="M675" s="84">
        <v>46004</v>
      </c>
      <c r="N675" s="84">
        <v>46004</v>
      </c>
      <c r="O675" t="s">
        <v>168</v>
      </c>
      <c r="P675" t="s">
        <v>169</v>
      </c>
      <c r="Q675">
        <v>14250</v>
      </c>
      <c r="R675">
        <v>10</v>
      </c>
      <c r="S675">
        <v>142500</v>
      </c>
      <c r="T675">
        <v>0</v>
      </c>
      <c r="U675">
        <v>0</v>
      </c>
      <c r="V675">
        <v>10</v>
      </c>
      <c r="W675">
        <v>142500</v>
      </c>
      <c r="X675">
        <v>1500</v>
      </c>
      <c r="Y675">
        <v>2000</v>
      </c>
      <c r="Z675">
        <v>0</v>
      </c>
      <c r="AA675">
        <v>0</v>
      </c>
      <c r="AB675">
        <v>0</v>
      </c>
      <c r="AC675">
        <v>3500</v>
      </c>
    </row>
    <row r="676" spans="1:29">
      <c r="A676">
        <v>668</v>
      </c>
      <c r="B676" t="s">
        <v>149</v>
      </c>
      <c r="C676">
        <v>1149</v>
      </c>
      <c r="D676" t="s">
        <v>55</v>
      </c>
      <c r="E676" t="str">
        <f t="shared" si="10"/>
        <v>01149</v>
      </c>
      <c r="F676" t="s">
        <v>49</v>
      </c>
      <c r="G676" t="s">
        <v>167</v>
      </c>
      <c r="H676" t="s">
        <v>151</v>
      </c>
      <c r="I676" t="s">
        <v>4</v>
      </c>
      <c r="J676" t="s">
        <v>152</v>
      </c>
      <c r="K676" t="s">
        <v>153</v>
      </c>
      <c r="L676">
        <v>251200339</v>
      </c>
      <c r="M676" s="84">
        <v>46004</v>
      </c>
      <c r="N676" s="84">
        <v>46004</v>
      </c>
      <c r="O676" t="s">
        <v>177</v>
      </c>
      <c r="P676" t="s">
        <v>178</v>
      </c>
      <c r="Q676">
        <v>14250</v>
      </c>
      <c r="R676">
        <v>30</v>
      </c>
      <c r="S676">
        <v>427500</v>
      </c>
      <c r="T676">
        <v>0</v>
      </c>
      <c r="U676">
        <v>0</v>
      </c>
      <c r="V676">
        <v>30</v>
      </c>
      <c r="W676">
        <v>427500</v>
      </c>
      <c r="X676">
        <v>4500</v>
      </c>
      <c r="Y676">
        <v>6000</v>
      </c>
      <c r="Z676">
        <v>0</v>
      </c>
      <c r="AA676">
        <v>0</v>
      </c>
      <c r="AB676">
        <v>0</v>
      </c>
      <c r="AC676">
        <v>10500</v>
      </c>
    </row>
    <row r="677" spans="1:29">
      <c r="A677">
        <v>669</v>
      </c>
      <c r="B677" t="s">
        <v>149</v>
      </c>
      <c r="C677">
        <v>1149</v>
      </c>
      <c r="D677" t="s">
        <v>55</v>
      </c>
      <c r="E677" t="str">
        <f t="shared" si="10"/>
        <v>01149</v>
      </c>
      <c r="F677" t="s">
        <v>49</v>
      </c>
      <c r="G677" t="s">
        <v>167</v>
      </c>
      <c r="H677" t="s">
        <v>151</v>
      </c>
      <c r="I677" t="s">
        <v>4</v>
      </c>
      <c r="J677" t="s">
        <v>152</v>
      </c>
      <c r="K677" t="s">
        <v>153</v>
      </c>
      <c r="L677">
        <v>251200339</v>
      </c>
      <c r="M677" s="84">
        <v>46004</v>
      </c>
      <c r="N677" s="84">
        <v>46004</v>
      </c>
      <c r="O677" t="s">
        <v>162</v>
      </c>
      <c r="P677" t="s">
        <v>163</v>
      </c>
      <c r="Q677">
        <v>14250</v>
      </c>
      <c r="R677">
        <v>5</v>
      </c>
      <c r="S677">
        <v>71250</v>
      </c>
      <c r="T677">
        <v>0</v>
      </c>
      <c r="U677">
        <v>0</v>
      </c>
      <c r="V677">
        <v>5</v>
      </c>
      <c r="W677">
        <v>71250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</row>
    <row r="678" spans="1:29">
      <c r="A678">
        <v>670</v>
      </c>
      <c r="B678" t="s">
        <v>149</v>
      </c>
      <c r="C678">
        <v>1581</v>
      </c>
      <c r="D678" t="s">
        <v>96</v>
      </c>
      <c r="E678" t="str">
        <f t="shared" si="10"/>
        <v>01581</v>
      </c>
      <c r="F678" t="s">
        <v>95</v>
      </c>
      <c r="G678" t="s">
        <v>187</v>
      </c>
      <c r="H678" t="s">
        <v>188</v>
      </c>
      <c r="I678" t="s">
        <v>4</v>
      </c>
      <c r="J678" t="s">
        <v>152</v>
      </c>
      <c r="K678" t="s">
        <v>159</v>
      </c>
      <c r="L678">
        <v>251200340</v>
      </c>
      <c r="M678" s="84">
        <v>46004</v>
      </c>
      <c r="N678" s="84">
        <v>46004</v>
      </c>
      <c r="O678" t="s">
        <v>262</v>
      </c>
      <c r="P678" t="s">
        <v>263</v>
      </c>
      <c r="Q678">
        <v>13300</v>
      </c>
      <c r="R678">
        <v>10</v>
      </c>
      <c r="S678">
        <v>133000</v>
      </c>
      <c r="T678">
        <v>0</v>
      </c>
      <c r="U678">
        <v>0</v>
      </c>
      <c r="V678">
        <v>10</v>
      </c>
      <c r="W678">
        <v>133000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</row>
    <row r="679" spans="1:29">
      <c r="A679">
        <v>671</v>
      </c>
      <c r="B679" t="s">
        <v>149</v>
      </c>
      <c r="C679">
        <v>1581</v>
      </c>
      <c r="D679" t="s">
        <v>96</v>
      </c>
      <c r="E679" t="str">
        <f t="shared" si="10"/>
        <v>01581</v>
      </c>
      <c r="F679" t="s">
        <v>95</v>
      </c>
      <c r="G679" t="s">
        <v>187</v>
      </c>
      <c r="H679" t="s">
        <v>188</v>
      </c>
      <c r="I679" t="s">
        <v>4</v>
      </c>
      <c r="J679" t="s">
        <v>152</v>
      </c>
      <c r="K679" t="s">
        <v>159</v>
      </c>
      <c r="L679">
        <v>251200340</v>
      </c>
      <c r="M679" s="84">
        <v>46004</v>
      </c>
      <c r="N679" s="84">
        <v>46004</v>
      </c>
      <c r="O679" t="s">
        <v>221</v>
      </c>
      <c r="P679" t="s">
        <v>222</v>
      </c>
      <c r="Q679">
        <v>13300</v>
      </c>
      <c r="R679">
        <v>10</v>
      </c>
      <c r="S679">
        <v>133000</v>
      </c>
      <c r="T679">
        <v>0</v>
      </c>
      <c r="U679">
        <v>0</v>
      </c>
      <c r="V679">
        <v>10</v>
      </c>
      <c r="W679">
        <v>133000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</row>
    <row r="680" spans="1:29">
      <c r="A680">
        <v>672</v>
      </c>
      <c r="B680" t="s">
        <v>149</v>
      </c>
      <c r="C680">
        <v>1581</v>
      </c>
      <c r="D680" t="s">
        <v>96</v>
      </c>
      <c r="E680" t="str">
        <f t="shared" si="10"/>
        <v>01581</v>
      </c>
      <c r="F680" t="s">
        <v>95</v>
      </c>
      <c r="G680" t="s">
        <v>187</v>
      </c>
      <c r="H680" t="s">
        <v>188</v>
      </c>
      <c r="I680" t="s">
        <v>5</v>
      </c>
      <c r="J680" t="s">
        <v>152</v>
      </c>
      <c r="K680" t="s">
        <v>159</v>
      </c>
      <c r="L680">
        <v>251200340</v>
      </c>
      <c r="M680" s="84">
        <v>46004</v>
      </c>
      <c r="N680" s="84">
        <v>46004</v>
      </c>
      <c r="O680" t="s">
        <v>198</v>
      </c>
      <c r="P680" t="s">
        <v>199</v>
      </c>
      <c r="Q680">
        <v>10800</v>
      </c>
      <c r="R680">
        <v>20</v>
      </c>
      <c r="S680">
        <v>216000</v>
      </c>
      <c r="T680">
        <v>0</v>
      </c>
      <c r="U680">
        <v>0</v>
      </c>
      <c r="V680">
        <v>20</v>
      </c>
      <c r="W680">
        <v>216000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</row>
    <row r="681" spans="1:29">
      <c r="A681">
        <v>673</v>
      </c>
      <c r="B681" t="s">
        <v>149</v>
      </c>
      <c r="C681">
        <v>1385</v>
      </c>
      <c r="D681" t="s">
        <v>27</v>
      </c>
      <c r="E681" t="str">
        <f t="shared" si="10"/>
        <v>01385</v>
      </c>
      <c r="F681" t="s">
        <v>20</v>
      </c>
      <c r="G681" t="s">
        <v>193</v>
      </c>
      <c r="H681" t="s">
        <v>151</v>
      </c>
      <c r="I681" t="s">
        <v>4</v>
      </c>
      <c r="J681" t="s">
        <v>152</v>
      </c>
      <c r="K681" t="s">
        <v>236</v>
      </c>
      <c r="L681">
        <v>251200341</v>
      </c>
      <c r="M681" s="84">
        <v>46004</v>
      </c>
      <c r="N681" s="84">
        <v>46004</v>
      </c>
      <c r="O681" t="s">
        <v>219</v>
      </c>
      <c r="P681" t="s">
        <v>220</v>
      </c>
      <c r="Q681">
        <v>14250</v>
      </c>
      <c r="R681">
        <v>10</v>
      </c>
      <c r="S681">
        <v>142500</v>
      </c>
      <c r="T681">
        <v>0</v>
      </c>
      <c r="U681">
        <v>0</v>
      </c>
      <c r="V681">
        <v>10</v>
      </c>
      <c r="W681">
        <v>142500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</row>
    <row r="682" spans="1:29">
      <c r="A682">
        <v>674</v>
      </c>
      <c r="B682" t="s">
        <v>149</v>
      </c>
      <c r="C682">
        <v>1385</v>
      </c>
      <c r="D682" t="s">
        <v>27</v>
      </c>
      <c r="E682" t="str">
        <f t="shared" si="10"/>
        <v>01385</v>
      </c>
      <c r="F682" t="s">
        <v>20</v>
      </c>
      <c r="G682" t="s">
        <v>193</v>
      </c>
      <c r="H682" t="s">
        <v>151</v>
      </c>
      <c r="I682" t="s">
        <v>4</v>
      </c>
      <c r="J682" t="s">
        <v>152</v>
      </c>
      <c r="K682" t="s">
        <v>236</v>
      </c>
      <c r="L682">
        <v>251200341</v>
      </c>
      <c r="M682" s="84">
        <v>46004</v>
      </c>
      <c r="N682" s="84">
        <v>46004</v>
      </c>
      <c r="O682" t="s">
        <v>168</v>
      </c>
      <c r="P682" t="s">
        <v>169</v>
      </c>
      <c r="Q682">
        <v>14250</v>
      </c>
      <c r="R682">
        <v>10</v>
      </c>
      <c r="S682">
        <v>142500</v>
      </c>
      <c r="T682">
        <v>0</v>
      </c>
      <c r="U682">
        <v>0</v>
      </c>
      <c r="V682">
        <v>10</v>
      </c>
      <c r="W682">
        <v>142500</v>
      </c>
      <c r="X682">
        <v>1500</v>
      </c>
      <c r="Y682">
        <v>2000</v>
      </c>
      <c r="Z682">
        <v>0</v>
      </c>
      <c r="AA682">
        <v>0</v>
      </c>
      <c r="AB682">
        <v>0</v>
      </c>
      <c r="AC682">
        <v>3500</v>
      </c>
    </row>
    <row r="683" spans="1:29">
      <c r="A683">
        <v>675</v>
      </c>
      <c r="B683" t="s">
        <v>149</v>
      </c>
      <c r="C683">
        <v>1448</v>
      </c>
      <c r="D683" t="s">
        <v>21</v>
      </c>
      <c r="E683" t="str">
        <f t="shared" si="10"/>
        <v>01448</v>
      </c>
      <c r="F683" t="s">
        <v>20</v>
      </c>
      <c r="G683" t="s">
        <v>193</v>
      </c>
      <c r="H683" t="s">
        <v>151</v>
      </c>
      <c r="I683" t="s">
        <v>4</v>
      </c>
      <c r="J683" t="s">
        <v>152</v>
      </c>
      <c r="K683" t="s">
        <v>236</v>
      </c>
      <c r="L683">
        <v>251200342</v>
      </c>
      <c r="M683" s="84">
        <v>46004</v>
      </c>
      <c r="N683" s="84">
        <v>46004</v>
      </c>
      <c r="O683" t="s">
        <v>160</v>
      </c>
      <c r="P683" t="s">
        <v>161</v>
      </c>
      <c r="Q683">
        <v>14250</v>
      </c>
      <c r="R683">
        <v>5</v>
      </c>
      <c r="S683">
        <v>71250</v>
      </c>
      <c r="T683">
        <v>0</v>
      </c>
      <c r="U683">
        <v>0</v>
      </c>
      <c r="V683">
        <v>5</v>
      </c>
      <c r="W683">
        <v>71250</v>
      </c>
      <c r="X683">
        <v>750</v>
      </c>
      <c r="Y683">
        <v>1000</v>
      </c>
      <c r="Z683">
        <v>0</v>
      </c>
      <c r="AA683">
        <v>0</v>
      </c>
      <c r="AB683">
        <v>0</v>
      </c>
      <c r="AC683">
        <v>1750</v>
      </c>
    </row>
    <row r="684" spans="1:29">
      <c r="A684">
        <v>676</v>
      </c>
      <c r="B684" t="s">
        <v>149</v>
      </c>
      <c r="C684">
        <v>1448</v>
      </c>
      <c r="D684" t="s">
        <v>21</v>
      </c>
      <c r="E684" t="str">
        <f t="shared" si="10"/>
        <v>01448</v>
      </c>
      <c r="F684" t="s">
        <v>20</v>
      </c>
      <c r="G684" t="s">
        <v>193</v>
      </c>
      <c r="H684" t="s">
        <v>151</v>
      </c>
      <c r="I684" t="s">
        <v>4</v>
      </c>
      <c r="J684" t="s">
        <v>152</v>
      </c>
      <c r="K684" t="s">
        <v>236</v>
      </c>
      <c r="L684">
        <v>251200342</v>
      </c>
      <c r="M684" s="84">
        <v>46004</v>
      </c>
      <c r="N684" s="84">
        <v>46004</v>
      </c>
      <c r="O684" t="s">
        <v>262</v>
      </c>
      <c r="P684" t="s">
        <v>263</v>
      </c>
      <c r="Q684">
        <v>14250</v>
      </c>
      <c r="R684">
        <v>5</v>
      </c>
      <c r="S684">
        <v>71250</v>
      </c>
      <c r="T684">
        <v>0</v>
      </c>
      <c r="U684">
        <v>0</v>
      </c>
      <c r="V684">
        <v>5</v>
      </c>
      <c r="W684">
        <v>71250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</row>
    <row r="685" spans="1:29">
      <c r="A685">
        <v>677</v>
      </c>
      <c r="B685" t="s">
        <v>149</v>
      </c>
      <c r="C685">
        <v>471</v>
      </c>
      <c r="D685" t="s">
        <v>25</v>
      </c>
      <c r="E685" t="str">
        <f t="shared" si="10"/>
        <v>00471</v>
      </c>
      <c r="F685" t="s">
        <v>20</v>
      </c>
      <c r="G685" t="s">
        <v>193</v>
      </c>
      <c r="H685" t="s">
        <v>151</v>
      </c>
      <c r="I685" t="s">
        <v>4</v>
      </c>
      <c r="J685" t="s">
        <v>152</v>
      </c>
      <c r="K685" t="s">
        <v>236</v>
      </c>
      <c r="L685">
        <v>251200343</v>
      </c>
      <c r="M685" s="84">
        <v>46004</v>
      </c>
      <c r="N685" s="84">
        <v>46004</v>
      </c>
      <c r="O685" t="s">
        <v>179</v>
      </c>
      <c r="P685" t="s">
        <v>180</v>
      </c>
      <c r="Q685">
        <v>14250</v>
      </c>
      <c r="R685">
        <v>10</v>
      </c>
      <c r="S685">
        <v>142500</v>
      </c>
      <c r="T685">
        <v>0</v>
      </c>
      <c r="U685">
        <v>0</v>
      </c>
      <c r="V685">
        <v>10</v>
      </c>
      <c r="W685">
        <v>142500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</row>
    <row r="686" spans="1:29">
      <c r="A686">
        <v>678</v>
      </c>
      <c r="B686" t="s">
        <v>149</v>
      </c>
      <c r="C686">
        <v>471</v>
      </c>
      <c r="D686" t="s">
        <v>25</v>
      </c>
      <c r="E686" t="str">
        <f t="shared" si="10"/>
        <v>00471</v>
      </c>
      <c r="F686" t="s">
        <v>20</v>
      </c>
      <c r="G686" t="s">
        <v>193</v>
      </c>
      <c r="H686" t="s">
        <v>151</v>
      </c>
      <c r="I686" t="s">
        <v>4</v>
      </c>
      <c r="J686" t="s">
        <v>152</v>
      </c>
      <c r="K686" t="s">
        <v>236</v>
      </c>
      <c r="L686">
        <v>251200343</v>
      </c>
      <c r="M686" s="84">
        <v>46004</v>
      </c>
      <c r="N686" s="84">
        <v>46004</v>
      </c>
      <c r="O686" t="s">
        <v>206</v>
      </c>
      <c r="P686" t="s">
        <v>207</v>
      </c>
      <c r="Q686">
        <v>14250</v>
      </c>
      <c r="R686">
        <v>10</v>
      </c>
      <c r="S686">
        <v>142500</v>
      </c>
      <c r="T686">
        <v>0</v>
      </c>
      <c r="U686">
        <v>0</v>
      </c>
      <c r="V686">
        <v>10</v>
      </c>
      <c r="W686">
        <v>142500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</row>
    <row r="687" spans="1:29">
      <c r="A687">
        <v>679</v>
      </c>
      <c r="B687" t="s">
        <v>149</v>
      </c>
      <c r="C687">
        <v>471</v>
      </c>
      <c r="D687" t="s">
        <v>25</v>
      </c>
      <c r="E687" t="str">
        <f t="shared" si="10"/>
        <v>00471</v>
      </c>
      <c r="F687" t="s">
        <v>20</v>
      </c>
      <c r="G687" t="s">
        <v>193</v>
      </c>
      <c r="H687" t="s">
        <v>151</v>
      </c>
      <c r="I687" t="s">
        <v>4</v>
      </c>
      <c r="J687" t="s">
        <v>152</v>
      </c>
      <c r="K687" t="s">
        <v>236</v>
      </c>
      <c r="L687">
        <v>251200343</v>
      </c>
      <c r="M687" s="84">
        <v>46004</v>
      </c>
      <c r="N687" s="84">
        <v>46004</v>
      </c>
      <c r="O687" t="s">
        <v>160</v>
      </c>
      <c r="P687" t="s">
        <v>161</v>
      </c>
      <c r="Q687">
        <v>14250</v>
      </c>
      <c r="R687">
        <v>10</v>
      </c>
      <c r="S687">
        <v>142500</v>
      </c>
      <c r="T687">
        <v>0</v>
      </c>
      <c r="U687">
        <v>0</v>
      </c>
      <c r="V687">
        <v>10</v>
      </c>
      <c r="W687">
        <v>142500</v>
      </c>
      <c r="X687">
        <v>1500</v>
      </c>
      <c r="Y687">
        <v>2000</v>
      </c>
      <c r="Z687">
        <v>0</v>
      </c>
      <c r="AA687">
        <v>0</v>
      </c>
      <c r="AB687">
        <v>0</v>
      </c>
      <c r="AC687">
        <v>3500</v>
      </c>
    </row>
    <row r="688" spans="1:29">
      <c r="A688">
        <v>680</v>
      </c>
      <c r="B688" t="s">
        <v>149</v>
      </c>
      <c r="C688">
        <v>1444</v>
      </c>
      <c r="D688" t="s">
        <v>341</v>
      </c>
      <c r="E688" t="str">
        <f t="shared" si="10"/>
        <v>01444</v>
      </c>
      <c r="F688" t="s">
        <v>28</v>
      </c>
      <c r="G688" t="s">
        <v>164</v>
      </c>
      <c r="H688" t="s">
        <v>151</v>
      </c>
      <c r="I688" t="s">
        <v>4</v>
      </c>
      <c r="J688" t="s">
        <v>152</v>
      </c>
      <c r="K688" t="s">
        <v>153</v>
      </c>
      <c r="L688">
        <v>251200344</v>
      </c>
      <c r="M688" s="84">
        <v>46004</v>
      </c>
      <c r="N688" s="84">
        <v>46004</v>
      </c>
      <c r="O688" t="s">
        <v>219</v>
      </c>
      <c r="P688" t="s">
        <v>220</v>
      </c>
      <c r="Q688">
        <v>5500</v>
      </c>
      <c r="R688">
        <v>4</v>
      </c>
      <c r="S688">
        <v>22000</v>
      </c>
      <c r="T688">
        <v>0</v>
      </c>
      <c r="U688">
        <v>0</v>
      </c>
      <c r="V688">
        <v>4</v>
      </c>
      <c r="W688">
        <v>22000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</row>
    <row r="689" spans="1:29">
      <c r="A689">
        <v>681</v>
      </c>
      <c r="B689" t="s">
        <v>149</v>
      </c>
      <c r="C689">
        <v>1305</v>
      </c>
      <c r="D689" t="s">
        <v>383</v>
      </c>
      <c r="E689" t="str">
        <f t="shared" si="10"/>
        <v>01305</v>
      </c>
      <c r="F689" t="s">
        <v>28</v>
      </c>
      <c r="G689" t="s">
        <v>164</v>
      </c>
      <c r="H689" t="s">
        <v>151</v>
      </c>
      <c r="I689" t="s">
        <v>5</v>
      </c>
      <c r="J689" t="s">
        <v>152</v>
      </c>
      <c r="K689" t="s">
        <v>153</v>
      </c>
      <c r="L689">
        <v>251200345</v>
      </c>
      <c r="M689" s="84">
        <v>46004</v>
      </c>
      <c r="N689" s="84">
        <v>46004</v>
      </c>
      <c r="O689" t="s">
        <v>191</v>
      </c>
      <c r="P689" t="s">
        <v>192</v>
      </c>
      <c r="Q689">
        <v>4500</v>
      </c>
      <c r="R689">
        <v>20</v>
      </c>
      <c r="S689">
        <v>90000</v>
      </c>
      <c r="T689">
        <v>0</v>
      </c>
      <c r="U689">
        <v>0</v>
      </c>
      <c r="V689">
        <v>20</v>
      </c>
      <c r="W689">
        <v>90000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 spans="1:29">
      <c r="A690">
        <v>682</v>
      </c>
      <c r="B690" t="s">
        <v>149</v>
      </c>
      <c r="C690">
        <v>1306</v>
      </c>
      <c r="D690" t="s">
        <v>377</v>
      </c>
      <c r="E690" t="str">
        <f t="shared" si="10"/>
        <v>01306</v>
      </c>
      <c r="F690" t="s">
        <v>28</v>
      </c>
      <c r="G690" t="s">
        <v>164</v>
      </c>
      <c r="H690" t="s">
        <v>151</v>
      </c>
      <c r="I690" t="s">
        <v>5</v>
      </c>
      <c r="J690" t="s">
        <v>152</v>
      </c>
      <c r="K690" t="s">
        <v>153</v>
      </c>
      <c r="L690">
        <v>251200346</v>
      </c>
      <c r="M690" s="84">
        <v>46004</v>
      </c>
      <c r="N690" s="84">
        <v>46004</v>
      </c>
      <c r="O690" t="s">
        <v>260</v>
      </c>
      <c r="P690" t="s">
        <v>261</v>
      </c>
      <c r="Q690">
        <v>4500</v>
      </c>
      <c r="R690">
        <v>20</v>
      </c>
      <c r="S690">
        <v>90000</v>
      </c>
      <c r="T690">
        <v>0</v>
      </c>
      <c r="U690">
        <v>0</v>
      </c>
      <c r="V690">
        <v>20</v>
      </c>
      <c r="W690">
        <v>90000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</row>
    <row r="691" spans="1:29">
      <c r="A691">
        <v>683</v>
      </c>
      <c r="B691" t="s">
        <v>149</v>
      </c>
      <c r="C691">
        <v>1395</v>
      </c>
      <c r="D691" t="s">
        <v>101</v>
      </c>
      <c r="E691" t="str">
        <f t="shared" si="10"/>
        <v>01395</v>
      </c>
      <c r="F691" t="s">
        <v>95</v>
      </c>
      <c r="G691" t="s">
        <v>187</v>
      </c>
      <c r="H691" t="s">
        <v>188</v>
      </c>
      <c r="I691" t="s">
        <v>4</v>
      </c>
      <c r="J691" t="s">
        <v>152</v>
      </c>
      <c r="K691" t="s">
        <v>159</v>
      </c>
      <c r="L691">
        <v>251200347</v>
      </c>
      <c r="M691" s="84">
        <v>46004</v>
      </c>
      <c r="N691" s="84">
        <v>46004</v>
      </c>
      <c r="O691" t="s">
        <v>262</v>
      </c>
      <c r="P691" t="s">
        <v>263</v>
      </c>
      <c r="Q691">
        <v>13200</v>
      </c>
      <c r="R691">
        <v>1</v>
      </c>
      <c r="S691">
        <v>13200</v>
      </c>
      <c r="T691">
        <v>0</v>
      </c>
      <c r="U691">
        <v>0</v>
      </c>
      <c r="V691">
        <v>1</v>
      </c>
      <c r="W691">
        <v>13200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1:29">
      <c r="A692">
        <v>684</v>
      </c>
      <c r="B692" t="s">
        <v>149</v>
      </c>
      <c r="C692">
        <v>133</v>
      </c>
      <c r="D692" t="s">
        <v>77</v>
      </c>
      <c r="E692" t="str">
        <f t="shared" si="10"/>
        <v>00133</v>
      </c>
      <c r="F692" t="s">
        <v>73</v>
      </c>
      <c r="G692" t="s">
        <v>185</v>
      </c>
      <c r="H692" t="s">
        <v>151</v>
      </c>
      <c r="I692" t="s">
        <v>4</v>
      </c>
      <c r="J692" t="s">
        <v>152</v>
      </c>
      <c r="K692" t="s">
        <v>153</v>
      </c>
      <c r="L692">
        <v>251200348</v>
      </c>
      <c r="M692" s="84">
        <v>46004</v>
      </c>
      <c r="N692" s="84">
        <v>46004</v>
      </c>
      <c r="O692" t="s">
        <v>160</v>
      </c>
      <c r="P692" t="s">
        <v>161</v>
      </c>
      <c r="Q692">
        <v>14250</v>
      </c>
      <c r="R692">
        <v>10</v>
      </c>
      <c r="S692">
        <v>142500</v>
      </c>
      <c r="T692">
        <v>0</v>
      </c>
      <c r="U692">
        <v>0</v>
      </c>
      <c r="V692">
        <v>10</v>
      </c>
      <c r="W692">
        <v>142500</v>
      </c>
      <c r="X692">
        <v>1500</v>
      </c>
      <c r="Y692">
        <v>2000</v>
      </c>
      <c r="Z692">
        <v>0</v>
      </c>
      <c r="AA692">
        <v>0</v>
      </c>
      <c r="AB692">
        <v>0</v>
      </c>
      <c r="AC692">
        <v>3500</v>
      </c>
    </row>
    <row r="693" spans="1:29">
      <c r="A693">
        <v>685</v>
      </c>
      <c r="B693" t="s">
        <v>149</v>
      </c>
      <c r="C693">
        <v>1326</v>
      </c>
      <c r="D693" t="s">
        <v>338</v>
      </c>
      <c r="E693" t="str">
        <f t="shared" si="10"/>
        <v>01326</v>
      </c>
      <c r="F693" t="s">
        <v>15</v>
      </c>
      <c r="G693" t="s">
        <v>193</v>
      </c>
      <c r="H693" t="s">
        <v>151</v>
      </c>
      <c r="I693" t="s">
        <v>4</v>
      </c>
      <c r="J693" t="s">
        <v>152</v>
      </c>
      <c r="K693" t="s">
        <v>153</v>
      </c>
      <c r="L693">
        <v>251200349</v>
      </c>
      <c r="M693" s="84">
        <v>46004</v>
      </c>
      <c r="N693" s="84">
        <v>46004</v>
      </c>
      <c r="O693" t="s">
        <v>160</v>
      </c>
      <c r="P693" t="s">
        <v>161</v>
      </c>
      <c r="Q693">
        <v>5500</v>
      </c>
      <c r="R693">
        <v>15</v>
      </c>
      <c r="S693">
        <v>82500</v>
      </c>
      <c r="T693">
        <v>0</v>
      </c>
      <c r="U693">
        <v>0</v>
      </c>
      <c r="V693">
        <v>15</v>
      </c>
      <c r="W693">
        <v>82500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</row>
    <row r="694" spans="1:29">
      <c r="A694">
        <v>686</v>
      </c>
      <c r="B694" t="s">
        <v>149</v>
      </c>
      <c r="C694">
        <v>988</v>
      </c>
      <c r="D694" t="s">
        <v>19</v>
      </c>
      <c r="E694" t="str">
        <f t="shared" si="10"/>
        <v>00988</v>
      </c>
      <c r="F694" t="s">
        <v>15</v>
      </c>
      <c r="G694" t="s">
        <v>193</v>
      </c>
      <c r="H694" t="s">
        <v>151</v>
      </c>
      <c r="I694" t="s">
        <v>4</v>
      </c>
      <c r="J694" t="s">
        <v>152</v>
      </c>
      <c r="K694" t="s">
        <v>153</v>
      </c>
      <c r="L694">
        <v>251200350</v>
      </c>
      <c r="M694" s="84">
        <v>46004</v>
      </c>
      <c r="N694" s="84">
        <v>46004</v>
      </c>
      <c r="O694" t="s">
        <v>179</v>
      </c>
      <c r="P694" t="s">
        <v>180</v>
      </c>
      <c r="Q694">
        <v>14250</v>
      </c>
      <c r="R694">
        <v>5</v>
      </c>
      <c r="S694">
        <v>71250</v>
      </c>
      <c r="T694">
        <v>0</v>
      </c>
      <c r="U694">
        <v>0</v>
      </c>
      <c r="V694">
        <v>5</v>
      </c>
      <c r="W694">
        <v>71250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</row>
    <row r="695" spans="1:29">
      <c r="A695">
        <v>687</v>
      </c>
      <c r="B695" t="s">
        <v>149</v>
      </c>
      <c r="C695">
        <v>988</v>
      </c>
      <c r="D695" t="s">
        <v>19</v>
      </c>
      <c r="E695" t="str">
        <f t="shared" si="10"/>
        <v>00988</v>
      </c>
      <c r="F695" t="s">
        <v>15</v>
      </c>
      <c r="G695" t="s">
        <v>193</v>
      </c>
      <c r="H695" t="s">
        <v>151</v>
      </c>
      <c r="I695" t="s">
        <v>238</v>
      </c>
      <c r="J695" t="s">
        <v>152</v>
      </c>
      <c r="K695" t="s">
        <v>153</v>
      </c>
      <c r="L695">
        <v>251200350</v>
      </c>
      <c r="M695" s="84">
        <v>46004</v>
      </c>
      <c r="N695" s="84">
        <v>46004</v>
      </c>
      <c r="O695" t="s">
        <v>247</v>
      </c>
      <c r="P695" t="s">
        <v>116</v>
      </c>
      <c r="Q695">
        <v>10982</v>
      </c>
      <c r="R695">
        <v>1</v>
      </c>
      <c r="S695">
        <v>10982</v>
      </c>
      <c r="T695">
        <v>0</v>
      </c>
      <c r="U695">
        <v>0</v>
      </c>
      <c r="V695">
        <v>1</v>
      </c>
      <c r="W695">
        <v>10982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</row>
    <row r="696" spans="1:29">
      <c r="A696">
        <v>688</v>
      </c>
      <c r="B696" t="s">
        <v>149</v>
      </c>
      <c r="C696">
        <v>988</v>
      </c>
      <c r="D696" t="s">
        <v>19</v>
      </c>
      <c r="E696" t="str">
        <f t="shared" si="10"/>
        <v>00988</v>
      </c>
      <c r="F696" t="s">
        <v>15</v>
      </c>
      <c r="G696" t="s">
        <v>193</v>
      </c>
      <c r="H696" t="s">
        <v>151</v>
      </c>
      <c r="I696" t="s">
        <v>231</v>
      </c>
      <c r="J696" t="s">
        <v>152</v>
      </c>
      <c r="K696" t="s">
        <v>153</v>
      </c>
      <c r="L696">
        <v>251200350</v>
      </c>
      <c r="M696" s="84">
        <v>46004</v>
      </c>
      <c r="N696" s="84">
        <v>46004</v>
      </c>
      <c r="O696" t="s">
        <v>232</v>
      </c>
      <c r="P696" t="s">
        <v>122</v>
      </c>
      <c r="Q696">
        <v>6213</v>
      </c>
      <c r="R696">
        <v>2</v>
      </c>
      <c r="S696">
        <v>12426</v>
      </c>
      <c r="T696">
        <v>0</v>
      </c>
      <c r="U696">
        <v>0</v>
      </c>
      <c r="V696">
        <v>2</v>
      </c>
      <c r="W696">
        <v>12426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</row>
    <row r="697" spans="1:29">
      <c r="A697">
        <v>689</v>
      </c>
      <c r="B697" t="s">
        <v>149</v>
      </c>
      <c r="C697">
        <v>988</v>
      </c>
      <c r="D697" t="s">
        <v>19</v>
      </c>
      <c r="E697" t="str">
        <f t="shared" si="10"/>
        <v>00988</v>
      </c>
      <c r="F697" t="s">
        <v>15</v>
      </c>
      <c r="G697" t="s">
        <v>193</v>
      </c>
      <c r="H697" t="s">
        <v>151</v>
      </c>
      <c r="I697" t="s">
        <v>238</v>
      </c>
      <c r="J697" t="s">
        <v>152</v>
      </c>
      <c r="K697" t="s">
        <v>153</v>
      </c>
      <c r="L697">
        <v>251200350</v>
      </c>
      <c r="M697" s="84">
        <v>46004</v>
      </c>
      <c r="N697" s="84">
        <v>46004</v>
      </c>
      <c r="O697" t="s">
        <v>282</v>
      </c>
      <c r="P697" t="s">
        <v>283</v>
      </c>
      <c r="Q697">
        <v>18880</v>
      </c>
      <c r="R697">
        <v>2</v>
      </c>
      <c r="S697">
        <v>37760</v>
      </c>
      <c r="T697">
        <v>0</v>
      </c>
      <c r="U697">
        <v>0</v>
      </c>
      <c r="V697">
        <v>2</v>
      </c>
      <c r="W697">
        <v>37760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</row>
    <row r="698" spans="1:29">
      <c r="A698">
        <v>690</v>
      </c>
      <c r="B698" t="s">
        <v>149</v>
      </c>
      <c r="C698">
        <v>988</v>
      </c>
      <c r="D698" t="s">
        <v>19</v>
      </c>
      <c r="E698" t="str">
        <f t="shared" si="10"/>
        <v>00988</v>
      </c>
      <c r="F698" t="s">
        <v>15</v>
      </c>
      <c r="G698" t="s">
        <v>193</v>
      </c>
      <c r="H698" t="s">
        <v>151</v>
      </c>
      <c r="I698" t="s">
        <v>5</v>
      </c>
      <c r="J698" t="s">
        <v>152</v>
      </c>
      <c r="K698" t="s">
        <v>153</v>
      </c>
      <c r="L698">
        <v>251200350</v>
      </c>
      <c r="M698" s="84">
        <v>46004</v>
      </c>
      <c r="N698" s="84">
        <v>46004</v>
      </c>
      <c r="O698" t="s">
        <v>191</v>
      </c>
      <c r="P698" t="s">
        <v>192</v>
      </c>
      <c r="Q698">
        <v>11700</v>
      </c>
      <c r="R698">
        <v>8</v>
      </c>
      <c r="S698">
        <v>93600</v>
      </c>
      <c r="T698">
        <v>0</v>
      </c>
      <c r="U698">
        <v>0</v>
      </c>
      <c r="V698">
        <v>8</v>
      </c>
      <c r="W698">
        <v>93600</v>
      </c>
      <c r="X698">
        <v>1200</v>
      </c>
      <c r="Y698">
        <v>1200</v>
      </c>
      <c r="Z698">
        <v>0</v>
      </c>
      <c r="AA698">
        <v>0</v>
      </c>
      <c r="AB698">
        <v>0</v>
      </c>
      <c r="AC698">
        <v>2400</v>
      </c>
    </row>
    <row r="699" spans="1:29">
      <c r="A699">
        <v>691</v>
      </c>
      <c r="B699" t="s">
        <v>149</v>
      </c>
      <c r="C699">
        <v>845</v>
      </c>
      <c r="D699" t="s">
        <v>293</v>
      </c>
      <c r="E699" t="str">
        <f t="shared" si="10"/>
        <v>00845</v>
      </c>
      <c r="F699" t="s">
        <v>15</v>
      </c>
      <c r="G699" t="s">
        <v>193</v>
      </c>
      <c r="H699" t="s">
        <v>151</v>
      </c>
      <c r="I699" t="s">
        <v>210</v>
      </c>
      <c r="J699" t="s">
        <v>152</v>
      </c>
      <c r="K699" t="s">
        <v>153</v>
      </c>
      <c r="L699">
        <v>251200351</v>
      </c>
      <c r="M699" s="84">
        <v>46004</v>
      </c>
      <c r="N699" s="84">
        <v>46004</v>
      </c>
      <c r="O699" t="s">
        <v>250</v>
      </c>
      <c r="P699" t="s">
        <v>251</v>
      </c>
      <c r="Q699">
        <v>30930</v>
      </c>
      <c r="R699">
        <v>2</v>
      </c>
      <c r="S699">
        <v>61860</v>
      </c>
      <c r="T699">
        <v>0</v>
      </c>
      <c r="U699">
        <v>0</v>
      </c>
      <c r="V699">
        <v>2</v>
      </c>
      <c r="W699">
        <v>61860</v>
      </c>
      <c r="X699">
        <v>1856</v>
      </c>
      <c r="Y699">
        <v>2474</v>
      </c>
      <c r="Z699">
        <v>1238</v>
      </c>
      <c r="AA699">
        <v>3094</v>
      </c>
      <c r="AB699">
        <v>200</v>
      </c>
      <c r="AC699">
        <v>8862</v>
      </c>
    </row>
    <row r="700" spans="1:29">
      <c r="A700">
        <v>692</v>
      </c>
      <c r="B700" t="s">
        <v>149</v>
      </c>
      <c r="C700">
        <v>845</v>
      </c>
      <c r="D700" t="s">
        <v>293</v>
      </c>
      <c r="E700" t="str">
        <f t="shared" si="10"/>
        <v>00845</v>
      </c>
      <c r="F700" t="s">
        <v>15</v>
      </c>
      <c r="G700" t="s">
        <v>193</v>
      </c>
      <c r="H700" t="s">
        <v>151</v>
      </c>
      <c r="I700" t="s">
        <v>210</v>
      </c>
      <c r="J700" t="s">
        <v>152</v>
      </c>
      <c r="K700" t="s">
        <v>153</v>
      </c>
      <c r="L700">
        <v>251200351</v>
      </c>
      <c r="M700" s="84">
        <v>46004</v>
      </c>
      <c r="N700" s="84">
        <v>46004</v>
      </c>
      <c r="O700" t="s">
        <v>213</v>
      </c>
      <c r="P700" t="s">
        <v>214</v>
      </c>
      <c r="Q700">
        <v>23802</v>
      </c>
      <c r="R700">
        <v>4</v>
      </c>
      <c r="S700">
        <v>95208</v>
      </c>
      <c r="T700">
        <v>0</v>
      </c>
      <c r="U700">
        <v>0</v>
      </c>
      <c r="V700">
        <v>4</v>
      </c>
      <c r="W700">
        <v>95208</v>
      </c>
      <c r="X700">
        <v>1904</v>
      </c>
      <c r="Y700">
        <v>1904</v>
      </c>
      <c r="Z700">
        <v>4000</v>
      </c>
      <c r="AA700">
        <v>0</v>
      </c>
      <c r="AB700">
        <v>400</v>
      </c>
      <c r="AC700">
        <v>8208</v>
      </c>
    </row>
    <row r="701" spans="1:29">
      <c r="A701">
        <v>693</v>
      </c>
      <c r="B701" t="s">
        <v>149</v>
      </c>
      <c r="C701">
        <v>1550</v>
      </c>
      <c r="D701" t="s">
        <v>337</v>
      </c>
      <c r="E701" t="str">
        <f t="shared" si="10"/>
        <v>01550</v>
      </c>
      <c r="F701" t="s">
        <v>15</v>
      </c>
      <c r="G701" t="s">
        <v>193</v>
      </c>
      <c r="H701" t="s">
        <v>151</v>
      </c>
      <c r="I701" t="s">
        <v>5</v>
      </c>
      <c r="J701" t="s">
        <v>152</v>
      </c>
      <c r="K701" t="s">
        <v>153</v>
      </c>
      <c r="L701">
        <v>251200352</v>
      </c>
      <c r="M701" s="84">
        <v>46004</v>
      </c>
      <c r="N701" s="84">
        <v>46004</v>
      </c>
      <c r="O701" t="s">
        <v>191</v>
      </c>
      <c r="P701" t="s">
        <v>192</v>
      </c>
      <c r="Q701">
        <v>4500</v>
      </c>
      <c r="R701">
        <v>12</v>
      </c>
      <c r="S701">
        <v>54000</v>
      </c>
      <c r="T701">
        <v>0</v>
      </c>
      <c r="U701">
        <v>0</v>
      </c>
      <c r="V701">
        <v>12</v>
      </c>
      <c r="W701">
        <v>54000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</row>
    <row r="702" spans="1:29">
      <c r="A702">
        <v>694</v>
      </c>
      <c r="B702" t="s">
        <v>149</v>
      </c>
      <c r="C702">
        <v>1550</v>
      </c>
      <c r="D702" t="s">
        <v>337</v>
      </c>
      <c r="E702" t="str">
        <f t="shared" si="10"/>
        <v>01550</v>
      </c>
      <c r="F702" t="s">
        <v>15</v>
      </c>
      <c r="G702" t="s">
        <v>193</v>
      </c>
      <c r="H702" t="s">
        <v>151</v>
      </c>
      <c r="I702" t="s">
        <v>5</v>
      </c>
      <c r="J702" t="s">
        <v>152</v>
      </c>
      <c r="K702" t="s">
        <v>153</v>
      </c>
      <c r="L702">
        <v>251200352</v>
      </c>
      <c r="M702" s="84">
        <v>46004</v>
      </c>
      <c r="N702" s="84">
        <v>46004</v>
      </c>
      <c r="O702" t="s">
        <v>253</v>
      </c>
      <c r="P702" t="s">
        <v>254</v>
      </c>
      <c r="Q702">
        <v>4500</v>
      </c>
      <c r="R702">
        <v>8</v>
      </c>
      <c r="S702">
        <v>36000</v>
      </c>
      <c r="T702">
        <v>0</v>
      </c>
      <c r="U702">
        <v>0</v>
      </c>
      <c r="V702">
        <v>8</v>
      </c>
      <c r="W702">
        <v>36000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</row>
    <row r="703" spans="1:29">
      <c r="A703">
        <v>695</v>
      </c>
      <c r="B703" t="s">
        <v>149</v>
      </c>
      <c r="C703">
        <v>420</v>
      </c>
      <c r="D703" t="s">
        <v>17</v>
      </c>
      <c r="E703" t="str">
        <f t="shared" si="10"/>
        <v>00420</v>
      </c>
      <c r="F703" t="s">
        <v>15</v>
      </c>
      <c r="G703" t="s">
        <v>193</v>
      </c>
      <c r="H703" t="s">
        <v>151</v>
      </c>
      <c r="I703" t="s">
        <v>4</v>
      </c>
      <c r="J703" t="s">
        <v>152</v>
      </c>
      <c r="K703" t="s">
        <v>153</v>
      </c>
      <c r="L703">
        <v>251200353</v>
      </c>
      <c r="M703" s="84">
        <v>46004</v>
      </c>
      <c r="N703" s="84">
        <v>46004</v>
      </c>
      <c r="O703" t="s">
        <v>154</v>
      </c>
      <c r="P703" t="s">
        <v>155</v>
      </c>
      <c r="Q703">
        <v>14250</v>
      </c>
      <c r="R703">
        <v>7</v>
      </c>
      <c r="S703">
        <v>99750</v>
      </c>
      <c r="T703">
        <v>0</v>
      </c>
      <c r="U703">
        <v>0</v>
      </c>
      <c r="V703">
        <v>7</v>
      </c>
      <c r="W703">
        <v>99750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4" spans="1:29">
      <c r="A704">
        <v>696</v>
      </c>
      <c r="B704" t="s">
        <v>149</v>
      </c>
      <c r="C704">
        <v>1550</v>
      </c>
      <c r="D704" t="s">
        <v>337</v>
      </c>
      <c r="E704" t="str">
        <f t="shared" si="10"/>
        <v>01550</v>
      </c>
      <c r="F704" t="s">
        <v>15</v>
      </c>
      <c r="G704" t="s">
        <v>193</v>
      </c>
      <c r="H704" t="s">
        <v>151</v>
      </c>
      <c r="I704" t="s">
        <v>5</v>
      </c>
      <c r="J704" t="s">
        <v>152</v>
      </c>
      <c r="K704" t="s">
        <v>153</v>
      </c>
      <c r="L704">
        <v>251200354</v>
      </c>
      <c r="M704" s="84">
        <v>46004</v>
      </c>
      <c r="N704" s="84">
        <v>46004</v>
      </c>
      <c r="O704" t="s">
        <v>260</v>
      </c>
      <c r="P704" t="s">
        <v>261</v>
      </c>
      <c r="Q704">
        <v>4500</v>
      </c>
      <c r="R704">
        <v>12</v>
      </c>
      <c r="S704">
        <v>54000</v>
      </c>
      <c r="T704">
        <v>0</v>
      </c>
      <c r="U704">
        <v>0</v>
      </c>
      <c r="V704">
        <v>12</v>
      </c>
      <c r="W704">
        <v>54000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</row>
    <row r="705" spans="1:29">
      <c r="A705">
        <v>697</v>
      </c>
      <c r="B705" t="s">
        <v>149</v>
      </c>
      <c r="C705">
        <v>1282</v>
      </c>
      <c r="D705" t="s">
        <v>374</v>
      </c>
      <c r="E705" t="str">
        <f t="shared" si="10"/>
        <v>01282</v>
      </c>
      <c r="F705" t="s">
        <v>111</v>
      </c>
      <c r="G705" t="s">
        <v>150</v>
      </c>
      <c r="H705" t="s">
        <v>151</v>
      </c>
      <c r="I705" t="s">
        <v>4</v>
      </c>
      <c r="J705" t="s">
        <v>152</v>
      </c>
      <c r="K705" t="s">
        <v>153</v>
      </c>
      <c r="L705">
        <v>251200355</v>
      </c>
      <c r="M705" s="84">
        <v>46004</v>
      </c>
      <c r="N705" s="84">
        <v>46004</v>
      </c>
      <c r="O705" t="s">
        <v>248</v>
      </c>
      <c r="P705" t="s">
        <v>249</v>
      </c>
      <c r="Q705">
        <v>5500</v>
      </c>
      <c r="R705">
        <v>10</v>
      </c>
      <c r="S705">
        <v>55000</v>
      </c>
      <c r="T705">
        <v>0</v>
      </c>
      <c r="U705">
        <v>0</v>
      </c>
      <c r="V705">
        <v>10</v>
      </c>
      <c r="W705">
        <v>55000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</row>
    <row r="706" spans="1:29">
      <c r="A706">
        <v>698</v>
      </c>
      <c r="B706" t="s">
        <v>149</v>
      </c>
      <c r="C706">
        <v>1551</v>
      </c>
      <c r="D706" t="s">
        <v>316</v>
      </c>
      <c r="E706" t="str">
        <f t="shared" si="10"/>
        <v>01551</v>
      </c>
      <c r="F706" t="s">
        <v>111</v>
      </c>
      <c r="G706" t="s">
        <v>150</v>
      </c>
      <c r="H706" t="s">
        <v>151</v>
      </c>
      <c r="I706" t="s">
        <v>4</v>
      </c>
      <c r="J706" t="s">
        <v>152</v>
      </c>
      <c r="K706" t="s">
        <v>153</v>
      </c>
      <c r="L706">
        <v>251200356</v>
      </c>
      <c r="M706" s="84">
        <v>46004</v>
      </c>
      <c r="N706" s="84">
        <v>46004</v>
      </c>
      <c r="O706" t="s">
        <v>219</v>
      </c>
      <c r="P706" t="s">
        <v>220</v>
      </c>
      <c r="Q706">
        <v>5500</v>
      </c>
      <c r="R706">
        <v>10</v>
      </c>
      <c r="S706">
        <v>55000</v>
      </c>
      <c r="T706">
        <v>0</v>
      </c>
      <c r="U706">
        <v>0</v>
      </c>
      <c r="V706">
        <v>10</v>
      </c>
      <c r="W706">
        <v>55000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</row>
    <row r="707" spans="1:29">
      <c r="A707">
        <v>699</v>
      </c>
      <c r="B707" t="s">
        <v>149</v>
      </c>
      <c r="C707">
        <v>1551</v>
      </c>
      <c r="D707" t="s">
        <v>316</v>
      </c>
      <c r="E707" t="str">
        <f t="shared" si="10"/>
        <v>01551</v>
      </c>
      <c r="F707" t="s">
        <v>111</v>
      </c>
      <c r="G707" t="s">
        <v>150</v>
      </c>
      <c r="H707" t="s">
        <v>151</v>
      </c>
      <c r="I707" t="s">
        <v>4</v>
      </c>
      <c r="J707" t="s">
        <v>152</v>
      </c>
      <c r="K707" t="s">
        <v>153</v>
      </c>
      <c r="L707">
        <v>251200356</v>
      </c>
      <c r="M707" s="84">
        <v>46004</v>
      </c>
      <c r="N707" s="84">
        <v>46004</v>
      </c>
      <c r="O707" t="s">
        <v>262</v>
      </c>
      <c r="P707" t="s">
        <v>263</v>
      </c>
      <c r="Q707">
        <v>5500</v>
      </c>
      <c r="R707">
        <v>5</v>
      </c>
      <c r="S707">
        <v>27500</v>
      </c>
      <c r="T707">
        <v>0</v>
      </c>
      <c r="U707">
        <v>0</v>
      </c>
      <c r="V707">
        <v>5</v>
      </c>
      <c r="W707">
        <v>27500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</row>
    <row r="708" spans="1:29">
      <c r="A708">
        <v>700</v>
      </c>
      <c r="B708" t="s">
        <v>149</v>
      </c>
      <c r="C708">
        <v>1284</v>
      </c>
      <c r="D708" t="s">
        <v>186</v>
      </c>
      <c r="E708" t="str">
        <f t="shared" si="10"/>
        <v>01284</v>
      </c>
      <c r="F708" t="s">
        <v>171</v>
      </c>
      <c r="G708" t="s">
        <v>172</v>
      </c>
      <c r="H708" t="s">
        <v>157</v>
      </c>
      <c r="I708" t="s">
        <v>173</v>
      </c>
      <c r="J708" t="s">
        <v>152</v>
      </c>
      <c r="K708" t="s">
        <v>174</v>
      </c>
      <c r="L708">
        <v>251200357</v>
      </c>
      <c r="M708" s="84">
        <v>46004</v>
      </c>
      <c r="N708" s="84">
        <v>46004</v>
      </c>
      <c r="O708" t="s">
        <v>265</v>
      </c>
      <c r="P708" t="s">
        <v>266</v>
      </c>
      <c r="Q708">
        <v>13849</v>
      </c>
      <c r="R708">
        <v>1</v>
      </c>
      <c r="S708">
        <v>13849</v>
      </c>
      <c r="T708">
        <v>0</v>
      </c>
      <c r="U708">
        <v>0</v>
      </c>
      <c r="V708">
        <v>1</v>
      </c>
      <c r="W708">
        <v>13849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 spans="1:29">
      <c r="A709">
        <v>701</v>
      </c>
      <c r="B709" t="s">
        <v>149</v>
      </c>
      <c r="C709">
        <v>1534</v>
      </c>
      <c r="D709" t="s">
        <v>371</v>
      </c>
      <c r="E709" t="str">
        <f t="shared" si="10"/>
        <v>01534</v>
      </c>
      <c r="F709" t="s">
        <v>65</v>
      </c>
      <c r="G709" t="s">
        <v>208</v>
      </c>
      <c r="H709" t="s">
        <v>157</v>
      </c>
      <c r="I709" t="s">
        <v>4</v>
      </c>
      <c r="J709" t="s">
        <v>152</v>
      </c>
      <c r="K709" t="s">
        <v>174</v>
      </c>
      <c r="L709">
        <v>251200358</v>
      </c>
      <c r="M709" s="84">
        <v>46004</v>
      </c>
      <c r="N709" s="84">
        <v>46004</v>
      </c>
      <c r="O709" t="s">
        <v>221</v>
      </c>
      <c r="P709" t="s">
        <v>222</v>
      </c>
      <c r="Q709">
        <v>5500</v>
      </c>
      <c r="R709">
        <v>5</v>
      </c>
      <c r="S709">
        <v>27500</v>
      </c>
      <c r="T709">
        <v>0</v>
      </c>
      <c r="U709">
        <v>0</v>
      </c>
      <c r="V709">
        <v>5</v>
      </c>
      <c r="W709">
        <v>27500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</row>
    <row r="710" spans="1:29">
      <c r="A710">
        <v>702</v>
      </c>
      <c r="B710" t="s">
        <v>149</v>
      </c>
      <c r="C710">
        <v>1454</v>
      </c>
      <c r="D710" t="s">
        <v>362</v>
      </c>
      <c r="E710" t="str">
        <f t="shared" si="10"/>
        <v>01454</v>
      </c>
      <c r="F710" t="s">
        <v>10</v>
      </c>
      <c r="G710" t="s">
        <v>172</v>
      </c>
      <c r="H710" t="s">
        <v>157</v>
      </c>
      <c r="I710" t="s">
        <v>4</v>
      </c>
      <c r="J710" t="s">
        <v>152</v>
      </c>
      <c r="K710" t="s">
        <v>174</v>
      </c>
      <c r="L710">
        <v>251200359</v>
      </c>
      <c r="M710" s="84">
        <v>46004</v>
      </c>
      <c r="N710" s="84">
        <v>46004</v>
      </c>
      <c r="O710" t="s">
        <v>267</v>
      </c>
      <c r="P710" t="s">
        <v>268</v>
      </c>
      <c r="Q710">
        <v>5500</v>
      </c>
      <c r="R710">
        <v>10</v>
      </c>
      <c r="S710">
        <v>55000</v>
      </c>
      <c r="T710">
        <v>0</v>
      </c>
      <c r="U710">
        <v>0</v>
      </c>
      <c r="V710">
        <v>10</v>
      </c>
      <c r="W710">
        <v>55000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</row>
    <row r="711" spans="1:29">
      <c r="A711">
        <v>703</v>
      </c>
      <c r="B711" t="s">
        <v>149</v>
      </c>
      <c r="C711">
        <v>1439</v>
      </c>
      <c r="D711" t="s">
        <v>363</v>
      </c>
      <c r="E711" t="str">
        <f t="shared" si="10"/>
        <v>01439</v>
      </c>
      <c r="F711" t="s">
        <v>171</v>
      </c>
      <c r="G711" t="s">
        <v>172</v>
      </c>
      <c r="H711" t="s">
        <v>157</v>
      </c>
      <c r="I711" t="s">
        <v>4</v>
      </c>
      <c r="J711" t="s">
        <v>152</v>
      </c>
      <c r="K711" t="s">
        <v>174</v>
      </c>
      <c r="L711">
        <v>251200360</v>
      </c>
      <c r="M711" s="84">
        <v>46004</v>
      </c>
      <c r="N711" s="84">
        <v>46004</v>
      </c>
      <c r="O711" t="s">
        <v>225</v>
      </c>
      <c r="P711" t="s">
        <v>226</v>
      </c>
      <c r="Q711">
        <v>5500</v>
      </c>
      <c r="R711">
        <v>5</v>
      </c>
      <c r="S711">
        <v>27500</v>
      </c>
      <c r="T711">
        <v>0</v>
      </c>
      <c r="U711">
        <v>0</v>
      </c>
      <c r="V711">
        <v>5</v>
      </c>
      <c r="W711">
        <v>27500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</row>
    <row r="712" spans="1:29">
      <c r="A712">
        <v>704</v>
      </c>
      <c r="B712" t="s">
        <v>149</v>
      </c>
      <c r="C712">
        <v>1484</v>
      </c>
      <c r="D712" t="s">
        <v>331</v>
      </c>
      <c r="E712" t="str">
        <f t="shared" si="10"/>
        <v>01484</v>
      </c>
      <c r="F712" t="s">
        <v>71</v>
      </c>
      <c r="G712" t="s">
        <v>305</v>
      </c>
      <c r="H712" t="s">
        <v>157</v>
      </c>
      <c r="I712" t="s">
        <v>4</v>
      </c>
      <c r="J712" t="s">
        <v>152</v>
      </c>
      <c r="K712" t="s">
        <v>174</v>
      </c>
      <c r="L712">
        <v>251200361</v>
      </c>
      <c r="M712" s="84">
        <v>46004</v>
      </c>
      <c r="N712" s="84">
        <v>46004</v>
      </c>
      <c r="O712" t="s">
        <v>160</v>
      </c>
      <c r="P712" t="s">
        <v>161</v>
      </c>
      <c r="Q712">
        <v>5500</v>
      </c>
      <c r="R712">
        <v>5</v>
      </c>
      <c r="S712">
        <v>27500</v>
      </c>
      <c r="T712">
        <v>0</v>
      </c>
      <c r="U712">
        <v>0</v>
      </c>
      <c r="V712">
        <v>5</v>
      </c>
      <c r="W712">
        <v>27500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 spans="1:29">
      <c r="A713">
        <v>705</v>
      </c>
      <c r="B713" t="s">
        <v>149</v>
      </c>
      <c r="C713">
        <v>1484</v>
      </c>
      <c r="D713" t="s">
        <v>331</v>
      </c>
      <c r="E713" t="str">
        <f t="shared" ref="E713:E776" si="11">TEXT(C713,"00000")</f>
        <v>01484</v>
      </c>
      <c r="F713" t="s">
        <v>71</v>
      </c>
      <c r="G713" t="s">
        <v>305</v>
      </c>
      <c r="H713" t="s">
        <v>157</v>
      </c>
      <c r="I713" t="s">
        <v>4</v>
      </c>
      <c r="J713" t="s">
        <v>152</v>
      </c>
      <c r="K713" t="s">
        <v>174</v>
      </c>
      <c r="L713">
        <v>251200361</v>
      </c>
      <c r="M713" s="84">
        <v>46004</v>
      </c>
      <c r="N713" s="84">
        <v>46004</v>
      </c>
      <c r="O713" t="s">
        <v>204</v>
      </c>
      <c r="P713" t="s">
        <v>205</v>
      </c>
      <c r="Q713">
        <v>5500</v>
      </c>
      <c r="R713">
        <v>10</v>
      </c>
      <c r="S713">
        <v>55000</v>
      </c>
      <c r="T713">
        <v>0</v>
      </c>
      <c r="U713">
        <v>0</v>
      </c>
      <c r="V713">
        <v>10</v>
      </c>
      <c r="W713">
        <v>55000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</row>
    <row r="714" spans="1:29">
      <c r="A714">
        <v>706</v>
      </c>
      <c r="B714" t="s">
        <v>149</v>
      </c>
      <c r="C714">
        <v>1315</v>
      </c>
      <c r="D714" t="s">
        <v>392</v>
      </c>
      <c r="E714" t="str">
        <f t="shared" si="11"/>
        <v>01315</v>
      </c>
      <c r="F714" t="s">
        <v>86</v>
      </c>
      <c r="G714" t="s">
        <v>156</v>
      </c>
      <c r="H714" t="s">
        <v>157</v>
      </c>
      <c r="I714" t="s">
        <v>4</v>
      </c>
      <c r="J714" t="s">
        <v>152</v>
      </c>
      <c r="K714" t="s">
        <v>159</v>
      </c>
      <c r="L714">
        <v>251200362</v>
      </c>
      <c r="M714" s="84">
        <v>46004</v>
      </c>
      <c r="N714" s="84">
        <v>46004</v>
      </c>
      <c r="O714" t="s">
        <v>160</v>
      </c>
      <c r="P714" t="s">
        <v>161</v>
      </c>
      <c r="Q714">
        <v>5500</v>
      </c>
      <c r="R714">
        <v>15</v>
      </c>
      <c r="S714">
        <v>82500</v>
      </c>
      <c r="T714">
        <v>0</v>
      </c>
      <c r="U714">
        <v>0</v>
      </c>
      <c r="V714">
        <v>15</v>
      </c>
      <c r="W714">
        <v>82500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</row>
    <row r="715" spans="1:29">
      <c r="A715">
        <v>707</v>
      </c>
      <c r="B715" t="s">
        <v>149</v>
      </c>
      <c r="C715">
        <v>1250</v>
      </c>
      <c r="D715" t="s">
        <v>87</v>
      </c>
      <c r="E715" t="str">
        <f t="shared" si="11"/>
        <v>01250</v>
      </c>
      <c r="F715" t="s">
        <v>86</v>
      </c>
      <c r="G715" t="s">
        <v>156</v>
      </c>
      <c r="H715" t="s">
        <v>157</v>
      </c>
      <c r="I715" t="s">
        <v>4</v>
      </c>
      <c r="J715" t="s">
        <v>152</v>
      </c>
      <c r="K715" t="s">
        <v>159</v>
      </c>
      <c r="L715">
        <v>251200363</v>
      </c>
      <c r="M715" s="84">
        <v>46004</v>
      </c>
      <c r="N715" s="84">
        <v>46004</v>
      </c>
      <c r="O715" t="s">
        <v>294</v>
      </c>
      <c r="P715" t="s">
        <v>295</v>
      </c>
      <c r="Q715">
        <v>14250</v>
      </c>
      <c r="R715">
        <v>15</v>
      </c>
      <c r="S715">
        <v>213750</v>
      </c>
      <c r="T715">
        <v>0</v>
      </c>
      <c r="U715">
        <v>0</v>
      </c>
      <c r="V715">
        <v>15</v>
      </c>
      <c r="W715">
        <v>213750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</row>
    <row r="716" spans="1:29">
      <c r="A716">
        <v>708</v>
      </c>
      <c r="B716" t="s">
        <v>149</v>
      </c>
      <c r="C716">
        <v>1536</v>
      </c>
      <c r="D716" t="s">
        <v>393</v>
      </c>
      <c r="E716" t="str">
        <f t="shared" si="11"/>
        <v>01536</v>
      </c>
      <c r="F716" t="s">
        <v>65</v>
      </c>
      <c r="G716" t="s">
        <v>208</v>
      </c>
      <c r="H716" t="s">
        <v>157</v>
      </c>
      <c r="I716" t="s">
        <v>4</v>
      </c>
      <c r="J716" t="s">
        <v>152</v>
      </c>
      <c r="K716" t="s">
        <v>174</v>
      </c>
      <c r="L716">
        <v>251200364</v>
      </c>
      <c r="M716" s="84">
        <v>46004</v>
      </c>
      <c r="N716" s="84">
        <v>46004</v>
      </c>
      <c r="O716" t="s">
        <v>294</v>
      </c>
      <c r="P716" t="s">
        <v>295</v>
      </c>
      <c r="Q716">
        <v>5500</v>
      </c>
      <c r="R716">
        <v>15</v>
      </c>
      <c r="S716">
        <v>82500</v>
      </c>
      <c r="T716">
        <v>0</v>
      </c>
      <c r="U716">
        <v>0</v>
      </c>
      <c r="V716">
        <v>15</v>
      </c>
      <c r="W716">
        <v>82500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</row>
    <row r="717" spans="1:29">
      <c r="A717">
        <v>709</v>
      </c>
      <c r="B717" t="s">
        <v>149</v>
      </c>
      <c r="C717">
        <v>1308</v>
      </c>
      <c r="D717" t="s">
        <v>368</v>
      </c>
      <c r="E717" t="str">
        <f t="shared" si="11"/>
        <v>01308</v>
      </c>
      <c r="F717" t="s">
        <v>49</v>
      </c>
      <c r="G717" t="s">
        <v>167</v>
      </c>
      <c r="H717" t="s">
        <v>151</v>
      </c>
      <c r="I717" t="s">
        <v>5</v>
      </c>
      <c r="J717" t="s">
        <v>152</v>
      </c>
      <c r="K717" t="s">
        <v>153</v>
      </c>
      <c r="L717">
        <v>251200365</v>
      </c>
      <c r="M717" s="84">
        <v>46004</v>
      </c>
      <c r="N717" s="84">
        <v>46004</v>
      </c>
      <c r="O717" t="s">
        <v>271</v>
      </c>
      <c r="P717" t="s">
        <v>272</v>
      </c>
      <c r="Q717">
        <v>4500</v>
      </c>
      <c r="R717">
        <v>12</v>
      </c>
      <c r="S717">
        <v>54000</v>
      </c>
      <c r="T717">
        <v>0</v>
      </c>
      <c r="U717">
        <v>0</v>
      </c>
      <c r="V717">
        <v>12</v>
      </c>
      <c r="W717">
        <v>54000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</row>
    <row r="718" spans="1:29">
      <c r="A718">
        <v>710</v>
      </c>
      <c r="B718" t="s">
        <v>149</v>
      </c>
      <c r="C718">
        <v>1308</v>
      </c>
      <c r="D718" t="s">
        <v>368</v>
      </c>
      <c r="E718" t="str">
        <f t="shared" si="11"/>
        <v>01308</v>
      </c>
      <c r="F718" t="s">
        <v>49</v>
      </c>
      <c r="G718" t="s">
        <v>167</v>
      </c>
      <c r="H718" t="s">
        <v>151</v>
      </c>
      <c r="I718" t="s">
        <v>5</v>
      </c>
      <c r="J718" t="s">
        <v>152</v>
      </c>
      <c r="K718" t="s">
        <v>153</v>
      </c>
      <c r="L718">
        <v>251200365</v>
      </c>
      <c r="M718" s="84">
        <v>46004</v>
      </c>
      <c r="N718" s="84">
        <v>46004</v>
      </c>
      <c r="O718" t="s">
        <v>191</v>
      </c>
      <c r="P718" t="s">
        <v>192</v>
      </c>
      <c r="Q718">
        <v>4500</v>
      </c>
      <c r="R718">
        <v>120</v>
      </c>
      <c r="S718">
        <v>540000</v>
      </c>
      <c r="T718">
        <v>0</v>
      </c>
      <c r="U718">
        <v>0</v>
      </c>
      <c r="V718">
        <v>120</v>
      </c>
      <c r="W718">
        <v>540000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 spans="1:29">
      <c r="A719">
        <v>711</v>
      </c>
      <c r="B719" t="s">
        <v>149</v>
      </c>
      <c r="C719">
        <v>1308</v>
      </c>
      <c r="D719" t="s">
        <v>368</v>
      </c>
      <c r="E719" t="str">
        <f t="shared" si="11"/>
        <v>01308</v>
      </c>
      <c r="F719" t="s">
        <v>49</v>
      </c>
      <c r="G719" t="s">
        <v>167</v>
      </c>
      <c r="H719" t="s">
        <v>151</v>
      </c>
      <c r="I719" t="s">
        <v>5</v>
      </c>
      <c r="J719" t="s">
        <v>152</v>
      </c>
      <c r="K719" t="s">
        <v>153</v>
      </c>
      <c r="L719">
        <v>251200365</v>
      </c>
      <c r="M719" s="84">
        <v>46004</v>
      </c>
      <c r="N719" s="84">
        <v>46004</v>
      </c>
      <c r="O719" t="s">
        <v>260</v>
      </c>
      <c r="P719" t="s">
        <v>261</v>
      </c>
      <c r="Q719">
        <v>4500</v>
      </c>
      <c r="R719">
        <v>12</v>
      </c>
      <c r="S719">
        <v>54000</v>
      </c>
      <c r="T719">
        <v>0</v>
      </c>
      <c r="U719">
        <v>0</v>
      </c>
      <c r="V719">
        <v>12</v>
      </c>
      <c r="W719">
        <v>54000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0" spans="1:29">
      <c r="A720">
        <v>712</v>
      </c>
      <c r="B720" t="s">
        <v>149</v>
      </c>
      <c r="C720">
        <v>1308</v>
      </c>
      <c r="D720" t="s">
        <v>368</v>
      </c>
      <c r="E720" t="str">
        <f t="shared" si="11"/>
        <v>01308</v>
      </c>
      <c r="F720" t="s">
        <v>49</v>
      </c>
      <c r="G720" t="s">
        <v>167</v>
      </c>
      <c r="H720" t="s">
        <v>151</v>
      </c>
      <c r="I720" t="s">
        <v>5</v>
      </c>
      <c r="J720" t="s">
        <v>152</v>
      </c>
      <c r="K720" t="s">
        <v>153</v>
      </c>
      <c r="L720">
        <v>251200366</v>
      </c>
      <c r="M720" s="84">
        <v>46004</v>
      </c>
      <c r="N720" s="84">
        <v>46004</v>
      </c>
      <c r="O720" t="s">
        <v>260</v>
      </c>
      <c r="P720" t="s">
        <v>261</v>
      </c>
      <c r="Q720">
        <v>4500</v>
      </c>
      <c r="R720">
        <v>4</v>
      </c>
      <c r="S720">
        <v>18000</v>
      </c>
      <c r="T720">
        <v>0</v>
      </c>
      <c r="U720">
        <v>0</v>
      </c>
      <c r="V720">
        <v>4</v>
      </c>
      <c r="W720">
        <v>18000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</row>
    <row r="721" spans="1:29">
      <c r="A721">
        <v>713</v>
      </c>
      <c r="B721" t="s">
        <v>149</v>
      </c>
      <c r="C721">
        <v>1429</v>
      </c>
      <c r="D721" t="s">
        <v>47</v>
      </c>
      <c r="E721" t="str">
        <f t="shared" si="11"/>
        <v>01429</v>
      </c>
      <c r="F721" t="s">
        <v>43</v>
      </c>
      <c r="G721" t="s">
        <v>150</v>
      </c>
      <c r="H721" t="s">
        <v>151</v>
      </c>
      <c r="I721" t="s">
        <v>5</v>
      </c>
      <c r="J721" t="s">
        <v>152</v>
      </c>
      <c r="K721" t="s">
        <v>153</v>
      </c>
      <c r="L721">
        <v>251200367</v>
      </c>
      <c r="M721" s="84">
        <v>46004</v>
      </c>
      <c r="N721" s="84">
        <v>46004</v>
      </c>
      <c r="O721" t="s">
        <v>191</v>
      </c>
      <c r="P721" t="s">
        <v>192</v>
      </c>
      <c r="Q721">
        <v>11700</v>
      </c>
      <c r="R721">
        <v>8</v>
      </c>
      <c r="S721">
        <v>93600</v>
      </c>
      <c r="T721">
        <v>0</v>
      </c>
      <c r="U721">
        <v>0</v>
      </c>
      <c r="V721">
        <v>8</v>
      </c>
      <c r="W721">
        <v>93600</v>
      </c>
      <c r="X721">
        <v>1200</v>
      </c>
      <c r="Y721">
        <v>1200</v>
      </c>
      <c r="Z721">
        <v>0</v>
      </c>
      <c r="AA721">
        <v>0</v>
      </c>
      <c r="AB721">
        <v>0</v>
      </c>
      <c r="AC721">
        <v>2400</v>
      </c>
    </row>
    <row r="722" spans="1:29">
      <c r="A722">
        <v>714</v>
      </c>
      <c r="B722" t="s">
        <v>149</v>
      </c>
      <c r="C722">
        <v>1335</v>
      </c>
      <c r="D722" t="s">
        <v>318</v>
      </c>
      <c r="E722" t="str">
        <f t="shared" si="11"/>
        <v>01335</v>
      </c>
      <c r="F722" t="s">
        <v>43</v>
      </c>
      <c r="G722" t="s">
        <v>150</v>
      </c>
      <c r="H722" t="s">
        <v>151</v>
      </c>
      <c r="I722" t="s">
        <v>5</v>
      </c>
      <c r="J722" t="s">
        <v>152</v>
      </c>
      <c r="K722" t="s">
        <v>153</v>
      </c>
      <c r="L722">
        <v>251200368</v>
      </c>
      <c r="M722" s="84">
        <v>46004</v>
      </c>
      <c r="N722" s="84">
        <v>46004</v>
      </c>
      <c r="O722" t="s">
        <v>191</v>
      </c>
      <c r="P722" t="s">
        <v>192</v>
      </c>
      <c r="Q722">
        <v>4500</v>
      </c>
      <c r="R722">
        <v>8</v>
      </c>
      <c r="S722">
        <v>36000</v>
      </c>
      <c r="T722">
        <v>0</v>
      </c>
      <c r="U722">
        <v>0</v>
      </c>
      <c r="V722">
        <v>8</v>
      </c>
      <c r="W722">
        <v>36000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 spans="1:29">
      <c r="A723">
        <v>715</v>
      </c>
      <c r="B723" t="s">
        <v>149</v>
      </c>
      <c r="C723">
        <v>1282</v>
      </c>
      <c r="D723" t="s">
        <v>374</v>
      </c>
      <c r="E723" t="str">
        <f t="shared" si="11"/>
        <v>01282</v>
      </c>
      <c r="F723" t="s">
        <v>111</v>
      </c>
      <c r="G723" t="s">
        <v>150</v>
      </c>
      <c r="H723" t="s">
        <v>151</v>
      </c>
      <c r="I723" t="s">
        <v>4</v>
      </c>
      <c r="J723" t="s">
        <v>152</v>
      </c>
      <c r="K723" t="s">
        <v>153</v>
      </c>
      <c r="L723">
        <v>251200369</v>
      </c>
      <c r="M723" s="84">
        <v>46005</v>
      </c>
      <c r="N723" s="84">
        <v>46005</v>
      </c>
      <c r="O723" t="s">
        <v>262</v>
      </c>
      <c r="P723" t="s">
        <v>263</v>
      </c>
      <c r="Q723">
        <v>5500</v>
      </c>
      <c r="R723">
        <v>20</v>
      </c>
      <c r="S723">
        <v>110000</v>
      </c>
      <c r="T723">
        <v>0</v>
      </c>
      <c r="U723">
        <v>0</v>
      </c>
      <c r="V723">
        <v>20</v>
      </c>
      <c r="W723">
        <v>110000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</row>
    <row r="724" spans="1:29">
      <c r="A724">
        <v>716</v>
      </c>
      <c r="B724" t="s">
        <v>149</v>
      </c>
      <c r="C724">
        <v>1282</v>
      </c>
      <c r="D724" t="s">
        <v>374</v>
      </c>
      <c r="E724" t="str">
        <f t="shared" si="11"/>
        <v>01282</v>
      </c>
      <c r="F724" t="s">
        <v>111</v>
      </c>
      <c r="G724" t="s">
        <v>150</v>
      </c>
      <c r="H724" t="s">
        <v>151</v>
      </c>
      <c r="I724" t="s">
        <v>4</v>
      </c>
      <c r="J724" t="s">
        <v>152</v>
      </c>
      <c r="K724" t="s">
        <v>153</v>
      </c>
      <c r="L724">
        <v>251200369</v>
      </c>
      <c r="M724" s="84">
        <v>46005</v>
      </c>
      <c r="N724" s="84">
        <v>46005</v>
      </c>
      <c r="O724" t="s">
        <v>321</v>
      </c>
      <c r="P724" t="s">
        <v>322</v>
      </c>
      <c r="Q724">
        <v>5500</v>
      </c>
      <c r="R724">
        <v>10</v>
      </c>
      <c r="S724">
        <v>55000</v>
      </c>
      <c r="T724">
        <v>0</v>
      </c>
      <c r="U724">
        <v>0</v>
      </c>
      <c r="V724">
        <v>10</v>
      </c>
      <c r="W724">
        <v>55000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</row>
    <row r="725" spans="1:29">
      <c r="A725">
        <v>717</v>
      </c>
      <c r="B725" t="s">
        <v>149</v>
      </c>
      <c r="C725">
        <v>1519</v>
      </c>
      <c r="D725" t="s">
        <v>353</v>
      </c>
      <c r="E725" t="str">
        <f t="shared" si="11"/>
        <v>01519</v>
      </c>
      <c r="F725" t="s">
        <v>111</v>
      </c>
      <c r="G725" t="s">
        <v>150</v>
      </c>
      <c r="H725" t="s">
        <v>151</v>
      </c>
      <c r="I725" t="s">
        <v>4</v>
      </c>
      <c r="J725" t="s">
        <v>152</v>
      </c>
      <c r="K725" t="s">
        <v>153</v>
      </c>
      <c r="L725">
        <v>251200370</v>
      </c>
      <c r="M725" s="84">
        <v>46005</v>
      </c>
      <c r="N725" s="84">
        <v>46005</v>
      </c>
      <c r="O725" t="s">
        <v>219</v>
      </c>
      <c r="P725" t="s">
        <v>220</v>
      </c>
      <c r="Q725">
        <v>5500</v>
      </c>
      <c r="R725">
        <v>15</v>
      </c>
      <c r="S725">
        <v>82500</v>
      </c>
      <c r="T725">
        <v>0</v>
      </c>
      <c r="U725">
        <v>0</v>
      </c>
      <c r="V725">
        <v>15</v>
      </c>
      <c r="W725">
        <v>82500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</row>
    <row r="726" spans="1:29">
      <c r="A726">
        <v>718</v>
      </c>
      <c r="B726" t="s">
        <v>149</v>
      </c>
      <c r="C726">
        <v>1551</v>
      </c>
      <c r="D726" t="s">
        <v>316</v>
      </c>
      <c r="E726" t="str">
        <f t="shared" si="11"/>
        <v>01551</v>
      </c>
      <c r="F726" t="s">
        <v>111</v>
      </c>
      <c r="G726" t="s">
        <v>150</v>
      </c>
      <c r="H726" t="s">
        <v>151</v>
      </c>
      <c r="I726" t="s">
        <v>4</v>
      </c>
      <c r="J726" t="s">
        <v>152</v>
      </c>
      <c r="K726" t="s">
        <v>153</v>
      </c>
      <c r="L726">
        <v>251200371</v>
      </c>
      <c r="M726" s="84">
        <v>46005</v>
      </c>
      <c r="N726" s="84">
        <v>46005</v>
      </c>
      <c r="O726" t="s">
        <v>160</v>
      </c>
      <c r="P726" t="s">
        <v>161</v>
      </c>
      <c r="Q726">
        <v>5500</v>
      </c>
      <c r="R726">
        <v>28</v>
      </c>
      <c r="S726">
        <v>154000</v>
      </c>
      <c r="T726">
        <v>0</v>
      </c>
      <c r="U726">
        <v>0</v>
      </c>
      <c r="V726">
        <v>28</v>
      </c>
      <c r="W726">
        <v>154000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</row>
    <row r="727" spans="1:29">
      <c r="A727">
        <v>719</v>
      </c>
      <c r="B727" t="s">
        <v>149</v>
      </c>
      <c r="C727">
        <v>1551</v>
      </c>
      <c r="D727" t="s">
        <v>316</v>
      </c>
      <c r="E727" t="str">
        <f t="shared" si="11"/>
        <v>01551</v>
      </c>
      <c r="F727" t="s">
        <v>111</v>
      </c>
      <c r="G727" t="s">
        <v>150</v>
      </c>
      <c r="H727" t="s">
        <v>151</v>
      </c>
      <c r="I727" t="s">
        <v>5</v>
      </c>
      <c r="J727" t="s">
        <v>152</v>
      </c>
      <c r="K727" t="s">
        <v>153</v>
      </c>
      <c r="L727">
        <v>251200371</v>
      </c>
      <c r="M727" s="84">
        <v>46005</v>
      </c>
      <c r="N727" s="84">
        <v>46005</v>
      </c>
      <c r="O727" t="s">
        <v>191</v>
      </c>
      <c r="P727" t="s">
        <v>192</v>
      </c>
      <c r="Q727">
        <v>4500</v>
      </c>
      <c r="R727">
        <v>12</v>
      </c>
      <c r="S727">
        <v>54000</v>
      </c>
      <c r="T727">
        <v>0</v>
      </c>
      <c r="U727">
        <v>0</v>
      </c>
      <c r="V727">
        <v>12</v>
      </c>
      <c r="W727">
        <v>54000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>
      <c r="A728">
        <v>720</v>
      </c>
      <c r="B728" t="s">
        <v>149</v>
      </c>
      <c r="C728">
        <v>1557</v>
      </c>
      <c r="D728" t="s">
        <v>344</v>
      </c>
      <c r="E728" t="str">
        <f t="shared" si="11"/>
        <v>01557</v>
      </c>
      <c r="F728" t="s">
        <v>111</v>
      </c>
      <c r="G728" t="s">
        <v>150</v>
      </c>
      <c r="H728" t="s">
        <v>151</v>
      </c>
      <c r="I728" t="s">
        <v>4</v>
      </c>
      <c r="J728" t="s">
        <v>152</v>
      </c>
      <c r="K728" t="s">
        <v>153</v>
      </c>
      <c r="L728">
        <v>251200372</v>
      </c>
      <c r="M728" s="84">
        <v>46005</v>
      </c>
      <c r="N728" s="84">
        <v>46005</v>
      </c>
      <c r="O728" t="s">
        <v>160</v>
      </c>
      <c r="P728" t="s">
        <v>161</v>
      </c>
      <c r="Q728">
        <v>5500</v>
      </c>
      <c r="R728">
        <v>20</v>
      </c>
      <c r="S728">
        <v>110000</v>
      </c>
      <c r="T728">
        <v>0</v>
      </c>
      <c r="U728">
        <v>0</v>
      </c>
      <c r="V728">
        <v>20</v>
      </c>
      <c r="W728">
        <v>110000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</row>
    <row r="729" spans="1:29">
      <c r="A729">
        <v>721</v>
      </c>
      <c r="B729" t="s">
        <v>149</v>
      </c>
      <c r="C729">
        <v>1557</v>
      </c>
      <c r="D729" t="s">
        <v>344</v>
      </c>
      <c r="E729" t="str">
        <f t="shared" si="11"/>
        <v>01557</v>
      </c>
      <c r="F729" t="s">
        <v>111</v>
      </c>
      <c r="G729" t="s">
        <v>150</v>
      </c>
      <c r="H729" t="s">
        <v>151</v>
      </c>
      <c r="I729" t="s">
        <v>4</v>
      </c>
      <c r="J729" t="s">
        <v>152</v>
      </c>
      <c r="K729" t="s">
        <v>153</v>
      </c>
      <c r="L729">
        <v>251200372</v>
      </c>
      <c r="M729" s="84">
        <v>46005</v>
      </c>
      <c r="N729" s="84">
        <v>46005</v>
      </c>
      <c r="O729" t="s">
        <v>206</v>
      </c>
      <c r="P729" t="s">
        <v>207</v>
      </c>
      <c r="Q729">
        <v>5500</v>
      </c>
      <c r="R729">
        <v>5</v>
      </c>
      <c r="S729">
        <v>27500</v>
      </c>
      <c r="T729">
        <v>0</v>
      </c>
      <c r="U729">
        <v>0</v>
      </c>
      <c r="V729">
        <v>5</v>
      </c>
      <c r="W729">
        <v>27500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</row>
    <row r="730" spans="1:29">
      <c r="A730">
        <v>722</v>
      </c>
      <c r="B730" t="s">
        <v>149</v>
      </c>
      <c r="C730">
        <v>1557</v>
      </c>
      <c r="D730" t="s">
        <v>344</v>
      </c>
      <c r="E730" t="str">
        <f t="shared" si="11"/>
        <v>01557</v>
      </c>
      <c r="F730" t="s">
        <v>111</v>
      </c>
      <c r="G730" t="s">
        <v>150</v>
      </c>
      <c r="H730" t="s">
        <v>151</v>
      </c>
      <c r="I730" t="s">
        <v>4</v>
      </c>
      <c r="J730" t="s">
        <v>152</v>
      </c>
      <c r="K730" t="s">
        <v>153</v>
      </c>
      <c r="L730">
        <v>251200372</v>
      </c>
      <c r="M730" s="84">
        <v>46005</v>
      </c>
      <c r="N730" s="84">
        <v>46005</v>
      </c>
      <c r="O730" t="s">
        <v>179</v>
      </c>
      <c r="P730" t="s">
        <v>180</v>
      </c>
      <c r="Q730">
        <v>5500</v>
      </c>
      <c r="R730">
        <v>5</v>
      </c>
      <c r="S730">
        <v>27500</v>
      </c>
      <c r="T730">
        <v>0</v>
      </c>
      <c r="U730">
        <v>0</v>
      </c>
      <c r="V730">
        <v>5</v>
      </c>
      <c r="W730">
        <v>27500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</row>
    <row r="731" spans="1:29">
      <c r="A731">
        <v>723</v>
      </c>
      <c r="B731" t="s">
        <v>149</v>
      </c>
      <c r="C731">
        <v>1557</v>
      </c>
      <c r="D731" t="s">
        <v>344</v>
      </c>
      <c r="E731" t="str">
        <f t="shared" si="11"/>
        <v>01557</v>
      </c>
      <c r="F731" t="s">
        <v>111</v>
      </c>
      <c r="G731" t="s">
        <v>150</v>
      </c>
      <c r="H731" t="s">
        <v>151</v>
      </c>
      <c r="I731" t="s">
        <v>5</v>
      </c>
      <c r="J731" t="s">
        <v>152</v>
      </c>
      <c r="K731" t="s">
        <v>153</v>
      </c>
      <c r="L731">
        <v>251200372</v>
      </c>
      <c r="M731" s="84">
        <v>46005</v>
      </c>
      <c r="N731" s="84">
        <v>46005</v>
      </c>
      <c r="O731" t="s">
        <v>273</v>
      </c>
      <c r="P731" t="s">
        <v>274</v>
      </c>
      <c r="Q731">
        <v>4500</v>
      </c>
      <c r="R731">
        <v>16</v>
      </c>
      <c r="S731">
        <v>72000</v>
      </c>
      <c r="T731">
        <v>0</v>
      </c>
      <c r="U731">
        <v>0</v>
      </c>
      <c r="V731">
        <v>16</v>
      </c>
      <c r="W731">
        <v>72000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</row>
    <row r="732" spans="1:29">
      <c r="A732">
        <v>724</v>
      </c>
      <c r="B732" t="s">
        <v>149</v>
      </c>
      <c r="C732">
        <v>1557</v>
      </c>
      <c r="D732" t="s">
        <v>344</v>
      </c>
      <c r="E732" t="str">
        <f t="shared" si="11"/>
        <v>01557</v>
      </c>
      <c r="F732" t="s">
        <v>111</v>
      </c>
      <c r="G732" t="s">
        <v>150</v>
      </c>
      <c r="H732" t="s">
        <v>151</v>
      </c>
      <c r="I732" t="s">
        <v>4</v>
      </c>
      <c r="J732" t="s">
        <v>152</v>
      </c>
      <c r="K732" t="s">
        <v>153</v>
      </c>
      <c r="L732">
        <v>251200372</v>
      </c>
      <c r="M732" s="84">
        <v>46005</v>
      </c>
      <c r="N732" s="84">
        <v>46005</v>
      </c>
      <c r="O732" t="s">
        <v>154</v>
      </c>
      <c r="P732" t="s">
        <v>155</v>
      </c>
      <c r="Q732">
        <v>5500</v>
      </c>
      <c r="R732">
        <v>10</v>
      </c>
      <c r="S732">
        <v>55000</v>
      </c>
      <c r="T732">
        <v>0</v>
      </c>
      <c r="U732">
        <v>0</v>
      </c>
      <c r="V732">
        <v>10</v>
      </c>
      <c r="W732">
        <v>55000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</row>
    <row r="733" spans="1:29">
      <c r="A733">
        <v>725</v>
      </c>
      <c r="B733" t="s">
        <v>149</v>
      </c>
      <c r="C733">
        <v>1557</v>
      </c>
      <c r="D733" t="s">
        <v>344</v>
      </c>
      <c r="E733" t="str">
        <f t="shared" si="11"/>
        <v>01557</v>
      </c>
      <c r="F733" t="s">
        <v>111</v>
      </c>
      <c r="G733" t="s">
        <v>150</v>
      </c>
      <c r="H733" t="s">
        <v>151</v>
      </c>
      <c r="I733" t="s">
        <v>4</v>
      </c>
      <c r="J733" t="s">
        <v>152</v>
      </c>
      <c r="K733" t="s">
        <v>153</v>
      </c>
      <c r="L733">
        <v>251200373</v>
      </c>
      <c r="M733" s="84">
        <v>46005</v>
      </c>
      <c r="N733" s="84">
        <v>46005</v>
      </c>
      <c r="O733" t="s">
        <v>179</v>
      </c>
      <c r="P733" t="s">
        <v>180</v>
      </c>
      <c r="Q733">
        <v>5500</v>
      </c>
      <c r="R733">
        <v>5</v>
      </c>
      <c r="S733">
        <v>27500</v>
      </c>
      <c r="T733">
        <v>0</v>
      </c>
      <c r="U733">
        <v>0</v>
      </c>
      <c r="V733">
        <v>5</v>
      </c>
      <c r="W733">
        <v>27500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</row>
    <row r="734" spans="1:29">
      <c r="A734">
        <v>726</v>
      </c>
      <c r="B734" t="s">
        <v>149</v>
      </c>
      <c r="C734">
        <v>1395</v>
      </c>
      <c r="D734" t="s">
        <v>101</v>
      </c>
      <c r="E734" t="str">
        <f t="shared" si="11"/>
        <v>01395</v>
      </c>
      <c r="F734" t="s">
        <v>95</v>
      </c>
      <c r="G734" t="s">
        <v>187</v>
      </c>
      <c r="H734" t="s">
        <v>188</v>
      </c>
      <c r="I734" t="s">
        <v>4</v>
      </c>
      <c r="J734" t="s">
        <v>152</v>
      </c>
      <c r="K734" t="s">
        <v>159</v>
      </c>
      <c r="L734">
        <v>251200374</v>
      </c>
      <c r="M734" s="84">
        <v>46005</v>
      </c>
      <c r="N734" s="84">
        <v>46005</v>
      </c>
      <c r="O734" t="s">
        <v>160</v>
      </c>
      <c r="P734" t="s">
        <v>161</v>
      </c>
      <c r="Q734">
        <v>13200</v>
      </c>
      <c r="R734">
        <v>7</v>
      </c>
      <c r="S734">
        <v>92400</v>
      </c>
      <c r="T734">
        <v>0</v>
      </c>
      <c r="U734">
        <v>0</v>
      </c>
      <c r="V734">
        <v>7</v>
      </c>
      <c r="W734">
        <v>92400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</row>
    <row r="735" spans="1:29">
      <c r="A735">
        <v>727</v>
      </c>
      <c r="B735" t="s">
        <v>149</v>
      </c>
      <c r="C735">
        <v>1292</v>
      </c>
      <c r="D735" t="s">
        <v>336</v>
      </c>
      <c r="E735" t="str">
        <f t="shared" si="11"/>
        <v>01292</v>
      </c>
      <c r="F735" t="s">
        <v>73</v>
      </c>
      <c r="G735" t="s">
        <v>185</v>
      </c>
      <c r="H735" t="s">
        <v>151</v>
      </c>
      <c r="I735" t="s">
        <v>4</v>
      </c>
      <c r="J735" t="s">
        <v>152</v>
      </c>
      <c r="K735" t="s">
        <v>153</v>
      </c>
      <c r="L735">
        <v>251200375</v>
      </c>
      <c r="M735" s="84">
        <v>46005</v>
      </c>
      <c r="N735" s="84">
        <v>46005</v>
      </c>
      <c r="O735" t="s">
        <v>243</v>
      </c>
      <c r="P735" t="s">
        <v>244</v>
      </c>
      <c r="Q735">
        <v>5700</v>
      </c>
      <c r="R735">
        <v>15</v>
      </c>
      <c r="S735">
        <v>85500</v>
      </c>
      <c r="T735">
        <v>0</v>
      </c>
      <c r="U735">
        <v>0</v>
      </c>
      <c r="V735">
        <v>15</v>
      </c>
      <c r="W735">
        <v>85500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</row>
    <row r="736" spans="1:29">
      <c r="A736">
        <v>728</v>
      </c>
      <c r="B736" t="s">
        <v>149</v>
      </c>
      <c r="C736">
        <v>1108</v>
      </c>
      <c r="D736" t="s">
        <v>107</v>
      </c>
      <c r="E736" t="str">
        <f t="shared" si="11"/>
        <v>01108</v>
      </c>
      <c r="F736" t="s">
        <v>103</v>
      </c>
      <c r="G736" t="s">
        <v>167</v>
      </c>
      <c r="H736" t="s">
        <v>151</v>
      </c>
      <c r="I736" t="s">
        <v>4</v>
      </c>
      <c r="J736" t="s">
        <v>152</v>
      </c>
      <c r="K736" t="s">
        <v>153</v>
      </c>
      <c r="L736">
        <v>251200376</v>
      </c>
      <c r="M736" s="84">
        <v>46005</v>
      </c>
      <c r="N736" s="84">
        <v>46005</v>
      </c>
      <c r="O736" t="s">
        <v>160</v>
      </c>
      <c r="P736" t="s">
        <v>161</v>
      </c>
      <c r="Q736">
        <v>14250</v>
      </c>
      <c r="R736">
        <v>30</v>
      </c>
      <c r="S736">
        <v>427500</v>
      </c>
      <c r="T736">
        <v>0</v>
      </c>
      <c r="U736">
        <v>0</v>
      </c>
      <c r="V736">
        <v>30</v>
      </c>
      <c r="W736">
        <v>427500</v>
      </c>
      <c r="X736">
        <v>4500</v>
      </c>
      <c r="Y736">
        <v>6000</v>
      </c>
      <c r="Z736">
        <v>0</v>
      </c>
      <c r="AA736">
        <v>0</v>
      </c>
      <c r="AB736">
        <v>0</v>
      </c>
      <c r="AC736">
        <v>10500</v>
      </c>
    </row>
    <row r="737" spans="1:29">
      <c r="A737">
        <v>729</v>
      </c>
      <c r="B737" t="s">
        <v>149</v>
      </c>
      <c r="C737">
        <v>398</v>
      </c>
      <c r="D737" t="s">
        <v>105</v>
      </c>
      <c r="E737" t="str">
        <f t="shared" si="11"/>
        <v>00398</v>
      </c>
      <c r="F737" t="s">
        <v>103</v>
      </c>
      <c r="G737" t="s">
        <v>167</v>
      </c>
      <c r="H737" t="s">
        <v>151</v>
      </c>
      <c r="I737" t="s">
        <v>5</v>
      </c>
      <c r="J737" t="s">
        <v>152</v>
      </c>
      <c r="K737" t="s">
        <v>153</v>
      </c>
      <c r="L737">
        <v>251200377</v>
      </c>
      <c r="M737" s="84">
        <v>46005</v>
      </c>
      <c r="N737" s="84">
        <v>46005</v>
      </c>
      <c r="O737" t="s">
        <v>191</v>
      </c>
      <c r="P737" t="s">
        <v>192</v>
      </c>
      <c r="Q737">
        <v>11700</v>
      </c>
      <c r="R737">
        <v>60</v>
      </c>
      <c r="S737">
        <v>702000</v>
      </c>
      <c r="T737">
        <v>0</v>
      </c>
      <c r="U737">
        <v>0</v>
      </c>
      <c r="V737">
        <v>60</v>
      </c>
      <c r="W737">
        <v>702000</v>
      </c>
      <c r="X737">
        <v>9000</v>
      </c>
      <c r="Y737">
        <v>9000</v>
      </c>
      <c r="Z737">
        <v>0</v>
      </c>
      <c r="AA737">
        <v>0</v>
      </c>
      <c r="AB737">
        <v>0</v>
      </c>
      <c r="AC737">
        <v>18000</v>
      </c>
    </row>
    <row r="738" spans="1:29">
      <c r="A738">
        <v>730</v>
      </c>
      <c r="B738" t="s">
        <v>149</v>
      </c>
      <c r="C738">
        <v>388</v>
      </c>
      <c r="D738" t="s">
        <v>106</v>
      </c>
      <c r="E738" t="str">
        <f t="shared" si="11"/>
        <v>00388</v>
      </c>
      <c r="F738" t="s">
        <v>103</v>
      </c>
      <c r="G738" t="s">
        <v>167</v>
      </c>
      <c r="H738" t="s">
        <v>151</v>
      </c>
      <c r="I738" t="s">
        <v>231</v>
      </c>
      <c r="J738" t="s">
        <v>152</v>
      </c>
      <c r="K738" t="s">
        <v>153</v>
      </c>
      <c r="L738">
        <v>251200378</v>
      </c>
      <c r="M738" s="84">
        <v>46005</v>
      </c>
      <c r="N738" s="84">
        <v>46005</v>
      </c>
      <c r="O738" t="s">
        <v>233</v>
      </c>
      <c r="P738" t="s">
        <v>118</v>
      </c>
      <c r="Q738">
        <v>4486</v>
      </c>
      <c r="R738">
        <v>10</v>
      </c>
      <c r="S738">
        <v>44860</v>
      </c>
      <c r="T738">
        <v>0</v>
      </c>
      <c r="U738">
        <v>0</v>
      </c>
      <c r="V738">
        <v>10</v>
      </c>
      <c r="W738">
        <v>44860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</row>
    <row r="739" spans="1:29">
      <c r="A739">
        <v>731</v>
      </c>
      <c r="B739" t="s">
        <v>149</v>
      </c>
      <c r="C739">
        <v>388</v>
      </c>
      <c r="D739" t="s">
        <v>106</v>
      </c>
      <c r="E739" t="str">
        <f t="shared" si="11"/>
        <v>00388</v>
      </c>
      <c r="F739" t="s">
        <v>103</v>
      </c>
      <c r="G739" t="s">
        <v>167</v>
      </c>
      <c r="H739" t="s">
        <v>151</v>
      </c>
      <c r="I739" t="s">
        <v>231</v>
      </c>
      <c r="J739" t="s">
        <v>152</v>
      </c>
      <c r="K739" t="s">
        <v>153</v>
      </c>
      <c r="L739">
        <v>251200378</v>
      </c>
      <c r="M739" s="84">
        <v>46005</v>
      </c>
      <c r="N739" s="84">
        <v>46005</v>
      </c>
      <c r="O739" t="s">
        <v>232</v>
      </c>
      <c r="P739" t="s">
        <v>122</v>
      </c>
      <c r="Q739">
        <v>6213</v>
      </c>
      <c r="R739">
        <v>2</v>
      </c>
      <c r="S739">
        <v>12426</v>
      </c>
      <c r="T739">
        <v>0</v>
      </c>
      <c r="U739">
        <v>0</v>
      </c>
      <c r="V739">
        <v>2</v>
      </c>
      <c r="W739">
        <v>12426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</row>
    <row r="740" spans="1:29">
      <c r="A740">
        <v>732</v>
      </c>
      <c r="B740" t="s">
        <v>149</v>
      </c>
      <c r="C740">
        <v>1326</v>
      </c>
      <c r="D740" t="s">
        <v>338</v>
      </c>
      <c r="E740" t="str">
        <f t="shared" si="11"/>
        <v>01326</v>
      </c>
      <c r="F740" t="s">
        <v>15</v>
      </c>
      <c r="G740" t="s">
        <v>193</v>
      </c>
      <c r="H740" t="s">
        <v>151</v>
      </c>
      <c r="I740" t="s">
        <v>4</v>
      </c>
      <c r="J740" t="s">
        <v>152</v>
      </c>
      <c r="K740" t="s">
        <v>153</v>
      </c>
      <c r="L740">
        <v>251200379</v>
      </c>
      <c r="M740" s="84">
        <v>46005</v>
      </c>
      <c r="N740" s="84">
        <v>46005</v>
      </c>
      <c r="O740" t="s">
        <v>160</v>
      </c>
      <c r="P740" t="s">
        <v>161</v>
      </c>
      <c r="Q740">
        <v>5500</v>
      </c>
      <c r="R740">
        <v>20</v>
      </c>
      <c r="S740">
        <v>110000</v>
      </c>
      <c r="T740">
        <v>0</v>
      </c>
      <c r="U740">
        <v>0</v>
      </c>
      <c r="V740">
        <v>20</v>
      </c>
      <c r="W740">
        <v>110000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</row>
    <row r="741" spans="1:29">
      <c r="A741">
        <v>733</v>
      </c>
      <c r="B741" t="s">
        <v>149</v>
      </c>
      <c r="C741">
        <v>1326</v>
      </c>
      <c r="D741" t="s">
        <v>338</v>
      </c>
      <c r="E741" t="str">
        <f t="shared" si="11"/>
        <v>01326</v>
      </c>
      <c r="F741" t="s">
        <v>15</v>
      </c>
      <c r="G741" t="s">
        <v>193</v>
      </c>
      <c r="H741" t="s">
        <v>151</v>
      </c>
      <c r="I741" t="s">
        <v>5</v>
      </c>
      <c r="J741" t="s">
        <v>152</v>
      </c>
      <c r="K741" t="s">
        <v>153</v>
      </c>
      <c r="L741">
        <v>251200379</v>
      </c>
      <c r="M741" s="84">
        <v>46005</v>
      </c>
      <c r="N741" s="84">
        <v>46005</v>
      </c>
      <c r="O741" t="s">
        <v>339</v>
      </c>
      <c r="P741" t="s">
        <v>340</v>
      </c>
      <c r="Q741">
        <v>4500</v>
      </c>
      <c r="R741">
        <v>20</v>
      </c>
      <c r="S741">
        <v>90000</v>
      </c>
      <c r="T741">
        <v>0</v>
      </c>
      <c r="U741">
        <v>0</v>
      </c>
      <c r="V741">
        <v>20</v>
      </c>
      <c r="W741">
        <v>90000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</row>
    <row r="742" spans="1:29">
      <c r="A742">
        <v>734</v>
      </c>
      <c r="B742" t="s">
        <v>149</v>
      </c>
      <c r="C742">
        <v>1550</v>
      </c>
      <c r="D742" t="s">
        <v>337</v>
      </c>
      <c r="E742" t="str">
        <f t="shared" si="11"/>
        <v>01550</v>
      </c>
      <c r="F742" t="s">
        <v>15</v>
      </c>
      <c r="G742" t="s">
        <v>193</v>
      </c>
      <c r="H742" t="s">
        <v>151</v>
      </c>
      <c r="I742" t="s">
        <v>5</v>
      </c>
      <c r="J742" t="s">
        <v>152</v>
      </c>
      <c r="K742" t="s">
        <v>153</v>
      </c>
      <c r="L742">
        <v>251200380</v>
      </c>
      <c r="M742" s="84">
        <v>46005</v>
      </c>
      <c r="N742" s="84">
        <v>46005</v>
      </c>
      <c r="O742" t="s">
        <v>194</v>
      </c>
      <c r="P742" t="s">
        <v>195</v>
      </c>
      <c r="Q742">
        <v>4500</v>
      </c>
      <c r="R742">
        <v>4</v>
      </c>
      <c r="S742">
        <v>18000</v>
      </c>
      <c r="T742">
        <v>0</v>
      </c>
      <c r="U742">
        <v>0</v>
      </c>
      <c r="V742">
        <v>4</v>
      </c>
      <c r="W742">
        <v>18000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</row>
    <row r="743" spans="1:29">
      <c r="A743">
        <v>735</v>
      </c>
      <c r="B743" t="s">
        <v>149</v>
      </c>
      <c r="C743">
        <v>1550</v>
      </c>
      <c r="D743" t="s">
        <v>337</v>
      </c>
      <c r="E743" t="str">
        <f t="shared" si="11"/>
        <v>01550</v>
      </c>
      <c r="F743" t="s">
        <v>15</v>
      </c>
      <c r="G743" t="s">
        <v>193</v>
      </c>
      <c r="H743" t="s">
        <v>151</v>
      </c>
      <c r="I743" t="s">
        <v>5</v>
      </c>
      <c r="J743" t="s">
        <v>152</v>
      </c>
      <c r="K743" t="s">
        <v>153</v>
      </c>
      <c r="L743">
        <v>251200380</v>
      </c>
      <c r="M743" s="84">
        <v>46005</v>
      </c>
      <c r="N743" s="84">
        <v>46005</v>
      </c>
      <c r="O743" t="s">
        <v>191</v>
      </c>
      <c r="P743" t="s">
        <v>192</v>
      </c>
      <c r="Q743">
        <v>4500</v>
      </c>
      <c r="R743">
        <v>7</v>
      </c>
      <c r="S743">
        <v>31500</v>
      </c>
      <c r="T743">
        <v>0</v>
      </c>
      <c r="U743">
        <v>0</v>
      </c>
      <c r="V743">
        <v>7</v>
      </c>
      <c r="W743">
        <v>31500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 spans="1:29">
      <c r="A744">
        <v>736</v>
      </c>
      <c r="B744" t="s">
        <v>149</v>
      </c>
      <c r="C744">
        <v>1550</v>
      </c>
      <c r="D744" t="s">
        <v>337</v>
      </c>
      <c r="E744" t="str">
        <f t="shared" si="11"/>
        <v>01550</v>
      </c>
      <c r="F744" t="s">
        <v>15</v>
      </c>
      <c r="G744" t="s">
        <v>193</v>
      </c>
      <c r="H744" t="s">
        <v>151</v>
      </c>
      <c r="I744" t="s">
        <v>5</v>
      </c>
      <c r="J744" t="s">
        <v>152</v>
      </c>
      <c r="K744" t="s">
        <v>153</v>
      </c>
      <c r="L744">
        <v>251200381</v>
      </c>
      <c r="M744" s="84">
        <v>46005</v>
      </c>
      <c r="N744" s="84">
        <v>46005</v>
      </c>
      <c r="O744" t="s">
        <v>191</v>
      </c>
      <c r="P744" t="s">
        <v>192</v>
      </c>
      <c r="Q744">
        <v>4500</v>
      </c>
      <c r="R744">
        <v>24</v>
      </c>
      <c r="S744">
        <v>108000</v>
      </c>
      <c r="T744">
        <v>0</v>
      </c>
      <c r="U744">
        <v>0</v>
      </c>
      <c r="V744">
        <v>24</v>
      </c>
      <c r="W744">
        <v>108000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</row>
    <row r="745" spans="1:29">
      <c r="A745">
        <v>737</v>
      </c>
      <c r="B745" t="s">
        <v>149</v>
      </c>
      <c r="C745">
        <v>1550</v>
      </c>
      <c r="D745" t="s">
        <v>337</v>
      </c>
      <c r="E745" t="str">
        <f t="shared" si="11"/>
        <v>01550</v>
      </c>
      <c r="F745" t="s">
        <v>15</v>
      </c>
      <c r="G745" t="s">
        <v>193</v>
      </c>
      <c r="H745" t="s">
        <v>151</v>
      </c>
      <c r="I745" t="s">
        <v>5</v>
      </c>
      <c r="J745" t="s">
        <v>152</v>
      </c>
      <c r="K745" t="s">
        <v>153</v>
      </c>
      <c r="L745">
        <v>251200381</v>
      </c>
      <c r="M745" s="84">
        <v>46005</v>
      </c>
      <c r="N745" s="84">
        <v>46005</v>
      </c>
      <c r="O745" t="s">
        <v>260</v>
      </c>
      <c r="P745" t="s">
        <v>261</v>
      </c>
      <c r="Q745">
        <v>4500</v>
      </c>
      <c r="R745">
        <v>4</v>
      </c>
      <c r="S745">
        <v>18000</v>
      </c>
      <c r="T745">
        <v>0</v>
      </c>
      <c r="U745">
        <v>0</v>
      </c>
      <c r="V745">
        <v>4</v>
      </c>
      <c r="W745">
        <v>18000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</row>
    <row r="746" spans="1:29">
      <c r="A746">
        <v>738</v>
      </c>
      <c r="B746" t="s">
        <v>149</v>
      </c>
      <c r="C746">
        <v>1550</v>
      </c>
      <c r="D746" t="s">
        <v>337</v>
      </c>
      <c r="E746" t="str">
        <f t="shared" si="11"/>
        <v>01550</v>
      </c>
      <c r="F746" t="s">
        <v>15</v>
      </c>
      <c r="G746" t="s">
        <v>193</v>
      </c>
      <c r="H746" t="s">
        <v>151</v>
      </c>
      <c r="I746" t="s">
        <v>5</v>
      </c>
      <c r="J746" t="s">
        <v>152</v>
      </c>
      <c r="K746" t="s">
        <v>153</v>
      </c>
      <c r="L746">
        <v>251200381</v>
      </c>
      <c r="M746" s="84">
        <v>46005</v>
      </c>
      <c r="N746" s="84">
        <v>46005</v>
      </c>
      <c r="O746" t="s">
        <v>253</v>
      </c>
      <c r="P746" t="s">
        <v>254</v>
      </c>
      <c r="Q746">
        <v>4500</v>
      </c>
      <c r="R746">
        <v>4</v>
      </c>
      <c r="S746">
        <v>18000</v>
      </c>
      <c r="T746">
        <v>0</v>
      </c>
      <c r="U746">
        <v>0</v>
      </c>
      <c r="V746">
        <v>4</v>
      </c>
      <c r="W746">
        <v>18000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</row>
    <row r="747" spans="1:29">
      <c r="A747">
        <v>739</v>
      </c>
      <c r="B747" t="s">
        <v>149</v>
      </c>
      <c r="C747">
        <v>1326</v>
      </c>
      <c r="D747" t="s">
        <v>338</v>
      </c>
      <c r="E747" t="str">
        <f t="shared" si="11"/>
        <v>01326</v>
      </c>
      <c r="F747" t="s">
        <v>15</v>
      </c>
      <c r="G747" t="s">
        <v>193</v>
      </c>
      <c r="H747" t="s">
        <v>151</v>
      </c>
      <c r="I747" t="s">
        <v>5</v>
      </c>
      <c r="J747" t="s">
        <v>152</v>
      </c>
      <c r="K747" t="s">
        <v>153</v>
      </c>
      <c r="L747">
        <v>251200382</v>
      </c>
      <c r="M747" s="84">
        <v>46005</v>
      </c>
      <c r="N747" s="84">
        <v>46005</v>
      </c>
      <c r="O747" t="s">
        <v>191</v>
      </c>
      <c r="P747" t="s">
        <v>192</v>
      </c>
      <c r="Q747">
        <v>4500</v>
      </c>
      <c r="R747">
        <v>16</v>
      </c>
      <c r="S747">
        <v>72000</v>
      </c>
      <c r="T747">
        <v>0</v>
      </c>
      <c r="U747">
        <v>0</v>
      </c>
      <c r="V747">
        <v>16</v>
      </c>
      <c r="W747">
        <v>72000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</row>
    <row r="748" spans="1:29">
      <c r="A748">
        <v>740</v>
      </c>
      <c r="B748" t="s">
        <v>149</v>
      </c>
      <c r="C748">
        <v>1326</v>
      </c>
      <c r="D748" t="s">
        <v>338</v>
      </c>
      <c r="E748" t="str">
        <f t="shared" si="11"/>
        <v>01326</v>
      </c>
      <c r="F748" t="s">
        <v>15</v>
      </c>
      <c r="G748" t="s">
        <v>193</v>
      </c>
      <c r="H748" t="s">
        <v>151</v>
      </c>
      <c r="I748" t="s">
        <v>5</v>
      </c>
      <c r="J748" t="s">
        <v>152</v>
      </c>
      <c r="K748" t="s">
        <v>153</v>
      </c>
      <c r="L748">
        <v>251200382</v>
      </c>
      <c r="M748" s="84">
        <v>46005</v>
      </c>
      <c r="N748" s="84">
        <v>46005</v>
      </c>
      <c r="O748" t="s">
        <v>260</v>
      </c>
      <c r="P748" t="s">
        <v>261</v>
      </c>
      <c r="Q748">
        <v>4500</v>
      </c>
      <c r="R748">
        <v>4</v>
      </c>
      <c r="S748">
        <v>18000</v>
      </c>
      <c r="T748">
        <v>0</v>
      </c>
      <c r="U748">
        <v>0</v>
      </c>
      <c r="V748">
        <v>4</v>
      </c>
      <c r="W748">
        <v>18000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</row>
    <row r="749" spans="1:29">
      <c r="A749">
        <v>741</v>
      </c>
      <c r="B749" t="s">
        <v>149</v>
      </c>
      <c r="C749">
        <v>1326</v>
      </c>
      <c r="D749" t="s">
        <v>338</v>
      </c>
      <c r="E749" t="str">
        <f t="shared" si="11"/>
        <v>01326</v>
      </c>
      <c r="F749" t="s">
        <v>15</v>
      </c>
      <c r="G749" t="s">
        <v>193</v>
      </c>
      <c r="H749" t="s">
        <v>151</v>
      </c>
      <c r="I749" t="s">
        <v>5</v>
      </c>
      <c r="J749" t="s">
        <v>152</v>
      </c>
      <c r="K749" t="s">
        <v>153</v>
      </c>
      <c r="L749">
        <v>251200382</v>
      </c>
      <c r="M749" s="84">
        <v>46005</v>
      </c>
      <c r="N749" s="84">
        <v>46005</v>
      </c>
      <c r="O749" t="s">
        <v>253</v>
      </c>
      <c r="P749" t="s">
        <v>254</v>
      </c>
      <c r="Q749">
        <v>4500</v>
      </c>
      <c r="R749">
        <v>4</v>
      </c>
      <c r="S749">
        <v>18000</v>
      </c>
      <c r="T749">
        <v>0</v>
      </c>
      <c r="U749">
        <v>0</v>
      </c>
      <c r="V749">
        <v>4</v>
      </c>
      <c r="W749">
        <v>18000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</row>
    <row r="750" spans="1:29">
      <c r="A750">
        <v>742</v>
      </c>
      <c r="B750" t="s">
        <v>149</v>
      </c>
      <c r="C750">
        <v>1326</v>
      </c>
      <c r="D750" t="s">
        <v>338</v>
      </c>
      <c r="E750" t="str">
        <f t="shared" si="11"/>
        <v>01326</v>
      </c>
      <c r="F750" t="s">
        <v>15</v>
      </c>
      <c r="G750" t="s">
        <v>193</v>
      </c>
      <c r="H750" t="s">
        <v>151</v>
      </c>
      <c r="I750" t="s">
        <v>5</v>
      </c>
      <c r="J750" t="s">
        <v>152</v>
      </c>
      <c r="K750" t="s">
        <v>153</v>
      </c>
      <c r="L750">
        <v>251200382</v>
      </c>
      <c r="M750" s="84">
        <v>46005</v>
      </c>
      <c r="N750" s="84">
        <v>46005</v>
      </c>
      <c r="O750" t="s">
        <v>339</v>
      </c>
      <c r="P750" t="s">
        <v>340</v>
      </c>
      <c r="Q750">
        <v>4500</v>
      </c>
      <c r="R750">
        <v>24</v>
      </c>
      <c r="S750">
        <v>108000</v>
      </c>
      <c r="T750">
        <v>0</v>
      </c>
      <c r="U750">
        <v>0</v>
      </c>
      <c r="V750">
        <v>24</v>
      </c>
      <c r="W750">
        <v>108000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 spans="1:29">
      <c r="A751">
        <v>743</v>
      </c>
      <c r="B751" t="s">
        <v>149</v>
      </c>
      <c r="C751">
        <v>1326</v>
      </c>
      <c r="D751" t="s">
        <v>338</v>
      </c>
      <c r="E751" t="str">
        <f t="shared" si="11"/>
        <v>01326</v>
      </c>
      <c r="F751" t="s">
        <v>15</v>
      </c>
      <c r="G751" t="s">
        <v>193</v>
      </c>
      <c r="H751" t="s">
        <v>151</v>
      </c>
      <c r="I751" t="s">
        <v>4</v>
      </c>
      <c r="J751" t="s">
        <v>152</v>
      </c>
      <c r="K751" t="s">
        <v>153</v>
      </c>
      <c r="L751">
        <v>251200382</v>
      </c>
      <c r="M751" s="84">
        <v>46005</v>
      </c>
      <c r="N751" s="84">
        <v>46005</v>
      </c>
      <c r="O751" t="s">
        <v>160</v>
      </c>
      <c r="P751" t="s">
        <v>161</v>
      </c>
      <c r="Q751">
        <v>5500</v>
      </c>
      <c r="R751">
        <v>10</v>
      </c>
      <c r="S751">
        <v>55000</v>
      </c>
      <c r="T751">
        <v>0</v>
      </c>
      <c r="U751">
        <v>0</v>
      </c>
      <c r="V751">
        <v>10</v>
      </c>
      <c r="W751">
        <v>55000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2" spans="1:29">
      <c r="A752">
        <v>744</v>
      </c>
      <c r="B752" t="s">
        <v>149</v>
      </c>
      <c r="C752">
        <v>1312</v>
      </c>
      <c r="D752" t="s">
        <v>359</v>
      </c>
      <c r="E752" t="str">
        <f t="shared" si="11"/>
        <v>01312</v>
      </c>
      <c r="F752" t="s">
        <v>15</v>
      </c>
      <c r="G752" t="s">
        <v>193</v>
      </c>
      <c r="H752" t="s">
        <v>151</v>
      </c>
      <c r="I752" t="s">
        <v>5</v>
      </c>
      <c r="J752" t="s">
        <v>152</v>
      </c>
      <c r="K752" t="s">
        <v>153</v>
      </c>
      <c r="L752">
        <v>251200383</v>
      </c>
      <c r="M752" s="84">
        <v>46005</v>
      </c>
      <c r="N752" s="84">
        <v>46005</v>
      </c>
      <c r="O752" t="s">
        <v>360</v>
      </c>
      <c r="P752" t="s">
        <v>361</v>
      </c>
      <c r="Q752">
        <v>4500</v>
      </c>
      <c r="R752">
        <v>20</v>
      </c>
      <c r="S752">
        <v>90000</v>
      </c>
      <c r="T752">
        <v>0</v>
      </c>
      <c r="U752">
        <v>0</v>
      </c>
      <c r="V752">
        <v>20</v>
      </c>
      <c r="W752">
        <v>90000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</row>
    <row r="753" spans="1:29">
      <c r="A753">
        <v>745</v>
      </c>
      <c r="B753" t="s">
        <v>149</v>
      </c>
      <c r="C753">
        <v>471</v>
      </c>
      <c r="D753" t="s">
        <v>25</v>
      </c>
      <c r="E753" t="str">
        <f t="shared" si="11"/>
        <v>00471</v>
      </c>
      <c r="F753" t="s">
        <v>20</v>
      </c>
      <c r="G753" t="s">
        <v>193</v>
      </c>
      <c r="H753" t="s">
        <v>151</v>
      </c>
      <c r="I753" t="s">
        <v>4</v>
      </c>
      <c r="J753" t="s">
        <v>152</v>
      </c>
      <c r="K753" t="s">
        <v>236</v>
      </c>
      <c r="L753">
        <v>251200384</v>
      </c>
      <c r="M753" s="84">
        <v>46005</v>
      </c>
      <c r="N753" s="84">
        <v>46005</v>
      </c>
      <c r="O753" t="s">
        <v>154</v>
      </c>
      <c r="P753" t="s">
        <v>155</v>
      </c>
      <c r="Q753">
        <v>14250</v>
      </c>
      <c r="R753">
        <v>10</v>
      </c>
      <c r="S753">
        <v>142500</v>
      </c>
      <c r="T753">
        <v>0</v>
      </c>
      <c r="U753">
        <v>0</v>
      </c>
      <c r="V753">
        <v>10</v>
      </c>
      <c r="W753">
        <v>142500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</row>
    <row r="754" spans="1:29">
      <c r="A754">
        <v>746</v>
      </c>
      <c r="B754" t="s">
        <v>149</v>
      </c>
      <c r="C754">
        <v>471</v>
      </c>
      <c r="D754" t="s">
        <v>25</v>
      </c>
      <c r="E754" t="str">
        <f t="shared" si="11"/>
        <v>00471</v>
      </c>
      <c r="F754" t="s">
        <v>20</v>
      </c>
      <c r="G754" t="s">
        <v>193</v>
      </c>
      <c r="H754" t="s">
        <v>151</v>
      </c>
      <c r="I754" t="s">
        <v>4</v>
      </c>
      <c r="J754" t="s">
        <v>152</v>
      </c>
      <c r="K754" t="s">
        <v>236</v>
      </c>
      <c r="L754">
        <v>251200384</v>
      </c>
      <c r="M754" s="84">
        <v>46005</v>
      </c>
      <c r="N754" s="84">
        <v>46005</v>
      </c>
      <c r="O754" t="s">
        <v>160</v>
      </c>
      <c r="P754" t="s">
        <v>161</v>
      </c>
      <c r="Q754">
        <v>14250</v>
      </c>
      <c r="R754">
        <v>50</v>
      </c>
      <c r="S754">
        <v>712500</v>
      </c>
      <c r="T754">
        <v>0</v>
      </c>
      <c r="U754">
        <v>0</v>
      </c>
      <c r="V754">
        <v>50</v>
      </c>
      <c r="W754">
        <v>712500</v>
      </c>
      <c r="X754">
        <v>7500</v>
      </c>
      <c r="Y754">
        <v>10000</v>
      </c>
      <c r="Z754">
        <v>0</v>
      </c>
      <c r="AA754">
        <v>0</v>
      </c>
      <c r="AB754">
        <v>0</v>
      </c>
      <c r="AC754">
        <v>17500</v>
      </c>
    </row>
    <row r="755" spans="1:29">
      <c r="A755">
        <v>747</v>
      </c>
      <c r="B755" t="s">
        <v>149</v>
      </c>
      <c r="C755">
        <v>471</v>
      </c>
      <c r="D755" t="s">
        <v>25</v>
      </c>
      <c r="E755" t="str">
        <f t="shared" si="11"/>
        <v>00471</v>
      </c>
      <c r="F755" t="s">
        <v>20</v>
      </c>
      <c r="G755" t="s">
        <v>193</v>
      </c>
      <c r="H755" t="s">
        <v>151</v>
      </c>
      <c r="I755" t="s">
        <v>4</v>
      </c>
      <c r="J755" t="s">
        <v>152</v>
      </c>
      <c r="K755" t="s">
        <v>236</v>
      </c>
      <c r="L755">
        <v>251200384</v>
      </c>
      <c r="M755" s="84">
        <v>46005</v>
      </c>
      <c r="N755" s="84">
        <v>46005</v>
      </c>
      <c r="O755" t="s">
        <v>179</v>
      </c>
      <c r="P755" t="s">
        <v>180</v>
      </c>
      <c r="Q755">
        <v>14250</v>
      </c>
      <c r="R755">
        <v>35</v>
      </c>
      <c r="S755">
        <v>498750</v>
      </c>
      <c r="T755">
        <v>0</v>
      </c>
      <c r="U755">
        <v>0</v>
      </c>
      <c r="V755">
        <v>35</v>
      </c>
      <c r="W755">
        <v>498750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</row>
    <row r="756" spans="1:29">
      <c r="A756">
        <v>748</v>
      </c>
      <c r="B756" t="s">
        <v>149</v>
      </c>
      <c r="C756">
        <v>471</v>
      </c>
      <c r="D756" t="s">
        <v>25</v>
      </c>
      <c r="E756" t="str">
        <f t="shared" si="11"/>
        <v>00471</v>
      </c>
      <c r="F756" t="s">
        <v>20</v>
      </c>
      <c r="G756" t="s">
        <v>193</v>
      </c>
      <c r="H756" t="s">
        <v>151</v>
      </c>
      <c r="I756" t="s">
        <v>5</v>
      </c>
      <c r="J756" t="s">
        <v>152</v>
      </c>
      <c r="K756" t="s">
        <v>236</v>
      </c>
      <c r="L756">
        <v>251200384</v>
      </c>
      <c r="M756" s="84">
        <v>46005</v>
      </c>
      <c r="N756" s="84">
        <v>46005</v>
      </c>
      <c r="O756" t="s">
        <v>191</v>
      </c>
      <c r="P756" t="s">
        <v>192</v>
      </c>
      <c r="Q756">
        <v>11700</v>
      </c>
      <c r="R756">
        <v>16</v>
      </c>
      <c r="S756">
        <v>187200</v>
      </c>
      <c r="T756">
        <v>0</v>
      </c>
      <c r="U756">
        <v>0</v>
      </c>
      <c r="V756">
        <v>16</v>
      </c>
      <c r="W756">
        <v>187200</v>
      </c>
      <c r="X756">
        <v>2400</v>
      </c>
      <c r="Y756">
        <v>2400</v>
      </c>
      <c r="Z756">
        <v>0</v>
      </c>
      <c r="AA756">
        <v>0</v>
      </c>
      <c r="AB756">
        <v>0</v>
      </c>
      <c r="AC756">
        <v>4800</v>
      </c>
    </row>
    <row r="757" spans="1:29">
      <c r="A757">
        <v>749</v>
      </c>
      <c r="B757" t="s">
        <v>149</v>
      </c>
      <c r="C757">
        <v>1448</v>
      </c>
      <c r="D757" t="s">
        <v>21</v>
      </c>
      <c r="E757" t="str">
        <f t="shared" si="11"/>
        <v>01448</v>
      </c>
      <c r="F757" t="s">
        <v>20</v>
      </c>
      <c r="G757" t="s">
        <v>193</v>
      </c>
      <c r="H757" t="s">
        <v>151</v>
      </c>
      <c r="I757" t="s">
        <v>4</v>
      </c>
      <c r="J757" t="s">
        <v>152</v>
      </c>
      <c r="K757" t="s">
        <v>236</v>
      </c>
      <c r="L757">
        <v>251200385</v>
      </c>
      <c r="M757" s="84">
        <v>46005</v>
      </c>
      <c r="N757" s="84">
        <v>46005</v>
      </c>
      <c r="O757" t="s">
        <v>262</v>
      </c>
      <c r="P757" t="s">
        <v>263</v>
      </c>
      <c r="Q757">
        <v>14250</v>
      </c>
      <c r="R757">
        <v>20</v>
      </c>
      <c r="S757">
        <v>285000</v>
      </c>
      <c r="T757">
        <v>0</v>
      </c>
      <c r="U757">
        <v>0</v>
      </c>
      <c r="V757">
        <v>20</v>
      </c>
      <c r="W757">
        <v>285000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</row>
    <row r="758" spans="1:29">
      <c r="A758">
        <v>750</v>
      </c>
      <c r="B758" t="s">
        <v>149</v>
      </c>
      <c r="C758">
        <v>1441</v>
      </c>
      <c r="D758" t="s">
        <v>23</v>
      </c>
      <c r="E758" t="str">
        <f t="shared" si="11"/>
        <v>01441</v>
      </c>
      <c r="F758" t="s">
        <v>20</v>
      </c>
      <c r="G758" t="s">
        <v>193</v>
      </c>
      <c r="H758" t="s">
        <v>151</v>
      </c>
      <c r="I758" t="s">
        <v>5</v>
      </c>
      <c r="J758" t="s">
        <v>152</v>
      </c>
      <c r="K758" t="s">
        <v>236</v>
      </c>
      <c r="L758">
        <v>251200386</v>
      </c>
      <c r="M758" s="84">
        <v>46005</v>
      </c>
      <c r="N758" s="84">
        <v>46005</v>
      </c>
      <c r="O758" t="s">
        <v>196</v>
      </c>
      <c r="P758" t="s">
        <v>197</v>
      </c>
      <c r="Q758">
        <v>11700</v>
      </c>
      <c r="R758">
        <v>8</v>
      </c>
      <c r="S758">
        <v>93600</v>
      </c>
      <c r="T758">
        <v>0</v>
      </c>
      <c r="U758">
        <v>0</v>
      </c>
      <c r="V758">
        <v>8</v>
      </c>
      <c r="W758">
        <v>93600</v>
      </c>
      <c r="X758">
        <v>1200</v>
      </c>
      <c r="Y758">
        <v>1200</v>
      </c>
      <c r="Z758">
        <v>0</v>
      </c>
      <c r="AA758">
        <v>0</v>
      </c>
      <c r="AB758">
        <v>0</v>
      </c>
      <c r="AC758">
        <v>2400</v>
      </c>
    </row>
    <row r="759" spans="1:29">
      <c r="A759">
        <v>751</v>
      </c>
      <c r="B759" t="s">
        <v>149</v>
      </c>
      <c r="C759">
        <v>1385</v>
      </c>
      <c r="D759" t="s">
        <v>27</v>
      </c>
      <c r="E759" t="str">
        <f t="shared" si="11"/>
        <v>01385</v>
      </c>
      <c r="F759" t="s">
        <v>20</v>
      </c>
      <c r="G759" t="s">
        <v>193</v>
      </c>
      <c r="H759" t="s">
        <v>151</v>
      </c>
      <c r="I759" t="s">
        <v>4</v>
      </c>
      <c r="J759" t="s">
        <v>152</v>
      </c>
      <c r="K759" t="s">
        <v>236</v>
      </c>
      <c r="L759">
        <v>251200387</v>
      </c>
      <c r="M759" s="84">
        <v>46005</v>
      </c>
      <c r="N759" s="84">
        <v>46005</v>
      </c>
      <c r="O759" t="s">
        <v>160</v>
      </c>
      <c r="P759" t="s">
        <v>161</v>
      </c>
      <c r="Q759">
        <v>14250</v>
      </c>
      <c r="R759">
        <v>10</v>
      </c>
      <c r="S759">
        <v>142500</v>
      </c>
      <c r="T759">
        <v>0</v>
      </c>
      <c r="U759">
        <v>0</v>
      </c>
      <c r="V759">
        <v>10</v>
      </c>
      <c r="W759">
        <v>142500</v>
      </c>
      <c r="X759">
        <v>1500</v>
      </c>
      <c r="Y759">
        <v>2000</v>
      </c>
      <c r="Z759">
        <v>0</v>
      </c>
      <c r="AA759">
        <v>0</v>
      </c>
      <c r="AB759">
        <v>0</v>
      </c>
      <c r="AC759">
        <v>3500</v>
      </c>
    </row>
    <row r="760" spans="1:29">
      <c r="A760">
        <v>752</v>
      </c>
      <c r="B760" t="s">
        <v>149</v>
      </c>
      <c r="C760">
        <v>1385</v>
      </c>
      <c r="D760" t="s">
        <v>27</v>
      </c>
      <c r="E760" t="str">
        <f t="shared" si="11"/>
        <v>01385</v>
      </c>
      <c r="F760" t="s">
        <v>20</v>
      </c>
      <c r="G760" t="s">
        <v>193</v>
      </c>
      <c r="H760" t="s">
        <v>151</v>
      </c>
      <c r="I760" t="s">
        <v>5</v>
      </c>
      <c r="J760" t="s">
        <v>152</v>
      </c>
      <c r="K760" t="s">
        <v>236</v>
      </c>
      <c r="L760">
        <v>251200387</v>
      </c>
      <c r="M760" s="84">
        <v>46005</v>
      </c>
      <c r="N760" s="84">
        <v>46005</v>
      </c>
      <c r="O760" t="s">
        <v>273</v>
      </c>
      <c r="P760" t="s">
        <v>274</v>
      </c>
      <c r="Q760">
        <v>11700</v>
      </c>
      <c r="R760">
        <v>16</v>
      </c>
      <c r="S760">
        <v>187200</v>
      </c>
      <c r="T760">
        <v>0</v>
      </c>
      <c r="U760">
        <v>0</v>
      </c>
      <c r="V760">
        <v>16</v>
      </c>
      <c r="W760">
        <v>187200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1:29">
      <c r="A761">
        <v>753</v>
      </c>
      <c r="B761" t="s">
        <v>149</v>
      </c>
      <c r="C761">
        <v>1385</v>
      </c>
      <c r="D761" t="s">
        <v>27</v>
      </c>
      <c r="E761" t="str">
        <f t="shared" si="11"/>
        <v>01385</v>
      </c>
      <c r="F761" t="s">
        <v>20</v>
      </c>
      <c r="G761" t="s">
        <v>193</v>
      </c>
      <c r="H761" t="s">
        <v>151</v>
      </c>
      <c r="I761" t="s">
        <v>4</v>
      </c>
      <c r="J761" t="s">
        <v>152</v>
      </c>
      <c r="K761" t="s">
        <v>236</v>
      </c>
      <c r="L761">
        <v>251200387</v>
      </c>
      <c r="M761" s="84">
        <v>46005</v>
      </c>
      <c r="N761" s="84">
        <v>46005</v>
      </c>
      <c r="O761" t="s">
        <v>177</v>
      </c>
      <c r="P761" t="s">
        <v>178</v>
      </c>
      <c r="Q761">
        <v>14250</v>
      </c>
      <c r="R761">
        <v>10</v>
      </c>
      <c r="S761">
        <v>142500</v>
      </c>
      <c r="T761">
        <v>0</v>
      </c>
      <c r="U761">
        <v>0</v>
      </c>
      <c r="V761">
        <v>10</v>
      </c>
      <c r="W761">
        <v>142500</v>
      </c>
      <c r="X761">
        <v>1500</v>
      </c>
      <c r="Y761">
        <v>2000</v>
      </c>
      <c r="Z761">
        <v>0</v>
      </c>
      <c r="AA761">
        <v>0</v>
      </c>
      <c r="AB761">
        <v>0</v>
      </c>
      <c r="AC761">
        <v>3500</v>
      </c>
    </row>
    <row r="762" spans="1:29">
      <c r="A762">
        <v>754</v>
      </c>
      <c r="B762" t="s">
        <v>149</v>
      </c>
      <c r="C762">
        <v>1356</v>
      </c>
      <c r="D762" t="s">
        <v>98</v>
      </c>
      <c r="E762" t="str">
        <f t="shared" si="11"/>
        <v>01356</v>
      </c>
      <c r="F762" t="s">
        <v>95</v>
      </c>
      <c r="G762" t="s">
        <v>187</v>
      </c>
      <c r="H762" t="s">
        <v>188</v>
      </c>
      <c r="I762" t="s">
        <v>4</v>
      </c>
      <c r="J762" t="s">
        <v>152</v>
      </c>
      <c r="K762" t="s">
        <v>159</v>
      </c>
      <c r="L762">
        <v>251200388</v>
      </c>
      <c r="M762" s="84">
        <v>46005</v>
      </c>
      <c r="N762" s="84">
        <v>46005</v>
      </c>
      <c r="O762" t="s">
        <v>267</v>
      </c>
      <c r="P762" t="s">
        <v>268</v>
      </c>
      <c r="Q762">
        <v>13300</v>
      </c>
      <c r="R762">
        <v>15</v>
      </c>
      <c r="S762">
        <v>199500</v>
      </c>
      <c r="T762">
        <v>0</v>
      </c>
      <c r="U762">
        <v>0</v>
      </c>
      <c r="V762">
        <v>15</v>
      </c>
      <c r="W762">
        <v>199500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 spans="1:29">
      <c r="A763">
        <v>755</v>
      </c>
      <c r="B763" t="s">
        <v>149</v>
      </c>
      <c r="C763">
        <v>827</v>
      </c>
      <c r="D763" t="s">
        <v>84</v>
      </c>
      <c r="E763" t="str">
        <f t="shared" si="11"/>
        <v>00827</v>
      </c>
      <c r="F763" t="s">
        <v>83</v>
      </c>
      <c r="G763" t="s">
        <v>164</v>
      </c>
      <c r="H763" t="s">
        <v>151</v>
      </c>
      <c r="I763" t="s">
        <v>5</v>
      </c>
      <c r="J763" t="s">
        <v>152</v>
      </c>
      <c r="K763" t="s">
        <v>153</v>
      </c>
      <c r="L763">
        <v>251200389</v>
      </c>
      <c r="M763" s="84">
        <v>46005</v>
      </c>
      <c r="N763" s="84">
        <v>46005</v>
      </c>
      <c r="O763" t="s">
        <v>198</v>
      </c>
      <c r="P763" t="s">
        <v>199</v>
      </c>
      <c r="Q763">
        <v>11700</v>
      </c>
      <c r="R763">
        <v>10</v>
      </c>
      <c r="S763">
        <v>117000</v>
      </c>
      <c r="T763">
        <v>9</v>
      </c>
      <c r="U763">
        <v>105300</v>
      </c>
      <c r="V763">
        <v>1</v>
      </c>
      <c r="W763">
        <v>11700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</row>
    <row r="764" spans="1:29">
      <c r="A764">
        <v>756</v>
      </c>
      <c r="B764" t="s">
        <v>149</v>
      </c>
      <c r="C764">
        <v>1149</v>
      </c>
      <c r="D764" t="s">
        <v>55</v>
      </c>
      <c r="E764" t="str">
        <f t="shared" si="11"/>
        <v>01149</v>
      </c>
      <c r="F764" t="s">
        <v>49</v>
      </c>
      <c r="G764" t="s">
        <v>167</v>
      </c>
      <c r="H764" t="s">
        <v>151</v>
      </c>
      <c r="I764" t="s">
        <v>4</v>
      </c>
      <c r="J764" t="s">
        <v>152</v>
      </c>
      <c r="K764" t="s">
        <v>153</v>
      </c>
      <c r="L764">
        <v>251200390</v>
      </c>
      <c r="M764" s="84">
        <v>46005</v>
      </c>
      <c r="N764" s="84">
        <v>46005</v>
      </c>
      <c r="O764" t="s">
        <v>168</v>
      </c>
      <c r="P764" t="s">
        <v>169</v>
      </c>
      <c r="Q764">
        <v>14250</v>
      </c>
      <c r="R764">
        <v>10</v>
      </c>
      <c r="S764">
        <v>142500</v>
      </c>
      <c r="T764">
        <v>0</v>
      </c>
      <c r="U764">
        <v>0</v>
      </c>
      <c r="V764">
        <v>10</v>
      </c>
      <c r="W764">
        <v>142500</v>
      </c>
      <c r="X764">
        <v>1500</v>
      </c>
      <c r="Y764">
        <v>2000</v>
      </c>
      <c r="Z764">
        <v>0</v>
      </c>
      <c r="AA764">
        <v>0</v>
      </c>
      <c r="AB764">
        <v>0</v>
      </c>
      <c r="AC764">
        <v>3500</v>
      </c>
    </row>
    <row r="765" spans="1:29">
      <c r="A765">
        <v>757</v>
      </c>
      <c r="B765" t="s">
        <v>149</v>
      </c>
      <c r="C765">
        <v>1149</v>
      </c>
      <c r="D765" t="s">
        <v>55</v>
      </c>
      <c r="E765" t="str">
        <f t="shared" si="11"/>
        <v>01149</v>
      </c>
      <c r="F765" t="s">
        <v>49</v>
      </c>
      <c r="G765" t="s">
        <v>167</v>
      </c>
      <c r="H765" t="s">
        <v>151</v>
      </c>
      <c r="I765" t="s">
        <v>4</v>
      </c>
      <c r="J765" t="s">
        <v>152</v>
      </c>
      <c r="K765" t="s">
        <v>153</v>
      </c>
      <c r="L765">
        <v>251200391</v>
      </c>
      <c r="M765" s="84">
        <v>46005</v>
      </c>
      <c r="N765" s="84">
        <v>46005</v>
      </c>
      <c r="O765" t="s">
        <v>219</v>
      </c>
      <c r="P765" t="s">
        <v>220</v>
      </c>
      <c r="Q765">
        <v>14250</v>
      </c>
      <c r="R765">
        <v>15</v>
      </c>
      <c r="S765">
        <v>213750</v>
      </c>
      <c r="T765">
        <v>0</v>
      </c>
      <c r="U765">
        <v>0</v>
      </c>
      <c r="V765">
        <v>15</v>
      </c>
      <c r="W765">
        <v>213750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</row>
    <row r="766" spans="1:29">
      <c r="A766">
        <v>758</v>
      </c>
      <c r="B766" t="s">
        <v>149</v>
      </c>
      <c r="C766">
        <v>1149</v>
      </c>
      <c r="D766" t="s">
        <v>55</v>
      </c>
      <c r="E766" t="str">
        <f t="shared" si="11"/>
        <v>01149</v>
      </c>
      <c r="F766" t="s">
        <v>49</v>
      </c>
      <c r="G766" t="s">
        <v>167</v>
      </c>
      <c r="H766" t="s">
        <v>151</v>
      </c>
      <c r="I766" t="s">
        <v>4</v>
      </c>
      <c r="J766" t="s">
        <v>152</v>
      </c>
      <c r="K766" t="s">
        <v>153</v>
      </c>
      <c r="L766">
        <v>251200391</v>
      </c>
      <c r="M766" s="84">
        <v>46005</v>
      </c>
      <c r="N766" s="84">
        <v>46005</v>
      </c>
      <c r="O766" t="s">
        <v>162</v>
      </c>
      <c r="P766" t="s">
        <v>163</v>
      </c>
      <c r="Q766">
        <v>14250</v>
      </c>
      <c r="R766">
        <v>10</v>
      </c>
      <c r="S766">
        <v>142500</v>
      </c>
      <c r="T766">
        <v>0</v>
      </c>
      <c r="U766">
        <v>0</v>
      </c>
      <c r="V766">
        <v>10</v>
      </c>
      <c r="W766">
        <v>142500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</row>
    <row r="767" spans="1:29">
      <c r="A767">
        <v>759</v>
      </c>
      <c r="B767" t="s">
        <v>149</v>
      </c>
      <c r="C767">
        <v>1149</v>
      </c>
      <c r="D767" t="s">
        <v>55</v>
      </c>
      <c r="E767" t="str">
        <f t="shared" si="11"/>
        <v>01149</v>
      </c>
      <c r="F767" t="s">
        <v>49</v>
      </c>
      <c r="G767" t="s">
        <v>167</v>
      </c>
      <c r="H767" t="s">
        <v>151</v>
      </c>
      <c r="I767" t="s">
        <v>4</v>
      </c>
      <c r="J767" t="s">
        <v>152</v>
      </c>
      <c r="K767" t="s">
        <v>153</v>
      </c>
      <c r="L767">
        <v>251200391</v>
      </c>
      <c r="M767" s="84">
        <v>46005</v>
      </c>
      <c r="N767" s="84">
        <v>46005</v>
      </c>
      <c r="O767" t="s">
        <v>177</v>
      </c>
      <c r="P767" t="s">
        <v>178</v>
      </c>
      <c r="Q767">
        <v>14250</v>
      </c>
      <c r="R767">
        <v>50</v>
      </c>
      <c r="S767">
        <v>712500</v>
      </c>
      <c r="T767">
        <v>0</v>
      </c>
      <c r="U767">
        <v>0</v>
      </c>
      <c r="V767">
        <v>50</v>
      </c>
      <c r="W767">
        <v>712500</v>
      </c>
      <c r="X767">
        <v>7500</v>
      </c>
      <c r="Y767">
        <v>10000</v>
      </c>
      <c r="Z767">
        <v>0</v>
      </c>
      <c r="AA767">
        <v>0</v>
      </c>
      <c r="AB767">
        <v>0</v>
      </c>
      <c r="AC767">
        <v>17500</v>
      </c>
    </row>
    <row r="768" spans="1:29">
      <c r="A768">
        <v>760</v>
      </c>
      <c r="B768" t="s">
        <v>149</v>
      </c>
      <c r="C768">
        <v>1149</v>
      </c>
      <c r="D768" t="s">
        <v>55</v>
      </c>
      <c r="E768" t="str">
        <f t="shared" si="11"/>
        <v>01149</v>
      </c>
      <c r="F768" t="s">
        <v>49</v>
      </c>
      <c r="G768" t="s">
        <v>167</v>
      </c>
      <c r="H768" t="s">
        <v>151</v>
      </c>
      <c r="I768" t="s">
        <v>4</v>
      </c>
      <c r="J768" t="s">
        <v>152</v>
      </c>
      <c r="K768" t="s">
        <v>153</v>
      </c>
      <c r="L768">
        <v>251200391</v>
      </c>
      <c r="M768" s="84">
        <v>46005</v>
      </c>
      <c r="N768" s="84">
        <v>46005</v>
      </c>
      <c r="O768" t="s">
        <v>160</v>
      </c>
      <c r="P768" t="s">
        <v>161</v>
      </c>
      <c r="Q768">
        <v>14250</v>
      </c>
      <c r="R768">
        <v>20</v>
      </c>
      <c r="S768">
        <v>285000</v>
      </c>
      <c r="T768">
        <v>0</v>
      </c>
      <c r="U768">
        <v>0</v>
      </c>
      <c r="V768">
        <v>20</v>
      </c>
      <c r="W768">
        <v>285000</v>
      </c>
      <c r="X768">
        <v>3000</v>
      </c>
      <c r="Y768">
        <v>4000</v>
      </c>
      <c r="Z768">
        <v>0</v>
      </c>
      <c r="AA768">
        <v>0</v>
      </c>
      <c r="AB768">
        <v>0</v>
      </c>
      <c r="AC768">
        <v>7000</v>
      </c>
    </row>
    <row r="769" spans="1:29">
      <c r="A769">
        <v>761</v>
      </c>
      <c r="B769" t="s">
        <v>149</v>
      </c>
      <c r="C769">
        <v>325</v>
      </c>
      <c r="D769" t="s">
        <v>34</v>
      </c>
      <c r="E769" t="str">
        <f t="shared" si="11"/>
        <v>00325</v>
      </c>
      <c r="F769" t="s">
        <v>28</v>
      </c>
      <c r="G769" t="s">
        <v>164</v>
      </c>
      <c r="H769" t="s">
        <v>151</v>
      </c>
      <c r="I769" t="s">
        <v>4</v>
      </c>
      <c r="J769" t="s">
        <v>152</v>
      </c>
      <c r="K769" t="s">
        <v>153</v>
      </c>
      <c r="L769">
        <v>251200392</v>
      </c>
      <c r="M769" s="84">
        <v>46005</v>
      </c>
      <c r="N769" s="84">
        <v>46005</v>
      </c>
      <c r="O769" t="s">
        <v>179</v>
      </c>
      <c r="P769" t="s">
        <v>180</v>
      </c>
      <c r="Q769">
        <v>14250</v>
      </c>
      <c r="R769">
        <v>15</v>
      </c>
      <c r="S769">
        <v>213750</v>
      </c>
      <c r="T769">
        <v>0</v>
      </c>
      <c r="U769">
        <v>0</v>
      </c>
      <c r="V769">
        <v>15</v>
      </c>
      <c r="W769">
        <v>213750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</row>
    <row r="770" spans="1:29">
      <c r="A770">
        <v>762</v>
      </c>
      <c r="B770" t="s">
        <v>149</v>
      </c>
      <c r="C770">
        <v>325</v>
      </c>
      <c r="D770" t="s">
        <v>34</v>
      </c>
      <c r="E770" t="str">
        <f t="shared" si="11"/>
        <v>00325</v>
      </c>
      <c r="F770" t="s">
        <v>28</v>
      </c>
      <c r="G770" t="s">
        <v>164</v>
      </c>
      <c r="H770" t="s">
        <v>151</v>
      </c>
      <c r="I770" t="s">
        <v>4</v>
      </c>
      <c r="J770" t="s">
        <v>152</v>
      </c>
      <c r="K770" t="s">
        <v>153</v>
      </c>
      <c r="L770">
        <v>251200392</v>
      </c>
      <c r="M770" s="84">
        <v>46005</v>
      </c>
      <c r="N770" s="84">
        <v>46005</v>
      </c>
      <c r="O770" t="s">
        <v>160</v>
      </c>
      <c r="P770" t="s">
        <v>161</v>
      </c>
      <c r="Q770">
        <v>14250</v>
      </c>
      <c r="R770">
        <v>33</v>
      </c>
      <c r="S770">
        <v>470250</v>
      </c>
      <c r="T770">
        <v>0</v>
      </c>
      <c r="U770">
        <v>0</v>
      </c>
      <c r="V770">
        <v>33</v>
      </c>
      <c r="W770">
        <v>470250</v>
      </c>
      <c r="X770">
        <v>4950</v>
      </c>
      <c r="Y770">
        <v>6600</v>
      </c>
      <c r="Z770">
        <v>0</v>
      </c>
      <c r="AA770">
        <v>0</v>
      </c>
      <c r="AB770">
        <v>0</v>
      </c>
      <c r="AC770">
        <v>11550</v>
      </c>
    </row>
    <row r="771" spans="1:29">
      <c r="A771">
        <v>763</v>
      </c>
      <c r="B771" t="s">
        <v>149</v>
      </c>
      <c r="C771">
        <v>1306</v>
      </c>
      <c r="D771" t="s">
        <v>377</v>
      </c>
      <c r="E771" t="str">
        <f t="shared" si="11"/>
        <v>01306</v>
      </c>
      <c r="F771" t="s">
        <v>28</v>
      </c>
      <c r="G771" t="s">
        <v>164</v>
      </c>
      <c r="H771" t="s">
        <v>151</v>
      </c>
      <c r="I771" t="s">
        <v>5</v>
      </c>
      <c r="J771" t="s">
        <v>152</v>
      </c>
      <c r="K771" t="s">
        <v>153</v>
      </c>
      <c r="L771">
        <v>251200393</v>
      </c>
      <c r="M771" s="84">
        <v>46005</v>
      </c>
      <c r="N771" s="84">
        <v>46005</v>
      </c>
      <c r="O771" t="s">
        <v>191</v>
      </c>
      <c r="P771" t="s">
        <v>192</v>
      </c>
      <c r="Q771">
        <v>4500</v>
      </c>
      <c r="R771">
        <v>32</v>
      </c>
      <c r="S771">
        <v>144000</v>
      </c>
      <c r="T771">
        <v>0</v>
      </c>
      <c r="U771">
        <v>0</v>
      </c>
      <c r="V771">
        <v>32</v>
      </c>
      <c r="W771">
        <v>144000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 spans="1:29">
      <c r="A772">
        <v>764</v>
      </c>
      <c r="B772" t="s">
        <v>149</v>
      </c>
      <c r="C772">
        <v>1306</v>
      </c>
      <c r="D772" t="s">
        <v>377</v>
      </c>
      <c r="E772" t="str">
        <f t="shared" si="11"/>
        <v>01306</v>
      </c>
      <c r="F772" t="s">
        <v>28</v>
      </c>
      <c r="G772" t="s">
        <v>164</v>
      </c>
      <c r="H772" t="s">
        <v>151</v>
      </c>
      <c r="I772" t="s">
        <v>5</v>
      </c>
      <c r="J772" t="s">
        <v>152</v>
      </c>
      <c r="K772" t="s">
        <v>153</v>
      </c>
      <c r="L772">
        <v>251200393</v>
      </c>
      <c r="M772" s="84">
        <v>46005</v>
      </c>
      <c r="N772" s="84">
        <v>46005</v>
      </c>
      <c r="O772" t="s">
        <v>260</v>
      </c>
      <c r="P772" t="s">
        <v>261</v>
      </c>
      <c r="Q772">
        <v>4500</v>
      </c>
      <c r="R772">
        <v>8</v>
      </c>
      <c r="S772">
        <v>36000</v>
      </c>
      <c r="T772">
        <v>0</v>
      </c>
      <c r="U772">
        <v>0</v>
      </c>
      <c r="V772">
        <v>8</v>
      </c>
      <c r="W772">
        <v>36000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</row>
    <row r="773" spans="1:29">
      <c r="A773">
        <v>765</v>
      </c>
      <c r="B773" t="s">
        <v>149</v>
      </c>
      <c r="C773">
        <v>1331</v>
      </c>
      <c r="D773" t="s">
        <v>366</v>
      </c>
      <c r="E773" t="str">
        <f t="shared" si="11"/>
        <v>01331</v>
      </c>
      <c r="F773" t="s">
        <v>28</v>
      </c>
      <c r="G773" t="s">
        <v>164</v>
      </c>
      <c r="H773" t="s">
        <v>151</v>
      </c>
      <c r="I773" t="s">
        <v>5</v>
      </c>
      <c r="J773" t="s">
        <v>152</v>
      </c>
      <c r="K773" t="s">
        <v>153</v>
      </c>
      <c r="L773">
        <v>251200394</v>
      </c>
      <c r="M773" s="84">
        <v>46005</v>
      </c>
      <c r="N773" s="84">
        <v>46005</v>
      </c>
      <c r="O773" t="s">
        <v>279</v>
      </c>
      <c r="P773" t="s">
        <v>280</v>
      </c>
      <c r="Q773">
        <v>4500</v>
      </c>
      <c r="R773">
        <v>52</v>
      </c>
      <c r="S773">
        <v>234000</v>
      </c>
      <c r="T773">
        <v>0</v>
      </c>
      <c r="U773">
        <v>0</v>
      </c>
      <c r="V773">
        <v>52</v>
      </c>
      <c r="W773">
        <v>234000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</row>
    <row r="774" spans="1:29">
      <c r="A774">
        <v>766</v>
      </c>
      <c r="B774" t="s">
        <v>149</v>
      </c>
      <c r="C774">
        <v>1331</v>
      </c>
      <c r="D774" t="s">
        <v>366</v>
      </c>
      <c r="E774" t="str">
        <f t="shared" si="11"/>
        <v>01331</v>
      </c>
      <c r="F774" t="s">
        <v>28</v>
      </c>
      <c r="G774" t="s">
        <v>164</v>
      </c>
      <c r="H774" t="s">
        <v>151</v>
      </c>
      <c r="I774" t="s">
        <v>5</v>
      </c>
      <c r="J774" t="s">
        <v>152</v>
      </c>
      <c r="K774" t="s">
        <v>153</v>
      </c>
      <c r="L774">
        <v>251200394</v>
      </c>
      <c r="M774" s="84">
        <v>46005</v>
      </c>
      <c r="N774" s="84">
        <v>46005</v>
      </c>
      <c r="O774" t="s">
        <v>297</v>
      </c>
      <c r="P774" t="s">
        <v>298</v>
      </c>
      <c r="Q774">
        <v>4500</v>
      </c>
      <c r="R774">
        <v>52</v>
      </c>
      <c r="S774">
        <v>234000</v>
      </c>
      <c r="T774">
        <v>0</v>
      </c>
      <c r="U774">
        <v>0</v>
      </c>
      <c r="V774">
        <v>52</v>
      </c>
      <c r="W774">
        <v>234000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</row>
    <row r="775" spans="1:29">
      <c r="A775">
        <v>767</v>
      </c>
      <c r="B775" t="s">
        <v>149</v>
      </c>
      <c r="C775">
        <v>1331</v>
      </c>
      <c r="D775" t="s">
        <v>366</v>
      </c>
      <c r="E775" t="str">
        <f t="shared" si="11"/>
        <v>01331</v>
      </c>
      <c r="F775" t="s">
        <v>28</v>
      </c>
      <c r="G775" t="s">
        <v>164</v>
      </c>
      <c r="H775" t="s">
        <v>151</v>
      </c>
      <c r="I775" t="s">
        <v>5</v>
      </c>
      <c r="J775" t="s">
        <v>152</v>
      </c>
      <c r="K775" t="s">
        <v>153</v>
      </c>
      <c r="L775">
        <v>251200394</v>
      </c>
      <c r="M775" s="84">
        <v>46005</v>
      </c>
      <c r="N775" s="84">
        <v>46005</v>
      </c>
      <c r="O775" t="s">
        <v>191</v>
      </c>
      <c r="P775" t="s">
        <v>192</v>
      </c>
      <c r="Q775">
        <v>4500</v>
      </c>
      <c r="R775">
        <v>48</v>
      </c>
      <c r="S775">
        <v>216000</v>
      </c>
      <c r="T775">
        <v>0</v>
      </c>
      <c r="U775">
        <v>0</v>
      </c>
      <c r="V775">
        <v>48</v>
      </c>
      <c r="W775">
        <v>216000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</row>
    <row r="776" spans="1:29">
      <c r="A776">
        <v>768</v>
      </c>
      <c r="B776" t="s">
        <v>149</v>
      </c>
      <c r="C776">
        <v>1282</v>
      </c>
      <c r="D776" t="s">
        <v>374</v>
      </c>
      <c r="E776" t="str">
        <f t="shared" si="11"/>
        <v>01282</v>
      </c>
      <c r="F776" t="s">
        <v>111</v>
      </c>
      <c r="G776" t="s">
        <v>150</v>
      </c>
      <c r="H776" t="s">
        <v>151</v>
      </c>
      <c r="I776" t="s">
        <v>4</v>
      </c>
      <c r="J776" t="s">
        <v>152</v>
      </c>
      <c r="K776" t="s">
        <v>153</v>
      </c>
      <c r="L776">
        <v>251200395</v>
      </c>
      <c r="M776" s="84">
        <v>46005</v>
      </c>
      <c r="N776" s="84">
        <v>46005</v>
      </c>
      <c r="O776" t="s">
        <v>248</v>
      </c>
      <c r="P776" t="s">
        <v>249</v>
      </c>
      <c r="Q776">
        <v>5500</v>
      </c>
      <c r="R776">
        <v>10</v>
      </c>
      <c r="S776">
        <v>55000</v>
      </c>
      <c r="T776">
        <v>0</v>
      </c>
      <c r="U776">
        <v>0</v>
      </c>
      <c r="V776">
        <v>10</v>
      </c>
      <c r="W776">
        <v>55000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1:29">
      <c r="A777">
        <v>769</v>
      </c>
      <c r="B777" t="s">
        <v>149</v>
      </c>
      <c r="C777">
        <v>1308</v>
      </c>
      <c r="D777" t="s">
        <v>368</v>
      </c>
      <c r="E777" t="str">
        <f t="shared" ref="E777:E840" si="12">TEXT(C777,"00000")</f>
        <v>01308</v>
      </c>
      <c r="F777" t="s">
        <v>49</v>
      </c>
      <c r="G777" t="s">
        <v>167</v>
      </c>
      <c r="H777" t="s">
        <v>151</v>
      </c>
      <c r="I777" t="s">
        <v>5</v>
      </c>
      <c r="J777" t="s">
        <v>152</v>
      </c>
      <c r="K777" t="s">
        <v>153</v>
      </c>
      <c r="L777">
        <v>251200396</v>
      </c>
      <c r="M777" s="84">
        <v>46005</v>
      </c>
      <c r="N777" s="84">
        <v>46005</v>
      </c>
      <c r="O777" t="s">
        <v>271</v>
      </c>
      <c r="P777" t="s">
        <v>272</v>
      </c>
      <c r="Q777">
        <v>4500</v>
      </c>
      <c r="R777">
        <v>12</v>
      </c>
      <c r="S777">
        <v>54000</v>
      </c>
      <c r="T777">
        <v>0</v>
      </c>
      <c r="U777">
        <v>0</v>
      </c>
      <c r="V777">
        <v>12</v>
      </c>
      <c r="W777">
        <v>54000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</row>
    <row r="778" spans="1:29">
      <c r="A778">
        <v>770</v>
      </c>
      <c r="B778" t="s">
        <v>149</v>
      </c>
      <c r="C778">
        <v>1534</v>
      </c>
      <c r="D778" t="s">
        <v>371</v>
      </c>
      <c r="E778" t="str">
        <f t="shared" si="12"/>
        <v>01534</v>
      </c>
      <c r="F778" t="s">
        <v>65</v>
      </c>
      <c r="G778" t="s">
        <v>208</v>
      </c>
      <c r="H778" t="s">
        <v>157</v>
      </c>
      <c r="I778" t="s">
        <v>4</v>
      </c>
      <c r="J778" t="s">
        <v>152</v>
      </c>
      <c r="K778" t="s">
        <v>174</v>
      </c>
      <c r="L778">
        <v>251200397</v>
      </c>
      <c r="M778" s="84">
        <v>46005</v>
      </c>
      <c r="N778" s="84">
        <v>46005</v>
      </c>
      <c r="O778" t="s">
        <v>294</v>
      </c>
      <c r="P778" t="s">
        <v>295</v>
      </c>
      <c r="Q778">
        <v>5500</v>
      </c>
      <c r="R778">
        <v>10</v>
      </c>
      <c r="S778">
        <v>55000</v>
      </c>
      <c r="T778">
        <v>0</v>
      </c>
      <c r="U778">
        <v>0</v>
      </c>
      <c r="V778">
        <v>10</v>
      </c>
      <c r="W778">
        <v>55000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</row>
    <row r="779" spans="1:29">
      <c r="A779">
        <v>771</v>
      </c>
      <c r="B779" t="s">
        <v>149</v>
      </c>
      <c r="C779">
        <v>1534</v>
      </c>
      <c r="D779" t="s">
        <v>371</v>
      </c>
      <c r="E779" t="str">
        <f t="shared" si="12"/>
        <v>01534</v>
      </c>
      <c r="F779" t="s">
        <v>65</v>
      </c>
      <c r="G779" t="s">
        <v>208</v>
      </c>
      <c r="H779" t="s">
        <v>157</v>
      </c>
      <c r="I779" t="s">
        <v>4</v>
      </c>
      <c r="J779" t="s">
        <v>152</v>
      </c>
      <c r="K779" t="s">
        <v>174</v>
      </c>
      <c r="L779">
        <v>251200397</v>
      </c>
      <c r="M779" s="84">
        <v>46005</v>
      </c>
      <c r="N779" s="84">
        <v>46005</v>
      </c>
      <c r="O779" t="s">
        <v>321</v>
      </c>
      <c r="P779" t="s">
        <v>322</v>
      </c>
      <c r="Q779">
        <v>5500</v>
      </c>
      <c r="R779">
        <v>10</v>
      </c>
      <c r="S779">
        <v>55000</v>
      </c>
      <c r="T779">
        <v>0</v>
      </c>
      <c r="U779">
        <v>0</v>
      </c>
      <c r="V779">
        <v>10</v>
      </c>
      <c r="W779">
        <v>55000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</row>
    <row r="780" spans="1:29">
      <c r="A780">
        <v>772</v>
      </c>
      <c r="B780" t="s">
        <v>149</v>
      </c>
      <c r="C780">
        <v>1515</v>
      </c>
      <c r="D780" t="s">
        <v>347</v>
      </c>
      <c r="E780" t="str">
        <f t="shared" si="12"/>
        <v>01515</v>
      </c>
      <c r="F780" t="s">
        <v>65</v>
      </c>
      <c r="G780" t="s">
        <v>208</v>
      </c>
      <c r="H780" t="s">
        <v>157</v>
      </c>
      <c r="I780" t="s">
        <v>4</v>
      </c>
      <c r="J780" t="s">
        <v>152</v>
      </c>
      <c r="K780" t="s">
        <v>174</v>
      </c>
      <c r="L780">
        <v>251200398</v>
      </c>
      <c r="M780" s="84">
        <v>46005</v>
      </c>
      <c r="N780" s="84">
        <v>46005</v>
      </c>
      <c r="O780" t="s">
        <v>189</v>
      </c>
      <c r="P780" t="s">
        <v>190</v>
      </c>
      <c r="Q780">
        <v>5500</v>
      </c>
      <c r="R780">
        <v>5</v>
      </c>
      <c r="S780">
        <v>27500</v>
      </c>
      <c r="T780">
        <v>0</v>
      </c>
      <c r="U780">
        <v>0</v>
      </c>
      <c r="V780">
        <v>5</v>
      </c>
      <c r="W780">
        <v>27500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</row>
    <row r="781" spans="1:29">
      <c r="A781">
        <v>773</v>
      </c>
      <c r="B781" t="s">
        <v>149</v>
      </c>
      <c r="C781">
        <v>1540</v>
      </c>
      <c r="D781" t="s">
        <v>394</v>
      </c>
      <c r="E781" t="str">
        <f t="shared" si="12"/>
        <v>01540</v>
      </c>
      <c r="F781" t="s">
        <v>65</v>
      </c>
      <c r="G781" t="s">
        <v>208</v>
      </c>
      <c r="H781" t="s">
        <v>157</v>
      </c>
      <c r="I781" t="s">
        <v>4</v>
      </c>
      <c r="J781" t="s">
        <v>152</v>
      </c>
      <c r="K781" t="s">
        <v>174</v>
      </c>
      <c r="L781">
        <v>251200399</v>
      </c>
      <c r="M781" s="84">
        <v>46005</v>
      </c>
      <c r="N781" s="84">
        <v>46005</v>
      </c>
      <c r="O781" t="s">
        <v>256</v>
      </c>
      <c r="P781" t="s">
        <v>257</v>
      </c>
      <c r="Q781">
        <v>5500</v>
      </c>
      <c r="R781">
        <v>10</v>
      </c>
      <c r="S781">
        <v>55000</v>
      </c>
      <c r="T781">
        <v>0</v>
      </c>
      <c r="U781">
        <v>0</v>
      </c>
      <c r="V781">
        <v>10</v>
      </c>
      <c r="W781">
        <v>55000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</row>
    <row r="782" spans="1:29">
      <c r="A782">
        <v>774</v>
      </c>
      <c r="B782" t="s">
        <v>149</v>
      </c>
      <c r="C782">
        <v>739</v>
      </c>
      <c r="D782" t="s">
        <v>14</v>
      </c>
      <c r="E782" t="str">
        <f t="shared" si="12"/>
        <v>00739</v>
      </c>
      <c r="F782" t="s">
        <v>10</v>
      </c>
      <c r="G782" t="s">
        <v>172</v>
      </c>
      <c r="H782" t="s">
        <v>157</v>
      </c>
      <c r="I782" t="s">
        <v>4</v>
      </c>
      <c r="J782" t="s">
        <v>152</v>
      </c>
      <c r="K782" t="s">
        <v>174</v>
      </c>
      <c r="L782">
        <v>251200400</v>
      </c>
      <c r="M782" s="84">
        <v>46005</v>
      </c>
      <c r="N782" s="84">
        <v>46005</v>
      </c>
      <c r="O782" t="s">
        <v>248</v>
      </c>
      <c r="P782" t="s">
        <v>249</v>
      </c>
      <c r="Q782">
        <v>14250</v>
      </c>
      <c r="R782">
        <v>15</v>
      </c>
      <c r="S782">
        <v>213750</v>
      </c>
      <c r="T782">
        <v>0</v>
      </c>
      <c r="U782">
        <v>0</v>
      </c>
      <c r="V782">
        <v>15</v>
      </c>
      <c r="W782">
        <v>213750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 spans="1:29">
      <c r="A783">
        <v>775</v>
      </c>
      <c r="B783" t="s">
        <v>149</v>
      </c>
      <c r="C783">
        <v>1562</v>
      </c>
      <c r="D783" t="s">
        <v>325</v>
      </c>
      <c r="E783" t="str">
        <f t="shared" si="12"/>
        <v>01562</v>
      </c>
      <c r="F783" t="s">
        <v>10</v>
      </c>
      <c r="G783" t="s">
        <v>172</v>
      </c>
      <c r="H783" t="s">
        <v>157</v>
      </c>
      <c r="I783" t="s">
        <v>4</v>
      </c>
      <c r="J783" t="s">
        <v>152</v>
      </c>
      <c r="K783" t="s">
        <v>174</v>
      </c>
      <c r="L783">
        <v>251200401</v>
      </c>
      <c r="M783" s="84">
        <v>46005</v>
      </c>
      <c r="N783" s="84">
        <v>46005</v>
      </c>
      <c r="O783" t="s">
        <v>294</v>
      </c>
      <c r="P783" t="s">
        <v>295</v>
      </c>
      <c r="Q783">
        <v>5500</v>
      </c>
      <c r="R783">
        <v>5</v>
      </c>
      <c r="S783">
        <v>27500</v>
      </c>
      <c r="T783">
        <v>0</v>
      </c>
      <c r="U783">
        <v>0</v>
      </c>
      <c r="V783">
        <v>5</v>
      </c>
      <c r="W783">
        <v>27500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</row>
    <row r="784" spans="1:29">
      <c r="A784">
        <v>776</v>
      </c>
      <c r="B784" t="s">
        <v>149</v>
      </c>
      <c r="C784">
        <v>1391</v>
      </c>
      <c r="D784" t="s">
        <v>97</v>
      </c>
      <c r="E784" t="str">
        <f t="shared" si="12"/>
        <v>01391</v>
      </c>
      <c r="F784" t="s">
        <v>95</v>
      </c>
      <c r="G784" t="s">
        <v>187</v>
      </c>
      <c r="H784" t="s">
        <v>188</v>
      </c>
      <c r="I784" t="s">
        <v>4</v>
      </c>
      <c r="J784" t="s">
        <v>152</v>
      </c>
      <c r="K784" t="s">
        <v>159</v>
      </c>
      <c r="L784">
        <v>251200402</v>
      </c>
      <c r="M784" s="84">
        <v>46005</v>
      </c>
      <c r="N784" s="84">
        <v>46005</v>
      </c>
      <c r="O784" t="s">
        <v>219</v>
      </c>
      <c r="P784" t="s">
        <v>220</v>
      </c>
      <c r="Q784">
        <v>13200</v>
      </c>
      <c r="R784">
        <v>5</v>
      </c>
      <c r="S784">
        <v>66000</v>
      </c>
      <c r="T784">
        <v>0</v>
      </c>
      <c r="U784">
        <v>0</v>
      </c>
      <c r="V784">
        <v>5</v>
      </c>
      <c r="W784">
        <v>66000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 spans="1:29">
      <c r="A785">
        <v>777</v>
      </c>
      <c r="B785" t="s">
        <v>149</v>
      </c>
      <c r="C785">
        <v>1428</v>
      </c>
      <c r="D785" t="s">
        <v>351</v>
      </c>
      <c r="E785" t="str">
        <f t="shared" si="12"/>
        <v>01428</v>
      </c>
      <c r="F785" t="s">
        <v>171</v>
      </c>
      <c r="G785" t="s">
        <v>172</v>
      </c>
      <c r="H785" t="s">
        <v>157</v>
      </c>
      <c r="I785" t="s">
        <v>4</v>
      </c>
      <c r="J785" t="s">
        <v>152</v>
      </c>
      <c r="K785" t="s">
        <v>174</v>
      </c>
      <c r="L785">
        <v>251200403</v>
      </c>
      <c r="M785" s="84">
        <v>46005</v>
      </c>
      <c r="N785" s="84">
        <v>46005</v>
      </c>
      <c r="O785" t="s">
        <v>204</v>
      </c>
      <c r="P785" t="s">
        <v>205</v>
      </c>
      <c r="Q785">
        <v>5500</v>
      </c>
      <c r="R785">
        <v>5</v>
      </c>
      <c r="S785">
        <v>27500</v>
      </c>
      <c r="T785">
        <v>0</v>
      </c>
      <c r="U785">
        <v>0</v>
      </c>
      <c r="V785">
        <v>5</v>
      </c>
      <c r="W785">
        <v>27500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</row>
    <row r="786" spans="1:29">
      <c r="A786">
        <v>778</v>
      </c>
      <c r="B786" t="s">
        <v>149</v>
      </c>
      <c r="C786">
        <v>1537</v>
      </c>
      <c r="D786" t="s">
        <v>395</v>
      </c>
      <c r="E786" t="str">
        <f t="shared" si="12"/>
        <v>01537</v>
      </c>
      <c r="F786" t="s">
        <v>91</v>
      </c>
      <c r="G786" t="s">
        <v>202</v>
      </c>
      <c r="H786" t="s">
        <v>157</v>
      </c>
      <c r="I786" t="s">
        <v>4</v>
      </c>
      <c r="J786" t="s">
        <v>152</v>
      </c>
      <c r="K786" t="s">
        <v>159</v>
      </c>
      <c r="L786">
        <v>251200404</v>
      </c>
      <c r="M786" s="84">
        <v>46005</v>
      </c>
      <c r="N786" s="84">
        <v>46005</v>
      </c>
      <c r="O786" t="s">
        <v>357</v>
      </c>
      <c r="P786" t="s">
        <v>358</v>
      </c>
      <c r="Q786">
        <v>5500</v>
      </c>
      <c r="R786">
        <v>15</v>
      </c>
      <c r="S786">
        <v>82500</v>
      </c>
      <c r="T786">
        <v>0</v>
      </c>
      <c r="U786">
        <v>0</v>
      </c>
      <c r="V786">
        <v>15</v>
      </c>
      <c r="W786">
        <v>82500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 spans="1:29">
      <c r="A787">
        <v>779</v>
      </c>
      <c r="B787" t="s">
        <v>149</v>
      </c>
      <c r="C787">
        <v>1520</v>
      </c>
      <c r="D787" t="s">
        <v>333</v>
      </c>
      <c r="E787" t="str">
        <f t="shared" si="12"/>
        <v>01520</v>
      </c>
      <c r="F787" t="s">
        <v>38</v>
      </c>
      <c r="G787" t="s">
        <v>202</v>
      </c>
      <c r="H787" t="s">
        <v>157</v>
      </c>
      <c r="I787" t="s">
        <v>4</v>
      </c>
      <c r="J787" t="s">
        <v>152</v>
      </c>
      <c r="K787" t="s">
        <v>203</v>
      </c>
      <c r="L787">
        <v>251200405</v>
      </c>
      <c r="M787" s="84">
        <v>46005</v>
      </c>
      <c r="N787" s="84">
        <v>46005</v>
      </c>
      <c r="O787" t="s">
        <v>177</v>
      </c>
      <c r="P787" t="s">
        <v>178</v>
      </c>
      <c r="Q787">
        <v>5500</v>
      </c>
      <c r="R787">
        <v>10</v>
      </c>
      <c r="S787">
        <v>55000</v>
      </c>
      <c r="T787">
        <v>0</v>
      </c>
      <c r="U787">
        <v>0</v>
      </c>
      <c r="V787">
        <v>10</v>
      </c>
      <c r="W787">
        <v>55000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</row>
    <row r="788" spans="1:29">
      <c r="A788">
        <v>780</v>
      </c>
      <c r="B788" t="s">
        <v>149</v>
      </c>
      <c r="C788">
        <v>1545</v>
      </c>
      <c r="D788" t="s">
        <v>387</v>
      </c>
      <c r="E788" t="str">
        <f t="shared" si="12"/>
        <v>01545</v>
      </c>
      <c r="F788" t="s">
        <v>7</v>
      </c>
      <c r="G788" t="s">
        <v>156</v>
      </c>
      <c r="H788" t="s">
        <v>157</v>
      </c>
      <c r="I788" t="s">
        <v>4</v>
      </c>
      <c r="J788" t="s">
        <v>152</v>
      </c>
      <c r="K788" t="s">
        <v>159</v>
      </c>
      <c r="L788">
        <v>251200406</v>
      </c>
      <c r="M788" s="84">
        <v>46005</v>
      </c>
      <c r="N788" s="84">
        <v>46005</v>
      </c>
      <c r="O788" t="s">
        <v>262</v>
      </c>
      <c r="P788" t="s">
        <v>263</v>
      </c>
      <c r="Q788">
        <v>5500</v>
      </c>
      <c r="R788">
        <v>8</v>
      </c>
      <c r="S788">
        <v>44000</v>
      </c>
      <c r="T788">
        <v>0</v>
      </c>
      <c r="U788">
        <v>0</v>
      </c>
      <c r="V788">
        <v>8</v>
      </c>
      <c r="W788">
        <v>44000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 spans="1:29">
      <c r="A789">
        <v>781</v>
      </c>
      <c r="B789" t="s">
        <v>149</v>
      </c>
      <c r="C789">
        <v>519</v>
      </c>
      <c r="D789" t="s">
        <v>296</v>
      </c>
      <c r="E789" t="str">
        <f t="shared" si="12"/>
        <v>00519</v>
      </c>
      <c r="F789" t="s">
        <v>7</v>
      </c>
      <c r="G789" t="s">
        <v>156</v>
      </c>
      <c r="H789" t="s">
        <v>157</v>
      </c>
      <c r="I789" t="s">
        <v>210</v>
      </c>
      <c r="J789" t="s">
        <v>152</v>
      </c>
      <c r="K789" t="s">
        <v>159</v>
      </c>
      <c r="L789">
        <v>251200407</v>
      </c>
      <c r="M789" s="84">
        <v>46005</v>
      </c>
      <c r="N789" s="84">
        <v>46005</v>
      </c>
      <c r="O789" t="s">
        <v>250</v>
      </c>
      <c r="P789" t="s">
        <v>251</v>
      </c>
      <c r="Q789">
        <v>30930</v>
      </c>
      <c r="R789">
        <v>1</v>
      </c>
      <c r="S789">
        <v>30930</v>
      </c>
      <c r="T789">
        <v>0</v>
      </c>
      <c r="U789">
        <v>0</v>
      </c>
      <c r="V789">
        <v>1</v>
      </c>
      <c r="W789">
        <v>30930</v>
      </c>
      <c r="X789">
        <v>928</v>
      </c>
      <c r="Y789">
        <v>1237</v>
      </c>
      <c r="Z789">
        <v>619</v>
      </c>
      <c r="AA789">
        <v>1547</v>
      </c>
      <c r="AB789">
        <v>100</v>
      </c>
      <c r="AC789">
        <v>4431</v>
      </c>
    </row>
    <row r="790" spans="1:29">
      <c r="A790">
        <v>782</v>
      </c>
      <c r="B790" t="s">
        <v>149</v>
      </c>
      <c r="C790">
        <v>133</v>
      </c>
      <c r="D790" t="s">
        <v>77</v>
      </c>
      <c r="E790" t="str">
        <f t="shared" si="12"/>
        <v>00133</v>
      </c>
      <c r="F790" t="s">
        <v>73</v>
      </c>
      <c r="G790" t="s">
        <v>185</v>
      </c>
      <c r="H790" t="s">
        <v>151</v>
      </c>
      <c r="I790" t="s">
        <v>4</v>
      </c>
      <c r="J790" t="s">
        <v>152</v>
      </c>
      <c r="K790" t="s">
        <v>153</v>
      </c>
      <c r="L790">
        <v>251200408</v>
      </c>
      <c r="M790" s="84">
        <v>46005</v>
      </c>
      <c r="N790" s="84">
        <v>46005</v>
      </c>
      <c r="O790" t="s">
        <v>160</v>
      </c>
      <c r="P790" t="s">
        <v>161</v>
      </c>
      <c r="Q790">
        <v>14250</v>
      </c>
      <c r="R790">
        <v>20</v>
      </c>
      <c r="S790">
        <v>285000</v>
      </c>
      <c r="T790">
        <v>0</v>
      </c>
      <c r="U790">
        <v>0</v>
      </c>
      <c r="V790">
        <v>20</v>
      </c>
      <c r="W790">
        <v>285000</v>
      </c>
      <c r="X790">
        <v>3000</v>
      </c>
      <c r="Y790">
        <v>4000</v>
      </c>
      <c r="Z790">
        <v>0</v>
      </c>
      <c r="AA790">
        <v>0</v>
      </c>
      <c r="AB790">
        <v>0</v>
      </c>
      <c r="AC790">
        <v>7000</v>
      </c>
    </row>
    <row r="791" spans="1:29">
      <c r="A791">
        <v>783</v>
      </c>
      <c r="B791" t="s">
        <v>149</v>
      </c>
      <c r="C791">
        <v>133</v>
      </c>
      <c r="D791" t="s">
        <v>77</v>
      </c>
      <c r="E791" t="str">
        <f t="shared" si="12"/>
        <v>00133</v>
      </c>
      <c r="F791" t="s">
        <v>73</v>
      </c>
      <c r="G791" t="s">
        <v>185</v>
      </c>
      <c r="H791" t="s">
        <v>151</v>
      </c>
      <c r="I791" t="s">
        <v>173</v>
      </c>
      <c r="J791" t="s">
        <v>152</v>
      </c>
      <c r="K791" t="s">
        <v>153</v>
      </c>
      <c r="L791">
        <v>251200408</v>
      </c>
      <c r="M791" s="84">
        <v>46005</v>
      </c>
      <c r="N791" s="84">
        <v>46005</v>
      </c>
      <c r="O791" t="s">
        <v>175</v>
      </c>
      <c r="P791" t="s">
        <v>176</v>
      </c>
      <c r="Q791">
        <v>4452</v>
      </c>
      <c r="R791">
        <v>3</v>
      </c>
      <c r="S791">
        <v>13356</v>
      </c>
      <c r="T791">
        <v>0</v>
      </c>
      <c r="U791">
        <v>0</v>
      </c>
      <c r="V791">
        <v>3</v>
      </c>
      <c r="W791">
        <v>13356</v>
      </c>
      <c r="X791">
        <v>0</v>
      </c>
      <c r="Y791">
        <v>267</v>
      </c>
      <c r="Z791">
        <v>669</v>
      </c>
      <c r="AA791">
        <v>0</v>
      </c>
      <c r="AB791">
        <v>300</v>
      </c>
      <c r="AC791">
        <v>1236</v>
      </c>
    </row>
    <row r="792" spans="1:29">
      <c r="A792">
        <v>784</v>
      </c>
      <c r="B792" t="s">
        <v>149</v>
      </c>
      <c r="C792">
        <v>133</v>
      </c>
      <c r="D792" t="s">
        <v>77</v>
      </c>
      <c r="E792" t="str">
        <f t="shared" si="12"/>
        <v>00133</v>
      </c>
      <c r="F792" t="s">
        <v>73</v>
      </c>
      <c r="G792" t="s">
        <v>185</v>
      </c>
      <c r="H792" t="s">
        <v>151</v>
      </c>
      <c r="I792" t="s">
        <v>4</v>
      </c>
      <c r="J792" t="s">
        <v>152</v>
      </c>
      <c r="K792" t="s">
        <v>153</v>
      </c>
      <c r="L792">
        <v>251200408</v>
      </c>
      <c r="M792" s="84">
        <v>46005</v>
      </c>
      <c r="N792" s="84">
        <v>46005</v>
      </c>
      <c r="O792" t="s">
        <v>200</v>
      </c>
      <c r="P792" t="s">
        <v>201</v>
      </c>
      <c r="Q792">
        <v>14250</v>
      </c>
      <c r="R792">
        <v>15</v>
      </c>
      <c r="S792">
        <v>213750</v>
      </c>
      <c r="T792">
        <v>0</v>
      </c>
      <c r="U792">
        <v>0</v>
      </c>
      <c r="V792">
        <v>15</v>
      </c>
      <c r="W792">
        <v>213750</v>
      </c>
      <c r="X792">
        <v>2250</v>
      </c>
      <c r="Y792">
        <v>3000</v>
      </c>
      <c r="Z792">
        <v>0</v>
      </c>
      <c r="AA792">
        <v>0</v>
      </c>
      <c r="AB792">
        <v>0</v>
      </c>
      <c r="AC792">
        <v>5250</v>
      </c>
    </row>
    <row r="793" spans="1:29">
      <c r="A793">
        <v>785</v>
      </c>
      <c r="B793" t="s">
        <v>149</v>
      </c>
      <c r="C793">
        <v>133</v>
      </c>
      <c r="D793" t="s">
        <v>77</v>
      </c>
      <c r="E793" t="str">
        <f t="shared" si="12"/>
        <v>00133</v>
      </c>
      <c r="F793" t="s">
        <v>73</v>
      </c>
      <c r="G793" t="s">
        <v>185</v>
      </c>
      <c r="H793" t="s">
        <v>151</v>
      </c>
      <c r="I793" t="s">
        <v>231</v>
      </c>
      <c r="J793" t="s">
        <v>152</v>
      </c>
      <c r="K793" t="s">
        <v>153</v>
      </c>
      <c r="L793">
        <v>251200408</v>
      </c>
      <c r="M793" s="84">
        <v>46005</v>
      </c>
      <c r="N793" s="84">
        <v>46005</v>
      </c>
      <c r="O793" t="s">
        <v>234</v>
      </c>
      <c r="P793" t="s">
        <v>235</v>
      </c>
      <c r="Q793">
        <v>10432</v>
      </c>
      <c r="R793">
        <v>1</v>
      </c>
      <c r="S793">
        <v>10432</v>
      </c>
      <c r="T793">
        <v>0</v>
      </c>
      <c r="U793">
        <v>0</v>
      </c>
      <c r="V793">
        <v>1</v>
      </c>
      <c r="W793">
        <v>10432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</row>
    <row r="794" spans="1:29">
      <c r="A794">
        <v>786</v>
      </c>
      <c r="B794" t="s">
        <v>149</v>
      </c>
      <c r="C794">
        <v>133</v>
      </c>
      <c r="D794" t="s">
        <v>77</v>
      </c>
      <c r="E794" t="str">
        <f t="shared" si="12"/>
        <v>00133</v>
      </c>
      <c r="F794" t="s">
        <v>73</v>
      </c>
      <c r="G794" t="s">
        <v>185</v>
      </c>
      <c r="H794" t="s">
        <v>151</v>
      </c>
      <c r="I794" t="s">
        <v>231</v>
      </c>
      <c r="J794" t="s">
        <v>152</v>
      </c>
      <c r="K794" t="s">
        <v>153</v>
      </c>
      <c r="L794">
        <v>251200408</v>
      </c>
      <c r="M794" s="84">
        <v>46005</v>
      </c>
      <c r="N794" s="84">
        <v>46005</v>
      </c>
      <c r="O794" t="s">
        <v>233</v>
      </c>
      <c r="P794" t="s">
        <v>118</v>
      </c>
      <c r="Q794">
        <v>4486</v>
      </c>
      <c r="R794">
        <v>2</v>
      </c>
      <c r="S794">
        <v>8972</v>
      </c>
      <c r="T794">
        <v>0</v>
      </c>
      <c r="U794">
        <v>0</v>
      </c>
      <c r="V794">
        <v>2</v>
      </c>
      <c r="W794">
        <v>8972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</row>
    <row r="795" spans="1:29">
      <c r="A795">
        <v>787</v>
      </c>
      <c r="B795" t="s">
        <v>149</v>
      </c>
      <c r="C795">
        <v>133</v>
      </c>
      <c r="D795" t="s">
        <v>77</v>
      </c>
      <c r="E795" t="str">
        <f t="shared" si="12"/>
        <v>00133</v>
      </c>
      <c r="F795" t="s">
        <v>73</v>
      </c>
      <c r="G795" t="s">
        <v>185</v>
      </c>
      <c r="H795" t="s">
        <v>151</v>
      </c>
      <c r="I795" t="s">
        <v>238</v>
      </c>
      <c r="J795" t="s">
        <v>152</v>
      </c>
      <c r="K795" t="s">
        <v>153</v>
      </c>
      <c r="L795">
        <v>251200408</v>
      </c>
      <c r="M795" s="84">
        <v>46005</v>
      </c>
      <c r="N795" s="84">
        <v>46005</v>
      </c>
      <c r="O795" t="s">
        <v>247</v>
      </c>
      <c r="P795" t="s">
        <v>116</v>
      </c>
      <c r="Q795">
        <v>10982</v>
      </c>
      <c r="R795">
        <v>3</v>
      </c>
      <c r="S795">
        <v>32946</v>
      </c>
      <c r="T795">
        <v>0</v>
      </c>
      <c r="U795">
        <v>0</v>
      </c>
      <c r="V795">
        <v>3</v>
      </c>
      <c r="W795">
        <v>32946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</row>
    <row r="796" spans="1:29">
      <c r="A796">
        <v>788</v>
      </c>
      <c r="B796" t="s">
        <v>149</v>
      </c>
      <c r="C796">
        <v>133</v>
      </c>
      <c r="D796" t="s">
        <v>77</v>
      </c>
      <c r="E796" t="str">
        <f t="shared" si="12"/>
        <v>00133</v>
      </c>
      <c r="F796" t="s">
        <v>73</v>
      </c>
      <c r="G796" t="s">
        <v>185</v>
      </c>
      <c r="H796" t="s">
        <v>151</v>
      </c>
      <c r="I796" t="s">
        <v>231</v>
      </c>
      <c r="J796" t="s">
        <v>152</v>
      </c>
      <c r="K796" t="s">
        <v>153</v>
      </c>
      <c r="L796">
        <v>251200408</v>
      </c>
      <c r="M796" s="84">
        <v>46005</v>
      </c>
      <c r="N796" s="84">
        <v>46005</v>
      </c>
      <c r="O796" t="s">
        <v>232</v>
      </c>
      <c r="P796" t="s">
        <v>122</v>
      </c>
      <c r="Q796">
        <v>6213</v>
      </c>
      <c r="R796">
        <v>2</v>
      </c>
      <c r="S796">
        <v>12426</v>
      </c>
      <c r="T796">
        <v>0</v>
      </c>
      <c r="U796">
        <v>0</v>
      </c>
      <c r="V796">
        <v>2</v>
      </c>
      <c r="W796">
        <v>12426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</row>
    <row r="797" spans="1:29">
      <c r="A797">
        <v>789</v>
      </c>
      <c r="B797" t="s">
        <v>149</v>
      </c>
      <c r="C797">
        <v>133</v>
      </c>
      <c r="D797" t="s">
        <v>77</v>
      </c>
      <c r="E797" t="str">
        <f t="shared" si="12"/>
        <v>00133</v>
      </c>
      <c r="F797" t="s">
        <v>73</v>
      </c>
      <c r="G797" t="s">
        <v>185</v>
      </c>
      <c r="H797" t="s">
        <v>151</v>
      </c>
      <c r="I797" t="s">
        <v>231</v>
      </c>
      <c r="J797" t="s">
        <v>152</v>
      </c>
      <c r="K797" t="s">
        <v>153</v>
      </c>
      <c r="L797">
        <v>251200409</v>
      </c>
      <c r="M797" s="84">
        <v>46005</v>
      </c>
      <c r="N797" s="84">
        <v>46005</v>
      </c>
      <c r="O797" t="s">
        <v>233</v>
      </c>
      <c r="P797" t="s">
        <v>118</v>
      </c>
      <c r="Q797">
        <v>4486</v>
      </c>
      <c r="R797">
        <v>2</v>
      </c>
      <c r="S797">
        <v>8972</v>
      </c>
      <c r="T797">
        <v>0</v>
      </c>
      <c r="U797">
        <v>0</v>
      </c>
      <c r="V797">
        <v>2</v>
      </c>
      <c r="W797">
        <v>8972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</row>
    <row r="798" spans="1:29">
      <c r="A798">
        <v>790</v>
      </c>
      <c r="B798" t="s">
        <v>149</v>
      </c>
      <c r="C798">
        <v>1551</v>
      </c>
      <c r="D798" t="s">
        <v>316</v>
      </c>
      <c r="E798" t="str">
        <f t="shared" si="12"/>
        <v>01551</v>
      </c>
      <c r="F798" t="s">
        <v>111</v>
      </c>
      <c r="G798" t="s">
        <v>150</v>
      </c>
      <c r="H798" t="s">
        <v>151</v>
      </c>
      <c r="I798" t="s">
        <v>4</v>
      </c>
      <c r="J798" t="s">
        <v>152</v>
      </c>
      <c r="K798" t="s">
        <v>153</v>
      </c>
      <c r="L798">
        <v>251200410</v>
      </c>
      <c r="M798" s="84">
        <v>46005</v>
      </c>
      <c r="N798" s="84">
        <v>46005</v>
      </c>
      <c r="O798" t="s">
        <v>243</v>
      </c>
      <c r="P798" t="s">
        <v>244</v>
      </c>
      <c r="Q798">
        <v>5700</v>
      </c>
      <c r="R798">
        <v>10</v>
      </c>
      <c r="S798">
        <v>57000</v>
      </c>
      <c r="T798">
        <v>0</v>
      </c>
      <c r="U798">
        <v>0</v>
      </c>
      <c r="V798">
        <v>10</v>
      </c>
      <c r="W798">
        <v>57000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 spans="1:29">
      <c r="A799">
        <v>791</v>
      </c>
      <c r="B799" t="s">
        <v>149</v>
      </c>
      <c r="C799">
        <v>1551</v>
      </c>
      <c r="D799" t="s">
        <v>316</v>
      </c>
      <c r="E799" t="str">
        <f t="shared" si="12"/>
        <v>01551</v>
      </c>
      <c r="F799" t="s">
        <v>111</v>
      </c>
      <c r="G799" t="s">
        <v>150</v>
      </c>
      <c r="H799" t="s">
        <v>151</v>
      </c>
      <c r="I799" t="s">
        <v>4</v>
      </c>
      <c r="J799" t="s">
        <v>152</v>
      </c>
      <c r="K799" t="s">
        <v>153</v>
      </c>
      <c r="L799">
        <v>251200411</v>
      </c>
      <c r="M799" s="84">
        <v>46005</v>
      </c>
      <c r="N799" s="84">
        <v>46005</v>
      </c>
      <c r="O799" t="s">
        <v>243</v>
      </c>
      <c r="P799" t="s">
        <v>244</v>
      </c>
      <c r="Q799">
        <v>5700</v>
      </c>
      <c r="R799">
        <v>5</v>
      </c>
      <c r="S799">
        <v>28500</v>
      </c>
      <c r="T799">
        <v>0</v>
      </c>
      <c r="U799">
        <v>0</v>
      </c>
      <c r="V799">
        <v>5</v>
      </c>
      <c r="W799">
        <v>28500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</row>
    <row r="800" spans="1:29">
      <c r="A800">
        <v>792</v>
      </c>
      <c r="B800" t="s">
        <v>149</v>
      </c>
      <c r="C800">
        <v>1551</v>
      </c>
      <c r="D800" t="s">
        <v>316</v>
      </c>
      <c r="E800" t="str">
        <f t="shared" si="12"/>
        <v>01551</v>
      </c>
      <c r="F800" t="s">
        <v>111</v>
      </c>
      <c r="G800" t="s">
        <v>150</v>
      </c>
      <c r="H800" t="s">
        <v>151</v>
      </c>
      <c r="I800" t="s">
        <v>4</v>
      </c>
      <c r="J800" t="s">
        <v>152</v>
      </c>
      <c r="K800" t="s">
        <v>153</v>
      </c>
      <c r="L800">
        <v>251200412</v>
      </c>
      <c r="M800" s="84">
        <v>46005</v>
      </c>
      <c r="N800" s="84">
        <v>46005</v>
      </c>
      <c r="O800" t="s">
        <v>243</v>
      </c>
      <c r="P800" t="s">
        <v>244</v>
      </c>
      <c r="Q800">
        <v>5700</v>
      </c>
      <c r="R800">
        <v>5</v>
      </c>
      <c r="S800">
        <v>28500</v>
      </c>
      <c r="T800">
        <v>0</v>
      </c>
      <c r="U800">
        <v>0</v>
      </c>
      <c r="V800">
        <v>5</v>
      </c>
      <c r="W800">
        <v>28500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</row>
    <row r="801" spans="1:29">
      <c r="A801">
        <v>793</v>
      </c>
      <c r="B801" t="s">
        <v>149</v>
      </c>
      <c r="C801">
        <v>1466</v>
      </c>
      <c r="D801" t="s">
        <v>81</v>
      </c>
      <c r="E801" t="str">
        <f t="shared" si="12"/>
        <v>01466</v>
      </c>
      <c r="F801" t="s">
        <v>80</v>
      </c>
      <c r="G801" t="s">
        <v>164</v>
      </c>
      <c r="H801" t="s">
        <v>151</v>
      </c>
      <c r="I801" t="s">
        <v>4</v>
      </c>
      <c r="J801" t="s">
        <v>152</v>
      </c>
      <c r="K801" t="s">
        <v>153</v>
      </c>
      <c r="L801">
        <v>251200413</v>
      </c>
      <c r="M801" s="84">
        <v>46006</v>
      </c>
      <c r="N801" s="84">
        <v>46006</v>
      </c>
      <c r="O801" t="s">
        <v>243</v>
      </c>
      <c r="P801" t="s">
        <v>244</v>
      </c>
      <c r="Q801">
        <v>15050</v>
      </c>
      <c r="R801">
        <v>5</v>
      </c>
      <c r="S801">
        <v>75250</v>
      </c>
      <c r="T801">
        <v>0</v>
      </c>
      <c r="U801">
        <v>0</v>
      </c>
      <c r="V801">
        <v>5</v>
      </c>
      <c r="W801">
        <v>75250</v>
      </c>
      <c r="X801">
        <v>750</v>
      </c>
      <c r="Y801">
        <v>1000</v>
      </c>
      <c r="Z801">
        <v>0</v>
      </c>
      <c r="AA801">
        <v>0</v>
      </c>
      <c r="AB801">
        <v>0</v>
      </c>
      <c r="AC801">
        <v>1750</v>
      </c>
    </row>
    <row r="802" spans="1:29">
      <c r="A802">
        <v>794</v>
      </c>
      <c r="B802" t="s">
        <v>149</v>
      </c>
      <c r="C802">
        <v>1288</v>
      </c>
      <c r="D802" t="s">
        <v>367</v>
      </c>
      <c r="E802" t="str">
        <f t="shared" si="12"/>
        <v>01288</v>
      </c>
      <c r="F802" t="s">
        <v>43</v>
      </c>
      <c r="G802" t="s">
        <v>150</v>
      </c>
      <c r="H802" t="s">
        <v>151</v>
      </c>
      <c r="I802" t="s">
        <v>4</v>
      </c>
      <c r="J802" t="s">
        <v>152</v>
      </c>
      <c r="K802" t="s">
        <v>153</v>
      </c>
      <c r="L802">
        <v>251200414</v>
      </c>
      <c r="M802" s="84">
        <v>46006</v>
      </c>
      <c r="N802" s="84">
        <v>46006</v>
      </c>
      <c r="O802" t="s">
        <v>160</v>
      </c>
      <c r="P802" t="s">
        <v>161</v>
      </c>
      <c r="Q802">
        <v>5500</v>
      </c>
      <c r="R802">
        <v>10</v>
      </c>
      <c r="S802">
        <v>55000</v>
      </c>
      <c r="T802">
        <v>0</v>
      </c>
      <c r="U802">
        <v>0</v>
      </c>
      <c r="V802">
        <v>10</v>
      </c>
      <c r="W802">
        <v>55000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</row>
    <row r="803" spans="1:29">
      <c r="A803">
        <v>795</v>
      </c>
      <c r="B803" t="s">
        <v>149</v>
      </c>
      <c r="C803">
        <v>1288</v>
      </c>
      <c r="D803" t="s">
        <v>367</v>
      </c>
      <c r="E803" t="str">
        <f t="shared" si="12"/>
        <v>01288</v>
      </c>
      <c r="F803" t="s">
        <v>43</v>
      </c>
      <c r="G803" t="s">
        <v>150</v>
      </c>
      <c r="H803" t="s">
        <v>151</v>
      </c>
      <c r="I803" t="s">
        <v>4</v>
      </c>
      <c r="J803" t="s">
        <v>152</v>
      </c>
      <c r="K803" t="s">
        <v>153</v>
      </c>
      <c r="L803">
        <v>251200414</v>
      </c>
      <c r="M803" s="84">
        <v>46006</v>
      </c>
      <c r="N803" s="84">
        <v>46006</v>
      </c>
      <c r="O803" t="s">
        <v>219</v>
      </c>
      <c r="P803" t="s">
        <v>220</v>
      </c>
      <c r="Q803">
        <v>5500</v>
      </c>
      <c r="R803">
        <v>10</v>
      </c>
      <c r="S803">
        <v>55000</v>
      </c>
      <c r="T803">
        <v>0</v>
      </c>
      <c r="U803">
        <v>0</v>
      </c>
      <c r="V803">
        <v>10</v>
      </c>
      <c r="W803">
        <v>55000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</row>
    <row r="804" spans="1:29">
      <c r="A804">
        <v>796</v>
      </c>
      <c r="B804" t="s">
        <v>149</v>
      </c>
      <c r="C804">
        <v>1593</v>
      </c>
      <c r="D804" t="s">
        <v>343</v>
      </c>
      <c r="E804" t="str">
        <f t="shared" si="12"/>
        <v>01593</v>
      </c>
      <c r="F804" t="s">
        <v>111</v>
      </c>
      <c r="G804" t="s">
        <v>150</v>
      </c>
      <c r="H804" t="s">
        <v>151</v>
      </c>
      <c r="I804" t="s">
        <v>4</v>
      </c>
      <c r="J804" t="s">
        <v>152</v>
      </c>
      <c r="K804" t="s">
        <v>153</v>
      </c>
      <c r="L804">
        <v>251200415</v>
      </c>
      <c r="M804" s="84">
        <v>46006</v>
      </c>
      <c r="N804" s="84">
        <v>46006</v>
      </c>
      <c r="O804" t="s">
        <v>160</v>
      </c>
      <c r="P804" t="s">
        <v>161</v>
      </c>
      <c r="Q804">
        <v>5500</v>
      </c>
      <c r="R804">
        <v>10</v>
      </c>
      <c r="S804">
        <v>55000</v>
      </c>
      <c r="T804">
        <v>0</v>
      </c>
      <c r="U804">
        <v>0</v>
      </c>
      <c r="V804">
        <v>10</v>
      </c>
      <c r="W804">
        <v>55000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>
      <c r="A805">
        <v>797</v>
      </c>
      <c r="B805" t="s">
        <v>149</v>
      </c>
      <c r="C805">
        <v>1593</v>
      </c>
      <c r="D805" t="s">
        <v>343</v>
      </c>
      <c r="E805" t="str">
        <f t="shared" si="12"/>
        <v>01593</v>
      </c>
      <c r="F805" t="s">
        <v>111</v>
      </c>
      <c r="G805" t="s">
        <v>150</v>
      </c>
      <c r="H805" t="s">
        <v>151</v>
      </c>
      <c r="I805" t="s">
        <v>5</v>
      </c>
      <c r="J805" t="s">
        <v>152</v>
      </c>
      <c r="K805" t="s">
        <v>153</v>
      </c>
      <c r="L805">
        <v>251200415</v>
      </c>
      <c r="M805" s="84">
        <v>46006</v>
      </c>
      <c r="N805" s="84">
        <v>46006</v>
      </c>
      <c r="O805" t="s">
        <v>191</v>
      </c>
      <c r="P805" t="s">
        <v>192</v>
      </c>
      <c r="Q805">
        <v>4500</v>
      </c>
      <c r="R805">
        <v>12</v>
      </c>
      <c r="S805">
        <v>54000</v>
      </c>
      <c r="T805">
        <v>0</v>
      </c>
      <c r="U805">
        <v>0</v>
      </c>
      <c r="V805">
        <v>12</v>
      </c>
      <c r="W805">
        <v>54000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</row>
    <row r="806" spans="1:29">
      <c r="A806">
        <v>798</v>
      </c>
      <c r="B806" t="s">
        <v>149</v>
      </c>
      <c r="C806">
        <v>1593</v>
      </c>
      <c r="D806" t="s">
        <v>343</v>
      </c>
      <c r="E806" t="str">
        <f t="shared" si="12"/>
        <v>01593</v>
      </c>
      <c r="F806" t="s">
        <v>111</v>
      </c>
      <c r="G806" t="s">
        <v>150</v>
      </c>
      <c r="H806" t="s">
        <v>151</v>
      </c>
      <c r="I806" t="s">
        <v>4</v>
      </c>
      <c r="J806" t="s">
        <v>152</v>
      </c>
      <c r="K806" t="s">
        <v>153</v>
      </c>
      <c r="L806">
        <v>251200415</v>
      </c>
      <c r="M806" s="84">
        <v>46006</v>
      </c>
      <c r="N806" s="84">
        <v>46006</v>
      </c>
      <c r="O806" t="s">
        <v>177</v>
      </c>
      <c r="P806" t="s">
        <v>178</v>
      </c>
      <c r="Q806">
        <v>5500</v>
      </c>
      <c r="R806">
        <v>10</v>
      </c>
      <c r="S806">
        <v>55000</v>
      </c>
      <c r="T806">
        <v>0</v>
      </c>
      <c r="U806">
        <v>0</v>
      </c>
      <c r="V806">
        <v>10</v>
      </c>
      <c r="W806">
        <v>55000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</row>
    <row r="807" spans="1:29">
      <c r="A807">
        <v>799</v>
      </c>
      <c r="B807" t="s">
        <v>149</v>
      </c>
      <c r="C807">
        <v>1593</v>
      </c>
      <c r="D807" t="s">
        <v>343</v>
      </c>
      <c r="E807" t="str">
        <f t="shared" si="12"/>
        <v>01593</v>
      </c>
      <c r="F807" t="s">
        <v>111</v>
      </c>
      <c r="G807" t="s">
        <v>150</v>
      </c>
      <c r="H807" t="s">
        <v>151</v>
      </c>
      <c r="I807" t="s">
        <v>4</v>
      </c>
      <c r="J807" t="s">
        <v>152</v>
      </c>
      <c r="K807" t="s">
        <v>153</v>
      </c>
      <c r="L807">
        <v>251200415</v>
      </c>
      <c r="M807" s="84">
        <v>46006</v>
      </c>
      <c r="N807" s="84">
        <v>46006</v>
      </c>
      <c r="O807" t="s">
        <v>154</v>
      </c>
      <c r="P807" t="s">
        <v>155</v>
      </c>
      <c r="Q807">
        <v>5500</v>
      </c>
      <c r="R807">
        <v>10</v>
      </c>
      <c r="S807">
        <v>55000</v>
      </c>
      <c r="T807">
        <v>0</v>
      </c>
      <c r="U807">
        <v>0</v>
      </c>
      <c r="V807">
        <v>10</v>
      </c>
      <c r="W807">
        <v>55000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</row>
    <row r="808" spans="1:29">
      <c r="A808">
        <v>800</v>
      </c>
      <c r="B808" t="s">
        <v>149</v>
      </c>
      <c r="C808">
        <v>1404</v>
      </c>
      <c r="D808" t="s">
        <v>113</v>
      </c>
      <c r="E808" t="str">
        <f t="shared" si="12"/>
        <v>01404</v>
      </c>
      <c r="F808" t="s">
        <v>111</v>
      </c>
      <c r="G808" t="s">
        <v>150</v>
      </c>
      <c r="H808" t="s">
        <v>151</v>
      </c>
      <c r="I808" t="s">
        <v>4</v>
      </c>
      <c r="J808" t="s">
        <v>152</v>
      </c>
      <c r="K808" t="s">
        <v>153</v>
      </c>
      <c r="L808">
        <v>251200416</v>
      </c>
      <c r="M808" s="84">
        <v>46006</v>
      </c>
      <c r="N808" s="84">
        <v>46006</v>
      </c>
      <c r="O808" t="s">
        <v>243</v>
      </c>
      <c r="P808" t="s">
        <v>244</v>
      </c>
      <c r="Q808">
        <v>15050</v>
      </c>
      <c r="R808">
        <v>2</v>
      </c>
      <c r="S808">
        <v>30100</v>
      </c>
      <c r="T808">
        <v>0</v>
      </c>
      <c r="U808">
        <v>0</v>
      </c>
      <c r="V808">
        <v>2</v>
      </c>
      <c r="W808">
        <v>30100</v>
      </c>
      <c r="X808">
        <v>300</v>
      </c>
      <c r="Y808">
        <v>400</v>
      </c>
      <c r="Z808">
        <v>0</v>
      </c>
      <c r="AA808">
        <v>0</v>
      </c>
      <c r="AB808">
        <v>0</v>
      </c>
      <c r="AC808">
        <v>700</v>
      </c>
    </row>
    <row r="809" spans="1:29">
      <c r="A809">
        <v>801</v>
      </c>
      <c r="B809" t="s">
        <v>149</v>
      </c>
      <c r="C809">
        <v>1519</v>
      </c>
      <c r="D809" t="s">
        <v>353</v>
      </c>
      <c r="E809" t="str">
        <f t="shared" si="12"/>
        <v>01519</v>
      </c>
      <c r="F809" t="s">
        <v>111</v>
      </c>
      <c r="G809" t="s">
        <v>150</v>
      </c>
      <c r="H809" t="s">
        <v>151</v>
      </c>
      <c r="I809" t="s">
        <v>4</v>
      </c>
      <c r="J809" t="s">
        <v>152</v>
      </c>
      <c r="K809" t="s">
        <v>153</v>
      </c>
      <c r="L809">
        <v>251200417</v>
      </c>
      <c r="M809" s="84">
        <v>46006</v>
      </c>
      <c r="N809" s="84">
        <v>46006</v>
      </c>
      <c r="O809" t="s">
        <v>219</v>
      </c>
      <c r="P809" t="s">
        <v>220</v>
      </c>
      <c r="Q809">
        <v>5500</v>
      </c>
      <c r="R809">
        <v>8</v>
      </c>
      <c r="S809">
        <v>44000</v>
      </c>
      <c r="T809">
        <v>0</v>
      </c>
      <c r="U809">
        <v>0</v>
      </c>
      <c r="V809">
        <v>8</v>
      </c>
      <c r="W809">
        <v>44000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</row>
    <row r="810" spans="1:29">
      <c r="A810">
        <v>802</v>
      </c>
      <c r="B810" t="s">
        <v>149</v>
      </c>
      <c r="C810">
        <v>1551</v>
      </c>
      <c r="D810" t="s">
        <v>316</v>
      </c>
      <c r="E810" t="str">
        <f t="shared" si="12"/>
        <v>01551</v>
      </c>
      <c r="F810" t="s">
        <v>111</v>
      </c>
      <c r="G810" t="s">
        <v>150</v>
      </c>
      <c r="H810" t="s">
        <v>151</v>
      </c>
      <c r="I810" t="s">
        <v>4</v>
      </c>
      <c r="J810" t="s">
        <v>152</v>
      </c>
      <c r="K810" t="s">
        <v>153</v>
      </c>
      <c r="L810">
        <v>251200418</v>
      </c>
      <c r="M810" s="84">
        <v>46006</v>
      </c>
      <c r="N810" s="84">
        <v>46006</v>
      </c>
      <c r="O810" t="s">
        <v>267</v>
      </c>
      <c r="P810" t="s">
        <v>268</v>
      </c>
      <c r="Q810">
        <v>5500</v>
      </c>
      <c r="R810">
        <v>8</v>
      </c>
      <c r="S810">
        <v>44000</v>
      </c>
      <c r="T810">
        <v>0</v>
      </c>
      <c r="U810">
        <v>0</v>
      </c>
      <c r="V810">
        <v>8</v>
      </c>
      <c r="W810">
        <v>44000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</row>
    <row r="811" spans="1:29">
      <c r="A811">
        <v>803</v>
      </c>
      <c r="B811" t="s">
        <v>149</v>
      </c>
      <c r="C811">
        <v>387</v>
      </c>
      <c r="D811" t="s">
        <v>109</v>
      </c>
      <c r="E811" t="str">
        <f t="shared" si="12"/>
        <v>00387</v>
      </c>
      <c r="F811" t="s">
        <v>103</v>
      </c>
      <c r="G811" t="s">
        <v>167</v>
      </c>
      <c r="H811" t="s">
        <v>151</v>
      </c>
      <c r="I811" t="s">
        <v>4</v>
      </c>
      <c r="J811" t="s">
        <v>152</v>
      </c>
      <c r="K811" t="s">
        <v>153</v>
      </c>
      <c r="L811">
        <v>251200419</v>
      </c>
      <c r="M811" s="84">
        <v>46006</v>
      </c>
      <c r="N811" s="84">
        <v>46006</v>
      </c>
      <c r="O811" t="s">
        <v>160</v>
      </c>
      <c r="P811" t="s">
        <v>161</v>
      </c>
      <c r="Q811">
        <v>14250</v>
      </c>
      <c r="R811">
        <v>175</v>
      </c>
      <c r="S811">
        <v>2493750</v>
      </c>
      <c r="T811">
        <v>0</v>
      </c>
      <c r="U811">
        <v>0</v>
      </c>
      <c r="V811">
        <v>175</v>
      </c>
      <c r="W811">
        <v>2493750</v>
      </c>
      <c r="X811">
        <v>26250</v>
      </c>
      <c r="Y811">
        <v>35000</v>
      </c>
      <c r="Z811">
        <v>0</v>
      </c>
      <c r="AA811">
        <v>0</v>
      </c>
      <c r="AB811">
        <v>0</v>
      </c>
      <c r="AC811">
        <v>61250</v>
      </c>
    </row>
    <row r="812" spans="1:29">
      <c r="A812">
        <v>804</v>
      </c>
      <c r="B812" t="s">
        <v>149</v>
      </c>
      <c r="C812">
        <v>387</v>
      </c>
      <c r="D812" t="s">
        <v>109</v>
      </c>
      <c r="E812" t="str">
        <f t="shared" si="12"/>
        <v>00387</v>
      </c>
      <c r="F812" t="s">
        <v>103</v>
      </c>
      <c r="G812" t="s">
        <v>167</v>
      </c>
      <c r="H812" t="s">
        <v>151</v>
      </c>
      <c r="I812" t="s">
        <v>4</v>
      </c>
      <c r="J812" t="s">
        <v>152</v>
      </c>
      <c r="K812" t="s">
        <v>153</v>
      </c>
      <c r="L812">
        <v>251200419</v>
      </c>
      <c r="M812" s="84">
        <v>46006</v>
      </c>
      <c r="N812" s="84">
        <v>46006</v>
      </c>
      <c r="O812" t="s">
        <v>168</v>
      </c>
      <c r="P812" t="s">
        <v>169</v>
      </c>
      <c r="Q812">
        <v>14250</v>
      </c>
      <c r="R812">
        <v>15</v>
      </c>
      <c r="S812">
        <v>213750</v>
      </c>
      <c r="T812">
        <v>0</v>
      </c>
      <c r="U812">
        <v>0</v>
      </c>
      <c r="V812">
        <v>15</v>
      </c>
      <c r="W812">
        <v>213750</v>
      </c>
      <c r="X812">
        <v>2250</v>
      </c>
      <c r="Y812">
        <v>3000</v>
      </c>
      <c r="Z812">
        <v>0</v>
      </c>
      <c r="AA812">
        <v>0</v>
      </c>
      <c r="AB812">
        <v>0</v>
      </c>
      <c r="AC812">
        <v>5250</v>
      </c>
    </row>
    <row r="813" spans="1:29">
      <c r="A813">
        <v>805</v>
      </c>
      <c r="B813" t="s">
        <v>149</v>
      </c>
      <c r="C813">
        <v>387</v>
      </c>
      <c r="D813" t="s">
        <v>109</v>
      </c>
      <c r="E813" t="str">
        <f t="shared" si="12"/>
        <v>00387</v>
      </c>
      <c r="F813" t="s">
        <v>103</v>
      </c>
      <c r="G813" t="s">
        <v>167</v>
      </c>
      <c r="H813" t="s">
        <v>151</v>
      </c>
      <c r="I813" t="s">
        <v>238</v>
      </c>
      <c r="J813" t="s">
        <v>152</v>
      </c>
      <c r="K813" t="s">
        <v>153</v>
      </c>
      <c r="L813">
        <v>251200419</v>
      </c>
      <c r="M813" s="84">
        <v>46006</v>
      </c>
      <c r="N813" s="84">
        <v>46006</v>
      </c>
      <c r="O813" t="s">
        <v>247</v>
      </c>
      <c r="P813" t="s">
        <v>116</v>
      </c>
      <c r="Q813">
        <v>10982</v>
      </c>
      <c r="R813">
        <v>5</v>
      </c>
      <c r="S813">
        <v>54910</v>
      </c>
      <c r="T813">
        <v>0</v>
      </c>
      <c r="U813">
        <v>0</v>
      </c>
      <c r="V813">
        <v>5</v>
      </c>
      <c r="W813">
        <v>54910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</row>
    <row r="814" spans="1:29">
      <c r="A814">
        <v>806</v>
      </c>
      <c r="B814" t="s">
        <v>149</v>
      </c>
      <c r="C814">
        <v>387</v>
      </c>
      <c r="D814" t="s">
        <v>109</v>
      </c>
      <c r="E814" t="str">
        <f t="shared" si="12"/>
        <v>00387</v>
      </c>
      <c r="F814" t="s">
        <v>103</v>
      </c>
      <c r="G814" t="s">
        <v>167</v>
      </c>
      <c r="H814" t="s">
        <v>151</v>
      </c>
      <c r="I814" t="s">
        <v>4</v>
      </c>
      <c r="J814" t="s">
        <v>152</v>
      </c>
      <c r="K814" t="s">
        <v>153</v>
      </c>
      <c r="L814">
        <v>251200419</v>
      </c>
      <c r="M814" s="84">
        <v>46006</v>
      </c>
      <c r="N814" s="84">
        <v>46006</v>
      </c>
      <c r="O814" t="s">
        <v>221</v>
      </c>
      <c r="P814" t="s">
        <v>222</v>
      </c>
      <c r="Q814">
        <v>14250</v>
      </c>
      <c r="R814">
        <v>15</v>
      </c>
      <c r="S814">
        <v>213750</v>
      </c>
      <c r="T814">
        <v>0</v>
      </c>
      <c r="U814">
        <v>0</v>
      </c>
      <c r="V814">
        <v>15</v>
      </c>
      <c r="W814">
        <v>213750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</row>
    <row r="815" spans="1:29">
      <c r="A815">
        <v>807</v>
      </c>
      <c r="B815" t="s">
        <v>149</v>
      </c>
      <c r="C815">
        <v>387</v>
      </c>
      <c r="D815" t="s">
        <v>109</v>
      </c>
      <c r="E815" t="str">
        <f t="shared" si="12"/>
        <v>00387</v>
      </c>
      <c r="F815" t="s">
        <v>103</v>
      </c>
      <c r="G815" t="s">
        <v>167</v>
      </c>
      <c r="H815" t="s">
        <v>151</v>
      </c>
      <c r="I815" t="s">
        <v>4</v>
      </c>
      <c r="J815" t="s">
        <v>152</v>
      </c>
      <c r="K815" t="s">
        <v>153</v>
      </c>
      <c r="L815">
        <v>251200419</v>
      </c>
      <c r="M815" s="84">
        <v>46006</v>
      </c>
      <c r="N815" s="84">
        <v>46006</v>
      </c>
      <c r="O815" t="s">
        <v>179</v>
      </c>
      <c r="P815" t="s">
        <v>180</v>
      </c>
      <c r="Q815">
        <v>14250</v>
      </c>
      <c r="R815">
        <v>25</v>
      </c>
      <c r="S815">
        <v>356250</v>
      </c>
      <c r="T815">
        <v>0</v>
      </c>
      <c r="U815">
        <v>0</v>
      </c>
      <c r="V815">
        <v>25</v>
      </c>
      <c r="W815">
        <v>356250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</row>
    <row r="816" spans="1:29">
      <c r="A816">
        <v>808</v>
      </c>
      <c r="B816" t="s">
        <v>149</v>
      </c>
      <c r="C816">
        <v>387</v>
      </c>
      <c r="D816" t="s">
        <v>109</v>
      </c>
      <c r="E816" t="str">
        <f t="shared" si="12"/>
        <v>00387</v>
      </c>
      <c r="F816" t="s">
        <v>103</v>
      </c>
      <c r="G816" t="s">
        <v>167</v>
      </c>
      <c r="H816" t="s">
        <v>151</v>
      </c>
      <c r="I816" t="s">
        <v>4</v>
      </c>
      <c r="J816" t="s">
        <v>152</v>
      </c>
      <c r="K816" t="s">
        <v>153</v>
      </c>
      <c r="L816">
        <v>251200419</v>
      </c>
      <c r="M816" s="84">
        <v>46006</v>
      </c>
      <c r="N816" s="84">
        <v>46006</v>
      </c>
      <c r="O816" t="s">
        <v>200</v>
      </c>
      <c r="P816" t="s">
        <v>201</v>
      </c>
      <c r="Q816">
        <v>14250</v>
      </c>
      <c r="R816">
        <v>10</v>
      </c>
      <c r="S816">
        <v>142500</v>
      </c>
      <c r="T816">
        <v>0</v>
      </c>
      <c r="U816">
        <v>0</v>
      </c>
      <c r="V816">
        <v>10</v>
      </c>
      <c r="W816">
        <v>142500</v>
      </c>
      <c r="X816">
        <v>1500</v>
      </c>
      <c r="Y816">
        <v>2000</v>
      </c>
      <c r="Z816">
        <v>0</v>
      </c>
      <c r="AA816">
        <v>0</v>
      </c>
      <c r="AB816">
        <v>0</v>
      </c>
      <c r="AC816">
        <v>3500</v>
      </c>
    </row>
    <row r="817" spans="1:29">
      <c r="A817">
        <v>809</v>
      </c>
      <c r="B817" t="s">
        <v>149</v>
      </c>
      <c r="C817">
        <v>138</v>
      </c>
      <c r="D817" t="s">
        <v>52</v>
      </c>
      <c r="E817" t="str">
        <f t="shared" si="12"/>
        <v>00138</v>
      </c>
      <c r="F817" t="s">
        <v>49</v>
      </c>
      <c r="G817" t="s">
        <v>167</v>
      </c>
      <c r="H817" t="s">
        <v>151</v>
      </c>
      <c r="I817" t="s">
        <v>4</v>
      </c>
      <c r="J817" t="s">
        <v>152</v>
      </c>
      <c r="K817" t="s">
        <v>153</v>
      </c>
      <c r="L817">
        <v>251200420</v>
      </c>
      <c r="M817" s="84">
        <v>46006</v>
      </c>
      <c r="N817" s="84">
        <v>46006</v>
      </c>
      <c r="O817" t="s">
        <v>179</v>
      </c>
      <c r="P817" t="s">
        <v>180</v>
      </c>
      <c r="Q817">
        <v>14250</v>
      </c>
      <c r="R817">
        <v>4</v>
      </c>
      <c r="S817">
        <v>57000</v>
      </c>
      <c r="T817">
        <v>0</v>
      </c>
      <c r="U817">
        <v>0</v>
      </c>
      <c r="V817">
        <v>4</v>
      </c>
      <c r="W817">
        <v>57000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</row>
    <row r="818" spans="1:29">
      <c r="A818">
        <v>810</v>
      </c>
      <c r="B818" t="s">
        <v>149</v>
      </c>
      <c r="C818">
        <v>138</v>
      </c>
      <c r="D818" t="s">
        <v>52</v>
      </c>
      <c r="E818" t="str">
        <f t="shared" si="12"/>
        <v>00138</v>
      </c>
      <c r="F818" t="s">
        <v>49</v>
      </c>
      <c r="G818" t="s">
        <v>167</v>
      </c>
      <c r="H818" t="s">
        <v>151</v>
      </c>
      <c r="I818" t="s">
        <v>4</v>
      </c>
      <c r="J818" t="s">
        <v>152</v>
      </c>
      <c r="K818" t="s">
        <v>153</v>
      </c>
      <c r="L818">
        <v>251200420</v>
      </c>
      <c r="M818" s="84">
        <v>46006</v>
      </c>
      <c r="N818" s="84">
        <v>46006</v>
      </c>
      <c r="O818" t="s">
        <v>160</v>
      </c>
      <c r="P818" t="s">
        <v>161</v>
      </c>
      <c r="Q818">
        <v>14250</v>
      </c>
      <c r="R818">
        <v>12</v>
      </c>
      <c r="S818">
        <v>171000</v>
      </c>
      <c r="T818">
        <v>0</v>
      </c>
      <c r="U818">
        <v>0</v>
      </c>
      <c r="V818">
        <v>12</v>
      </c>
      <c r="W818">
        <v>171000</v>
      </c>
      <c r="X818">
        <v>1800</v>
      </c>
      <c r="Y818">
        <v>2400</v>
      </c>
      <c r="Z818">
        <v>0</v>
      </c>
      <c r="AA818">
        <v>0</v>
      </c>
      <c r="AB818">
        <v>0</v>
      </c>
      <c r="AC818">
        <v>4200</v>
      </c>
    </row>
    <row r="819" spans="1:29">
      <c r="A819">
        <v>811</v>
      </c>
      <c r="B819" t="s">
        <v>149</v>
      </c>
      <c r="C819">
        <v>1362</v>
      </c>
      <c r="D819" t="s">
        <v>62</v>
      </c>
      <c r="E819" t="str">
        <f t="shared" si="12"/>
        <v>01362</v>
      </c>
      <c r="F819" t="s">
        <v>49</v>
      </c>
      <c r="G819" t="s">
        <v>167</v>
      </c>
      <c r="H819" t="s">
        <v>151</v>
      </c>
      <c r="I819" t="s">
        <v>5</v>
      </c>
      <c r="J819" t="s">
        <v>152</v>
      </c>
      <c r="K819" t="s">
        <v>153</v>
      </c>
      <c r="L819">
        <v>251200421</v>
      </c>
      <c r="M819" s="84">
        <v>46006</v>
      </c>
      <c r="N819" s="84">
        <v>46006</v>
      </c>
      <c r="O819" t="s">
        <v>191</v>
      </c>
      <c r="P819" t="s">
        <v>192</v>
      </c>
      <c r="Q819">
        <v>11700</v>
      </c>
      <c r="R819">
        <v>4</v>
      </c>
      <c r="S819">
        <v>46800</v>
      </c>
      <c r="T819">
        <v>0</v>
      </c>
      <c r="U819">
        <v>0</v>
      </c>
      <c r="V819">
        <v>4</v>
      </c>
      <c r="W819">
        <v>46800</v>
      </c>
      <c r="X819">
        <v>600</v>
      </c>
      <c r="Y819">
        <v>600</v>
      </c>
      <c r="Z819">
        <v>0</v>
      </c>
      <c r="AA819">
        <v>0</v>
      </c>
      <c r="AB819">
        <v>0</v>
      </c>
      <c r="AC819">
        <v>1200</v>
      </c>
    </row>
    <row r="820" spans="1:29">
      <c r="A820">
        <v>812</v>
      </c>
      <c r="B820" t="s">
        <v>149</v>
      </c>
      <c r="C820">
        <v>1362</v>
      </c>
      <c r="D820" t="s">
        <v>62</v>
      </c>
      <c r="E820" t="str">
        <f t="shared" si="12"/>
        <v>01362</v>
      </c>
      <c r="F820" t="s">
        <v>49</v>
      </c>
      <c r="G820" t="s">
        <v>167</v>
      </c>
      <c r="H820" t="s">
        <v>151</v>
      </c>
      <c r="I820" t="s">
        <v>4</v>
      </c>
      <c r="J820" t="s">
        <v>152</v>
      </c>
      <c r="K820" t="s">
        <v>153</v>
      </c>
      <c r="L820">
        <v>251200421</v>
      </c>
      <c r="M820" s="84">
        <v>46006</v>
      </c>
      <c r="N820" s="84">
        <v>46006</v>
      </c>
      <c r="O820" t="s">
        <v>160</v>
      </c>
      <c r="P820" t="s">
        <v>161</v>
      </c>
      <c r="Q820">
        <v>14250</v>
      </c>
      <c r="R820">
        <v>12</v>
      </c>
      <c r="S820">
        <v>171000</v>
      </c>
      <c r="T820">
        <v>0</v>
      </c>
      <c r="U820">
        <v>0</v>
      </c>
      <c r="V820">
        <v>12</v>
      </c>
      <c r="W820">
        <v>171000</v>
      </c>
      <c r="X820">
        <v>1800</v>
      </c>
      <c r="Y820">
        <v>2400</v>
      </c>
      <c r="Z820">
        <v>0</v>
      </c>
      <c r="AA820">
        <v>0</v>
      </c>
      <c r="AB820">
        <v>0</v>
      </c>
      <c r="AC820">
        <v>4200</v>
      </c>
    </row>
    <row r="821" spans="1:29">
      <c r="A821">
        <v>813</v>
      </c>
      <c r="B821" t="s">
        <v>149</v>
      </c>
      <c r="C821">
        <v>1261</v>
      </c>
      <c r="D821" t="s">
        <v>61</v>
      </c>
      <c r="E821" t="str">
        <f t="shared" si="12"/>
        <v>01261</v>
      </c>
      <c r="F821" t="s">
        <v>49</v>
      </c>
      <c r="G821" t="s">
        <v>167</v>
      </c>
      <c r="H821" t="s">
        <v>151</v>
      </c>
      <c r="I821" t="s">
        <v>4</v>
      </c>
      <c r="J821" t="s">
        <v>152</v>
      </c>
      <c r="K821" t="s">
        <v>153</v>
      </c>
      <c r="L821">
        <v>251200422</v>
      </c>
      <c r="M821" s="84">
        <v>46006</v>
      </c>
      <c r="N821" s="84">
        <v>46006</v>
      </c>
      <c r="O821" t="s">
        <v>160</v>
      </c>
      <c r="P821" t="s">
        <v>161</v>
      </c>
      <c r="Q821">
        <v>14250</v>
      </c>
      <c r="R821">
        <v>16</v>
      </c>
      <c r="S821">
        <v>228000</v>
      </c>
      <c r="T821">
        <v>0</v>
      </c>
      <c r="U821">
        <v>0</v>
      </c>
      <c r="V821">
        <v>16</v>
      </c>
      <c r="W821">
        <v>228000</v>
      </c>
      <c r="X821">
        <v>2400</v>
      </c>
      <c r="Y821">
        <v>3200</v>
      </c>
      <c r="Z821">
        <v>0</v>
      </c>
      <c r="AA821">
        <v>0</v>
      </c>
      <c r="AB821">
        <v>0</v>
      </c>
      <c r="AC821">
        <v>5600</v>
      </c>
    </row>
    <row r="822" spans="1:29">
      <c r="A822">
        <v>814</v>
      </c>
      <c r="B822" t="s">
        <v>149</v>
      </c>
      <c r="C822">
        <v>1594</v>
      </c>
      <c r="D822" t="s">
        <v>346</v>
      </c>
      <c r="E822" t="str">
        <f t="shared" si="12"/>
        <v>01594</v>
      </c>
      <c r="F822" t="s">
        <v>73</v>
      </c>
      <c r="G822" t="s">
        <v>185</v>
      </c>
      <c r="H822" t="s">
        <v>151</v>
      </c>
      <c r="I822" t="s">
        <v>4</v>
      </c>
      <c r="J822" t="s">
        <v>152</v>
      </c>
      <c r="K822" t="s">
        <v>153</v>
      </c>
      <c r="L822">
        <v>251200423</v>
      </c>
      <c r="M822" s="84">
        <v>46006</v>
      </c>
      <c r="N822" s="84">
        <v>46006</v>
      </c>
      <c r="O822" t="s">
        <v>262</v>
      </c>
      <c r="P822" t="s">
        <v>263</v>
      </c>
      <c r="Q822">
        <v>5500</v>
      </c>
      <c r="R822">
        <v>5</v>
      </c>
      <c r="S822">
        <v>27500</v>
      </c>
      <c r="T822">
        <v>0</v>
      </c>
      <c r="U822">
        <v>0</v>
      </c>
      <c r="V822">
        <v>5</v>
      </c>
      <c r="W822">
        <v>27500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</row>
    <row r="823" spans="1:29">
      <c r="A823">
        <v>815</v>
      </c>
      <c r="B823" t="s">
        <v>149</v>
      </c>
      <c r="C823">
        <v>1594</v>
      </c>
      <c r="D823" t="s">
        <v>346</v>
      </c>
      <c r="E823" t="str">
        <f t="shared" si="12"/>
        <v>01594</v>
      </c>
      <c r="F823" t="s">
        <v>73</v>
      </c>
      <c r="G823" t="s">
        <v>185</v>
      </c>
      <c r="H823" t="s">
        <v>151</v>
      </c>
      <c r="I823" t="s">
        <v>4</v>
      </c>
      <c r="J823" t="s">
        <v>152</v>
      </c>
      <c r="K823" t="s">
        <v>153</v>
      </c>
      <c r="L823">
        <v>251200423</v>
      </c>
      <c r="M823" s="84">
        <v>46006</v>
      </c>
      <c r="N823" s="84">
        <v>46006</v>
      </c>
      <c r="O823" t="s">
        <v>154</v>
      </c>
      <c r="P823" t="s">
        <v>155</v>
      </c>
      <c r="Q823">
        <v>5500</v>
      </c>
      <c r="R823">
        <v>11</v>
      </c>
      <c r="S823">
        <v>60500</v>
      </c>
      <c r="T823">
        <v>0</v>
      </c>
      <c r="U823">
        <v>0</v>
      </c>
      <c r="V823">
        <v>11</v>
      </c>
      <c r="W823">
        <v>60500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</row>
    <row r="824" spans="1:29">
      <c r="A824">
        <v>816</v>
      </c>
      <c r="B824" t="s">
        <v>149</v>
      </c>
      <c r="C824">
        <v>1594</v>
      </c>
      <c r="D824" t="s">
        <v>346</v>
      </c>
      <c r="E824" t="str">
        <f t="shared" si="12"/>
        <v>01594</v>
      </c>
      <c r="F824" t="s">
        <v>73</v>
      </c>
      <c r="G824" t="s">
        <v>185</v>
      </c>
      <c r="H824" t="s">
        <v>151</v>
      </c>
      <c r="I824" t="s">
        <v>4</v>
      </c>
      <c r="J824" t="s">
        <v>152</v>
      </c>
      <c r="K824" t="s">
        <v>153</v>
      </c>
      <c r="L824">
        <v>251200423</v>
      </c>
      <c r="M824" s="84">
        <v>46006</v>
      </c>
      <c r="N824" s="84">
        <v>46006</v>
      </c>
      <c r="O824" t="s">
        <v>221</v>
      </c>
      <c r="P824" t="s">
        <v>222</v>
      </c>
      <c r="Q824">
        <v>5500</v>
      </c>
      <c r="R824">
        <v>15</v>
      </c>
      <c r="S824">
        <v>82500</v>
      </c>
      <c r="T824">
        <v>0</v>
      </c>
      <c r="U824">
        <v>0</v>
      </c>
      <c r="V824">
        <v>15</v>
      </c>
      <c r="W824">
        <v>82500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</row>
    <row r="825" spans="1:29">
      <c r="A825">
        <v>817</v>
      </c>
      <c r="B825" t="s">
        <v>149</v>
      </c>
      <c r="C825">
        <v>1594</v>
      </c>
      <c r="D825" t="s">
        <v>346</v>
      </c>
      <c r="E825" t="str">
        <f t="shared" si="12"/>
        <v>01594</v>
      </c>
      <c r="F825" t="s">
        <v>73</v>
      </c>
      <c r="G825" t="s">
        <v>185</v>
      </c>
      <c r="H825" t="s">
        <v>151</v>
      </c>
      <c r="I825" t="s">
        <v>4</v>
      </c>
      <c r="J825" t="s">
        <v>152</v>
      </c>
      <c r="K825" t="s">
        <v>153</v>
      </c>
      <c r="L825">
        <v>251200423</v>
      </c>
      <c r="M825" s="84">
        <v>46006</v>
      </c>
      <c r="N825" s="84">
        <v>46006</v>
      </c>
      <c r="O825" t="s">
        <v>160</v>
      </c>
      <c r="P825" t="s">
        <v>161</v>
      </c>
      <c r="Q825">
        <v>5500</v>
      </c>
      <c r="R825">
        <v>7</v>
      </c>
      <c r="S825">
        <v>38500</v>
      </c>
      <c r="T825">
        <v>0</v>
      </c>
      <c r="U825">
        <v>0</v>
      </c>
      <c r="V825">
        <v>7</v>
      </c>
      <c r="W825">
        <v>38500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</row>
    <row r="826" spans="1:29">
      <c r="A826">
        <v>818</v>
      </c>
      <c r="B826" t="s">
        <v>149</v>
      </c>
      <c r="C826">
        <v>1594</v>
      </c>
      <c r="D826" t="s">
        <v>346</v>
      </c>
      <c r="E826" t="str">
        <f t="shared" si="12"/>
        <v>01594</v>
      </c>
      <c r="F826" t="s">
        <v>73</v>
      </c>
      <c r="G826" t="s">
        <v>185</v>
      </c>
      <c r="H826" t="s">
        <v>151</v>
      </c>
      <c r="I826" t="s">
        <v>4</v>
      </c>
      <c r="J826" t="s">
        <v>152</v>
      </c>
      <c r="K826" t="s">
        <v>153</v>
      </c>
      <c r="L826">
        <v>251200423</v>
      </c>
      <c r="M826" s="84">
        <v>46006</v>
      </c>
      <c r="N826" s="84">
        <v>46006</v>
      </c>
      <c r="O826" t="s">
        <v>243</v>
      </c>
      <c r="P826" t="s">
        <v>244</v>
      </c>
      <c r="Q826">
        <v>5700</v>
      </c>
      <c r="R826">
        <v>8</v>
      </c>
      <c r="S826">
        <v>45600</v>
      </c>
      <c r="T826">
        <v>0</v>
      </c>
      <c r="U826">
        <v>0</v>
      </c>
      <c r="V826">
        <v>8</v>
      </c>
      <c r="W826">
        <v>45600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</row>
    <row r="827" spans="1:29">
      <c r="A827">
        <v>819</v>
      </c>
      <c r="B827" t="s">
        <v>149</v>
      </c>
      <c r="C827">
        <v>1471</v>
      </c>
      <c r="D827" t="s">
        <v>369</v>
      </c>
      <c r="E827" t="str">
        <f t="shared" si="12"/>
        <v>01471</v>
      </c>
      <c r="F827" t="s">
        <v>73</v>
      </c>
      <c r="G827" t="s">
        <v>185</v>
      </c>
      <c r="H827" t="s">
        <v>151</v>
      </c>
      <c r="I827" t="s">
        <v>4</v>
      </c>
      <c r="J827" t="s">
        <v>152</v>
      </c>
      <c r="K827" t="s">
        <v>153</v>
      </c>
      <c r="L827">
        <v>251200424</v>
      </c>
      <c r="M827" s="84">
        <v>46006</v>
      </c>
      <c r="N827" s="84">
        <v>46006</v>
      </c>
      <c r="O827" t="s">
        <v>168</v>
      </c>
      <c r="P827" t="s">
        <v>169</v>
      </c>
      <c r="Q827">
        <v>5500</v>
      </c>
      <c r="R827">
        <v>10</v>
      </c>
      <c r="S827">
        <v>55000</v>
      </c>
      <c r="T827">
        <v>0</v>
      </c>
      <c r="U827">
        <v>0</v>
      </c>
      <c r="V827">
        <v>10</v>
      </c>
      <c r="W827">
        <v>55000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</row>
    <row r="828" spans="1:29">
      <c r="A828">
        <v>820</v>
      </c>
      <c r="B828" t="s">
        <v>149</v>
      </c>
      <c r="C828">
        <v>1292</v>
      </c>
      <c r="D828" t="s">
        <v>336</v>
      </c>
      <c r="E828" t="str">
        <f t="shared" si="12"/>
        <v>01292</v>
      </c>
      <c r="F828" t="s">
        <v>73</v>
      </c>
      <c r="G828" t="s">
        <v>185</v>
      </c>
      <c r="H828" t="s">
        <v>151</v>
      </c>
      <c r="I828" t="s">
        <v>4</v>
      </c>
      <c r="J828" t="s">
        <v>152</v>
      </c>
      <c r="K828" t="s">
        <v>153</v>
      </c>
      <c r="L828">
        <v>251200425</v>
      </c>
      <c r="M828" s="84">
        <v>46006</v>
      </c>
      <c r="N828" s="84">
        <v>46006</v>
      </c>
      <c r="O828" t="s">
        <v>243</v>
      </c>
      <c r="P828" t="s">
        <v>244</v>
      </c>
      <c r="Q828">
        <v>5700</v>
      </c>
      <c r="R828">
        <v>17</v>
      </c>
      <c r="S828">
        <v>96900</v>
      </c>
      <c r="T828">
        <v>0</v>
      </c>
      <c r="U828">
        <v>0</v>
      </c>
      <c r="V828">
        <v>17</v>
      </c>
      <c r="W828">
        <v>96900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</row>
    <row r="829" spans="1:29">
      <c r="A829">
        <v>821</v>
      </c>
      <c r="B829" t="s">
        <v>149</v>
      </c>
      <c r="C829">
        <v>133</v>
      </c>
      <c r="D829" t="s">
        <v>77</v>
      </c>
      <c r="E829" t="str">
        <f t="shared" si="12"/>
        <v>00133</v>
      </c>
      <c r="F829" t="s">
        <v>73</v>
      </c>
      <c r="G829" t="s">
        <v>185</v>
      </c>
      <c r="H829" t="s">
        <v>151</v>
      </c>
      <c r="I829" t="s">
        <v>4</v>
      </c>
      <c r="J829" t="s">
        <v>152</v>
      </c>
      <c r="K829" t="s">
        <v>153</v>
      </c>
      <c r="L829">
        <v>251200426</v>
      </c>
      <c r="M829" s="84">
        <v>46006</v>
      </c>
      <c r="N829" s="84">
        <v>46006</v>
      </c>
      <c r="O829" t="s">
        <v>243</v>
      </c>
      <c r="P829" t="s">
        <v>244</v>
      </c>
      <c r="Q829">
        <v>15050</v>
      </c>
      <c r="R829">
        <v>5</v>
      </c>
      <c r="S829">
        <v>75250</v>
      </c>
      <c r="T829">
        <v>0</v>
      </c>
      <c r="U829">
        <v>0</v>
      </c>
      <c r="V829">
        <v>5</v>
      </c>
      <c r="W829">
        <v>75250</v>
      </c>
      <c r="X829">
        <v>750</v>
      </c>
      <c r="Y829">
        <v>1000</v>
      </c>
      <c r="Z829">
        <v>0</v>
      </c>
      <c r="AA829">
        <v>0</v>
      </c>
      <c r="AB829">
        <v>0</v>
      </c>
      <c r="AC829">
        <v>1750</v>
      </c>
    </row>
    <row r="830" spans="1:29">
      <c r="A830">
        <v>822</v>
      </c>
      <c r="B830" t="s">
        <v>149</v>
      </c>
      <c r="C830">
        <v>1395</v>
      </c>
      <c r="D830" t="s">
        <v>101</v>
      </c>
      <c r="E830" t="str">
        <f t="shared" si="12"/>
        <v>01395</v>
      </c>
      <c r="F830" t="s">
        <v>95</v>
      </c>
      <c r="G830" t="s">
        <v>187</v>
      </c>
      <c r="H830" t="s">
        <v>188</v>
      </c>
      <c r="I830" t="s">
        <v>4</v>
      </c>
      <c r="J830" t="s">
        <v>152</v>
      </c>
      <c r="K830" t="s">
        <v>159</v>
      </c>
      <c r="L830">
        <v>251200427</v>
      </c>
      <c r="M830" s="84">
        <v>46006</v>
      </c>
      <c r="N830" s="84">
        <v>46006</v>
      </c>
      <c r="O830" t="s">
        <v>160</v>
      </c>
      <c r="P830" t="s">
        <v>161</v>
      </c>
      <c r="Q830">
        <v>13200</v>
      </c>
      <c r="R830">
        <v>4</v>
      </c>
      <c r="S830">
        <v>52800</v>
      </c>
      <c r="T830">
        <v>0</v>
      </c>
      <c r="U830">
        <v>0</v>
      </c>
      <c r="V830">
        <v>4</v>
      </c>
      <c r="W830">
        <v>52800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1:29">
      <c r="A831">
        <v>823</v>
      </c>
      <c r="B831" t="s">
        <v>149</v>
      </c>
      <c r="C831">
        <v>471</v>
      </c>
      <c r="D831" t="s">
        <v>25</v>
      </c>
      <c r="E831" t="str">
        <f t="shared" si="12"/>
        <v>00471</v>
      </c>
      <c r="F831" t="s">
        <v>20</v>
      </c>
      <c r="G831" t="s">
        <v>193</v>
      </c>
      <c r="H831" t="s">
        <v>151</v>
      </c>
      <c r="I831" t="s">
        <v>5</v>
      </c>
      <c r="J831" t="s">
        <v>152</v>
      </c>
      <c r="K831" t="s">
        <v>236</v>
      </c>
      <c r="L831">
        <v>251200428</v>
      </c>
      <c r="M831" s="84">
        <v>46006</v>
      </c>
      <c r="N831" s="84">
        <v>46006</v>
      </c>
      <c r="O831" t="s">
        <v>297</v>
      </c>
      <c r="P831" t="s">
        <v>298</v>
      </c>
      <c r="Q831">
        <v>11700</v>
      </c>
      <c r="R831">
        <v>40</v>
      </c>
      <c r="S831">
        <v>468000</v>
      </c>
      <c r="T831">
        <v>0</v>
      </c>
      <c r="U831">
        <v>0</v>
      </c>
      <c r="V831">
        <v>40</v>
      </c>
      <c r="W831">
        <v>468000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</row>
    <row r="832" spans="1:29">
      <c r="A832">
        <v>824</v>
      </c>
      <c r="B832" t="s">
        <v>149</v>
      </c>
      <c r="C832">
        <v>471</v>
      </c>
      <c r="D832" t="s">
        <v>25</v>
      </c>
      <c r="E832" t="str">
        <f t="shared" si="12"/>
        <v>00471</v>
      </c>
      <c r="F832" t="s">
        <v>20</v>
      </c>
      <c r="G832" t="s">
        <v>193</v>
      </c>
      <c r="H832" t="s">
        <v>151</v>
      </c>
      <c r="I832" t="s">
        <v>4</v>
      </c>
      <c r="J832" t="s">
        <v>152</v>
      </c>
      <c r="K832" t="s">
        <v>236</v>
      </c>
      <c r="L832">
        <v>251200428</v>
      </c>
      <c r="M832" s="84">
        <v>46006</v>
      </c>
      <c r="N832" s="84">
        <v>46006</v>
      </c>
      <c r="O832" t="s">
        <v>206</v>
      </c>
      <c r="P832" t="s">
        <v>207</v>
      </c>
      <c r="Q832">
        <v>14250</v>
      </c>
      <c r="R832">
        <v>10</v>
      </c>
      <c r="S832">
        <v>142500</v>
      </c>
      <c r="T832">
        <v>0</v>
      </c>
      <c r="U832">
        <v>0</v>
      </c>
      <c r="V832">
        <v>10</v>
      </c>
      <c r="W832">
        <v>142500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</row>
    <row r="833" spans="1:29">
      <c r="A833">
        <v>825</v>
      </c>
      <c r="B833" t="s">
        <v>149</v>
      </c>
      <c r="C833">
        <v>471</v>
      </c>
      <c r="D833" t="s">
        <v>25</v>
      </c>
      <c r="E833" t="str">
        <f t="shared" si="12"/>
        <v>00471</v>
      </c>
      <c r="F833" t="s">
        <v>20</v>
      </c>
      <c r="G833" t="s">
        <v>193</v>
      </c>
      <c r="H833" t="s">
        <v>151</v>
      </c>
      <c r="I833" t="s">
        <v>4</v>
      </c>
      <c r="J833" t="s">
        <v>152</v>
      </c>
      <c r="K833" t="s">
        <v>236</v>
      </c>
      <c r="L833">
        <v>251200428</v>
      </c>
      <c r="M833" s="84">
        <v>46006</v>
      </c>
      <c r="N833" s="84">
        <v>46006</v>
      </c>
      <c r="O833" t="s">
        <v>160</v>
      </c>
      <c r="P833" t="s">
        <v>161</v>
      </c>
      <c r="Q833">
        <v>14250</v>
      </c>
      <c r="R833">
        <v>40</v>
      </c>
      <c r="S833">
        <v>570000</v>
      </c>
      <c r="T833">
        <v>0</v>
      </c>
      <c r="U833">
        <v>0</v>
      </c>
      <c r="V833">
        <v>40</v>
      </c>
      <c r="W833">
        <v>570000</v>
      </c>
      <c r="X833">
        <v>6000</v>
      </c>
      <c r="Y833">
        <v>8000</v>
      </c>
      <c r="Z833">
        <v>0</v>
      </c>
      <c r="AA833">
        <v>0</v>
      </c>
      <c r="AB833">
        <v>0</v>
      </c>
      <c r="AC833">
        <v>14000</v>
      </c>
    </row>
    <row r="834" spans="1:29">
      <c r="A834">
        <v>826</v>
      </c>
      <c r="B834" t="s">
        <v>149</v>
      </c>
      <c r="C834">
        <v>471</v>
      </c>
      <c r="D834" t="s">
        <v>25</v>
      </c>
      <c r="E834" t="str">
        <f t="shared" si="12"/>
        <v>00471</v>
      </c>
      <c r="F834" t="s">
        <v>20</v>
      </c>
      <c r="G834" t="s">
        <v>193</v>
      </c>
      <c r="H834" t="s">
        <v>151</v>
      </c>
      <c r="I834" t="s">
        <v>5</v>
      </c>
      <c r="J834" t="s">
        <v>152</v>
      </c>
      <c r="K834" t="s">
        <v>236</v>
      </c>
      <c r="L834">
        <v>251200428</v>
      </c>
      <c r="M834" s="84">
        <v>46006</v>
      </c>
      <c r="N834" s="84">
        <v>46006</v>
      </c>
      <c r="O834" t="s">
        <v>191</v>
      </c>
      <c r="P834" t="s">
        <v>192</v>
      </c>
      <c r="Q834">
        <v>11700</v>
      </c>
      <c r="R834">
        <v>12</v>
      </c>
      <c r="S834">
        <v>140400</v>
      </c>
      <c r="T834">
        <v>0</v>
      </c>
      <c r="U834">
        <v>0</v>
      </c>
      <c r="V834">
        <v>12</v>
      </c>
      <c r="W834">
        <v>140400</v>
      </c>
      <c r="X834">
        <v>1800</v>
      </c>
      <c r="Y834">
        <v>1800</v>
      </c>
      <c r="Z834">
        <v>0</v>
      </c>
      <c r="AA834">
        <v>0</v>
      </c>
      <c r="AB834">
        <v>0</v>
      </c>
      <c r="AC834">
        <v>3600</v>
      </c>
    </row>
    <row r="835" spans="1:29">
      <c r="A835">
        <v>827</v>
      </c>
      <c r="B835" t="s">
        <v>149</v>
      </c>
      <c r="C835">
        <v>471</v>
      </c>
      <c r="D835" t="s">
        <v>25</v>
      </c>
      <c r="E835" t="str">
        <f t="shared" si="12"/>
        <v>00471</v>
      </c>
      <c r="F835" t="s">
        <v>20</v>
      </c>
      <c r="G835" t="s">
        <v>193</v>
      </c>
      <c r="H835" t="s">
        <v>151</v>
      </c>
      <c r="I835" t="s">
        <v>4</v>
      </c>
      <c r="J835" t="s">
        <v>152</v>
      </c>
      <c r="K835" t="s">
        <v>236</v>
      </c>
      <c r="L835">
        <v>251200428</v>
      </c>
      <c r="M835" s="84">
        <v>46006</v>
      </c>
      <c r="N835" s="84">
        <v>46006</v>
      </c>
      <c r="O835" t="s">
        <v>179</v>
      </c>
      <c r="P835" t="s">
        <v>180</v>
      </c>
      <c r="Q835">
        <v>14250</v>
      </c>
      <c r="R835">
        <v>10</v>
      </c>
      <c r="S835">
        <v>142500</v>
      </c>
      <c r="T835">
        <v>0</v>
      </c>
      <c r="U835">
        <v>0</v>
      </c>
      <c r="V835">
        <v>10</v>
      </c>
      <c r="W835">
        <v>142500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</row>
    <row r="836" spans="1:29">
      <c r="A836">
        <v>828</v>
      </c>
      <c r="B836" t="s">
        <v>149</v>
      </c>
      <c r="C836">
        <v>1581</v>
      </c>
      <c r="D836" t="s">
        <v>96</v>
      </c>
      <c r="E836" t="str">
        <f t="shared" si="12"/>
        <v>01581</v>
      </c>
      <c r="F836" t="s">
        <v>95</v>
      </c>
      <c r="G836" t="s">
        <v>187</v>
      </c>
      <c r="H836" t="s">
        <v>188</v>
      </c>
      <c r="I836" t="s">
        <v>5</v>
      </c>
      <c r="J836" t="s">
        <v>152</v>
      </c>
      <c r="K836" t="s">
        <v>159</v>
      </c>
      <c r="L836">
        <v>251200429</v>
      </c>
      <c r="M836" s="84">
        <v>46006</v>
      </c>
      <c r="N836" s="84">
        <v>46006</v>
      </c>
      <c r="O836" t="s">
        <v>198</v>
      </c>
      <c r="P836" t="s">
        <v>199</v>
      </c>
      <c r="Q836">
        <v>10800</v>
      </c>
      <c r="R836">
        <v>8</v>
      </c>
      <c r="S836">
        <v>86400</v>
      </c>
      <c r="T836">
        <v>0</v>
      </c>
      <c r="U836">
        <v>0</v>
      </c>
      <c r="V836">
        <v>8</v>
      </c>
      <c r="W836">
        <v>86400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</row>
    <row r="837" spans="1:29">
      <c r="A837">
        <v>829</v>
      </c>
      <c r="B837" t="s">
        <v>149</v>
      </c>
      <c r="C837">
        <v>1581</v>
      </c>
      <c r="D837" t="s">
        <v>96</v>
      </c>
      <c r="E837" t="str">
        <f t="shared" si="12"/>
        <v>01581</v>
      </c>
      <c r="F837" t="s">
        <v>95</v>
      </c>
      <c r="G837" t="s">
        <v>187</v>
      </c>
      <c r="H837" t="s">
        <v>188</v>
      </c>
      <c r="I837" t="s">
        <v>4</v>
      </c>
      <c r="J837" t="s">
        <v>152</v>
      </c>
      <c r="K837" t="s">
        <v>159</v>
      </c>
      <c r="L837">
        <v>251200429</v>
      </c>
      <c r="M837" s="84">
        <v>46006</v>
      </c>
      <c r="N837" s="84">
        <v>46006</v>
      </c>
      <c r="O837" t="s">
        <v>262</v>
      </c>
      <c r="P837" t="s">
        <v>263</v>
      </c>
      <c r="Q837">
        <v>13300</v>
      </c>
      <c r="R837">
        <v>5</v>
      </c>
      <c r="S837">
        <v>66500</v>
      </c>
      <c r="T837">
        <v>0</v>
      </c>
      <c r="U837">
        <v>0</v>
      </c>
      <c r="V837">
        <v>5</v>
      </c>
      <c r="W837">
        <v>66500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</row>
    <row r="838" spans="1:29">
      <c r="A838">
        <v>830</v>
      </c>
      <c r="B838" t="s">
        <v>149</v>
      </c>
      <c r="C838">
        <v>1313</v>
      </c>
      <c r="D838" t="s">
        <v>396</v>
      </c>
      <c r="E838" t="str">
        <f t="shared" si="12"/>
        <v>01313</v>
      </c>
      <c r="F838" t="s">
        <v>20</v>
      </c>
      <c r="G838" t="s">
        <v>193</v>
      </c>
      <c r="H838" t="s">
        <v>151</v>
      </c>
      <c r="I838" t="s">
        <v>4</v>
      </c>
      <c r="J838" t="s">
        <v>152</v>
      </c>
      <c r="K838" t="s">
        <v>236</v>
      </c>
      <c r="L838">
        <v>251200430</v>
      </c>
      <c r="M838" s="84">
        <v>46006</v>
      </c>
      <c r="N838" s="84">
        <v>46006</v>
      </c>
      <c r="O838" t="s">
        <v>219</v>
      </c>
      <c r="P838" t="s">
        <v>220</v>
      </c>
      <c r="Q838">
        <v>5500</v>
      </c>
      <c r="R838">
        <v>5</v>
      </c>
      <c r="S838">
        <v>27500</v>
      </c>
      <c r="T838">
        <v>0</v>
      </c>
      <c r="U838">
        <v>0</v>
      </c>
      <c r="V838">
        <v>5</v>
      </c>
      <c r="W838">
        <v>27500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</row>
    <row r="839" spans="1:29">
      <c r="A839">
        <v>831</v>
      </c>
      <c r="B839" t="s">
        <v>149</v>
      </c>
      <c r="C839">
        <v>1298</v>
      </c>
      <c r="D839" t="s">
        <v>389</v>
      </c>
      <c r="E839" t="str">
        <f t="shared" si="12"/>
        <v>01298</v>
      </c>
      <c r="F839" t="s">
        <v>83</v>
      </c>
      <c r="G839" t="s">
        <v>164</v>
      </c>
      <c r="H839" t="s">
        <v>151</v>
      </c>
      <c r="I839" t="s">
        <v>4</v>
      </c>
      <c r="J839" t="s">
        <v>152</v>
      </c>
      <c r="K839" t="s">
        <v>153</v>
      </c>
      <c r="L839">
        <v>251200431</v>
      </c>
      <c r="M839" s="84">
        <v>46006</v>
      </c>
      <c r="N839" s="84">
        <v>46006</v>
      </c>
      <c r="O839" t="s">
        <v>160</v>
      </c>
      <c r="P839" t="s">
        <v>161</v>
      </c>
      <c r="Q839">
        <v>5500</v>
      </c>
      <c r="R839">
        <v>50</v>
      </c>
      <c r="S839">
        <v>275000</v>
      </c>
      <c r="T839">
        <v>0</v>
      </c>
      <c r="U839">
        <v>0</v>
      </c>
      <c r="V839">
        <v>50</v>
      </c>
      <c r="W839">
        <v>275000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</row>
    <row r="840" spans="1:29">
      <c r="A840">
        <v>832</v>
      </c>
      <c r="B840" t="s">
        <v>149</v>
      </c>
      <c r="C840">
        <v>1298</v>
      </c>
      <c r="D840" t="s">
        <v>389</v>
      </c>
      <c r="E840" t="str">
        <f t="shared" si="12"/>
        <v>01298</v>
      </c>
      <c r="F840" t="s">
        <v>83</v>
      </c>
      <c r="G840" t="s">
        <v>164</v>
      </c>
      <c r="H840" t="s">
        <v>151</v>
      </c>
      <c r="I840" t="s">
        <v>5</v>
      </c>
      <c r="J840" t="s">
        <v>152</v>
      </c>
      <c r="K840" t="s">
        <v>153</v>
      </c>
      <c r="L840">
        <v>251200431</v>
      </c>
      <c r="M840" s="84">
        <v>46006</v>
      </c>
      <c r="N840" s="84">
        <v>46006</v>
      </c>
      <c r="O840" t="s">
        <v>191</v>
      </c>
      <c r="P840" t="s">
        <v>192</v>
      </c>
      <c r="Q840">
        <v>4500</v>
      </c>
      <c r="R840">
        <v>150</v>
      </c>
      <c r="S840">
        <v>675000</v>
      </c>
      <c r="T840">
        <v>0</v>
      </c>
      <c r="U840">
        <v>0</v>
      </c>
      <c r="V840">
        <v>150</v>
      </c>
      <c r="W840">
        <v>675000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</row>
    <row r="841" spans="1:29">
      <c r="A841">
        <v>833</v>
      </c>
      <c r="B841" t="s">
        <v>149</v>
      </c>
      <c r="C841">
        <v>827</v>
      </c>
      <c r="D841" t="s">
        <v>84</v>
      </c>
      <c r="E841" t="str">
        <f t="shared" ref="E841:E904" si="13">TEXT(C841,"00000")</f>
        <v>00827</v>
      </c>
      <c r="F841" t="s">
        <v>83</v>
      </c>
      <c r="G841" t="s">
        <v>164</v>
      </c>
      <c r="H841" t="s">
        <v>151</v>
      </c>
      <c r="I841" t="s">
        <v>4</v>
      </c>
      <c r="J841" t="s">
        <v>152</v>
      </c>
      <c r="K841" t="s">
        <v>153</v>
      </c>
      <c r="L841">
        <v>251200432</v>
      </c>
      <c r="M841" s="84">
        <v>46006</v>
      </c>
      <c r="N841" s="84">
        <v>46006</v>
      </c>
      <c r="O841" t="s">
        <v>177</v>
      </c>
      <c r="P841" t="s">
        <v>178</v>
      </c>
      <c r="Q841">
        <v>14250</v>
      </c>
      <c r="R841">
        <v>1</v>
      </c>
      <c r="S841">
        <v>14250</v>
      </c>
      <c r="T841">
        <v>0</v>
      </c>
      <c r="U841">
        <v>0</v>
      </c>
      <c r="V841">
        <v>1</v>
      </c>
      <c r="W841">
        <v>14250</v>
      </c>
      <c r="X841">
        <v>150</v>
      </c>
      <c r="Y841">
        <v>200</v>
      </c>
      <c r="Z841">
        <v>0</v>
      </c>
      <c r="AA841">
        <v>0</v>
      </c>
      <c r="AB841">
        <v>0</v>
      </c>
      <c r="AC841">
        <v>350</v>
      </c>
    </row>
    <row r="842" spans="1:29">
      <c r="A842">
        <v>834</v>
      </c>
      <c r="B842" t="s">
        <v>149</v>
      </c>
      <c r="C842">
        <v>1554</v>
      </c>
      <c r="D842" t="s">
        <v>382</v>
      </c>
      <c r="E842" t="str">
        <f t="shared" si="13"/>
        <v>01554</v>
      </c>
      <c r="F842" t="s">
        <v>111</v>
      </c>
      <c r="G842" t="s">
        <v>150</v>
      </c>
      <c r="H842" t="s">
        <v>151</v>
      </c>
      <c r="I842" t="s">
        <v>4</v>
      </c>
      <c r="J842" t="s">
        <v>152</v>
      </c>
      <c r="K842" t="s">
        <v>153</v>
      </c>
      <c r="L842">
        <v>251200433</v>
      </c>
      <c r="M842" s="84">
        <v>46006</v>
      </c>
      <c r="N842" s="84">
        <v>46006</v>
      </c>
      <c r="O842" t="s">
        <v>160</v>
      </c>
      <c r="P842" t="s">
        <v>161</v>
      </c>
      <c r="Q842">
        <v>5500</v>
      </c>
      <c r="R842">
        <v>10</v>
      </c>
      <c r="S842">
        <v>55000</v>
      </c>
      <c r="T842">
        <v>0</v>
      </c>
      <c r="U842">
        <v>0</v>
      </c>
      <c r="V842">
        <v>10</v>
      </c>
      <c r="W842">
        <v>55000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</row>
    <row r="843" spans="1:29">
      <c r="A843">
        <v>835</v>
      </c>
      <c r="B843" t="s">
        <v>149</v>
      </c>
      <c r="C843">
        <v>1551</v>
      </c>
      <c r="D843" t="s">
        <v>316</v>
      </c>
      <c r="E843" t="str">
        <f t="shared" si="13"/>
        <v>01551</v>
      </c>
      <c r="F843" t="s">
        <v>111</v>
      </c>
      <c r="G843" t="s">
        <v>150</v>
      </c>
      <c r="H843" t="s">
        <v>151</v>
      </c>
      <c r="I843" t="s">
        <v>4</v>
      </c>
      <c r="J843" t="s">
        <v>152</v>
      </c>
      <c r="K843" t="s">
        <v>153</v>
      </c>
      <c r="L843">
        <v>251200434</v>
      </c>
      <c r="M843" s="84">
        <v>46006</v>
      </c>
      <c r="N843" s="84">
        <v>46006</v>
      </c>
      <c r="O843" t="s">
        <v>262</v>
      </c>
      <c r="P843" t="s">
        <v>263</v>
      </c>
      <c r="Q843">
        <v>5500</v>
      </c>
      <c r="R843">
        <v>10</v>
      </c>
      <c r="S843">
        <v>55000</v>
      </c>
      <c r="T843">
        <v>0</v>
      </c>
      <c r="U843">
        <v>0</v>
      </c>
      <c r="V843">
        <v>10</v>
      </c>
      <c r="W843">
        <v>55000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</row>
    <row r="844" spans="1:29">
      <c r="A844">
        <v>836</v>
      </c>
      <c r="B844" t="s">
        <v>149</v>
      </c>
      <c r="C844">
        <v>1282</v>
      </c>
      <c r="D844" t="s">
        <v>374</v>
      </c>
      <c r="E844" t="str">
        <f t="shared" si="13"/>
        <v>01282</v>
      </c>
      <c r="F844" t="s">
        <v>111</v>
      </c>
      <c r="G844" t="s">
        <v>150</v>
      </c>
      <c r="H844" t="s">
        <v>151</v>
      </c>
      <c r="I844" t="s">
        <v>4</v>
      </c>
      <c r="J844" t="s">
        <v>152</v>
      </c>
      <c r="K844" t="s">
        <v>153</v>
      </c>
      <c r="L844">
        <v>251200435</v>
      </c>
      <c r="M844" s="84">
        <v>46006</v>
      </c>
      <c r="N844" s="84">
        <v>46006</v>
      </c>
      <c r="O844" t="s">
        <v>262</v>
      </c>
      <c r="P844" t="s">
        <v>263</v>
      </c>
      <c r="Q844">
        <v>5500</v>
      </c>
      <c r="R844">
        <v>10</v>
      </c>
      <c r="S844">
        <v>55000</v>
      </c>
      <c r="T844">
        <v>0</v>
      </c>
      <c r="U844">
        <v>0</v>
      </c>
      <c r="V844">
        <v>10</v>
      </c>
      <c r="W844">
        <v>55000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</row>
    <row r="845" spans="1:29">
      <c r="A845">
        <v>837</v>
      </c>
      <c r="B845" t="s">
        <v>149</v>
      </c>
      <c r="C845">
        <v>1401</v>
      </c>
      <c r="D845" t="s">
        <v>29</v>
      </c>
      <c r="E845" t="str">
        <f t="shared" si="13"/>
        <v>01401</v>
      </c>
      <c r="F845" t="s">
        <v>28</v>
      </c>
      <c r="G845" t="s">
        <v>164</v>
      </c>
      <c r="H845" t="s">
        <v>151</v>
      </c>
      <c r="I845" t="s">
        <v>4</v>
      </c>
      <c r="J845" t="s">
        <v>152</v>
      </c>
      <c r="K845" t="s">
        <v>153</v>
      </c>
      <c r="L845">
        <v>251200436</v>
      </c>
      <c r="M845" s="84">
        <v>46006</v>
      </c>
      <c r="N845" s="84">
        <v>46006</v>
      </c>
      <c r="O845" t="s">
        <v>267</v>
      </c>
      <c r="P845" t="s">
        <v>268</v>
      </c>
      <c r="Q845">
        <v>14250</v>
      </c>
      <c r="R845">
        <v>20</v>
      </c>
      <c r="S845">
        <v>285000</v>
      </c>
      <c r="T845">
        <v>0</v>
      </c>
      <c r="U845">
        <v>0</v>
      </c>
      <c r="V845">
        <v>20</v>
      </c>
      <c r="W845">
        <v>285000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</row>
    <row r="846" spans="1:29">
      <c r="A846">
        <v>838</v>
      </c>
      <c r="B846" t="s">
        <v>149</v>
      </c>
      <c r="C846">
        <v>1401</v>
      </c>
      <c r="D846" t="s">
        <v>29</v>
      </c>
      <c r="E846" t="str">
        <f t="shared" si="13"/>
        <v>01401</v>
      </c>
      <c r="F846" t="s">
        <v>28</v>
      </c>
      <c r="G846" t="s">
        <v>164</v>
      </c>
      <c r="H846" t="s">
        <v>151</v>
      </c>
      <c r="I846" t="s">
        <v>5</v>
      </c>
      <c r="J846" t="s">
        <v>152</v>
      </c>
      <c r="K846" t="s">
        <v>153</v>
      </c>
      <c r="L846">
        <v>251200436</v>
      </c>
      <c r="M846" s="84">
        <v>46006</v>
      </c>
      <c r="N846" s="84">
        <v>46006</v>
      </c>
      <c r="O846" t="s">
        <v>196</v>
      </c>
      <c r="P846" t="s">
        <v>197</v>
      </c>
      <c r="Q846">
        <v>11700</v>
      </c>
      <c r="R846">
        <v>4</v>
      </c>
      <c r="S846">
        <v>46800</v>
      </c>
      <c r="T846">
        <v>0</v>
      </c>
      <c r="U846">
        <v>0</v>
      </c>
      <c r="V846">
        <v>4</v>
      </c>
      <c r="W846">
        <v>46800</v>
      </c>
      <c r="X846">
        <v>600</v>
      </c>
      <c r="Y846">
        <v>600</v>
      </c>
      <c r="Z846">
        <v>0</v>
      </c>
      <c r="AA846">
        <v>0</v>
      </c>
      <c r="AB846">
        <v>0</v>
      </c>
      <c r="AC846">
        <v>1200</v>
      </c>
    </row>
    <row r="847" spans="1:29">
      <c r="A847">
        <v>839</v>
      </c>
      <c r="B847" t="s">
        <v>149</v>
      </c>
      <c r="C847">
        <v>1401</v>
      </c>
      <c r="D847" t="s">
        <v>29</v>
      </c>
      <c r="E847" t="str">
        <f t="shared" si="13"/>
        <v>01401</v>
      </c>
      <c r="F847" t="s">
        <v>28</v>
      </c>
      <c r="G847" t="s">
        <v>164</v>
      </c>
      <c r="H847" t="s">
        <v>151</v>
      </c>
      <c r="I847" t="s">
        <v>5</v>
      </c>
      <c r="J847" t="s">
        <v>152</v>
      </c>
      <c r="K847" t="s">
        <v>153</v>
      </c>
      <c r="L847">
        <v>251200436</v>
      </c>
      <c r="M847" s="84">
        <v>46006</v>
      </c>
      <c r="N847" s="84">
        <v>46006</v>
      </c>
      <c r="O847" t="s">
        <v>191</v>
      </c>
      <c r="P847" t="s">
        <v>192</v>
      </c>
      <c r="Q847">
        <v>11700</v>
      </c>
      <c r="R847">
        <v>20</v>
      </c>
      <c r="S847">
        <v>234000</v>
      </c>
      <c r="T847">
        <v>0</v>
      </c>
      <c r="U847">
        <v>0</v>
      </c>
      <c r="V847">
        <v>20</v>
      </c>
      <c r="W847">
        <v>234000</v>
      </c>
      <c r="X847">
        <v>3000</v>
      </c>
      <c r="Y847">
        <v>3000</v>
      </c>
      <c r="Z847">
        <v>0</v>
      </c>
      <c r="AA847">
        <v>0</v>
      </c>
      <c r="AB847">
        <v>0</v>
      </c>
      <c r="AC847">
        <v>6000</v>
      </c>
    </row>
    <row r="848" spans="1:29">
      <c r="A848">
        <v>840</v>
      </c>
      <c r="B848" t="s">
        <v>149</v>
      </c>
      <c r="C848">
        <v>325</v>
      </c>
      <c r="D848" t="s">
        <v>34</v>
      </c>
      <c r="E848" t="str">
        <f t="shared" si="13"/>
        <v>00325</v>
      </c>
      <c r="F848" t="s">
        <v>28</v>
      </c>
      <c r="G848" t="s">
        <v>164</v>
      </c>
      <c r="H848" t="s">
        <v>151</v>
      </c>
      <c r="I848" t="s">
        <v>4</v>
      </c>
      <c r="J848" t="s">
        <v>152</v>
      </c>
      <c r="K848" t="s">
        <v>153</v>
      </c>
      <c r="L848">
        <v>251200438</v>
      </c>
      <c r="M848" s="84">
        <v>46006</v>
      </c>
      <c r="N848" s="84">
        <v>46006</v>
      </c>
      <c r="O848" t="s">
        <v>179</v>
      </c>
      <c r="P848" t="s">
        <v>180</v>
      </c>
      <c r="Q848">
        <v>14250</v>
      </c>
      <c r="R848">
        <v>5</v>
      </c>
      <c r="S848">
        <v>71250</v>
      </c>
      <c r="T848">
        <v>0</v>
      </c>
      <c r="U848">
        <v>0</v>
      </c>
      <c r="V848">
        <v>5</v>
      </c>
      <c r="W848">
        <v>71250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</row>
    <row r="849" spans="1:29">
      <c r="A849">
        <v>841</v>
      </c>
      <c r="B849" t="s">
        <v>149</v>
      </c>
      <c r="C849">
        <v>325</v>
      </c>
      <c r="D849" t="s">
        <v>34</v>
      </c>
      <c r="E849" t="str">
        <f t="shared" si="13"/>
        <v>00325</v>
      </c>
      <c r="F849" t="s">
        <v>28</v>
      </c>
      <c r="G849" t="s">
        <v>164</v>
      </c>
      <c r="H849" t="s">
        <v>151</v>
      </c>
      <c r="I849" t="s">
        <v>4</v>
      </c>
      <c r="J849" t="s">
        <v>152</v>
      </c>
      <c r="K849" t="s">
        <v>153</v>
      </c>
      <c r="L849">
        <v>251200439</v>
      </c>
      <c r="M849" s="84">
        <v>46006</v>
      </c>
      <c r="N849" s="84">
        <v>46006</v>
      </c>
      <c r="O849" t="s">
        <v>179</v>
      </c>
      <c r="P849" t="s">
        <v>180</v>
      </c>
      <c r="Q849">
        <v>14250</v>
      </c>
      <c r="R849">
        <v>5</v>
      </c>
      <c r="S849">
        <v>71250</v>
      </c>
      <c r="T849">
        <v>0</v>
      </c>
      <c r="U849">
        <v>0</v>
      </c>
      <c r="V849">
        <v>5</v>
      </c>
      <c r="W849">
        <v>71250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</row>
    <row r="850" spans="1:29">
      <c r="A850">
        <v>842</v>
      </c>
      <c r="B850" t="s">
        <v>149</v>
      </c>
      <c r="C850">
        <v>325</v>
      </c>
      <c r="D850" t="s">
        <v>34</v>
      </c>
      <c r="E850" t="str">
        <f t="shared" si="13"/>
        <v>00325</v>
      </c>
      <c r="F850" t="s">
        <v>28</v>
      </c>
      <c r="G850" t="s">
        <v>164</v>
      </c>
      <c r="H850" t="s">
        <v>151</v>
      </c>
      <c r="I850" t="s">
        <v>4</v>
      </c>
      <c r="J850" t="s">
        <v>152</v>
      </c>
      <c r="K850" t="s">
        <v>153</v>
      </c>
      <c r="L850">
        <v>251200439</v>
      </c>
      <c r="M850" s="84">
        <v>46006</v>
      </c>
      <c r="N850" s="84">
        <v>46006</v>
      </c>
      <c r="O850" t="s">
        <v>160</v>
      </c>
      <c r="P850" t="s">
        <v>161</v>
      </c>
      <c r="Q850">
        <v>14250</v>
      </c>
      <c r="R850">
        <v>12</v>
      </c>
      <c r="S850">
        <v>171000</v>
      </c>
      <c r="T850">
        <v>0</v>
      </c>
      <c r="U850">
        <v>0</v>
      </c>
      <c r="V850">
        <v>12</v>
      </c>
      <c r="W850">
        <v>171000</v>
      </c>
      <c r="X850">
        <v>1800</v>
      </c>
      <c r="Y850">
        <v>2400</v>
      </c>
      <c r="Z850">
        <v>0</v>
      </c>
      <c r="AA850">
        <v>0</v>
      </c>
      <c r="AB850">
        <v>0</v>
      </c>
      <c r="AC850">
        <v>4200</v>
      </c>
    </row>
    <row r="851" spans="1:29">
      <c r="A851">
        <v>843</v>
      </c>
      <c r="B851" t="s">
        <v>149</v>
      </c>
      <c r="C851">
        <v>325</v>
      </c>
      <c r="D851" t="s">
        <v>34</v>
      </c>
      <c r="E851" t="str">
        <f t="shared" si="13"/>
        <v>00325</v>
      </c>
      <c r="F851" t="s">
        <v>28</v>
      </c>
      <c r="G851" t="s">
        <v>164</v>
      </c>
      <c r="H851" t="s">
        <v>151</v>
      </c>
      <c r="I851" t="s">
        <v>4</v>
      </c>
      <c r="J851" t="s">
        <v>152</v>
      </c>
      <c r="K851" t="s">
        <v>153</v>
      </c>
      <c r="L851">
        <v>251200439</v>
      </c>
      <c r="M851" s="84">
        <v>46006</v>
      </c>
      <c r="N851" s="84">
        <v>46006</v>
      </c>
      <c r="O851" t="s">
        <v>168</v>
      </c>
      <c r="P851" t="s">
        <v>169</v>
      </c>
      <c r="Q851">
        <v>14250</v>
      </c>
      <c r="R851">
        <v>10</v>
      </c>
      <c r="S851">
        <v>142500</v>
      </c>
      <c r="T851">
        <v>0</v>
      </c>
      <c r="U851">
        <v>0</v>
      </c>
      <c r="V851">
        <v>10</v>
      </c>
      <c r="W851">
        <v>142500</v>
      </c>
      <c r="X851">
        <v>1500</v>
      </c>
      <c r="Y851">
        <v>2000</v>
      </c>
      <c r="Z851">
        <v>0</v>
      </c>
      <c r="AA851">
        <v>0</v>
      </c>
      <c r="AB851">
        <v>0</v>
      </c>
      <c r="AC851">
        <v>3500</v>
      </c>
    </row>
    <row r="852" spans="1:29">
      <c r="A852">
        <v>844</v>
      </c>
      <c r="B852" t="s">
        <v>149</v>
      </c>
      <c r="C852">
        <v>1326</v>
      </c>
      <c r="D852" t="s">
        <v>338</v>
      </c>
      <c r="E852" t="str">
        <f t="shared" si="13"/>
        <v>01326</v>
      </c>
      <c r="F852" t="s">
        <v>15</v>
      </c>
      <c r="G852" t="s">
        <v>193</v>
      </c>
      <c r="H852" t="s">
        <v>151</v>
      </c>
      <c r="I852" t="s">
        <v>4</v>
      </c>
      <c r="J852" t="s">
        <v>152</v>
      </c>
      <c r="K852" t="s">
        <v>153</v>
      </c>
      <c r="L852">
        <v>251200440</v>
      </c>
      <c r="M852" s="84">
        <v>46006</v>
      </c>
      <c r="N852" s="84">
        <v>46006</v>
      </c>
      <c r="O852" t="s">
        <v>160</v>
      </c>
      <c r="P852" t="s">
        <v>161</v>
      </c>
      <c r="Q852">
        <v>5500</v>
      </c>
      <c r="R852">
        <v>20</v>
      </c>
      <c r="S852">
        <v>110000</v>
      </c>
      <c r="T852">
        <v>0</v>
      </c>
      <c r="U852">
        <v>0</v>
      </c>
      <c r="V852">
        <v>20</v>
      </c>
      <c r="W852">
        <v>110000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</row>
    <row r="853" spans="1:29">
      <c r="A853">
        <v>845</v>
      </c>
      <c r="B853" t="s">
        <v>149</v>
      </c>
      <c r="C853">
        <v>1326</v>
      </c>
      <c r="D853" t="s">
        <v>338</v>
      </c>
      <c r="E853" t="str">
        <f t="shared" si="13"/>
        <v>01326</v>
      </c>
      <c r="F853" t="s">
        <v>15</v>
      </c>
      <c r="G853" t="s">
        <v>193</v>
      </c>
      <c r="H853" t="s">
        <v>151</v>
      </c>
      <c r="I853" t="s">
        <v>5</v>
      </c>
      <c r="J853" t="s">
        <v>152</v>
      </c>
      <c r="K853" t="s">
        <v>153</v>
      </c>
      <c r="L853">
        <v>251200440</v>
      </c>
      <c r="M853" s="84">
        <v>46006</v>
      </c>
      <c r="N853" s="84">
        <v>46006</v>
      </c>
      <c r="O853" t="s">
        <v>191</v>
      </c>
      <c r="P853" t="s">
        <v>192</v>
      </c>
      <c r="Q853">
        <v>4500</v>
      </c>
      <c r="R853">
        <v>12</v>
      </c>
      <c r="S853">
        <v>54000</v>
      </c>
      <c r="T853">
        <v>0</v>
      </c>
      <c r="U853">
        <v>0</v>
      </c>
      <c r="V853">
        <v>12</v>
      </c>
      <c r="W853">
        <v>54000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</row>
    <row r="854" spans="1:29">
      <c r="A854">
        <v>846</v>
      </c>
      <c r="B854" t="s">
        <v>149</v>
      </c>
      <c r="C854">
        <v>1550</v>
      </c>
      <c r="D854" t="s">
        <v>337</v>
      </c>
      <c r="E854" t="str">
        <f t="shared" si="13"/>
        <v>01550</v>
      </c>
      <c r="F854" t="s">
        <v>15</v>
      </c>
      <c r="G854" t="s">
        <v>193</v>
      </c>
      <c r="H854" t="s">
        <v>151</v>
      </c>
      <c r="I854" t="s">
        <v>5</v>
      </c>
      <c r="J854" t="s">
        <v>152</v>
      </c>
      <c r="K854" t="s">
        <v>153</v>
      </c>
      <c r="L854">
        <v>251200441</v>
      </c>
      <c r="M854" s="84">
        <v>46006</v>
      </c>
      <c r="N854" s="84">
        <v>46006</v>
      </c>
      <c r="O854" t="s">
        <v>194</v>
      </c>
      <c r="P854" t="s">
        <v>195</v>
      </c>
      <c r="Q854">
        <v>4500</v>
      </c>
      <c r="R854">
        <v>8</v>
      </c>
      <c r="S854">
        <v>36000</v>
      </c>
      <c r="T854">
        <v>0</v>
      </c>
      <c r="U854">
        <v>0</v>
      </c>
      <c r="V854">
        <v>8</v>
      </c>
      <c r="W854">
        <v>36000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</row>
    <row r="855" spans="1:29">
      <c r="A855">
        <v>847</v>
      </c>
      <c r="B855" t="s">
        <v>149</v>
      </c>
      <c r="C855">
        <v>1550</v>
      </c>
      <c r="D855" t="s">
        <v>337</v>
      </c>
      <c r="E855" t="str">
        <f t="shared" si="13"/>
        <v>01550</v>
      </c>
      <c r="F855" t="s">
        <v>15</v>
      </c>
      <c r="G855" t="s">
        <v>193</v>
      </c>
      <c r="H855" t="s">
        <v>151</v>
      </c>
      <c r="I855" t="s">
        <v>5</v>
      </c>
      <c r="J855" t="s">
        <v>152</v>
      </c>
      <c r="K855" t="s">
        <v>153</v>
      </c>
      <c r="L855">
        <v>251200442</v>
      </c>
      <c r="M855" s="84">
        <v>46006</v>
      </c>
      <c r="N855" s="84">
        <v>46006</v>
      </c>
      <c r="O855" t="s">
        <v>191</v>
      </c>
      <c r="P855" t="s">
        <v>192</v>
      </c>
      <c r="Q855">
        <v>4500</v>
      </c>
      <c r="R855">
        <v>20</v>
      </c>
      <c r="S855">
        <v>90000</v>
      </c>
      <c r="T855">
        <v>0</v>
      </c>
      <c r="U855">
        <v>0</v>
      </c>
      <c r="V855">
        <v>20</v>
      </c>
      <c r="W855">
        <v>90000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</row>
    <row r="856" spans="1:29">
      <c r="A856">
        <v>848</v>
      </c>
      <c r="B856" t="s">
        <v>149</v>
      </c>
      <c r="C856">
        <v>1326</v>
      </c>
      <c r="D856" t="s">
        <v>338</v>
      </c>
      <c r="E856" t="str">
        <f t="shared" si="13"/>
        <v>01326</v>
      </c>
      <c r="F856" t="s">
        <v>15</v>
      </c>
      <c r="G856" t="s">
        <v>193</v>
      </c>
      <c r="H856" t="s">
        <v>151</v>
      </c>
      <c r="I856" t="s">
        <v>5</v>
      </c>
      <c r="J856" t="s">
        <v>152</v>
      </c>
      <c r="K856" t="s">
        <v>153</v>
      </c>
      <c r="L856">
        <v>251200443</v>
      </c>
      <c r="M856" s="84">
        <v>46006</v>
      </c>
      <c r="N856" s="84">
        <v>46006</v>
      </c>
      <c r="O856" t="s">
        <v>191</v>
      </c>
      <c r="P856" t="s">
        <v>192</v>
      </c>
      <c r="Q856">
        <v>4500</v>
      </c>
      <c r="R856">
        <v>8</v>
      </c>
      <c r="S856">
        <v>36000</v>
      </c>
      <c r="T856">
        <v>0</v>
      </c>
      <c r="U856">
        <v>0</v>
      </c>
      <c r="V856">
        <v>8</v>
      </c>
      <c r="W856">
        <v>36000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</row>
    <row r="857" spans="1:29">
      <c r="A857">
        <v>849</v>
      </c>
      <c r="B857" t="s">
        <v>149</v>
      </c>
      <c r="C857">
        <v>1326</v>
      </c>
      <c r="D857" t="s">
        <v>338</v>
      </c>
      <c r="E857" t="str">
        <f t="shared" si="13"/>
        <v>01326</v>
      </c>
      <c r="F857" t="s">
        <v>15</v>
      </c>
      <c r="G857" t="s">
        <v>193</v>
      </c>
      <c r="H857" t="s">
        <v>151</v>
      </c>
      <c r="I857" t="s">
        <v>5</v>
      </c>
      <c r="J857" t="s">
        <v>152</v>
      </c>
      <c r="K857" t="s">
        <v>153</v>
      </c>
      <c r="L857">
        <v>251200443</v>
      </c>
      <c r="M857" s="84">
        <v>46006</v>
      </c>
      <c r="N857" s="84">
        <v>46006</v>
      </c>
      <c r="O857" t="s">
        <v>253</v>
      </c>
      <c r="P857" t="s">
        <v>254</v>
      </c>
      <c r="Q857">
        <v>4500</v>
      </c>
      <c r="R857">
        <v>4</v>
      </c>
      <c r="S857">
        <v>18000</v>
      </c>
      <c r="T857">
        <v>0</v>
      </c>
      <c r="U857">
        <v>0</v>
      </c>
      <c r="V857">
        <v>4</v>
      </c>
      <c r="W857">
        <v>18000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</row>
    <row r="858" spans="1:29">
      <c r="A858">
        <v>850</v>
      </c>
      <c r="B858" t="s">
        <v>149</v>
      </c>
      <c r="C858">
        <v>1312</v>
      </c>
      <c r="D858" t="s">
        <v>359</v>
      </c>
      <c r="E858" t="str">
        <f t="shared" si="13"/>
        <v>01312</v>
      </c>
      <c r="F858" t="s">
        <v>15</v>
      </c>
      <c r="G858" t="s">
        <v>193</v>
      </c>
      <c r="H858" t="s">
        <v>151</v>
      </c>
      <c r="I858" t="s">
        <v>4</v>
      </c>
      <c r="J858" t="s">
        <v>152</v>
      </c>
      <c r="K858" t="s">
        <v>153</v>
      </c>
      <c r="L858">
        <v>251200444</v>
      </c>
      <c r="M858" s="84">
        <v>46006</v>
      </c>
      <c r="N858" s="84">
        <v>46006</v>
      </c>
      <c r="O858" t="s">
        <v>327</v>
      </c>
      <c r="P858" t="s">
        <v>328</v>
      </c>
      <c r="Q858">
        <v>5500</v>
      </c>
      <c r="R858">
        <v>20</v>
      </c>
      <c r="S858">
        <v>110000</v>
      </c>
      <c r="T858">
        <v>0</v>
      </c>
      <c r="U858">
        <v>0</v>
      </c>
      <c r="V858">
        <v>20</v>
      </c>
      <c r="W858">
        <v>110000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</row>
    <row r="859" spans="1:29">
      <c r="A859">
        <v>851</v>
      </c>
      <c r="B859" t="s">
        <v>149</v>
      </c>
      <c r="C859">
        <v>988</v>
      </c>
      <c r="D859" t="s">
        <v>19</v>
      </c>
      <c r="E859" t="str">
        <f t="shared" si="13"/>
        <v>00988</v>
      </c>
      <c r="F859" t="s">
        <v>15</v>
      </c>
      <c r="G859" t="s">
        <v>193</v>
      </c>
      <c r="H859" t="s">
        <v>151</v>
      </c>
      <c r="I859" t="s">
        <v>5</v>
      </c>
      <c r="J859" t="s">
        <v>152</v>
      </c>
      <c r="K859" t="s">
        <v>153</v>
      </c>
      <c r="L859">
        <v>251200445</v>
      </c>
      <c r="M859" s="84">
        <v>46006</v>
      </c>
      <c r="N859" s="84">
        <v>46006</v>
      </c>
      <c r="O859" t="s">
        <v>191</v>
      </c>
      <c r="P859" t="s">
        <v>192</v>
      </c>
      <c r="Q859">
        <v>11700</v>
      </c>
      <c r="R859">
        <v>20</v>
      </c>
      <c r="S859">
        <v>234000</v>
      </c>
      <c r="T859">
        <v>0</v>
      </c>
      <c r="U859">
        <v>0</v>
      </c>
      <c r="V859">
        <v>20</v>
      </c>
      <c r="W859">
        <v>234000</v>
      </c>
      <c r="X859">
        <v>3000</v>
      </c>
      <c r="Y859">
        <v>3000</v>
      </c>
      <c r="Z859">
        <v>0</v>
      </c>
      <c r="AA859">
        <v>0</v>
      </c>
      <c r="AB859">
        <v>0</v>
      </c>
      <c r="AC859">
        <v>6000</v>
      </c>
    </row>
    <row r="860" spans="1:29">
      <c r="A860">
        <v>852</v>
      </c>
      <c r="B860" t="s">
        <v>149</v>
      </c>
      <c r="C860">
        <v>988</v>
      </c>
      <c r="D860" t="s">
        <v>19</v>
      </c>
      <c r="E860" t="str">
        <f t="shared" si="13"/>
        <v>00988</v>
      </c>
      <c r="F860" t="s">
        <v>15</v>
      </c>
      <c r="G860" t="s">
        <v>193</v>
      </c>
      <c r="H860" t="s">
        <v>151</v>
      </c>
      <c r="I860" t="s">
        <v>4</v>
      </c>
      <c r="J860" t="s">
        <v>152</v>
      </c>
      <c r="K860" t="s">
        <v>153</v>
      </c>
      <c r="L860">
        <v>251200445</v>
      </c>
      <c r="M860" s="84">
        <v>46006</v>
      </c>
      <c r="N860" s="84">
        <v>46006</v>
      </c>
      <c r="O860" t="s">
        <v>179</v>
      </c>
      <c r="P860" t="s">
        <v>180</v>
      </c>
      <c r="Q860">
        <v>14250</v>
      </c>
      <c r="R860">
        <v>5</v>
      </c>
      <c r="S860">
        <v>71250</v>
      </c>
      <c r="T860">
        <v>0</v>
      </c>
      <c r="U860">
        <v>0</v>
      </c>
      <c r="V860">
        <v>5</v>
      </c>
      <c r="W860">
        <v>71250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</row>
    <row r="861" spans="1:29">
      <c r="A861">
        <v>853</v>
      </c>
      <c r="B861" t="s">
        <v>149</v>
      </c>
      <c r="C861">
        <v>1320</v>
      </c>
      <c r="D861" t="s">
        <v>319</v>
      </c>
      <c r="E861" t="str">
        <f t="shared" si="13"/>
        <v>01320</v>
      </c>
      <c r="F861" t="s">
        <v>171</v>
      </c>
      <c r="G861" t="s">
        <v>172</v>
      </c>
      <c r="H861" t="s">
        <v>157</v>
      </c>
      <c r="I861" t="s">
        <v>4</v>
      </c>
      <c r="J861" t="s">
        <v>152</v>
      </c>
      <c r="K861" t="s">
        <v>174</v>
      </c>
      <c r="L861">
        <v>251200446</v>
      </c>
      <c r="M861" s="84">
        <v>46006</v>
      </c>
      <c r="N861" s="84">
        <v>46006</v>
      </c>
      <c r="O861" t="s">
        <v>390</v>
      </c>
      <c r="P861" t="s">
        <v>391</v>
      </c>
      <c r="Q861">
        <v>5500</v>
      </c>
      <c r="R861">
        <v>5</v>
      </c>
      <c r="S861">
        <v>27500</v>
      </c>
      <c r="T861">
        <v>0</v>
      </c>
      <c r="U861">
        <v>0</v>
      </c>
      <c r="V861">
        <v>5</v>
      </c>
      <c r="W861">
        <v>27500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</row>
    <row r="862" spans="1:29">
      <c r="A862">
        <v>854</v>
      </c>
      <c r="B862" t="s">
        <v>149</v>
      </c>
      <c r="C862">
        <v>1315</v>
      </c>
      <c r="D862" t="s">
        <v>392</v>
      </c>
      <c r="E862" t="str">
        <f t="shared" si="13"/>
        <v>01315</v>
      </c>
      <c r="F862" t="s">
        <v>86</v>
      </c>
      <c r="G862" t="s">
        <v>156</v>
      </c>
      <c r="H862" t="s">
        <v>157</v>
      </c>
      <c r="I862" t="s">
        <v>4</v>
      </c>
      <c r="J862" t="s">
        <v>152</v>
      </c>
      <c r="K862" t="s">
        <v>159</v>
      </c>
      <c r="L862">
        <v>251200447</v>
      </c>
      <c r="M862" s="84">
        <v>46006</v>
      </c>
      <c r="N862" s="84">
        <v>46006</v>
      </c>
      <c r="O862" t="s">
        <v>294</v>
      </c>
      <c r="P862" t="s">
        <v>295</v>
      </c>
      <c r="Q862">
        <v>5500</v>
      </c>
      <c r="R862">
        <v>5</v>
      </c>
      <c r="S862">
        <v>27500</v>
      </c>
      <c r="T862">
        <v>0</v>
      </c>
      <c r="U862">
        <v>0</v>
      </c>
      <c r="V862">
        <v>5</v>
      </c>
      <c r="W862">
        <v>27500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</row>
    <row r="863" spans="1:29">
      <c r="A863">
        <v>855</v>
      </c>
      <c r="B863" t="s">
        <v>149</v>
      </c>
      <c r="C863">
        <v>1536</v>
      </c>
      <c r="D863" t="s">
        <v>393</v>
      </c>
      <c r="E863" t="str">
        <f t="shared" si="13"/>
        <v>01536</v>
      </c>
      <c r="F863" t="s">
        <v>65</v>
      </c>
      <c r="G863" t="s">
        <v>208</v>
      </c>
      <c r="H863" t="s">
        <v>157</v>
      </c>
      <c r="I863" t="s">
        <v>4</v>
      </c>
      <c r="J863" t="s">
        <v>152</v>
      </c>
      <c r="K863" t="s">
        <v>174</v>
      </c>
      <c r="L863">
        <v>251200448</v>
      </c>
      <c r="M863" s="84">
        <v>46006</v>
      </c>
      <c r="N863" s="84">
        <v>46006</v>
      </c>
      <c r="O863" t="s">
        <v>294</v>
      </c>
      <c r="P863" t="s">
        <v>295</v>
      </c>
      <c r="Q863">
        <v>5500</v>
      </c>
      <c r="R863">
        <v>15</v>
      </c>
      <c r="S863">
        <v>82500</v>
      </c>
      <c r="T863">
        <v>0</v>
      </c>
      <c r="U863">
        <v>0</v>
      </c>
      <c r="V863">
        <v>15</v>
      </c>
      <c r="W863">
        <v>82500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</row>
    <row r="864" spans="1:29">
      <c r="A864">
        <v>856</v>
      </c>
      <c r="B864" t="s">
        <v>149</v>
      </c>
      <c r="C864">
        <v>1484</v>
      </c>
      <c r="D864" t="s">
        <v>331</v>
      </c>
      <c r="E864" t="str">
        <f t="shared" si="13"/>
        <v>01484</v>
      </c>
      <c r="F864" t="s">
        <v>71</v>
      </c>
      <c r="G864" t="s">
        <v>305</v>
      </c>
      <c r="H864" t="s">
        <v>157</v>
      </c>
      <c r="I864" t="s">
        <v>4</v>
      </c>
      <c r="J864" t="s">
        <v>152</v>
      </c>
      <c r="K864" t="s">
        <v>174</v>
      </c>
      <c r="L864">
        <v>251200449</v>
      </c>
      <c r="M864" s="84">
        <v>46006</v>
      </c>
      <c r="N864" s="84">
        <v>46006</v>
      </c>
      <c r="O864" t="s">
        <v>243</v>
      </c>
      <c r="P864" t="s">
        <v>244</v>
      </c>
      <c r="Q864">
        <v>5700</v>
      </c>
      <c r="R864">
        <v>15</v>
      </c>
      <c r="S864">
        <v>85500</v>
      </c>
      <c r="T864">
        <v>0</v>
      </c>
      <c r="U864">
        <v>0</v>
      </c>
      <c r="V864">
        <v>15</v>
      </c>
      <c r="W864">
        <v>85500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</row>
    <row r="865" spans="1:29">
      <c r="A865">
        <v>857</v>
      </c>
      <c r="B865" t="s">
        <v>149</v>
      </c>
      <c r="C865">
        <v>1484</v>
      </c>
      <c r="D865" t="s">
        <v>331</v>
      </c>
      <c r="E865" t="str">
        <f t="shared" si="13"/>
        <v>01484</v>
      </c>
      <c r="F865" t="s">
        <v>71</v>
      </c>
      <c r="G865" t="s">
        <v>305</v>
      </c>
      <c r="H865" t="s">
        <v>157</v>
      </c>
      <c r="I865" t="s">
        <v>4</v>
      </c>
      <c r="J865" t="s">
        <v>152</v>
      </c>
      <c r="K865" t="s">
        <v>174</v>
      </c>
      <c r="L865">
        <v>251200450</v>
      </c>
      <c r="M865" s="84">
        <v>46006</v>
      </c>
      <c r="N865" s="84">
        <v>46006</v>
      </c>
      <c r="O865" t="s">
        <v>160</v>
      </c>
      <c r="P865" t="s">
        <v>161</v>
      </c>
      <c r="Q865">
        <v>5500</v>
      </c>
      <c r="R865">
        <v>5</v>
      </c>
      <c r="S865">
        <v>27500</v>
      </c>
      <c r="T865">
        <v>0</v>
      </c>
      <c r="U865">
        <v>0</v>
      </c>
      <c r="V865">
        <v>5</v>
      </c>
      <c r="W865">
        <v>27500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</row>
    <row r="866" spans="1:29">
      <c r="A866">
        <v>858</v>
      </c>
      <c r="B866" t="s">
        <v>149</v>
      </c>
      <c r="C866">
        <v>1484</v>
      </c>
      <c r="D866" t="s">
        <v>331</v>
      </c>
      <c r="E866" t="str">
        <f t="shared" si="13"/>
        <v>01484</v>
      </c>
      <c r="F866" t="s">
        <v>71</v>
      </c>
      <c r="G866" t="s">
        <v>305</v>
      </c>
      <c r="H866" t="s">
        <v>157</v>
      </c>
      <c r="I866" t="s">
        <v>4</v>
      </c>
      <c r="J866" t="s">
        <v>152</v>
      </c>
      <c r="K866" t="s">
        <v>174</v>
      </c>
      <c r="L866">
        <v>251200451</v>
      </c>
      <c r="M866" s="84">
        <v>46006</v>
      </c>
      <c r="N866" s="84">
        <v>46006</v>
      </c>
      <c r="O866" t="s">
        <v>160</v>
      </c>
      <c r="P866" t="s">
        <v>161</v>
      </c>
      <c r="Q866">
        <v>5500</v>
      </c>
      <c r="R866">
        <v>5</v>
      </c>
      <c r="S866">
        <v>27500</v>
      </c>
      <c r="T866">
        <v>0</v>
      </c>
      <c r="U866">
        <v>0</v>
      </c>
      <c r="V866">
        <v>5</v>
      </c>
      <c r="W866">
        <v>27500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</row>
    <row r="867" spans="1:29">
      <c r="A867">
        <v>859</v>
      </c>
      <c r="B867" t="s">
        <v>149</v>
      </c>
      <c r="C867">
        <v>1468</v>
      </c>
      <c r="D867" t="s">
        <v>342</v>
      </c>
      <c r="E867" t="str">
        <f t="shared" si="13"/>
        <v>01468</v>
      </c>
      <c r="F867" t="s">
        <v>7</v>
      </c>
      <c r="G867" t="s">
        <v>156</v>
      </c>
      <c r="H867" t="s">
        <v>157</v>
      </c>
      <c r="I867" t="s">
        <v>5</v>
      </c>
      <c r="J867" t="s">
        <v>152</v>
      </c>
      <c r="K867" t="s">
        <v>159</v>
      </c>
      <c r="L867">
        <v>251200452</v>
      </c>
      <c r="M867" s="84">
        <v>46006</v>
      </c>
      <c r="N867" s="84">
        <v>46006</v>
      </c>
      <c r="O867" t="s">
        <v>397</v>
      </c>
      <c r="P867" t="s">
        <v>398</v>
      </c>
      <c r="Q867">
        <v>3000</v>
      </c>
      <c r="R867">
        <v>34</v>
      </c>
      <c r="S867">
        <v>102000</v>
      </c>
      <c r="T867">
        <v>0</v>
      </c>
      <c r="U867">
        <v>0</v>
      </c>
      <c r="V867">
        <v>34</v>
      </c>
      <c r="W867">
        <v>102000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</row>
    <row r="868" spans="1:29">
      <c r="A868">
        <v>860</v>
      </c>
      <c r="B868" t="s">
        <v>149</v>
      </c>
      <c r="C868">
        <v>1600</v>
      </c>
      <c r="D868" t="s">
        <v>399</v>
      </c>
      <c r="E868" t="str">
        <f t="shared" si="13"/>
        <v>01600</v>
      </c>
      <c r="F868" t="s">
        <v>7</v>
      </c>
      <c r="G868" t="s">
        <v>156</v>
      </c>
      <c r="H868" t="s">
        <v>157</v>
      </c>
      <c r="I868" t="s">
        <v>4</v>
      </c>
      <c r="J868" t="s">
        <v>152</v>
      </c>
      <c r="K868" t="s">
        <v>159</v>
      </c>
      <c r="L868">
        <v>251200453</v>
      </c>
      <c r="M868" s="84">
        <v>46006</v>
      </c>
      <c r="N868" s="84">
        <v>46006</v>
      </c>
      <c r="O868" t="s">
        <v>243</v>
      </c>
      <c r="P868" t="s">
        <v>244</v>
      </c>
      <c r="Q868">
        <v>5700</v>
      </c>
      <c r="R868">
        <v>5</v>
      </c>
      <c r="S868">
        <v>28500</v>
      </c>
      <c r="T868">
        <v>0</v>
      </c>
      <c r="U868">
        <v>0</v>
      </c>
      <c r="V868">
        <v>5</v>
      </c>
      <c r="W868">
        <v>28500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</row>
    <row r="869" spans="1:29">
      <c r="A869">
        <v>861</v>
      </c>
      <c r="B869" t="s">
        <v>149</v>
      </c>
      <c r="C869">
        <v>1600</v>
      </c>
      <c r="D869" t="s">
        <v>399</v>
      </c>
      <c r="E869" t="str">
        <f t="shared" si="13"/>
        <v>01600</v>
      </c>
      <c r="F869" t="s">
        <v>7</v>
      </c>
      <c r="G869" t="s">
        <v>156</v>
      </c>
      <c r="H869" t="s">
        <v>157</v>
      </c>
      <c r="I869" t="s">
        <v>4</v>
      </c>
      <c r="J869" t="s">
        <v>152</v>
      </c>
      <c r="K869" t="s">
        <v>159</v>
      </c>
      <c r="L869">
        <v>251200454</v>
      </c>
      <c r="M869" s="84">
        <v>46006</v>
      </c>
      <c r="N869" s="84">
        <v>46006</v>
      </c>
      <c r="O869" t="s">
        <v>243</v>
      </c>
      <c r="P869" t="s">
        <v>244</v>
      </c>
      <c r="Q869">
        <v>5700</v>
      </c>
      <c r="R869">
        <v>3</v>
      </c>
      <c r="S869">
        <v>17100</v>
      </c>
      <c r="T869">
        <v>0</v>
      </c>
      <c r="U869">
        <v>0</v>
      </c>
      <c r="V869">
        <v>3</v>
      </c>
      <c r="W869">
        <v>17100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</row>
    <row r="870" spans="1:29">
      <c r="A870">
        <v>862</v>
      </c>
      <c r="B870" t="s">
        <v>149</v>
      </c>
      <c r="C870">
        <v>1476</v>
      </c>
      <c r="D870" t="s">
        <v>299</v>
      </c>
      <c r="E870" t="str">
        <f t="shared" si="13"/>
        <v>01476</v>
      </c>
      <c r="F870" t="s">
        <v>95</v>
      </c>
      <c r="G870" t="s">
        <v>187</v>
      </c>
      <c r="H870" t="s">
        <v>188</v>
      </c>
      <c r="I870" t="s">
        <v>231</v>
      </c>
      <c r="J870" t="s">
        <v>152</v>
      </c>
      <c r="K870" t="s">
        <v>159</v>
      </c>
      <c r="L870">
        <v>251200455</v>
      </c>
      <c r="M870" s="84">
        <v>46006</v>
      </c>
      <c r="N870" s="84">
        <v>46006</v>
      </c>
      <c r="O870" t="s">
        <v>233</v>
      </c>
      <c r="P870" t="s">
        <v>118</v>
      </c>
      <c r="Q870">
        <v>4486</v>
      </c>
      <c r="R870">
        <v>2</v>
      </c>
      <c r="S870">
        <v>8972</v>
      </c>
      <c r="T870">
        <v>0</v>
      </c>
      <c r="U870">
        <v>0</v>
      </c>
      <c r="V870">
        <v>2</v>
      </c>
      <c r="W870">
        <v>8972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</row>
    <row r="871" spans="1:29">
      <c r="A871">
        <v>863</v>
      </c>
      <c r="B871" t="s">
        <v>149</v>
      </c>
      <c r="C871">
        <v>1476</v>
      </c>
      <c r="D871" t="s">
        <v>299</v>
      </c>
      <c r="E871" t="str">
        <f t="shared" si="13"/>
        <v>01476</v>
      </c>
      <c r="F871" t="s">
        <v>95</v>
      </c>
      <c r="G871" t="s">
        <v>187</v>
      </c>
      <c r="H871" t="s">
        <v>188</v>
      </c>
      <c r="I871" t="s">
        <v>238</v>
      </c>
      <c r="J871" t="s">
        <v>152</v>
      </c>
      <c r="K871" t="s">
        <v>159</v>
      </c>
      <c r="L871">
        <v>251200455</v>
      </c>
      <c r="M871" s="84">
        <v>46006</v>
      </c>
      <c r="N871" s="84">
        <v>46006</v>
      </c>
      <c r="O871" t="s">
        <v>247</v>
      </c>
      <c r="P871" t="s">
        <v>116</v>
      </c>
      <c r="Q871">
        <v>10982</v>
      </c>
      <c r="R871">
        <v>1</v>
      </c>
      <c r="S871">
        <v>10982</v>
      </c>
      <c r="T871">
        <v>0</v>
      </c>
      <c r="U871">
        <v>0</v>
      </c>
      <c r="V871">
        <v>1</v>
      </c>
      <c r="W871">
        <v>10982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</row>
    <row r="872" spans="1:29">
      <c r="A872">
        <v>864</v>
      </c>
      <c r="B872" t="s">
        <v>400</v>
      </c>
      <c r="C872">
        <v>1603</v>
      </c>
      <c r="D872" t="s">
        <v>401</v>
      </c>
      <c r="E872" t="str">
        <f t="shared" si="13"/>
        <v>01603</v>
      </c>
      <c r="F872" t="s">
        <v>91</v>
      </c>
      <c r="G872" t="s">
        <v>202</v>
      </c>
      <c r="H872" t="s">
        <v>157</v>
      </c>
      <c r="I872" t="s">
        <v>4</v>
      </c>
      <c r="J872" t="s">
        <v>152</v>
      </c>
      <c r="K872" t="s">
        <v>159</v>
      </c>
      <c r="L872">
        <v>251200456</v>
      </c>
      <c r="M872" s="84">
        <v>46006</v>
      </c>
      <c r="N872" s="84">
        <v>46006</v>
      </c>
      <c r="O872" t="s">
        <v>402</v>
      </c>
      <c r="P872" t="s">
        <v>403</v>
      </c>
      <c r="Q872">
        <v>5500</v>
      </c>
      <c r="R872">
        <v>10</v>
      </c>
      <c r="S872">
        <v>55000</v>
      </c>
      <c r="T872">
        <v>0</v>
      </c>
      <c r="U872">
        <v>0</v>
      </c>
      <c r="V872">
        <v>10</v>
      </c>
      <c r="W872">
        <v>55000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</row>
    <row r="873" spans="1:29">
      <c r="A873">
        <v>865</v>
      </c>
      <c r="B873" t="s">
        <v>400</v>
      </c>
      <c r="C873">
        <v>1603</v>
      </c>
      <c r="D873" t="s">
        <v>401</v>
      </c>
      <c r="E873" t="str">
        <f t="shared" si="13"/>
        <v>01603</v>
      </c>
      <c r="F873" t="s">
        <v>91</v>
      </c>
      <c r="G873" t="s">
        <v>202</v>
      </c>
      <c r="H873" t="s">
        <v>157</v>
      </c>
      <c r="I873" t="s">
        <v>4</v>
      </c>
      <c r="J873" t="s">
        <v>152</v>
      </c>
      <c r="K873" t="s">
        <v>159</v>
      </c>
      <c r="L873">
        <v>251200457</v>
      </c>
      <c r="M873" s="84">
        <v>46006</v>
      </c>
      <c r="N873" s="84">
        <v>46006</v>
      </c>
      <c r="O873" t="s">
        <v>402</v>
      </c>
      <c r="P873" t="s">
        <v>403</v>
      </c>
      <c r="Q873">
        <v>5500</v>
      </c>
      <c r="R873">
        <v>10</v>
      </c>
      <c r="S873">
        <v>55000</v>
      </c>
      <c r="T873">
        <v>0</v>
      </c>
      <c r="U873">
        <v>0</v>
      </c>
      <c r="V873">
        <v>10</v>
      </c>
      <c r="W873">
        <v>55000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</row>
    <row r="874" spans="1:29">
      <c r="A874">
        <v>866</v>
      </c>
      <c r="B874" t="s">
        <v>400</v>
      </c>
      <c r="C874">
        <v>1603</v>
      </c>
      <c r="D874" t="s">
        <v>401</v>
      </c>
      <c r="E874" t="str">
        <f t="shared" si="13"/>
        <v>01603</v>
      </c>
      <c r="F874" t="s">
        <v>91</v>
      </c>
      <c r="G874" t="s">
        <v>202</v>
      </c>
      <c r="H874" t="s">
        <v>157</v>
      </c>
      <c r="I874" t="s">
        <v>4</v>
      </c>
      <c r="J874" t="s">
        <v>152</v>
      </c>
      <c r="K874" t="s">
        <v>159</v>
      </c>
      <c r="L874">
        <v>251200458</v>
      </c>
      <c r="M874" s="84">
        <v>46006</v>
      </c>
      <c r="N874" s="84">
        <v>46006</v>
      </c>
      <c r="O874" t="s">
        <v>404</v>
      </c>
      <c r="P874" t="s">
        <v>405</v>
      </c>
      <c r="Q874">
        <v>5500</v>
      </c>
      <c r="R874">
        <v>40</v>
      </c>
      <c r="S874">
        <v>220000</v>
      </c>
      <c r="T874">
        <v>0</v>
      </c>
      <c r="U874">
        <v>0</v>
      </c>
      <c r="V874">
        <v>40</v>
      </c>
      <c r="W874">
        <v>220000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</row>
    <row r="875" spans="1:29">
      <c r="A875">
        <v>867</v>
      </c>
      <c r="B875" t="s">
        <v>400</v>
      </c>
      <c r="C875">
        <v>1603</v>
      </c>
      <c r="D875" t="s">
        <v>401</v>
      </c>
      <c r="E875" t="str">
        <f t="shared" si="13"/>
        <v>01603</v>
      </c>
      <c r="F875" t="s">
        <v>91</v>
      </c>
      <c r="G875" t="s">
        <v>202</v>
      </c>
      <c r="H875" t="s">
        <v>157</v>
      </c>
      <c r="I875" t="s">
        <v>4</v>
      </c>
      <c r="J875" t="s">
        <v>152</v>
      </c>
      <c r="K875" t="s">
        <v>159</v>
      </c>
      <c r="L875">
        <v>251200459</v>
      </c>
      <c r="M875" s="84">
        <v>46006</v>
      </c>
      <c r="N875" s="84">
        <v>46006</v>
      </c>
      <c r="O875" t="s">
        <v>402</v>
      </c>
      <c r="P875" t="s">
        <v>403</v>
      </c>
      <c r="Q875">
        <v>5500</v>
      </c>
      <c r="R875">
        <v>20</v>
      </c>
      <c r="S875">
        <v>110000</v>
      </c>
      <c r="T875">
        <v>0</v>
      </c>
      <c r="U875">
        <v>0</v>
      </c>
      <c r="V875">
        <v>20</v>
      </c>
      <c r="W875">
        <v>110000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</row>
    <row r="876" spans="1:29">
      <c r="A876">
        <v>868</v>
      </c>
      <c r="B876" t="s">
        <v>400</v>
      </c>
      <c r="C876">
        <v>1603</v>
      </c>
      <c r="D876" t="s">
        <v>401</v>
      </c>
      <c r="E876" t="str">
        <f t="shared" si="13"/>
        <v>01603</v>
      </c>
      <c r="F876" t="s">
        <v>91</v>
      </c>
      <c r="G876" t="s">
        <v>202</v>
      </c>
      <c r="H876" t="s">
        <v>157</v>
      </c>
      <c r="I876" t="s">
        <v>4</v>
      </c>
      <c r="J876" t="s">
        <v>152</v>
      </c>
      <c r="K876" t="s">
        <v>159</v>
      </c>
      <c r="L876">
        <v>251200460</v>
      </c>
      <c r="M876" s="84">
        <v>46006</v>
      </c>
      <c r="N876" s="84">
        <v>46006</v>
      </c>
      <c r="O876" t="s">
        <v>402</v>
      </c>
      <c r="P876" t="s">
        <v>403</v>
      </c>
      <c r="Q876">
        <v>5500</v>
      </c>
      <c r="R876">
        <v>10</v>
      </c>
      <c r="S876">
        <v>55000</v>
      </c>
      <c r="T876">
        <v>0</v>
      </c>
      <c r="U876">
        <v>0</v>
      </c>
      <c r="V876">
        <v>10</v>
      </c>
      <c r="W876">
        <v>55000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</row>
    <row r="877" spans="1:29">
      <c r="A877">
        <v>869</v>
      </c>
      <c r="B877" t="s">
        <v>400</v>
      </c>
      <c r="C877">
        <v>1603</v>
      </c>
      <c r="D877" t="s">
        <v>401</v>
      </c>
      <c r="E877" t="str">
        <f t="shared" si="13"/>
        <v>01603</v>
      </c>
      <c r="F877" t="s">
        <v>91</v>
      </c>
      <c r="G877" t="s">
        <v>202</v>
      </c>
      <c r="H877" t="s">
        <v>157</v>
      </c>
      <c r="I877" t="s">
        <v>4</v>
      </c>
      <c r="J877" t="s">
        <v>152</v>
      </c>
      <c r="K877" t="s">
        <v>159</v>
      </c>
      <c r="L877">
        <v>251200461</v>
      </c>
      <c r="M877" s="84">
        <v>46006</v>
      </c>
      <c r="N877" s="84">
        <v>46006</v>
      </c>
      <c r="O877" t="s">
        <v>404</v>
      </c>
      <c r="P877" t="s">
        <v>405</v>
      </c>
      <c r="Q877">
        <v>5500</v>
      </c>
      <c r="R877">
        <v>10</v>
      </c>
      <c r="S877">
        <v>55000</v>
      </c>
      <c r="T877">
        <v>0</v>
      </c>
      <c r="U877">
        <v>0</v>
      </c>
      <c r="V877">
        <v>10</v>
      </c>
      <c r="W877">
        <v>55000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</row>
    <row r="878" spans="1:29">
      <c r="A878">
        <v>870</v>
      </c>
      <c r="B878" t="s">
        <v>149</v>
      </c>
      <c r="C878">
        <v>1118</v>
      </c>
      <c r="D878" t="s">
        <v>37</v>
      </c>
      <c r="E878" t="str">
        <f t="shared" si="13"/>
        <v>01118</v>
      </c>
      <c r="F878" t="s">
        <v>28</v>
      </c>
      <c r="G878" t="s">
        <v>164</v>
      </c>
      <c r="H878" t="s">
        <v>151</v>
      </c>
      <c r="I878" t="s">
        <v>4</v>
      </c>
      <c r="J878" t="s">
        <v>152</v>
      </c>
      <c r="K878" t="s">
        <v>153</v>
      </c>
      <c r="L878">
        <v>251200462</v>
      </c>
      <c r="M878" s="84">
        <v>46006</v>
      </c>
      <c r="N878" s="84">
        <v>46006</v>
      </c>
      <c r="O878" t="s">
        <v>243</v>
      </c>
      <c r="P878" t="s">
        <v>244</v>
      </c>
      <c r="Q878">
        <v>15050</v>
      </c>
      <c r="R878">
        <v>8</v>
      </c>
      <c r="S878">
        <v>120400</v>
      </c>
      <c r="T878">
        <v>0</v>
      </c>
      <c r="U878">
        <v>0</v>
      </c>
      <c r="V878">
        <v>8</v>
      </c>
      <c r="W878">
        <v>120400</v>
      </c>
      <c r="X878">
        <v>1200</v>
      </c>
      <c r="Y878">
        <v>1600</v>
      </c>
      <c r="Z878">
        <v>0</v>
      </c>
      <c r="AA878">
        <v>0</v>
      </c>
      <c r="AB878">
        <v>0</v>
      </c>
      <c r="AC878">
        <v>2800</v>
      </c>
    </row>
    <row r="879" spans="1:29">
      <c r="A879">
        <v>871</v>
      </c>
      <c r="B879" t="s">
        <v>149</v>
      </c>
      <c r="C879">
        <v>1530</v>
      </c>
      <c r="D879" t="s">
        <v>379</v>
      </c>
      <c r="E879" t="str">
        <f t="shared" si="13"/>
        <v>01530</v>
      </c>
      <c r="F879" t="s">
        <v>111</v>
      </c>
      <c r="G879" t="s">
        <v>150</v>
      </c>
      <c r="H879" t="s">
        <v>151</v>
      </c>
      <c r="I879" t="s">
        <v>4</v>
      </c>
      <c r="J879" t="s">
        <v>152</v>
      </c>
      <c r="K879" t="s">
        <v>153</v>
      </c>
      <c r="L879">
        <v>251200463</v>
      </c>
      <c r="M879" s="84">
        <v>46006</v>
      </c>
      <c r="N879" s="84">
        <v>46006</v>
      </c>
      <c r="O879" t="s">
        <v>380</v>
      </c>
      <c r="P879" t="s">
        <v>381</v>
      </c>
      <c r="Q879">
        <v>5500</v>
      </c>
      <c r="R879">
        <v>10</v>
      </c>
      <c r="S879">
        <v>55000</v>
      </c>
      <c r="T879">
        <v>0</v>
      </c>
      <c r="U879">
        <v>0</v>
      </c>
      <c r="V879">
        <v>10</v>
      </c>
      <c r="W879">
        <v>55000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</row>
    <row r="880" spans="1:29">
      <c r="A880">
        <v>872</v>
      </c>
      <c r="B880" t="s">
        <v>149</v>
      </c>
      <c r="C880">
        <v>1530</v>
      </c>
      <c r="D880" t="s">
        <v>379</v>
      </c>
      <c r="E880" t="str">
        <f t="shared" si="13"/>
        <v>01530</v>
      </c>
      <c r="F880" t="s">
        <v>111</v>
      </c>
      <c r="G880" t="s">
        <v>150</v>
      </c>
      <c r="H880" t="s">
        <v>151</v>
      </c>
      <c r="I880" t="s">
        <v>4</v>
      </c>
      <c r="J880" t="s">
        <v>152</v>
      </c>
      <c r="K880" t="s">
        <v>153</v>
      </c>
      <c r="L880">
        <v>251200463</v>
      </c>
      <c r="M880" s="84">
        <v>46006</v>
      </c>
      <c r="N880" s="84">
        <v>46006</v>
      </c>
      <c r="O880" t="s">
        <v>321</v>
      </c>
      <c r="P880" t="s">
        <v>322</v>
      </c>
      <c r="Q880">
        <v>5500</v>
      </c>
      <c r="R880">
        <v>30</v>
      </c>
      <c r="S880">
        <v>165000</v>
      </c>
      <c r="T880">
        <v>0</v>
      </c>
      <c r="U880">
        <v>0</v>
      </c>
      <c r="V880">
        <v>30</v>
      </c>
      <c r="W880">
        <v>165000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</row>
    <row r="881" spans="1:29">
      <c r="A881">
        <v>873</v>
      </c>
      <c r="B881" t="s">
        <v>149</v>
      </c>
      <c r="C881">
        <v>337</v>
      </c>
      <c r="D881" t="s">
        <v>57</v>
      </c>
      <c r="E881" t="str">
        <f t="shared" si="13"/>
        <v>00337</v>
      </c>
      <c r="F881" t="s">
        <v>49</v>
      </c>
      <c r="G881" t="s">
        <v>167</v>
      </c>
      <c r="H881" t="s">
        <v>151</v>
      </c>
      <c r="I881" t="s">
        <v>238</v>
      </c>
      <c r="J881" t="s">
        <v>152</v>
      </c>
      <c r="K881" t="s">
        <v>153</v>
      </c>
      <c r="L881">
        <v>251200464</v>
      </c>
      <c r="M881" s="84">
        <v>46006</v>
      </c>
      <c r="N881" s="84">
        <v>46006</v>
      </c>
      <c r="O881" t="s">
        <v>247</v>
      </c>
      <c r="P881" t="s">
        <v>116</v>
      </c>
      <c r="Q881">
        <v>10982</v>
      </c>
      <c r="R881">
        <v>3</v>
      </c>
      <c r="S881">
        <v>32946</v>
      </c>
      <c r="T881">
        <v>0</v>
      </c>
      <c r="U881">
        <v>0</v>
      </c>
      <c r="V881">
        <v>3</v>
      </c>
      <c r="W881">
        <v>32946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</row>
    <row r="882" spans="1:29">
      <c r="A882">
        <v>874</v>
      </c>
      <c r="B882" t="s">
        <v>149</v>
      </c>
      <c r="C882">
        <v>337</v>
      </c>
      <c r="D882" t="s">
        <v>57</v>
      </c>
      <c r="E882" t="str">
        <f t="shared" si="13"/>
        <v>00337</v>
      </c>
      <c r="F882" t="s">
        <v>49</v>
      </c>
      <c r="G882" t="s">
        <v>167</v>
      </c>
      <c r="H882" t="s">
        <v>151</v>
      </c>
      <c r="I882" t="s">
        <v>238</v>
      </c>
      <c r="J882" t="s">
        <v>152</v>
      </c>
      <c r="K882" t="s">
        <v>153</v>
      </c>
      <c r="L882">
        <v>251200464</v>
      </c>
      <c r="M882" s="84">
        <v>46006</v>
      </c>
      <c r="N882" s="84">
        <v>46006</v>
      </c>
      <c r="O882" t="s">
        <v>282</v>
      </c>
      <c r="P882" t="s">
        <v>283</v>
      </c>
      <c r="Q882">
        <v>18880</v>
      </c>
      <c r="R882">
        <v>2</v>
      </c>
      <c r="S882">
        <v>37760</v>
      </c>
      <c r="T882">
        <v>0</v>
      </c>
      <c r="U882">
        <v>0</v>
      </c>
      <c r="V882">
        <v>2</v>
      </c>
      <c r="W882">
        <v>37760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</row>
    <row r="883" spans="1:29">
      <c r="A883">
        <v>875</v>
      </c>
      <c r="B883" t="s">
        <v>149</v>
      </c>
      <c r="C883">
        <v>1564</v>
      </c>
      <c r="D883" t="s">
        <v>40</v>
      </c>
      <c r="E883" t="str">
        <f t="shared" si="13"/>
        <v>01564</v>
      </c>
      <c r="F883" t="s">
        <v>38</v>
      </c>
      <c r="G883" t="s">
        <v>202</v>
      </c>
      <c r="H883" t="s">
        <v>157</v>
      </c>
      <c r="I883" t="s">
        <v>4</v>
      </c>
      <c r="J883" t="s">
        <v>152</v>
      </c>
      <c r="K883" t="s">
        <v>203</v>
      </c>
      <c r="L883">
        <v>251200465</v>
      </c>
      <c r="M883" s="84">
        <v>46006</v>
      </c>
      <c r="N883" s="84">
        <v>46006</v>
      </c>
      <c r="O883" t="s">
        <v>300</v>
      </c>
      <c r="P883" t="s">
        <v>301</v>
      </c>
      <c r="Q883">
        <v>14250</v>
      </c>
      <c r="R883">
        <v>10</v>
      </c>
      <c r="S883">
        <v>142500</v>
      </c>
      <c r="T883">
        <v>0</v>
      </c>
      <c r="U883">
        <v>0</v>
      </c>
      <c r="V883">
        <v>10</v>
      </c>
      <c r="W883">
        <v>142500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</row>
    <row r="884" spans="1:29">
      <c r="A884">
        <v>876</v>
      </c>
      <c r="B884" t="s">
        <v>149</v>
      </c>
      <c r="C884">
        <v>1596</v>
      </c>
      <c r="D884" t="s">
        <v>315</v>
      </c>
      <c r="E884" t="str">
        <f t="shared" si="13"/>
        <v>01596</v>
      </c>
      <c r="F884" t="s">
        <v>111</v>
      </c>
      <c r="G884" t="s">
        <v>150</v>
      </c>
      <c r="H884" t="s">
        <v>151</v>
      </c>
      <c r="I884" t="s">
        <v>4</v>
      </c>
      <c r="J884" t="s">
        <v>152</v>
      </c>
      <c r="K884" t="s">
        <v>153</v>
      </c>
      <c r="L884">
        <v>251200466</v>
      </c>
      <c r="M884" s="84">
        <v>46007</v>
      </c>
      <c r="N884" s="84">
        <v>46007</v>
      </c>
      <c r="O884" t="s">
        <v>294</v>
      </c>
      <c r="P884" t="s">
        <v>295</v>
      </c>
      <c r="Q884">
        <v>5500</v>
      </c>
      <c r="R884">
        <v>20</v>
      </c>
      <c r="S884">
        <v>110000</v>
      </c>
      <c r="T884">
        <v>0</v>
      </c>
      <c r="U884">
        <v>0</v>
      </c>
      <c r="V884">
        <v>20</v>
      </c>
      <c r="W884">
        <v>110000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</row>
    <row r="885" spans="1:29">
      <c r="A885">
        <v>877</v>
      </c>
      <c r="B885" t="s">
        <v>149</v>
      </c>
      <c r="C885">
        <v>1596</v>
      </c>
      <c r="D885" t="s">
        <v>315</v>
      </c>
      <c r="E885" t="str">
        <f t="shared" si="13"/>
        <v>01596</v>
      </c>
      <c r="F885" t="s">
        <v>111</v>
      </c>
      <c r="G885" t="s">
        <v>150</v>
      </c>
      <c r="H885" t="s">
        <v>151</v>
      </c>
      <c r="I885" t="s">
        <v>5</v>
      </c>
      <c r="J885" t="s">
        <v>152</v>
      </c>
      <c r="K885" t="s">
        <v>153</v>
      </c>
      <c r="L885">
        <v>251200466</v>
      </c>
      <c r="M885" s="84">
        <v>46007</v>
      </c>
      <c r="N885" s="84">
        <v>46007</v>
      </c>
      <c r="O885" t="s">
        <v>191</v>
      </c>
      <c r="P885" t="s">
        <v>192</v>
      </c>
      <c r="Q885">
        <v>4500</v>
      </c>
      <c r="R885">
        <v>4</v>
      </c>
      <c r="S885">
        <v>18000</v>
      </c>
      <c r="T885">
        <v>0</v>
      </c>
      <c r="U885">
        <v>0</v>
      </c>
      <c r="V885">
        <v>4</v>
      </c>
      <c r="W885">
        <v>18000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</row>
    <row r="886" spans="1:29">
      <c r="A886">
        <v>878</v>
      </c>
      <c r="B886" t="s">
        <v>149</v>
      </c>
      <c r="C886">
        <v>1557</v>
      </c>
      <c r="D886" t="s">
        <v>344</v>
      </c>
      <c r="E886" t="str">
        <f t="shared" si="13"/>
        <v>01557</v>
      </c>
      <c r="F886" t="s">
        <v>111</v>
      </c>
      <c r="G886" t="s">
        <v>150</v>
      </c>
      <c r="H886" t="s">
        <v>151</v>
      </c>
      <c r="I886" t="s">
        <v>4</v>
      </c>
      <c r="J886" t="s">
        <v>152</v>
      </c>
      <c r="K886" t="s">
        <v>153</v>
      </c>
      <c r="L886">
        <v>251200467</v>
      </c>
      <c r="M886" s="84">
        <v>46007</v>
      </c>
      <c r="N886" s="84">
        <v>46007</v>
      </c>
      <c r="O886" t="s">
        <v>179</v>
      </c>
      <c r="P886" t="s">
        <v>180</v>
      </c>
      <c r="Q886">
        <v>5500</v>
      </c>
      <c r="R886">
        <v>5</v>
      </c>
      <c r="S886">
        <v>27500</v>
      </c>
      <c r="T886">
        <v>0</v>
      </c>
      <c r="U886">
        <v>0</v>
      </c>
      <c r="V886">
        <v>5</v>
      </c>
      <c r="W886">
        <v>27500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</row>
    <row r="887" spans="1:29">
      <c r="A887">
        <v>879</v>
      </c>
      <c r="B887" t="s">
        <v>149</v>
      </c>
      <c r="C887">
        <v>1557</v>
      </c>
      <c r="D887" t="s">
        <v>344</v>
      </c>
      <c r="E887" t="str">
        <f t="shared" si="13"/>
        <v>01557</v>
      </c>
      <c r="F887" t="s">
        <v>111</v>
      </c>
      <c r="G887" t="s">
        <v>150</v>
      </c>
      <c r="H887" t="s">
        <v>151</v>
      </c>
      <c r="I887" t="s">
        <v>5</v>
      </c>
      <c r="J887" t="s">
        <v>152</v>
      </c>
      <c r="K887" t="s">
        <v>153</v>
      </c>
      <c r="L887">
        <v>251200467</v>
      </c>
      <c r="M887" s="84">
        <v>46007</v>
      </c>
      <c r="N887" s="84">
        <v>46007</v>
      </c>
      <c r="O887" t="s">
        <v>273</v>
      </c>
      <c r="P887" t="s">
        <v>274</v>
      </c>
      <c r="Q887">
        <v>4500</v>
      </c>
      <c r="R887">
        <v>12</v>
      </c>
      <c r="S887">
        <v>54000</v>
      </c>
      <c r="T887">
        <v>0</v>
      </c>
      <c r="U887">
        <v>0</v>
      </c>
      <c r="V887">
        <v>12</v>
      </c>
      <c r="W887">
        <v>54000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</row>
    <row r="888" spans="1:29">
      <c r="A888">
        <v>880</v>
      </c>
      <c r="B888" t="s">
        <v>149</v>
      </c>
      <c r="C888">
        <v>1593</v>
      </c>
      <c r="D888" t="s">
        <v>343</v>
      </c>
      <c r="E888" t="str">
        <f t="shared" si="13"/>
        <v>01593</v>
      </c>
      <c r="F888" t="s">
        <v>111</v>
      </c>
      <c r="G888" t="s">
        <v>150</v>
      </c>
      <c r="H888" t="s">
        <v>151</v>
      </c>
      <c r="I888" t="s">
        <v>5</v>
      </c>
      <c r="J888" t="s">
        <v>152</v>
      </c>
      <c r="K888" t="s">
        <v>153</v>
      </c>
      <c r="L888">
        <v>251200468</v>
      </c>
      <c r="M888" s="84">
        <v>46007</v>
      </c>
      <c r="N888" s="84">
        <v>46007</v>
      </c>
      <c r="O888" t="s">
        <v>273</v>
      </c>
      <c r="P888" t="s">
        <v>274</v>
      </c>
      <c r="Q888">
        <v>4500</v>
      </c>
      <c r="R888">
        <v>8</v>
      </c>
      <c r="S888">
        <v>36000</v>
      </c>
      <c r="T888">
        <v>0</v>
      </c>
      <c r="U888">
        <v>0</v>
      </c>
      <c r="V888">
        <v>8</v>
      </c>
      <c r="W888">
        <v>36000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</row>
    <row r="889" spans="1:29">
      <c r="A889">
        <v>881</v>
      </c>
      <c r="B889" t="s">
        <v>149</v>
      </c>
      <c r="C889">
        <v>1478</v>
      </c>
      <c r="D889" t="s">
        <v>314</v>
      </c>
      <c r="E889" t="str">
        <f t="shared" si="13"/>
        <v>01478</v>
      </c>
      <c r="F889" t="s">
        <v>111</v>
      </c>
      <c r="G889" t="s">
        <v>150</v>
      </c>
      <c r="H889" t="s">
        <v>151</v>
      </c>
      <c r="I889" t="s">
        <v>5</v>
      </c>
      <c r="J889" t="s">
        <v>152</v>
      </c>
      <c r="K889" t="s">
        <v>153</v>
      </c>
      <c r="L889">
        <v>251200469</v>
      </c>
      <c r="M889" s="84">
        <v>46007</v>
      </c>
      <c r="N889" s="84">
        <v>46007</v>
      </c>
      <c r="O889" t="s">
        <v>191</v>
      </c>
      <c r="P889" t="s">
        <v>192</v>
      </c>
      <c r="Q889">
        <v>4500</v>
      </c>
      <c r="R889">
        <v>8</v>
      </c>
      <c r="S889">
        <v>36000</v>
      </c>
      <c r="T889">
        <v>0</v>
      </c>
      <c r="U889">
        <v>0</v>
      </c>
      <c r="V889">
        <v>8</v>
      </c>
      <c r="W889">
        <v>36000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</row>
    <row r="890" spans="1:29">
      <c r="A890">
        <v>882</v>
      </c>
      <c r="B890" t="s">
        <v>149</v>
      </c>
      <c r="C890">
        <v>1478</v>
      </c>
      <c r="D890" t="s">
        <v>314</v>
      </c>
      <c r="E890" t="str">
        <f t="shared" si="13"/>
        <v>01478</v>
      </c>
      <c r="F890" t="s">
        <v>111</v>
      </c>
      <c r="G890" t="s">
        <v>150</v>
      </c>
      <c r="H890" t="s">
        <v>151</v>
      </c>
      <c r="I890" t="s">
        <v>4</v>
      </c>
      <c r="J890" t="s">
        <v>152</v>
      </c>
      <c r="K890" t="s">
        <v>153</v>
      </c>
      <c r="L890">
        <v>251200469</v>
      </c>
      <c r="M890" s="84">
        <v>46007</v>
      </c>
      <c r="N890" s="84">
        <v>46007</v>
      </c>
      <c r="O890" t="s">
        <v>160</v>
      </c>
      <c r="P890" t="s">
        <v>161</v>
      </c>
      <c r="Q890">
        <v>5500</v>
      </c>
      <c r="R890">
        <v>16</v>
      </c>
      <c r="S890">
        <v>88000</v>
      </c>
      <c r="T890">
        <v>0</v>
      </c>
      <c r="U890">
        <v>0</v>
      </c>
      <c r="V890">
        <v>16</v>
      </c>
      <c r="W890">
        <v>88000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</row>
    <row r="891" spans="1:29">
      <c r="A891">
        <v>883</v>
      </c>
      <c r="B891" t="s">
        <v>149</v>
      </c>
      <c r="C891">
        <v>1551</v>
      </c>
      <c r="D891" t="s">
        <v>316</v>
      </c>
      <c r="E891" t="str">
        <f t="shared" si="13"/>
        <v>01551</v>
      </c>
      <c r="F891" t="s">
        <v>111</v>
      </c>
      <c r="G891" t="s">
        <v>150</v>
      </c>
      <c r="H891" t="s">
        <v>151</v>
      </c>
      <c r="I891" t="s">
        <v>4</v>
      </c>
      <c r="J891" t="s">
        <v>152</v>
      </c>
      <c r="K891" t="s">
        <v>153</v>
      </c>
      <c r="L891">
        <v>251200470</v>
      </c>
      <c r="M891" s="84">
        <v>46007</v>
      </c>
      <c r="N891" s="84">
        <v>46007</v>
      </c>
      <c r="O891" t="s">
        <v>160</v>
      </c>
      <c r="P891" t="s">
        <v>161</v>
      </c>
      <c r="Q891">
        <v>5500</v>
      </c>
      <c r="R891">
        <v>12</v>
      </c>
      <c r="S891">
        <v>66000</v>
      </c>
      <c r="T891">
        <v>0</v>
      </c>
      <c r="U891">
        <v>0</v>
      </c>
      <c r="V891">
        <v>12</v>
      </c>
      <c r="W891">
        <v>66000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</row>
    <row r="892" spans="1:29">
      <c r="A892">
        <v>884</v>
      </c>
      <c r="B892" t="s">
        <v>149</v>
      </c>
      <c r="C892">
        <v>88</v>
      </c>
      <c r="D892" t="s">
        <v>46</v>
      </c>
      <c r="E892" t="str">
        <f t="shared" si="13"/>
        <v>00088</v>
      </c>
      <c r="F892" t="s">
        <v>43</v>
      </c>
      <c r="G892" t="s">
        <v>150</v>
      </c>
      <c r="H892" t="s">
        <v>151</v>
      </c>
      <c r="I892" t="s">
        <v>4</v>
      </c>
      <c r="J892" t="s">
        <v>152</v>
      </c>
      <c r="K892" t="s">
        <v>153</v>
      </c>
      <c r="L892">
        <v>251200471</v>
      </c>
      <c r="M892" s="84">
        <v>46007</v>
      </c>
      <c r="N892" s="84">
        <v>46007</v>
      </c>
      <c r="O892" t="s">
        <v>160</v>
      </c>
      <c r="P892" t="s">
        <v>161</v>
      </c>
      <c r="Q892">
        <v>14250</v>
      </c>
      <c r="R892">
        <v>10</v>
      </c>
      <c r="S892">
        <v>142500</v>
      </c>
      <c r="T892">
        <v>0</v>
      </c>
      <c r="U892">
        <v>0</v>
      </c>
      <c r="V892">
        <v>10</v>
      </c>
      <c r="W892">
        <v>142500</v>
      </c>
      <c r="X892">
        <v>1500</v>
      </c>
      <c r="Y892">
        <v>2000</v>
      </c>
      <c r="Z892">
        <v>0</v>
      </c>
      <c r="AA892">
        <v>0</v>
      </c>
      <c r="AB892">
        <v>0</v>
      </c>
      <c r="AC892">
        <v>3500</v>
      </c>
    </row>
    <row r="893" spans="1:29">
      <c r="A893">
        <v>885</v>
      </c>
      <c r="B893" t="s">
        <v>149</v>
      </c>
      <c r="C893">
        <v>1553</v>
      </c>
      <c r="D893" t="s">
        <v>317</v>
      </c>
      <c r="E893" t="str">
        <f t="shared" si="13"/>
        <v>01553</v>
      </c>
      <c r="F893" t="s">
        <v>43</v>
      </c>
      <c r="G893" t="s">
        <v>150</v>
      </c>
      <c r="H893" t="s">
        <v>151</v>
      </c>
      <c r="I893" t="s">
        <v>4</v>
      </c>
      <c r="J893" t="s">
        <v>152</v>
      </c>
      <c r="K893" t="s">
        <v>153</v>
      </c>
      <c r="L893">
        <v>251200472</v>
      </c>
      <c r="M893" s="84">
        <v>46007</v>
      </c>
      <c r="N893" s="84">
        <v>46007</v>
      </c>
      <c r="O893" t="s">
        <v>160</v>
      </c>
      <c r="P893" t="s">
        <v>161</v>
      </c>
      <c r="Q893">
        <v>5500</v>
      </c>
      <c r="R893">
        <v>10</v>
      </c>
      <c r="S893">
        <v>55000</v>
      </c>
      <c r="T893">
        <v>0</v>
      </c>
      <c r="U893">
        <v>0</v>
      </c>
      <c r="V893">
        <v>10</v>
      </c>
      <c r="W893">
        <v>55000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</row>
    <row r="894" spans="1:29">
      <c r="A894">
        <v>886</v>
      </c>
      <c r="B894" t="s">
        <v>149</v>
      </c>
      <c r="C894">
        <v>1553</v>
      </c>
      <c r="D894" t="s">
        <v>317</v>
      </c>
      <c r="E894" t="str">
        <f t="shared" si="13"/>
        <v>01553</v>
      </c>
      <c r="F894" t="s">
        <v>43</v>
      </c>
      <c r="G894" t="s">
        <v>150</v>
      </c>
      <c r="H894" t="s">
        <v>151</v>
      </c>
      <c r="I894" t="s">
        <v>4</v>
      </c>
      <c r="J894" t="s">
        <v>152</v>
      </c>
      <c r="K894" t="s">
        <v>153</v>
      </c>
      <c r="L894">
        <v>251200472</v>
      </c>
      <c r="M894" s="84">
        <v>46007</v>
      </c>
      <c r="N894" s="84">
        <v>46007</v>
      </c>
      <c r="O894" t="s">
        <v>243</v>
      </c>
      <c r="P894" t="s">
        <v>244</v>
      </c>
      <c r="Q894">
        <v>5700</v>
      </c>
      <c r="R894">
        <v>1</v>
      </c>
      <c r="S894">
        <v>5700</v>
      </c>
      <c r="T894">
        <v>0</v>
      </c>
      <c r="U894">
        <v>0</v>
      </c>
      <c r="V894">
        <v>1</v>
      </c>
      <c r="W894">
        <v>5700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</row>
    <row r="895" spans="1:29">
      <c r="A895">
        <v>887</v>
      </c>
      <c r="B895" t="s">
        <v>149</v>
      </c>
      <c r="C895">
        <v>1553</v>
      </c>
      <c r="D895" t="s">
        <v>317</v>
      </c>
      <c r="E895" t="str">
        <f t="shared" si="13"/>
        <v>01553</v>
      </c>
      <c r="F895" t="s">
        <v>43</v>
      </c>
      <c r="G895" t="s">
        <v>150</v>
      </c>
      <c r="H895" t="s">
        <v>151</v>
      </c>
      <c r="I895" t="s">
        <v>4</v>
      </c>
      <c r="J895" t="s">
        <v>152</v>
      </c>
      <c r="K895" t="s">
        <v>153</v>
      </c>
      <c r="L895">
        <v>251200472</v>
      </c>
      <c r="M895" s="84">
        <v>46007</v>
      </c>
      <c r="N895" s="84">
        <v>46007</v>
      </c>
      <c r="O895" t="s">
        <v>219</v>
      </c>
      <c r="P895" t="s">
        <v>220</v>
      </c>
      <c r="Q895">
        <v>5500</v>
      </c>
      <c r="R895">
        <v>5</v>
      </c>
      <c r="S895">
        <v>27500</v>
      </c>
      <c r="T895">
        <v>0</v>
      </c>
      <c r="U895">
        <v>0</v>
      </c>
      <c r="V895">
        <v>5</v>
      </c>
      <c r="W895">
        <v>27500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</row>
    <row r="896" spans="1:29">
      <c r="A896">
        <v>888</v>
      </c>
      <c r="B896" t="s">
        <v>149</v>
      </c>
      <c r="C896">
        <v>1288</v>
      </c>
      <c r="D896" t="s">
        <v>367</v>
      </c>
      <c r="E896" t="str">
        <f t="shared" si="13"/>
        <v>01288</v>
      </c>
      <c r="F896" t="s">
        <v>43</v>
      </c>
      <c r="G896" t="s">
        <v>150</v>
      </c>
      <c r="H896" t="s">
        <v>151</v>
      </c>
      <c r="I896" t="s">
        <v>4</v>
      </c>
      <c r="J896" t="s">
        <v>152</v>
      </c>
      <c r="K896" t="s">
        <v>153</v>
      </c>
      <c r="L896">
        <v>251200473</v>
      </c>
      <c r="M896" s="84">
        <v>46007</v>
      </c>
      <c r="N896" s="84">
        <v>46007</v>
      </c>
      <c r="O896" t="s">
        <v>160</v>
      </c>
      <c r="P896" t="s">
        <v>161</v>
      </c>
      <c r="Q896">
        <v>5500</v>
      </c>
      <c r="R896">
        <v>20</v>
      </c>
      <c r="S896">
        <v>110000</v>
      </c>
      <c r="T896">
        <v>0</v>
      </c>
      <c r="U896">
        <v>0</v>
      </c>
      <c r="V896">
        <v>20</v>
      </c>
      <c r="W896">
        <v>110000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</row>
    <row r="897" spans="1:29">
      <c r="A897">
        <v>889</v>
      </c>
      <c r="B897" t="s">
        <v>149</v>
      </c>
      <c r="C897">
        <v>1308</v>
      </c>
      <c r="D897" t="s">
        <v>368</v>
      </c>
      <c r="E897" t="str">
        <f t="shared" si="13"/>
        <v>01308</v>
      </c>
      <c r="F897" t="s">
        <v>49</v>
      </c>
      <c r="G897" t="s">
        <v>167</v>
      </c>
      <c r="H897" t="s">
        <v>151</v>
      </c>
      <c r="I897" t="s">
        <v>5</v>
      </c>
      <c r="J897" t="s">
        <v>152</v>
      </c>
      <c r="K897" t="s">
        <v>153</v>
      </c>
      <c r="L897">
        <v>251200474</v>
      </c>
      <c r="M897" s="84">
        <v>46007</v>
      </c>
      <c r="N897" s="84">
        <v>46007</v>
      </c>
      <c r="O897" t="s">
        <v>271</v>
      </c>
      <c r="P897" t="s">
        <v>272</v>
      </c>
      <c r="Q897">
        <v>4500</v>
      </c>
      <c r="R897">
        <v>8</v>
      </c>
      <c r="S897">
        <v>36000</v>
      </c>
      <c r="T897">
        <v>0</v>
      </c>
      <c r="U897">
        <v>0</v>
      </c>
      <c r="V897">
        <v>8</v>
      </c>
      <c r="W897">
        <v>36000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</row>
    <row r="898" spans="1:29">
      <c r="A898">
        <v>890</v>
      </c>
      <c r="B898" t="s">
        <v>149</v>
      </c>
      <c r="C898">
        <v>1308</v>
      </c>
      <c r="D898" t="s">
        <v>368</v>
      </c>
      <c r="E898" t="str">
        <f t="shared" si="13"/>
        <v>01308</v>
      </c>
      <c r="F898" t="s">
        <v>49</v>
      </c>
      <c r="G898" t="s">
        <v>167</v>
      </c>
      <c r="H898" t="s">
        <v>151</v>
      </c>
      <c r="I898" t="s">
        <v>5</v>
      </c>
      <c r="J898" t="s">
        <v>152</v>
      </c>
      <c r="K898" t="s">
        <v>153</v>
      </c>
      <c r="L898">
        <v>251200474</v>
      </c>
      <c r="M898" s="84">
        <v>46007</v>
      </c>
      <c r="N898" s="84">
        <v>46007</v>
      </c>
      <c r="O898" t="s">
        <v>260</v>
      </c>
      <c r="P898" t="s">
        <v>261</v>
      </c>
      <c r="Q898">
        <v>4500</v>
      </c>
      <c r="R898">
        <v>12</v>
      </c>
      <c r="S898">
        <v>54000</v>
      </c>
      <c r="T898">
        <v>0</v>
      </c>
      <c r="U898">
        <v>0</v>
      </c>
      <c r="V898">
        <v>12</v>
      </c>
      <c r="W898">
        <v>54000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</row>
    <row r="899" spans="1:29">
      <c r="A899">
        <v>891</v>
      </c>
      <c r="B899" t="s">
        <v>149</v>
      </c>
      <c r="C899">
        <v>1308</v>
      </c>
      <c r="D899" t="s">
        <v>368</v>
      </c>
      <c r="E899" t="str">
        <f t="shared" si="13"/>
        <v>01308</v>
      </c>
      <c r="F899" t="s">
        <v>49</v>
      </c>
      <c r="G899" t="s">
        <v>167</v>
      </c>
      <c r="H899" t="s">
        <v>151</v>
      </c>
      <c r="I899" t="s">
        <v>5</v>
      </c>
      <c r="J899" t="s">
        <v>152</v>
      </c>
      <c r="K899" t="s">
        <v>153</v>
      </c>
      <c r="L899">
        <v>251200474</v>
      </c>
      <c r="M899" s="84">
        <v>46007</v>
      </c>
      <c r="N899" s="84">
        <v>46007</v>
      </c>
      <c r="O899" t="s">
        <v>198</v>
      </c>
      <c r="P899" t="s">
        <v>199</v>
      </c>
      <c r="Q899">
        <v>4500</v>
      </c>
      <c r="R899">
        <v>2</v>
      </c>
      <c r="S899">
        <v>9000</v>
      </c>
      <c r="T899">
        <v>0</v>
      </c>
      <c r="U899">
        <v>0</v>
      </c>
      <c r="V899">
        <v>2</v>
      </c>
      <c r="W899">
        <v>9000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</row>
    <row r="900" spans="1:29">
      <c r="A900">
        <v>892</v>
      </c>
      <c r="B900" t="s">
        <v>149</v>
      </c>
      <c r="C900">
        <v>1308</v>
      </c>
      <c r="D900" t="s">
        <v>368</v>
      </c>
      <c r="E900" t="str">
        <f t="shared" si="13"/>
        <v>01308</v>
      </c>
      <c r="F900" t="s">
        <v>49</v>
      </c>
      <c r="G900" t="s">
        <v>167</v>
      </c>
      <c r="H900" t="s">
        <v>151</v>
      </c>
      <c r="I900" t="s">
        <v>5</v>
      </c>
      <c r="J900" t="s">
        <v>152</v>
      </c>
      <c r="K900" t="s">
        <v>153</v>
      </c>
      <c r="L900">
        <v>251200474</v>
      </c>
      <c r="M900" s="84">
        <v>46007</v>
      </c>
      <c r="N900" s="84">
        <v>46007</v>
      </c>
      <c r="O900" t="s">
        <v>191</v>
      </c>
      <c r="P900" t="s">
        <v>192</v>
      </c>
      <c r="Q900">
        <v>4500</v>
      </c>
      <c r="R900">
        <v>210</v>
      </c>
      <c r="S900">
        <v>945000</v>
      </c>
      <c r="T900">
        <v>0</v>
      </c>
      <c r="U900">
        <v>0</v>
      </c>
      <c r="V900">
        <v>210</v>
      </c>
      <c r="W900">
        <v>945000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</row>
    <row r="901" spans="1:29">
      <c r="A901">
        <v>893</v>
      </c>
      <c r="B901" t="s">
        <v>149</v>
      </c>
      <c r="C901">
        <v>337</v>
      </c>
      <c r="D901" t="s">
        <v>57</v>
      </c>
      <c r="E901" t="str">
        <f t="shared" si="13"/>
        <v>00337</v>
      </c>
      <c r="F901" t="s">
        <v>49</v>
      </c>
      <c r="G901" t="s">
        <v>167</v>
      </c>
      <c r="H901" t="s">
        <v>151</v>
      </c>
      <c r="I901" t="s">
        <v>4</v>
      </c>
      <c r="J901" t="s">
        <v>152</v>
      </c>
      <c r="K901" t="s">
        <v>153</v>
      </c>
      <c r="L901">
        <v>251200475</v>
      </c>
      <c r="M901" s="84">
        <v>46007</v>
      </c>
      <c r="N901" s="84">
        <v>46007</v>
      </c>
      <c r="O901" t="s">
        <v>160</v>
      </c>
      <c r="P901" t="s">
        <v>161</v>
      </c>
      <c r="Q901">
        <v>14250</v>
      </c>
      <c r="R901">
        <v>60</v>
      </c>
      <c r="S901">
        <v>855000</v>
      </c>
      <c r="T901">
        <v>0</v>
      </c>
      <c r="U901">
        <v>0</v>
      </c>
      <c r="V901">
        <v>60</v>
      </c>
      <c r="W901">
        <v>855000</v>
      </c>
      <c r="X901">
        <v>9000</v>
      </c>
      <c r="Y901">
        <v>12000</v>
      </c>
      <c r="Z901">
        <v>0</v>
      </c>
      <c r="AA901">
        <v>0</v>
      </c>
      <c r="AB901">
        <v>0</v>
      </c>
      <c r="AC901">
        <v>21000</v>
      </c>
    </row>
    <row r="902" spans="1:29">
      <c r="A902">
        <v>894</v>
      </c>
      <c r="B902" t="s">
        <v>149</v>
      </c>
      <c r="C902">
        <v>337</v>
      </c>
      <c r="D902" t="s">
        <v>57</v>
      </c>
      <c r="E902" t="str">
        <f t="shared" si="13"/>
        <v>00337</v>
      </c>
      <c r="F902" t="s">
        <v>49</v>
      </c>
      <c r="G902" t="s">
        <v>167</v>
      </c>
      <c r="H902" t="s">
        <v>151</v>
      </c>
      <c r="I902" t="s">
        <v>4</v>
      </c>
      <c r="J902" t="s">
        <v>152</v>
      </c>
      <c r="K902" t="s">
        <v>153</v>
      </c>
      <c r="L902">
        <v>251200475</v>
      </c>
      <c r="M902" s="84">
        <v>46007</v>
      </c>
      <c r="N902" s="84">
        <v>46007</v>
      </c>
      <c r="O902" t="s">
        <v>154</v>
      </c>
      <c r="P902" t="s">
        <v>155</v>
      </c>
      <c r="Q902">
        <v>14250</v>
      </c>
      <c r="R902">
        <v>5</v>
      </c>
      <c r="S902">
        <v>71250</v>
      </c>
      <c r="T902">
        <v>0</v>
      </c>
      <c r="U902">
        <v>0</v>
      </c>
      <c r="V902">
        <v>5</v>
      </c>
      <c r="W902">
        <v>71250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</row>
    <row r="903" spans="1:29">
      <c r="A903">
        <v>895</v>
      </c>
      <c r="B903" t="s">
        <v>149</v>
      </c>
      <c r="C903">
        <v>1149</v>
      </c>
      <c r="D903" t="s">
        <v>55</v>
      </c>
      <c r="E903" t="str">
        <f t="shared" si="13"/>
        <v>01149</v>
      </c>
      <c r="F903" t="s">
        <v>49</v>
      </c>
      <c r="G903" t="s">
        <v>167</v>
      </c>
      <c r="H903" t="s">
        <v>151</v>
      </c>
      <c r="I903" t="s">
        <v>4</v>
      </c>
      <c r="J903" t="s">
        <v>152</v>
      </c>
      <c r="K903" t="s">
        <v>153</v>
      </c>
      <c r="L903">
        <v>251200476</v>
      </c>
      <c r="M903" s="84">
        <v>46007</v>
      </c>
      <c r="N903" s="84">
        <v>46007</v>
      </c>
      <c r="O903" t="s">
        <v>160</v>
      </c>
      <c r="P903" t="s">
        <v>161</v>
      </c>
      <c r="Q903">
        <v>14250</v>
      </c>
      <c r="R903">
        <v>10</v>
      </c>
      <c r="S903">
        <v>142500</v>
      </c>
      <c r="T903">
        <v>0</v>
      </c>
      <c r="U903">
        <v>0</v>
      </c>
      <c r="V903">
        <v>10</v>
      </c>
      <c r="W903">
        <v>142500</v>
      </c>
      <c r="X903">
        <v>1500</v>
      </c>
      <c r="Y903">
        <v>2000</v>
      </c>
      <c r="Z903">
        <v>0</v>
      </c>
      <c r="AA903">
        <v>0</v>
      </c>
      <c r="AB903">
        <v>0</v>
      </c>
      <c r="AC903">
        <v>3500</v>
      </c>
    </row>
    <row r="904" spans="1:29">
      <c r="A904">
        <v>896</v>
      </c>
      <c r="B904" t="s">
        <v>149</v>
      </c>
      <c r="C904">
        <v>1149</v>
      </c>
      <c r="D904" t="s">
        <v>55</v>
      </c>
      <c r="E904" t="str">
        <f t="shared" si="13"/>
        <v>01149</v>
      </c>
      <c r="F904" t="s">
        <v>49</v>
      </c>
      <c r="G904" t="s">
        <v>167</v>
      </c>
      <c r="H904" t="s">
        <v>151</v>
      </c>
      <c r="I904" t="s">
        <v>4</v>
      </c>
      <c r="J904" t="s">
        <v>152</v>
      </c>
      <c r="K904" t="s">
        <v>153</v>
      </c>
      <c r="L904">
        <v>251200476</v>
      </c>
      <c r="M904" s="84">
        <v>46007</v>
      </c>
      <c r="N904" s="84">
        <v>46007</v>
      </c>
      <c r="O904" t="s">
        <v>177</v>
      </c>
      <c r="P904" t="s">
        <v>178</v>
      </c>
      <c r="Q904">
        <v>14250</v>
      </c>
      <c r="R904">
        <v>10</v>
      </c>
      <c r="S904">
        <v>142500</v>
      </c>
      <c r="T904">
        <v>0</v>
      </c>
      <c r="U904">
        <v>0</v>
      </c>
      <c r="V904">
        <v>10</v>
      </c>
      <c r="W904">
        <v>142500</v>
      </c>
      <c r="X904">
        <v>1500</v>
      </c>
      <c r="Y904">
        <v>2000</v>
      </c>
      <c r="Z904">
        <v>0</v>
      </c>
      <c r="AA904">
        <v>0</v>
      </c>
      <c r="AB904">
        <v>0</v>
      </c>
      <c r="AC904">
        <v>3500</v>
      </c>
    </row>
    <row r="905" spans="1:29">
      <c r="A905">
        <v>897</v>
      </c>
      <c r="B905" t="s">
        <v>149</v>
      </c>
      <c r="C905">
        <v>1604</v>
      </c>
      <c r="D905" t="s">
        <v>60</v>
      </c>
      <c r="E905" t="str">
        <f t="shared" ref="E905:E968" si="14">TEXT(C905,"00000")</f>
        <v>01604</v>
      </c>
      <c r="F905" t="s">
        <v>49</v>
      </c>
      <c r="G905" t="s">
        <v>167</v>
      </c>
      <c r="H905" t="s">
        <v>151</v>
      </c>
      <c r="I905" t="s">
        <v>238</v>
      </c>
      <c r="J905" t="s">
        <v>152</v>
      </c>
      <c r="K905" t="s">
        <v>153</v>
      </c>
      <c r="L905">
        <v>251200477</v>
      </c>
      <c r="M905" s="84">
        <v>46007</v>
      </c>
      <c r="N905" s="84">
        <v>46007</v>
      </c>
      <c r="O905" t="s">
        <v>247</v>
      </c>
      <c r="P905" t="s">
        <v>116</v>
      </c>
      <c r="Q905">
        <v>10982</v>
      </c>
      <c r="R905">
        <v>2</v>
      </c>
      <c r="S905">
        <v>21964</v>
      </c>
      <c r="T905">
        <v>0</v>
      </c>
      <c r="U905">
        <v>0</v>
      </c>
      <c r="V905">
        <v>2</v>
      </c>
      <c r="W905">
        <v>21964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</row>
    <row r="906" spans="1:29">
      <c r="A906">
        <v>898</v>
      </c>
      <c r="B906" t="s">
        <v>149</v>
      </c>
      <c r="C906">
        <v>1604</v>
      </c>
      <c r="D906" t="s">
        <v>60</v>
      </c>
      <c r="E906" t="str">
        <f t="shared" si="14"/>
        <v>01604</v>
      </c>
      <c r="F906" t="s">
        <v>49</v>
      </c>
      <c r="G906" t="s">
        <v>167</v>
      </c>
      <c r="H906" t="s">
        <v>151</v>
      </c>
      <c r="I906" t="s">
        <v>231</v>
      </c>
      <c r="J906" t="s">
        <v>152</v>
      </c>
      <c r="K906" t="s">
        <v>153</v>
      </c>
      <c r="L906">
        <v>251200477</v>
      </c>
      <c r="M906" s="84">
        <v>46007</v>
      </c>
      <c r="N906" s="84">
        <v>46007</v>
      </c>
      <c r="O906" t="s">
        <v>233</v>
      </c>
      <c r="P906" t="s">
        <v>118</v>
      </c>
      <c r="Q906">
        <v>4486</v>
      </c>
      <c r="R906">
        <v>2</v>
      </c>
      <c r="S906">
        <v>8972</v>
      </c>
      <c r="T906">
        <v>0</v>
      </c>
      <c r="U906">
        <v>0</v>
      </c>
      <c r="V906">
        <v>2</v>
      </c>
      <c r="W906">
        <v>8972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</row>
    <row r="907" spans="1:29">
      <c r="A907">
        <v>899</v>
      </c>
      <c r="B907" t="s">
        <v>149</v>
      </c>
      <c r="C907">
        <v>1604</v>
      </c>
      <c r="D907" t="s">
        <v>60</v>
      </c>
      <c r="E907" t="str">
        <f t="shared" si="14"/>
        <v>01604</v>
      </c>
      <c r="F907" t="s">
        <v>49</v>
      </c>
      <c r="G907" t="s">
        <v>167</v>
      </c>
      <c r="H907" t="s">
        <v>151</v>
      </c>
      <c r="I907" t="s">
        <v>4</v>
      </c>
      <c r="J907" t="s">
        <v>152</v>
      </c>
      <c r="K907" t="s">
        <v>153</v>
      </c>
      <c r="L907">
        <v>251200477</v>
      </c>
      <c r="M907" s="84">
        <v>46007</v>
      </c>
      <c r="N907" s="84">
        <v>46007</v>
      </c>
      <c r="O907" t="s">
        <v>219</v>
      </c>
      <c r="P907" t="s">
        <v>220</v>
      </c>
      <c r="Q907">
        <v>14250</v>
      </c>
      <c r="R907">
        <v>5</v>
      </c>
      <c r="S907">
        <v>71250</v>
      </c>
      <c r="T907">
        <v>0</v>
      </c>
      <c r="U907">
        <v>0</v>
      </c>
      <c r="V907">
        <v>5</v>
      </c>
      <c r="W907">
        <v>71250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</row>
    <row r="908" spans="1:29">
      <c r="A908">
        <v>900</v>
      </c>
      <c r="B908" t="s">
        <v>149</v>
      </c>
      <c r="C908">
        <v>1313</v>
      </c>
      <c r="D908" t="s">
        <v>396</v>
      </c>
      <c r="E908" t="str">
        <f t="shared" si="14"/>
        <v>01313</v>
      </c>
      <c r="F908" t="s">
        <v>20</v>
      </c>
      <c r="G908" t="s">
        <v>193</v>
      </c>
      <c r="H908" t="s">
        <v>151</v>
      </c>
      <c r="I908" t="s">
        <v>4</v>
      </c>
      <c r="J908" t="s">
        <v>152</v>
      </c>
      <c r="K908" t="s">
        <v>236</v>
      </c>
      <c r="L908">
        <v>251200478</v>
      </c>
      <c r="M908" s="84">
        <v>46007</v>
      </c>
      <c r="N908" s="84">
        <v>46007</v>
      </c>
      <c r="O908" t="s">
        <v>168</v>
      </c>
      <c r="P908" t="s">
        <v>169</v>
      </c>
      <c r="Q908">
        <v>5500</v>
      </c>
      <c r="R908">
        <v>7</v>
      </c>
      <c r="S908">
        <v>38500</v>
      </c>
      <c r="T908">
        <v>0</v>
      </c>
      <c r="U908">
        <v>0</v>
      </c>
      <c r="V908">
        <v>7</v>
      </c>
      <c r="W908">
        <v>38500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</row>
    <row r="909" spans="1:29">
      <c r="A909">
        <v>901</v>
      </c>
      <c r="B909" t="s">
        <v>149</v>
      </c>
      <c r="C909">
        <v>1313</v>
      </c>
      <c r="D909" t="s">
        <v>396</v>
      </c>
      <c r="E909" t="str">
        <f t="shared" si="14"/>
        <v>01313</v>
      </c>
      <c r="F909" t="s">
        <v>20</v>
      </c>
      <c r="G909" t="s">
        <v>193</v>
      </c>
      <c r="H909" t="s">
        <v>151</v>
      </c>
      <c r="I909" t="s">
        <v>4</v>
      </c>
      <c r="J909" t="s">
        <v>152</v>
      </c>
      <c r="K909" t="s">
        <v>236</v>
      </c>
      <c r="L909">
        <v>251200478</v>
      </c>
      <c r="M909" s="84">
        <v>46007</v>
      </c>
      <c r="N909" s="84">
        <v>46007</v>
      </c>
      <c r="O909" t="s">
        <v>219</v>
      </c>
      <c r="P909" t="s">
        <v>220</v>
      </c>
      <c r="Q909">
        <v>5500</v>
      </c>
      <c r="R909">
        <v>30</v>
      </c>
      <c r="S909">
        <v>165000</v>
      </c>
      <c r="T909">
        <v>0</v>
      </c>
      <c r="U909">
        <v>0</v>
      </c>
      <c r="V909">
        <v>30</v>
      </c>
      <c r="W909">
        <v>165000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</row>
    <row r="910" spans="1:29">
      <c r="A910">
        <v>902</v>
      </c>
      <c r="B910" t="s">
        <v>149</v>
      </c>
      <c r="C910">
        <v>1385</v>
      </c>
      <c r="D910" t="s">
        <v>27</v>
      </c>
      <c r="E910" t="str">
        <f t="shared" si="14"/>
        <v>01385</v>
      </c>
      <c r="F910" t="s">
        <v>20</v>
      </c>
      <c r="G910" t="s">
        <v>193</v>
      </c>
      <c r="H910" t="s">
        <v>151</v>
      </c>
      <c r="I910" t="s">
        <v>4</v>
      </c>
      <c r="J910" t="s">
        <v>152</v>
      </c>
      <c r="K910" t="s">
        <v>236</v>
      </c>
      <c r="L910">
        <v>251200479</v>
      </c>
      <c r="M910" s="84">
        <v>46007</v>
      </c>
      <c r="N910" s="84">
        <v>46007</v>
      </c>
      <c r="O910" t="s">
        <v>179</v>
      </c>
      <c r="P910" t="s">
        <v>180</v>
      </c>
      <c r="Q910">
        <v>14250</v>
      </c>
      <c r="R910">
        <v>5</v>
      </c>
      <c r="S910">
        <v>71250</v>
      </c>
      <c r="T910">
        <v>0</v>
      </c>
      <c r="U910">
        <v>0</v>
      </c>
      <c r="V910">
        <v>5</v>
      </c>
      <c r="W910">
        <v>71250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</row>
    <row r="911" spans="1:29">
      <c r="A911">
        <v>903</v>
      </c>
      <c r="B911" t="s">
        <v>149</v>
      </c>
      <c r="C911">
        <v>1385</v>
      </c>
      <c r="D911" t="s">
        <v>27</v>
      </c>
      <c r="E911" t="str">
        <f t="shared" si="14"/>
        <v>01385</v>
      </c>
      <c r="F911" t="s">
        <v>20</v>
      </c>
      <c r="G911" t="s">
        <v>193</v>
      </c>
      <c r="H911" t="s">
        <v>151</v>
      </c>
      <c r="I911" t="s">
        <v>4</v>
      </c>
      <c r="J911" t="s">
        <v>152</v>
      </c>
      <c r="K911" t="s">
        <v>236</v>
      </c>
      <c r="L911">
        <v>251200479</v>
      </c>
      <c r="M911" s="84">
        <v>46007</v>
      </c>
      <c r="N911" s="84">
        <v>46007</v>
      </c>
      <c r="O911" t="s">
        <v>168</v>
      </c>
      <c r="P911" t="s">
        <v>169</v>
      </c>
      <c r="Q911">
        <v>14250</v>
      </c>
      <c r="R911">
        <v>8</v>
      </c>
      <c r="S911">
        <v>114000</v>
      </c>
      <c r="T911">
        <v>0</v>
      </c>
      <c r="U911">
        <v>0</v>
      </c>
      <c r="V911">
        <v>8</v>
      </c>
      <c r="W911">
        <v>114000</v>
      </c>
      <c r="X911">
        <v>1200</v>
      </c>
      <c r="Y911">
        <v>1600</v>
      </c>
      <c r="Z911">
        <v>0</v>
      </c>
      <c r="AA911">
        <v>0</v>
      </c>
      <c r="AB911">
        <v>0</v>
      </c>
      <c r="AC911">
        <v>2800</v>
      </c>
    </row>
    <row r="912" spans="1:29">
      <c r="A912">
        <v>904</v>
      </c>
      <c r="B912" t="s">
        <v>149</v>
      </c>
      <c r="C912">
        <v>471</v>
      </c>
      <c r="D912" t="s">
        <v>25</v>
      </c>
      <c r="E912" t="str">
        <f t="shared" si="14"/>
        <v>00471</v>
      </c>
      <c r="F912" t="s">
        <v>20</v>
      </c>
      <c r="G912" t="s">
        <v>193</v>
      </c>
      <c r="H912" t="s">
        <v>151</v>
      </c>
      <c r="I912" t="s">
        <v>5</v>
      </c>
      <c r="J912" t="s">
        <v>152</v>
      </c>
      <c r="K912" t="s">
        <v>236</v>
      </c>
      <c r="L912">
        <v>251200480</v>
      </c>
      <c r="M912" s="84">
        <v>46007</v>
      </c>
      <c r="N912" s="84">
        <v>46007</v>
      </c>
      <c r="O912" t="s">
        <v>191</v>
      </c>
      <c r="P912" t="s">
        <v>192</v>
      </c>
      <c r="Q912">
        <v>11700</v>
      </c>
      <c r="R912">
        <v>12</v>
      </c>
      <c r="S912">
        <v>140400</v>
      </c>
      <c r="T912">
        <v>0</v>
      </c>
      <c r="U912">
        <v>0</v>
      </c>
      <c r="V912">
        <v>12</v>
      </c>
      <c r="W912">
        <v>140400</v>
      </c>
      <c r="X912">
        <v>1800</v>
      </c>
      <c r="Y912">
        <v>1800</v>
      </c>
      <c r="Z912">
        <v>0</v>
      </c>
      <c r="AA912">
        <v>0</v>
      </c>
      <c r="AB912">
        <v>0</v>
      </c>
      <c r="AC912">
        <v>3600</v>
      </c>
    </row>
    <row r="913" spans="1:29">
      <c r="A913">
        <v>905</v>
      </c>
      <c r="B913" t="s">
        <v>149</v>
      </c>
      <c r="C913">
        <v>471</v>
      </c>
      <c r="D913" t="s">
        <v>25</v>
      </c>
      <c r="E913" t="str">
        <f t="shared" si="14"/>
        <v>00471</v>
      </c>
      <c r="F913" t="s">
        <v>20</v>
      </c>
      <c r="G913" t="s">
        <v>193</v>
      </c>
      <c r="H913" t="s">
        <v>151</v>
      </c>
      <c r="I913" t="s">
        <v>4</v>
      </c>
      <c r="J913" t="s">
        <v>152</v>
      </c>
      <c r="K913" t="s">
        <v>236</v>
      </c>
      <c r="L913">
        <v>251200480</v>
      </c>
      <c r="M913" s="84">
        <v>46007</v>
      </c>
      <c r="N913" s="84">
        <v>46007</v>
      </c>
      <c r="O913" t="s">
        <v>160</v>
      </c>
      <c r="P913" t="s">
        <v>161</v>
      </c>
      <c r="Q913">
        <v>14250</v>
      </c>
      <c r="R913">
        <v>15</v>
      </c>
      <c r="S913">
        <v>213750</v>
      </c>
      <c r="T913">
        <v>0</v>
      </c>
      <c r="U913">
        <v>0</v>
      </c>
      <c r="V913">
        <v>15</v>
      </c>
      <c r="W913">
        <v>213750</v>
      </c>
      <c r="X913">
        <v>2250</v>
      </c>
      <c r="Y913">
        <v>3000</v>
      </c>
      <c r="Z913">
        <v>0</v>
      </c>
      <c r="AA913">
        <v>0</v>
      </c>
      <c r="AB913">
        <v>0</v>
      </c>
      <c r="AC913">
        <v>5250</v>
      </c>
    </row>
    <row r="914" spans="1:29">
      <c r="A914">
        <v>906</v>
      </c>
      <c r="B914" t="s">
        <v>149</v>
      </c>
      <c r="C914">
        <v>1581</v>
      </c>
      <c r="D914" t="s">
        <v>96</v>
      </c>
      <c r="E914" t="str">
        <f t="shared" si="14"/>
        <v>01581</v>
      </c>
      <c r="F914" t="s">
        <v>95</v>
      </c>
      <c r="G914" t="s">
        <v>187</v>
      </c>
      <c r="H914" t="s">
        <v>188</v>
      </c>
      <c r="I914" t="s">
        <v>5</v>
      </c>
      <c r="J914" t="s">
        <v>152</v>
      </c>
      <c r="K914" t="s">
        <v>159</v>
      </c>
      <c r="L914">
        <v>251200481</v>
      </c>
      <c r="M914" s="84">
        <v>46007</v>
      </c>
      <c r="N914" s="84">
        <v>46007</v>
      </c>
      <c r="O914" t="s">
        <v>198</v>
      </c>
      <c r="P914" t="s">
        <v>199</v>
      </c>
      <c r="Q914">
        <v>10800</v>
      </c>
      <c r="R914">
        <v>12</v>
      </c>
      <c r="S914">
        <v>129600</v>
      </c>
      <c r="T914">
        <v>0</v>
      </c>
      <c r="U914">
        <v>0</v>
      </c>
      <c r="V914">
        <v>12</v>
      </c>
      <c r="W914">
        <v>129600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</row>
    <row r="915" spans="1:29">
      <c r="A915">
        <v>907</v>
      </c>
      <c r="B915" t="s">
        <v>149</v>
      </c>
      <c r="C915">
        <v>1108</v>
      </c>
      <c r="D915" t="s">
        <v>107</v>
      </c>
      <c r="E915" t="str">
        <f t="shared" si="14"/>
        <v>01108</v>
      </c>
      <c r="F915" t="s">
        <v>103</v>
      </c>
      <c r="G915" t="s">
        <v>167</v>
      </c>
      <c r="H915" t="s">
        <v>151</v>
      </c>
      <c r="I915" t="s">
        <v>4</v>
      </c>
      <c r="J915" t="s">
        <v>152</v>
      </c>
      <c r="K915" t="s">
        <v>153</v>
      </c>
      <c r="L915">
        <v>251200482</v>
      </c>
      <c r="M915" s="84">
        <v>46007</v>
      </c>
      <c r="N915" s="84">
        <v>46007</v>
      </c>
      <c r="O915" t="s">
        <v>160</v>
      </c>
      <c r="P915" t="s">
        <v>161</v>
      </c>
      <c r="Q915">
        <v>14250</v>
      </c>
      <c r="R915">
        <v>20</v>
      </c>
      <c r="S915">
        <v>285000</v>
      </c>
      <c r="T915">
        <v>0</v>
      </c>
      <c r="U915">
        <v>0</v>
      </c>
      <c r="V915">
        <v>20</v>
      </c>
      <c r="W915">
        <v>285000</v>
      </c>
      <c r="X915">
        <v>3000</v>
      </c>
      <c r="Y915">
        <v>4000</v>
      </c>
      <c r="Z915">
        <v>0</v>
      </c>
      <c r="AA915">
        <v>0</v>
      </c>
      <c r="AB915">
        <v>0</v>
      </c>
      <c r="AC915">
        <v>7000</v>
      </c>
    </row>
    <row r="916" spans="1:29">
      <c r="A916">
        <v>908</v>
      </c>
      <c r="B916" t="s">
        <v>149</v>
      </c>
      <c r="C916">
        <v>387</v>
      </c>
      <c r="D916" t="s">
        <v>109</v>
      </c>
      <c r="E916" t="str">
        <f t="shared" si="14"/>
        <v>00387</v>
      </c>
      <c r="F916" t="s">
        <v>103</v>
      </c>
      <c r="G916" t="s">
        <v>167</v>
      </c>
      <c r="H916" t="s">
        <v>151</v>
      </c>
      <c r="I916" t="s">
        <v>4</v>
      </c>
      <c r="J916" t="s">
        <v>152</v>
      </c>
      <c r="K916" t="s">
        <v>153</v>
      </c>
      <c r="L916">
        <v>251200483</v>
      </c>
      <c r="M916" s="84">
        <v>46007</v>
      </c>
      <c r="N916" s="84">
        <v>46007</v>
      </c>
      <c r="O916" t="s">
        <v>215</v>
      </c>
      <c r="P916" t="s">
        <v>216</v>
      </c>
      <c r="Q916">
        <v>14250</v>
      </c>
      <c r="R916">
        <v>15</v>
      </c>
      <c r="S916">
        <v>213750</v>
      </c>
      <c r="T916">
        <v>0</v>
      </c>
      <c r="U916">
        <v>0</v>
      </c>
      <c r="V916">
        <v>15</v>
      </c>
      <c r="W916">
        <v>213750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</row>
    <row r="917" spans="1:29">
      <c r="A917">
        <v>909</v>
      </c>
      <c r="B917" t="s">
        <v>149</v>
      </c>
      <c r="C917">
        <v>1550</v>
      </c>
      <c r="D917" t="s">
        <v>337</v>
      </c>
      <c r="E917" t="str">
        <f t="shared" si="14"/>
        <v>01550</v>
      </c>
      <c r="F917" t="s">
        <v>15</v>
      </c>
      <c r="G917" t="s">
        <v>193</v>
      </c>
      <c r="H917" t="s">
        <v>151</v>
      </c>
      <c r="I917" t="s">
        <v>5</v>
      </c>
      <c r="J917" t="s">
        <v>152</v>
      </c>
      <c r="K917" t="s">
        <v>153</v>
      </c>
      <c r="L917">
        <v>251200484</v>
      </c>
      <c r="M917" s="84">
        <v>46007</v>
      </c>
      <c r="N917" s="84">
        <v>46007</v>
      </c>
      <c r="O917" t="s">
        <v>191</v>
      </c>
      <c r="P917" t="s">
        <v>192</v>
      </c>
      <c r="Q917">
        <v>4500</v>
      </c>
      <c r="R917">
        <v>24</v>
      </c>
      <c r="S917">
        <v>108000</v>
      </c>
      <c r="T917">
        <v>0</v>
      </c>
      <c r="U917">
        <v>0</v>
      </c>
      <c r="V917">
        <v>24</v>
      </c>
      <c r="W917">
        <v>108000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</row>
    <row r="918" spans="1:29">
      <c r="A918">
        <v>910</v>
      </c>
      <c r="B918" t="s">
        <v>149</v>
      </c>
      <c r="C918">
        <v>1550</v>
      </c>
      <c r="D918" t="s">
        <v>337</v>
      </c>
      <c r="E918" t="str">
        <f t="shared" si="14"/>
        <v>01550</v>
      </c>
      <c r="F918" t="s">
        <v>15</v>
      </c>
      <c r="G918" t="s">
        <v>193</v>
      </c>
      <c r="H918" t="s">
        <v>151</v>
      </c>
      <c r="I918" t="s">
        <v>5</v>
      </c>
      <c r="J918" t="s">
        <v>152</v>
      </c>
      <c r="K918" t="s">
        <v>153</v>
      </c>
      <c r="L918">
        <v>251200484</v>
      </c>
      <c r="M918" s="84">
        <v>46007</v>
      </c>
      <c r="N918" s="84">
        <v>46007</v>
      </c>
      <c r="O918" t="s">
        <v>253</v>
      </c>
      <c r="P918" t="s">
        <v>254</v>
      </c>
      <c r="Q918">
        <v>4500</v>
      </c>
      <c r="R918">
        <v>8</v>
      </c>
      <c r="S918">
        <v>36000</v>
      </c>
      <c r="T918">
        <v>0</v>
      </c>
      <c r="U918">
        <v>0</v>
      </c>
      <c r="V918">
        <v>8</v>
      </c>
      <c r="W918">
        <v>36000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</row>
    <row r="919" spans="1:29">
      <c r="A919">
        <v>911</v>
      </c>
      <c r="B919" t="s">
        <v>149</v>
      </c>
      <c r="C919">
        <v>1550</v>
      </c>
      <c r="D919" t="s">
        <v>337</v>
      </c>
      <c r="E919" t="str">
        <f t="shared" si="14"/>
        <v>01550</v>
      </c>
      <c r="F919" t="s">
        <v>15</v>
      </c>
      <c r="G919" t="s">
        <v>193</v>
      </c>
      <c r="H919" t="s">
        <v>151</v>
      </c>
      <c r="I919" t="s">
        <v>5</v>
      </c>
      <c r="J919" t="s">
        <v>152</v>
      </c>
      <c r="K919" t="s">
        <v>153</v>
      </c>
      <c r="L919">
        <v>251200484</v>
      </c>
      <c r="M919" s="84">
        <v>46007</v>
      </c>
      <c r="N919" s="84">
        <v>46007</v>
      </c>
      <c r="O919" t="s">
        <v>260</v>
      </c>
      <c r="P919" t="s">
        <v>261</v>
      </c>
      <c r="Q919">
        <v>4500</v>
      </c>
      <c r="R919">
        <v>8</v>
      </c>
      <c r="S919">
        <v>36000</v>
      </c>
      <c r="T919">
        <v>0</v>
      </c>
      <c r="U919">
        <v>0</v>
      </c>
      <c r="V919">
        <v>8</v>
      </c>
      <c r="W919">
        <v>36000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</row>
    <row r="920" spans="1:29">
      <c r="A920">
        <v>912</v>
      </c>
      <c r="B920" t="s">
        <v>149</v>
      </c>
      <c r="C920">
        <v>1326</v>
      </c>
      <c r="D920" t="s">
        <v>338</v>
      </c>
      <c r="E920" t="str">
        <f t="shared" si="14"/>
        <v>01326</v>
      </c>
      <c r="F920" t="s">
        <v>15</v>
      </c>
      <c r="G920" t="s">
        <v>193</v>
      </c>
      <c r="H920" t="s">
        <v>151</v>
      </c>
      <c r="I920" t="s">
        <v>5</v>
      </c>
      <c r="J920" t="s">
        <v>152</v>
      </c>
      <c r="K920" t="s">
        <v>153</v>
      </c>
      <c r="L920">
        <v>251200485</v>
      </c>
      <c r="M920" s="84">
        <v>46007</v>
      </c>
      <c r="N920" s="84">
        <v>46007</v>
      </c>
      <c r="O920" t="s">
        <v>191</v>
      </c>
      <c r="P920" t="s">
        <v>192</v>
      </c>
      <c r="Q920">
        <v>4500</v>
      </c>
      <c r="R920">
        <v>48</v>
      </c>
      <c r="S920">
        <v>216000</v>
      </c>
      <c r="T920">
        <v>0</v>
      </c>
      <c r="U920">
        <v>0</v>
      </c>
      <c r="V920">
        <v>48</v>
      </c>
      <c r="W920">
        <v>216000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</row>
    <row r="921" spans="1:29">
      <c r="A921">
        <v>913</v>
      </c>
      <c r="B921" t="s">
        <v>149</v>
      </c>
      <c r="C921">
        <v>1326</v>
      </c>
      <c r="D921" t="s">
        <v>338</v>
      </c>
      <c r="E921" t="str">
        <f t="shared" si="14"/>
        <v>01326</v>
      </c>
      <c r="F921" t="s">
        <v>15</v>
      </c>
      <c r="G921" t="s">
        <v>193</v>
      </c>
      <c r="H921" t="s">
        <v>151</v>
      </c>
      <c r="I921" t="s">
        <v>5</v>
      </c>
      <c r="J921" t="s">
        <v>152</v>
      </c>
      <c r="K921" t="s">
        <v>153</v>
      </c>
      <c r="L921">
        <v>251200485</v>
      </c>
      <c r="M921" s="84">
        <v>46007</v>
      </c>
      <c r="N921" s="84">
        <v>46007</v>
      </c>
      <c r="O921" t="s">
        <v>339</v>
      </c>
      <c r="P921" t="s">
        <v>340</v>
      </c>
      <c r="Q921">
        <v>4500</v>
      </c>
      <c r="R921">
        <v>12</v>
      </c>
      <c r="S921">
        <v>54000</v>
      </c>
      <c r="T921">
        <v>0</v>
      </c>
      <c r="U921">
        <v>0</v>
      </c>
      <c r="V921">
        <v>12</v>
      </c>
      <c r="W921">
        <v>54000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</row>
    <row r="922" spans="1:29">
      <c r="A922">
        <v>914</v>
      </c>
      <c r="B922" t="s">
        <v>149</v>
      </c>
      <c r="C922">
        <v>1326</v>
      </c>
      <c r="D922" t="s">
        <v>338</v>
      </c>
      <c r="E922" t="str">
        <f t="shared" si="14"/>
        <v>01326</v>
      </c>
      <c r="F922" t="s">
        <v>15</v>
      </c>
      <c r="G922" t="s">
        <v>193</v>
      </c>
      <c r="H922" t="s">
        <v>151</v>
      </c>
      <c r="I922" t="s">
        <v>5</v>
      </c>
      <c r="J922" t="s">
        <v>152</v>
      </c>
      <c r="K922" t="s">
        <v>153</v>
      </c>
      <c r="L922">
        <v>251200485</v>
      </c>
      <c r="M922" s="84">
        <v>46007</v>
      </c>
      <c r="N922" s="84">
        <v>46007</v>
      </c>
      <c r="O922" t="s">
        <v>260</v>
      </c>
      <c r="P922" t="s">
        <v>261</v>
      </c>
      <c r="Q922">
        <v>4500</v>
      </c>
      <c r="R922">
        <v>4</v>
      </c>
      <c r="S922">
        <v>18000</v>
      </c>
      <c r="T922">
        <v>0</v>
      </c>
      <c r="U922">
        <v>0</v>
      </c>
      <c r="V922">
        <v>4</v>
      </c>
      <c r="W922">
        <v>18000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</row>
    <row r="923" spans="1:29">
      <c r="A923">
        <v>915</v>
      </c>
      <c r="B923" t="s">
        <v>149</v>
      </c>
      <c r="C923">
        <v>1326</v>
      </c>
      <c r="D923" t="s">
        <v>338</v>
      </c>
      <c r="E923" t="str">
        <f t="shared" si="14"/>
        <v>01326</v>
      </c>
      <c r="F923" t="s">
        <v>15</v>
      </c>
      <c r="G923" t="s">
        <v>193</v>
      </c>
      <c r="H923" t="s">
        <v>151</v>
      </c>
      <c r="I923" t="s">
        <v>4</v>
      </c>
      <c r="J923" t="s">
        <v>152</v>
      </c>
      <c r="K923" t="s">
        <v>153</v>
      </c>
      <c r="L923">
        <v>251200485</v>
      </c>
      <c r="M923" s="84">
        <v>46007</v>
      </c>
      <c r="N923" s="84">
        <v>46007</v>
      </c>
      <c r="O923" t="s">
        <v>160</v>
      </c>
      <c r="P923" t="s">
        <v>161</v>
      </c>
      <c r="Q923">
        <v>5500</v>
      </c>
      <c r="R923">
        <v>20</v>
      </c>
      <c r="S923">
        <v>110000</v>
      </c>
      <c r="T923">
        <v>0</v>
      </c>
      <c r="U923">
        <v>0</v>
      </c>
      <c r="V923">
        <v>20</v>
      </c>
      <c r="W923">
        <v>110000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</row>
    <row r="924" spans="1:29">
      <c r="A924">
        <v>916</v>
      </c>
      <c r="B924" t="s">
        <v>149</v>
      </c>
      <c r="C924">
        <v>1550</v>
      </c>
      <c r="D924" t="s">
        <v>337</v>
      </c>
      <c r="E924" t="str">
        <f t="shared" si="14"/>
        <v>01550</v>
      </c>
      <c r="F924" t="s">
        <v>15</v>
      </c>
      <c r="G924" t="s">
        <v>193</v>
      </c>
      <c r="H924" t="s">
        <v>151</v>
      </c>
      <c r="I924" t="s">
        <v>5</v>
      </c>
      <c r="J924" t="s">
        <v>152</v>
      </c>
      <c r="K924" t="s">
        <v>153</v>
      </c>
      <c r="L924">
        <v>251200486</v>
      </c>
      <c r="M924" s="84">
        <v>46007</v>
      </c>
      <c r="N924" s="84">
        <v>46007</v>
      </c>
      <c r="O924" t="s">
        <v>191</v>
      </c>
      <c r="P924" t="s">
        <v>192</v>
      </c>
      <c r="Q924">
        <v>4500</v>
      </c>
      <c r="R924">
        <v>16</v>
      </c>
      <c r="S924">
        <v>72000</v>
      </c>
      <c r="T924">
        <v>0</v>
      </c>
      <c r="U924">
        <v>0</v>
      </c>
      <c r="V924">
        <v>16</v>
      </c>
      <c r="W924">
        <v>72000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</row>
    <row r="925" spans="1:29">
      <c r="A925">
        <v>917</v>
      </c>
      <c r="B925" t="s">
        <v>149</v>
      </c>
      <c r="C925">
        <v>1594</v>
      </c>
      <c r="D925" t="s">
        <v>346</v>
      </c>
      <c r="E925" t="str">
        <f t="shared" si="14"/>
        <v>01594</v>
      </c>
      <c r="F925" t="s">
        <v>73</v>
      </c>
      <c r="G925" t="s">
        <v>185</v>
      </c>
      <c r="H925" t="s">
        <v>151</v>
      </c>
      <c r="I925" t="s">
        <v>4</v>
      </c>
      <c r="J925" t="s">
        <v>152</v>
      </c>
      <c r="K925" t="s">
        <v>153</v>
      </c>
      <c r="L925">
        <v>251200487</v>
      </c>
      <c r="M925" s="84">
        <v>46007</v>
      </c>
      <c r="N925" s="84">
        <v>46007</v>
      </c>
      <c r="O925" t="s">
        <v>215</v>
      </c>
      <c r="P925" t="s">
        <v>216</v>
      </c>
      <c r="Q925">
        <v>5500</v>
      </c>
      <c r="R925">
        <v>5</v>
      </c>
      <c r="S925">
        <v>27500</v>
      </c>
      <c r="T925">
        <v>0</v>
      </c>
      <c r="U925">
        <v>0</v>
      </c>
      <c r="V925">
        <v>5</v>
      </c>
      <c r="W925">
        <v>27500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</row>
    <row r="926" spans="1:29">
      <c r="A926">
        <v>918</v>
      </c>
      <c r="B926" t="s">
        <v>149</v>
      </c>
      <c r="C926">
        <v>1522</v>
      </c>
      <c r="D926" t="s">
        <v>370</v>
      </c>
      <c r="E926" t="str">
        <f t="shared" si="14"/>
        <v>01522</v>
      </c>
      <c r="F926" t="s">
        <v>73</v>
      </c>
      <c r="G926" t="s">
        <v>185</v>
      </c>
      <c r="H926" t="s">
        <v>151</v>
      </c>
      <c r="I926" t="s">
        <v>4</v>
      </c>
      <c r="J926" t="s">
        <v>152</v>
      </c>
      <c r="K926" t="s">
        <v>153</v>
      </c>
      <c r="L926">
        <v>251200488</v>
      </c>
      <c r="M926" s="84">
        <v>46007</v>
      </c>
      <c r="N926" s="84">
        <v>46007</v>
      </c>
      <c r="O926" t="s">
        <v>168</v>
      </c>
      <c r="P926" t="s">
        <v>169</v>
      </c>
      <c r="Q926">
        <v>5500</v>
      </c>
      <c r="R926">
        <v>10</v>
      </c>
      <c r="S926">
        <v>55000</v>
      </c>
      <c r="T926">
        <v>0</v>
      </c>
      <c r="U926">
        <v>0</v>
      </c>
      <c r="V926">
        <v>10</v>
      </c>
      <c r="W926">
        <v>55000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</row>
    <row r="927" spans="1:29">
      <c r="A927">
        <v>919</v>
      </c>
      <c r="B927" t="s">
        <v>149</v>
      </c>
      <c r="C927">
        <v>1522</v>
      </c>
      <c r="D927" t="s">
        <v>370</v>
      </c>
      <c r="E927" t="str">
        <f t="shared" si="14"/>
        <v>01522</v>
      </c>
      <c r="F927" t="s">
        <v>73</v>
      </c>
      <c r="G927" t="s">
        <v>185</v>
      </c>
      <c r="H927" t="s">
        <v>151</v>
      </c>
      <c r="I927" t="s">
        <v>4</v>
      </c>
      <c r="J927" t="s">
        <v>152</v>
      </c>
      <c r="K927" t="s">
        <v>153</v>
      </c>
      <c r="L927">
        <v>251200488</v>
      </c>
      <c r="M927" s="84">
        <v>46007</v>
      </c>
      <c r="N927" s="84">
        <v>46007</v>
      </c>
      <c r="O927" t="s">
        <v>154</v>
      </c>
      <c r="P927" t="s">
        <v>155</v>
      </c>
      <c r="Q927">
        <v>5500</v>
      </c>
      <c r="R927">
        <v>10</v>
      </c>
      <c r="S927">
        <v>55000</v>
      </c>
      <c r="T927">
        <v>0</v>
      </c>
      <c r="U927">
        <v>0</v>
      </c>
      <c r="V927">
        <v>10</v>
      </c>
      <c r="W927">
        <v>55000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</row>
    <row r="928" spans="1:29">
      <c r="A928">
        <v>920</v>
      </c>
      <c r="B928" t="s">
        <v>149</v>
      </c>
      <c r="C928">
        <v>373</v>
      </c>
      <c r="D928" t="s">
        <v>33</v>
      </c>
      <c r="E928" t="str">
        <f t="shared" si="14"/>
        <v>00373</v>
      </c>
      <c r="F928" t="s">
        <v>28</v>
      </c>
      <c r="G928" t="s">
        <v>164</v>
      </c>
      <c r="H928" t="s">
        <v>151</v>
      </c>
      <c r="I928" t="s">
        <v>4</v>
      </c>
      <c r="J928" t="s">
        <v>152</v>
      </c>
      <c r="K928" t="s">
        <v>153</v>
      </c>
      <c r="L928">
        <v>251200489</v>
      </c>
      <c r="M928" s="84">
        <v>46007</v>
      </c>
      <c r="N928" s="84">
        <v>46007</v>
      </c>
      <c r="O928" t="s">
        <v>160</v>
      </c>
      <c r="P928" t="s">
        <v>161</v>
      </c>
      <c r="Q928">
        <v>14250</v>
      </c>
      <c r="R928">
        <v>24</v>
      </c>
      <c r="S928">
        <v>342000</v>
      </c>
      <c r="T928">
        <v>0</v>
      </c>
      <c r="U928">
        <v>0</v>
      </c>
      <c r="V928">
        <v>24</v>
      </c>
      <c r="W928">
        <v>342000</v>
      </c>
      <c r="X928">
        <v>3600</v>
      </c>
      <c r="Y928">
        <v>4800</v>
      </c>
      <c r="Z928">
        <v>0</v>
      </c>
      <c r="AA928">
        <v>0</v>
      </c>
      <c r="AB928">
        <v>0</v>
      </c>
      <c r="AC928">
        <v>8400</v>
      </c>
    </row>
    <row r="929" spans="1:29">
      <c r="A929">
        <v>921</v>
      </c>
      <c r="B929" t="s">
        <v>149</v>
      </c>
      <c r="C929">
        <v>1401</v>
      </c>
      <c r="D929" t="s">
        <v>29</v>
      </c>
      <c r="E929" t="str">
        <f t="shared" si="14"/>
        <v>01401</v>
      </c>
      <c r="F929" t="s">
        <v>28</v>
      </c>
      <c r="G929" t="s">
        <v>164</v>
      </c>
      <c r="H929" t="s">
        <v>151</v>
      </c>
      <c r="I929" t="s">
        <v>4</v>
      </c>
      <c r="J929" t="s">
        <v>152</v>
      </c>
      <c r="K929" t="s">
        <v>153</v>
      </c>
      <c r="L929">
        <v>251200490</v>
      </c>
      <c r="M929" s="84">
        <v>46007</v>
      </c>
      <c r="N929" s="84">
        <v>46007</v>
      </c>
      <c r="O929" t="s">
        <v>267</v>
      </c>
      <c r="P929" t="s">
        <v>268</v>
      </c>
      <c r="Q929">
        <v>14250</v>
      </c>
      <c r="R929">
        <v>20</v>
      </c>
      <c r="S929">
        <v>285000</v>
      </c>
      <c r="T929">
        <v>0</v>
      </c>
      <c r="U929">
        <v>0</v>
      </c>
      <c r="V929">
        <v>20</v>
      </c>
      <c r="W929">
        <v>285000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</row>
    <row r="930" spans="1:29">
      <c r="A930">
        <v>922</v>
      </c>
      <c r="B930" t="s">
        <v>149</v>
      </c>
      <c r="C930">
        <v>1468</v>
      </c>
      <c r="D930" t="s">
        <v>342</v>
      </c>
      <c r="E930" t="str">
        <f t="shared" si="14"/>
        <v>01468</v>
      </c>
      <c r="F930" t="s">
        <v>7</v>
      </c>
      <c r="G930" t="s">
        <v>156</v>
      </c>
      <c r="H930" t="s">
        <v>157</v>
      </c>
      <c r="I930" t="s">
        <v>4</v>
      </c>
      <c r="J930" t="s">
        <v>152</v>
      </c>
      <c r="K930" t="s">
        <v>159</v>
      </c>
      <c r="L930">
        <v>251200491</v>
      </c>
      <c r="M930" s="84">
        <v>46007</v>
      </c>
      <c r="N930" s="84">
        <v>46007</v>
      </c>
      <c r="O930" t="s">
        <v>160</v>
      </c>
      <c r="P930" t="s">
        <v>161</v>
      </c>
      <c r="Q930">
        <v>5500</v>
      </c>
      <c r="R930">
        <v>60</v>
      </c>
      <c r="S930">
        <v>330000</v>
      </c>
      <c r="T930">
        <v>0</v>
      </c>
      <c r="U930">
        <v>0</v>
      </c>
      <c r="V930">
        <v>60</v>
      </c>
      <c r="W930">
        <v>330000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</row>
    <row r="931" spans="1:29">
      <c r="A931">
        <v>923</v>
      </c>
      <c r="B931" t="s">
        <v>149</v>
      </c>
      <c r="C931">
        <v>1537</v>
      </c>
      <c r="D931" t="s">
        <v>395</v>
      </c>
      <c r="E931" t="str">
        <f t="shared" si="14"/>
        <v>01537</v>
      </c>
      <c r="F931" t="s">
        <v>91</v>
      </c>
      <c r="G931" t="s">
        <v>202</v>
      </c>
      <c r="H931" t="s">
        <v>157</v>
      </c>
      <c r="I931" t="s">
        <v>4</v>
      </c>
      <c r="J931" t="s">
        <v>152</v>
      </c>
      <c r="K931" t="s">
        <v>159</v>
      </c>
      <c r="L931">
        <v>251200492</v>
      </c>
      <c r="M931" s="84">
        <v>46007</v>
      </c>
      <c r="N931" s="84">
        <v>46007</v>
      </c>
      <c r="O931" t="s">
        <v>357</v>
      </c>
      <c r="P931" t="s">
        <v>358</v>
      </c>
      <c r="Q931">
        <v>5500</v>
      </c>
      <c r="R931">
        <v>10</v>
      </c>
      <c r="S931">
        <v>55000</v>
      </c>
      <c r="T931">
        <v>0</v>
      </c>
      <c r="U931">
        <v>0</v>
      </c>
      <c r="V931">
        <v>10</v>
      </c>
      <c r="W931">
        <v>55000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</row>
    <row r="932" spans="1:29">
      <c r="A932">
        <v>924</v>
      </c>
      <c r="B932" t="s">
        <v>149</v>
      </c>
      <c r="C932">
        <v>1566</v>
      </c>
      <c r="D932" t="s">
        <v>376</v>
      </c>
      <c r="E932" t="str">
        <f t="shared" si="14"/>
        <v>01566</v>
      </c>
      <c r="F932" t="s">
        <v>91</v>
      </c>
      <c r="G932" t="s">
        <v>202</v>
      </c>
      <c r="H932" t="s">
        <v>157</v>
      </c>
      <c r="I932" t="s">
        <v>4</v>
      </c>
      <c r="J932" t="s">
        <v>152</v>
      </c>
      <c r="K932" t="s">
        <v>159</v>
      </c>
      <c r="L932">
        <v>251200493</v>
      </c>
      <c r="M932" s="84">
        <v>46007</v>
      </c>
      <c r="N932" s="84">
        <v>46007</v>
      </c>
      <c r="O932" t="s">
        <v>248</v>
      </c>
      <c r="P932" t="s">
        <v>249</v>
      </c>
      <c r="Q932">
        <v>5500</v>
      </c>
      <c r="R932">
        <v>15</v>
      </c>
      <c r="S932">
        <v>82500</v>
      </c>
      <c r="T932">
        <v>0</v>
      </c>
      <c r="U932">
        <v>0</v>
      </c>
      <c r="V932">
        <v>15</v>
      </c>
      <c r="W932">
        <v>82500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</row>
    <row r="933" spans="1:29">
      <c r="A933">
        <v>925</v>
      </c>
      <c r="B933" t="s">
        <v>149</v>
      </c>
      <c r="C933">
        <v>1391</v>
      </c>
      <c r="D933" t="s">
        <v>97</v>
      </c>
      <c r="E933" t="str">
        <f t="shared" si="14"/>
        <v>01391</v>
      </c>
      <c r="F933" t="s">
        <v>95</v>
      </c>
      <c r="G933" t="s">
        <v>187</v>
      </c>
      <c r="H933" t="s">
        <v>188</v>
      </c>
      <c r="I933" t="s">
        <v>4</v>
      </c>
      <c r="J933" t="s">
        <v>152</v>
      </c>
      <c r="K933" t="s">
        <v>159</v>
      </c>
      <c r="L933">
        <v>251200494</v>
      </c>
      <c r="M933" s="84">
        <v>46007</v>
      </c>
      <c r="N933" s="84">
        <v>46007</v>
      </c>
      <c r="O933" t="s">
        <v>206</v>
      </c>
      <c r="P933" t="s">
        <v>207</v>
      </c>
      <c r="Q933">
        <v>13200</v>
      </c>
      <c r="R933">
        <v>2</v>
      </c>
      <c r="S933">
        <v>26400</v>
      </c>
      <c r="T933">
        <v>0</v>
      </c>
      <c r="U933">
        <v>0</v>
      </c>
      <c r="V933">
        <v>2</v>
      </c>
      <c r="W933">
        <v>26400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</row>
    <row r="934" spans="1:29">
      <c r="A934">
        <v>926</v>
      </c>
      <c r="B934" t="s">
        <v>149</v>
      </c>
      <c r="C934">
        <v>1470</v>
      </c>
      <c r="D934" t="s">
        <v>12</v>
      </c>
      <c r="E934" t="str">
        <f t="shared" si="14"/>
        <v>01470</v>
      </c>
      <c r="F934" t="s">
        <v>10</v>
      </c>
      <c r="G934" t="s">
        <v>172</v>
      </c>
      <c r="H934" t="s">
        <v>157</v>
      </c>
      <c r="I934" t="s">
        <v>5</v>
      </c>
      <c r="J934" t="s">
        <v>152</v>
      </c>
      <c r="K934" t="s">
        <v>174</v>
      </c>
      <c r="L934">
        <v>251200495</v>
      </c>
      <c r="M934" s="84">
        <v>46007</v>
      </c>
      <c r="N934" s="84">
        <v>46007</v>
      </c>
      <c r="O934" t="s">
        <v>191</v>
      </c>
      <c r="P934" t="s">
        <v>192</v>
      </c>
      <c r="Q934">
        <v>11700</v>
      </c>
      <c r="R934">
        <v>8</v>
      </c>
      <c r="S934">
        <v>93600</v>
      </c>
      <c r="T934">
        <v>0</v>
      </c>
      <c r="U934">
        <v>0</v>
      </c>
      <c r="V934">
        <v>8</v>
      </c>
      <c r="W934">
        <v>93600</v>
      </c>
      <c r="X934">
        <v>1200</v>
      </c>
      <c r="Y934">
        <v>1200</v>
      </c>
      <c r="Z934">
        <v>0</v>
      </c>
      <c r="AA934">
        <v>0</v>
      </c>
      <c r="AB934">
        <v>0</v>
      </c>
      <c r="AC934">
        <v>2400</v>
      </c>
    </row>
    <row r="935" spans="1:29">
      <c r="A935">
        <v>927</v>
      </c>
      <c r="B935" t="s">
        <v>149</v>
      </c>
      <c r="C935">
        <v>1602</v>
      </c>
      <c r="D935" t="s">
        <v>378</v>
      </c>
      <c r="E935" t="str">
        <f t="shared" si="14"/>
        <v>01602</v>
      </c>
      <c r="F935" t="s">
        <v>10</v>
      </c>
      <c r="G935" t="s">
        <v>172</v>
      </c>
      <c r="H935" t="s">
        <v>157</v>
      </c>
      <c r="I935" t="s">
        <v>4</v>
      </c>
      <c r="J935" t="s">
        <v>152</v>
      </c>
      <c r="K935" t="s">
        <v>174</v>
      </c>
      <c r="L935">
        <v>251200496</v>
      </c>
      <c r="M935" s="84">
        <v>46007</v>
      </c>
      <c r="N935" s="84">
        <v>46007</v>
      </c>
      <c r="O935" t="s">
        <v>189</v>
      </c>
      <c r="P935" t="s">
        <v>190</v>
      </c>
      <c r="Q935">
        <v>5500</v>
      </c>
      <c r="R935">
        <v>8</v>
      </c>
      <c r="S935">
        <v>44000</v>
      </c>
      <c r="T935">
        <v>0</v>
      </c>
      <c r="U935">
        <v>0</v>
      </c>
      <c r="V935">
        <v>8</v>
      </c>
      <c r="W935">
        <v>44000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</row>
    <row r="936" spans="1:29">
      <c r="A936">
        <v>928</v>
      </c>
      <c r="B936" t="s">
        <v>149</v>
      </c>
      <c r="C936">
        <v>1602</v>
      </c>
      <c r="D936" t="s">
        <v>378</v>
      </c>
      <c r="E936" t="str">
        <f t="shared" si="14"/>
        <v>01602</v>
      </c>
      <c r="F936" t="s">
        <v>10</v>
      </c>
      <c r="G936" t="s">
        <v>172</v>
      </c>
      <c r="H936" t="s">
        <v>157</v>
      </c>
      <c r="I936" t="s">
        <v>4</v>
      </c>
      <c r="J936" t="s">
        <v>152</v>
      </c>
      <c r="K936" t="s">
        <v>174</v>
      </c>
      <c r="L936">
        <v>251200496</v>
      </c>
      <c r="M936" s="84">
        <v>46007</v>
      </c>
      <c r="N936" s="84">
        <v>46007</v>
      </c>
      <c r="O936" t="s">
        <v>406</v>
      </c>
      <c r="P936" t="s">
        <v>407</v>
      </c>
      <c r="Q936">
        <v>5500</v>
      </c>
      <c r="R936">
        <v>4</v>
      </c>
      <c r="S936">
        <v>22000</v>
      </c>
      <c r="T936">
        <v>0</v>
      </c>
      <c r="U936">
        <v>0</v>
      </c>
      <c r="V936">
        <v>4</v>
      </c>
      <c r="W936">
        <v>22000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</row>
    <row r="937" spans="1:29">
      <c r="A937">
        <v>929</v>
      </c>
      <c r="B937" t="s">
        <v>149</v>
      </c>
      <c r="C937">
        <v>1562</v>
      </c>
      <c r="D937" t="s">
        <v>325</v>
      </c>
      <c r="E937" t="str">
        <f t="shared" si="14"/>
        <v>01562</v>
      </c>
      <c r="F937" t="s">
        <v>10</v>
      </c>
      <c r="G937" t="s">
        <v>172</v>
      </c>
      <c r="H937" t="s">
        <v>157</v>
      </c>
      <c r="I937" t="s">
        <v>4</v>
      </c>
      <c r="J937" t="s">
        <v>152</v>
      </c>
      <c r="K937" t="s">
        <v>174</v>
      </c>
      <c r="L937">
        <v>251200497</v>
      </c>
      <c r="M937" s="84">
        <v>46007</v>
      </c>
      <c r="N937" s="84">
        <v>46007</v>
      </c>
      <c r="O937" t="s">
        <v>160</v>
      </c>
      <c r="P937" t="s">
        <v>161</v>
      </c>
      <c r="Q937">
        <v>5500</v>
      </c>
      <c r="R937">
        <v>5</v>
      </c>
      <c r="S937">
        <v>27500</v>
      </c>
      <c r="T937">
        <v>0</v>
      </c>
      <c r="U937">
        <v>0</v>
      </c>
      <c r="V937">
        <v>5</v>
      </c>
      <c r="W937">
        <v>27500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</row>
    <row r="938" spans="1:29">
      <c r="A938">
        <v>930</v>
      </c>
      <c r="B938" t="s">
        <v>149</v>
      </c>
      <c r="C938">
        <v>1320</v>
      </c>
      <c r="D938" t="s">
        <v>319</v>
      </c>
      <c r="E938" t="str">
        <f t="shared" si="14"/>
        <v>01320</v>
      </c>
      <c r="F938" t="s">
        <v>171</v>
      </c>
      <c r="G938" t="s">
        <v>172</v>
      </c>
      <c r="H938" t="s">
        <v>157</v>
      </c>
      <c r="I938" t="s">
        <v>4</v>
      </c>
      <c r="J938" t="s">
        <v>152</v>
      </c>
      <c r="K938" t="s">
        <v>174</v>
      </c>
      <c r="L938">
        <v>251200498</v>
      </c>
      <c r="M938" s="84">
        <v>46007</v>
      </c>
      <c r="N938" s="84">
        <v>46007</v>
      </c>
      <c r="O938" t="s">
        <v>390</v>
      </c>
      <c r="P938" t="s">
        <v>391</v>
      </c>
      <c r="Q938">
        <v>5500</v>
      </c>
      <c r="R938">
        <v>5</v>
      </c>
      <c r="S938">
        <v>27500</v>
      </c>
      <c r="T938">
        <v>0</v>
      </c>
      <c r="U938">
        <v>0</v>
      </c>
      <c r="V938">
        <v>5</v>
      </c>
      <c r="W938">
        <v>27500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</row>
    <row r="939" spans="1:29">
      <c r="A939">
        <v>931</v>
      </c>
      <c r="B939" t="s">
        <v>149</v>
      </c>
      <c r="C939">
        <v>1428</v>
      </c>
      <c r="D939" t="s">
        <v>351</v>
      </c>
      <c r="E939" t="str">
        <f t="shared" si="14"/>
        <v>01428</v>
      </c>
      <c r="F939" t="s">
        <v>171</v>
      </c>
      <c r="G939" t="s">
        <v>172</v>
      </c>
      <c r="H939" t="s">
        <v>157</v>
      </c>
      <c r="I939" t="s">
        <v>4</v>
      </c>
      <c r="J939" t="s">
        <v>152</v>
      </c>
      <c r="K939" t="s">
        <v>174</v>
      </c>
      <c r="L939">
        <v>251200499</v>
      </c>
      <c r="M939" s="84">
        <v>46007</v>
      </c>
      <c r="N939" s="84">
        <v>46007</v>
      </c>
      <c r="O939" t="s">
        <v>248</v>
      </c>
      <c r="P939" t="s">
        <v>249</v>
      </c>
      <c r="Q939">
        <v>5500</v>
      </c>
      <c r="R939">
        <v>5</v>
      </c>
      <c r="S939">
        <v>27500</v>
      </c>
      <c r="T939">
        <v>0</v>
      </c>
      <c r="U939">
        <v>0</v>
      </c>
      <c r="V939">
        <v>5</v>
      </c>
      <c r="W939">
        <v>27500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</row>
    <row r="940" spans="1:29">
      <c r="A940">
        <v>932</v>
      </c>
      <c r="B940" t="s">
        <v>149</v>
      </c>
      <c r="C940">
        <v>1428</v>
      </c>
      <c r="D940" t="s">
        <v>351</v>
      </c>
      <c r="E940" t="str">
        <f t="shared" si="14"/>
        <v>01428</v>
      </c>
      <c r="F940" t="s">
        <v>171</v>
      </c>
      <c r="G940" t="s">
        <v>172</v>
      </c>
      <c r="H940" t="s">
        <v>157</v>
      </c>
      <c r="I940" t="s">
        <v>4</v>
      </c>
      <c r="J940" t="s">
        <v>152</v>
      </c>
      <c r="K940" t="s">
        <v>174</v>
      </c>
      <c r="L940">
        <v>251200500</v>
      </c>
      <c r="M940" s="84">
        <v>46007</v>
      </c>
      <c r="N940" s="84">
        <v>46007</v>
      </c>
      <c r="O940" t="s">
        <v>225</v>
      </c>
      <c r="P940" t="s">
        <v>226</v>
      </c>
      <c r="Q940">
        <v>5500</v>
      </c>
      <c r="R940">
        <v>5</v>
      </c>
      <c r="S940">
        <v>27500</v>
      </c>
      <c r="T940">
        <v>0</v>
      </c>
      <c r="U940">
        <v>0</v>
      </c>
      <c r="V940">
        <v>5</v>
      </c>
      <c r="W940">
        <v>27500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</row>
    <row r="941" spans="1:29">
      <c r="A941">
        <v>933</v>
      </c>
      <c r="B941" t="s">
        <v>149</v>
      </c>
      <c r="C941">
        <v>1439</v>
      </c>
      <c r="D941" t="s">
        <v>363</v>
      </c>
      <c r="E941" t="str">
        <f t="shared" si="14"/>
        <v>01439</v>
      </c>
      <c r="F941" t="s">
        <v>171</v>
      </c>
      <c r="G941" t="s">
        <v>172</v>
      </c>
      <c r="H941" t="s">
        <v>157</v>
      </c>
      <c r="I941" t="s">
        <v>4</v>
      </c>
      <c r="J941" t="s">
        <v>152</v>
      </c>
      <c r="K941" t="s">
        <v>174</v>
      </c>
      <c r="L941">
        <v>251200501</v>
      </c>
      <c r="M941" s="84">
        <v>46007</v>
      </c>
      <c r="N941" s="84">
        <v>46007</v>
      </c>
      <c r="O941" t="s">
        <v>256</v>
      </c>
      <c r="P941" t="s">
        <v>257</v>
      </c>
      <c r="Q941">
        <v>5500</v>
      </c>
      <c r="R941">
        <v>5</v>
      </c>
      <c r="S941">
        <v>27500</v>
      </c>
      <c r="T941">
        <v>0</v>
      </c>
      <c r="U941">
        <v>0</v>
      </c>
      <c r="V941">
        <v>5</v>
      </c>
      <c r="W941">
        <v>27500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</row>
    <row r="942" spans="1:29">
      <c r="A942">
        <v>934</v>
      </c>
      <c r="B942" t="s">
        <v>149</v>
      </c>
      <c r="C942">
        <v>1284</v>
      </c>
      <c r="D942" t="s">
        <v>186</v>
      </c>
      <c r="E942" t="str">
        <f t="shared" si="14"/>
        <v>01284</v>
      </c>
      <c r="F942" t="s">
        <v>171</v>
      </c>
      <c r="G942" t="s">
        <v>172</v>
      </c>
      <c r="H942" t="s">
        <v>157</v>
      </c>
      <c r="I942" t="s">
        <v>173</v>
      </c>
      <c r="J942" t="s">
        <v>152</v>
      </c>
      <c r="K942" t="s">
        <v>174</v>
      </c>
      <c r="L942">
        <v>251200502</v>
      </c>
      <c r="M942" s="84">
        <v>46007</v>
      </c>
      <c r="N942" s="84">
        <v>46007</v>
      </c>
      <c r="O942" t="s">
        <v>277</v>
      </c>
      <c r="P942" t="s">
        <v>278</v>
      </c>
      <c r="Q942">
        <v>8632</v>
      </c>
      <c r="R942">
        <v>3</v>
      </c>
      <c r="S942">
        <v>25896</v>
      </c>
      <c r="T942">
        <v>0</v>
      </c>
      <c r="U942">
        <v>0</v>
      </c>
      <c r="V942">
        <v>3</v>
      </c>
      <c r="W942">
        <v>25896</v>
      </c>
      <c r="X942">
        <v>0</v>
      </c>
      <c r="Y942">
        <v>519</v>
      </c>
      <c r="Z942">
        <v>1296</v>
      </c>
      <c r="AA942">
        <v>0</v>
      </c>
      <c r="AB942">
        <v>300</v>
      </c>
      <c r="AC942">
        <v>2115</v>
      </c>
    </row>
    <row r="943" spans="1:29">
      <c r="A943">
        <v>935</v>
      </c>
      <c r="B943" t="s">
        <v>149</v>
      </c>
      <c r="C943">
        <v>1284</v>
      </c>
      <c r="D943" t="s">
        <v>186</v>
      </c>
      <c r="E943" t="str">
        <f t="shared" si="14"/>
        <v>01284</v>
      </c>
      <c r="F943" t="s">
        <v>171</v>
      </c>
      <c r="G943" t="s">
        <v>172</v>
      </c>
      <c r="H943" t="s">
        <v>157</v>
      </c>
      <c r="I943" t="s">
        <v>210</v>
      </c>
      <c r="J943" t="s">
        <v>152</v>
      </c>
      <c r="K943" t="s">
        <v>174</v>
      </c>
      <c r="L943">
        <v>251200503</v>
      </c>
      <c r="M943" s="84">
        <v>46007</v>
      </c>
      <c r="N943" s="84">
        <v>46007</v>
      </c>
      <c r="O943" t="s">
        <v>250</v>
      </c>
      <c r="P943" t="s">
        <v>251</v>
      </c>
      <c r="Q943">
        <v>30930</v>
      </c>
      <c r="R943">
        <v>1</v>
      </c>
      <c r="S943">
        <v>30930</v>
      </c>
      <c r="T943">
        <v>0</v>
      </c>
      <c r="U943">
        <v>0</v>
      </c>
      <c r="V943">
        <v>1</v>
      </c>
      <c r="W943">
        <v>30930</v>
      </c>
      <c r="X943">
        <v>928</v>
      </c>
      <c r="Y943">
        <v>1237</v>
      </c>
      <c r="Z943">
        <v>619</v>
      </c>
      <c r="AA943">
        <v>1547</v>
      </c>
      <c r="AB943">
        <v>100</v>
      </c>
      <c r="AC943">
        <v>4431</v>
      </c>
    </row>
    <row r="944" spans="1:29">
      <c r="A944">
        <v>936</v>
      </c>
      <c r="B944" t="s">
        <v>149</v>
      </c>
      <c r="C944">
        <v>1285</v>
      </c>
      <c r="D944" t="s">
        <v>302</v>
      </c>
      <c r="E944" t="str">
        <f t="shared" si="14"/>
        <v>01285</v>
      </c>
      <c r="F944" t="s">
        <v>171</v>
      </c>
      <c r="G944" t="s">
        <v>172</v>
      </c>
      <c r="H944" t="s">
        <v>157</v>
      </c>
      <c r="I944" t="s">
        <v>173</v>
      </c>
      <c r="J944" t="s">
        <v>152</v>
      </c>
      <c r="K944" t="s">
        <v>174</v>
      </c>
      <c r="L944">
        <v>251200504</v>
      </c>
      <c r="M944" s="84">
        <v>46007</v>
      </c>
      <c r="N944" s="84">
        <v>46007</v>
      </c>
      <c r="O944" t="s">
        <v>285</v>
      </c>
      <c r="P944" t="s">
        <v>286</v>
      </c>
      <c r="Q944">
        <v>3750</v>
      </c>
      <c r="R944">
        <v>10</v>
      </c>
      <c r="S944">
        <v>37500</v>
      </c>
      <c r="T944">
        <v>0</v>
      </c>
      <c r="U944">
        <v>0</v>
      </c>
      <c r="V944">
        <v>10</v>
      </c>
      <c r="W944">
        <v>37500</v>
      </c>
      <c r="X944">
        <v>0</v>
      </c>
      <c r="Y944">
        <v>750</v>
      </c>
      <c r="Z944">
        <v>1880</v>
      </c>
      <c r="AA944">
        <v>0</v>
      </c>
      <c r="AB944">
        <v>1000</v>
      </c>
      <c r="AC944">
        <v>3630</v>
      </c>
    </row>
    <row r="945" spans="1:29">
      <c r="A945">
        <v>937</v>
      </c>
      <c r="B945" t="s">
        <v>149</v>
      </c>
      <c r="C945">
        <v>1285</v>
      </c>
      <c r="D945" t="s">
        <v>302</v>
      </c>
      <c r="E945" t="str">
        <f t="shared" si="14"/>
        <v>01285</v>
      </c>
      <c r="F945" t="s">
        <v>171</v>
      </c>
      <c r="G945" t="s">
        <v>172</v>
      </c>
      <c r="H945" t="s">
        <v>157</v>
      </c>
      <c r="I945" t="s">
        <v>173</v>
      </c>
      <c r="J945" t="s">
        <v>152</v>
      </c>
      <c r="K945" t="s">
        <v>174</v>
      </c>
      <c r="L945">
        <v>251200505</v>
      </c>
      <c r="M945" s="84">
        <v>46007</v>
      </c>
      <c r="N945" s="84">
        <v>46007</v>
      </c>
      <c r="O945" t="s">
        <v>265</v>
      </c>
      <c r="P945" t="s">
        <v>266</v>
      </c>
      <c r="Q945">
        <v>13849</v>
      </c>
      <c r="R945">
        <v>1</v>
      </c>
      <c r="S945">
        <v>13849</v>
      </c>
      <c r="T945">
        <v>0</v>
      </c>
      <c r="U945">
        <v>0</v>
      </c>
      <c r="V945">
        <v>1</v>
      </c>
      <c r="W945">
        <v>13849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</row>
    <row r="946" spans="1:29">
      <c r="A946">
        <v>938</v>
      </c>
      <c r="B946" t="s">
        <v>149</v>
      </c>
      <c r="C946">
        <v>1588</v>
      </c>
      <c r="D946" t="s">
        <v>90</v>
      </c>
      <c r="E946" t="str">
        <f t="shared" si="14"/>
        <v>01588</v>
      </c>
      <c r="F946" t="s">
        <v>86</v>
      </c>
      <c r="G946" t="s">
        <v>156</v>
      </c>
      <c r="H946" t="s">
        <v>157</v>
      </c>
      <c r="I946" t="s">
        <v>4</v>
      </c>
      <c r="J946" t="s">
        <v>152</v>
      </c>
      <c r="K946" t="s">
        <v>159</v>
      </c>
      <c r="L946">
        <v>251200506</v>
      </c>
      <c r="M946" s="84">
        <v>46007</v>
      </c>
      <c r="N946" s="84">
        <v>46007</v>
      </c>
      <c r="O946" t="s">
        <v>160</v>
      </c>
      <c r="P946" t="s">
        <v>161</v>
      </c>
      <c r="Q946">
        <v>14250</v>
      </c>
      <c r="R946">
        <v>10</v>
      </c>
      <c r="S946">
        <v>142500</v>
      </c>
      <c r="T946">
        <v>0</v>
      </c>
      <c r="U946">
        <v>0</v>
      </c>
      <c r="V946">
        <v>10</v>
      </c>
      <c r="W946">
        <v>142500</v>
      </c>
      <c r="X946">
        <v>1500</v>
      </c>
      <c r="Y946">
        <v>2000</v>
      </c>
      <c r="Z946">
        <v>0</v>
      </c>
      <c r="AA946">
        <v>0</v>
      </c>
      <c r="AB946">
        <v>0</v>
      </c>
      <c r="AC946">
        <v>3500</v>
      </c>
    </row>
    <row r="947" spans="1:29">
      <c r="A947">
        <v>939</v>
      </c>
      <c r="B947" t="s">
        <v>149</v>
      </c>
      <c r="C947">
        <v>1536</v>
      </c>
      <c r="D947" t="s">
        <v>393</v>
      </c>
      <c r="E947" t="str">
        <f t="shared" si="14"/>
        <v>01536</v>
      </c>
      <c r="F947" t="s">
        <v>65</v>
      </c>
      <c r="G947" t="s">
        <v>208</v>
      </c>
      <c r="H947" t="s">
        <v>157</v>
      </c>
      <c r="I947" t="s">
        <v>4</v>
      </c>
      <c r="J947" t="s">
        <v>152</v>
      </c>
      <c r="K947" t="s">
        <v>174</v>
      </c>
      <c r="L947">
        <v>251200507</v>
      </c>
      <c r="M947" s="84">
        <v>46007</v>
      </c>
      <c r="N947" s="84">
        <v>46007</v>
      </c>
      <c r="O947" t="s">
        <v>294</v>
      </c>
      <c r="P947" t="s">
        <v>295</v>
      </c>
      <c r="Q947">
        <v>5500</v>
      </c>
      <c r="R947">
        <v>22</v>
      </c>
      <c r="S947">
        <v>121000</v>
      </c>
      <c r="T947">
        <v>0</v>
      </c>
      <c r="U947">
        <v>0</v>
      </c>
      <c r="V947">
        <v>22</v>
      </c>
      <c r="W947">
        <v>121000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</row>
    <row r="948" spans="1:29">
      <c r="A948">
        <v>940</v>
      </c>
      <c r="B948" t="s">
        <v>149</v>
      </c>
      <c r="C948">
        <v>1484</v>
      </c>
      <c r="D948" t="s">
        <v>331</v>
      </c>
      <c r="E948" t="str">
        <f t="shared" si="14"/>
        <v>01484</v>
      </c>
      <c r="F948" t="s">
        <v>71</v>
      </c>
      <c r="G948" t="s">
        <v>305</v>
      </c>
      <c r="H948" t="s">
        <v>157</v>
      </c>
      <c r="I948" t="s">
        <v>4</v>
      </c>
      <c r="J948" t="s">
        <v>152</v>
      </c>
      <c r="K948" t="s">
        <v>174</v>
      </c>
      <c r="L948">
        <v>251200508</v>
      </c>
      <c r="M948" s="84">
        <v>46007</v>
      </c>
      <c r="N948" s="84">
        <v>46007</v>
      </c>
      <c r="O948" t="s">
        <v>357</v>
      </c>
      <c r="P948" t="s">
        <v>358</v>
      </c>
      <c r="Q948">
        <v>5500</v>
      </c>
      <c r="R948">
        <v>13</v>
      </c>
      <c r="S948">
        <v>71500</v>
      </c>
      <c r="T948">
        <v>0</v>
      </c>
      <c r="U948">
        <v>0</v>
      </c>
      <c r="V948">
        <v>13</v>
      </c>
      <c r="W948">
        <v>71500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</row>
    <row r="949" spans="1:29">
      <c r="A949">
        <v>941</v>
      </c>
      <c r="B949" t="s">
        <v>149</v>
      </c>
      <c r="C949">
        <v>1530</v>
      </c>
      <c r="D949" t="s">
        <v>379</v>
      </c>
      <c r="E949" t="str">
        <f t="shared" si="14"/>
        <v>01530</v>
      </c>
      <c r="F949" t="s">
        <v>111</v>
      </c>
      <c r="G949" t="s">
        <v>150</v>
      </c>
      <c r="H949" t="s">
        <v>151</v>
      </c>
      <c r="I949" t="s">
        <v>4</v>
      </c>
      <c r="J949" t="s">
        <v>152</v>
      </c>
      <c r="K949" t="s">
        <v>153</v>
      </c>
      <c r="L949">
        <v>251200509</v>
      </c>
      <c r="M949" s="84">
        <v>46007</v>
      </c>
      <c r="N949" s="84">
        <v>46007</v>
      </c>
      <c r="O949" t="s">
        <v>321</v>
      </c>
      <c r="P949" t="s">
        <v>322</v>
      </c>
      <c r="Q949">
        <v>5500</v>
      </c>
      <c r="R949">
        <v>36</v>
      </c>
      <c r="S949">
        <v>198000</v>
      </c>
      <c r="T949">
        <v>0</v>
      </c>
      <c r="U949">
        <v>0</v>
      </c>
      <c r="V949">
        <v>36</v>
      </c>
      <c r="W949">
        <v>198000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</row>
    <row r="950" spans="1:29">
      <c r="A950">
        <v>942</v>
      </c>
      <c r="B950" t="s">
        <v>149</v>
      </c>
      <c r="C950">
        <v>1530</v>
      </c>
      <c r="D950" t="s">
        <v>379</v>
      </c>
      <c r="E950" t="str">
        <f t="shared" si="14"/>
        <v>01530</v>
      </c>
      <c r="F950" t="s">
        <v>111</v>
      </c>
      <c r="G950" t="s">
        <v>150</v>
      </c>
      <c r="H950" t="s">
        <v>151</v>
      </c>
      <c r="I950" t="s">
        <v>4</v>
      </c>
      <c r="J950" t="s">
        <v>152</v>
      </c>
      <c r="K950" t="s">
        <v>153</v>
      </c>
      <c r="L950">
        <v>251200510</v>
      </c>
      <c r="M950" s="84">
        <v>46007</v>
      </c>
      <c r="N950" s="84">
        <v>46007</v>
      </c>
      <c r="O950" t="s">
        <v>321</v>
      </c>
      <c r="P950" t="s">
        <v>322</v>
      </c>
      <c r="Q950">
        <v>5500</v>
      </c>
      <c r="R950">
        <v>14</v>
      </c>
      <c r="S950">
        <v>77000</v>
      </c>
      <c r="T950">
        <v>0</v>
      </c>
      <c r="U950">
        <v>0</v>
      </c>
      <c r="V950">
        <v>14</v>
      </c>
      <c r="W950">
        <v>77000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</row>
    <row r="951" spans="1:29">
      <c r="A951">
        <v>943</v>
      </c>
      <c r="B951" t="s">
        <v>149</v>
      </c>
      <c r="C951">
        <v>1428</v>
      </c>
      <c r="D951" t="s">
        <v>351</v>
      </c>
      <c r="E951" t="str">
        <f t="shared" si="14"/>
        <v>01428</v>
      </c>
      <c r="F951" t="s">
        <v>171</v>
      </c>
      <c r="G951" t="s">
        <v>172</v>
      </c>
      <c r="H951" t="s">
        <v>157</v>
      </c>
      <c r="I951" t="s">
        <v>4</v>
      </c>
      <c r="J951" t="s">
        <v>152</v>
      </c>
      <c r="K951" t="s">
        <v>174</v>
      </c>
      <c r="L951">
        <v>251200511</v>
      </c>
      <c r="M951" s="84">
        <v>46007</v>
      </c>
      <c r="N951" s="84">
        <v>46007</v>
      </c>
      <c r="O951" t="s">
        <v>248</v>
      </c>
      <c r="P951" t="s">
        <v>249</v>
      </c>
      <c r="Q951">
        <v>5500</v>
      </c>
      <c r="R951">
        <v>5</v>
      </c>
      <c r="S951">
        <v>27500</v>
      </c>
      <c r="T951">
        <v>0</v>
      </c>
      <c r="U951">
        <v>0</v>
      </c>
      <c r="V951">
        <v>5</v>
      </c>
      <c r="W951">
        <v>27500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</row>
    <row r="952" spans="1:29">
      <c r="A952">
        <v>944</v>
      </c>
      <c r="B952" t="s">
        <v>149</v>
      </c>
      <c r="C952">
        <v>1285</v>
      </c>
      <c r="D952" t="s">
        <v>302</v>
      </c>
      <c r="E952" t="str">
        <f t="shared" si="14"/>
        <v>01285</v>
      </c>
      <c r="F952" t="s">
        <v>171</v>
      </c>
      <c r="G952" t="s">
        <v>172</v>
      </c>
      <c r="H952" t="s">
        <v>157</v>
      </c>
      <c r="I952" t="s">
        <v>173</v>
      </c>
      <c r="J952" t="s">
        <v>152</v>
      </c>
      <c r="K952" t="s">
        <v>174</v>
      </c>
      <c r="L952">
        <v>251200512</v>
      </c>
      <c r="M952" s="84">
        <v>46007</v>
      </c>
      <c r="N952" s="84">
        <v>46007</v>
      </c>
      <c r="O952" t="s">
        <v>287</v>
      </c>
      <c r="P952" t="s">
        <v>288</v>
      </c>
      <c r="Q952">
        <v>6415</v>
      </c>
      <c r="R952">
        <v>4</v>
      </c>
      <c r="S952">
        <v>25660</v>
      </c>
      <c r="T952">
        <v>0</v>
      </c>
      <c r="U952">
        <v>0</v>
      </c>
      <c r="V952">
        <v>4</v>
      </c>
      <c r="W952">
        <v>25660</v>
      </c>
      <c r="X952">
        <v>0</v>
      </c>
      <c r="Y952">
        <v>512</v>
      </c>
      <c r="Z952">
        <v>1284</v>
      </c>
      <c r="AA952">
        <v>0</v>
      </c>
      <c r="AB952">
        <v>400</v>
      </c>
      <c r="AC952">
        <v>2196</v>
      </c>
    </row>
    <row r="953" spans="1:29">
      <c r="A953">
        <v>945</v>
      </c>
      <c r="B953" t="s">
        <v>149</v>
      </c>
      <c r="C953">
        <v>1285</v>
      </c>
      <c r="D953" t="s">
        <v>302</v>
      </c>
      <c r="E953" t="str">
        <f t="shared" si="14"/>
        <v>01285</v>
      </c>
      <c r="F953" t="s">
        <v>171</v>
      </c>
      <c r="G953" t="s">
        <v>172</v>
      </c>
      <c r="H953" t="s">
        <v>157</v>
      </c>
      <c r="I953" t="s">
        <v>173</v>
      </c>
      <c r="J953" t="s">
        <v>152</v>
      </c>
      <c r="K953" t="s">
        <v>174</v>
      </c>
      <c r="L953">
        <v>251200512</v>
      </c>
      <c r="M953" s="84">
        <v>46007</v>
      </c>
      <c r="N953" s="84">
        <v>46007</v>
      </c>
      <c r="O953" t="s">
        <v>175</v>
      </c>
      <c r="P953" t="s">
        <v>176</v>
      </c>
      <c r="Q953">
        <v>4452</v>
      </c>
      <c r="R953">
        <v>40</v>
      </c>
      <c r="S953">
        <v>178080</v>
      </c>
      <c r="T953">
        <v>0</v>
      </c>
      <c r="U953">
        <v>0</v>
      </c>
      <c r="V953">
        <v>40</v>
      </c>
      <c r="W953">
        <v>178080</v>
      </c>
      <c r="X953">
        <v>0</v>
      </c>
      <c r="Y953">
        <v>3560</v>
      </c>
      <c r="Z953">
        <v>8920</v>
      </c>
      <c r="AA953">
        <v>0</v>
      </c>
      <c r="AB953">
        <v>4000</v>
      </c>
      <c r="AC953">
        <v>16480</v>
      </c>
    </row>
    <row r="954" spans="1:29">
      <c r="A954">
        <v>946</v>
      </c>
      <c r="B954" t="s">
        <v>149</v>
      </c>
      <c r="C954">
        <v>1285</v>
      </c>
      <c r="D954" t="s">
        <v>302</v>
      </c>
      <c r="E954" t="str">
        <f t="shared" si="14"/>
        <v>01285</v>
      </c>
      <c r="F954" t="s">
        <v>171</v>
      </c>
      <c r="G954" t="s">
        <v>172</v>
      </c>
      <c r="H954" t="s">
        <v>157</v>
      </c>
      <c r="I954" t="s">
        <v>173</v>
      </c>
      <c r="J954" t="s">
        <v>152</v>
      </c>
      <c r="K954" t="s">
        <v>174</v>
      </c>
      <c r="L954">
        <v>251200512</v>
      </c>
      <c r="M954" s="84">
        <v>46007</v>
      </c>
      <c r="N954" s="84">
        <v>46007</v>
      </c>
      <c r="O954" t="s">
        <v>285</v>
      </c>
      <c r="P954" t="s">
        <v>286</v>
      </c>
      <c r="Q954">
        <v>3750</v>
      </c>
      <c r="R954">
        <v>2</v>
      </c>
      <c r="S954">
        <v>7500</v>
      </c>
      <c r="T954">
        <v>0</v>
      </c>
      <c r="U954">
        <v>0</v>
      </c>
      <c r="V954">
        <v>2</v>
      </c>
      <c r="W954">
        <v>7500</v>
      </c>
      <c r="X954">
        <v>0</v>
      </c>
      <c r="Y954">
        <v>150</v>
      </c>
      <c r="Z954">
        <v>376</v>
      </c>
      <c r="AA954">
        <v>0</v>
      </c>
      <c r="AB954">
        <v>200</v>
      </c>
      <c r="AC954">
        <v>726</v>
      </c>
    </row>
    <row r="955" spans="1:29">
      <c r="A955">
        <v>947</v>
      </c>
      <c r="B955" t="s">
        <v>149</v>
      </c>
      <c r="C955">
        <v>1285</v>
      </c>
      <c r="D955" t="s">
        <v>302</v>
      </c>
      <c r="E955" t="str">
        <f t="shared" si="14"/>
        <v>01285</v>
      </c>
      <c r="F955" t="s">
        <v>171</v>
      </c>
      <c r="G955" t="s">
        <v>172</v>
      </c>
      <c r="H955" t="s">
        <v>157</v>
      </c>
      <c r="I955" t="s">
        <v>173</v>
      </c>
      <c r="J955" t="s">
        <v>152</v>
      </c>
      <c r="K955" t="s">
        <v>174</v>
      </c>
      <c r="L955">
        <v>251200513</v>
      </c>
      <c r="M955" s="84">
        <v>46007</v>
      </c>
      <c r="N955" s="84">
        <v>46007</v>
      </c>
      <c r="O955" t="s">
        <v>277</v>
      </c>
      <c r="P955" t="s">
        <v>278</v>
      </c>
      <c r="Q955">
        <v>8632</v>
      </c>
      <c r="R955">
        <v>5</v>
      </c>
      <c r="S955">
        <v>43160</v>
      </c>
      <c r="T955">
        <v>0</v>
      </c>
      <c r="U955">
        <v>0</v>
      </c>
      <c r="V955">
        <v>5</v>
      </c>
      <c r="W955">
        <v>43160</v>
      </c>
      <c r="X955">
        <v>0</v>
      </c>
      <c r="Y955">
        <v>865</v>
      </c>
      <c r="Z955">
        <v>2160</v>
      </c>
      <c r="AA955">
        <v>0</v>
      </c>
      <c r="AB955">
        <v>500</v>
      </c>
      <c r="AC955">
        <v>3525</v>
      </c>
    </row>
    <row r="956" spans="1:29">
      <c r="A956">
        <v>948</v>
      </c>
      <c r="B956" t="s">
        <v>149</v>
      </c>
      <c r="C956">
        <v>387</v>
      </c>
      <c r="D956" t="s">
        <v>109</v>
      </c>
      <c r="E956" t="str">
        <f t="shared" si="14"/>
        <v>00387</v>
      </c>
      <c r="F956" t="s">
        <v>103</v>
      </c>
      <c r="G956" t="s">
        <v>167</v>
      </c>
      <c r="H956" t="s">
        <v>151</v>
      </c>
      <c r="I956" t="s">
        <v>231</v>
      </c>
      <c r="J956" t="s">
        <v>152</v>
      </c>
      <c r="K956" t="s">
        <v>153</v>
      </c>
      <c r="L956">
        <v>251200514</v>
      </c>
      <c r="M956" s="84">
        <v>46007</v>
      </c>
      <c r="N956" s="84">
        <v>46007</v>
      </c>
      <c r="O956" t="s">
        <v>233</v>
      </c>
      <c r="P956" t="s">
        <v>118</v>
      </c>
      <c r="Q956">
        <v>4486</v>
      </c>
      <c r="R956">
        <v>24</v>
      </c>
      <c r="S956">
        <v>107664</v>
      </c>
      <c r="T956">
        <v>0</v>
      </c>
      <c r="U956">
        <v>0</v>
      </c>
      <c r="V956">
        <v>24</v>
      </c>
      <c r="W956">
        <v>107664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</row>
    <row r="957" spans="1:29">
      <c r="A957">
        <v>949</v>
      </c>
      <c r="B957" t="s">
        <v>149</v>
      </c>
      <c r="C957">
        <v>387</v>
      </c>
      <c r="D957" t="s">
        <v>109</v>
      </c>
      <c r="E957" t="str">
        <f t="shared" si="14"/>
        <v>00387</v>
      </c>
      <c r="F957" t="s">
        <v>103</v>
      </c>
      <c r="G957" t="s">
        <v>167</v>
      </c>
      <c r="H957" t="s">
        <v>151</v>
      </c>
      <c r="I957" t="s">
        <v>231</v>
      </c>
      <c r="J957" t="s">
        <v>152</v>
      </c>
      <c r="K957" t="s">
        <v>153</v>
      </c>
      <c r="L957">
        <v>251200514</v>
      </c>
      <c r="M957" s="84">
        <v>46007</v>
      </c>
      <c r="N957" s="84">
        <v>46007</v>
      </c>
      <c r="O957" t="s">
        <v>232</v>
      </c>
      <c r="P957" t="s">
        <v>122</v>
      </c>
      <c r="Q957">
        <v>6213</v>
      </c>
      <c r="R957">
        <v>6</v>
      </c>
      <c r="S957">
        <v>37278</v>
      </c>
      <c r="T957">
        <v>0</v>
      </c>
      <c r="U957">
        <v>0</v>
      </c>
      <c r="V957">
        <v>6</v>
      </c>
      <c r="W957">
        <v>37278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</row>
    <row r="958" spans="1:29">
      <c r="A958">
        <v>950</v>
      </c>
      <c r="B958" t="s">
        <v>149</v>
      </c>
      <c r="C958">
        <v>387</v>
      </c>
      <c r="D958" t="s">
        <v>109</v>
      </c>
      <c r="E958" t="str">
        <f t="shared" si="14"/>
        <v>00387</v>
      </c>
      <c r="F958" t="s">
        <v>103</v>
      </c>
      <c r="G958" t="s">
        <v>167</v>
      </c>
      <c r="H958" t="s">
        <v>151</v>
      </c>
      <c r="I958" t="s">
        <v>231</v>
      </c>
      <c r="J958" t="s">
        <v>152</v>
      </c>
      <c r="K958" t="s">
        <v>153</v>
      </c>
      <c r="L958">
        <v>251200515</v>
      </c>
      <c r="M958" s="84">
        <v>46007</v>
      </c>
      <c r="N958" s="84">
        <v>46007</v>
      </c>
      <c r="O958" t="s">
        <v>234</v>
      </c>
      <c r="P958" t="s">
        <v>235</v>
      </c>
      <c r="Q958">
        <v>10432</v>
      </c>
      <c r="R958">
        <v>5</v>
      </c>
      <c r="S958">
        <v>52160</v>
      </c>
      <c r="T958">
        <v>0</v>
      </c>
      <c r="U958">
        <v>0</v>
      </c>
      <c r="V958">
        <v>5</v>
      </c>
      <c r="W958">
        <v>52160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</row>
    <row r="959" spans="1:29">
      <c r="A959">
        <v>951</v>
      </c>
      <c r="B959" t="s">
        <v>149</v>
      </c>
      <c r="C959">
        <v>988</v>
      </c>
      <c r="D959" t="s">
        <v>19</v>
      </c>
      <c r="E959" t="str">
        <f t="shared" si="14"/>
        <v>00988</v>
      </c>
      <c r="F959" t="s">
        <v>15</v>
      </c>
      <c r="G959" t="s">
        <v>193</v>
      </c>
      <c r="H959" t="s">
        <v>151</v>
      </c>
      <c r="I959" t="s">
        <v>231</v>
      </c>
      <c r="J959" t="s">
        <v>152</v>
      </c>
      <c r="K959" t="s">
        <v>153</v>
      </c>
      <c r="L959">
        <v>251200516</v>
      </c>
      <c r="M959" s="84">
        <v>46007</v>
      </c>
      <c r="N959" s="84">
        <v>46007</v>
      </c>
      <c r="O959" t="s">
        <v>233</v>
      </c>
      <c r="P959" t="s">
        <v>118</v>
      </c>
      <c r="Q959">
        <v>4486</v>
      </c>
      <c r="R959">
        <v>5</v>
      </c>
      <c r="S959">
        <v>22430</v>
      </c>
      <c r="T959">
        <v>0</v>
      </c>
      <c r="U959">
        <v>0</v>
      </c>
      <c r="V959">
        <v>5</v>
      </c>
      <c r="W959">
        <v>22430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</row>
    <row r="960" spans="1:29">
      <c r="A960">
        <v>952</v>
      </c>
      <c r="B960" t="s">
        <v>149</v>
      </c>
      <c r="C960">
        <v>988</v>
      </c>
      <c r="D960" t="s">
        <v>19</v>
      </c>
      <c r="E960" t="str">
        <f t="shared" si="14"/>
        <v>00988</v>
      </c>
      <c r="F960" t="s">
        <v>15</v>
      </c>
      <c r="G960" t="s">
        <v>193</v>
      </c>
      <c r="H960" t="s">
        <v>151</v>
      </c>
      <c r="I960" t="s">
        <v>5</v>
      </c>
      <c r="J960" t="s">
        <v>152</v>
      </c>
      <c r="K960" t="s">
        <v>153</v>
      </c>
      <c r="L960">
        <v>251200516</v>
      </c>
      <c r="M960" s="84">
        <v>46007</v>
      </c>
      <c r="N960" s="84">
        <v>46007</v>
      </c>
      <c r="O960" t="s">
        <v>191</v>
      </c>
      <c r="P960" t="s">
        <v>192</v>
      </c>
      <c r="Q960">
        <v>11700</v>
      </c>
      <c r="R960">
        <v>32</v>
      </c>
      <c r="S960">
        <v>374400</v>
      </c>
      <c r="T960">
        <v>0</v>
      </c>
      <c r="U960">
        <v>0</v>
      </c>
      <c r="V960">
        <v>32</v>
      </c>
      <c r="W960">
        <v>374400</v>
      </c>
      <c r="X960">
        <v>4800</v>
      </c>
      <c r="Y960">
        <v>4800</v>
      </c>
      <c r="Z960">
        <v>0</v>
      </c>
      <c r="AA960">
        <v>0</v>
      </c>
      <c r="AB960">
        <v>0</v>
      </c>
      <c r="AC960">
        <v>9600</v>
      </c>
    </row>
    <row r="961" spans="1:29">
      <c r="A961">
        <v>953</v>
      </c>
      <c r="B961" t="s">
        <v>149</v>
      </c>
      <c r="C961">
        <v>988</v>
      </c>
      <c r="D961" t="s">
        <v>19</v>
      </c>
      <c r="E961" t="str">
        <f t="shared" si="14"/>
        <v>00988</v>
      </c>
      <c r="F961" t="s">
        <v>15</v>
      </c>
      <c r="G961" t="s">
        <v>193</v>
      </c>
      <c r="H961" t="s">
        <v>151</v>
      </c>
      <c r="I961" t="s">
        <v>231</v>
      </c>
      <c r="J961" t="s">
        <v>152</v>
      </c>
      <c r="K961" t="s">
        <v>153</v>
      </c>
      <c r="L961">
        <v>251200517</v>
      </c>
      <c r="M961" s="84">
        <v>46007</v>
      </c>
      <c r="N961" s="84">
        <v>46007</v>
      </c>
      <c r="O961" t="s">
        <v>234</v>
      </c>
      <c r="P961" t="s">
        <v>235</v>
      </c>
      <c r="Q961">
        <v>10432</v>
      </c>
      <c r="R961">
        <v>5</v>
      </c>
      <c r="S961">
        <v>52160</v>
      </c>
      <c r="T961">
        <v>0</v>
      </c>
      <c r="U961">
        <v>0</v>
      </c>
      <c r="V961">
        <v>5</v>
      </c>
      <c r="W961">
        <v>52160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</row>
    <row r="962" spans="1:29">
      <c r="A962">
        <v>954</v>
      </c>
      <c r="B962" t="s">
        <v>149</v>
      </c>
      <c r="C962">
        <v>1320</v>
      </c>
      <c r="D962" t="s">
        <v>319</v>
      </c>
      <c r="E962" t="str">
        <f t="shared" si="14"/>
        <v>01320</v>
      </c>
      <c r="F962" t="s">
        <v>171</v>
      </c>
      <c r="G962" t="s">
        <v>172</v>
      </c>
      <c r="H962" t="s">
        <v>157</v>
      </c>
      <c r="I962" t="s">
        <v>4</v>
      </c>
      <c r="J962" t="s">
        <v>152</v>
      </c>
      <c r="K962" t="s">
        <v>174</v>
      </c>
      <c r="L962">
        <v>251200518</v>
      </c>
      <c r="M962" s="84">
        <v>46007</v>
      </c>
      <c r="N962" s="84">
        <v>46007</v>
      </c>
      <c r="O962" t="s">
        <v>408</v>
      </c>
      <c r="P962" t="s">
        <v>409</v>
      </c>
      <c r="Q962">
        <v>5500</v>
      </c>
      <c r="R962">
        <v>14</v>
      </c>
      <c r="S962">
        <v>77000</v>
      </c>
      <c r="T962">
        <v>0</v>
      </c>
      <c r="U962">
        <v>0</v>
      </c>
      <c r="V962">
        <v>14</v>
      </c>
      <c r="W962">
        <v>77000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</row>
    <row r="963" spans="1:29">
      <c r="A963">
        <v>955</v>
      </c>
      <c r="B963" t="s">
        <v>149</v>
      </c>
      <c r="C963">
        <v>1553</v>
      </c>
      <c r="D963" t="s">
        <v>317</v>
      </c>
      <c r="E963" t="str">
        <f t="shared" si="14"/>
        <v>01553</v>
      </c>
      <c r="F963" t="s">
        <v>43</v>
      </c>
      <c r="G963" t="s">
        <v>150</v>
      </c>
      <c r="H963" t="s">
        <v>151</v>
      </c>
      <c r="I963" t="s">
        <v>4</v>
      </c>
      <c r="J963" t="s">
        <v>152</v>
      </c>
      <c r="K963" t="s">
        <v>153</v>
      </c>
      <c r="L963">
        <v>251200519</v>
      </c>
      <c r="M963" s="84">
        <v>46009</v>
      </c>
      <c r="N963" s="84">
        <v>46009</v>
      </c>
      <c r="O963" t="s">
        <v>219</v>
      </c>
      <c r="P963" t="s">
        <v>220</v>
      </c>
      <c r="Q963">
        <v>5500</v>
      </c>
      <c r="R963">
        <v>12</v>
      </c>
      <c r="S963">
        <v>66000</v>
      </c>
      <c r="T963">
        <v>0</v>
      </c>
      <c r="U963">
        <v>0</v>
      </c>
      <c r="V963">
        <v>12</v>
      </c>
      <c r="W963">
        <v>66000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</row>
    <row r="964" spans="1:29">
      <c r="A964">
        <v>956</v>
      </c>
      <c r="B964" t="s">
        <v>149</v>
      </c>
      <c r="C964">
        <v>1288</v>
      </c>
      <c r="D964" t="s">
        <v>367</v>
      </c>
      <c r="E964" t="str">
        <f t="shared" si="14"/>
        <v>01288</v>
      </c>
      <c r="F964" t="s">
        <v>43</v>
      </c>
      <c r="G964" t="s">
        <v>150</v>
      </c>
      <c r="H964" t="s">
        <v>151</v>
      </c>
      <c r="I964" t="s">
        <v>4</v>
      </c>
      <c r="J964" t="s">
        <v>152</v>
      </c>
      <c r="K964" t="s">
        <v>153</v>
      </c>
      <c r="L964">
        <v>251200520</v>
      </c>
      <c r="M964" s="84">
        <v>46009</v>
      </c>
      <c r="N964" s="84">
        <v>46009</v>
      </c>
      <c r="O964" t="s">
        <v>160</v>
      </c>
      <c r="P964" t="s">
        <v>161</v>
      </c>
      <c r="Q964">
        <v>5500</v>
      </c>
      <c r="R964">
        <v>10</v>
      </c>
      <c r="S964">
        <v>55000</v>
      </c>
      <c r="T964">
        <v>0</v>
      </c>
      <c r="U964">
        <v>0</v>
      </c>
      <c r="V964">
        <v>10</v>
      </c>
      <c r="W964">
        <v>55000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</row>
    <row r="965" spans="1:29">
      <c r="A965">
        <v>957</v>
      </c>
      <c r="B965" t="s">
        <v>149</v>
      </c>
      <c r="C965">
        <v>1288</v>
      </c>
      <c r="D965" t="s">
        <v>367</v>
      </c>
      <c r="E965" t="str">
        <f t="shared" si="14"/>
        <v>01288</v>
      </c>
      <c r="F965" t="s">
        <v>43</v>
      </c>
      <c r="G965" t="s">
        <v>150</v>
      </c>
      <c r="H965" t="s">
        <v>151</v>
      </c>
      <c r="I965" t="s">
        <v>4</v>
      </c>
      <c r="J965" t="s">
        <v>152</v>
      </c>
      <c r="K965" t="s">
        <v>153</v>
      </c>
      <c r="L965">
        <v>251200520</v>
      </c>
      <c r="M965" s="84">
        <v>46009</v>
      </c>
      <c r="N965" s="84">
        <v>46009</v>
      </c>
      <c r="O965" t="s">
        <v>262</v>
      </c>
      <c r="P965" t="s">
        <v>263</v>
      </c>
      <c r="Q965">
        <v>5500</v>
      </c>
      <c r="R965">
        <v>10</v>
      </c>
      <c r="S965">
        <v>55000</v>
      </c>
      <c r="T965">
        <v>0</v>
      </c>
      <c r="U965">
        <v>0</v>
      </c>
      <c r="V965">
        <v>10</v>
      </c>
      <c r="W965">
        <v>55000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</row>
    <row r="966" spans="1:29">
      <c r="A966">
        <v>958</v>
      </c>
      <c r="B966" t="s">
        <v>149</v>
      </c>
      <c r="C966">
        <v>1554</v>
      </c>
      <c r="D966" t="s">
        <v>382</v>
      </c>
      <c r="E966" t="str">
        <f t="shared" si="14"/>
        <v>01554</v>
      </c>
      <c r="F966" t="s">
        <v>111</v>
      </c>
      <c r="G966" t="s">
        <v>150</v>
      </c>
      <c r="H966" t="s">
        <v>151</v>
      </c>
      <c r="I966" t="s">
        <v>4</v>
      </c>
      <c r="J966" t="s">
        <v>152</v>
      </c>
      <c r="K966" t="s">
        <v>153</v>
      </c>
      <c r="L966">
        <v>251200521</v>
      </c>
      <c r="M966" s="84">
        <v>46009</v>
      </c>
      <c r="N966" s="84">
        <v>46009</v>
      </c>
      <c r="O966" t="s">
        <v>221</v>
      </c>
      <c r="P966" t="s">
        <v>222</v>
      </c>
      <c r="Q966">
        <v>5500</v>
      </c>
      <c r="R966">
        <v>3</v>
      </c>
      <c r="S966">
        <v>16500</v>
      </c>
      <c r="T966">
        <v>0</v>
      </c>
      <c r="U966">
        <v>0</v>
      </c>
      <c r="V966">
        <v>3</v>
      </c>
      <c r="W966">
        <v>16500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</row>
    <row r="967" spans="1:29">
      <c r="A967">
        <v>959</v>
      </c>
      <c r="B967" t="s">
        <v>149</v>
      </c>
      <c r="C967">
        <v>1554</v>
      </c>
      <c r="D967" t="s">
        <v>382</v>
      </c>
      <c r="E967" t="str">
        <f t="shared" si="14"/>
        <v>01554</v>
      </c>
      <c r="F967" t="s">
        <v>111</v>
      </c>
      <c r="G967" t="s">
        <v>150</v>
      </c>
      <c r="H967" t="s">
        <v>151</v>
      </c>
      <c r="I967" t="s">
        <v>4</v>
      </c>
      <c r="J967" t="s">
        <v>152</v>
      </c>
      <c r="K967" t="s">
        <v>153</v>
      </c>
      <c r="L967">
        <v>251200522</v>
      </c>
      <c r="M967" s="84">
        <v>46009</v>
      </c>
      <c r="N967" s="84">
        <v>46009</v>
      </c>
      <c r="O967" t="s">
        <v>219</v>
      </c>
      <c r="P967" t="s">
        <v>220</v>
      </c>
      <c r="Q967">
        <v>5500</v>
      </c>
      <c r="R967">
        <v>2</v>
      </c>
      <c r="S967">
        <v>11000</v>
      </c>
      <c r="T967">
        <v>0</v>
      </c>
      <c r="U967">
        <v>0</v>
      </c>
      <c r="V967">
        <v>2</v>
      </c>
      <c r="W967">
        <v>11000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</row>
    <row r="968" spans="1:29">
      <c r="A968">
        <v>960</v>
      </c>
      <c r="B968" t="s">
        <v>149</v>
      </c>
      <c r="C968">
        <v>1554</v>
      </c>
      <c r="D968" t="s">
        <v>382</v>
      </c>
      <c r="E968" t="str">
        <f t="shared" si="14"/>
        <v>01554</v>
      </c>
      <c r="F968" t="s">
        <v>111</v>
      </c>
      <c r="G968" t="s">
        <v>150</v>
      </c>
      <c r="H968" t="s">
        <v>151</v>
      </c>
      <c r="I968" t="s">
        <v>4</v>
      </c>
      <c r="J968" t="s">
        <v>152</v>
      </c>
      <c r="K968" t="s">
        <v>153</v>
      </c>
      <c r="L968">
        <v>251200522</v>
      </c>
      <c r="M968" s="84">
        <v>46009</v>
      </c>
      <c r="N968" s="84">
        <v>46009</v>
      </c>
      <c r="O968" t="s">
        <v>160</v>
      </c>
      <c r="P968" t="s">
        <v>161</v>
      </c>
      <c r="Q968">
        <v>5500</v>
      </c>
      <c r="R968">
        <v>10</v>
      </c>
      <c r="S968">
        <v>55000</v>
      </c>
      <c r="T968">
        <v>0</v>
      </c>
      <c r="U968">
        <v>0</v>
      </c>
      <c r="V968">
        <v>10</v>
      </c>
      <c r="W968">
        <v>55000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</row>
    <row r="969" spans="1:29">
      <c r="A969">
        <v>961</v>
      </c>
      <c r="B969" t="s">
        <v>149</v>
      </c>
      <c r="C969">
        <v>1478</v>
      </c>
      <c r="D969" t="s">
        <v>314</v>
      </c>
      <c r="E969" t="str">
        <f t="shared" ref="E969:E1032" si="15">TEXT(C969,"00000")</f>
        <v>01478</v>
      </c>
      <c r="F969" t="s">
        <v>111</v>
      </c>
      <c r="G969" t="s">
        <v>150</v>
      </c>
      <c r="H969" t="s">
        <v>151</v>
      </c>
      <c r="I969" t="s">
        <v>5</v>
      </c>
      <c r="J969" t="s">
        <v>152</v>
      </c>
      <c r="K969" t="s">
        <v>153</v>
      </c>
      <c r="L969">
        <v>251200523</v>
      </c>
      <c r="M969" s="84">
        <v>46009</v>
      </c>
      <c r="N969" s="84">
        <v>46009</v>
      </c>
      <c r="O969" t="s">
        <v>191</v>
      </c>
      <c r="P969" t="s">
        <v>192</v>
      </c>
      <c r="Q969">
        <v>4500</v>
      </c>
      <c r="R969">
        <v>40</v>
      </c>
      <c r="S969">
        <v>180000</v>
      </c>
      <c r="T969">
        <v>0</v>
      </c>
      <c r="U969">
        <v>0</v>
      </c>
      <c r="V969">
        <v>40</v>
      </c>
      <c r="W969">
        <v>180000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</row>
    <row r="970" spans="1:29">
      <c r="A970">
        <v>962</v>
      </c>
      <c r="B970" t="s">
        <v>149</v>
      </c>
      <c r="C970">
        <v>1444</v>
      </c>
      <c r="D970" t="s">
        <v>341</v>
      </c>
      <c r="E970" t="str">
        <f t="shared" si="15"/>
        <v>01444</v>
      </c>
      <c r="F970" t="s">
        <v>28</v>
      </c>
      <c r="G970" t="s">
        <v>164</v>
      </c>
      <c r="H970" t="s">
        <v>151</v>
      </c>
      <c r="I970" t="s">
        <v>4</v>
      </c>
      <c r="J970" t="s">
        <v>152</v>
      </c>
      <c r="K970" t="s">
        <v>153</v>
      </c>
      <c r="L970">
        <v>251200524</v>
      </c>
      <c r="M970" s="84">
        <v>46009</v>
      </c>
      <c r="N970" s="84">
        <v>46009</v>
      </c>
      <c r="O970" t="s">
        <v>160</v>
      </c>
      <c r="P970" t="s">
        <v>161</v>
      </c>
      <c r="Q970">
        <v>5500</v>
      </c>
      <c r="R970">
        <v>20</v>
      </c>
      <c r="S970">
        <v>110000</v>
      </c>
      <c r="T970">
        <v>0</v>
      </c>
      <c r="U970">
        <v>0</v>
      </c>
      <c r="V970">
        <v>20</v>
      </c>
      <c r="W970">
        <v>110000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</row>
    <row r="971" spans="1:29">
      <c r="A971">
        <v>963</v>
      </c>
      <c r="B971" t="s">
        <v>149</v>
      </c>
      <c r="C971">
        <v>1444</v>
      </c>
      <c r="D971" t="s">
        <v>341</v>
      </c>
      <c r="E971" t="str">
        <f t="shared" si="15"/>
        <v>01444</v>
      </c>
      <c r="F971" t="s">
        <v>28</v>
      </c>
      <c r="G971" t="s">
        <v>164</v>
      </c>
      <c r="H971" t="s">
        <v>151</v>
      </c>
      <c r="I971" t="s">
        <v>5</v>
      </c>
      <c r="J971" t="s">
        <v>152</v>
      </c>
      <c r="K971" t="s">
        <v>153</v>
      </c>
      <c r="L971">
        <v>251200524</v>
      </c>
      <c r="M971" s="84">
        <v>46009</v>
      </c>
      <c r="N971" s="84">
        <v>46009</v>
      </c>
      <c r="O971" t="s">
        <v>191</v>
      </c>
      <c r="P971" t="s">
        <v>192</v>
      </c>
      <c r="Q971">
        <v>4500</v>
      </c>
      <c r="R971">
        <v>8</v>
      </c>
      <c r="S971">
        <v>36000</v>
      </c>
      <c r="T971">
        <v>0</v>
      </c>
      <c r="U971">
        <v>0</v>
      </c>
      <c r="V971">
        <v>8</v>
      </c>
      <c r="W971">
        <v>36000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</row>
    <row r="972" spans="1:29">
      <c r="A972">
        <v>964</v>
      </c>
      <c r="B972" t="s">
        <v>149</v>
      </c>
      <c r="C972">
        <v>1118</v>
      </c>
      <c r="D972" t="s">
        <v>37</v>
      </c>
      <c r="E972" t="str">
        <f t="shared" si="15"/>
        <v>01118</v>
      </c>
      <c r="F972" t="s">
        <v>28</v>
      </c>
      <c r="G972" t="s">
        <v>164</v>
      </c>
      <c r="H972" t="s">
        <v>151</v>
      </c>
      <c r="I972" t="s">
        <v>4</v>
      </c>
      <c r="J972" t="s">
        <v>152</v>
      </c>
      <c r="K972" t="s">
        <v>153</v>
      </c>
      <c r="L972">
        <v>251200525</v>
      </c>
      <c r="M972" s="84">
        <v>46009</v>
      </c>
      <c r="N972" s="84">
        <v>46009</v>
      </c>
      <c r="O972" t="s">
        <v>243</v>
      </c>
      <c r="P972" t="s">
        <v>244</v>
      </c>
      <c r="Q972">
        <v>15050</v>
      </c>
      <c r="R972">
        <v>5</v>
      </c>
      <c r="S972">
        <v>75250</v>
      </c>
      <c r="T972">
        <v>0</v>
      </c>
      <c r="U972">
        <v>0</v>
      </c>
      <c r="V972">
        <v>5</v>
      </c>
      <c r="W972">
        <v>75250</v>
      </c>
      <c r="X972">
        <v>750</v>
      </c>
      <c r="Y972">
        <v>1000</v>
      </c>
      <c r="Z972">
        <v>0</v>
      </c>
      <c r="AA972">
        <v>0</v>
      </c>
      <c r="AB972">
        <v>0</v>
      </c>
      <c r="AC972">
        <v>1750</v>
      </c>
    </row>
    <row r="973" spans="1:29">
      <c r="A973">
        <v>965</v>
      </c>
      <c r="B973" t="s">
        <v>149</v>
      </c>
      <c r="C973">
        <v>1118</v>
      </c>
      <c r="D973" t="s">
        <v>37</v>
      </c>
      <c r="E973" t="str">
        <f t="shared" si="15"/>
        <v>01118</v>
      </c>
      <c r="F973" t="s">
        <v>28</v>
      </c>
      <c r="G973" t="s">
        <v>164</v>
      </c>
      <c r="H973" t="s">
        <v>151</v>
      </c>
      <c r="I973" t="s">
        <v>4</v>
      </c>
      <c r="J973" t="s">
        <v>152</v>
      </c>
      <c r="K973" t="s">
        <v>153</v>
      </c>
      <c r="L973">
        <v>251200525</v>
      </c>
      <c r="M973" s="84">
        <v>46009</v>
      </c>
      <c r="N973" s="84">
        <v>46009</v>
      </c>
      <c r="O973" t="s">
        <v>160</v>
      </c>
      <c r="P973" t="s">
        <v>161</v>
      </c>
      <c r="Q973">
        <v>14250</v>
      </c>
      <c r="R973">
        <v>5</v>
      </c>
      <c r="S973">
        <v>71250</v>
      </c>
      <c r="T973">
        <v>0</v>
      </c>
      <c r="U973">
        <v>0</v>
      </c>
      <c r="V973">
        <v>5</v>
      </c>
      <c r="W973">
        <v>71250</v>
      </c>
      <c r="X973">
        <v>750</v>
      </c>
      <c r="Y973">
        <v>1000</v>
      </c>
      <c r="Z973">
        <v>0</v>
      </c>
      <c r="AA973">
        <v>0</v>
      </c>
      <c r="AB973">
        <v>0</v>
      </c>
      <c r="AC973">
        <v>1750</v>
      </c>
    </row>
    <row r="974" spans="1:29">
      <c r="A974">
        <v>966</v>
      </c>
      <c r="B974" t="s">
        <v>149</v>
      </c>
      <c r="C974">
        <v>1481</v>
      </c>
      <c r="D974" t="s">
        <v>410</v>
      </c>
      <c r="E974" t="str">
        <f t="shared" si="15"/>
        <v>01481</v>
      </c>
      <c r="F974" t="s">
        <v>28</v>
      </c>
      <c r="G974" t="s">
        <v>164</v>
      </c>
      <c r="H974" t="s">
        <v>151</v>
      </c>
      <c r="I974" t="s">
        <v>5</v>
      </c>
      <c r="J974" t="s">
        <v>152</v>
      </c>
      <c r="K974" t="s">
        <v>153</v>
      </c>
      <c r="L974">
        <v>251200526</v>
      </c>
      <c r="M974" s="84">
        <v>46009</v>
      </c>
      <c r="N974" s="84">
        <v>46009</v>
      </c>
      <c r="O974" t="s">
        <v>191</v>
      </c>
      <c r="P974" t="s">
        <v>192</v>
      </c>
      <c r="Q974">
        <v>4500</v>
      </c>
      <c r="R974">
        <v>80</v>
      </c>
      <c r="S974">
        <v>360000</v>
      </c>
      <c r="T974">
        <v>0</v>
      </c>
      <c r="U974">
        <v>0</v>
      </c>
      <c r="V974">
        <v>80</v>
      </c>
      <c r="W974">
        <v>360000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</row>
    <row r="975" spans="1:29">
      <c r="A975">
        <v>967</v>
      </c>
      <c r="B975" t="s">
        <v>149</v>
      </c>
      <c r="C975">
        <v>1299</v>
      </c>
      <c r="D975" t="s">
        <v>334</v>
      </c>
      <c r="E975" t="str">
        <f t="shared" si="15"/>
        <v>01299</v>
      </c>
      <c r="F975" t="s">
        <v>83</v>
      </c>
      <c r="G975" t="s">
        <v>164</v>
      </c>
      <c r="H975" t="s">
        <v>151</v>
      </c>
      <c r="I975" t="s">
        <v>5</v>
      </c>
      <c r="J975" t="s">
        <v>152</v>
      </c>
      <c r="K975" t="s">
        <v>153</v>
      </c>
      <c r="L975">
        <v>251200527</v>
      </c>
      <c r="M975" s="84">
        <v>46009</v>
      </c>
      <c r="N975" s="84">
        <v>46009</v>
      </c>
      <c r="O975" t="s">
        <v>191</v>
      </c>
      <c r="P975" t="s">
        <v>192</v>
      </c>
      <c r="Q975">
        <v>4500</v>
      </c>
      <c r="R975">
        <v>100</v>
      </c>
      <c r="S975">
        <v>450000</v>
      </c>
      <c r="T975">
        <v>0</v>
      </c>
      <c r="U975">
        <v>0</v>
      </c>
      <c r="V975">
        <v>100</v>
      </c>
      <c r="W975">
        <v>450000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</row>
    <row r="976" spans="1:29">
      <c r="A976">
        <v>968</v>
      </c>
      <c r="B976" t="s">
        <v>149</v>
      </c>
      <c r="C976">
        <v>1299</v>
      </c>
      <c r="D976" t="s">
        <v>334</v>
      </c>
      <c r="E976" t="str">
        <f t="shared" si="15"/>
        <v>01299</v>
      </c>
      <c r="F976" t="s">
        <v>83</v>
      </c>
      <c r="G976" t="s">
        <v>164</v>
      </c>
      <c r="H976" t="s">
        <v>151</v>
      </c>
      <c r="I976" t="s">
        <v>4</v>
      </c>
      <c r="J976" t="s">
        <v>152</v>
      </c>
      <c r="K976" t="s">
        <v>153</v>
      </c>
      <c r="L976">
        <v>251200527</v>
      </c>
      <c r="M976" s="84">
        <v>46009</v>
      </c>
      <c r="N976" s="84">
        <v>46009</v>
      </c>
      <c r="O976" t="s">
        <v>160</v>
      </c>
      <c r="P976" t="s">
        <v>161</v>
      </c>
      <c r="Q976">
        <v>5500</v>
      </c>
      <c r="R976">
        <v>80</v>
      </c>
      <c r="S976">
        <v>440000</v>
      </c>
      <c r="T976">
        <v>0</v>
      </c>
      <c r="U976">
        <v>0</v>
      </c>
      <c r="V976">
        <v>80</v>
      </c>
      <c r="W976">
        <v>440000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</row>
    <row r="977" spans="1:29">
      <c r="A977">
        <v>969</v>
      </c>
      <c r="B977" t="s">
        <v>149</v>
      </c>
      <c r="C977">
        <v>827</v>
      </c>
      <c r="D977" t="s">
        <v>84</v>
      </c>
      <c r="E977" t="str">
        <f t="shared" si="15"/>
        <v>00827</v>
      </c>
      <c r="F977" t="s">
        <v>83</v>
      </c>
      <c r="G977" t="s">
        <v>164</v>
      </c>
      <c r="H977" t="s">
        <v>151</v>
      </c>
      <c r="I977" t="s">
        <v>4</v>
      </c>
      <c r="J977" t="s">
        <v>152</v>
      </c>
      <c r="K977" t="s">
        <v>153</v>
      </c>
      <c r="L977">
        <v>251200528</v>
      </c>
      <c r="M977" s="84">
        <v>46009</v>
      </c>
      <c r="N977" s="84">
        <v>46009</v>
      </c>
      <c r="O977" t="s">
        <v>177</v>
      </c>
      <c r="P977" t="s">
        <v>178</v>
      </c>
      <c r="Q977">
        <v>14250</v>
      </c>
      <c r="R977">
        <v>4</v>
      </c>
      <c r="S977">
        <v>57000</v>
      </c>
      <c r="T977">
        <v>0</v>
      </c>
      <c r="U977">
        <v>0</v>
      </c>
      <c r="V977">
        <v>4</v>
      </c>
      <c r="W977">
        <v>57000</v>
      </c>
      <c r="X977">
        <v>600</v>
      </c>
      <c r="Y977">
        <v>800</v>
      </c>
      <c r="Z977">
        <v>0</v>
      </c>
      <c r="AA977">
        <v>0</v>
      </c>
      <c r="AB977">
        <v>0</v>
      </c>
      <c r="AC977">
        <v>1400</v>
      </c>
    </row>
    <row r="978" spans="1:29">
      <c r="A978">
        <v>970</v>
      </c>
      <c r="B978" t="s">
        <v>149</v>
      </c>
      <c r="C978">
        <v>334</v>
      </c>
      <c r="D978" t="s">
        <v>56</v>
      </c>
      <c r="E978" t="str">
        <f t="shared" si="15"/>
        <v>00334</v>
      </c>
      <c r="F978" t="s">
        <v>49</v>
      </c>
      <c r="G978" t="s">
        <v>167</v>
      </c>
      <c r="H978" t="s">
        <v>151</v>
      </c>
      <c r="I978" t="s">
        <v>5</v>
      </c>
      <c r="J978" t="s">
        <v>152</v>
      </c>
      <c r="K978" t="s">
        <v>153</v>
      </c>
      <c r="L978">
        <v>251200529</v>
      </c>
      <c r="M978" s="84">
        <v>46009</v>
      </c>
      <c r="N978" s="84">
        <v>46009</v>
      </c>
      <c r="O978" t="s">
        <v>191</v>
      </c>
      <c r="P978" t="s">
        <v>192</v>
      </c>
      <c r="Q978">
        <v>11700</v>
      </c>
      <c r="R978">
        <v>20</v>
      </c>
      <c r="S978">
        <v>234000</v>
      </c>
      <c r="T978">
        <v>0</v>
      </c>
      <c r="U978">
        <v>0</v>
      </c>
      <c r="V978">
        <v>20</v>
      </c>
      <c r="W978">
        <v>234000</v>
      </c>
      <c r="X978">
        <v>3000</v>
      </c>
      <c r="Y978">
        <v>3000</v>
      </c>
      <c r="Z978">
        <v>0</v>
      </c>
      <c r="AA978">
        <v>0</v>
      </c>
      <c r="AB978">
        <v>0</v>
      </c>
      <c r="AC978">
        <v>6000</v>
      </c>
    </row>
    <row r="979" spans="1:29">
      <c r="A979">
        <v>971</v>
      </c>
      <c r="B979" t="s">
        <v>149</v>
      </c>
      <c r="C979">
        <v>334</v>
      </c>
      <c r="D979" t="s">
        <v>56</v>
      </c>
      <c r="E979" t="str">
        <f t="shared" si="15"/>
        <v>00334</v>
      </c>
      <c r="F979" t="s">
        <v>49</v>
      </c>
      <c r="G979" t="s">
        <v>167</v>
      </c>
      <c r="H979" t="s">
        <v>151</v>
      </c>
      <c r="I979" t="s">
        <v>4</v>
      </c>
      <c r="J979" t="s">
        <v>152</v>
      </c>
      <c r="K979" t="s">
        <v>153</v>
      </c>
      <c r="L979">
        <v>251200529</v>
      </c>
      <c r="M979" s="84">
        <v>46009</v>
      </c>
      <c r="N979" s="84">
        <v>46009</v>
      </c>
      <c r="O979" t="s">
        <v>160</v>
      </c>
      <c r="P979" t="s">
        <v>161</v>
      </c>
      <c r="Q979">
        <v>14250</v>
      </c>
      <c r="R979">
        <v>20</v>
      </c>
      <c r="S979">
        <v>285000</v>
      </c>
      <c r="T979">
        <v>0</v>
      </c>
      <c r="U979">
        <v>0</v>
      </c>
      <c r="V979">
        <v>20</v>
      </c>
      <c r="W979">
        <v>285000</v>
      </c>
      <c r="X979">
        <v>3000</v>
      </c>
      <c r="Y979">
        <v>4000</v>
      </c>
      <c r="Z979">
        <v>0</v>
      </c>
      <c r="AA979">
        <v>0</v>
      </c>
      <c r="AB979">
        <v>0</v>
      </c>
      <c r="AC979">
        <v>7000</v>
      </c>
    </row>
    <row r="980" spans="1:29">
      <c r="A980">
        <v>972</v>
      </c>
      <c r="B980" t="s">
        <v>149</v>
      </c>
      <c r="C980">
        <v>337</v>
      </c>
      <c r="D980" t="s">
        <v>57</v>
      </c>
      <c r="E980" t="str">
        <f t="shared" si="15"/>
        <v>00337</v>
      </c>
      <c r="F980" t="s">
        <v>49</v>
      </c>
      <c r="G980" t="s">
        <v>167</v>
      </c>
      <c r="H980" t="s">
        <v>151</v>
      </c>
      <c r="I980" t="s">
        <v>4</v>
      </c>
      <c r="J980" t="s">
        <v>152</v>
      </c>
      <c r="K980" t="s">
        <v>153</v>
      </c>
      <c r="L980">
        <v>251200530</v>
      </c>
      <c r="M980" s="84">
        <v>46009</v>
      </c>
      <c r="N980" s="84">
        <v>46009</v>
      </c>
      <c r="O980" t="s">
        <v>162</v>
      </c>
      <c r="P980" t="s">
        <v>163</v>
      </c>
      <c r="Q980">
        <v>14250</v>
      </c>
      <c r="R980">
        <v>5</v>
      </c>
      <c r="S980">
        <v>71250</v>
      </c>
      <c r="T980">
        <v>0</v>
      </c>
      <c r="U980">
        <v>0</v>
      </c>
      <c r="V980">
        <v>5</v>
      </c>
      <c r="W980">
        <v>71250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</row>
    <row r="981" spans="1:29">
      <c r="A981">
        <v>973</v>
      </c>
      <c r="B981" t="s">
        <v>149</v>
      </c>
      <c r="C981">
        <v>1368</v>
      </c>
      <c r="D981" t="s">
        <v>22</v>
      </c>
      <c r="E981" t="str">
        <f t="shared" si="15"/>
        <v>01368</v>
      </c>
      <c r="F981" t="s">
        <v>20</v>
      </c>
      <c r="G981" t="s">
        <v>193</v>
      </c>
      <c r="H981" t="s">
        <v>151</v>
      </c>
      <c r="I981" t="s">
        <v>4</v>
      </c>
      <c r="J981" t="s">
        <v>152</v>
      </c>
      <c r="K981" t="s">
        <v>236</v>
      </c>
      <c r="L981">
        <v>251200531</v>
      </c>
      <c r="M981" s="84">
        <v>46009</v>
      </c>
      <c r="N981" s="84">
        <v>46009</v>
      </c>
      <c r="O981" t="s">
        <v>160</v>
      </c>
      <c r="P981" t="s">
        <v>161</v>
      </c>
      <c r="Q981">
        <v>14250</v>
      </c>
      <c r="R981">
        <v>20</v>
      </c>
      <c r="S981">
        <v>285000</v>
      </c>
      <c r="T981">
        <v>0</v>
      </c>
      <c r="U981">
        <v>0</v>
      </c>
      <c r="V981">
        <v>20</v>
      </c>
      <c r="W981">
        <v>285000</v>
      </c>
      <c r="X981">
        <v>3000</v>
      </c>
      <c r="Y981">
        <v>4000</v>
      </c>
      <c r="Z981">
        <v>0</v>
      </c>
      <c r="AA981">
        <v>0</v>
      </c>
      <c r="AB981">
        <v>0</v>
      </c>
      <c r="AC981">
        <v>7000</v>
      </c>
    </row>
    <row r="982" spans="1:29">
      <c r="A982">
        <v>974</v>
      </c>
      <c r="B982" t="s">
        <v>149</v>
      </c>
      <c r="C982">
        <v>1441</v>
      </c>
      <c r="D982" t="s">
        <v>23</v>
      </c>
      <c r="E982" t="str">
        <f t="shared" si="15"/>
        <v>01441</v>
      </c>
      <c r="F982" t="s">
        <v>20</v>
      </c>
      <c r="G982" t="s">
        <v>193</v>
      </c>
      <c r="H982" t="s">
        <v>151</v>
      </c>
      <c r="I982" t="s">
        <v>5</v>
      </c>
      <c r="J982" t="s">
        <v>152</v>
      </c>
      <c r="K982" t="s">
        <v>236</v>
      </c>
      <c r="L982">
        <v>251200532</v>
      </c>
      <c r="M982" s="84">
        <v>46009</v>
      </c>
      <c r="N982" s="84">
        <v>46009</v>
      </c>
      <c r="O982" t="s">
        <v>279</v>
      </c>
      <c r="P982" t="s">
        <v>280</v>
      </c>
      <c r="Q982">
        <v>11700</v>
      </c>
      <c r="R982">
        <v>12</v>
      </c>
      <c r="S982">
        <v>140400</v>
      </c>
      <c r="T982">
        <v>0</v>
      </c>
      <c r="U982">
        <v>0</v>
      </c>
      <c r="V982">
        <v>12</v>
      </c>
      <c r="W982">
        <v>140400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</row>
    <row r="983" spans="1:29">
      <c r="A983">
        <v>975</v>
      </c>
      <c r="B983" t="s">
        <v>149</v>
      </c>
      <c r="C983">
        <v>1313</v>
      </c>
      <c r="D983" t="s">
        <v>396</v>
      </c>
      <c r="E983" t="str">
        <f t="shared" si="15"/>
        <v>01313</v>
      </c>
      <c r="F983" t="s">
        <v>20</v>
      </c>
      <c r="G983" t="s">
        <v>193</v>
      </c>
      <c r="H983" t="s">
        <v>151</v>
      </c>
      <c r="I983" t="s">
        <v>4</v>
      </c>
      <c r="J983" t="s">
        <v>152</v>
      </c>
      <c r="K983" t="s">
        <v>236</v>
      </c>
      <c r="L983">
        <v>251200533</v>
      </c>
      <c r="M983" s="84">
        <v>46009</v>
      </c>
      <c r="N983" s="84">
        <v>46009</v>
      </c>
      <c r="O983" t="s">
        <v>168</v>
      </c>
      <c r="P983" t="s">
        <v>169</v>
      </c>
      <c r="Q983">
        <v>5500</v>
      </c>
      <c r="R983">
        <v>10</v>
      </c>
      <c r="S983">
        <v>55000</v>
      </c>
      <c r="T983">
        <v>0</v>
      </c>
      <c r="U983">
        <v>0</v>
      </c>
      <c r="V983">
        <v>10</v>
      </c>
      <c r="W983">
        <v>55000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</row>
    <row r="984" spans="1:29">
      <c r="A984">
        <v>976</v>
      </c>
      <c r="B984" t="s">
        <v>149</v>
      </c>
      <c r="C984">
        <v>1313</v>
      </c>
      <c r="D984" t="s">
        <v>396</v>
      </c>
      <c r="E984" t="str">
        <f t="shared" si="15"/>
        <v>01313</v>
      </c>
      <c r="F984" t="s">
        <v>20</v>
      </c>
      <c r="G984" t="s">
        <v>193</v>
      </c>
      <c r="H984" t="s">
        <v>151</v>
      </c>
      <c r="I984" t="s">
        <v>4</v>
      </c>
      <c r="J984" t="s">
        <v>152</v>
      </c>
      <c r="K984" t="s">
        <v>236</v>
      </c>
      <c r="L984">
        <v>251200533</v>
      </c>
      <c r="M984" s="84">
        <v>46009</v>
      </c>
      <c r="N984" s="84">
        <v>46009</v>
      </c>
      <c r="O984" t="s">
        <v>219</v>
      </c>
      <c r="P984" t="s">
        <v>220</v>
      </c>
      <c r="Q984">
        <v>5500</v>
      </c>
      <c r="R984">
        <v>58</v>
      </c>
      <c r="S984">
        <v>319000</v>
      </c>
      <c r="T984">
        <v>0</v>
      </c>
      <c r="U984">
        <v>0</v>
      </c>
      <c r="V984">
        <v>58</v>
      </c>
      <c r="W984">
        <v>319000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</row>
    <row r="985" spans="1:29">
      <c r="A985">
        <v>977</v>
      </c>
      <c r="B985" t="s">
        <v>149</v>
      </c>
      <c r="C985">
        <v>1581</v>
      </c>
      <c r="D985" t="s">
        <v>96</v>
      </c>
      <c r="E985" t="str">
        <f t="shared" si="15"/>
        <v>01581</v>
      </c>
      <c r="F985" t="s">
        <v>95</v>
      </c>
      <c r="G985" t="s">
        <v>187</v>
      </c>
      <c r="H985" t="s">
        <v>188</v>
      </c>
      <c r="I985" t="s">
        <v>4</v>
      </c>
      <c r="J985" t="s">
        <v>152</v>
      </c>
      <c r="K985" t="s">
        <v>159</v>
      </c>
      <c r="L985">
        <v>251200534</v>
      </c>
      <c r="M985" s="84">
        <v>46009</v>
      </c>
      <c r="N985" s="84">
        <v>46009</v>
      </c>
      <c r="O985" t="s">
        <v>262</v>
      </c>
      <c r="P985" t="s">
        <v>263</v>
      </c>
      <c r="Q985">
        <v>13300</v>
      </c>
      <c r="R985">
        <v>18</v>
      </c>
      <c r="S985">
        <v>239400</v>
      </c>
      <c r="T985">
        <v>0</v>
      </c>
      <c r="U985">
        <v>0</v>
      </c>
      <c r="V985">
        <v>18</v>
      </c>
      <c r="W985">
        <v>239400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</row>
    <row r="986" spans="1:29">
      <c r="A986">
        <v>978</v>
      </c>
      <c r="B986" t="s">
        <v>149</v>
      </c>
      <c r="C986">
        <v>1581</v>
      </c>
      <c r="D986" t="s">
        <v>96</v>
      </c>
      <c r="E986" t="str">
        <f t="shared" si="15"/>
        <v>01581</v>
      </c>
      <c r="F986" t="s">
        <v>95</v>
      </c>
      <c r="G986" t="s">
        <v>187</v>
      </c>
      <c r="H986" t="s">
        <v>188</v>
      </c>
      <c r="I986" t="s">
        <v>5</v>
      </c>
      <c r="J986" t="s">
        <v>152</v>
      </c>
      <c r="K986" t="s">
        <v>159</v>
      </c>
      <c r="L986">
        <v>251200534</v>
      </c>
      <c r="M986" s="84">
        <v>46009</v>
      </c>
      <c r="N986" s="84">
        <v>46009</v>
      </c>
      <c r="O986" t="s">
        <v>198</v>
      </c>
      <c r="P986" t="s">
        <v>199</v>
      </c>
      <c r="Q986">
        <v>10800</v>
      </c>
      <c r="R986">
        <v>16</v>
      </c>
      <c r="S986">
        <v>172800</v>
      </c>
      <c r="T986">
        <v>0</v>
      </c>
      <c r="U986">
        <v>0</v>
      </c>
      <c r="V986">
        <v>16</v>
      </c>
      <c r="W986">
        <v>172800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</row>
    <row r="987" spans="1:29">
      <c r="A987">
        <v>979</v>
      </c>
      <c r="B987" t="s">
        <v>149</v>
      </c>
      <c r="C987">
        <v>471</v>
      </c>
      <c r="D987" t="s">
        <v>25</v>
      </c>
      <c r="E987" t="str">
        <f t="shared" si="15"/>
        <v>00471</v>
      </c>
      <c r="F987" t="s">
        <v>20</v>
      </c>
      <c r="G987" t="s">
        <v>193</v>
      </c>
      <c r="H987" t="s">
        <v>151</v>
      </c>
      <c r="I987" t="s">
        <v>4</v>
      </c>
      <c r="J987" t="s">
        <v>152</v>
      </c>
      <c r="K987" t="s">
        <v>236</v>
      </c>
      <c r="L987">
        <v>251200535</v>
      </c>
      <c r="M987" s="84">
        <v>46009</v>
      </c>
      <c r="N987" s="84">
        <v>46009</v>
      </c>
      <c r="O987" t="s">
        <v>160</v>
      </c>
      <c r="P987" t="s">
        <v>161</v>
      </c>
      <c r="Q987">
        <v>14250</v>
      </c>
      <c r="R987">
        <v>15</v>
      </c>
      <c r="S987">
        <v>213750</v>
      </c>
      <c r="T987">
        <v>0</v>
      </c>
      <c r="U987">
        <v>0</v>
      </c>
      <c r="V987">
        <v>15</v>
      </c>
      <c r="W987">
        <v>213750</v>
      </c>
      <c r="X987">
        <v>2250</v>
      </c>
      <c r="Y987">
        <v>3000</v>
      </c>
      <c r="Z987">
        <v>0</v>
      </c>
      <c r="AA987">
        <v>0</v>
      </c>
      <c r="AB987">
        <v>0</v>
      </c>
      <c r="AC987">
        <v>5250</v>
      </c>
    </row>
    <row r="988" spans="1:29">
      <c r="A988">
        <v>980</v>
      </c>
      <c r="B988" t="s">
        <v>149</v>
      </c>
      <c r="C988">
        <v>471</v>
      </c>
      <c r="D988" t="s">
        <v>25</v>
      </c>
      <c r="E988" t="str">
        <f t="shared" si="15"/>
        <v>00471</v>
      </c>
      <c r="F988" t="s">
        <v>20</v>
      </c>
      <c r="G988" t="s">
        <v>193</v>
      </c>
      <c r="H988" t="s">
        <v>151</v>
      </c>
      <c r="I988" t="s">
        <v>4</v>
      </c>
      <c r="J988" t="s">
        <v>152</v>
      </c>
      <c r="K988" t="s">
        <v>236</v>
      </c>
      <c r="L988">
        <v>251200535</v>
      </c>
      <c r="M988" s="84">
        <v>46009</v>
      </c>
      <c r="N988" s="84">
        <v>46009</v>
      </c>
      <c r="O988" t="s">
        <v>179</v>
      </c>
      <c r="P988" t="s">
        <v>180</v>
      </c>
      <c r="Q988">
        <v>14250</v>
      </c>
      <c r="R988">
        <v>28</v>
      </c>
      <c r="S988">
        <v>399000</v>
      </c>
      <c r="T988">
        <v>0</v>
      </c>
      <c r="U988">
        <v>0</v>
      </c>
      <c r="V988">
        <v>28</v>
      </c>
      <c r="W988">
        <v>399000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</row>
    <row r="989" spans="1:29">
      <c r="A989">
        <v>981</v>
      </c>
      <c r="B989" t="s">
        <v>149</v>
      </c>
      <c r="C989">
        <v>471</v>
      </c>
      <c r="D989" t="s">
        <v>25</v>
      </c>
      <c r="E989" t="str">
        <f t="shared" si="15"/>
        <v>00471</v>
      </c>
      <c r="F989" t="s">
        <v>20</v>
      </c>
      <c r="G989" t="s">
        <v>193</v>
      </c>
      <c r="H989" t="s">
        <v>151</v>
      </c>
      <c r="I989" t="s">
        <v>5</v>
      </c>
      <c r="J989" t="s">
        <v>152</v>
      </c>
      <c r="K989" t="s">
        <v>236</v>
      </c>
      <c r="L989">
        <v>251200535</v>
      </c>
      <c r="M989" s="84">
        <v>46009</v>
      </c>
      <c r="N989" s="84">
        <v>46009</v>
      </c>
      <c r="O989" t="s">
        <v>191</v>
      </c>
      <c r="P989" t="s">
        <v>192</v>
      </c>
      <c r="Q989">
        <v>11700</v>
      </c>
      <c r="R989">
        <v>28</v>
      </c>
      <c r="S989">
        <v>327600</v>
      </c>
      <c r="T989">
        <v>0</v>
      </c>
      <c r="U989">
        <v>0</v>
      </c>
      <c r="V989">
        <v>28</v>
      </c>
      <c r="W989">
        <v>327600</v>
      </c>
      <c r="X989">
        <v>4200</v>
      </c>
      <c r="Y989">
        <v>4200</v>
      </c>
      <c r="Z989">
        <v>0</v>
      </c>
      <c r="AA989">
        <v>0</v>
      </c>
      <c r="AB989">
        <v>0</v>
      </c>
      <c r="AC989">
        <v>8400</v>
      </c>
    </row>
    <row r="990" spans="1:29">
      <c r="A990">
        <v>982</v>
      </c>
      <c r="B990" t="s">
        <v>149</v>
      </c>
      <c r="C990">
        <v>1385</v>
      </c>
      <c r="D990" t="s">
        <v>27</v>
      </c>
      <c r="E990" t="str">
        <f t="shared" si="15"/>
        <v>01385</v>
      </c>
      <c r="F990" t="s">
        <v>20</v>
      </c>
      <c r="G990" t="s">
        <v>193</v>
      </c>
      <c r="H990" t="s">
        <v>151</v>
      </c>
      <c r="I990" t="s">
        <v>4</v>
      </c>
      <c r="J990" t="s">
        <v>152</v>
      </c>
      <c r="K990" t="s">
        <v>236</v>
      </c>
      <c r="L990">
        <v>251200536</v>
      </c>
      <c r="M990" s="84">
        <v>46009</v>
      </c>
      <c r="N990" s="84">
        <v>46009</v>
      </c>
      <c r="O990" t="s">
        <v>179</v>
      </c>
      <c r="P990" t="s">
        <v>180</v>
      </c>
      <c r="Q990">
        <v>14250</v>
      </c>
      <c r="R990">
        <v>7</v>
      </c>
      <c r="S990">
        <v>99750</v>
      </c>
      <c r="T990">
        <v>0</v>
      </c>
      <c r="U990">
        <v>0</v>
      </c>
      <c r="V990">
        <v>7</v>
      </c>
      <c r="W990">
        <v>99750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</row>
    <row r="991" spans="1:29">
      <c r="A991">
        <v>983</v>
      </c>
      <c r="B991" t="s">
        <v>149</v>
      </c>
      <c r="C991">
        <v>1341</v>
      </c>
      <c r="D991" t="s">
        <v>24</v>
      </c>
      <c r="E991" t="str">
        <f t="shared" si="15"/>
        <v>01341</v>
      </c>
      <c r="F991" t="s">
        <v>20</v>
      </c>
      <c r="G991" t="s">
        <v>193</v>
      </c>
      <c r="H991" t="s">
        <v>151</v>
      </c>
      <c r="I991" t="s">
        <v>173</v>
      </c>
      <c r="J991" t="s">
        <v>152</v>
      </c>
      <c r="K991" t="s">
        <v>236</v>
      </c>
      <c r="L991">
        <v>251200537</v>
      </c>
      <c r="M991" s="84">
        <v>46009</v>
      </c>
      <c r="N991" s="84">
        <v>46009</v>
      </c>
      <c r="O991" t="s">
        <v>285</v>
      </c>
      <c r="P991" t="s">
        <v>286</v>
      </c>
      <c r="Q991">
        <v>3750</v>
      </c>
      <c r="R991">
        <v>4</v>
      </c>
      <c r="S991">
        <v>15000</v>
      </c>
      <c r="T991">
        <v>0</v>
      </c>
      <c r="U991">
        <v>0</v>
      </c>
      <c r="V991">
        <v>4</v>
      </c>
      <c r="W991">
        <v>15000</v>
      </c>
      <c r="X991">
        <v>0</v>
      </c>
      <c r="Y991">
        <v>300</v>
      </c>
      <c r="Z991">
        <v>752</v>
      </c>
      <c r="AA991">
        <v>0</v>
      </c>
      <c r="AB991">
        <v>400</v>
      </c>
      <c r="AC991">
        <v>1452</v>
      </c>
    </row>
    <row r="992" spans="1:29">
      <c r="A992">
        <v>984</v>
      </c>
      <c r="B992" t="s">
        <v>149</v>
      </c>
      <c r="C992">
        <v>1341</v>
      </c>
      <c r="D992" t="s">
        <v>24</v>
      </c>
      <c r="E992" t="str">
        <f t="shared" si="15"/>
        <v>01341</v>
      </c>
      <c r="F992" t="s">
        <v>20</v>
      </c>
      <c r="G992" t="s">
        <v>193</v>
      </c>
      <c r="H992" t="s">
        <v>151</v>
      </c>
      <c r="I992" t="s">
        <v>4</v>
      </c>
      <c r="J992" t="s">
        <v>152</v>
      </c>
      <c r="K992" t="s">
        <v>236</v>
      </c>
      <c r="L992">
        <v>251200538</v>
      </c>
      <c r="M992" s="84">
        <v>46009</v>
      </c>
      <c r="N992" s="84">
        <v>46009</v>
      </c>
      <c r="O992" t="s">
        <v>262</v>
      </c>
      <c r="P992" t="s">
        <v>263</v>
      </c>
      <c r="Q992">
        <v>14250</v>
      </c>
      <c r="R992">
        <v>8</v>
      </c>
      <c r="S992">
        <v>114000</v>
      </c>
      <c r="T992">
        <v>0</v>
      </c>
      <c r="U992">
        <v>0</v>
      </c>
      <c r="V992">
        <v>8</v>
      </c>
      <c r="W992">
        <v>114000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</row>
    <row r="993" spans="1:29">
      <c r="A993">
        <v>985</v>
      </c>
      <c r="B993" t="s">
        <v>149</v>
      </c>
      <c r="C993">
        <v>1572</v>
      </c>
      <c r="D993" t="s">
        <v>284</v>
      </c>
      <c r="E993" t="str">
        <f t="shared" si="15"/>
        <v>01572</v>
      </c>
      <c r="F993" t="s">
        <v>95</v>
      </c>
      <c r="G993" t="s">
        <v>187</v>
      </c>
      <c r="H993" t="s">
        <v>188</v>
      </c>
      <c r="I993" t="s">
        <v>173</v>
      </c>
      <c r="J993" t="s">
        <v>152</v>
      </c>
      <c r="K993" t="s">
        <v>159</v>
      </c>
      <c r="L993">
        <v>251200539</v>
      </c>
      <c r="M993" s="84">
        <v>46009</v>
      </c>
      <c r="N993" s="84">
        <v>46009</v>
      </c>
      <c r="O993" t="s">
        <v>277</v>
      </c>
      <c r="P993" t="s">
        <v>278</v>
      </c>
      <c r="Q993">
        <v>7928</v>
      </c>
      <c r="R993">
        <v>5</v>
      </c>
      <c r="S993">
        <v>39640</v>
      </c>
      <c r="T993">
        <v>0</v>
      </c>
      <c r="U993">
        <v>0</v>
      </c>
      <c r="V993">
        <v>5</v>
      </c>
      <c r="W993">
        <v>39640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</row>
    <row r="994" spans="1:29">
      <c r="A994">
        <v>986</v>
      </c>
      <c r="B994" t="s">
        <v>149</v>
      </c>
      <c r="C994">
        <v>1356</v>
      </c>
      <c r="D994" t="s">
        <v>98</v>
      </c>
      <c r="E994" t="str">
        <f t="shared" si="15"/>
        <v>01356</v>
      </c>
      <c r="F994" t="s">
        <v>95</v>
      </c>
      <c r="G994" t="s">
        <v>187</v>
      </c>
      <c r="H994" t="s">
        <v>188</v>
      </c>
      <c r="I994" t="s">
        <v>4</v>
      </c>
      <c r="J994" t="s">
        <v>152</v>
      </c>
      <c r="K994" t="s">
        <v>159</v>
      </c>
      <c r="L994">
        <v>251200540</v>
      </c>
      <c r="M994" s="84">
        <v>46009</v>
      </c>
      <c r="N994" s="84">
        <v>46009</v>
      </c>
      <c r="O994" t="s">
        <v>215</v>
      </c>
      <c r="P994" t="s">
        <v>216</v>
      </c>
      <c r="Q994">
        <v>13300</v>
      </c>
      <c r="R994">
        <v>10</v>
      </c>
      <c r="S994">
        <v>133000</v>
      </c>
      <c r="T994">
        <v>0</v>
      </c>
      <c r="U994">
        <v>0</v>
      </c>
      <c r="V994">
        <v>10</v>
      </c>
      <c r="W994">
        <v>133000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</row>
    <row r="995" spans="1:29">
      <c r="A995">
        <v>987</v>
      </c>
      <c r="B995" t="s">
        <v>149</v>
      </c>
      <c r="C995">
        <v>1132</v>
      </c>
      <c r="D995" t="s">
        <v>303</v>
      </c>
      <c r="E995" t="str">
        <f t="shared" si="15"/>
        <v>01132</v>
      </c>
      <c r="F995" t="s">
        <v>95</v>
      </c>
      <c r="G995" t="s">
        <v>187</v>
      </c>
      <c r="H995" t="s">
        <v>188</v>
      </c>
      <c r="I995" t="s">
        <v>210</v>
      </c>
      <c r="J995" t="s">
        <v>152</v>
      </c>
      <c r="K995" t="s">
        <v>159</v>
      </c>
      <c r="L995">
        <v>251200541</v>
      </c>
      <c r="M995" s="84">
        <v>46009</v>
      </c>
      <c r="N995" s="84">
        <v>46009</v>
      </c>
      <c r="O995" t="s">
        <v>213</v>
      </c>
      <c r="P995" t="s">
        <v>214</v>
      </c>
      <c r="Q995">
        <v>21750</v>
      </c>
      <c r="R995">
        <v>1</v>
      </c>
      <c r="S995">
        <v>21750</v>
      </c>
      <c r="T995">
        <v>0</v>
      </c>
      <c r="U995">
        <v>0</v>
      </c>
      <c r="V995">
        <v>1</v>
      </c>
      <c r="W995">
        <v>21750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</row>
    <row r="996" spans="1:29">
      <c r="A996">
        <v>988</v>
      </c>
      <c r="B996" t="s">
        <v>149</v>
      </c>
      <c r="C996">
        <v>1522</v>
      </c>
      <c r="D996" t="s">
        <v>370</v>
      </c>
      <c r="E996" t="str">
        <f t="shared" si="15"/>
        <v>01522</v>
      </c>
      <c r="F996" t="s">
        <v>73</v>
      </c>
      <c r="G996" t="s">
        <v>185</v>
      </c>
      <c r="H996" t="s">
        <v>151</v>
      </c>
      <c r="I996" t="s">
        <v>4</v>
      </c>
      <c r="J996" t="s">
        <v>152</v>
      </c>
      <c r="K996" t="s">
        <v>153</v>
      </c>
      <c r="L996">
        <v>251200542</v>
      </c>
      <c r="M996" s="84">
        <v>46009</v>
      </c>
      <c r="N996" s="84">
        <v>46009</v>
      </c>
      <c r="O996" t="s">
        <v>168</v>
      </c>
      <c r="P996" t="s">
        <v>169</v>
      </c>
      <c r="Q996">
        <v>5500</v>
      </c>
      <c r="R996">
        <v>20</v>
      </c>
      <c r="S996">
        <v>110000</v>
      </c>
      <c r="T996">
        <v>0</v>
      </c>
      <c r="U996">
        <v>0</v>
      </c>
      <c r="V996">
        <v>20</v>
      </c>
      <c r="W996">
        <v>110000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</row>
    <row r="997" spans="1:29">
      <c r="A997">
        <v>989</v>
      </c>
      <c r="B997" t="s">
        <v>149</v>
      </c>
      <c r="C997">
        <v>1522</v>
      </c>
      <c r="D997" t="s">
        <v>370</v>
      </c>
      <c r="E997" t="str">
        <f t="shared" si="15"/>
        <v>01522</v>
      </c>
      <c r="F997" t="s">
        <v>73</v>
      </c>
      <c r="G997" t="s">
        <v>185</v>
      </c>
      <c r="H997" t="s">
        <v>151</v>
      </c>
      <c r="I997" t="s">
        <v>4</v>
      </c>
      <c r="J997" t="s">
        <v>152</v>
      </c>
      <c r="K997" t="s">
        <v>153</v>
      </c>
      <c r="L997">
        <v>251200542</v>
      </c>
      <c r="M997" s="84">
        <v>46009</v>
      </c>
      <c r="N997" s="84">
        <v>46009</v>
      </c>
      <c r="O997" t="s">
        <v>154</v>
      </c>
      <c r="P997" t="s">
        <v>155</v>
      </c>
      <c r="Q997">
        <v>5500</v>
      </c>
      <c r="R997">
        <v>5</v>
      </c>
      <c r="S997">
        <v>27500</v>
      </c>
      <c r="T997">
        <v>0</v>
      </c>
      <c r="U997">
        <v>0</v>
      </c>
      <c r="V997">
        <v>5</v>
      </c>
      <c r="W997">
        <v>27500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</row>
    <row r="998" spans="1:29">
      <c r="A998">
        <v>990</v>
      </c>
      <c r="B998" t="s">
        <v>149</v>
      </c>
      <c r="C998">
        <v>1292</v>
      </c>
      <c r="D998" t="s">
        <v>336</v>
      </c>
      <c r="E998" t="str">
        <f t="shared" si="15"/>
        <v>01292</v>
      </c>
      <c r="F998" t="s">
        <v>73</v>
      </c>
      <c r="G998" t="s">
        <v>185</v>
      </c>
      <c r="H998" t="s">
        <v>151</v>
      </c>
      <c r="I998" t="s">
        <v>4</v>
      </c>
      <c r="J998" t="s">
        <v>152</v>
      </c>
      <c r="K998" t="s">
        <v>153</v>
      </c>
      <c r="L998">
        <v>251200543</v>
      </c>
      <c r="M998" s="84">
        <v>46009</v>
      </c>
      <c r="N998" s="84">
        <v>46009</v>
      </c>
      <c r="O998" t="s">
        <v>243</v>
      </c>
      <c r="P998" t="s">
        <v>244</v>
      </c>
      <c r="Q998">
        <v>5700</v>
      </c>
      <c r="R998">
        <v>10</v>
      </c>
      <c r="S998">
        <v>57000</v>
      </c>
      <c r="T998">
        <v>0</v>
      </c>
      <c r="U998">
        <v>0</v>
      </c>
      <c r="V998">
        <v>10</v>
      </c>
      <c r="W998">
        <v>57000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</row>
    <row r="999" spans="1:29">
      <c r="A999">
        <v>991</v>
      </c>
      <c r="B999" t="s">
        <v>149</v>
      </c>
      <c r="C999">
        <v>1292</v>
      </c>
      <c r="D999" t="s">
        <v>336</v>
      </c>
      <c r="E999" t="str">
        <f t="shared" si="15"/>
        <v>01292</v>
      </c>
      <c r="F999" t="s">
        <v>73</v>
      </c>
      <c r="G999" t="s">
        <v>185</v>
      </c>
      <c r="H999" t="s">
        <v>151</v>
      </c>
      <c r="I999" t="s">
        <v>4</v>
      </c>
      <c r="J999" t="s">
        <v>152</v>
      </c>
      <c r="K999" t="s">
        <v>153</v>
      </c>
      <c r="L999">
        <v>251200544</v>
      </c>
      <c r="M999" s="84">
        <v>46009</v>
      </c>
      <c r="N999" s="84">
        <v>46009</v>
      </c>
      <c r="O999" t="s">
        <v>256</v>
      </c>
      <c r="P999" t="s">
        <v>257</v>
      </c>
      <c r="Q999">
        <v>5500</v>
      </c>
      <c r="R999">
        <v>15</v>
      </c>
      <c r="S999">
        <v>82500</v>
      </c>
      <c r="T999">
        <v>0</v>
      </c>
      <c r="U999">
        <v>0</v>
      </c>
      <c r="V999">
        <v>15</v>
      </c>
      <c r="W999">
        <v>82500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</row>
    <row r="1000" spans="1:29">
      <c r="A1000">
        <v>992</v>
      </c>
      <c r="B1000" t="s">
        <v>149</v>
      </c>
      <c r="C1000">
        <v>1395</v>
      </c>
      <c r="D1000" t="s">
        <v>101</v>
      </c>
      <c r="E1000" t="str">
        <f t="shared" si="15"/>
        <v>01395</v>
      </c>
      <c r="F1000" t="s">
        <v>95</v>
      </c>
      <c r="G1000" t="s">
        <v>187</v>
      </c>
      <c r="H1000" t="s">
        <v>188</v>
      </c>
      <c r="I1000" t="s">
        <v>4</v>
      </c>
      <c r="J1000" t="s">
        <v>152</v>
      </c>
      <c r="K1000" t="s">
        <v>159</v>
      </c>
      <c r="L1000">
        <v>251200545</v>
      </c>
      <c r="M1000" s="84">
        <v>46009</v>
      </c>
      <c r="N1000" s="84">
        <v>46009</v>
      </c>
      <c r="O1000" t="s">
        <v>160</v>
      </c>
      <c r="P1000" t="s">
        <v>161</v>
      </c>
      <c r="Q1000">
        <v>13200</v>
      </c>
      <c r="R1000">
        <v>4</v>
      </c>
      <c r="S1000">
        <v>52800</v>
      </c>
      <c r="T1000">
        <v>0</v>
      </c>
      <c r="U1000">
        <v>0</v>
      </c>
      <c r="V1000">
        <v>4</v>
      </c>
      <c r="W1000">
        <v>52800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</row>
    <row r="1001" spans="1:29">
      <c r="A1001">
        <v>993</v>
      </c>
      <c r="B1001" t="s">
        <v>149</v>
      </c>
      <c r="C1001">
        <v>1594</v>
      </c>
      <c r="D1001" t="s">
        <v>346</v>
      </c>
      <c r="E1001" t="str">
        <f t="shared" si="15"/>
        <v>01594</v>
      </c>
      <c r="F1001" t="s">
        <v>73</v>
      </c>
      <c r="G1001" t="s">
        <v>185</v>
      </c>
      <c r="H1001" t="s">
        <v>151</v>
      </c>
      <c r="I1001" t="s">
        <v>4</v>
      </c>
      <c r="J1001" t="s">
        <v>152</v>
      </c>
      <c r="K1001" t="s">
        <v>153</v>
      </c>
      <c r="L1001">
        <v>251200546</v>
      </c>
      <c r="M1001" s="84">
        <v>46009</v>
      </c>
      <c r="N1001" s="84">
        <v>46009</v>
      </c>
      <c r="O1001" t="s">
        <v>154</v>
      </c>
      <c r="P1001" t="s">
        <v>155</v>
      </c>
      <c r="Q1001">
        <v>5500</v>
      </c>
      <c r="R1001">
        <v>14</v>
      </c>
      <c r="S1001">
        <v>77000</v>
      </c>
      <c r="T1001">
        <v>0</v>
      </c>
      <c r="U1001">
        <v>0</v>
      </c>
      <c r="V1001">
        <v>14</v>
      </c>
      <c r="W1001">
        <v>77000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</row>
    <row r="1002" spans="1:29">
      <c r="A1002">
        <v>994</v>
      </c>
      <c r="B1002" t="s">
        <v>149</v>
      </c>
      <c r="C1002">
        <v>1326</v>
      </c>
      <c r="D1002" t="s">
        <v>338</v>
      </c>
      <c r="E1002" t="str">
        <f t="shared" si="15"/>
        <v>01326</v>
      </c>
      <c r="F1002" t="s">
        <v>15</v>
      </c>
      <c r="G1002" t="s">
        <v>193</v>
      </c>
      <c r="H1002" t="s">
        <v>151</v>
      </c>
      <c r="I1002" t="s">
        <v>5</v>
      </c>
      <c r="J1002" t="s">
        <v>152</v>
      </c>
      <c r="K1002" t="s">
        <v>153</v>
      </c>
      <c r="L1002">
        <v>251200547</v>
      </c>
      <c r="M1002" s="84">
        <v>46009</v>
      </c>
      <c r="N1002" s="84">
        <v>46009</v>
      </c>
      <c r="O1002" t="s">
        <v>253</v>
      </c>
      <c r="P1002" t="s">
        <v>254</v>
      </c>
      <c r="Q1002">
        <v>4500</v>
      </c>
      <c r="R1002">
        <v>4</v>
      </c>
      <c r="S1002">
        <v>18000</v>
      </c>
      <c r="T1002">
        <v>0</v>
      </c>
      <c r="U1002">
        <v>0</v>
      </c>
      <c r="V1002">
        <v>4</v>
      </c>
      <c r="W1002">
        <v>18000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</row>
    <row r="1003" spans="1:29">
      <c r="A1003">
        <v>995</v>
      </c>
      <c r="B1003" t="s">
        <v>149</v>
      </c>
      <c r="C1003">
        <v>1326</v>
      </c>
      <c r="D1003" t="s">
        <v>338</v>
      </c>
      <c r="E1003" t="str">
        <f t="shared" si="15"/>
        <v>01326</v>
      </c>
      <c r="F1003" t="s">
        <v>15</v>
      </c>
      <c r="G1003" t="s">
        <v>193</v>
      </c>
      <c r="H1003" t="s">
        <v>151</v>
      </c>
      <c r="I1003" t="s">
        <v>5</v>
      </c>
      <c r="J1003" t="s">
        <v>152</v>
      </c>
      <c r="K1003" t="s">
        <v>153</v>
      </c>
      <c r="L1003">
        <v>251200547</v>
      </c>
      <c r="M1003" s="84">
        <v>46009</v>
      </c>
      <c r="N1003" s="84">
        <v>46009</v>
      </c>
      <c r="O1003" t="s">
        <v>191</v>
      </c>
      <c r="P1003" t="s">
        <v>192</v>
      </c>
      <c r="Q1003">
        <v>4500</v>
      </c>
      <c r="R1003">
        <v>40</v>
      </c>
      <c r="S1003">
        <v>180000</v>
      </c>
      <c r="T1003">
        <v>0</v>
      </c>
      <c r="U1003">
        <v>0</v>
      </c>
      <c r="V1003">
        <v>40</v>
      </c>
      <c r="W1003">
        <v>180000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</row>
    <row r="1004" spans="1:29">
      <c r="A1004">
        <v>996</v>
      </c>
      <c r="B1004" t="s">
        <v>149</v>
      </c>
      <c r="C1004">
        <v>1326</v>
      </c>
      <c r="D1004" t="s">
        <v>338</v>
      </c>
      <c r="E1004" t="str">
        <f t="shared" si="15"/>
        <v>01326</v>
      </c>
      <c r="F1004" t="s">
        <v>15</v>
      </c>
      <c r="G1004" t="s">
        <v>193</v>
      </c>
      <c r="H1004" t="s">
        <v>151</v>
      </c>
      <c r="I1004" t="s">
        <v>5</v>
      </c>
      <c r="J1004" t="s">
        <v>152</v>
      </c>
      <c r="K1004" t="s">
        <v>153</v>
      </c>
      <c r="L1004">
        <v>251200547</v>
      </c>
      <c r="M1004" s="84">
        <v>46009</v>
      </c>
      <c r="N1004" s="84">
        <v>46009</v>
      </c>
      <c r="O1004" t="s">
        <v>260</v>
      </c>
      <c r="P1004" t="s">
        <v>261</v>
      </c>
      <c r="Q1004">
        <v>4500</v>
      </c>
      <c r="R1004">
        <v>8</v>
      </c>
      <c r="S1004">
        <v>36000</v>
      </c>
      <c r="T1004">
        <v>0</v>
      </c>
      <c r="U1004">
        <v>0</v>
      </c>
      <c r="V1004">
        <v>8</v>
      </c>
      <c r="W1004">
        <v>36000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</row>
    <row r="1005" spans="1:29">
      <c r="A1005">
        <v>997</v>
      </c>
      <c r="B1005" t="s">
        <v>149</v>
      </c>
      <c r="C1005">
        <v>1326</v>
      </c>
      <c r="D1005" t="s">
        <v>338</v>
      </c>
      <c r="E1005" t="str">
        <f t="shared" si="15"/>
        <v>01326</v>
      </c>
      <c r="F1005" t="s">
        <v>15</v>
      </c>
      <c r="G1005" t="s">
        <v>193</v>
      </c>
      <c r="H1005" t="s">
        <v>151</v>
      </c>
      <c r="I1005" t="s">
        <v>5</v>
      </c>
      <c r="J1005" t="s">
        <v>152</v>
      </c>
      <c r="K1005" t="s">
        <v>153</v>
      </c>
      <c r="L1005">
        <v>251200548</v>
      </c>
      <c r="M1005" s="84">
        <v>46009</v>
      </c>
      <c r="N1005" s="84">
        <v>46009</v>
      </c>
      <c r="O1005" t="s">
        <v>260</v>
      </c>
      <c r="P1005" t="s">
        <v>261</v>
      </c>
      <c r="Q1005">
        <v>4500</v>
      </c>
      <c r="R1005">
        <v>4</v>
      </c>
      <c r="S1005">
        <v>18000</v>
      </c>
      <c r="T1005">
        <v>0</v>
      </c>
      <c r="U1005">
        <v>0</v>
      </c>
      <c r="V1005">
        <v>4</v>
      </c>
      <c r="W1005">
        <v>18000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</row>
    <row r="1006" spans="1:29">
      <c r="A1006">
        <v>998</v>
      </c>
      <c r="B1006" t="s">
        <v>149</v>
      </c>
      <c r="C1006">
        <v>1326</v>
      </c>
      <c r="D1006" t="s">
        <v>338</v>
      </c>
      <c r="E1006" t="str">
        <f t="shared" si="15"/>
        <v>01326</v>
      </c>
      <c r="F1006" t="s">
        <v>15</v>
      </c>
      <c r="G1006" t="s">
        <v>193</v>
      </c>
      <c r="H1006" t="s">
        <v>151</v>
      </c>
      <c r="I1006" t="s">
        <v>5</v>
      </c>
      <c r="J1006" t="s">
        <v>152</v>
      </c>
      <c r="K1006" t="s">
        <v>153</v>
      </c>
      <c r="L1006">
        <v>251200548</v>
      </c>
      <c r="M1006" s="84">
        <v>46009</v>
      </c>
      <c r="N1006" s="84">
        <v>46009</v>
      </c>
      <c r="O1006" t="s">
        <v>191</v>
      </c>
      <c r="P1006" t="s">
        <v>192</v>
      </c>
      <c r="Q1006">
        <v>4500</v>
      </c>
      <c r="R1006">
        <v>40</v>
      </c>
      <c r="S1006">
        <v>180000</v>
      </c>
      <c r="T1006">
        <v>0</v>
      </c>
      <c r="U1006">
        <v>0</v>
      </c>
      <c r="V1006">
        <v>40</v>
      </c>
      <c r="W1006">
        <v>180000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</row>
    <row r="1007" spans="1:29">
      <c r="A1007">
        <v>999</v>
      </c>
      <c r="B1007" t="s">
        <v>149</v>
      </c>
      <c r="C1007">
        <v>1326</v>
      </c>
      <c r="D1007" t="s">
        <v>338</v>
      </c>
      <c r="E1007" t="str">
        <f t="shared" si="15"/>
        <v>01326</v>
      </c>
      <c r="F1007" t="s">
        <v>15</v>
      </c>
      <c r="G1007" t="s">
        <v>193</v>
      </c>
      <c r="H1007" t="s">
        <v>151</v>
      </c>
      <c r="I1007" t="s">
        <v>5</v>
      </c>
      <c r="J1007" t="s">
        <v>152</v>
      </c>
      <c r="K1007" t="s">
        <v>153</v>
      </c>
      <c r="L1007">
        <v>251200548</v>
      </c>
      <c r="M1007" s="84">
        <v>46009</v>
      </c>
      <c r="N1007" s="84">
        <v>46009</v>
      </c>
      <c r="O1007" t="s">
        <v>253</v>
      </c>
      <c r="P1007" t="s">
        <v>254</v>
      </c>
      <c r="Q1007">
        <v>4500</v>
      </c>
      <c r="R1007">
        <v>4</v>
      </c>
      <c r="S1007">
        <v>18000</v>
      </c>
      <c r="T1007">
        <v>0</v>
      </c>
      <c r="U1007">
        <v>0</v>
      </c>
      <c r="V1007">
        <v>4</v>
      </c>
      <c r="W1007">
        <v>18000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</row>
    <row r="1008" spans="1:29">
      <c r="A1008">
        <v>1000</v>
      </c>
      <c r="B1008" t="s">
        <v>149</v>
      </c>
      <c r="C1008">
        <v>988</v>
      </c>
      <c r="D1008" t="s">
        <v>19</v>
      </c>
      <c r="E1008" t="str">
        <f t="shared" si="15"/>
        <v>00988</v>
      </c>
      <c r="F1008" t="s">
        <v>15</v>
      </c>
      <c r="G1008" t="s">
        <v>193</v>
      </c>
      <c r="H1008" t="s">
        <v>151</v>
      </c>
      <c r="I1008" t="s">
        <v>5</v>
      </c>
      <c r="J1008" t="s">
        <v>152</v>
      </c>
      <c r="K1008" t="s">
        <v>153</v>
      </c>
      <c r="L1008">
        <v>251200549</v>
      </c>
      <c r="M1008" s="84">
        <v>46009</v>
      </c>
      <c r="N1008" s="84">
        <v>46009</v>
      </c>
      <c r="O1008" t="s">
        <v>191</v>
      </c>
      <c r="P1008" t="s">
        <v>192</v>
      </c>
      <c r="Q1008">
        <v>11700</v>
      </c>
      <c r="R1008">
        <v>40</v>
      </c>
      <c r="S1008">
        <v>468000</v>
      </c>
      <c r="T1008">
        <v>0</v>
      </c>
      <c r="U1008">
        <v>0</v>
      </c>
      <c r="V1008">
        <v>40</v>
      </c>
      <c r="W1008">
        <v>468000</v>
      </c>
      <c r="X1008">
        <v>6000</v>
      </c>
      <c r="Y1008">
        <v>6000</v>
      </c>
      <c r="Z1008">
        <v>0</v>
      </c>
      <c r="AA1008">
        <v>0</v>
      </c>
      <c r="AB1008">
        <v>0</v>
      </c>
      <c r="AC1008">
        <v>12000</v>
      </c>
    </row>
    <row r="1009" spans="1:29">
      <c r="A1009">
        <v>1001</v>
      </c>
      <c r="B1009" t="s">
        <v>149</v>
      </c>
      <c r="C1009">
        <v>1312</v>
      </c>
      <c r="D1009" t="s">
        <v>359</v>
      </c>
      <c r="E1009" t="str">
        <f t="shared" si="15"/>
        <v>01312</v>
      </c>
      <c r="F1009" t="s">
        <v>15</v>
      </c>
      <c r="G1009" t="s">
        <v>193</v>
      </c>
      <c r="H1009" t="s">
        <v>151</v>
      </c>
      <c r="I1009" t="s">
        <v>4</v>
      </c>
      <c r="J1009" t="s">
        <v>152</v>
      </c>
      <c r="K1009" t="s">
        <v>153</v>
      </c>
      <c r="L1009">
        <v>251200550</v>
      </c>
      <c r="M1009" s="84">
        <v>46009</v>
      </c>
      <c r="N1009" s="84">
        <v>46009</v>
      </c>
      <c r="O1009" t="s">
        <v>327</v>
      </c>
      <c r="P1009" t="s">
        <v>328</v>
      </c>
      <c r="Q1009">
        <v>5500</v>
      </c>
      <c r="R1009">
        <v>20</v>
      </c>
      <c r="S1009">
        <v>110000</v>
      </c>
      <c r="T1009">
        <v>0</v>
      </c>
      <c r="U1009">
        <v>0</v>
      </c>
      <c r="V1009">
        <v>20</v>
      </c>
      <c r="W1009">
        <v>110000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</row>
    <row r="1010" spans="1:29">
      <c r="A1010">
        <v>1002</v>
      </c>
      <c r="B1010" t="s">
        <v>149</v>
      </c>
      <c r="C1010">
        <v>1312</v>
      </c>
      <c r="D1010" t="s">
        <v>359</v>
      </c>
      <c r="E1010" t="str">
        <f t="shared" si="15"/>
        <v>01312</v>
      </c>
      <c r="F1010" t="s">
        <v>15</v>
      </c>
      <c r="G1010" t="s">
        <v>193</v>
      </c>
      <c r="H1010" t="s">
        <v>151</v>
      </c>
      <c r="I1010" t="s">
        <v>5</v>
      </c>
      <c r="J1010" t="s">
        <v>152</v>
      </c>
      <c r="K1010" t="s">
        <v>153</v>
      </c>
      <c r="L1010">
        <v>251200550</v>
      </c>
      <c r="M1010" s="84">
        <v>46009</v>
      </c>
      <c r="N1010" s="84">
        <v>46009</v>
      </c>
      <c r="O1010" t="s">
        <v>196</v>
      </c>
      <c r="P1010" t="s">
        <v>197</v>
      </c>
      <c r="Q1010">
        <v>4500</v>
      </c>
      <c r="R1010">
        <v>4</v>
      </c>
      <c r="S1010">
        <v>18000</v>
      </c>
      <c r="T1010">
        <v>0</v>
      </c>
      <c r="U1010">
        <v>0</v>
      </c>
      <c r="V1010">
        <v>4</v>
      </c>
      <c r="W1010">
        <v>18000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</row>
    <row r="1011" spans="1:29">
      <c r="A1011">
        <v>1003</v>
      </c>
      <c r="B1011" t="s">
        <v>149</v>
      </c>
      <c r="C1011">
        <v>1453</v>
      </c>
      <c r="D1011" t="s">
        <v>11</v>
      </c>
      <c r="E1011" t="str">
        <f t="shared" si="15"/>
        <v>01453</v>
      </c>
      <c r="F1011" t="s">
        <v>10</v>
      </c>
      <c r="G1011" t="s">
        <v>172</v>
      </c>
      <c r="H1011" t="s">
        <v>157</v>
      </c>
      <c r="I1011" t="s">
        <v>4</v>
      </c>
      <c r="J1011" t="s">
        <v>152</v>
      </c>
      <c r="K1011" t="s">
        <v>174</v>
      </c>
      <c r="L1011">
        <v>251200551</v>
      </c>
      <c r="M1011" s="84">
        <v>46009</v>
      </c>
      <c r="N1011" s="84">
        <v>46009</v>
      </c>
      <c r="O1011" t="s">
        <v>243</v>
      </c>
      <c r="P1011" t="s">
        <v>244</v>
      </c>
      <c r="Q1011">
        <v>15050</v>
      </c>
      <c r="R1011">
        <v>5</v>
      </c>
      <c r="S1011">
        <v>75250</v>
      </c>
      <c r="T1011">
        <v>0</v>
      </c>
      <c r="U1011">
        <v>0</v>
      </c>
      <c r="V1011">
        <v>5</v>
      </c>
      <c r="W1011">
        <v>75250</v>
      </c>
      <c r="X1011">
        <v>750</v>
      </c>
      <c r="Y1011">
        <v>1000</v>
      </c>
      <c r="Z1011">
        <v>0</v>
      </c>
      <c r="AA1011">
        <v>0</v>
      </c>
      <c r="AB1011">
        <v>0</v>
      </c>
      <c r="AC1011">
        <v>1750</v>
      </c>
    </row>
    <row r="1012" spans="1:29">
      <c r="A1012">
        <v>1004</v>
      </c>
      <c r="B1012" t="s">
        <v>149</v>
      </c>
      <c r="C1012">
        <v>1562</v>
      </c>
      <c r="D1012" t="s">
        <v>325</v>
      </c>
      <c r="E1012" t="str">
        <f t="shared" si="15"/>
        <v>01562</v>
      </c>
      <c r="F1012" t="s">
        <v>10</v>
      </c>
      <c r="G1012" t="s">
        <v>172</v>
      </c>
      <c r="H1012" t="s">
        <v>157</v>
      </c>
      <c r="I1012" t="s">
        <v>4</v>
      </c>
      <c r="J1012" t="s">
        <v>152</v>
      </c>
      <c r="K1012" t="s">
        <v>174</v>
      </c>
      <c r="L1012">
        <v>251200552</v>
      </c>
      <c r="M1012" s="84">
        <v>46009</v>
      </c>
      <c r="N1012" s="84">
        <v>46009</v>
      </c>
      <c r="O1012" t="s">
        <v>294</v>
      </c>
      <c r="P1012" t="s">
        <v>295</v>
      </c>
      <c r="Q1012">
        <v>5500</v>
      </c>
      <c r="R1012">
        <v>5</v>
      </c>
      <c r="S1012">
        <v>27500</v>
      </c>
      <c r="T1012">
        <v>0</v>
      </c>
      <c r="U1012">
        <v>0</v>
      </c>
      <c r="V1012">
        <v>5</v>
      </c>
      <c r="W1012">
        <v>27500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</row>
    <row r="1013" spans="1:29">
      <c r="A1013">
        <v>1005</v>
      </c>
      <c r="B1013" t="s">
        <v>149</v>
      </c>
      <c r="C1013">
        <v>1455</v>
      </c>
      <c r="D1013" t="s">
        <v>323</v>
      </c>
      <c r="E1013" t="str">
        <f t="shared" si="15"/>
        <v>01455</v>
      </c>
      <c r="F1013" t="s">
        <v>171</v>
      </c>
      <c r="G1013" t="s">
        <v>172</v>
      </c>
      <c r="H1013" t="s">
        <v>157</v>
      </c>
      <c r="I1013" t="s">
        <v>4</v>
      </c>
      <c r="J1013" t="s">
        <v>152</v>
      </c>
      <c r="K1013" t="s">
        <v>174</v>
      </c>
      <c r="L1013">
        <v>251200553</v>
      </c>
      <c r="M1013" s="84">
        <v>46009</v>
      </c>
      <c r="N1013" s="84">
        <v>46009</v>
      </c>
      <c r="O1013" t="s">
        <v>248</v>
      </c>
      <c r="P1013" t="s">
        <v>249</v>
      </c>
      <c r="Q1013">
        <v>5500</v>
      </c>
      <c r="R1013">
        <v>5</v>
      </c>
      <c r="S1013">
        <v>27500</v>
      </c>
      <c r="T1013">
        <v>0</v>
      </c>
      <c r="U1013">
        <v>0</v>
      </c>
      <c r="V1013">
        <v>5</v>
      </c>
      <c r="W1013">
        <v>27500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</row>
    <row r="1014" spans="1:29">
      <c r="A1014">
        <v>1006</v>
      </c>
      <c r="B1014" t="s">
        <v>149</v>
      </c>
      <c r="C1014">
        <v>1484</v>
      </c>
      <c r="D1014" t="s">
        <v>331</v>
      </c>
      <c r="E1014" t="str">
        <f t="shared" si="15"/>
        <v>01484</v>
      </c>
      <c r="F1014" t="s">
        <v>71</v>
      </c>
      <c r="G1014" t="s">
        <v>305</v>
      </c>
      <c r="H1014" t="s">
        <v>157</v>
      </c>
      <c r="I1014" t="s">
        <v>4</v>
      </c>
      <c r="J1014" t="s">
        <v>152</v>
      </c>
      <c r="K1014" t="s">
        <v>174</v>
      </c>
      <c r="L1014">
        <v>251200554</v>
      </c>
      <c r="M1014" s="84">
        <v>46009</v>
      </c>
      <c r="N1014" s="84">
        <v>46009</v>
      </c>
      <c r="O1014" t="s">
        <v>206</v>
      </c>
      <c r="P1014" t="s">
        <v>207</v>
      </c>
      <c r="Q1014">
        <v>5500</v>
      </c>
      <c r="R1014">
        <v>5</v>
      </c>
      <c r="S1014">
        <v>27500</v>
      </c>
      <c r="T1014">
        <v>0</v>
      </c>
      <c r="U1014">
        <v>0</v>
      </c>
      <c r="V1014">
        <v>5</v>
      </c>
      <c r="W1014">
        <v>27500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</row>
    <row r="1015" spans="1:29">
      <c r="A1015">
        <v>1007</v>
      </c>
      <c r="B1015" t="s">
        <v>149</v>
      </c>
      <c r="C1015">
        <v>1468</v>
      </c>
      <c r="D1015" t="s">
        <v>342</v>
      </c>
      <c r="E1015" t="str">
        <f t="shared" si="15"/>
        <v>01468</v>
      </c>
      <c r="F1015" t="s">
        <v>7</v>
      </c>
      <c r="G1015" t="s">
        <v>156</v>
      </c>
      <c r="H1015" t="s">
        <v>157</v>
      </c>
      <c r="I1015" t="s">
        <v>4</v>
      </c>
      <c r="J1015" t="s">
        <v>152</v>
      </c>
      <c r="K1015" t="s">
        <v>159</v>
      </c>
      <c r="L1015">
        <v>251200555</v>
      </c>
      <c r="M1015" s="84">
        <v>46009</v>
      </c>
      <c r="N1015" s="84">
        <v>46009</v>
      </c>
      <c r="O1015" t="s">
        <v>206</v>
      </c>
      <c r="P1015" t="s">
        <v>207</v>
      </c>
      <c r="Q1015">
        <v>5500</v>
      </c>
      <c r="R1015">
        <v>40</v>
      </c>
      <c r="S1015">
        <v>220000</v>
      </c>
      <c r="T1015">
        <v>0</v>
      </c>
      <c r="U1015">
        <v>0</v>
      </c>
      <c r="V1015">
        <v>40</v>
      </c>
      <c r="W1015">
        <v>220000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</row>
    <row r="1016" spans="1:29">
      <c r="A1016">
        <v>1008</v>
      </c>
      <c r="B1016" t="s">
        <v>149</v>
      </c>
      <c r="C1016">
        <v>1468</v>
      </c>
      <c r="D1016" t="s">
        <v>342</v>
      </c>
      <c r="E1016" t="str">
        <f t="shared" si="15"/>
        <v>01468</v>
      </c>
      <c r="F1016" t="s">
        <v>7</v>
      </c>
      <c r="G1016" t="s">
        <v>156</v>
      </c>
      <c r="H1016" t="s">
        <v>157</v>
      </c>
      <c r="I1016" t="s">
        <v>5</v>
      </c>
      <c r="J1016" t="s">
        <v>152</v>
      </c>
      <c r="K1016" t="s">
        <v>159</v>
      </c>
      <c r="L1016">
        <v>251200555</v>
      </c>
      <c r="M1016" s="84">
        <v>46009</v>
      </c>
      <c r="N1016" s="84">
        <v>46009</v>
      </c>
      <c r="O1016" t="s">
        <v>217</v>
      </c>
      <c r="P1016" t="s">
        <v>218</v>
      </c>
      <c r="Q1016">
        <v>4500</v>
      </c>
      <c r="R1016">
        <v>12</v>
      </c>
      <c r="S1016">
        <v>54000</v>
      </c>
      <c r="T1016">
        <v>0</v>
      </c>
      <c r="U1016">
        <v>0</v>
      </c>
      <c r="V1016">
        <v>12</v>
      </c>
      <c r="W1016">
        <v>54000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</row>
    <row r="1017" spans="1:29">
      <c r="A1017">
        <v>1009</v>
      </c>
      <c r="B1017" t="s">
        <v>149</v>
      </c>
      <c r="C1017">
        <v>496</v>
      </c>
      <c r="D1017" t="s">
        <v>8</v>
      </c>
      <c r="E1017" t="str">
        <f t="shared" si="15"/>
        <v>00496</v>
      </c>
      <c r="F1017" t="s">
        <v>7</v>
      </c>
      <c r="G1017" t="s">
        <v>156</v>
      </c>
      <c r="H1017" t="s">
        <v>157</v>
      </c>
      <c r="I1017" t="s">
        <v>4</v>
      </c>
      <c r="J1017" t="s">
        <v>152</v>
      </c>
      <c r="K1017" t="s">
        <v>159</v>
      </c>
      <c r="L1017">
        <v>251200556</v>
      </c>
      <c r="M1017" s="84">
        <v>46009</v>
      </c>
      <c r="N1017" s="84">
        <v>46009</v>
      </c>
      <c r="O1017" t="s">
        <v>160</v>
      </c>
      <c r="P1017" t="s">
        <v>161</v>
      </c>
      <c r="Q1017">
        <v>14250</v>
      </c>
      <c r="R1017">
        <v>8</v>
      </c>
      <c r="S1017">
        <v>114000</v>
      </c>
      <c r="T1017">
        <v>0</v>
      </c>
      <c r="U1017">
        <v>0</v>
      </c>
      <c r="V1017">
        <v>8</v>
      </c>
      <c r="W1017">
        <v>114000</v>
      </c>
      <c r="X1017">
        <v>1200</v>
      </c>
      <c r="Y1017">
        <v>1600</v>
      </c>
      <c r="Z1017">
        <v>0</v>
      </c>
      <c r="AA1017">
        <v>0</v>
      </c>
      <c r="AB1017">
        <v>0</v>
      </c>
      <c r="AC1017">
        <v>2800</v>
      </c>
    </row>
    <row r="1018" spans="1:29">
      <c r="A1018">
        <v>1010</v>
      </c>
      <c r="B1018" t="s">
        <v>149</v>
      </c>
      <c r="C1018">
        <v>1335</v>
      </c>
      <c r="D1018" t="s">
        <v>318</v>
      </c>
      <c r="E1018" t="str">
        <f t="shared" si="15"/>
        <v>01335</v>
      </c>
      <c r="F1018" t="s">
        <v>43</v>
      </c>
      <c r="G1018" t="s">
        <v>150</v>
      </c>
      <c r="H1018" t="s">
        <v>151</v>
      </c>
      <c r="I1018" t="s">
        <v>5</v>
      </c>
      <c r="J1018" t="s">
        <v>152</v>
      </c>
      <c r="K1018" t="s">
        <v>153</v>
      </c>
      <c r="L1018">
        <v>251200557</v>
      </c>
      <c r="M1018" s="84">
        <v>46009</v>
      </c>
      <c r="N1018" s="84">
        <v>46009</v>
      </c>
      <c r="O1018" t="s">
        <v>196</v>
      </c>
      <c r="P1018" t="s">
        <v>197</v>
      </c>
      <c r="Q1018">
        <v>4500</v>
      </c>
      <c r="R1018">
        <v>20</v>
      </c>
      <c r="S1018">
        <v>90000</v>
      </c>
      <c r="T1018">
        <v>0</v>
      </c>
      <c r="U1018">
        <v>0</v>
      </c>
      <c r="V1018">
        <v>20</v>
      </c>
      <c r="W1018">
        <v>90000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</row>
    <row r="1019" spans="1:29">
      <c r="A1019">
        <v>1011</v>
      </c>
      <c r="B1019" t="s">
        <v>149</v>
      </c>
      <c r="C1019">
        <v>1517</v>
      </c>
      <c r="D1019" t="s">
        <v>352</v>
      </c>
      <c r="E1019" t="str">
        <f t="shared" si="15"/>
        <v>01517</v>
      </c>
      <c r="F1019" t="s">
        <v>80</v>
      </c>
      <c r="G1019" t="s">
        <v>164</v>
      </c>
      <c r="H1019" t="s">
        <v>151</v>
      </c>
      <c r="I1019" t="s">
        <v>4</v>
      </c>
      <c r="J1019" t="s">
        <v>152</v>
      </c>
      <c r="K1019" t="s">
        <v>153</v>
      </c>
      <c r="L1019">
        <v>251200558</v>
      </c>
      <c r="M1019" s="84">
        <v>46009</v>
      </c>
      <c r="N1019" s="84">
        <v>46009</v>
      </c>
      <c r="O1019" t="s">
        <v>160</v>
      </c>
      <c r="P1019" t="s">
        <v>161</v>
      </c>
      <c r="Q1019">
        <v>5500</v>
      </c>
      <c r="R1019">
        <v>20</v>
      </c>
      <c r="S1019">
        <v>110000</v>
      </c>
      <c r="T1019">
        <v>0</v>
      </c>
      <c r="U1019">
        <v>0</v>
      </c>
      <c r="V1019">
        <v>20</v>
      </c>
      <c r="W1019">
        <v>110000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</row>
    <row r="1020" spans="1:29">
      <c r="A1020">
        <v>1012</v>
      </c>
      <c r="B1020" t="s">
        <v>149</v>
      </c>
      <c r="C1020">
        <v>1481</v>
      </c>
      <c r="D1020" t="s">
        <v>410</v>
      </c>
      <c r="E1020" t="str">
        <f t="shared" si="15"/>
        <v>01481</v>
      </c>
      <c r="F1020" t="s">
        <v>28</v>
      </c>
      <c r="G1020" t="s">
        <v>164</v>
      </c>
      <c r="H1020" t="s">
        <v>151</v>
      </c>
      <c r="I1020" t="s">
        <v>5</v>
      </c>
      <c r="J1020" t="s">
        <v>152</v>
      </c>
      <c r="K1020" t="s">
        <v>153</v>
      </c>
      <c r="L1020">
        <v>251200559</v>
      </c>
      <c r="M1020" s="84">
        <v>46009</v>
      </c>
      <c r="N1020" s="84">
        <v>46009</v>
      </c>
      <c r="O1020" t="s">
        <v>191</v>
      </c>
      <c r="P1020" t="s">
        <v>192</v>
      </c>
      <c r="Q1020">
        <v>4500</v>
      </c>
      <c r="R1020">
        <v>68</v>
      </c>
      <c r="S1020">
        <v>306000</v>
      </c>
      <c r="T1020">
        <v>0</v>
      </c>
      <c r="U1020">
        <v>0</v>
      </c>
      <c r="V1020">
        <v>68</v>
      </c>
      <c r="W1020">
        <v>306000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</row>
    <row r="1021" spans="1:29">
      <c r="A1021">
        <v>1013</v>
      </c>
      <c r="B1021" t="s">
        <v>149</v>
      </c>
      <c r="C1021">
        <v>1299</v>
      </c>
      <c r="D1021" t="s">
        <v>334</v>
      </c>
      <c r="E1021" t="str">
        <f t="shared" si="15"/>
        <v>01299</v>
      </c>
      <c r="F1021" t="s">
        <v>83</v>
      </c>
      <c r="G1021" t="s">
        <v>164</v>
      </c>
      <c r="H1021" t="s">
        <v>151</v>
      </c>
      <c r="I1021" t="s">
        <v>5</v>
      </c>
      <c r="J1021" t="s">
        <v>152</v>
      </c>
      <c r="K1021" t="s">
        <v>153</v>
      </c>
      <c r="L1021">
        <v>251200560</v>
      </c>
      <c r="M1021" s="84">
        <v>46009</v>
      </c>
      <c r="N1021" s="84">
        <v>46009</v>
      </c>
      <c r="O1021" t="s">
        <v>198</v>
      </c>
      <c r="P1021" t="s">
        <v>199</v>
      </c>
      <c r="Q1021">
        <v>4500</v>
      </c>
      <c r="R1021">
        <v>9</v>
      </c>
      <c r="S1021">
        <v>40500</v>
      </c>
      <c r="T1021">
        <v>0</v>
      </c>
      <c r="U1021">
        <v>0</v>
      </c>
      <c r="V1021">
        <v>9</v>
      </c>
      <c r="W1021">
        <v>40500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</row>
    <row r="1022" spans="1:29">
      <c r="A1022">
        <v>1014</v>
      </c>
      <c r="B1022" t="s">
        <v>149</v>
      </c>
      <c r="C1022">
        <v>1604</v>
      </c>
      <c r="D1022" t="s">
        <v>60</v>
      </c>
      <c r="E1022" t="str">
        <f t="shared" si="15"/>
        <v>01604</v>
      </c>
      <c r="F1022" t="s">
        <v>49</v>
      </c>
      <c r="G1022" t="s">
        <v>167</v>
      </c>
      <c r="H1022" t="s">
        <v>151</v>
      </c>
      <c r="I1022" t="s">
        <v>182</v>
      </c>
      <c r="J1022" t="s">
        <v>152</v>
      </c>
      <c r="K1022" t="s">
        <v>153</v>
      </c>
      <c r="L1022">
        <v>251200561</v>
      </c>
      <c r="M1022" s="84">
        <v>46009</v>
      </c>
      <c r="N1022" s="84">
        <v>46009</v>
      </c>
      <c r="O1022" t="s">
        <v>183</v>
      </c>
      <c r="P1022" t="s">
        <v>184</v>
      </c>
      <c r="Q1022">
        <v>72</v>
      </c>
      <c r="R1022">
        <v>300</v>
      </c>
      <c r="S1022">
        <v>21600</v>
      </c>
      <c r="T1022">
        <v>0</v>
      </c>
      <c r="U1022">
        <v>0</v>
      </c>
      <c r="V1022">
        <v>300</v>
      </c>
      <c r="W1022">
        <v>21600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</row>
    <row r="1023" spans="1:29">
      <c r="A1023">
        <v>1015</v>
      </c>
      <c r="B1023" t="s">
        <v>149</v>
      </c>
      <c r="C1023">
        <v>1549</v>
      </c>
      <c r="D1023" t="s">
        <v>345</v>
      </c>
      <c r="E1023" t="str">
        <f t="shared" si="15"/>
        <v>01549</v>
      </c>
      <c r="F1023" t="s">
        <v>43</v>
      </c>
      <c r="G1023" t="s">
        <v>150</v>
      </c>
      <c r="H1023" t="s">
        <v>151</v>
      </c>
      <c r="I1023" t="s">
        <v>4</v>
      </c>
      <c r="J1023" t="s">
        <v>152</v>
      </c>
      <c r="K1023" t="s">
        <v>153</v>
      </c>
      <c r="L1023">
        <v>251200562</v>
      </c>
      <c r="M1023" s="84">
        <v>46011</v>
      </c>
      <c r="N1023" s="84">
        <v>46011</v>
      </c>
      <c r="O1023" t="s">
        <v>206</v>
      </c>
      <c r="P1023" t="s">
        <v>207</v>
      </c>
      <c r="Q1023">
        <v>5500</v>
      </c>
      <c r="R1023">
        <v>5</v>
      </c>
      <c r="S1023">
        <v>27500</v>
      </c>
      <c r="T1023">
        <v>0</v>
      </c>
      <c r="U1023">
        <v>0</v>
      </c>
      <c r="V1023">
        <v>5</v>
      </c>
      <c r="W1023">
        <v>27500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</row>
    <row r="1024" spans="1:29">
      <c r="A1024">
        <v>1016</v>
      </c>
      <c r="B1024" t="s">
        <v>149</v>
      </c>
      <c r="C1024">
        <v>1282</v>
      </c>
      <c r="D1024" t="s">
        <v>374</v>
      </c>
      <c r="E1024" t="str">
        <f t="shared" si="15"/>
        <v>01282</v>
      </c>
      <c r="F1024" t="s">
        <v>111</v>
      </c>
      <c r="G1024" t="s">
        <v>150</v>
      </c>
      <c r="H1024" t="s">
        <v>151</v>
      </c>
      <c r="I1024" t="s">
        <v>4</v>
      </c>
      <c r="J1024" t="s">
        <v>152</v>
      </c>
      <c r="K1024" t="s">
        <v>153</v>
      </c>
      <c r="L1024">
        <v>251200563</v>
      </c>
      <c r="M1024" s="84">
        <v>46011</v>
      </c>
      <c r="N1024" s="84">
        <v>46011</v>
      </c>
      <c r="O1024" t="s">
        <v>262</v>
      </c>
      <c r="P1024" t="s">
        <v>263</v>
      </c>
      <c r="Q1024">
        <v>5500</v>
      </c>
      <c r="R1024">
        <v>25</v>
      </c>
      <c r="S1024">
        <v>137500</v>
      </c>
      <c r="T1024">
        <v>0</v>
      </c>
      <c r="U1024">
        <v>0</v>
      </c>
      <c r="V1024">
        <v>25</v>
      </c>
      <c r="W1024">
        <v>137500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</row>
    <row r="1025" spans="1:29">
      <c r="A1025">
        <v>1017</v>
      </c>
      <c r="B1025" t="s">
        <v>149</v>
      </c>
      <c r="C1025">
        <v>1282</v>
      </c>
      <c r="D1025" t="s">
        <v>374</v>
      </c>
      <c r="E1025" t="str">
        <f t="shared" si="15"/>
        <v>01282</v>
      </c>
      <c r="F1025" t="s">
        <v>111</v>
      </c>
      <c r="G1025" t="s">
        <v>150</v>
      </c>
      <c r="H1025" t="s">
        <v>151</v>
      </c>
      <c r="I1025" t="s">
        <v>4</v>
      </c>
      <c r="J1025" t="s">
        <v>152</v>
      </c>
      <c r="K1025" t="s">
        <v>153</v>
      </c>
      <c r="L1025">
        <v>251200563</v>
      </c>
      <c r="M1025" s="84">
        <v>46011</v>
      </c>
      <c r="N1025" s="84">
        <v>46011</v>
      </c>
      <c r="O1025" t="s">
        <v>160</v>
      </c>
      <c r="P1025" t="s">
        <v>161</v>
      </c>
      <c r="Q1025">
        <v>5500</v>
      </c>
      <c r="R1025">
        <v>20</v>
      </c>
      <c r="S1025">
        <v>110000</v>
      </c>
      <c r="T1025">
        <v>0</v>
      </c>
      <c r="U1025">
        <v>0</v>
      </c>
      <c r="V1025">
        <v>20</v>
      </c>
      <c r="W1025">
        <v>110000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</row>
    <row r="1026" spans="1:29">
      <c r="A1026">
        <v>1018</v>
      </c>
      <c r="B1026" t="s">
        <v>149</v>
      </c>
      <c r="C1026">
        <v>1282</v>
      </c>
      <c r="D1026" t="s">
        <v>374</v>
      </c>
      <c r="E1026" t="str">
        <f t="shared" si="15"/>
        <v>01282</v>
      </c>
      <c r="F1026" t="s">
        <v>111</v>
      </c>
      <c r="G1026" t="s">
        <v>150</v>
      </c>
      <c r="H1026" t="s">
        <v>151</v>
      </c>
      <c r="I1026" t="s">
        <v>5</v>
      </c>
      <c r="J1026" t="s">
        <v>152</v>
      </c>
      <c r="K1026" t="s">
        <v>153</v>
      </c>
      <c r="L1026">
        <v>251200563</v>
      </c>
      <c r="M1026" s="84">
        <v>46011</v>
      </c>
      <c r="N1026" s="84">
        <v>46011</v>
      </c>
      <c r="O1026" t="s">
        <v>191</v>
      </c>
      <c r="P1026" t="s">
        <v>192</v>
      </c>
      <c r="Q1026">
        <v>4500</v>
      </c>
      <c r="R1026">
        <v>40</v>
      </c>
      <c r="S1026">
        <v>180000</v>
      </c>
      <c r="T1026">
        <v>0</v>
      </c>
      <c r="U1026">
        <v>0</v>
      </c>
      <c r="V1026">
        <v>40</v>
      </c>
      <c r="W1026">
        <v>180000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</row>
    <row r="1027" spans="1:29">
      <c r="A1027">
        <v>1019</v>
      </c>
      <c r="B1027" t="s">
        <v>149</v>
      </c>
      <c r="C1027">
        <v>1551</v>
      </c>
      <c r="D1027" t="s">
        <v>316</v>
      </c>
      <c r="E1027" t="str">
        <f t="shared" si="15"/>
        <v>01551</v>
      </c>
      <c r="F1027" t="s">
        <v>111</v>
      </c>
      <c r="G1027" t="s">
        <v>150</v>
      </c>
      <c r="H1027" t="s">
        <v>151</v>
      </c>
      <c r="I1027" t="s">
        <v>5</v>
      </c>
      <c r="J1027" t="s">
        <v>152</v>
      </c>
      <c r="K1027" t="s">
        <v>153</v>
      </c>
      <c r="L1027">
        <v>251200564</v>
      </c>
      <c r="M1027" s="84">
        <v>46011</v>
      </c>
      <c r="N1027" s="84">
        <v>46011</v>
      </c>
      <c r="O1027" t="s">
        <v>191</v>
      </c>
      <c r="P1027" t="s">
        <v>192</v>
      </c>
      <c r="Q1027">
        <v>4500</v>
      </c>
      <c r="R1027">
        <v>20</v>
      </c>
      <c r="S1027">
        <v>90000</v>
      </c>
      <c r="T1027">
        <v>0</v>
      </c>
      <c r="U1027">
        <v>0</v>
      </c>
      <c r="V1027">
        <v>20</v>
      </c>
      <c r="W1027">
        <v>90000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</row>
    <row r="1028" spans="1:29">
      <c r="A1028">
        <v>1020</v>
      </c>
      <c r="B1028" t="s">
        <v>149</v>
      </c>
      <c r="C1028">
        <v>1478</v>
      </c>
      <c r="D1028" t="s">
        <v>314</v>
      </c>
      <c r="E1028" t="str">
        <f t="shared" si="15"/>
        <v>01478</v>
      </c>
      <c r="F1028" t="s">
        <v>111</v>
      </c>
      <c r="G1028" t="s">
        <v>150</v>
      </c>
      <c r="H1028" t="s">
        <v>151</v>
      </c>
      <c r="I1028" t="s">
        <v>5</v>
      </c>
      <c r="J1028" t="s">
        <v>152</v>
      </c>
      <c r="K1028" t="s">
        <v>153</v>
      </c>
      <c r="L1028">
        <v>251200565</v>
      </c>
      <c r="M1028" s="84">
        <v>46011</v>
      </c>
      <c r="N1028" s="84">
        <v>46011</v>
      </c>
      <c r="O1028" t="s">
        <v>191</v>
      </c>
      <c r="P1028" t="s">
        <v>192</v>
      </c>
      <c r="Q1028">
        <v>4500</v>
      </c>
      <c r="R1028">
        <v>20</v>
      </c>
      <c r="S1028">
        <v>90000</v>
      </c>
      <c r="T1028">
        <v>0</v>
      </c>
      <c r="U1028">
        <v>0</v>
      </c>
      <c r="V1028">
        <v>20</v>
      </c>
      <c r="W1028">
        <v>90000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</row>
    <row r="1029" spans="1:29">
      <c r="A1029">
        <v>1021</v>
      </c>
      <c r="B1029" t="s">
        <v>149</v>
      </c>
      <c r="C1029">
        <v>1478</v>
      </c>
      <c r="D1029" t="s">
        <v>314</v>
      </c>
      <c r="E1029" t="str">
        <f t="shared" si="15"/>
        <v>01478</v>
      </c>
      <c r="F1029" t="s">
        <v>111</v>
      </c>
      <c r="G1029" t="s">
        <v>150</v>
      </c>
      <c r="H1029" t="s">
        <v>151</v>
      </c>
      <c r="I1029" t="s">
        <v>4</v>
      </c>
      <c r="J1029" t="s">
        <v>152</v>
      </c>
      <c r="K1029" t="s">
        <v>153</v>
      </c>
      <c r="L1029">
        <v>251200565</v>
      </c>
      <c r="M1029" s="84">
        <v>46011</v>
      </c>
      <c r="N1029" s="84">
        <v>46011</v>
      </c>
      <c r="O1029" t="s">
        <v>219</v>
      </c>
      <c r="P1029" t="s">
        <v>220</v>
      </c>
      <c r="Q1029">
        <v>5500</v>
      </c>
      <c r="R1029">
        <v>20</v>
      </c>
      <c r="S1029">
        <v>110000</v>
      </c>
      <c r="T1029">
        <v>0</v>
      </c>
      <c r="U1029">
        <v>0</v>
      </c>
      <c r="V1029">
        <v>20</v>
      </c>
      <c r="W1029">
        <v>110000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</row>
    <row r="1030" spans="1:29">
      <c r="A1030">
        <v>1022</v>
      </c>
      <c r="B1030" t="s">
        <v>149</v>
      </c>
      <c r="C1030">
        <v>1404</v>
      </c>
      <c r="D1030" t="s">
        <v>113</v>
      </c>
      <c r="E1030" t="str">
        <f t="shared" si="15"/>
        <v>01404</v>
      </c>
      <c r="F1030" t="s">
        <v>111</v>
      </c>
      <c r="G1030" t="s">
        <v>150</v>
      </c>
      <c r="H1030" t="s">
        <v>151</v>
      </c>
      <c r="I1030" t="s">
        <v>4</v>
      </c>
      <c r="J1030" t="s">
        <v>152</v>
      </c>
      <c r="K1030" t="s">
        <v>153</v>
      </c>
      <c r="L1030">
        <v>251200566</v>
      </c>
      <c r="M1030" s="84">
        <v>46011</v>
      </c>
      <c r="N1030" s="84">
        <v>46011</v>
      </c>
      <c r="O1030" t="s">
        <v>160</v>
      </c>
      <c r="P1030" t="s">
        <v>161</v>
      </c>
      <c r="Q1030">
        <v>14250</v>
      </c>
      <c r="R1030">
        <v>8</v>
      </c>
      <c r="S1030">
        <v>114000</v>
      </c>
      <c r="T1030">
        <v>0</v>
      </c>
      <c r="U1030">
        <v>0</v>
      </c>
      <c r="V1030">
        <v>8</v>
      </c>
      <c r="W1030">
        <v>114000</v>
      </c>
      <c r="X1030">
        <v>1200</v>
      </c>
      <c r="Y1030">
        <v>1600</v>
      </c>
      <c r="Z1030">
        <v>0</v>
      </c>
      <c r="AA1030">
        <v>0</v>
      </c>
      <c r="AB1030">
        <v>0</v>
      </c>
      <c r="AC1030">
        <v>2800</v>
      </c>
    </row>
    <row r="1031" spans="1:29">
      <c r="A1031">
        <v>1023</v>
      </c>
      <c r="B1031" t="s">
        <v>149</v>
      </c>
      <c r="C1031">
        <v>1320</v>
      </c>
      <c r="D1031" t="s">
        <v>319</v>
      </c>
      <c r="E1031" t="str">
        <f t="shared" si="15"/>
        <v>01320</v>
      </c>
      <c r="F1031" t="s">
        <v>171</v>
      </c>
      <c r="G1031" t="s">
        <v>172</v>
      </c>
      <c r="H1031" t="s">
        <v>157</v>
      </c>
      <c r="I1031" t="s">
        <v>4</v>
      </c>
      <c r="J1031" t="s">
        <v>152</v>
      </c>
      <c r="K1031" t="s">
        <v>174</v>
      </c>
      <c r="L1031">
        <v>251200567</v>
      </c>
      <c r="M1031" s="84">
        <v>46011</v>
      </c>
      <c r="N1031" s="84">
        <v>46011</v>
      </c>
      <c r="O1031" t="s">
        <v>408</v>
      </c>
      <c r="P1031" t="s">
        <v>409</v>
      </c>
      <c r="Q1031">
        <v>5500</v>
      </c>
      <c r="R1031">
        <v>10</v>
      </c>
      <c r="S1031">
        <v>55000</v>
      </c>
      <c r="T1031">
        <v>0</v>
      </c>
      <c r="U1031">
        <v>0</v>
      </c>
      <c r="V1031">
        <v>10</v>
      </c>
      <c r="W1031">
        <v>55000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</row>
    <row r="1032" spans="1:29">
      <c r="A1032">
        <v>1024</v>
      </c>
      <c r="B1032" t="s">
        <v>149</v>
      </c>
      <c r="C1032">
        <v>1320</v>
      </c>
      <c r="D1032" t="s">
        <v>319</v>
      </c>
      <c r="E1032" t="str">
        <f t="shared" si="15"/>
        <v>01320</v>
      </c>
      <c r="F1032" t="s">
        <v>171</v>
      </c>
      <c r="G1032" t="s">
        <v>172</v>
      </c>
      <c r="H1032" t="s">
        <v>157</v>
      </c>
      <c r="I1032" t="s">
        <v>4</v>
      </c>
      <c r="J1032" t="s">
        <v>152</v>
      </c>
      <c r="K1032" t="s">
        <v>174</v>
      </c>
      <c r="L1032">
        <v>251200568</v>
      </c>
      <c r="M1032" s="84">
        <v>46011</v>
      </c>
      <c r="N1032" s="84">
        <v>46011</v>
      </c>
      <c r="O1032" t="s">
        <v>168</v>
      </c>
      <c r="P1032" t="s">
        <v>169</v>
      </c>
      <c r="Q1032">
        <v>5500</v>
      </c>
      <c r="R1032">
        <v>10</v>
      </c>
      <c r="S1032">
        <v>55000</v>
      </c>
      <c r="T1032">
        <v>0</v>
      </c>
      <c r="U1032">
        <v>0</v>
      </c>
      <c r="V1032">
        <v>10</v>
      </c>
      <c r="W1032">
        <v>55000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</row>
    <row r="1033" spans="1:29">
      <c r="A1033">
        <v>1025</v>
      </c>
      <c r="B1033" t="s">
        <v>149</v>
      </c>
      <c r="C1033">
        <v>1438</v>
      </c>
      <c r="D1033" t="s">
        <v>320</v>
      </c>
      <c r="E1033" t="str">
        <f t="shared" ref="E1033:E1096" si="16">TEXT(C1033,"00000")</f>
        <v>01438</v>
      </c>
      <c r="F1033" t="s">
        <v>171</v>
      </c>
      <c r="G1033" t="s">
        <v>172</v>
      </c>
      <c r="H1033" t="s">
        <v>157</v>
      </c>
      <c r="I1033" t="s">
        <v>4</v>
      </c>
      <c r="J1033" t="s">
        <v>152</v>
      </c>
      <c r="K1033" t="s">
        <v>174</v>
      </c>
      <c r="L1033">
        <v>251200569</v>
      </c>
      <c r="M1033" s="84">
        <v>46011</v>
      </c>
      <c r="N1033" s="84">
        <v>46011</v>
      </c>
      <c r="O1033" t="s">
        <v>321</v>
      </c>
      <c r="P1033" t="s">
        <v>322</v>
      </c>
      <c r="Q1033">
        <v>5500</v>
      </c>
      <c r="R1033">
        <v>10</v>
      </c>
      <c r="S1033">
        <v>55000</v>
      </c>
      <c r="T1033">
        <v>0</v>
      </c>
      <c r="U1033">
        <v>0</v>
      </c>
      <c r="V1033">
        <v>10</v>
      </c>
      <c r="W1033">
        <v>55000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</row>
    <row r="1034" spans="1:29">
      <c r="A1034">
        <v>1026</v>
      </c>
      <c r="B1034" t="s">
        <v>149</v>
      </c>
      <c r="C1034">
        <v>1428</v>
      </c>
      <c r="D1034" t="s">
        <v>351</v>
      </c>
      <c r="E1034" t="str">
        <f t="shared" si="16"/>
        <v>01428</v>
      </c>
      <c r="F1034" t="s">
        <v>171</v>
      </c>
      <c r="G1034" t="s">
        <v>172</v>
      </c>
      <c r="H1034" t="s">
        <v>157</v>
      </c>
      <c r="I1034" t="s">
        <v>4</v>
      </c>
      <c r="J1034" t="s">
        <v>152</v>
      </c>
      <c r="K1034" t="s">
        <v>174</v>
      </c>
      <c r="L1034">
        <v>251200570</v>
      </c>
      <c r="M1034" s="84">
        <v>46011</v>
      </c>
      <c r="N1034" s="84">
        <v>46011</v>
      </c>
      <c r="O1034" t="s">
        <v>248</v>
      </c>
      <c r="P1034" t="s">
        <v>249</v>
      </c>
      <c r="Q1034">
        <v>5500</v>
      </c>
      <c r="R1034">
        <v>5</v>
      </c>
      <c r="S1034">
        <v>27500</v>
      </c>
      <c r="T1034">
        <v>0</v>
      </c>
      <c r="U1034">
        <v>0</v>
      </c>
      <c r="V1034">
        <v>5</v>
      </c>
      <c r="W1034">
        <v>27500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</row>
    <row r="1035" spans="1:29">
      <c r="A1035">
        <v>1027</v>
      </c>
      <c r="B1035" t="s">
        <v>149</v>
      </c>
      <c r="C1035">
        <v>1428</v>
      </c>
      <c r="D1035" t="s">
        <v>351</v>
      </c>
      <c r="E1035" t="str">
        <f t="shared" si="16"/>
        <v>01428</v>
      </c>
      <c r="F1035" t="s">
        <v>171</v>
      </c>
      <c r="G1035" t="s">
        <v>172</v>
      </c>
      <c r="H1035" t="s">
        <v>157</v>
      </c>
      <c r="I1035" t="s">
        <v>4</v>
      </c>
      <c r="J1035" t="s">
        <v>152</v>
      </c>
      <c r="K1035" t="s">
        <v>174</v>
      </c>
      <c r="L1035">
        <v>251200571</v>
      </c>
      <c r="M1035" s="84">
        <v>46011</v>
      </c>
      <c r="N1035" s="84">
        <v>46011</v>
      </c>
      <c r="O1035" t="s">
        <v>154</v>
      </c>
      <c r="P1035" t="s">
        <v>155</v>
      </c>
      <c r="Q1035">
        <v>5500</v>
      </c>
      <c r="R1035">
        <v>1</v>
      </c>
      <c r="S1035">
        <v>5500</v>
      </c>
      <c r="T1035">
        <v>0</v>
      </c>
      <c r="U1035">
        <v>0</v>
      </c>
      <c r="V1035">
        <v>1</v>
      </c>
      <c r="W1035">
        <v>5500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</row>
    <row r="1036" spans="1:29">
      <c r="A1036">
        <v>1028</v>
      </c>
      <c r="B1036" t="s">
        <v>149</v>
      </c>
      <c r="C1036">
        <v>1284</v>
      </c>
      <c r="D1036" t="s">
        <v>186</v>
      </c>
      <c r="E1036" t="str">
        <f t="shared" si="16"/>
        <v>01284</v>
      </c>
      <c r="F1036" t="s">
        <v>171</v>
      </c>
      <c r="G1036" t="s">
        <v>172</v>
      </c>
      <c r="H1036" t="s">
        <v>157</v>
      </c>
      <c r="I1036" t="s">
        <v>173</v>
      </c>
      <c r="J1036" t="s">
        <v>152</v>
      </c>
      <c r="K1036" t="s">
        <v>174</v>
      </c>
      <c r="L1036">
        <v>251200572</v>
      </c>
      <c r="M1036" s="84">
        <v>46011</v>
      </c>
      <c r="N1036" s="84">
        <v>46011</v>
      </c>
      <c r="O1036" t="s">
        <v>287</v>
      </c>
      <c r="P1036" t="s">
        <v>288</v>
      </c>
      <c r="Q1036">
        <v>6415</v>
      </c>
      <c r="R1036">
        <v>2</v>
      </c>
      <c r="S1036">
        <v>12830</v>
      </c>
      <c r="T1036">
        <v>0</v>
      </c>
      <c r="U1036">
        <v>0</v>
      </c>
      <c r="V1036">
        <v>2</v>
      </c>
      <c r="W1036">
        <v>12830</v>
      </c>
      <c r="X1036">
        <v>0</v>
      </c>
      <c r="Y1036">
        <v>256</v>
      </c>
      <c r="Z1036">
        <v>642</v>
      </c>
      <c r="AA1036">
        <v>0</v>
      </c>
      <c r="AB1036">
        <v>200</v>
      </c>
      <c r="AC1036">
        <v>1098</v>
      </c>
    </row>
    <row r="1037" spans="1:29">
      <c r="A1037">
        <v>1029</v>
      </c>
      <c r="B1037" t="s">
        <v>149</v>
      </c>
      <c r="C1037">
        <v>1285</v>
      </c>
      <c r="D1037" t="s">
        <v>302</v>
      </c>
      <c r="E1037" t="str">
        <f t="shared" si="16"/>
        <v>01285</v>
      </c>
      <c r="F1037" t="s">
        <v>171</v>
      </c>
      <c r="G1037" t="s">
        <v>172</v>
      </c>
      <c r="H1037" t="s">
        <v>157</v>
      </c>
      <c r="I1037" t="s">
        <v>173</v>
      </c>
      <c r="J1037" t="s">
        <v>152</v>
      </c>
      <c r="K1037" t="s">
        <v>174</v>
      </c>
      <c r="L1037">
        <v>251200573</v>
      </c>
      <c r="M1037" s="84">
        <v>46011</v>
      </c>
      <c r="N1037" s="84">
        <v>46011</v>
      </c>
      <c r="O1037" t="s">
        <v>287</v>
      </c>
      <c r="P1037" t="s">
        <v>288</v>
      </c>
      <c r="Q1037">
        <v>6415</v>
      </c>
      <c r="R1037">
        <v>8</v>
      </c>
      <c r="S1037">
        <v>51320</v>
      </c>
      <c r="T1037">
        <v>0</v>
      </c>
      <c r="U1037">
        <v>0</v>
      </c>
      <c r="V1037">
        <v>8</v>
      </c>
      <c r="W1037">
        <v>51320</v>
      </c>
      <c r="X1037">
        <v>0</v>
      </c>
      <c r="Y1037">
        <v>1024</v>
      </c>
      <c r="Z1037">
        <v>2568</v>
      </c>
      <c r="AA1037">
        <v>0</v>
      </c>
      <c r="AB1037">
        <v>800</v>
      </c>
      <c r="AC1037">
        <v>4392</v>
      </c>
    </row>
    <row r="1038" spans="1:29">
      <c r="A1038">
        <v>1030</v>
      </c>
      <c r="B1038" t="s">
        <v>149</v>
      </c>
      <c r="C1038">
        <v>1533</v>
      </c>
      <c r="D1038" t="s">
        <v>330</v>
      </c>
      <c r="E1038" t="str">
        <f t="shared" si="16"/>
        <v>01533</v>
      </c>
      <c r="F1038" t="s">
        <v>65</v>
      </c>
      <c r="G1038" t="s">
        <v>208</v>
      </c>
      <c r="H1038" t="s">
        <v>157</v>
      </c>
      <c r="I1038" t="s">
        <v>4</v>
      </c>
      <c r="J1038" t="s">
        <v>152</v>
      </c>
      <c r="K1038" t="s">
        <v>174</v>
      </c>
      <c r="L1038">
        <v>251200574</v>
      </c>
      <c r="M1038" s="84">
        <v>46011</v>
      </c>
      <c r="N1038" s="84">
        <v>46011</v>
      </c>
      <c r="O1038" t="s">
        <v>256</v>
      </c>
      <c r="P1038" t="s">
        <v>257</v>
      </c>
      <c r="Q1038">
        <v>5500</v>
      </c>
      <c r="R1038">
        <v>10</v>
      </c>
      <c r="S1038">
        <v>55000</v>
      </c>
      <c r="T1038">
        <v>0</v>
      </c>
      <c r="U1038">
        <v>0</v>
      </c>
      <c r="V1038">
        <v>10</v>
      </c>
      <c r="W1038">
        <v>55000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</row>
    <row r="1039" spans="1:29">
      <c r="A1039">
        <v>1031</v>
      </c>
      <c r="B1039" t="s">
        <v>149</v>
      </c>
      <c r="C1039">
        <v>1454</v>
      </c>
      <c r="D1039" t="s">
        <v>362</v>
      </c>
      <c r="E1039" t="str">
        <f t="shared" si="16"/>
        <v>01454</v>
      </c>
      <c r="F1039" t="s">
        <v>10</v>
      </c>
      <c r="G1039" t="s">
        <v>172</v>
      </c>
      <c r="H1039" t="s">
        <v>157</v>
      </c>
      <c r="I1039" t="s">
        <v>4</v>
      </c>
      <c r="J1039" t="s">
        <v>152</v>
      </c>
      <c r="K1039" t="s">
        <v>174</v>
      </c>
      <c r="L1039">
        <v>251200575</v>
      </c>
      <c r="M1039" s="84">
        <v>46011</v>
      </c>
      <c r="N1039" s="84">
        <v>46011</v>
      </c>
      <c r="O1039" t="s">
        <v>179</v>
      </c>
      <c r="P1039" t="s">
        <v>180</v>
      </c>
      <c r="Q1039">
        <v>5500</v>
      </c>
      <c r="R1039">
        <v>2</v>
      </c>
      <c r="S1039">
        <v>11000</v>
      </c>
      <c r="T1039">
        <v>0</v>
      </c>
      <c r="U1039">
        <v>0</v>
      </c>
      <c r="V1039">
        <v>2</v>
      </c>
      <c r="W1039">
        <v>11000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</row>
    <row r="1040" spans="1:29">
      <c r="A1040">
        <v>1032</v>
      </c>
      <c r="B1040" t="s">
        <v>149</v>
      </c>
      <c r="C1040">
        <v>1454</v>
      </c>
      <c r="D1040" t="s">
        <v>362</v>
      </c>
      <c r="E1040" t="str">
        <f t="shared" si="16"/>
        <v>01454</v>
      </c>
      <c r="F1040" t="s">
        <v>10</v>
      </c>
      <c r="G1040" t="s">
        <v>172</v>
      </c>
      <c r="H1040" t="s">
        <v>157</v>
      </c>
      <c r="I1040" t="s">
        <v>4</v>
      </c>
      <c r="J1040" t="s">
        <v>152</v>
      </c>
      <c r="K1040" t="s">
        <v>174</v>
      </c>
      <c r="L1040">
        <v>251200575</v>
      </c>
      <c r="M1040" s="84">
        <v>46011</v>
      </c>
      <c r="N1040" s="84">
        <v>46011</v>
      </c>
      <c r="O1040" t="s">
        <v>160</v>
      </c>
      <c r="P1040" t="s">
        <v>161</v>
      </c>
      <c r="Q1040">
        <v>5500</v>
      </c>
      <c r="R1040">
        <v>1</v>
      </c>
      <c r="S1040">
        <v>5500</v>
      </c>
      <c r="T1040">
        <v>0</v>
      </c>
      <c r="U1040">
        <v>0</v>
      </c>
      <c r="V1040">
        <v>1</v>
      </c>
      <c r="W1040">
        <v>5500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</row>
    <row r="1041" spans="1:29">
      <c r="A1041">
        <v>1033</v>
      </c>
      <c r="B1041" t="s">
        <v>149</v>
      </c>
      <c r="C1041">
        <v>1454</v>
      </c>
      <c r="D1041" t="s">
        <v>362</v>
      </c>
      <c r="E1041" t="str">
        <f t="shared" si="16"/>
        <v>01454</v>
      </c>
      <c r="F1041" t="s">
        <v>10</v>
      </c>
      <c r="G1041" t="s">
        <v>172</v>
      </c>
      <c r="H1041" t="s">
        <v>157</v>
      </c>
      <c r="I1041" t="s">
        <v>4</v>
      </c>
      <c r="J1041" t="s">
        <v>152</v>
      </c>
      <c r="K1041" t="s">
        <v>174</v>
      </c>
      <c r="L1041">
        <v>251200575</v>
      </c>
      <c r="M1041" s="84">
        <v>46011</v>
      </c>
      <c r="N1041" s="84">
        <v>46011</v>
      </c>
      <c r="O1041" t="s">
        <v>168</v>
      </c>
      <c r="P1041" t="s">
        <v>169</v>
      </c>
      <c r="Q1041">
        <v>5500</v>
      </c>
      <c r="R1041">
        <v>3</v>
      </c>
      <c r="S1041">
        <v>16500</v>
      </c>
      <c r="T1041">
        <v>0</v>
      </c>
      <c r="U1041">
        <v>0</v>
      </c>
      <c r="V1041">
        <v>3</v>
      </c>
      <c r="W1041">
        <v>16500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</row>
    <row r="1042" spans="1:29">
      <c r="A1042">
        <v>1034</v>
      </c>
      <c r="B1042" t="s">
        <v>149</v>
      </c>
      <c r="C1042">
        <v>1606</v>
      </c>
      <c r="D1042" t="s">
        <v>411</v>
      </c>
      <c r="E1042" t="str">
        <f t="shared" si="16"/>
        <v>01606</v>
      </c>
      <c r="F1042" t="s">
        <v>86</v>
      </c>
      <c r="G1042" t="s">
        <v>156</v>
      </c>
      <c r="H1042" t="s">
        <v>157</v>
      </c>
      <c r="I1042" t="s">
        <v>4</v>
      </c>
      <c r="J1042" t="s">
        <v>152</v>
      </c>
      <c r="K1042" t="s">
        <v>159</v>
      </c>
      <c r="L1042">
        <v>251200576</v>
      </c>
      <c r="M1042" s="84">
        <v>46011</v>
      </c>
      <c r="N1042" s="84">
        <v>46011</v>
      </c>
      <c r="O1042" t="s">
        <v>160</v>
      </c>
      <c r="P1042" t="s">
        <v>161</v>
      </c>
      <c r="Q1042">
        <v>5500</v>
      </c>
      <c r="R1042">
        <v>10</v>
      </c>
      <c r="S1042">
        <v>55000</v>
      </c>
      <c r="T1042">
        <v>0</v>
      </c>
      <c r="U1042">
        <v>0</v>
      </c>
      <c r="V1042">
        <v>10</v>
      </c>
      <c r="W1042">
        <v>55000</v>
      </c>
      <c r="X1042">
        <v>1500</v>
      </c>
      <c r="Y1042">
        <v>2000</v>
      </c>
      <c r="Z1042">
        <v>0</v>
      </c>
      <c r="AA1042">
        <v>0</v>
      </c>
      <c r="AB1042">
        <v>0</v>
      </c>
      <c r="AC1042">
        <v>3500</v>
      </c>
    </row>
    <row r="1043" spans="1:29">
      <c r="A1043">
        <v>1035</v>
      </c>
      <c r="B1043" t="s">
        <v>149</v>
      </c>
      <c r="C1043">
        <v>1606</v>
      </c>
      <c r="D1043" t="s">
        <v>411</v>
      </c>
      <c r="E1043" t="str">
        <f t="shared" si="16"/>
        <v>01606</v>
      </c>
      <c r="F1043" t="s">
        <v>86</v>
      </c>
      <c r="G1043" t="s">
        <v>156</v>
      </c>
      <c r="H1043" t="s">
        <v>157</v>
      </c>
      <c r="I1043" t="s">
        <v>4</v>
      </c>
      <c r="J1043" t="s">
        <v>152</v>
      </c>
      <c r="K1043" t="s">
        <v>159</v>
      </c>
      <c r="L1043">
        <v>251200576</v>
      </c>
      <c r="M1043" s="84">
        <v>46011</v>
      </c>
      <c r="N1043" s="84">
        <v>46011</v>
      </c>
      <c r="O1043" t="s">
        <v>290</v>
      </c>
      <c r="P1043" t="s">
        <v>291</v>
      </c>
      <c r="Q1043">
        <v>5500</v>
      </c>
      <c r="R1043">
        <v>10</v>
      </c>
      <c r="S1043">
        <v>55000</v>
      </c>
      <c r="T1043">
        <v>0</v>
      </c>
      <c r="U1043">
        <v>0</v>
      </c>
      <c r="V1043">
        <v>10</v>
      </c>
      <c r="W1043">
        <v>55000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</row>
    <row r="1044" spans="1:29">
      <c r="A1044">
        <v>1036</v>
      </c>
      <c r="B1044" t="s">
        <v>149</v>
      </c>
      <c r="C1044">
        <v>1487</v>
      </c>
      <c r="D1044" t="s">
        <v>88</v>
      </c>
      <c r="E1044" t="str">
        <f t="shared" si="16"/>
        <v>01487</v>
      </c>
      <c r="F1044" t="s">
        <v>86</v>
      </c>
      <c r="G1044" t="s">
        <v>156</v>
      </c>
      <c r="H1044" t="s">
        <v>157</v>
      </c>
      <c r="I1044" t="s">
        <v>4</v>
      </c>
      <c r="J1044" t="s">
        <v>152</v>
      </c>
      <c r="K1044" t="s">
        <v>159</v>
      </c>
      <c r="L1044">
        <v>251200577</v>
      </c>
      <c r="M1044" s="84">
        <v>46011</v>
      </c>
      <c r="N1044" s="84">
        <v>46011</v>
      </c>
      <c r="O1044" t="s">
        <v>256</v>
      </c>
      <c r="P1044" t="s">
        <v>257</v>
      </c>
      <c r="Q1044">
        <v>14250</v>
      </c>
      <c r="R1044">
        <v>10</v>
      </c>
      <c r="S1044">
        <v>142500</v>
      </c>
      <c r="T1044">
        <v>0</v>
      </c>
      <c r="U1044">
        <v>0</v>
      </c>
      <c r="V1044">
        <v>10</v>
      </c>
      <c r="W1044">
        <v>142500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</row>
    <row r="1045" spans="1:29">
      <c r="A1045">
        <v>1037</v>
      </c>
      <c r="B1045" t="s">
        <v>149</v>
      </c>
      <c r="C1045">
        <v>1545</v>
      </c>
      <c r="D1045" t="s">
        <v>387</v>
      </c>
      <c r="E1045" t="str">
        <f t="shared" si="16"/>
        <v>01545</v>
      </c>
      <c r="F1045" t="s">
        <v>7</v>
      </c>
      <c r="G1045" t="s">
        <v>156</v>
      </c>
      <c r="H1045" t="s">
        <v>157</v>
      </c>
      <c r="I1045" t="s">
        <v>4</v>
      </c>
      <c r="J1045" t="s">
        <v>152</v>
      </c>
      <c r="K1045" t="s">
        <v>159</v>
      </c>
      <c r="L1045">
        <v>251200578</v>
      </c>
      <c r="M1045" s="84">
        <v>46011</v>
      </c>
      <c r="N1045" s="84">
        <v>46011</v>
      </c>
      <c r="O1045" t="s">
        <v>262</v>
      </c>
      <c r="P1045" t="s">
        <v>263</v>
      </c>
      <c r="Q1045">
        <v>5500</v>
      </c>
      <c r="R1045">
        <v>20</v>
      </c>
      <c r="S1045">
        <v>110000</v>
      </c>
      <c r="T1045">
        <v>0</v>
      </c>
      <c r="U1045">
        <v>0</v>
      </c>
      <c r="V1045">
        <v>20</v>
      </c>
      <c r="W1045">
        <v>110000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</row>
    <row r="1046" spans="1:29">
      <c r="A1046">
        <v>1038</v>
      </c>
      <c r="B1046" t="s">
        <v>149</v>
      </c>
      <c r="C1046">
        <v>1566</v>
      </c>
      <c r="D1046" t="s">
        <v>376</v>
      </c>
      <c r="E1046" t="str">
        <f t="shared" si="16"/>
        <v>01566</v>
      </c>
      <c r="F1046" t="s">
        <v>91</v>
      </c>
      <c r="G1046" t="s">
        <v>202</v>
      </c>
      <c r="H1046" t="s">
        <v>157</v>
      </c>
      <c r="I1046" t="s">
        <v>4</v>
      </c>
      <c r="J1046" t="s">
        <v>152</v>
      </c>
      <c r="K1046" t="s">
        <v>159</v>
      </c>
      <c r="L1046">
        <v>251200579</v>
      </c>
      <c r="M1046" s="84">
        <v>46011</v>
      </c>
      <c r="N1046" s="84">
        <v>46011</v>
      </c>
      <c r="O1046" t="s">
        <v>256</v>
      </c>
      <c r="P1046" t="s">
        <v>257</v>
      </c>
      <c r="Q1046">
        <v>5500</v>
      </c>
      <c r="R1046">
        <v>50</v>
      </c>
      <c r="S1046">
        <v>275000</v>
      </c>
      <c r="T1046">
        <v>0</v>
      </c>
      <c r="U1046">
        <v>0</v>
      </c>
      <c r="V1046">
        <v>50</v>
      </c>
      <c r="W1046">
        <v>275000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</row>
    <row r="1047" spans="1:29">
      <c r="A1047">
        <v>1039</v>
      </c>
      <c r="B1047" t="s">
        <v>149</v>
      </c>
      <c r="C1047">
        <v>1566</v>
      </c>
      <c r="D1047" t="s">
        <v>376</v>
      </c>
      <c r="E1047" t="str">
        <f t="shared" si="16"/>
        <v>01566</v>
      </c>
      <c r="F1047" t="s">
        <v>91</v>
      </c>
      <c r="G1047" t="s">
        <v>202</v>
      </c>
      <c r="H1047" t="s">
        <v>157</v>
      </c>
      <c r="I1047" t="s">
        <v>4</v>
      </c>
      <c r="J1047" t="s">
        <v>152</v>
      </c>
      <c r="K1047" t="s">
        <v>159</v>
      </c>
      <c r="L1047">
        <v>251200579</v>
      </c>
      <c r="M1047" s="84">
        <v>46011</v>
      </c>
      <c r="N1047" s="84">
        <v>46011</v>
      </c>
      <c r="O1047" t="s">
        <v>290</v>
      </c>
      <c r="P1047" t="s">
        <v>291</v>
      </c>
      <c r="Q1047">
        <v>5500</v>
      </c>
      <c r="R1047">
        <v>30</v>
      </c>
      <c r="S1047">
        <v>165000</v>
      </c>
      <c r="T1047">
        <v>0</v>
      </c>
      <c r="U1047">
        <v>0</v>
      </c>
      <c r="V1047">
        <v>30</v>
      </c>
      <c r="W1047">
        <v>165000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</row>
    <row r="1048" spans="1:29">
      <c r="A1048">
        <v>1040</v>
      </c>
      <c r="B1048" t="s">
        <v>149</v>
      </c>
      <c r="C1048">
        <v>1484</v>
      </c>
      <c r="D1048" t="s">
        <v>331</v>
      </c>
      <c r="E1048" t="str">
        <f t="shared" si="16"/>
        <v>01484</v>
      </c>
      <c r="F1048" t="s">
        <v>71</v>
      </c>
      <c r="G1048" t="s">
        <v>305</v>
      </c>
      <c r="H1048" t="s">
        <v>157</v>
      </c>
      <c r="I1048" t="s">
        <v>4</v>
      </c>
      <c r="J1048" t="s">
        <v>152</v>
      </c>
      <c r="K1048" t="s">
        <v>174</v>
      </c>
      <c r="L1048">
        <v>251200580</v>
      </c>
      <c r="M1048" s="84">
        <v>46011</v>
      </c>
      <c r="N1048" s="84">
        <v>46011</v>
      </c>
      <c r="O1048" t="s">
        <v>215</v>
      </c>
      <c r="P1048" t="s">
        <v>216</v>
      </c>
      <c r="Q1048">
        <v>5500</v>
      </c>
      <c r="R1048">
        <v>5</v>
      </c>
      <c r="S1048">
        <v>27500</v>
      </c>
      <c r="T1048">
        <v>0</v>
      </c>
      <c r="U1048">
        <v>0</v>
      </c>
      <c r="V1048">
        <v>5</v>
      </c>
      <c r="W1048">
        <v>27500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</row>
    <row r="1049" spans="1:29">
      <c r="A1049">
        <v>1041</v>
      </c>
      <c r="B1049" t="s">
        <v>400</v>
      </c>
      <c r="C1049">
        <v>1603</v>
      </c>
      <c r="D1049" t="s">
        <v>401</v>
      </c>
      <c r="E1049" t="str">
        <f t="shared" si="16"/>
        <v>01603</v>
      </c>
      <c r="F1049" t="s">
        <v>91</v>
      </c>
      <c r="G1049" t="s">
        <v>202</v>
      </c>
      <c r="H1049" t="s">
        <v>157</v>
      </c>
      <c r="I1049" t="s">
        <v>4</v>
      </c>
      <c r="J1049" t="s">
        <v>152</v>
      </c>
      <c r="K1049" t="s">
        <v>159</v>
      </c>
      <c r="L1049">
        <v>251200581</v>
      </c>
      <c r="M1049" s="84">
        <v>46011</v>
      </c>
      <c r="N1049" s="84">
        <v>46011</v>
      </c>
      <c r="O1049" t="s">
        <v>402</v>
      </c>
      <c r="P1049" t="s">
        <v>403</v>
      </c>
      <c r="Q1049">
        <v>5500</v>
      </c>
      <c r="R1049">
        <v>10</v>
      </c>
      <c r="S1049">
        <v>55000</v>
      </c>
      <c r="T1049">
        <v>0</v>
      </c>
      <c r="U1049">
        <v>0</v>
      </c>
      <c r="V1049">
        <v>10</v>
      </c>
      <c r="W1049">
        <v>55000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</row>
    <row r="1050" spans="1:29">
      <c r="A1050">
        <v>1042</v>
      </c>
      <c r="B1050" t="s">
        <v>400</v>
      </c>
      <c r="C1050">
        <v>1603</v>
      </c>
      <c r="D1050" t="s">
        <v>401</v>
      </c>
      <c r="E1050" t="str">
        <f t="shared" si="16"/>
        <v>01603</v>
      </c>
      <c r="F1050" t="s">
        <v>91</v>
      </c>
      <c r="G1050" t="s">
        <v>202</v>
      </c>
      <c r="H1050" t="s">
        <v>157</v>
      </c>
      <c r="I1050" t="s">
        <v>4</v>
      </c>
      <c r="J1050" t="s">
        <v>152</v>
      </c>
      <c r="K1050" t="s">
        <v>159</v>
      </c>
      <c r="L1050">
        <v>251200582</v>
      </c>
      <c r="M1050" s="84">
        <v>46011</v>
      </c>
      <c r="N1050" s="84">
        <v>46011</v>
      </c>
      <c r="O1050" t="s">
        <v>404</v>
      </c>
      <c r="P1050" t="s">
        <v>405</v>
      </c>
      <c r="Q1050">
        <v>5500</v>
      </c>
      <c r="R1050">
        <v>10</v>
      </c>
      <c r="S1050">
        <v>55000</v>
      </c>
      <c r="T1050">
        <v>0</v>
      </c>
      <c r="U1050">
        <v>0</v>
      </c>
      <c r="V1050">
        <v>10</v>
      </c>
      <c r="W1050">
        <v>55000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</row>
    <row r="1051" spans="1:29">
      <c r="A1051">
        <v>1043</v>
      </c>
      <c r="B1051" t="s">
        <v>149</v>
      </c>
      <c r="C1051">
        <v>1484</v>
      </c>
      <c r="D1051" t="s">
        <v>331</v>
      </c>
      <c r="E1051" t="str">
        <f t="shared" si="16"/>
        <v>01484</v>
      </c>
      <c r="F1051" t="s">
        <v>71</v>
      </c>
      <c r="G1051" t="s">
        <v>305</v>
      </c>
      <c r="H1051" t="s">
        <v>157</v>
      </c>
      <c r="I1051" t="s">
        <v>4</v>
      </c>
      <c r="J1051" t="s">
        <v>152</v>
      </c>
      <c r="K1051" t="s">
        <v>174</v>
      </c>
      <c r="L1051">
        <v>251200583</v>
      </c>
      <c r="M1051" s="84">
        <v>46011</v>
      </c>
      <c r="N1051" s="84">
        <v>46011</v>
      </c>
      <c r="O1051" t="s">
        <v>160</v>
      </c>
      <c r="P1051" t="s">
        <v>161</v>
      </c>
      <c r="Q1051">
        <v>5500</v>
      </c>
      <c r="R1051">
        <v>5</v>
      </c>
      <c r="S1051">
        <v>27500</v>
      </c>
      <c r="T1051">
        <v>0</v>
      </c>
      <c r="U1051">
        <v>0</v>
      </c>
      <c r="V1051">
        <v>5</v>
      </c>
      <c r="W1051">
        <v>27500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</row>
    <row r="1052" spans="1:29">
      <c r="A1052">
        <v>1044</v>
      </c>
      <c r="B1052" t="s">
        <v>149</v>
      </c>
      <c r="C1052">
        <v>1175</v>
      </c>
      <c r="D1052" t="s">
        <v>110</v>
      </c>
      <c r="E1052" t="str">
        <f t="shared" si="16"/>
        <v>01175</v>
      </c>
      <c r="F1052" t="s">
        <v>103</v>
      </c>
      <c r="G1052" t="s">
        <v>167</v>
      </c>
      <c r="H1052" t="s">
        <v>151</v>
      </c>
      <c r="I1052" t="s">
        <v>4</v>
      </c>
      <c r="J1052" t="s">
        <v>152</v>
      </c>
      <c r="K1052" t="s">
        <v>153</v>
      </c>
      <c r="L1052">
        <v>251200584</v>
      </c>
      <c r="M1052" s="84">
        <v>46011</v>
      </c>
      <c r="N1052" s="84">
        <v>46011</v>
      </c>
      <c r="O1052" t="s">
        <v>160</v>
      </c>
      <c r="P1052" t="s">
        <v>161</v>
      </c>
      <c r="Q1052">
        <v>14250</v>
      </c>
      <c r="R1052">
        <v>30</v>
      </c>
      <c r="S1052">
        <v>427500</v>
      </c>
      <c r="T1052">
        <v>0</v>
      </c>
      <c r="U1052">
        <v>0</v>
      </c>
      <c r="V1052">
        <v>30</v>
      </c>
      <c r="W1052">
        <v>427500</v>
      </c>
      <c r="X1052">
        <v>4500</v>
      </c>
      <c r="Y1052">
        <v>6000</v>
      </c>
      <c r="Z1052">
        <v>0</v>
      </c>
      <c r="AA1052">
        <v>0</v>
      </c>
      <c r="AB1052">
        <v>0</v>
      </c>
      <c r="AC1052">
        <v>10500</v>
      </c>
    </row>
    <row r="1053" spans="1:29">
      <c r="A1053">
        <v>1045</v>
      </c>
      <c r="B1053" t="s">
        <v>149</v>
      </c>
      <c r="C1053">
        <v>387</v>
      </c>
      <c r="D1053" t="s">
        <v>109</v>
      </c>
      <c r="E1053" t="str">
        <f t="shared" si="16"/>
        <v>00387</v>
      </c>
      <c r="F1053" t="s">
        <v>103</v>
      </c>
      <c r="G1053" t="s">
        <v>167</v>
      </c>
      <c r="H1053" t="s">
        <v>151</v>
      </c>
      <c r="I1053" t="s">
        <v>4</v>
      </c>
      <c r="J1053" t="s">
        <v>152</v>
      </c>
      <c r="K1053" t="s">
        <v>153</v>
      </c>
      <c r="L1053">
        <v>251200585</v>
      </c>
      <c r="M1053" s="84">
        <v>46011</v>
      </c>
      <c r="N1053" s="84">
        <v>46011</v>
      </c>
      <c r="O1053" t="s">
        <v>215</v>
      </c>
      <c r="P1053" t="s">
        <v>216</v>
      </c>
      <c r="Q1053">
        <v>14250</v>
      </c>
      <c r="R1053">
        <v>35</v>
      </c>
      <c r="S1053">
        <v>498750</v>
      </c>
      <c r="T1053">
        <v>0</v>
      </c>
      <c r="U1053">
        <v>0</v>
      </c>
      <c r="V1053">
        <v>35</v>
      </c>
      <c r="W1053">
        <v>498750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</row>
    <row r="1054" spans="1:29">
      <c r="A1054">
        <v>1046</v>
      </c>
      <c r="B1054" t="s">
        <v>149</v>
      </c>
      <c r="C1054">
        <v>827</v>
      </c>
      <c r="D1054" t="s">
        <v>84</v>
      </c>
      <c r="E1054" t="str">
        <f t="shared" si="16"/>
        <v>00827</v>
      </c>
      <c r="F1054" t="s">
        <v>83</v>
      </c>
      <c r="G1054" t="s">
        <v>164</v>
      </c>
      <c r="H1054" t="s">
        <v>151</v>
      </c>
      <c r="I1054" t="s">
        <v>5</v>
      </c>
      <c r="J1054" t="s">
        <v>152</v>
      </c>
      <c r="K1054" t="s">
        <v>153</v>
      </c>
      <c r="L1054">
        <v>251200586</v>
      </c>
      <c r="M1054" s="84">
        <v>46011</v>
      </c>
      <c r="N1054" s="84">
        <v>46011</v>
      </c>
      <c r="O1054" t="s">
        <v>198</v>
      </c>
      <c r="P1054" t="s">
        <v>199</v>
      </c>
      <c r="Q1054">
        <v>11700</v>
      </c>
      <c r="R1054">
        <v>1</v>
      </c>
      <c r="S1054">
        <v>11700</v>
      </c>
      <c r="T1054">
        <v>0</v>
      </c>
      <c r="U1054">
        <v>0</v>
      </c>
      <c r="V1054">
        <v>1</v>
      </c>
      <c r="W1054">
        <v>11700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</row>
    <row r="1055" spans="1:29">
      <c r="A1055">
        <v>1047</v>
      </c>
      <c r="B1055" t="s">
        <v>149</v>
      </c>
      <c r="C1055">
        <v>1108</v>
      </c>
      <c r="D1055" t="s">
        <v>107</v>
      </c>
      <c r="E1055" t="str">
        <f t="shared" si="16"/>
        <v>01108</v>
      </c>
      <c r="F1055" t="s">
        <v>103</v>
      </c>
      <c r="G1055" t="s">
        <v>167</v>
      </c>
      <c r="H1055" t="s">
        <v>151</v>
      </c>
      <c r="I1055" t="s">
        <v>5</v>
      </c>
      <c r="J1055" t="s">
        <v>152</v>
      </c>
      <c r="K1055" t="s">
        <v>153</v>
      </c>
      <c r="L1055">
        <v>251200587</v>
      </c>
      <c r="M1055" s="84">
        <v>46011</v>
      </c>
      <c r="N1055" s="84">
        <v>46011</v>
      </c>
      <c r="O1055" t="s">
        <v>191</v>
      </c>
      <c r="P1055" t="s">
        <v>192</v>
      </c>
      <c r="Q1055">
        <v>11700</v>
      </c>
      <c r="R1055">
        <v>20</v>
      </c>
      <c r="S1055">
        <v>234000</v>
      </c>
      <c r="T1055">
        <v>0</v>
      </c>
      <c r="U1055">
        <v>0</v>
      </c>
      <c r="V1055">
        <v>20</v>
      </c>
      <c r="W1055">
        <v>234000</v>
      </c>
      <c r="X1055">
        <v>3000</v>
      </c>
      <c r="Y1055">
        <v>3000</v>
      </c>
      <c r="Z1055">
        <v>0</v>
      </c>
      <c r="AA1055">
        <v>0</v>
      </c>
      <c r="AB1055">
        <v>0</v>
      </c>
      <c r="AC1055">
        <v>6000</v>
      </c>
    </row>
    <row r="1056" spans="1:29">
      <c r="A1056">
        <v>1048</v>
      </c>
      <c r="B1056" t="s">
        <v>149</v>
      </c>
      <c r="C1056">
        <v>388</v>
      </c>
      <c r="D1056" t="s">
        <v>106</v>
      </c>
      <c r="E1056" t="str">
        <f t="shared" si="16"/>
        <v>00388</v>
      </c>
      <c r="F1056" t="s">
        <v>103</v>
      </c>
      <c r="G1056" t="s">
        <v>167</v>
      </c>
      <c r="H1056" t="s">
        <v>151</v>
      </c>
      <c r="I1056" t="s">
        <v>231</v>
      </c>
      <c r="J1056" t="s">
        <v>152</v>
      </c>
      <c r="K1056" t="s">
        <v>153</v>
      </c>
      <c r="L1056">
        <v>251200588</v>
      </c>
      <c r="M1056" s="84">
        <v>46011</v>
      </c>
      <c r="N1056" s="84">
        <v>46011</v>
      </c>
      <c r="O1056" t="s">
        <v>234</v>
      </c>
      <c r="P1056" t="s">
        <v>235</v>
      </c>
      <c r="Q1056">
        <v>10432</v>
      </c>
      <c r="R1056">
        <v>3</v>
      </c>
      <c r="S1056">
        <v>31296</v>
      </c>
      <c r="T1056">
        <v>0</v>
      </c>
      <c r="U1056">
        <v>0</v>
      </c>
      <c r="V1056">
        <v>3</v>
      </c>
      <c r="W1056">
        <v>31296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</row>
    <row r="1057" spans="1:29">
      <c r="A1057">
        <v>1049</v>
      </c>
      <c r="B1057" t="s">
        <v>149</v>
      </c>
      <c r="C1057">
        <v>471</v>
      </c>
      <c r="D1057" t="s">
        <v>25</v>
      </c>
      <c r="E1057" t="str">
        <f t="shared" si="16"/>
        <v>00471</v>
      </c>
      <c r="F1057" t="s">
        <v>20</v>
      </c>
      <c r="G1057" t="s">
        <v>193</v>
      </c>
      <c r="H1057" t="s">
        <v>151</v>
      </c>
      <c r="I1057" t="s">
        <v>4</v>
      </c>
      <c r="J1057" t="s">
        <v>152</v>
      </c>
      <c r="K1057" t="s">
        <v>236</v>
      </c>
      <c r="L1057">
        <v>251200589</v>
      </c>
      <c r="M1057" s="84">
        <v>46011</v>
      </c>
      <c r="N1057" s="84">
        <v>46011</v>
      </c>
      <c r="O1057" t="s">
        <v>160</v>
      </c>
      <c r="P1057" t="s">
        <v>161</v>
      </c>
      <c r="Q1057">
        <v>14250</v>
      </c>
      <c r="R1057">
        <v>25</v>
      </c>
      <c r="S1057">
        <v>356250</v>
      </c>
      <c r="T1057">
        <v>0</v>
      </c>
      <c r="U1057">
        <v>0</v>
      </c>
      <c r="V1057">
        <v>25</v>
      </c>
      <c r="W1057">
        <v>356250</v>
      </c>
      <c r="X1057">
        <v>3750</v>
      </c>
      <c r="Y1057">
        <v>5000</v>
      </c>
      <c r="Z1057">
        <v>0</v>
      </c>
      <c r="AA1057">
        <v>0</v>
      </c>
      <c r="AB1057">
        <v>0</v>
      </c>
      <c r="AC1057">
        <v>8750</v>
      </c>
    </row>
    <row r="1058" spans="1:29">
      <c r="A1058">
        <v>1050</v>
      </c>
      <c r="B1058" t="s">
        <v>149</v>
      </c>
      <c r="C1058">
        <v>471</v>
      </c>
      <c r="D1058" t="s">
        <v>25</v>
      </c>
      <c r="E1058" t="str">
        <f t="shared" si="16"/>
        <v>00471</v>
      </c>
      <c r="F1058" t="s">
        <v>20</v>
      </c>
      <c r="G1058" t="s">
        <v>193</v>
      </c>
      <c r="H1058" t="s">
        <v>151</v>
      </c>
      <c r="I1058" t="s">
        <v>5</v>
      </c>
      <c r="J1058" t="s">
        <v>152</v>
      </c>
      <c r="K1058" t="s">
        <v>236</v>
      </c>
      <c r="L1058">
        <v>251200589</v>
      </c>
      <c r="M1058" s="84">
        <v>46011</v>
      </c>
      <c r="N1058" s="84">
        <v>46011</v>
      </c>
      <c r="O1058" t="s">
        <v>191</v>
      </c>
      <c r="P1058" t="s">
        <v>192</v>
      </c>
      <c r="Q1058">
        <v>11700</v>
      </c>
      <c r="R1058">
        <v>24</v>
      </c>
      <c r="S1058">
        <v>280800</v>
      </c>
      <c r="T1058">
        <v>0</v>
      </c>
      <c r="U1058">
        <v>0</v>
      </c>
      <c r="V1058">
        <v>24</v>
      </c>
      <c r="W1058">
        <v>280800</v>
      </c>
      <c r="X1058">
        <v>3600</v>
      </c>
      <c r="Y1058">
        <v>3600</v>
      </c>
      <c r="Z1058">
        <v>0</v>
      </c>
      <c r="AA1058">
        <v>0</v>
      </c>
      <c r="AB1058">
        <v>0</v>
      </c>
      <c r="AC1058">
        <v>7200</v>
      </c>
    </row>
    <row r="1059" spans="1:29">
      <c r="A1059">
        <v>1051</v>
      </c>
      <c r="B1059" t="s">
        <v>149</v>
      </c>
      <c r="C1059">
        <v>471</v>
      </c>
      <c r="D1059" t="s">
        <v>25</v>
      </c>
      <c r="E1059" t="str">
        <f t="shared" si="16"/>
        <v>00471</v>
      </c>
      <c r="F1059" t="s">
        <v>20</v>
      </c>
      <c r="G1059" t="s">
        <v>193</v>
      </c>
      <c r="H1059" t="s">
        <v>151</v>
      </c>
      <c r="I1059" t="s">
        <v>4</v>
      </c>
      <c r="J1059" t="s">
        <v>152</v>
      </c>
      <c r="K1059" t="s">
        <v>236</v>
      </c>
      <c r="L1059">
        <v>251200589</v>
      </c>
      <c r="M1059" s="84">
        <v>46011</v>
      </c>
      <c r="N1059" s="84">
        <v>46011</v>
      </c>
      <c r="O1059" t="s">
        <v>179</v>
      </c>
      <c r="P1059" t="s">
        <v>180</v>
      </c>
      <c r="Q1059">
        <v>14250</v>
      </c>
      <c r="R1059">
        <v>30</v>
      </c>
      <c r="S1059">
        <v>427500</v>
      </c>
      <c r="T1059">
        <v>0</v>
      </c>
      <c r="U1059">
        <v>0</v>
      </c>
      <c r="V1059">
        <v>30</v>
      </c>
      <c r="W1059">
        <v>427500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</row>
    <row r="1060" spans="1:29">
      <c r="A1060">
        <v>1052</v>
      </c>
      <c r="B1060" t="s">
        <v>149</v>
      </c>
      <c r="C1060">
        <v>1444</v>
      </c>
      <c r="D1060" t="s">
        <v>341</v>
      </c>
      <c r="E1060" t="str">
        <f t="shared" si="16"/>
        <v>01444</v>
      </c>
      <c r="F1060" t="s">
        <v>28</v>
      </c>
      <c r="G1060" t="s">
        <v>164</v>
      </c>
      <c r="H1060" t="s">
        <v>151</v>
      </c>
      <c r="I1060" t="s">
        <v>4</v>
      </c>
      <c r="J1060" t="s">
        <v>152</v>
      </c>
      <c r="K1060" t="s">
        <v>153</v>
      </c>
      <c r="L1060">
        <v>251200590</v>
      </c>
      <c r="M1060" s="84">
        <v>46011</v>
      </c>
      <c r="N1060" s="84">
        <v>46011</v>
      </c>
      <c r="O1060" t="s">
        <v>160</v>
      </c>
      <c r="P1060" t="s">
        <v>161</v>
      </c>
      <c r="Q1060">
        <v>5500</v>
      </c>
      <c r="R1060">
        <v>125</v>
      </c>
      <c r="S1060">
        <v>687500</v>
      </c>
      <c r="T1060">
        <v>0</v>
      </c>
      <c r="U1060">
        <v>0</v>
      </c>
      <c r="V1060">
        <v>125</v>
      </c>
      <c r="W1060">
        <v>687500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</row>
    <row r="1061" spans="1:29">
      <c r="A1061">
        <v>1053</v>
      </c>
      <c r="B1061" t="s">
        <v>149</v>
      </c>
      <c r="C1061">
        <v>1444</v>
      </c>
      <c r="D1061" t="s">
        <v>341</v>
      </c>
      <c r="E1061" t="str">
        <f t="shared" si="16"/>
        <v>01444</v>
      </c>
      <c r="F1061" t="s">
        <v>28</v>
      </c>
      <c r="G1061" t="s">
        <v>164</v>
      </c>
      <c r="H1061" t="s">
        <v>151</v>
      </c>
      <c r="I1061" t="s">
        <v>4</v>
      </c>
      <c r="J1061" t="s">
        <v>152</v>
      </c>
      <c r="K1061" t="s">
        <v>153</v>
      </c>
      <c r="L1061">
        <v>251200590</v>
      </c>
      <c r="M1061" s="84">
        <v>46011</v>
      </c>
      <c r="N1061" s="84">
        <v>46011</v>
      </c>
      <c r="O1061" t="s">
        <v>154</v>
      </c>
      <c r="P1061" t="s">
        <v>155</v>
      </c>
      <c r="Q1061">
        <v>5500</v>
      </c>
      <c r="R1061">
        <v>10</v>
      </c>
      <c r="S1061">
        <v>55000</v>
      </c>
      <c r="T1061">
        <v>0</v>
      </c>
      <c r="U1061">
        <v>0</v>
      </c>
      <c r="V1061">
        <v>10</v>
      </c>
      <c r="W1061">
        <v>55000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</row>
    <row r="1062" spans="1:29">
      <c r="A1062">
        <v>1054</v>
      </c>
      <c r="B1062" t="s">
        <v>149</v>
      </c>
      <c r="C1062">
        <v>1444</v>
      </c>
      <c r="D1062" t="s">
        <v>341</v>
      </c>
      <c r="E1062" t="str">
        <f t="shared" si="16"/>
        <v>01444</v>
      </c>
      <c r="F1062" t="s">
        <v>28</v>
      </c>
      <c r="G1062" t="s">
        <v>164</v>
      </c>
      <c r="H1062" t="s">
        <v>151</v>
      </c>
      <c r="I1062" t="s">
        <v>4</v>
      </c>
      <c r="J1062" t="s">
        <v>152</v>
      </c>
      <c r="K1062" t="s">
        <v>153</v>
      </c>
      <c r="L1062">
        <v>251200590</v>
      </c>
      <c r="M1062" s="84">
        <v>46011</v>
      </c>
      <c r="N1062" s="84">
        <v>46011</v>
      </c>
      <c r="O1062" t="s">
        <v>177</v>
      </c>
      <c r="P1062" t="s">
        <v>178</v>
      </c>
      <c r="Q1062">
        <v>5500</v>
      </c>
      <c r="R1062">
        <v>15</v>
      </c>
      <c r="S1062">
        <v>82500</v>
      </c>
      <c r="T1062">
        <v>0</v>
      </c>
      <c r="U1062">
        <v>0</v>
      </c>
      <c r="V1062">
        <v>15</v>
      </c>
      <c r="W1062">
        <v>82500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</row>
    <row r="1063" spans="1:29">
      <c r="A1063">
        <v>1055</v>
      </c>
      <c r="B1063" t="s">
        <v>149</v>
      </c>
      <c r="C1063">
        <v>1401</v>
      </c>
      <c r="D1063" t="s">
        <v>29</v>
      </c>
      <c r="E1063" t="str">
        <f t="shared" si="16"/>
        <v>01401</v>
      </c>
      <c r="F1063" t="s">
        <v>28</v>
      </c>
      <c r="G1063" t="s">
        <v>164</v>
      </c>
      <c r="H1063" t="s">
        <v>151</v>
      </c>
      <c r="I1063" t="s">
        <v>5</v>
      </c>
      <c r="J1063" t="s">
        <v>152</v>
      </c>
      <c r="K1063" t="s">
        <v>153</v>
      </c>
      <c r="L1063">
        <v>251200591</v>
      </c>
      <c r="M1063" s="84">
        <v>46011</v>
      </c>
      <c r="N1063" s="84">
        <v>46011</v>
      </c>
      <c r="O1063" t="s">
        <v>191</v>
      </c>
      <c r="P1063" t="s">
        <v>192</v>
      </c>
      <c r="Q1063">
        <v>11700</v>
      </c>
      <c r="R1063">
        <v>40</v>
      </c>
      <c r="S1063">
        <v>468000</v>
      </c>
      <c r="T1063">
        <v>0</v>
      </c>
      <c r="U1063">
        <v>0</v>
      </c>
      <c r="V1063">
        <v>40</v>
      </c>
      <c r="W1063">
        <v>468000</v>
      </c>
      <c r="X1063">
        <v>6000</v>
      </c>
      <c r="Y1063">
        <v>6000</v>
      </c>
      <c r="Z1063">
        <v>0</v>
      </c>
      <c r="AA1063">
        <v>0</v>
      </c>
      <c r="AB1063">
        <v>0</v>
      </c>
      <c r="AC1063">
        <v>12000</v>
      </c>
    </row>
    <row r="1064" spans="1:29">
      <c r="A1064">
        <v>1056</v>
      </c>
      <c r="B1064" t="s">
        <v>149</v>
      </c>
      <c r="C1064">
        <v>1331</v>
      </c>
      <c r="D1064" t="s">
        <v>366</v>
      </c>
      <c r="E1064" t="str">
        <f t="shared" si="16"/>
        <v>01331</v>
      </c>
      <c r="F1064" t="s">
        <v>28</v>
      </c>
      <c r="G1064" t="s">
        <v>164</v>
      </c>
      <c r="H1064" t="s">
        <v>151</v>
      </c>
      <c r="I1064" t="s">
        <v>5</v>
      </c>
      <c r="J1064" t="s">
        <v>152</v>
      </c>
      <c r="K1064" t="s">
        <v>153</v>
      </c>
      <c r="L1064">
        <v>251200592</v>
      </c>
      <c r="M1064" s="84">
        <v>46011</v>
      </c>
      <c r="N1064" s="84">
        <v>46011</v>
      </c>
      <c r="O1064" t="s">
        <v>191</v>
      </c>
      <c r="P1064" t="s">
        <v>192</v>
      </c>
      <c r="Q1064">
        <v>4500</v>
      </c>
      <c r="R1064">
        <v>16</v>
      </c>
      <c r="S1064">
        <v>72000</v>
      </c>
      <c r="T1064">
        <v>0</v>
      </c>
      <c r="U1064">
        <v>0</v>
      </c>
      <c r="V1064">
        <v>16</v>
      </c>
      <c r="W1064">
        <v>72000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</row>
    <row r="1065" spans="1:29">
      <c r="A1065">
        <v>1057</v>
      </c>
      <c r="B1065" t="s">
        <v>149</v>
      </c>
      <c r="C1065">
        <v>1326</v>
      </c>
      <c r="D1065" t="s">
        <v>338</v>
      </c>
      <c r="E1065" t="str">
        <f t="shared" si="16"/>
        <v>01326</v>
      </c>
      <c r="F1065" t="s">
        <v>15</v>
      </c>
      <c r="G1065" t="s">
        <v>193</v>
      </c>
      <c r="H1065" t="s">
        <v>151</v>
      </c>
      <c r="I1065" t="s">
        <v>5</v>
      </c>
      <c r="J1065" t="s">
        <v>152</v>
      </c>
      <c r="K1065" t="s">
        <v>153</v>
      </c>
      <c r="L1065">
        <v>251200593</v>
      </c>
      <c r="M1065" s="84">
        <v>46011</v>
      </c>
      <c r="N1065" s="84">
        <v>46011</v>
      </c>
      <c r="O1065" t="s">
        <v>260</v>
      </c>
      <c r="P1065" t="s">
        <v>261</v>
      </c>
      <c r="Q1065">
        <v>4500</v>
      </c>
      <c r="R1065">
        <v>8</v>
      </c>
      <c r="S1065">
        <v>36000</v>
      </c>
      <c r="T1065">
        <v>0</v>
      </c>
      <c r="U1065">
        <v>0</v>
      </c>
      <c r="V1065">
        <v>8</v>
      </c>
      <c r="W1065">
        <v>36000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</row>
    <row r="1066" spans="1:29">
      <c r="A1066">
        <v>1058</v>
      </c>
      <c r="B1066" t="s">
        <v>149</v>
      </c>
      <c r="C1066">
        <v>1326</v>
      </c>
      <c r="D1066" t="s">
        <v>338</v>
      </c>
      <c r="E1066" t="str">
        <f t="shared" si="16"/>
        <v>01326</v>
      </c>
      <c r="F1066" t="s">
        <v>15</v>
      </c>
      <c r="G1066" t="s">
        <v>193</v>
      </c>
      <c r="H1066" t="s">
        <v>151</v>
      </c>
      <c r="I1066" t="s">
        <v>5</v>
      </c>
      <c r="J1066" t="s">
        <v>152</v>
      </c>
      <c r="K1066" t="s">
        <v>153</v>
      </c>
      <c r="L1066">
        <v>251200593</v>
      </c>
      <c r="M1066" s="84">
        <v>46011</v>
      </c>
      <c r="N1066" s="84">
        <v>46011</v>
      </c>
      <c r="O1066" t="s">
        <v>191</v>
      </c>
      <c r="P1066" t="s">
        <v>192</v>
      </c>
      <c r="Q1066">
        <v>4500</v>
      </c>
      <c r="R1066">
        <v>72</v>
      </c>
      <c r="S1066">
        <v>324000</v>
      </c>
      <c r="T1066">
        <v>0</v>
      </c>
      <c r="U1066">
        <v>0</v>
      </c>
      <c r="V1066">
        <v>72</v>
      </c>
      <c r="W1066">
        <v>324000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</row>
    <row r="1067" spans="1:29">
      <c r="A1067">
        <v>1059</v>
      </c>
      <c r="B1067" t="s">
        <v>149</v>
      </c>
      <c r="C1067">
        <v>1326</v>
      </c>
      <c r="D1067" t="s">
        <v>338</v>
      </c>
      <c r="E1067" t="str">
        <f t="shared" si="16"/>
        <v>01326</v>
      </c>
      <c r="F1067" t="s">
        <v>15</v>
      </c>
      <c r="G1067" t="s">
        <v>193</v>
      </c>
      <c r="H1067" t="s">
        <v>151</v>
      </c>
      <c r="I1067" t="s">
        <v>5</v>
      </c>
      <c r="J1067" t="s">
        <v>152</v>
      </c>
      <c r="K1067" t="s">
        <v>153</v>
      </c>
      <c r="L1067">
        <v>251200594</v>
      </c>
      <c r="M1067" s="84">
        <v>46011</v>
      </c>
      <c r="N1067" s="84">
        <v>46011</v>
      </c>
      <c r="O1067" t="s">
        <v>191</v>
      </c>
      <c r="P1067" t="s">
        <v>192</v>
      </c>
      <c r="Q1067">
        <v>4500</v>
      </c>
      <c r="R1067">
        <v>20</v>
      </c>
      <c r="S1067">
        <v>90000</v>
      </c>
      <c r="T1067">
        <v>0</v>
      </c>
      <c r="U1067">
        <v>0</v>
      </c>
      <c r="V1067">
        <v>20</v>
      </c>
      <c r="W1067">
        <v>90000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</row>
    <row r="1068" spans="1:29">
      <c r="A1068">
        <v>1060</v>
      </c>
      <c r="B1068" t="s">
        <v>149</v>
      </c>
      <c r="C1068">
        <v>1326</v>
      </c>
      <c r="D1068" t="s">
        <v>338</v>
      </c>
      <c r="E1068" t="str">
        <f t="shared" si="16"/>
        <v>01326</v>
      </c>
      <c r="F1068" t="s">
        <v>15</v>
      </c>
      <c r="G1068" t="s">
        <v>193</v>
      </c>
      <c r="H1068" t="s">
        <v>151</v>
      </c>
      <c r="I1068" t="s">
        <v>5</v>
      </c>
      <c r="J1068" t="s">
        <v>152</v>
      </c>
      <c r="K1068" t="s">
        <v>153</v>
      </c>
      <c r="L1068">
        <v>251200594</v>
      </c>
      <c r="M1068" s="84">
        <v>46011</v>
      </c>
      <c r="N1068" s="84">
        <v>46011</v>
      </c>
      <c r="O1068" t="s">
        <v>260</v>
      </c>
      <c r="P1068" t="s">
        <v>261</v>
      </c>
      <c r="Q1068">
        <v>4500</v>
      </c>
      <c r="R1068">
        <v>8</v>
      </c>
      <c r="S1068">
        <v>36000</v>
      </c>
      <c r="T1068">
        <v>0</v>
      </c>
      <c r="U1068">
        <v>0</v>
      </c>
      <c r="V1068">
        <v>8</v>
      </c>
      <c r="W1068">
        <v>36000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</row>
    <row r="1069" spans="1:29">
      <c r="A1069">
        <v>1061</v>
      </c>
      <c r="B1069" t="s">
        <v>149</v>
      </c>
      <c r="C1069">
        <v>988</v>
      </c>
      <c r="D1069" t="s">
        <v>19</v>
      </c>
      <c r="E1069" t="str">
        <f t="shared" si="16"/>
        <v>00988</v>
      </c>
      <c r="F1069" t="s">
        <v>15</v>
      </c>
      <c r="G1069" t="s">
        <v>193</v>
      </c>
      <c r="H1069" t="s">
        <v>151</v>
      </c>
      <c r="I1069" t="s">
        <v>238</v>
      </c>
      <c r="J1069" t="s">
        <v>152</v>
      </c>
      <c r="K1069" t="s">
        <v>153</v>
      </c>
      <c r="L1069">
        <v>251200595</v>
      </c>
      <c r="M1069" s="84">
        <v>46011</v>
      </c>
      <c r="N1069" s="84">
        <v>46011</v>
      </c>
      <c r="O1069" t="s">
        <v>282</v>
      </c>
      <c r="P1069" t="s">
        <v>283</v>
      </c>
      <c r="Q1069">
        <v>18880</v>
      </c>
      <c r="R1069">
        <v>2</v>
      </c>
      <c r="S1069">
        <v>37760</v>
      </c>
      <c r="T1069">
        <v>0</v>
      </c>
      <c r="U1069">
        <v>0</v>
      </c>
      <c r="V1069">
        <v>2</v>
      </c>
      <c r="W1069">
        <v>37760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</row>
    <row r="1070" spans="1:29">
      <c r="A1070">
        <v>1062</v>
      </c>
      <c r="B1070" t="s">
        <v>149</v>
      </c>
      <c r="C1070">
        <v>988</v>
      </c>
      <c r="D1070" t="s">
        <v>19</v>
      </c>
      <c r="E1070" t="str">
        <f t="shared" si="16"/>
        <v>00988</v>
      </c>
      <c r="F1070" t="s">
        <v>15</v>
      </c>
      <c r="G1070" t="s">
        <v>193</v>
      </c>
      <c r="H1070" t="s">
        <v>151</v>
      </c>
      <c r="I1070" t="s">
        <v>231</v>
      </c>
      <c r="J1070" t="s">
        <v>152</v>
      </c>
      <c r="K1070" t="s">
        <v>153</v>
      </c>
      <c r="L1070">
        <v>251200595</v>
      </c>
      <c r="M1070" s="84">
        <v>46011</v>
      </c>
      <c r="N1070" s="84">
        <v>46011</v>
      </c>
      <c r="O1070" t="s">
        <v>233</v>
      </c>
      <c r="P1070" t="s">
        <v>118</v>
      </c>
      <c r="Q1070">
        <v>4486</v>
      </c>
      <c r="R1070">
        <v>5</v>
      </c>
      <c r="S1070">
        <v>22430</v>
      </c>
      <c r="T1070">
        <v>0</v>
      </c>
      <c r="U1070">
        <v>0</v>
      </c>
      <c r="V1070">
        <v>5</v>
      </c>
      <c r="W1070">
        <v>22430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</row>
    <row r="1071" spans="1:29">
      <c r="A1071">
        <v>1063</v>
      </c>
      <c r="B1071" t="s">
        <v>149</v>
      </c>
      <c r="C1071">
        <v>988</v>
      </c>
      <c r="D1071" t="s">
        <v>19</v>
      </c>
      <c r="E1071" t="str">
        <f t="shared" si="16"/>
        <v>00988</v>
      </c>
      <c r="F1071" t="s">
        <v>15</v>
      </c>
      <c r="G1071" t="s">
        <v>193</v>
      </c>
      <c r="H1071" t="s">
        <v>151</v>
      </c>
      <c r="I1071" t="s">
        <v>231</v>
      </c>
      <c r="J1071" t="s">
        <v>152</v>
      </c>
      <c r="K1071" t="s">
        <v>153</v>
      </c>
      <c r="L1071">
        <v>251200595</v>
      </c>
      <c r="M1071" s="84">
        <v>46011</v>
      </c>
      <c r="N1071" s="84">
        <v>46011</v>
      </c>
      <c r="O1071" t="s">
        <v>234</v>
      </c>
      <c r="P1071" t="s">
        <v>235</v>
      </c>
      <c r="Q1071">
        <v>10432</v>
      </c>
      <c r="R1071">
        <v>5</v>
      </c>
      <c r="S1071">
        <v>52160</v>
      </c>
      <c r="T1071">
        <v>0</v>
      </c>
      <c r="U1071">
        <v>0</v>
      </c>
      <c r="V1071">
        <v>5</v>
      </c>
      <c r="W1071">
        <v>52160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</row>
    <row r="1072" spans="1:29">
      <c r="A1072">
        <v>1064</v>
      </c>
      <c r="B1072" t="s">
        <v>149</v>
      </c>
      <c r="C1072">
        <v>988</v>
      </c>
      <c r="D1072" t="s">
        <v>19</v>
      </c>
      <c r="E1072" t="str">
        <f t="shared" si="16"/>
        <v>00988</v>
      </c>
      <c r="F1072" t="s">
        <v>15</v>
      </c>
      <c r="G1072" t="s">
        <v>193</v>
      </c>
      <c r="H1072" t="s">
        <v>151</v>
      </c>
      <c r="I1072" t="s">
        <v>5</v>
      </c>
      <c r="J1072" t="s">
        <v>152</v>
      </c>
      <c r="K1072" t="s">
        <v>153</v>
      </c>
      <c r="L1072">
        <v>251200595</v>
      </c>
      <c r="M1072" s="84">
        <v>46011</v>
      </c>
      <c r="N1072" s="84">
        <v>46011</v>
      </c>
      <c r="O1072" t="s">
        <v>191</v>
      </c>
      <c r="P1072" t="s">
        <v>192</v>
      </c>
      <c r="Q1072">
        <v>11700</v>
      </c>
      <c r="R1072">
        <v>40</v>
      </c>
      <c r="S1072">
        <v>468000</v>
      </c>
      <c r="T1072">
        <v>0</v>
      </c>
      <c r="U1072">
        <v>0</v>
      </c>
      <c r="V1072">
        <v>40</v>
      </c>
      <c r="W1072">
        <v>468000</v>
      </c>
      <c r="X1072">
        <v>6000</v>
      </c>
      <c r="Y1072">
        <v>6000</v>
      </c>
      <c r="Z1072">
        <v>0</v>
      </c>
      <c r="AA1072">
        <v>0</v>
      </c>
      <c r="AB1072">
        <v>0</v>
      </c>
      <c r="AC1072">
        <v>12000</v>
      </c>
    </row>
    <row r="1073" spans="1:29">
      <c r="A1073">
        <v>1065</v>
      </c>
      <c r="B1073" t="s">
        <v>149</v>
      </c>
      <c r="C1073">
        <v>988</v>
      </c>
      <c r="D1073" t="s">
        <v>19</v>
      </c>
      <c r="E1073" t="str">
        <f t="shared" si="16"/>
        <v>00988</v>
      </c>
      <c r="F1073" t="s">
        <v>15</v>
      </c>
      <c r="G1073" t="s">
        <v>193</v>
      </c>
      <c r="H1073" t="s">
        <v>151</v>
      </c>
      <c r="I1073" t="s">
        <v>238</v>
      </c>
      <c r="J1073" t="s">
        <v>152</v>
      </c>
      <c r="K1073" t="s">
        <v>153</v>
      </c>
      <c r="L1073">
        <v>251200595</v>
      </c>
      <c r="M1073" s="84">
        <v>46011</v>
      </c>
      <c r="N1073" s="84">
        <v>46011</v>
      </c>
      <c r="O1073" t="s">
        <v>247</v>
      </c>
      <c r="P1073" t="s">
        <v>116</v>
      </c>
      <c r="Q1073">
        <v>10982</v>
      </c>
      <c r="R1073">
        <v>1</v>
      </c>
      <c r="S1073">
        <v>10982</v>
      </c>
      <c r="T1073">
        <v>0</v>
      </c>
      <c r="U1073">
        <v>0</v>
      </c>
      <c r="V1073">
        <v>1</v>
      </c>
      <c r="W1073">
        <v>10982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</row>
    <row r="1074" spans="1:29">
      <c r="A1074">
        <v>1066</v>
      </c>
      <c r="B1074" t="s">
        <v>149</v>
      </c>
      <c r="C1074">
        <v>988</v>
      </c>
      <c r="D1074" t="s">
        <v>19</v>
      </c>
      <c r="E1074" t="str">
        <f t="shared" si="16"/>
        <v>00988</v>
      </c>
      <c r="F1074" t="s">
        <v>15</v>
      </c>
      <c r="G1074" t="s">
        <v>193</v>
      </c>
      <c r="H1074" t="s">
        <v>151</v>
      </c>
      <c r="I1074" t="s">
        <v>231</v>
      </c>
      <c r="J1074" t="s">
        <v>152</v>
      </c>
      <c r="K1074" t="s">
        <v>153</v>
      </c>
      <c r="L1074">
        <v>251200595</v>
      </c>
      <c r="M1074" s="84">
        <v>46011</v>
      </c>
      <c r="N1074" s="84">
        <v>46011</v>
      </c>
      <c r="O1074" t="s">
        <v>232</v>
      </c>
      <c r="P1074" t="s">
        <v>122</v>
      </c>
      <c r="Q1074">
        <v>6213</v>
      </c>
      <c r="R1074">
        <v>2</v>
      </c>
      <c r="S1074">
        <v>12426</v>
      </c>
      <c r="T1074">
        <v>0</v>
      </c>
      <c r="U1074">
        <v>0</v>
      </c>
      <c r="V1074">
        <v>2</v>
      </c>
      <c r="W1074">
        <v>12426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</row>
    <row r="1075" spans="1:29">
      <c r="A1075">
        <v>1067</v>
      </c>
      <c r="B1075" t="s">
        <v>149</v>
      </c>
      <c r="C1075">
        <v>1550</v>
      </c>
      <c r="D1075" t="s">
        <v>337</v>
      </c>
      <c r="E1075" t="str">
        <f t="shared" si="16"/>
        <v>01550</v>
      </c>
      <c r="F1075" t="s">
        <v>15</v>
      </c>
      <c r="G1075" t="s">
        <v>193</v>
      </c>
      <c r="H1075" t="s">
        <v>151</v>
      </c>
      <c r="I1075" t="s">
        <v>5</v>
      </c>
      <c r="J1075" t="s">
        <v>152</v>
      </c>
      <c r="K1075" t="s">
        <v>153</v>
      </c>
      <c r="L1075">
        <v>251200596</v>
      </c>
      <c r="M1075" s="84">
        <v>46011</v>
      </c>
      <c r="N1075" s="84">
        <v>46011</v>
      </c>
      <c r="O1075" t="s">
        <v>194</v>
      </c>
      <c r="P1075" t="s">
        <v>195</v>
      </c>
      <c r="Q1075">
        <v>4500</v>
      </c>
      <c r="R1075">
        <v>4</v>
      </c>
      <c r="S1075">
        <v>18000</v>
      </c>
      <c r="T1075">
        <v>0</v>
      </c>
      <c r="U1075">
        <v>0</v>
      </c>
      <c r="V1075">
        <v>4</v>
      </c>
      <c r="W1075">
        <v>18000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</row>
    <row r="1076" spans="1:29">
      <c r="A1076">
        <v>1068</v>
      </c>
      <c r="B1076" t="s">
        <v>149</v>
      </c>
      <c r="C1076">
        <v>1550</v>
      </c>
      <c r="D1076" t="s">
        <v>337</v>
      </c>
      <c r="E1076" t="str">
        <f t="shared" si="16"/>
        <v>01550</v>
      </c>
      <c r="F1076" t="s">
        <v>15</v>
      </c>
      <c r="G1076" t="s">
        <v>193</v>
      </c>
      <c r="H1076" t="s">
        <v>151</v>
      </c>
      <c r="I1076" t="s">
        <v>5</v>
      </c>
      <c r="J1076" t="s">
        <v>152</v>
      </c>
      <c r="K1076" t="s">
        <v>153</v>
      </c>
      <c r="L1076">
        <v>251200596</v>
      </c>
      <c r="M1076" s="84">
        <v>46011</v>
      </c>
      <c r="N1076" s="84">
        <v>46011</v>
      </c>
      <c r="O1076" t="s">
        <v>191</v>
      </c>
      <c r="P1076" t="s">
        <v>192</v>
      </c>
      <c r="Q1076">
        <v>4500</v>
      </c>
      <c r="R1076">
        <v>8</v>
      </c>
      <c r="S1076">
        <v>36000</v>
      </c>
      <c r="T1076">
        <v>0</v>
      </c>
      <c r="U1076">
        <v>0</v>
      </c>
      <c r="V1076">
        <v>8</v>
      </c>
      <c r="W1076">
        <v>36000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</row>
    <row r="1077" spans="1:29">
      <c r="A1077">
        <v>1069</v>
      </c>
      <c r="B1077" t="s">
        <v>149</v>
      </c>
      <c r="C1077">
        <v>1604</v>
      </c>
      <c r="D1077" t="s">
        <v>60</v>
      </c>
      <c r="E1077" t="str">
        <f t="shared" si="16"/>
        <v>01604</v>
      </c>
      <c r="F1077" t="s">
        <v>49</v>
      </c>
      <c r="G1077" t="s">
        <v>167</v>
      </c>
      <c r="H1077" t="s">
        <v>151</v>
      </c>
      <c r="I1077" t="s">
        <v>4</v>
      </c>
      <c r="J1077" t="s">
        <v>152</v>
      </c>
      <c r="K1077" t="s">
        <v>153</v>
      </c>
      <c r="L1077">
        <v>251200597</v>
      </c>
      <c r="M1077" s="84">
        <v>46011</v>
      </c>
      <c r="N1077" s="84">
        <v>46011</v>
      </c>
      <c r="O1077" t="s">
        <v>219</v>
      </c>
      <c r="P1077" t="s">
        <v>220</v>
      </c>
      <c r="Q1077">
        <v>14250</v>
      </c>
      <c r="R1077">
        <v>4</v>
      </c>
      <c r="S1077">
        <v>57000</v>
      </c>
      <c r="T1077">
        <v>0</v>
      </c>
      <c r="U1077">
        <v>0</v>
      </c>
      <c r="V1077">
        <v>4</v>
      </c>
      <c r="W1077">
        <v>57000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</row>
    <row r="1078" spans="1:29">
      <c r="A1078">
        <v>1070</v>
      </c>
      <c r="B1078" t="s">
        <v>149</v>
      </c>
      <c r="C1078">
        <v>1261</v>
      </c>
      <c r="D1078" t="s">
        <v>61</v>
      </c>
      <c r="E1078" t="str">
        <f t="shared" si="16"/>
        <v>01261</v>
      </c>
      <c r="F1078" t="s">
        <v>49</v>
      </c>
      <c r="G1078" t="s">
        <v>167</v>
      </c>
      <c r="H1078" t="s">
        <v>151</v>
      </c>
      <c r="I1078" t="s">
        <v>4</v>
      </c>
      <c r="J1078" t="s">
        <v>152</v>
      </c>
      <c r="K1078" t="s">
        <v>153</v>
      </c>
      <c r="L1078">
        <v>251200598</v>
      </c>
      <c r="M1078" s="84">
        <v>46011</v>
      </c>
      <c r="N1078" s="84">
        <v>46011</v>
      </c>
      <c r="O1078" t="s">
        <v>160</v>
      </c>
      <c r="P1078" t="s">
        <v>161</v>
      </c>
      <c r="Q1078">
        <v>14250</v>
      </c>
      <c r="R1078">
        <v>12</v>
      </c>
      <c r="S1078">
        <v>171000</v>
      </c>
      <c r="T1078">
        <v>0</v>
      </c>
      <c r="U1078">
        <v>0</v>
      </c>
      <c r="V1078">
        <v>12</v>
      </c>
      <c r="W1078">
        <v>171000</v>
      </c>
      <c r="X1078">
        <v>1800</v>
      </c>
      <c r="Y1078">
        <v>2400</v>
      </c>
      <c r="Z1078">
        <v>0</v>
      </c>
      <c r="AA1078">
        <v>0</v>
      </c>
      <c r="AB1078">
        <v>0</v>
      </c>
      <c r="AC1078">
        <v>4200</v>
      </c>
    </row>
    <row r="1079" spans="1:29">
      <c r="A1079">
        <v>1071</v>
      </c>
      <c r="B1079" t="s">
        <v>149</v>
      </c>
      <c r="C1079">
        <v>1132</v>
      </c>
      <c r="D1079" t="s">
        <v>303</v>
      </c>
      <c r="E1079" t="str">
        <f t="shared" si="16"/>
        <v>01132</v>
      </c>
      <c r="F1079" t="s">
        <v>95</v>
      </c>
      <c r="G1079" t="s">
        <v>187</v>
      </c>
      <c r="H1079" t="s">
        <v>188</v>
      </c>
      <c r="I1079" t="s">
        <v>210</v>
      </c>
      <c r="J1079" t="s">
        <v>152</v>
      </c>
      <c r="K1079" t="s">
        <v>159</v>
      </c>
      <c r="L1079">
        <v>251200599</v>
      </c>
      <c r="M1079" s="84">
        <v>46011</v>
      </c>
      <c r="N1079" s="84">
        <v>46011</v>
      </c>
      <c r="O1079" t="s">
        <v>213</v>
      </c>
      <c r="P1079" t="s">
        <v>214</v>
      </c>
      <c r="Q1079">
        <v>21750</v>
      </c>
      <c r="R1079">
        <v>1</v>
      </c>
      <c r="S1079">
        <v>21750</v>
      </c>
      <c r="T1079">
        <v>0</v>
      </c>
      <c r="U1079">
        <v>0</v>
      </c>
      <c r="V1079">
        <v>1</v>
      </c>
      <c r="W1079">
        <v>21750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</row>
    <row r="1080" spans="1:29">
      <c r="A1080">
        <v>1072</v>
      </c>
      <c r="B1080" t="s">
        <v>149</v>
      </c>
      <c r="C1080">
        <v>1553</v>
      </c>
      <c r="D1080" t="s">
        <v>317</v>
      </c>
      <c r="E1080" t="str">
        <f t="shared" si="16"/>
        <v>01553</v>
      </c>
      <c r="F1080" t="s">
        <v>43</v>
      </c>
      <c r="G1080" t="s">
        <v>150</v>
      </c>
      <c r="H1080" t="s">
        <v>151</v>
      </c>
      <c r="I1080" t="s">
        <v>4</v>
      </c>
      <c r="J1080" t="s">
        <v>152</v>
      </c>
      <c r="K1080" t="s">
        <v>153</v>
      </c>
      <c r="L1080">
        <v>251200600</v>
      </c>
      <c r="M1080" s="84">
        <v>46012</v>
      </c>
      <c r="N1080" s="84">
        <v>46012</v>
      </c>
      <c r="O1080" t="s">
        <v>243</v>
      </c>
      <c r="P1080" t="s">
        <v>244</v>
      </c>
      <c r="Q1080">
        <v>5700</v>
      </c>
      <c r="R1080">
        <v>5</v>
      </c>
      <c r="S1080">
        <v>28500</v>
      </c>
      <c r="T1080">
        <v>0</v>
      </c>
      <c r="U1080">
        <v>0</v>
      </c>
      <c r="V1080">
        <v>5</v>
      </c>
      <c r="W1080">
        <v>28500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</row>
    <row r="1081" spans="1:29">
      <c r="A1081">
        <v>1073</v>
      </c>
      <c r="B1081" t="s">
        <v>149</v>
      </c>
      <c r="C1081">
        <v>1553</v>
      </c>
      <c r="D1081" t="s">
        <v>317</v>
      </c>
      <c r="E1081" t="str">
        <f t="shared" si="16"/>
        <v>01553</v>
      </c>
      <c r="F1081" t="s">
        <v>43</v>
      </c>
      <c r="G1081" t="s">
        <v>150</v>
      </c>
      <c r="H1081" t="s">
        <v>151</v>
      </c>
      <c r="I1081" t="s">
        <v>4</v>
      </c>
      <c r="J1081" t="s">
        <v>152</v>
      </c>
      <c r="K1081" t="s">
        <v>153</v>
      </c>
      <c r="L1081">
        <v>251200600</v>
      </c>
      <c r="M1081" s="84">
        <v>46012</v>
      </c>
      <c r="N1081" s="84">
        <v>46012</v>
      </c>
      <c r="O1081" t="s">
        <v>179</v>
      </c>
      <c r="P1081" t="s">
        <v>180</v>
      </c>
      <c r="Q1081">
        <v>5500</v>
      </c>
      <c r="R1081">
        <v>5</v>
      </c>
      <c r="S1081">
        <v>27500</v>
      </c>
      <c r="T1081">
        <v>0</v>
      </c>
      <c r="U1081">
        <v>0</v>
      </c>
      <c r="V1081">
        <v>5</v>
      </c>
      <c r="W1081">
        <v>27500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</row>
    <row r="1082" spans="1:29">
      <c r="A1082">
        <v>1074</v>
      </c>
      <c r="B1082" t="s">
        <v>149</v>
      </c>
      <c r="C1082">
        <v>1553</v>
      </c>
      <c r="D1082" t="s">
        <v>317</v>
      </c>
      <c r="E1082" t="str">
        <f t="shared" si="16"/>
        <v>01553</v>
      </c>
      <c r="F1082" t="s">
        <v>43</v>
      </c>
      <c r="G1082" t="s">
        <v>150</v>
      </c>
      <c r="H1082" t="s">
        <v>151</v>
      </c>
      <c r="I1082" t="s">
        <v>4</v>
      </c>
      <c r="J1082" t="s">
        <v>152</v>
      </c>
      <c r="K1082" t="s">
        <v>153</v>
      </c>
      <c r="L1082">
        <v>251200600</v>
      </c>
      <c r="M1082" s="84">
        <v>46012</v>
      </c>
      <c r="N1082" s="84">
        <v>46012</v>
      </c>
      <c r="O1082" t="s">
        <v>160</v>
      </c>
      <c r="P1082" t="s">
        <v>161</v>
      </c>
      <c r="Q1082">
        <v>5500</v>
      </c>
      <c r="R1082">
        <v>10</v>
      </c>
      <c r="S1082">
        <v>55000</v>
      </c>
      <c r="T1082">
        <v>0</v>
      </c>
      <c r="U1082">
        <v>0</v>
      </c>
      <c r="V1082">
        <v>10</v>
      </c>
      <c r="W1082">
        <v>55000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</row>
    <row r="1083" spans="1:29">
      <c r="A1083">
        <v>1075</v>
      </c>
      <c r="B1083" t="s">
        <v>149</v>
      </c>
      <c r="C1083">
        <v>1289</v>
      </c>
      <c r="D1083" t="s">
        <v>412</v>
      </c>
      <c r="E1083" t="str">
        <f t="shared" si="16"/>
        <v>01289</v>
      </c>
      <c r="F1083" t="s">
        <v>43</v>
      </c>
      <c r="G1083" t="s">
        <v>150</v>
      </c>
      <c r="H1083" t="s">
        <v>151</v>
      </c>
      <c r="I1083" t="s">
        <v>4</v>
      </c>
      <c r="J1083" t="s">
        <v>152</v>
      </c>
      <c r="K1083" t="s">
        <v>153</v>
      </c>
      <c r="L1083">
        <v>251200601</v>
      </c>
      <c r="M1083" s="84">
        <v>46012</v>
      </c>
      <c r="N1083" s="84">
        <v>46012</v>
      </c>
      <c r="O1083" t="s">
        <v>357</v>
      </c>
      <c r="P1083" t="s">
        <v>358</v>
      </c>
      <c r="Q1083">
        <v>5500</v>
      </c>
      <c r="R1083">
        <v>30</v>
      </c>
      <c r="S1083">
        <v>165000</v>
      </c>
      <c r="T1083">
        <v>0</v>
      </c>
      <c r="U1083">
        <v>0</v>
      </c>
      <c r="V1083">
        <v>30</v>
      </c>
      <c r="W1083">
        <v>165000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</row>
    <row r="1084" spans="1:29">
      <c r="A1084">
        <v>1076</v>
      </c>
      <c r="B1084" t="s">
        <v>149</v>
      </c>
      <c r="C1084">
        <v>1596</v>
      </c>
      <c r="D1084" t="s">
        <v>315</v>
      </c>
      <c r="E1084" t="str">
        <f t="shared" si="16"/>
        <v>01596</v>
      </c>
      <c r="F1084" t="s">
        <v>111</v>
      </c>
      <c r="G1084" t="s">
        <v>150</v>
      </c>
      <c r="H1084" t="s">
        <v>151</v>
      </c>
      <c r="I1084" t="s">
        <v>5</v>
      </c>
      <c r="J1084" t="s">
        <v>152</v>
      </c>
      <c r="K1084" t="s">
        <v>153</v>
      </c>
      <c r="L1084">
        <v>251200602</v>
      </c>
      <c r="M1084" s="84">
        <v>46012</v>
      </c>
      <c r="N1084" s="84">
        <v>46012</v>
      </c>
      <c r="O1084" t="s">
        <v>191</v>
      </c>
      <c r="P1084" t="s">
        <v>192</v>
      </c>
      <c r="Q1084">
        <v>4500</v>
      </c>
      <c r="R1084">
        <v>4</v>
      </c>
      <c r="S1084">
        <v>18000</v>
      </c>
      <c r="T1084">
        <v>0</v>
      </c>
      <c r="U1084">
        <v>0</v>
      </c>
      <c r="V1084">
        <v>4</v>
      </c>
      <c r="W1084">
        <v>18000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</row>
    <row r="1085" spans="1:29">
      <c r="A1085">
        <v>1077</v>
      </c>
      <c r="B1085" t="s">
        <v>149</v>
      </c>
      <c r="C1085">
        <v>1478</v>
      </c>
      <c r="D1085" t="s">
        <v>314</v>
      </c>
      <c r="E1085" t="str">
        <f t="shared" si="16"/>
        <v>01478</v>
      </c>
      <c r="F1085" t="s">
        <v>111</v>
      </c>
      <c r="G1085" t="s">
        <v>150</v>
      </c>
      <c r="H1085" t="s">
        <v>151</v>
      </c>
      <c r="I1085" t="s">
        <v>5</v>
      </c>
      <c r="J1085" t="s">
        <v>152</v>
      </c>
      <c r="K1085" t="s">
        <v>153</v>
      </c>
      <c r="L1085">
        <v>251200603</v>
      </c>
      <c r="M1085" s="84">
        <v>46012</v>
      </c>
      <c r="N1085" s="84">
        <v>46012</v>
      </c>
      <c r="O1085" t="s">
        <v>191</v>
      </c>
      <c r="P1085" t="s">
        <v>192</v>
      </c>
      <c r="Q1085">
        <v>4500</v>
      </c>
      <c r="R1085">
        <v>40</v>
      </c>
      <c r="S1085">
        <v>180000</v>
      </c>
      <c r="T1085">
        <v>0</v>
      </c>
      <c r="U1085">
        <v>0</v>
      </c>
      <c r="V1085">
        <v>40</v>
      </c>
      <c r="W1085">
        <v>180000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</row>
    <row r="1086" spans="1:29">
      <c r="A1086">
        <v>1078</v>
      </c>
      <c r="B1086" t="s">
        <v>149</v>
      </c>
      <c r="C1086">
        <v>1519</v>
      </c>
      <c r="D1086" t="s">
        <v>353</v>
      </c>
      <c r="E1086" t="str">
        <f t="shared" si="16"/>
        <v>01519</v>
      </c>
      <c r="F1086" t="s">
        <v>111</v>
      </c>
      <c r="G1086" t="s">
        <v>150</v>
      </c>
      <c r="H1086" t="s">
        <v>151</v>
      </c>
      <c r="I1086" t="s">
        <v>4</v>
      </c>
      <c r="J1086" t="s">
        <v>152</v>
      </c>
      <c r="K1086" t="s">
        <v>153</v>
      </c>
      <c r="L1086">
        <v>251200604</v>
      </c>
      <c r="M1086" s="84">
        <v>46012</v>
      </c>
      <c r="N1086" s="84">
        <v>46012</v>
      </c>
      <c r="O1086" t="s">
        <v>160</v>
      </c>
      <c r="P1086" t="s">
        <v>161</v>
      </c>
      <c r="Q1086">
        <v>5500</v>
      </c>
      <c r="R1086">
        <v>28</v>
      </c>
      <c r="S1086">
        <v>154000</v>
      </c>
      <c r="T1086">
        <v>0</v>
      </c>
      <c r="U1086">
        <v>0</v>
      </c>
      <c r="V1086">
        <v>28</v>
      </c>
      <c r="W1086">
        <v>154000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</row>
    <row r="1087" spans="1:29">
      <c r="A1087">
        <v>1079</v>
      </c>
      <c r="B1087" t="s">
        <v>149</v>
      </c>
      <c r="C1087">
        <v>1300</v>
      </c>
      <c r="D1087" t="s">
        <v>335</v>
      </c>
      <c r="E1087" t="str">
        <f t="shared" si="16"/>
        <v>01300</v>
      </c>
      <c r="F1087" t="s">
        <v>83</v>
      </c>
      <c r="G1087" t="s">
        <v>164</v>
      </c>
      <c r="H1087" t="s">
        <v>151</v>
      </c>
      <c r="I1087" t="s">
        <v>5</v>
      </c>
      <c r="J1087" t="s">
        <v>152</v>
      </c>
      <c r="K1087" t="s">
        <v>153</v>
      </c>
      <c r="L1087">
        <v>251200605</v>
      </c>
      <c r="M1087" s="84">
        <v>46012</v>
      </c>
      <c r="N1087" s="84">
        <v>46012</v>
      </c>
      <c r="O1087" t="s">
        <v>191</v>
      </c>
      <c r="P1087" t="s">
        <v>192</v>
      </c>
      <c r="Q1087">
        <v>4500</v>
      </c>
      <c r="R1087">
        <v>16</v>
      </c>
      <c r="S1087">
        <v>72000</v>
      </c>
      <c r="T1087">
        <v>0</v>
      </c>
      <c r="U1087">
        <v>0</v>
      </c>
      <c r="V1087">
        <v>16</v>
      </c>
      <c r="W1087">
        <v>72000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</row>
    <row r="1088" spans="1:29">
      <c r="A1088">
        <v>1080</v>
      </c>
      <c r="B1088" t="s">
        <v>149</v>
      </c>
      <c r="C1088">
        <v>827</v>
      </c>
      <c r="D1088" t="s">
        <v>84</v>
      </c>
      <c r="E1088" t="str">
        <f t="shared" si="16"/>
        <v>00827</v>
      </c>
      <c r="F1088" t="s">
        <v>83</v>
      </c>
      <c r="G1088" t="s">
        <v>164</v>
      </c>
      <c r="H1088" t="s">
        <v>151</v>
      </c>
      <c r="I1088" t="s">
        <v>4</v>
      </c>
      <c r="J1088" t="s">
        <v>152</v>
      </c>
      <c r="K1088" t="s">
        <v>153</v>
      </c>
      <c r="L1088">
        <v>251200606</v>
      </c>
      <c r="M1088" s="84">
        <v>46012</v>
      </c>
      <c r="N1088" s="84">
        <v>46012</v>
      </c>
      <c r="O1088" t="s">
        <v>177</v>
      </c>
      <c r="P1088" t="s">
        <v>178</v>
      </c>
      <c r="Q1088">
        <v>14250</v>
      </c>
      <c r="R1088">
        <v>4</v>
      </c>
      <c r="S1088">
        <v>57000</v>
      </c>
      <c r="T1088">
        <v>0</v>
      </c>
      <c r="U1088">
        <v>0</v>
      </c>
      <c r="V1088">
        <v>4</v>
      </c>
      <c r="W1088">
        <v>57000</v>
      </c>
      <c r="X1088">
        <v>600</v>
      </c>
      <c r="Y1088">
        <v>800</v>
      </c>
      <c r="Z1088">
        <v>0</v>
      </c>
      <c r="AA1088">
        <v>0</v>
      </c>
      <c r="AB1088">
        <v>0</v>
      </c>
      <c r="AC1088">
        <v>1400</v>
      </c>
    </row>
    <row r="1089" spans="1:29">
      <c r="A1089">
        <v>1081</v>
      </c>
      <c r="B1089" t="s">
        <v>149</v>
      </c>
      <c r="C1089">
        <v>827</v>
      </c>
      <c r="D1089" t="s">
        <v>84</v>
      </c>
      <c r="E1089" t="str">
        <f t="shared" si="16"/>
        <v>00827</v>
      </c>
      <c r="F1089" t="s">
        <v>83</v>
      </c>
      <c r="G1089" t="s">
        <v>164</v>
      </c>
      <c r="H1089" t="s">
        <v>151</v>
      </c>
      <c r="I1089" t="s">
        <v>5</v>
      </c>
      <c r="J1089" t="s">
        <v>152</v>
      </c>
      <c r="K1089" t="s">
        <v>153</v>
      </c>
      <c r="L1089">
        <v>251200606</v>
      </c>
      <c r="M1089" s="84">
        <v>46012</v>
      </c>
      <c r="N1089" s="84">
        <v>46012</v>
      </c>
      <c r="O1089" t="s">
        <v>191</v>
      </c>
      <c r="P1089" t="s">
        <v>192</v>
      </c>
      <c r="Q1089">
        <v>11700</v>
      </c>
      <c r="R1089">
        <v>4</v>
      </c>
      <c r="S1089">
        <v>46800</v>
      </c>
      <c r="T1089">
        <v>0</v>
      </c>
      <c r="U1089">
        <v>0</v>
      </c>
      <c r="V1089">
        <v>4</v>
      </c>
      <c r="W1089">
        <v>46800</v>
      </c>
      <c r="X1089">
        <v>600</v>
      </c>
      <c r="Y1089">
        <v>600</v>
      </c>
      <c r="Z1089">
        <v>0</v>
      </c>
      <c r="AA1089">
        <v>0</v>
      </c>
      <c r="AB1089">
        <v>0</v>
      </c>
      <c r="AC1089">
        <v>1200</v>
      </c>
    </row>
    <row r="1090" spans="1:29">
      <c r="A1090">
        <v>1082</v>
      </c>
      <c r="B1090" t="s">
        <v>149</v>
      </c>
      <c r="C1090">
        <v>337</v>
      </c>
      <c r="D1090" t="s">
        <v>57</v>
      </c>
      <c r="E1090" t="str">
        <f t="shared" si="16"/>
        <v>00337</v>
      </c>
      <c r="F1090" t="s">
        <v>49</v>
      </c>
      <c r="G1090" t="s">
        <v>167</v>
      </c>
      <c r="H1090" t="s">
        <v>151</v>
      </c>
      <c r="I1090" t="s">
        <v>4</v>
      </c>
      <c r="J1090" t="s">
        <v>152</v>
      </c>
      <c r="K1090" t="s">
        <v>153</v>
      </c>
      <c r="L1090">
        <v>251200607</v>
      </c>
      <c r="M1090" s="84">
        <v>46012</v>
      </c>
      <c r="N1090" s="84">
        <v>46012</v>
      </c>
      <c r="O1090" t="s">
        <v>160</v>
      </c>
      <c r="P1090" t="s">
        <v>161</v>
      </c>
      <c r="Q1090">
        <v>14250</v>
      </c>
      <c r="R1090">
        <v>20</v>
      </c>
      <c r="S1090">
        <v>285000</v>
      </c>
      <c r="T1090">
        <v>0</v>
      </c>
      <c r="U1090">
        <v>0</v>
      </c>
      <c r="V1090">
        <v>20</v>
      </c>
      <c r="W1090">
        <v>285000</v>
      </c>
      <c r="X1090">
        <v>3000</v>
      </c>
      <c r="Y1090">
        <v>4000</v>
      </c>
      <c r="Z1090">
        <v>0</v>
      </c>
      <c r="AA1090">
        <v>0</v>
      </c>
      <c r="AB1090">
        <v>0</v>
      </c>
      <c r="AC1090">
        <v>7000</v>
      </c>
    </row>
    <row r="1091" spans="1:29">
      <c r="A1091">
        <v>1083</v>
      </c>
      <c r="B1091" t="s">
        <v>149</v>
      </c>
      <c r="C1091">
        <v>1149</v>
      </c>
      <c r="D1091" t="s">
        <v>55</v>
      </c>
      <c r="E1091" t="str">
        <f t="shared" si="16"/>
        <v>01149</v>
      </c>
      <c r="F1091" t="s">
        <v>49</v>
      </c>
      <c r="G1091" t="s">
        <v>167</v>
      </c>
      <c r="H1091" t="s">
        <v>151</v>
      </c>
      <c r="I1091" t="s">
        <v>4</v>
      </c>
      <c r="J1091" t="s">
        <v>152</v>
      </c>
      <c r="K1091" t="s">
        <v>153</v>
      </c>
      <c r="L1091">
        <v>251200608</v>
      </c>
      <c r="M1091" s="84">
        <v>46012</v>
      </c>
      <c r="N1091" s="84">
        <v>46012</v>
      </c>
      <c r="O1091" t="s">
        <v>168</v>
      </c>
      <c r="P1091" t="s">
        <v>169</v>
      </c>
      <c r="Q1091">
        <v>14250</v>
      </c>
      <c r="R1091">
        <v>12</v>
      </c>
      <c r="S1091">
        <v>171000</v>
      </c>
      <c r="T1091">
        <v>0</v>
      </c>
      <c r="U1091">
        <v>0</v>
      </c>
      <c r="V1091">
        <v>12</v>
      </c>
      <c r="W1091">
        <v>171000</v>
      </c>
      <c r="X1091">
        <v>1800</v>
      </c>
      <c r="Y1091">
        <v>2400</v>
      </c>
      <c r="Z1091">
        <v>0</v>
      </c>
      <c r="AA1091">
        <v>0</v>
      </c>
      <c r="AB1091">
        <v>0</v>
      </c>
      <c r="AC1091">
        <v>4200</v>
      </c>
    </row>
    <row r="1092" spans="1:29">
      <c r="A1092">
        <v>1084</v>
      </c>
      <c r="B1092" t="s">
        <v>149</v>
      </c>
      <c r="C1092">
        <v>1550</v>
      </c>
      <c r="D1092" t="s">
        <v>337</v>
      </c>
      <c r="E1092" t="str">
        <f t="shared" si="16"/>
        <v>01550</v>
      </c>
      <c r="F1092" t="s">
        <v>15</v>
      </c>
      <c r="G1092" t="s">
        <v>193</v>
      </c>
      <c r="H1092" t="s">
        <v>151</v>
      </c>
      <c r="I1092" t="s">
        <v>5</v>
      </c>
      <c r="J1092" t="s">
        <v>152</v>
      </c>
      <c r="K1092" t="s">
        <v>153</v>
      </c>
      <c r="L1092">
        <v>251200609</v>
      </c>
      <c r="M1092" s="84">
        <v>46012</v>
      </c>
      <c r="N1092" s="84">
        <v>46012</v>
      </c>
      <c r="O1092" t="s">
        <v>260</v>
      </c>
      <c r="P1092" t="s">
        <v>261</v>
      </c>
      <c r="Q1092">
        <v>4500</v>
      </c>
      <c r="R1092">
        <v>8</v>
      </c>
      <c r="S1092">
        <v>36000</v>
      </c>
      <c r="T1092">
        <v>0</v>
      </c>
      <c r="U1092">
        <v>0</v>
      </c>
      <c r="V1092">
        <v>8</v>
      </c>
      <c r="W1092">
        <v>36000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</row>
    <row r="1093" spans="1:29">
      <c r="A1093">
        <v>1085</v>
      </c>
      <c r="B1093" t="s">
        <v>149</v>
      </c>
      <c r="C1093">
        <v>1550</v>
      </c>
      <c r="D1093" t="s">
        <v>337</v>
      </c>
      <c r="E1093" t="str">
        <f t="shared" si="16"/>
        <v>01550</v>
      </c>
      <c r="F1093" t="s">
        <v>15</v>
      </c>
      <c r="G1093" t="s">
        <v>193</v>
      </c>
      <c r="H1093" t="s">
        <v>151</v>
      </c>
      <c r="I1093" t="s">
        <v>5</v>
      </c>
      <c r="J1093" t="s">
        <v>152</v>
      </c>
      <c r="K1093" t="s">
        <v>153</v>
      </c>
      <c r="L1093">
        <v>251200609</v>
      </c>
      <c r="M1093" s="84">
        <v>46012</v>
      </c>
      <c r="N1093" s="84">
        <v>46012</v>
      </c>
      <c r="O1093" t="s">
        <v>191</v>
      </c>
      <c r="P1093" t="s">
        <v>192</v>
      </c>
      <c r="Q1093">
        <v>4500</v>
      </c>
      <c r="R1093">
        <v>24</v>
      </c>
      <c r="S1093">
        <v>108000</v>
      </c>
      <c r="T1093">
        <v>0</v>
      </c>
      <c r="U1093">
        <v>0</v>
      </c>
      <c r="V1093">
        <v>24</v>
      </c>
      <c r="W1093">
        <v>108000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</row>
    <row r="1094" spans="1:29">
      <c r="A1094">
        <v>1086</v>
      </c>
      <c r="B1094" t="s">
        <v>149</v>
      </c>
      <c r="C1094">
        <v>1326</v>
      </c>
      <c r="D1094" t="s">
        <v>338</v>
      </c>
      <c r="E1094" t="str">
        <f t="shared" si="16"/>
        <v>01326</v>
      </c>
      <c r="F1094" t="s">
        <v>15</v>
      </c>
      <c r="G1094" t="s">
        <v>193</v>
      </c>
      <c r="H1094" t="s">
        <v>151</v>
      </c>
      <c r="I1094" t="s">
        <v>5</v>
      </c>
      <c r="J1094" t="s">
        <v>152</v>
      </c>
      <c r="K1094" t="s">
        <v>153</v>
      </c>
      <c r="L1094">
        <v>251200610</v>
      </c>
      <c r="M1094" s="84">
        <v>46012</v>
      </c>
      <c r="N1094" s="84">
        <v>46012</v>
      </c>
      <c r="O1094" t="s">
        <v>191</v>
      </c>
      <c r="P1094" t="s">
        <v>192</v>
      </c>
      <c r="Q1094">
        <v>4500</v>
      </c>
      <c r="R1094">
        <v>120</v>
      </c>
      <c r="S1094">
        <v>540000</v>
      </c>
      <c r="T1094">
        <v>0</v>
      </c>
      <c r="U1094">
        <v>0</v>
      </c>
      <c r="V1094">
        <v>120</v>
      </c>
      <c r="W1094">
        <v>540000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</row>
    <row r="1095" spans="1:29">
      <c r="A1095">
        <v>1087</v>
      </c>
      <c r="B1095" t="s">
        <v>149</v>
      </c>
      <c r="C1095">
        <v>1312</v>
      </c>
      <c r="D1095" t="s">
        <v>359</v>
      </c>
      <c r="E1095" t="str">
        <f t="shared" si="16"/>
        <v>01312</v>
      </c>
      <c r="F1095" t="s">
        <v>15</v>
      </c>
      <c r="G1095" t="s">
        <v>193</v>
      </c>
      <c r="H1095" t="s">
        <v>151</v>
      </c>
      <c r="I1095" t="s">
        <v>5</v>
      </c>
      <c r="J1095" t="s">
        <v>152</v>
      </c>
      <c r="K1095" t="s">
        <v>153</v>
      </c>
      <c r="L1095">
        <v>251200611</v>
      </c>
      <c r="M1095" s="84">
        <v>46012</v>
      </c>
      <c r="N1095" s="84">
        <v>46012</v>
      </c>
      <c r="O1095" t="s">
        <v>360</v>
      </c>
      <c r="P1095" t="s">
        <v>361</v>
      </c>
      <c r="Q1095">
        <v>4500</v>
      </c>
      <c r="R1095">
        <v>20</v>
      </c>
      <c r="S1095">
        <v>90000</v>
      </c>
      <c r="T1095">
        <v>0</v>
      </c>
      <c r="U1095">
        <v>0</v>
      </c>
      <c r="V1095">
        <v>20</v>
      </c>
      <c r="W1095">
        <v>90000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</row>
    <row r="1096" spans="1:29">
      <c r="A1096">
        <v>1088</v>
      </c>
      <c r="B1096" t="s">
        <v>149</v>
      </c>
      <c r="C1096">
        <v>1550</v>
      </c>
      <c r="D1096" t="s">
        <v>337</v>
      </c>
      <c r="E1096" t="str">
        <f t="shared" si="16"/>
        <v>01550</v>
      </c>
      <c r="F1096" t="s">
        <v>15</v>
      </c>
      <c r="G1096" t="s">
        <v>193</v>
      </c>
      <c r="H1096" t="s">
        <v>151</v>
      </c>
      <c r="I1096" t="s">
        <v>4</v>
      </c>
      <c r="J1096" t="s">
        <v>152</v>
      </c>
      <c r="K1096" t="s">
        <v>153</v>
      </c>
      <c r="L1096">
        <v>251200612</v>
      </c>
      <c r="M1096" s="84">
        <v>46012</v>
      </c>
      <c r="N1096" s="84">
        <v>46012</v>
      </c>
      <c r="O1096" t="s">
        <v>206</v>
      </c>
      <c r="P1096" t="s">
        <v>207</v>
      </c>
      <c r="Q1096">
        <v>5500</v>
      </c>
      <c r="R1096">
        <v>5</v>
      </c>
      <c r="S1096">
        <v>27500</v>
      </c>
      <c r="T1096">
        <v>0</v>
      </c>
      <c r="U1096">
        <v>0</v>
      </c>
      <c r="V1096">
        <v>5</v>
      </c>
      <c r="W1096">
        <v>27500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</row>
    <row r="1097" spans="1:29">
      <c r="A1097">
        <v>1089</v>
      </c>
      <c r="B1097" t="s">
        <v>149</v>
      </c>
      <c r="C1097">
        <v>1550</v>
      </c>
      <c r="D1097" t="s">
        <v>337</v>
      </c>
      <c r="E1097" t="str">
        <f t="shared" ref="E1097:E1160" si="17">TEXT(C1097,"00000")</f>
        <v>01550</v>
      </c>
      <c r="F1097" t="s">
        <v>15</v>
      </c>
      <c r="G1097" t="s">
        <v>193</v>
      </c>
      <c r="H1097" t="s">
        <v>151</v>
      </c>
      <c r="I1097" t="s">
        <v>5</v>
      </c>
      <c r="J1097" t="s">
        <v>152</v>
      </c>
      <c r="K1097" t="s">
        <v>153</v>
      </c>
      <c r="L1097">
        <v>251200612</v>
      </c>
      <c r="M1097" s="84">
        <v>46012</v>
      </c>
      <c r="N1097" s="84">
        <v>46012</v>
      </c>
      <c r="O1097" t="s">
        <v>194</v>
      </c>
      <c r="P1097" t="s">
        <v>195</v>
      </c>
      <c r="Q1097">
        <v>4500</v>
      </c>
      <c r="R1097">
        <v>4</v>
      </c>
      <c r="S1097">
        <v>18000</v>
      </c>
      <c r="T1097">
        <v>0</v>
      </c>
      <c r="U1097">
        <v>0</v>
      </c>
      <c r="V1097">
        <v>4</v>
      </c>
      <c r="W1097">
        <v>18000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</row>
    <row r="1098" spans="1:29">
      <c r="A1098">
        <v>1090</v>
      </c>
      <c r="B1098" t="s">
        <v>149</v>
      </c>
      <c r="C1098">
        <v>1550</v>
      </c>
      <c r="D1098" t="s">
        <v>337</v>
      </c>
      <c r="E1098" t="str">
        <f t="shared" si="17"/>
        <v>01550</v>
      </c>
      <c r="F1098" t="s">
        <v>15</v>
      </c>
      <c r="G1098" t="s">
        <v>193</v>
      </c>
      <c r="H1098" t="s">
        <v>151</v>
      </c>
      <c r="I1098" t="s">
        <v>5</v>
      </c>
      <c r="J1098" t="s">
        <v>152</v>
      </c>
      <c r="K1098" t="s">
        <v>153</v>
      </c>
      <c r="L1098">
        <v>251200612</v>
      </c>
      <c r="M1098" s="84">
        <v>46012</v>
      </c>
      <c r="N1098" s="84">
        <v>46012</v>
      </c>
      <c r="O1098" t="s">
        <v>260</v>
      </c>
      <c r="P1098" t="s">
        <v>261</v>
      </c>
      <c r="Q1098">
        <v>4500</v>
      </c>
      <c r="R1098">
        <v>8</v>
      </c>
      <c r="S1098">
        <v>36000</v>
      </c>
      <c r="T1098">
        <v>0</v>
      </c>
      <c r="U1098">
        <v>0</v>
      </c>
      <c r="V1098">
        <v>8</v>
      </c>
      <c r="W1098">
        <v>36000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</row>
    <row r="1099" spans="1:29">
      <c r="A1099">
        <v>1091</v>
      </c>
      <c r="B1099" t="s">
        <v>149</v>
      </c>
      <c r="C1099">
        <v>1550</v>
      </c>
      <c r="D1099" t="s">
        <v>337</v>
      </c>
      <c r="E1099" t="str">
        <f t="shared" si="17"/>
        <v>01550</v>
      </c>
      <c r="F1099" t="s">
        <v>15</v>
      </c>
      <c r="G1099" t="s">
        <v>193</v>
      </c>
      <c r="H1099" t="s">
        <v>151</v>
      </c>
      <c r="I1099" t="s">
        <v>5</v>
      </c>
      <c r="J1099" t="s">
        <v>152</v>
      </c>
      <c r="K1099" t="s">
        <v>153</v>
      </c>
      <c r="L1099">
        <v>251200612</v>
      </c>
      <c r="M1099" s="84">
        <v>46012</v>
      </c>
      <c r="N1099" s="84">
        <v>46012</v>
      </c>
      <c r="O1099" t="s">
        <v>191</v>
      </c>
      <c r="P1099" t="s">
        <v>192</v>
      </c>
      <c r="Q1099">
        <v>4500</v>
      </c>
      <c r="R1099">
        <v>23</v>
      </c>
      <c r="S1099">
        <v>103500</v>
      </c>
      <c r="T1099">
        <v>0</v>
      </c>
      <c r="U1099">
        <v>0</v>
      </c>
      <c r="V1099">
        <v>23</v>
      </c>
      <c r="W1099">
        <v>103500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</row>
    <row r="1100" spans="1:29">
      <c r="A1100">
        <v>1092</v>
      </c>
      <c r="B1100" t="s">
        <v>149</v>
      </c>
      <c r="C1100">
        <v>1605</v>
      </c>
      <c r="D1100" t="s">
        <v>304</v>
      </c>
      <c r="E1100" t="str">
        <f t="shared" si="17"/>
        <v>01605</v>
      </c>
      <c r="F1100" t="s">
        <v>15</v>
      </c>
      <c r="G1100" t="s">
        <v>193</v>
      </c>
      <c r="H1100" t="s">
        <v>151</v>
      </c>
      <c r="I1100" t="s">
        <v>231</v>
      </c>
      <c r="J1100" t="s">
        <v>152</v>
      </c>
      <c r="K1100" t="s">
        <v>153</v>
      </c>
      <c r="L1100">
        <v>251200613</v>
      </c>
      <c r="M1100" s="84">
        <v>46012</v>
      </c>
      <c r="N1100" s="84">
        <v>46012</v>
      </c>
      <c r="O1100" t="s">
        <v>233</v>
      </c>
      <c r="P1100" t="s">
        <v>118</v>
      </c>
      <c r="Q1100">
        <v>4486</v>
      </c>
      <c r="R1100">
        <v>3</v>
      </c>
      <c r="S1100">
        <v>13458</v>
      </c>
      <c r="T1100">
        <v>0</v>
      </c>
      <c r="U1100">
        <v>0</v>
      </c>
      <c r="V1100">
        <v>3</v>
      </c>
      <c r="W1100">
        <v>13458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</row>
    <row r="1101" spans="1:29">
      <c r="A1101">
        <v>1093</v>
      </c>
      <c r="B1101" t="s">
        <v>149</v>
      </c>
      <c r="C1101">
        <v>1605</v>
      </c>
      <c r="D1101" t="s">
        <v>304</v>
      </c>
      <c r="E1101" t="str">
        <f t="shared" si="17"/>
        <v>01605</v>
      </c>
      <c r="F1101" t="s">
        <v>15</v>
      </c>
      <c r="G1101" t="s">
        <v>193</v>
      </c>
      <c r="H1101" t="s">
        <v>151</v>
      </c>
      <c r="I1101" t="s">
        <v>238</v>
      </c>
      <c r="J1101" t="s">
        <v>152</v>
      </c>
      <c r="K1101" t="s">
        <v>153</v>
      </c>
      <c r="L1101">
        <v>251200613</v>
      </c>
      <c r="M1101" s="84">
        <v>46012</v>
      </c>
      <c r="N1101" s="84">
        <v>46012</v>
      </c>
      <c r="O1101" t="s">
        <v>247</v>
      </c>
      <c r="P1101" t="s">
        <v>116</v>
      </c>
      <c r="Q1101">
        <v>10982</v>
      </c>
      <c r="R1101">
        <v>1</v>
      </c>
      <c r="S1101">
        <v>10982</v>
      </c>
      <c r="T1101">
        <v>0</v>
      </c>
      <c r="U1101">
        <v>0</v>
      </c>
      <c r="V1101">
        <v>1</v>
      </c>
      <c r="W1101">
        <v>10982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</row>
    <row r="1102" spans="1:29">
      <c r="A1102">
        <v>1094</v>
      </c>
      <c r="B1102" t="s">
        <v>149</v>
      </c>
      <c r="C1102">
        <v>1292</v>
      </c>
      <c r="D1102" t="s">
        <v>336</v>
      </c>
      <c r="E1102" t="str">
        <f t="shared" si="17"/>
        <v>01292</v>
      </c>
      <c r="F1102" t="s">
        <v>73</v>
      </c>
      <c r="G1102" t="s">
        <v>185</v>
      </c>
      <c r="H1102" t="s">
        <v>151</v>
      </c>
      <c r="I1102" t="s">
        <v>4</v>
      </c>
      <c r="J1102" t="s">
        <v>152</v>
      </c>
      <c r="K1102" t="s">
        <v>153</v>
      </c>
      <c r="L1102">
        <v>251200614</v>
      </c>
      <c r="M1102" s="84">
        <v>46012</v>
      </c>
      <c r="N1102" s="84">
        <v>46012</v>
      </c>
      <c r="O1102" t="s">
        <v>243</v>
      </c>
      <c r="P1102" t="s">
        <v>244</v>
      </c>
      <c r="Q1102">
        <v>5700</v>
      </c>
      <c r="R1102">
        <v>10</v>
      </c>
      <c r="S1102">
        <v>57000</v>
      </c>
      <c r="T1102">
        <v>0</v>
      </c>
      <c r="U1102">
        <v>0</v>
      </c>
      <c r="V1102">
        <v>10</v>
      </c>
      <c r="W1102">
        <v>57000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</row>
    <row r="1103" spans="1:29">
      <c r="A1103">
        <v>1095</v>
      </c>
      <c r="B1103" t="s">
        <v>149</v>
      </c>
      <c r="C1103">
        <v>471</v>
      </c>
      <c r="D1103" t="s">
        <v>25</v>
      </c>
      <c r="E1103" t="str">
        <f t="shared" si="17"/>
        <v>00471</v>
      </c>
      <c r="F1103" t="s">
        <v>20</v>
      </c>
      <c r="G1103" t="s">
        <v>193</v>
      </c>
      <c r="H1103" t="s">
        <v>151</v>
      </c>
      <c r="I1103" t="s">
        <v>4</v>
      </c>
      <c r="J1103" t="s">
        <v>152</v>
      </c>
      <c r="K1103" t="s">
        <v>236</v>
      </c>
      <c r="L1103">
        <v>251200615</v>
      </c>
      <c r="M1103" s="84">
        <v>46012</v>
      </c>
      <c r="N1103" s="84">
        <v>46012</v>
      </c>
      <c r="O1103" t="s">
        <v>179</v>
      </c>
      <c r="P1103" t="s">
        <v>180</v>
      </c>
      <c r="Q1103">
        <v>14250</v>
      </c>
      <c r="R1103">
        <v>20</v>
      </c>
      <c r="S1103">
        <v>285000</v>
      </c>
      <c r="T1103">
        <v>0</v>
      </c>
      <c r="U1103">
        <v>0</v>
      </c>
      <c r="V1103">
        <v>20</v>
      </c>
      <c r="W1103">
        <v>285000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</row>
    <row r="1104" spans="1:29">
      <c r="A1104">
        <v>1096</v>
      </c>
      <c r="B1104" t="s">
        <v>149</v>
      </c>
      <c r="C1104">
        <v>325</v>
      </c>
      <c r="D1104" t="s">
        <v>34</v>
      </c>
      <c r="E1104" t="str">
        <f t="shared" si="17"/>
        <v>00325</v>
      </c>
      <c r="F1104" t="s">
        <v>28</v>
      </c>
      <c r="G1104" t="s">
        <v>164</v>
      </c>
      <c r="H1104" t="s">
        <v>151</v>
      </c>
      <c r="I1104" t="s">
        <v>4</v>
      </c>
      <c r="J1104" t="s">
        <v>152</v>
      </c>
      <c r="K1104" t="s">
        <v>153</v>
      </c>
      <c r="L1104">
        <v>251200616</v>
      </c>
      <c r="M1104" s="84">
        <v>46012</v>
      </c>
      <c r="N1104" s="84">
        <v>46012</v>
      </c>
      <c r="O1104" t="s">
        <v>179</v>
      </c>
      <c r="P1104" t="s">
        <v>180</v>
      </c>
      <c r="Q1104">
        <v>14250</v>
      </c>
      <c r="R1104">
        <v>10</v>
      </c>
      <c r="S1104">
        <v>142500</v>
      </c>
      <c r="T1104">
        <v>0</v>
      </c>
      <c r="U1104">
        <v>0</v>
      </c>
      <c r="V1104">
        <v>10</v>
      </c>
      <c r="W1104">
        <v>142500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</row>
    <row r="1105" spans="1:29">
      <c r="A1105">
        <v>1097</v>
      </c>
      <c r="B1105" t="s">
        <v>149</v>
      </c>
      <c r="C1105">
        <v>325</v>
      </c>
      <c r="D1105" t="s">
        <v>34</v>
      </c>
      <c r="E1105" t="str">
        <f t="shared" si="17"/>
        <v>00325</v>
      </c>
      <c r="F1105" t="s">
        <v>28</v>
      </c>
      <c r="G1105" t="s">
        <v>164</v>
      </c>
      <c r="H1105" t="s">
        <v>151</v>
      </c>
      <c r="I1105" t="s">
        <v>4</v>
      </c>
      <c r="J1105" t="s">
        <v>152</v>
      </c>
      <c r="K1105" t="s">
        <v>153</v>
      </c>
      <c r="L1105">
        <v>251200616</v>
      </c>
      <c r="M1105" s="84">
        <v>46012</v>
      </c>
      <c r="N1105" s="84">
        <v>46012</v>
      </c>
      <c r="O1105" t="s">
        <v>177</v>
      </c>
      <c r="P1105" t="s">
        <v>178</v>
      </c>
      <c r="Q1105">
        <v>14250</v>
      </c>
      <c r="R1105">
        <v>10</v>
      </c>
      <c r="S1105">
        <v>142500</v>
      </c>
      <c r="T1105">
        <v>0</v>
      </c>
      <c r="U1105">
        <v>0</v>
      </c>
      <c r="V1105">
        <v>10</v>
      </c>
      <c r="W1105">
        <v>142500</v>
      </c>
      <c r="X1105">
        <v>1500</v>
      </c>
      <c r="Y1105">
        <v>2000</v>
      </c>
      <c r="Z1105">
        <v>0</v>
      </c>
      <c r="AA1105">
        <v>0</v>
      </c>
      <c r="AB1105">
        <v>0</v>
      </c>
      <c r="AC1105">
        <v>3500</v>
      </c>
    </row>
    <row r="1106" spans="1:29">
      <c r="A1106">
        <v>1098</v>
      </c>
      <c r="B1106" t="s">
        <v>149</v>
      </c>
      <c r="C1106">
        <v>329</v>
      </c>
      <c r="D1106" t="s">
        <v>32</v>
      </c>
      <c r="E1106" t="str">
        <f t="shared" si="17"/>
        <v>00329</v>
      </c>
      <c r="F1106" t="s">
        <v>28</v>
      </c>
      <c r="G1106" t="s">
        <v>164</v>
      </c>
      <c r="H1106" t="s">
        <v>151</v>
      </c>
      <c r="I1106" t="s">
        <v>4</v>
      </c>
      <c r="J1106" t="s">
        <v>152</v>
      </c>
      <c r="K1106" t="s">
        <v>153</v>
      </c>
      <c r="L1106">
        <v>251200617</v>
      </c>
      <c r="M1106" s="84">
        <v>46012</v>
      </c>
      <c r="N1106" s="84">
        <v>46012</v>
      </c>
      <c r="O1106" t="s">
        <v>215</v>
      </c>
      <c r="P1106" t="s">
        <v>216</v>
      </c>
      <c r="Q1106">
        <v>14250</v>
      </c>
      <c r="R1106">
        <v>12</v>
      </c>
      <c r="S1106">
        <v>171000</v>
      </c>
      <c r="T1106">
        <v>0</v>
      </c>
      <c r="U1106">
        <v>0</v>
      </c>
      <c r="V1106">
        <v>12</v>
      </c>
      <c r="W1106">
        <v>171000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</row>
    <row r="1107" spans="1:29">
      <c r="A1107">
        <v>1099</v>
      </c>
      <c r="B1107" t="s">
        <v>149</v>
      </c>
      <c r="C1107">
        <v>1331</v>
      </c>
      <c r="D1107" t="s">
        <v>366</v>
      </c>
      <c r="E1107" t="str">
        <f t="shared" si="17"/>
        <v>01331</v>
      </c>
      <c r="F1107" t="s">
        <v>28</v>
      </c>
      <c r="G1107" t="s">
        <v>164</v>
      </c>
      <c r="H1107" t="s">
        <v>151</v>
      </c>
      <c r="I1107" t="s">
        <v>5</v>
      </c>
      <c r="J1107" t="s">
        <v>152</v>
      </c>
      <c r="K1107" t="s">
        <v>153</v>
      </c>
      <c r="L1107">
        <v>251200618</v>
      </c>
      <c r="M1107" s="84">
        <v>46012</v>
      </c>
      <c r="N1107" s="84">
        <v>46012</v>
      </c>
      <c r="O1107" t="s">
        <v>279</v>
      </c>
      <c r="P1107" t="s">
        <v>280</v>
      </c>
      <c r="Q1107">
        <v>4500</v>
      </c>
      <c r="R1107">
        <v>100</v>
      </c>
      <c r="S1107">
        <v>450000</v>
      </c>
      <c r="T1107">
        <v>0</v>
      </c>
      <c r="U1107">
        <v>0</v>
      </c>
      <c r="V1107">
        <v>100</v>
      </c>
      <c r="W1107">
        <v>450000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</row>
    <row r="1108" spans="1:29">
      <c r="A1108">
        <v>1100</v>
      </c>
      <c r="B1108" t="s">
        <v>149</v>
      </c>
      <c r="C1108">
        <v>1331</v>
      </c>
      <c r="D1108" t="s">
        <v>366</v>
      </c>
      <c r="E1108" t="str">
        <f t="shared" si="17"/>
        <v>01331</v>
      </c>
      <c r="F1108" t="s">
        <v>28</v>
      </c>
      <c r="G1108" t="s">
        <v>164</v>
      </c>
      <c r="H1108" t="s">
        <v>151</v>
      </c>
      <c r="I1108" t="s">
        <v>5</v>
      </c>
      <c r="J1108" t="s">
        <v>152</v>
      </c>
      <c r="K1108" t="s">
        <v>153</v>
      </c>
      <c r="L1108">
        <v>251200619</v>
      </c>
      <c r="M1108" s="84">
        <v>46012</v>
      </c>
      <c r="N1108" s="84">
        <v>46012</v>
      </c>
      <c r="O1108" t="s">
        <v>260</v>
      </c>
      <c r="P1108" t="s">
        <v>261</v>
      </c>
      <c r="Q1108">
        <v>4500</v>
      </c>
      <c r="R1108">
        <v>12</v>
      </c>
      <c r="S1108">
        <v>54000</v>
      </c>
      <c r="T1108">
        <v>0</v>
      </c>
      <c r="U1108">
        <v>0</v>
      </c>
      <c r="V1108">
        <v>12</v>
      </c>
      <c r="W1108">
        <v>54000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</row>
    <row r="1109" spans="1:29">
      <c r="A1109">
        <v>1101</v>
      </c>
      <c r="B1109" t="s">
        <v>149</v>
      </c>
      <c r="C1109">
        <v>1108</v>
      </c>
      <c r="D1109" t="s">
        <v>107</v>
      </c>
      <c r="E1109" t="str">
        <f t="shared" si="17"/>
        <v>01108</v>
      </c>
      <c r="F1109" t="s">
        <v>103</v>
      </c>
      <c r="G1109" t="s">
        <v>167</v>
      </c>
      <c r="H1109" t="s">
        <v>151</v>
      </c>
      <c r="I1109" t="s">
        <v>4</v>
      </c>
      <c r="J1109" t="s">
        <v>152</v>
      </c>
      <c r="K1109" t="s">
        <v>153</v>
      </c>
      <c r="L1109">
        <v>251200620</v>
      </c>
      <c r="M1109" s="84">
        <v>46012</v>
      </c>
      <c r="N1109" s="84">
        <v>46012</v>
      </c>
      <c r="O1109" t="s">
        <v>160</v>
      </c>
      <c r="P1109" t="s">
        <v>161</v>
      </c>
      <c r="Q1109">
        <v>14250</v>
      </c>
      <c r="R1109">
        <v>50</v>
      </c>
      <c r="S1109">
        <v>712500</v>
      </c>
      <c r="T1109">
        <v>0</v>
      </c>
      <c r="U1109">
        <v>0</v>
      </c>
      <c r="V1109">
        <v>50</v>
      </c>
      <c r="W1109">
        <v>712500</v>
      </c>
      <c r="X1109">
        <v>7500</v>
      </c>
      <c r="Y1109">
        <v>10000</v>
      </c>
      <c r="Z1109">
        <v>0</v>
      </c>
      <c r="AA1109">
        <v>0</v>
      </c>
      <c r="AB1109">
        <v>0</v>
      </c>
      <c r="AC1109">
        <v>17500</v>
      </c>
    </row>
    <row r="1110" spans="1:29">
      <c r="A1110">
        <v>1102</v>
      </c>
      <c r="B1110" t="s">
        <v>149</v>
      </c>
      <c r="C1110">
        <v>1562</v>
      </c>
      <c r="D1110" t="s">
        <v>325</v>
      </c>
      <c r="E1110" t="str">
        <f t="shared" si="17"/>
        <v>01562</v>
      </c>
      <c r="F1110" t="s">
        <v>10</v>
      </c>
      <c r="G1110" t="s">
        <v>172</v>
      </c>
      <c r="H1110" t="s">
        <v>157</v>
      </c>
      <c r="I1110" t="s">
        <v>4</v>
      </c>
      <c r="J1110" t="s">
        <v>152</v>
      </c>
      <c r="K1110" t="s">
        <v>174</v>
      </c>
      <c r="L1110">
        <v>251200621</v>
      </c>
      <c r="M1110" s="84">
        <v>46012</v>
      </c>
      <c r="N1110" s="84">
        <v>46012</v>
      </c>
      <c r="O1110" t="s">
        <v>321</v>
      </c>
      <c r="P1110" t="s">
        <v>322</v>
      </c>
      <c r="Q1110">
        <v>5500</v>
      </c>
      <c r="R1110">
        <v>5</v>
      </c>
      <c r="S1110">
        <v>27500</v>
      </c>
      <c r="T1110">
        <v>0</v>
      </c>
      <c r="U1110">
        <v>0</v>
      </c>
      <c r="V1110">
        <v>5</v>
      </c>
      <c r="W1110">
        <v>27500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</row>
    <row r="1111" spans="1:29">
      <c r="A1111">
        <v>1103</v>
      </c>
      <c r="B1111" t="s">
        <v>149</v>
      </c>
      <c r="C1111">
        <v>1575</v>
      </c>
      <c r="D1111" t="s">
        <v>372</v>
      </c>
      <c r="E1111" t="str">
        <f t="shared" si="17"/>
        <v>01575</v>
      </c>
      <c r="F1111" t="s">
        <v>10</v>
      </c>
      <c r="G1111" t="s">
        <v>172</v>
      </c>
      <c r="H1111" t="s">
        <v>157</v>
      </c>
      <c r="I1111" t="s">
        <v>4</v>
      </c>
      <c r="J1111" t="s">
        <v>152</v>
      </c>
      <c r="K1111" t="s">
        <v>174</v>
      </c>
      <c r="L1111">
        <v>251200622</v>
      </c>
      <c r="M1111" s="84">
        <v>46012</v>
      </c>
      <c r="N1111" s="84">
        <v>46012</v>
      </c>
      <c r="O1111" t="s">
        <v>168</v>
      </c>
      <c r="P1111" t="s">
        <v>169</v>
      </c>
      <c r="Q1111">
        <v>5500</v>
      </c>
      <c r="R1111">
        <v>5</v>
      </c>
      <c r="S1111">
        <v>27500</v>
      </c>
      <c r="T1111">
        <v>0</v>
      </c>
      <c r="U1111">
        <v>0</v>
      </c>
      <c r="V1111">
        <v>5</v>
      </c>
      <c r="W1111">
        <v>27500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</row>
    <row r="1112" spans="1:29">
      <c r="A1112">
        <v>1104</v>
      </c>
      <c r="B1112" t="s">
        <v>149</v>
      </c>
      <c r="C1112">
        <v>1575</v>
      </c>
      <c r="D1112" t="s">
        <v>372</v>
      </c>
      <c r="E1112" t="str">
        <f t="shared" si="17"/>
        <v>01575</v>
      </c>
      <c r="F1112" t="s">
        <v>10</v>
      </c>
      <c r="G1112" t="s">
        <v>172</v>
      </c>
      <c r="H1112" t="s">
        <v>157</v>
      </c>
      <c r="I1112" t="s">
        <v>4</v>
      </c>
      <c r="J1112" t="s">
        <v>152</v>
      </c>
      <c r="K1112" t="s">
        <v>174</v>
      </c>
      <c r="L1112">
        <v>251200622</v>
      </c>
      <c r="M1112" s="84">
        <v>46012</v>
      </c>
      <c r="N1112" s="84">
        <v>46012</v>
      </c>
      <c r="O1112" t="s">
        <v>262</v>
      </c>
      <c r="P1112" t="s">
        <v>263</v>
      </c>
      <c r="Q1112">
        <v>5500</v>
      </c>
      <c r="R1112">
        <v>1</v>
      </c>
      <c r="S1112">
        <v>5500</v>
      </c>
      <c r="T1112">
        <v>0</v>
      </c>
      <c r="U1112">
        <v>0</v>
      </c>
      <c r="V1112">
        <v>1</v>
      </c>
      <c r="W1112">
        <v>5500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</row>
    <row r="1113" spans="1:29">
      <c r="A1113">
        <v>1105</v>
      </c>
      <c r="B1113" t="s">
        <v>149</v>
      </c>
      <c r="C1113">
        <v>1438</v>
      </c>
      <c r="D1113" t="s">
        <v>320</v>
      </c>
      <c r="E1113" t="str">
        <f t="shared" si="17"/>
        <v>01438</v>
      </c>
      <c r="F1113" t="s">
        <v>171</v>
      </c>
      <c r="G1113" t="s">
        <v>172</v>
      </c>
      <c r="H1113" t="s">
        <v>157</v>
      </c>
      <c r="I1113" t="s">
        <v>4</v>
      </c>
      <c r="J1113" t="s">
        <v>152</v>
      </c>
      <c r="K1113" t="s">
        <v>174</v>
      </c>
      <c r="L1113">
        <v>251200623</v>
      </c>
      <c r="M1113" s="84">
        <v>46012</v>
      </c>
      <c r="N1113" s="84">
        <v>46012</v>
      </c>
      <c r="O1113" t="s">
        <v>321</v>
      </c>
      <c r="P1113" t="s">
        <v>322</v>
      </c>
      <c r="Q1113">
        <v>5500</v>
      </c>
      <c r="R1113">
        <v>10</v>
      </c>
      <c r="S1113">
        <v>55000</v>
      </c>
      <c r="T1113">
        <v>0</v>
      </c>
      <c r="U1113">
        <v>0</v>
      </c>
      <c r="V1113">
        <v>10</v>
      </c>
      <c r="W1113">
        <v>55000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</row>
    <row r="1114" spans="1:29">
      <c r="A1114">
        <v>1106</v>
      </c>
      <c r="B1114" t="s">
        <v>149</v>
      </c>
      <c r="C1114">
        <v>1315</v>
      </c>
      <c r="D1114" t="s">
        <v>392</v>
      </c>
      <c r="E1114" t="str">
        <f t="shared" si="17"/>
        <v>01315</v>
      </c>
      <c r="F1114" t="s">
        <v>86</v>
      </c>
      <c r="G1114" t="s">
        <v>156</v>
      </c>
      <c r="H1114" t="s">
        <v>157</v>
      </c>
      <c r="I1114" t="s">
        <v>4</v>
      </c>
      <c r="J1114" t="s">
        <v>152</v>
      </c>
      <c r="K1114" t="s">
        <v>159</v>
      </c>
      <c r="L1114">
        <v>251200624</v>
      </c>
      <c r="M1114" s="84">
        <v>46012</v>
      </c>
      <c r="N1114" s="84">
        <v>46012</v>
      </c>
      <c r="O1114" t="s">
        <v>294</v>
      </c>
      <c r="P1114" t="s">
        <v>295</v>
      </c>
      <c r="Q1114">
        <v>5500</v>
      </c>
      <c r="R1114">
        <v>10</v>
      </c>
      <c r="S1114">
        <v>55000</v>
      </c>
      <c r="T1114">
        <v>0</v>
      </c>
      <c r="U1114">
        <v>0</v>
      </c>
      <c r="V1114">
        <v>10</v>
      </c>
      <c r="W1114">
        <v>55000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</row>
    <row r="1115" spans="1:29">
      <c r="A1115">
        <v>1107</v>
      </c>
      <c r="B1115" t="s">
        <v>149</v>
      </c>
      <c r="C1115">
        <v>1484</v>
      </c>
      <c r="D1115" t="s">
        <v>331</v>
      </c>
      <c r="E1115" t="str">
        <f t="shared" si="17"/>
        <v>01484</v>
      </c>
      <c r="F1115" t="s">
        <v>71</v>
      </c>
      <c r="G1115" t="s">
        <v>305</v>
      </c>
      <c r="H1115" t="s">
        <v>157</v>
      </c>
      <c r="I1115" t="s">
        <v>4</v>
      </c>
      <c r="J1115" t="s">
        <v>152</v>
      </c>
      <c r="K1115" t="s">
        <v>174</v>
      </c>
      <c r="L1115">
        <v>251200625</v>
      </c>
      <c r="M1115" s="84">
        <v>46012</v>
      </c>
      <c r="N1115" s="84">
        <v>46012</v>
      </c>
      <c r="O1115" t="s">
        <v>243</v>
      </c>
      <c r="P1115" t="s">
        <v>244</v>
      </c>
      <c r="Q1115">
        <v>5700</v>
      </c>
      <c r="R1115">
        <v>2</v>
      </c>
      <c r="S1115">
        <v>11400</v>
      </c>
      <c r="T1115">
        <v>0</v>
      </c>
      <c r="U1115">
        <v>0</v>
      </c>
      <c r="V1115">
        <v>2</v>
      </c>
      <c r="W1115">
        <v>11400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</row>
    <row r="1116" spans="1:29">
      <c r="A1116">
        <v>1108</v>
      </c>
      <c r="B1116" t="s">
        <v>149</v>
      </c>
      <c r="C1116">
        <v>1435</v>
      </c>
      <c r="D1116" t="s">
        <v>72</v>
      </c>
      <c r="E1116" t="str">
        <f t="shared" si="17"/>
        <v>01435</v>
      </c>
      <c r="F1116" t="s">
        <v>71</v>
      </c>
      <c r="G1116" t="s">
        <v>305</v>
      </c>
      <c r="H1116" t="s">
        <v>157</v>
      </c>
      <c r="I1116" t="s">
        <v>4</v>
      </c>
      <c r="J1116" t="s">
        <v>152</v>
      </c>
      <c r="K1116" t="s">
        <v>174</v>
      </c>
      <c r="L1116">
        <v>251200626</v>
      </c>
      <c r="M1116" s="84">
        <v>46012</v>
      </c>
      <c r="N1116" s="84">
        <v>46012</v>
      </c>
      <c r="O1116" t="s">
        <v>290</v>
      </c>
      <c r="P1116" t="s">
        <v>291</v>
      </c>
      <c r="Q1116">
        <v>14250</v>
      </c>
      <c r="R1116">
        <v>10</v>
      </c>
      <c r="S1116">
        <v>142500</v>
      </c>
      <c r="T1116">
        <v>0</v>
      </c>
      <c r="U1116">
        <v>0</v>
      </c>
      <c r="V1116">
        <v>10</v>
      </c>
      <c r="W1116">
        <v>142500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</row>
    <row r="1117" spans="1:29">
      <c r="A1117">
        <v>1109</v>
      </c>
      <c r="B1117" t="s">
        <v>149</v>
      </c>
      <c r="C1117">
        <v>1520</v>
      </c>
      <c r="D1117" t="s">
        <v>333</v>
      </c>
      <c r="E1117" t="str">
        <f t="shared" si="17"/>
        <v>01520</v>
      </c>
      <c r="F1117" t="s">
        <v>38</v>
      </c>
      <c r="G1117" t="s">
        <v>202</v>
      </c>
      <c r="H1117" t="s">
        <v>157</v>
      </c>
      <c r="I1117" t="s">
        <v>4</v>
      </c>
      <c r="J1117" t="s">
        <v>152</v>
      </c>
      <c r="K1117" t="s">
        <v>203</v>
      </c>
      <c r="L1117">
        <v>251200627</v>
      </c>
      <c r="M1117" s="84">
        <v>46012</v>
      </c>
      <c r="N1117" s="84">
        <v>46012</v>
      </c>
      <c r="O1117" t="s">
        <v>290</v>
      </c>
      <c r="P1117" t="s">
        <v>291</v>
      </c>
      <c r="Q1117">
        <v>5500</v>
      </c>
      <c r="R1117">
        <v>10</v>
      </c>
      <c r="S1117">
        <v>55000</v>
      </c>
      <c r="T1117">
        <v>0</v>
      </c>
      <c r="U1117">
        <v>0</v>
      </c>
      <c r="V1117">
        <v>10</v>
      </c>
      <c r="W1117">
        <v>55000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</row>
    <row r="1118" spans="1:29">
      <c r="A1118">
        <v>1110</v>
      </c>
      <c r="B1118" t="s">
        <v>149</v>
      </c>
      <c r="C1118">
        <v>1520</v>
      </c>
      <c r="D1118" t="s">
        <v>333</v>
      </c>
      <c r="E1118" t="str">
        <f t="shared" si="17"/>
        <v>01520</v>
      </c>
      <c r="F1118" t="s">
        <v>38</v>
      </c>
      <c r="G1118" t="s">
        <v>202</v>
      </c>
      <c r="H1118" t="s">
        <v>157</v>
      </c>
      <c r="I1118" t="s">
        <v>4</v>
      </c>
      <c r="J1118" t="s">
        <v>152</v>
      </c>
      <c r="K1118" t="s">
        <v>203</v>
      </c>
      <c r="L1118">
        <v>251200627</v>
      </c>
      <c r="M1118" s="84">
        <v>46012</v>
      </c>
      <c r="N1118" s="84">
        <v>46012</v>
      </c>
      <c r="O1118" t="s">
        <v>177</v>
      </c>
      <c r="P1118" t="s">
        <v>178</v>
      </c>
      <c r="Q1118">
        <v>5500</v>
      </c>
      <c r="R1118">
        <v>10</v>
      </c>
      <c r="S1118">
        <v>55000</v>
      </c>
      <c r="T1118">
        <v>0</v>
      </c>
      <c r="U1118">
        <v>0</v>
      </c>
      <c r="V1118">
        <v>10</v>
      </c>
      <c r="W1118">
        <v>55000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</row>
    <row r="1119" spans="1:29">
      <c r="A1119">
        <v>1111</v>
      </c>
      <c r="B1119" t="s">
        <v>149</v>
      </c>
      <c r="C1119">
        <v>496</v>
      </c>
      <c r="D1119" t="s">
        <v>8</v>
      </c>
      <c r="E1119" t="str">
        <f t="shared" si="17"/>
        <v>00496</v>
      </c>
      <c r="F1119" t="s">
        <v>7</v>
      </c>
      <c r="G1119" t="s">
        <v>156</v>
      </c>
      <c r="H1119" t="s">
        <v>157</v>
      </c>
      <c r="I1119" t="s">
        <v>5</v>
      </c>
      <c r="J1119" t="s">
        <v>152</v>
      </c>
      <c r="K1119" t="s">
        <v>159</v>
      </c>
      <c r="L1119">
        <v>251200628</v>
      </c>
      <c r="M1119" s="84">
        <v>46012</v>
      </c>
      <c r="N1119" s="84">
        <v>46012</v>
      </c>
      <c r="O1119" t="s">
        <v>191</v>
      </c>
      <c r="P1119" t="s">
        <v>192</v>
      </c>
      <c r="Q1119">
        <v>11700</v>
      </c>
      <c r="R1119">
        <v>20</v>
      </c>
      <c r="S1119">
        <v>234000</v>
      </c>
      <c r="T1119">
        <v>0</v>
      </c>
      <c r="U1119">
        <v>0</v>
      </c>
      <c r="V1119">
        <v>20</v>
      </c>
      <c r="W1119">
        <v>234000</v>
      </c>
      <c r="X1119">
        <v>3000</v>
      </c>
      <c r="Y1119">
        <v>3000</v>
      </c>
      <c r="Z1119">
        <v>0</v>
      </c>
      <c r="AA1119">
        <v>0</v>
      </c>
      <c r="AB1119">
        <v>0</v>
      </c>
      <c r="AC1119">
        <v>6000</v>
      </c>
    </row>
    <row r="1120" spans="1:29">
      <c r="A1120">
        <v>1112</v>
      </c>
      <c r="B1120" t="s">
        <v>149</v>
      </c>
      <c r="C1120">
        <v>1468</v>
      </c>
      <c r="D1120" t="s">
        <v>342</v>
      </c>
      <c r="E1120" t="str">
        <f t="shared" si="17"/>
        <v>01468</v>
      </c>
      <c r="F1120" t="s">
        <v>7</v>
      </c>
      <c r="G1120" t="s">
        <v>156</v>
      </c>
      <c r="H1120" t="s">
        <v>157</v>
      </c>
      <c r="I1120" t="s">
        <v>5</v>
      </c>
      <c r="J1120" t="s">
        <v>152</v>
      </c>
      <c r="K1120" t="s">
        <v>159</v>
      </c>
      <c r="L1120">
        <v>251200629</v>
      </c>
      <c r="M1120" s="84">
        <v>46012</v>
      </c>
      <c r="N1120" s="84">
        <v>46012</v>
      </c>
      <c r="O1120" t="s">
        <v>397</v>
      </c>
      <c r="P1120" t="s">
        <v>398</v>
      </c>
      <c r="Q1120">
        <v>3000</v>
      </c>
      <c r="R1120">
        <v>5</v>
      </c>
      <c r="S1120">
        <v>15000</v>
      </c>
      <c r="T1120">
        <v>0</v>
      </c>
      <c r="U1120">
        <v>0</v>
      </c>
      <c r="V1120">
        <v>5</v>
      </c>
      <c r="W1120">
        <v>15000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</row>
    <row r="1121" spans="1:29">
      <c r="A1121">
        <v>1113</v>
      </c>
      <c r="B1121" t="s">
        <v>149</v>
      </c>
      <c r="C1121">
        <v>1468</v>
      </c>
      <c r="D1121" t="s">
        <v>342</v>
      </c>
      <c r="E1121" t="str">
        <f t="shared" si="17"/>
        <v>01468</v>
      </c>
      <c r="F1121" t="s">
        <v>7</v>
      </c>
      <c r="G1121" t="s">
        <v>156</v>
      </c>
      <c r="H1121" t="s">
        <v>157</v>
      </c>
      <c r="I1121" t="s">
        <v>5</v>
      </c>
      <c r="J1121" t="s">
        <v>152</v>
      </c>
      <c r="K1121" t="s">
        <v>159</v>
      </c>
      <c r="L1121">
        <v>251200629</v>
      </c>
      <c r="M1121" s="84">
        <v>46012</v>
      </c>
      <c r="N1121" s="84">
        <v>46012</v>
      </c>
      <c r="O1121" t="s">
        <v>269</v>
      </c>
      <c r="P1121" t="s">
        <v>270</v>
      </c>
      <c r="Q1121">
        <v>3000</v>
      </c>
      <c r="R1121">
        <v>20</v>
      </c>
      <c r="S1121">
        <v>60000</v>
      </c>
      <c r="T1121">
        <v>0</v>
      </c>
      <c r="U1121">
        <v>0</v>
      </c>
      <c r="V1121">
        <v>20</v>
      </c>
      <c r="W1121">
        <v>60000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</row>
    <row r="1122" spans="1:29">
      <c r="A1122">
        <v>1114</v>
      </c>
      <c r="B1122" t="s">
        <v>149</v>
      </c>
      <c r="C1122">
        <v>1566</v>
      </c>
      <c r="D1122" t="s">
        <v>376</v>
      </c>
      <c r="E1122" t="str">
        <f t="shared" si="17"/>
        <v>01566</v>
      </c>
      <c r="F1122" t="s">
        <v>91</v>
      </c>
      <c r="G1122" t="s">
        <v>202</v>
      </c>
      <c r="H1122" t="s">
        <v>157</v>
      </c>
      <c r="I1122" t="s">
        <v>4</v>
      </c>
      <c r="J1122" t="s">
        <v>152</v>
      </c>
      <c r="K1122" t="s">
        <v>159</v>
      </c>
      <c r="L1122">
        <v>251200630</v>
      </c>
      <c r="M1122" s="84">
        <v>46012</v>
      </c>
      <c r="N1122" s="84">
        <v>46012</v>
      </c>
      <c r="O1122" t="s">
        <v>256</v>
      </c>
      <c r="P1122" t="s">
        <v>257</v>
      </c>
      <c r="Q1122">
        <v>5500</v>
      </c>
      <c r="R1122">
        <v>10</v>
      </c>
      <c r="S1122">
        <v>55000</v>
      </c>
      <c r="T1122">
        <v>0</v>
      </c>
      <c r="U1122">
        <v>0</v>
      </c>
      <c r="V1122">
        <v>10</v>
      </c>
      <c r="W1122">
        <v>55000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</row>
    <row r="1123" spans="1:29">
      <c r="A1123">
        <v>1115</v>
      </c>
      <c r="B1123" t="s">
        <v>149</v>
      </c>
      <c r="C1123">
        <v>1566</v>
      </c>
      <c r="D1123" t="s">
        <v>376</v>
      </c>
      <c r="E1123" t="str">
        <f t="shared" si="17"/>
        <v>01566</v>
      </c>
      <c r="F1123" t="s">
        <v>91</v>
      </c>
      <c r="G1123" t="s">
        <v>202</v>
      </c>
      <c r="H1123" t="s">
        <v>157</v>
      </c>
      <c r="I1123" t="s">
        <v>4</v>
      </c>
      <c r="J1123" t="s">
        <v>152</v>
      </c>
      <c r="K1123" t="s">
        <v>159</v>
      </c>
      <c r="L1123">
        <v>251200630</v>
      </c>
      <c r="M1123" s="84">
        <v>46012</v>
      </c>
      <c r="N1123" s="84">
        <v>46012</v>
      </c>
      <c r="O1123" t="s">
        <v>248</v>
      </c>
      <c r="P1123" t="s">
        <v>249</v>
      </c>
      <c r="Q1123">
        <v>5500</v>
      </c>
      <c r="R1123">
        <v>30</v>
      </c>
      <c r="S1123">
        <v>165000</v>
      </c>
      <c r="T1123">
        <v>0</v>
      </c>
      <c r="U1123">
        <v>0</v>
      </c>
      <c r="V1123">
        <v>30</v>
      </c>
      <c r="W1123">
        <v>165000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</row>
    <row r="1124" spans="1:29">
      <c r="A1124">
        <v>1116</v>
      </c>
      <c r="B1124" t="s">
        <v>149</v>
      </c>
      <c r="C1124">
        <v>1563</v>
      </c>
      <c r="D1124" t="s">
        <v>348</v>
      </c>
      <c r="E1124" t="str">
        <f t="shared" si="17"/>
        <v>01563</v>
      </c>
      <c r="F1124" t="s">
        <v>91</v>
      </c>
      <c r="G1124" t="s">
        <v>202</v>
      </c>
      <c r="H1124" t="s">
        <v>157</v>
      </c>
      <c r="I1124" t="s">
        <v>4</v>
      </c>
      <c r="J1124" t="s">
        <v>152</v>
      </c>
      <c r="K1124" t="s">
        <v>159</v>
      </c>
      <c r="L1124">
        <v>251200631</v>
      </c>
      <c r="M1124" s="84">
        <v>46012</v>
      </c>
      <c r="N1124" s="84">
        <v>46012</v>
      </c>
      <c r="O1124" t="s">
        <v>223</v>
      </c>
      <c r="P1124" t="s">
        <v>224</v>
      </c>
      <c r="Q1124">
        <v>5500</v>
      </c>
      <c r="R1124">
        <v>10</v>
      </c>
      <c r="S1124">
        <v>55000</v>
      </c>
      <c r="T1124">
        <v>0</v>
      </c>
      <c r="U1124">
        <v>0</v>
      </c>
      <c r="V1124">
        <v>10</v>
      </c>
      <c r="W1124">
        <v>55000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</row>
    <row r="1125" spans="1:29">
      <c r="A1125">
        <v>1117</v>
      </c>
      <c r="B1125" t="s">
        <v>149</v>
      </c>
      <c r="C1125">
        <v>1300</v>
      </c>
      <c r="D1125" t="s">
        <v>335</v>
      </c>
      <c r="E1125" t="str">
        <f t="shared" si="17"/>
        <v>01300</v>
      </c>
      <c r="F1125" t="s">
        <v>83</v>
      </c>
      <c r="G1125" t="s">
        <v>164</v>
      </c>
      <c r="H1125" t="s">
        <v>151</v>
      </c>
      <c r="I1125" t="s">
        <v>5</v>
      </c>
      <c r="J1125" t="s">
        <v>152</v>
      </c>
      <c r="K1125" t="s">
        <v>153</v>
      </c>
      <c r="L1125">
        <v>251200632</v>
      </c>
      <c r="M1125" s="84">
        <v>46012</v>
      </c>
      <c r="N1125" s="84">
        <v>46012</v>
      </c>
      <c r="O1125" t="s">
        <v>191</v>
      </c>
      <c r="P1125" t="s">
        <v>192</v>
      </c>
      <c r="Q1125">
        <v>4500</v>
      </c>
      <c r="R1125">
        <v>16</v>
      </c>
      <c r="S1125">
        <v>72000</v>
      </c>
      <c r="T1125">
        <v>0</v>
      </c>
      <c r="U1125">
        <v>0</v>
      </c>
      <c r="V1125">
        <v>16</v>
      </c>
      <c r="W1125">
        <v>72000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</row>
    <row r="1126" spans="1:29">
      <c r="A1126">
        <v>1118</v>
      </c>
      <c r="B1126" t="s">
        <v>149</v>
      </c>
      <c r="C1126">
        <v>1553</v>
      </c>
      <c r="D1126" t="s">
        <v>317</v>
      </c>
      <c r="E1126" t="str">
        <f t="shared" si="17"/>
        <v>01553</v>
      </c>
      <c r="F1126" t="s">
        <v>43</v>
      </c>
      <c r="G1126" t="s">
        <v>150</v>
      </c>
      <c r="H1126" t="s">
        <v>151</v>
      </c>
      <c r="I1126" t="s">
        <v>4</v>
      </c>
      <c r="J1126" t="s">
        <v>152</v>
      </c>
      <c r="K1126" t="s">
        <v>153</v>
      </c>
      <c r="L1126">
        <v>251200641</v>
      </c>
      <c r="M1126" s="84">
        <v>46013</v>
      </c>
      <c r="N1126" s="84">
        <v>46013</v>
      </c>
      <c r="O1126" t="s">
        <v>219</v>
      </c>
      <c r="P1126" t="s">
        <v>220</v>
      </c>
      <c r="Q1126">
        <v>5500</v>
      </c>
      <c r="R1126">
        <v>20</v>
      </c>
      <c r="S1126">
        <v>110000</v>
      </c>
      <c r="T1126">
        <v>0</v>
      </c>
      <c r="U1126">
        <v>0</v>
      </c>
      <c r="V1126">
        <v>20</v>
      </c>
      <c r="W1126">
        <v>110000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</row>
    <row r="1127" spans="1:29">
      <c r="A1127">
        <v>1119</v>
      </c>
      <c r="B1127" t="s">
        <v>149</v>
      </c>
      <c r="C1127">
        <v>398</v>
      </c>
      <c r="D1127" t="s">
        <v>105</v>
      </c>
      <c r="E1127" t="str">
        <f t="shared" si="17"/>
        <v>00398</v>
      </c>
      <c r="F1127" t="s">
        <v>103</v>
      </c>
      <c r="G1127" t="s">
        <v>167</v>
      </c>
      <c r="H1127" t="s">
        <v>151</v>
      </c>
      <c r="I1127" t="s">
        <v>4</v>
      </c>
      <c r="J1127" t="s">
        <v>152</v>
      </c>
      <c r="K1127" t="s">
        <v>153</v>
      </c>
      <c r="L1127">
        <v>251200642</v>
      </c>
      <c r="M1127" s="84">
        <v>46013</v>
      </c>
      <c r="N1127" s="84">
        <v>46013</v>
      </c>
      <c r="O1127" t="s">
        <v>160</v>
      </c>
      <c r="P1127" t="s">
        <v>161</v>
      </c>
      <c r="Q1127">
        <v>14250</v>
      </c>
      <c r="R1127">
        <v>150</v>
      </c>
      <c r="S1127">
        <v>2137500</v>
      </c>
      <c r="T1127">
        <v>0</v>
      </c>
      <c r="U1127">
        <v>0</v>
      </c>
      <c r="V1127">
        <v>150</v>
      </c>
      <c r="W1127">
        <v>2137500</v>
      </c>
      <c r="X1127">
        <v>22500</v>
      </c>
      <c r="Y1127">
        <v>30000</v>
      </c>
      <c r="Z1127">
        <v>0</v>
      </c>
      <c r="AA1127">
        <v>0</v>
      </c>
      <c r="AB1127">
        <v>0</v>
      </c>
      <c r="AC1127">
        <v>52500</v>
      </c>
    </row>
    <row r="1128" spans="1:29">
      <c r="A1128">
        <v>1120</v>
      </c>
      <c r="B1128" t="s">
        <v>149</v>
      </c>
      <c r="C1128">
        <v>398</v>
      </c>
      <c r="D1128" t="s">
        <v>105</v>
      </c>
      <c r="E1128" t="str">
        <f t="shared" si="17"/>
        <v>00398</v>
      </c>
      <c r="F1128" t="s">
        <v>103</v>
      </c>
      <c r="G1128" t="s">
        <v>167</v>
      </c>
      <c r="H1128" t="s">
        <v>151</v>
      </c>
      <c r="I1128" t="s">
        <v>4</v>
      </c>
      <c r="J1128" t="s">
        <v>152</v>
      </c>
      <c r="K1128" t="s">
        <v>153</v>
      </c>
      <c r="L1128">
        <v>251200642</v>
      </c>
      <c r="M1128" s="84">
        <v>46013</v>
      </c>
      <c r="N1128" s="84">
        <v>46013</v>
      </c>
      <c r="O1128" t="s">
        <v>200</v>
      </c>
      <c r="P1128" t="s">
        <v>201</v>
      </c>
      <c r="Q1128">
        <v>14250</v>
      </c>
      <c r="R1128">
        <v>20</v>
      </c>
      <c r="S1128">
        <v>285000</v>
      </c>
      <c r="T1128">
        <v>0</v>
      </c>
      <c r="U1128">
        <v>0</v>
      </c>
      <c r="V1128">
        <v>20</v>
      </c>
      <c r="W1128">
        <v>285000</v>
      </c>
      <c r="X1128">
        <v>3000</v>
      </c>
      <c r="Y1128">
        <v>4000</v>
      </c>
      <c r="Z1128">
        <v>0</v>
      </c>
      <c r="AA1128">
        <v>0</v>
      </c>
      <c r="AB1128">
        <v>0</v>
      </c>
      <c r="AC1128">
        <v>7000</v>
      </c>
    </row>
    <row r="1129" spans="1:29">
      <c r="A1129">
        <v>1121</v>
      </c>
      <c r="B1129" t="s">
        <v>149</v>
      </c>
      <c r="C1129">
        <v>398</v>
      </c>
      <c r="D1129" t="s">
        <v>105</v>
      </c>
      <c r="E1129" t="str">
        <f t="shared" si="17"/>
        <v>00398</v>
      </c>
      <c r="F1129" t="s">
        <v>103</v>
      </c>
      <c r="G1129" t="s">
        <v>167</v>
      </c>
      <c r="H1129" t="s">
        <v>151</v>
      </c>
      <c r="I1129" t="s">
        <v>5</v>
      </c>
      <c r="J1129" t="s">
        <v>152</v>
      </c>
      <c r="K1129" t="s">
        <v>153</v>
      </c>
      <c r="L1129">
        <v>251200642</v>
      </c>
      <c r="M1129" s="84">
        <v>46013</v>
      </c>
      <c r="N1129" s="84">
        <v>46013</v>
      </c>
      <c r="O1129" t="s">
        <v>191</v>
      </c>
      <c r="P1129" t="s">
        <v>192</v>
      </c>
      <c r="Q1129">
        <v>11700</v>
      </c>
      <c r="R1129">
        <v>40</v>
      </c>
      <c r="S1129">
        <v>468000</v>
      </c>
      <c r="T1129">
        <v>0</v>
      </c>
      <c r="U1129">
        <v>0</v>
      </c>
      <c r="V1129">
        <v>40</v>
      </c>
      <c r="W1129">
        <v>468000</v>
      </c>
      <c r="X1129">
        <v>6000</v>
      </c>
      <c r="Y1129">
        <v>6000</v>
      </c>
      <c r="Z1129">
        <v>0</v>
      </c>
      <c r="AA1129">
        <v>0</v>
      </c>
      <c r="AB1129">
        <v>0</v>
      </c>
      <c r="AC1129">
        <v>12000</v>
      </c>
    </row>
    <row r="1130" spans="1:29">
      <c r="A1130">
        <v>1122</v>
      </c>
      <c r="B1130" t="s">
        <v>149</v>
      </c>
      <c r="C1130">
        <v>1298</v>
      </c>
      <c r="D1130" t="s">
        <v>389</v>
      </c>
      <c r="E1130" t="str">
        <f t="shared" si="17"/>
        <v>01298</v>
      </c>
      <c r="F1130" t="s">
        <v>83</v>
      </c>
      <c r="G1130" t="s">
        <v>164</v>
      </c>
      <c r="H1130" t="s">
        <v>151</v>
      </c>
      <c r="I1130" t="s">
        <v>5</v>
      </c>
      <c r="J1130" t="s">
        <v>152</v>
      </c>
      <c r="K1130" t="s">
        <v>153</v>
      </c>
      <c r="L1130">
        <v>251200643</v>
      </c>
      <c r="M1130" s="84">
        <v>46013</v>
      </c>
      <c r="N1130" s="84">
        <v>46013</v>
      </c>
      <c r="O1130" t="s">
        <v>253</v>
      </c>
      <c r="P1130" t="s">
        <v>254</v>
      </c>
      <c r="Q1130">
        <v>4500</v>
      </c>
      <c r="R1130">
        <v>12</v>
      </c>
      <c r="S1130">
        <v>54000</v>
      </c>
      <c r="T1130">
        <v>0</v>
      </c>
      <c r="U1130">
        <v>0</v>
      </c>
      <c r="V1130">
        <v>12</v>
      </c>
      <c r="W1130">
        <v>54000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</row>
    <row r="1131" spans="1:29">
      <c r="A1131">
        <v>1123</v>
      </c>
      <c r="B1131" t="s">
        <v>149</v>
      </c>
      <c r="C1131">
        <v>1298</v>
      </c>
      <c r="D1131" t="s">
        <v>389</v>
      </c>
      <c r="E1131" t="str">
        <f t="shared" si="17"/>
        <v>01298</v>
      </c>
      <c r="F1131" t="s">
        <v>83</v>
      </c>
      <c r="G1131" t="s">
        <v>164</v>
      </c>
      <c r="H1131" t="s">
        <v>151</v>
      </c>
      <c r="I1131" t="s">
        <v>4</v>
      </c>
      <c r="J1131" t="s">
        <v>152</v>
      </c>
      <c r="K1131" t="s">
        <v>153</v>
      </c>
      <c r="L1131">
        <v>251200643</v>
      </c>
      <c r="M1131" s="84">
        <v>46013</v>
      </c>
      <c r="N1131" s="84">
        <v>46013</v>
      </c>
      <c r="O1131" t="s">
        <v>162</v>
      </c>
      <c r="P1131" t="s">
        <v>163</v>
      </c>
      <c r="Q1131">
        <v>5500</v>
      </c>
      <c r="R1131">
        <v>15</v>
      </c>
      <c r="S1131">
        <v>82500</v>
      </c>
      <c r="T1131">
        <v>0</v>
      </c>
      <c r="U1131">
        <v>0</v>
      </c>
      <c r="V1131">
        <v>15</v>
      </c>
      <c r="W1131">
        <v>82500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</row>
    <row r="1132" spans="1:29">
      <c r="A1132">
        <v>1124</v>
      </c>
      <c r="B1132" t="s">
        <v>400</v>
      </c>
      <c r="C1132">
        <v>1603</v>
      </c>
      <c r="D1132" t="s">
        <v>401</v>
      </c>
      <c r="E1132" t="str">
        <f t="shared" si="17"/>
        <v>01603</v>
      </c>
      <c r="F1132" t="s">
        <v>91</v>
      </c>
      <c r="G1132" t="s">
        <v>202</v>
      </c>
      <c r="H1132" t="s">
        <v>157</v>
      </c>
      <c r="I1132" t="s">
        <v>4</v>
      </c>
      <c r="J1132" t="s">
        <v>152</v>
      </c>
      <c r="K1132" t="s">
        <v>159</v>
      </c>
      <c r="L1132">
        <v>251200644</v>
      </c>
      <c r="M1132" s="84">
        <v>46013</v>
      </c>
      <c r="N1132" s="84">
        <v>46013</v>
      </c>
      <c r="O1132" t="s">
        <v>402</v>
      </c>
      <c r="P1132" t="s">
        <v>403</v>
      </c>
      <c r="Q1132">
        <v>5500</v>
      </c>
      <c r="R1132">
        <v>2</v>
      </c>
      <c r="S1132">
        <v>11000</v>
      </c>
      <c r="T1132">
        <v>0</v>
      </c>
      <c r="U1132">
        <v>0</v>
      </c>
      <c r="V1132">
        <v>2</v>
      </c>
      <c r="W1132">
        <v>11000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</row>
    <row r="1133" spans="1:29">
      <c r="A1133">
        <v>1125</v>
      </c>
      <c r="B1133" t="s">
        <v>149</v>
      </c>
      <c r="C1133">
        <v>1569</v>
      </c>
      <c r="D1133" t="s">
        <v>329</v>
      </c>
      <c r="E1133" t="str">
        <f t="shared" si="17"/>
        <v>01569</v>
      </c>
      <c r="F1133" t="s">
        <v>10</v>
      </c>
      <c r="G1133" t="s">
        <v>172</v>
      </c>
      <c r="H1133" t="s">
        <v>157</v>
      </c>
      <c r="I1133" t="s">
        <v>4</v>
      </c>
      <c r="J1133" t="s">
        <v>152</v>
      </c>
      <c r="K1133" t="s">
        <v>174</v>
      </c>
      <c r="L1133">
        <v>251200645</v>
      </c>
      <c r="M1133" s="84">
        <v>46013</v>
      </c>
      <c r="N1133" s="84">
        <v>46013</v>
      </c>
      <c r="O1133" t="s">
        <v>206</v>
      </c>
      <c r="P1133" t="s">
        <v>207</v>
      </c>
      <c r="Q1133">
        <v>5500</v>
      </c>
      <c r="R1133">
        <v>50</v>
      </c>
      <c r="S1133">
        <v>275000</v>
      </c>
      <c r="T1133">
        <v>0</v>
      </c>
      <c r="U1133">
        <v>0</v>
      </c>
      <c r="V1133">
        <v>50</v>
      </c>
      <c r="W1133">
        <v>275000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</row>
    <row r="1134" spans="1:29">
      <c r="A1134">
        <v>1126</v>
      </c>
      <c r="B1134" t="s">
        <v>149</v>
      </c>
      <c r="C1134">
        <v>1438</v>
      </c>
      <c r="D1134" t="s">
        <v>320</v>
      </c>
      <c r="E1134" t="str">
        <f t="shared" si="17"/>
        <v>01438</v>
      </c>
      <c r="F1134" t="s">
        <v>171</v>
      </c>
      <c r="G1134" t="s">
        <v>172</v>
      </c>
      <c r="H1134" t="s">
        <v>157</v>
      </c>
      <c r="I1134" t="s">
        <v>4</v>
      </c>
      <c r="J1134" t="s">
        <v>152</v>
      </c>
      <c r="K1134" t="s">
        <v>174</v>
      </c>
      <c r="L1134">
        <v>251200646</v>
      </c>
      <c r="M1134" s="84">
        <v>46013</v>
      </c>
      <c r="N1134" s="84">
        <v>46013</v>
      </c>
      <c r="O1134" t="s">
        <v>321</v>
      </c>
      <c r="P1134" t="s">
        <v>322</v>
      </c>
      <c r="Q1134">
        <v>5500</v>
      </c>
      <c r="R1134">
        <v>20</v>
      </c>
      <c r="S1134">
        <v>110000</v>
      </c>
      <c r="T1134">
        <v>0</v>
      </c>
      <c r="U1134">
        <v>0</v>
      </c>
      <c r="V1134">
        <v>20</v>
      </c>
      <c r="W1134">
        <v>110000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</row>
    <row r="1135" spans="1:29">
      <c r="A1135">
        <v>1127</v>
      </c>
      <c r="B1135" t="s">
        <v>149</v>
      </c>
      <c r="C1135">
        <v>1534</v>
      </c>
      <c r="D1135" t="s">
        <v>371</v>
      </c>
      <c r="E1135" t="str">
        <f t="shared" si="17"/>
        <v>01534</v>
      </c>
      <c r="F1135" t="s">
        <v>65</v>
      </c>
      <c r="G1135" t="s">
        <v>208</v>
      </c>
      <c r="H1135" t="s">
        <v>157</v>
      </c>
      <c r="I1135" t="s">
        <v>4</v>
      </c>
      <c r="J1135" t="s">
        <v>152</v>
      </c>
      <c r="K1135" t="s">
        <v>174</v>
      </c>
      <c r="L1135">
        <v>251200647</v>
      </c>
      <c r="M1135" s="84">
        <v>46013</v>
      </c>
      <c r="N1135" s="84">
        <v>46013</v>
      </c>
      <c r="O1135" t="s">
        <v>221</v>
      </c>
      <c r="P1135" t="s">
        <v>222</v>
      </c>
      <c r="Q1135">
        <v>5500</v>
      </c>
      <c r="R1135">
        <v>5</v>
      </c>
      <c r="S1135">
        <v>27500</v>
      </c>
      <c r="T1135">
        <v>0</v>
      </c>
      <c r="U1135">
        <v>0</v>
      </c>
      <c r="V1135">
        <v>5</v>
      </c>
      <c r="W1135">
        <v>27500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</row>
    <row r="1136" spans="1:29">
      <c r="A1136">
        <v>1128</v>
      </c>
      <c r="B1136" t="s">
        <v>149</v>
      </c>
      <c r="C1136">
        <v>334</v>
      </c>
      <c r="D1136" t="s">
        <v>56</v>
      </c>
      <c r="E1136" t="str">
        <f t="shared" si="17"/>
        <v>00334</v>
      </c>
      <c r="F1136" t="s">
        <v>49</v>
      </c>
      <c r="G1136" t="s">
        <v>167</v>
      </c>
      <c r="H1136" t="s">
        <v>151</v>
      </c>
      <c r="I1136" t="s">
        <v>4</v>
      </c>
      <c r="J1136" t="s">
        <v>152</v>
      </c>
      <c r="K1136" t="s">
        <v>153</v>
      </c>
      <c r="L1136">
        <v>251200648</v>
      </c>
      <c r="M1136" s="84">
        <v>46013</v>
      </c>
      <c r="N1136" s="84">
        <v>46013</v>
      </c>
      <c r="O1136" t="s">
        <v>177</v>
      </c>
      <c r="P1136" t="s">
        <v>178</v>
      </c>
      <c r="Q1136">
        <v>14250</v>
      </c>
      <c r="R1136">
        <v>15</v>
      </c>
      <c r="S1136">
        <v>213750</v>
      </c>
      <c r="T1136">
        <v>0</v>
      </c>
      <c r="U1136">
        <v>0</v>
      </c>
      <c r="V1136">
        <v>15</v>
      </c>
      <c r="W1136">
        <v>213750</v>
      </c>
      <c r="X1136">
        <v>2250</v>
      </c>
      <c r="Y1136">
        <v>3000</v>
      </c>
      <c r="Z1136">
        <v>0</v>
      </c>
      <c r="AA1136">
        <v>0</v>
      </c>
      <c r="AB1136">
        <v>0</v>
      </c>
      <c r="AC1136">
        <v>5250</v>
      </c>
    </row>
    <row r="1137" spans="1:29">
      <c r="A1137">
        <v>1129</v>
      </c>
      <c r="B1137" t="s">
        <v>149</v>
      </c>
      <c r="C1137">
        <v>334</v>
      </c>
      <c r="D1137" t="s">
        <v>56</v>
      </c>
      <c r="E1137" t="str">
        <f t="shared" si="17"/>
        <v>00334</v>
      </c>
      <c r="F1137" t="s">
        <v>49</v>
      </c>
      <c r="G1137" t="s">
        <v>167</v>
      </c>
      <c r="H1137" t="s">
        <v>151</v>
      </c>
      <c r="I1137" t="s">
        <v>4</v>
      </c>
      <c r="J1137" t="s">
        <v>152</v>
      </c>
      <c r="K1137" t="s">
        <v>153</v>
      </c>
      <c r="L1137">
        <v>251200648</v>
      </c>
      <c r="M1137" s="84">
        <v>46013</v>
      </c>
      <c r="N1137" s="84">
        <v>46013</v>
      </c>
      <c r="O1137" t="s">
        <v>160</v>
      </c>
      <c r="P1137" t="s">
        <v>161</v>
      </c>
      <c r="Q1137">
        <v>14250</v>
      </c>
      <c r="R1137">
        <v>24</v>
      </c>
      <c r="S1137">
        <v>342000</v>
      </c>
      <c r="T1137">
        <v>0</v>
      </c>
      <c r="U1137">
        <v>0</v>
      </c>
      <c r="V1137">
        <v>24</v>
      </c>
      <c r="W1137">
        <v>342000</v>
      </c>
      <c r="X1137">
        <v>3600</v>
      </c>
      <c r="Y1137">
        <v>4800</v>
      </c>
      <c r="Z1137">
        <v>0</v>
      </c>
      <c r="AA1137">
        <v>0</v>
      </c>
      <c r="AB1137">
        <v>0</v>
      </c>
      <c r="AC1137">
        <v>8400</v>
      </c>
    </row>
    <row r="1138" spans="1:29">
      <c r="A1138">
        <v>1130</v>
      </c>
      <c r="B1138" t="s">
        <v>149</v>
      </c>
      <c r="C1138">
        <v>334</v>
      </c>
      <c r="D1138" t="s">
        <v>56</v>
      </c>
      <c r="E1138" t="str">
        <f t="shared" si="17"/>
        <v>00334</v>
      </c>
      <c r="F1138" t="s">
        <v>49</v>
      </c>
      <c r="G1138" t="s">
        <v>167</v>
      </c>
      <c r="H1138" t="s">
        <v>151</v>
      </c>
      <c r="I1138" t="s">
        <v>4</v>
      </c>
      <c r="J1138" t="s">
        <v>152</v>
      </c>
      <c r="K1138" t="s">
        <v>153</v>
      </c>
      <c r="L1138">
        <v>251200648</v>
      </c>
      <c r="M1138" s="84">
        <v>46013</v>
      </c>
      <c r="N1138" s="84">
        <v>46013</v>
      </c>
      <c r="O1138" t="s">
        <v>179</v>
      </c>
      <c r="P1138" t="s">
        <v>180</v>
      </c>
      <c r="Q1138">
        <v>14250</v>
      </c>
      <c r="R1138">
        <v>13</v>
      </c>
      <c r="S1138">
        <v>185250</v>
      </c>
      <c r="T1138">
        <v>0</v>
      </c>
      <c r="U1138">
        <v>0</v>
      </c>
      <c r="V1138">
        <v>13</v>
      </c>
      <c r="W1138">
        <v>185250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</row>
    <row r="1139" spans="1:29">
      <c r="A1139">
        <v>1131</v>
      </c>
      <c r="B1139" t="s">
        <v>149</v>
      </c>
      <c r="C1139">
        <v>1149</v>
      </c>
      <c r="D1139" t="s">
        <v>55</v>
      </c>
      <c r="E1139" t="str">
        <f t="shared" si="17"/>
        <v>01149</v>
      </c>
      <c r="F1139" t="s">
        <v>49</v>
      </c>
      <c r="G1139" t="s">
        <v>167</v>
      </c>
      <c r="H1139" t="s">
        <v>151</v>
      </c>
      <c r="I1139" t="s">
        <v>231</v>
      </c>
      <c r="J1139" t="s">
        <v>152</v>
      </c>
      <c r="K1139" t="s">
        <v>153</v>
      </c>
      <c r="L1139">
        <v>251200649</v>
      </c>
      <c r="M1139" s="84">
        <v>46013</v>
      </c>
      <c r="N1139" s="84">
        <v>46013</v>
      </c>
      <c r="O1139" t="s">
        <v>232</v>
      </c>
      <c r="P1139" t="s">
        <v>122</v>
      </c>
      <c r="Q1139">
        <v>6213</v>
      </c>
      <c r="R1139">
        <v>2</v>
      </c>
      <c r="S1139">
        <v>12426</v>
      </c>
      <c r="T1139">
        <v>0</v>
      </c>
      <c r="U1139">
        <v>0</v>
      </c>
      <c r="V1139">
        <v>2</v>
      </c>
      <c r="W1139">
        <v>12426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</row>
    <row r="1140" spans="1:29">
      <c r="A1140">
        <v>1132</v>
      </c>
      <c r="B1140" t="s">
        <v>149</v>
      </c>
      <c r="C1140">
        <v>1596</v>
      </c>
      <c r="D1140" t="s">
        <v>315</v>
      </c>
      <c r="E1140" t="str">
        <f t="shared" si="17"/>
        <v>01596</v>
      </c>
      <c r="F1140" t="s">
        <v>111</v>
      </c>
      <c r="G1140" t="s">
        <v>150</v>
      </c>
      <c r="H1140" t="s">
        <v>151</v>
      </c>
      <c r="I1140" t="s">
        <v>4</v>
      </c>
      <c r="J1140" t="s">
        <v>152</v>
      </c>
      <c r="K1140" t="s">
        <v>153</v>
      </c>
      <c r="L1140">
        <v>251200650</v>
      </c>
      <c r="M1140" s="84">
        <v>46013</v>
      </c>
      <c r="N1140" s="84">
        <v>46013</v>
      </c>
      <c r="O1140" t="s">
        <v>294</v>
      </c>
      <c r="P1140" t="s">
        <v>295</v>
      </c>
      <c r="Q1140">
        <v>5500</v>
      </c>
      <c r="R1140">
        <v>20</v>
      </c>
      <c r="S1140">
        <v>110000</v>
      </c>
      <c r="T1140">
        <v>0</v>
      </c>
      <c r="U1140">
        <v>0</v>
      </c>
      <c r="V1140">
        <v>20</v>
      </c>
      <c r="W1140">
        <v>110000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</row>
    <row r="1141" spans="1:29">
      <c r="A1141">
        <v>1133</v>
      </c>
      <c r="B1141" t="s">
        <v>149</v>
      </c>
      <c r="C1141">
        <v>1596</v>
      </c>
      <c r="D1141" t="s">
        <v>315</v>
      </c>
      <c r="E1141" t="str">
        <f t="shared" si="17"/>
        <v>01596</v>
      </c>
      <c r="F1141" t="s">
        <v>111</v>
      </c>
      <c r="G1141" t="s">
        <v>150</v>
      </c>
      <c r="H1141" t="s">
        <v>151</v>
      </c>
      <c r="I1141" t="s">
        <v>4</v>
      </c>
      <c r="J1141" t="s">
        <v>152</v>
      </c>
      <c r="K1141" t="s">
        <v>153</v>
      </c>
      <c r="L1141">
        <v>251200650</v>
      </c>
      <c r="M1141" s="84">
        <v>46013</v>
      </c>
      <c r="N1141" s="84">
        <v>46013</v>
      </c>
      <c r="O1141" t="s">
        <v>248</v>
      </c>
      <c r="P1141" t="s">
        <v>249</v>
      </c>
      <c r="Q1141">
        <v>5500</v>
      </c>
      <c r="R1141">
        <v>5</v>
      </c>
      <c r="S1141">
        <v>27500</v>
      </c>
      <c r="T1141">
        <v>0</v>
      </c>
      <c r="U1141">
        <v>0</v>
      </c>
      <c r="V1141">
        <v>5</v>
      </c>
      <c r="W1141">
        <v>27500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</row>
    <row r="1142" spans="1:29">
      <c r="A1142">
        <v>1134</v>
      </c>
      <c r="B1142" t="s">
        <v>149</v>
      </c>
      <c r="C1142">
        <v>1596</v>
      </c>
      <c r="D1142" t="s">
        <v>315</v>
      </c>
      <c r="E1142" t="str">
        <f t="shared" si="17"/>
        <v>01596</v>
      </c>
      <c r="F1142" t="s">
        <v>111</v>
      </c>
      <c r="G1142" t="s">
        <v>150</v>
      </c>
      <c r="H1142" t="s">
        <v>151</v>
      </c>
      <c r="I1142" t="s">
        <v>4</v>
      </c>
      <c r="J1142" t="s">
        <v>152</v>
      </c>
      <c r="K1142" t="s">
        <v>153</v>
      </c>
      <c r="L1142">
        <v>251200651</v>
      </c>
      <c r="M1142" s="84">
        <v>46013</v>
      </c>
      <c r="N1142" s="84">
        <v>46013</v>
      </c>
      <c r="O1142" t="s">
        <v>160</v>
      </c>
      <c r="P1142" t="s">
        <v>161</v>
      </c>
      <c r="Q1142">
        <v>5500</v>
      </c>
      <c r="R1142">
        <v>15</v>
      </c>
      <c r="S1142">
        <v>82500</v>
      </c>
      <c r="T1142">
        <v>0</v>
      </c>
      <c r="U1142">
        <v>0</v>
      </c>
      <c r="V1142">
        <v>15</v>
      </c>
      <c r="W1142">
        <v>82500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</row>
    <row r="1143" spans="1:29">
      <c r="A1143">
        <v>1135</v>
      </c>
      <c r="B1143" t="s">
        <v>149</v>
      </c>
      <c r="C1143">
        <v>1326</v>
      </c>
      <c r="D1143" t="s">
        <v>338</v>
      </c>
      <c r="E1143" t="str">
        <f t="shared" si="17"/>
        <v>01326</v>
      </c>
      <c r="F1143" t="s">
        <v>15</v>
      </c>
      <c r="G1143" t="s">
        <v>193</v>
      </c>
      <c r="H1143" t="s">
        <v>151</v>
      </c>
      <c r="I1143" t="s">
        <v>5</v>
      </c>
      <c r="J1143" t="s">
        <v>152</v>
      </c>
      <c r="K1143" t="s">
        <v>153</v>
      </c>
      <c r="L1143">
        <v>251200652</v>
      </c>
      <c r="M1143" s="84">
        <v>46013</v>
      </c>
      <c r="N1143" s="84">
        <v>46013</v>
      </c>
      <c r="O1143" t="s">
        <v>339</v>
      </c>
      <c r="P1143" t="s">
        <v>340</v>
      </c>
      <c r="Q1143">
        <v>4500</v>
      </c>
      <c r="R1143">
        <v>28</v>
      </c>
      <c r="S1143">
        <v>126000</v>
      </c>
      <c r="T1143">
        <v>0</v>
      </c>
      <c r="U1143">
        <v>0</v>
      </c>
      <c r="V1143">
        <v>28</v>
      </c>
      <c r="W1143">
        <v>126000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</row>
    <row r="1144" spans="1:29">
      <c r="A1144">
        <v>1136</v>
      </c>
      <c r="B1144" t="s">
        <v>149</v>
      </c>
      <c r="C1144">
        <v>1312</v>
      </c>
      <c r="D1144" t="s">
        <v>359</v>
      </c>
      <c r="E1144" t="str">
        <f t="shared" si="17"/>
        <v>01312</v>
      </c>
      <c r="F1144" t="s">
        <v>15</v>
      </c>
      <c r="G1144" t="s">
        <v>193</v>
      </c>
      <c r="H1144" t="s">
        <v>151</v>
      </c>
      <c r="I1144" t="s">
        <v>5</v>
      </c>
      <c r="J1144" t="s">
        <v>152</v>
      </c>
      <c r="K1144" t="s">
        <v>153</v>
      </c>
      <c r="L1144">
        <v>251200653</v>
      </c>
      <c r="M1144" s="84">
        <v>46013</v>
      </c>
      <c r="N1144" s="84">
        <v>46013</v>
      </c>
      <c r="O1144" t="s">
        <v>360</v>
      </c>
      <c r="P1144" t="s">
        <v>361</v>
      </c>
      <c r="Q1144">
        <v>4500</v>
      </c>
      <c r="R1144">
        <v>40</v>
      </c>
      <c r="S1144">
        <v>180000</v>
      </c>
      <c r="T1144">
        <v>0</v>
      </c>
      <c r="U1144">
        <v>0</v>
      </c>
      <c r="V1144">
        <v>40</v>
      </c>
      <c r="W1144">
        <v>180000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</row>
    <row r="1145" spans="1:29">
      <c r="A1145">
        <v>1137</v>
      </c>
      <c r="B1145" t="s">
        <v>149</v>
      </c>
      <c r="C1145">
        <v>1326</v>
      </c>
      <c r="D1145" t="s">
        <v>338</v>
      </c>
      <c r="E1145" t="str">
        <f t="shared" si="17"/>
        <v>01326</v>
      </c>
      <c r="F1145" t="s">
        <v>15</v>
      </c>
      <c r="G1145" t="s">
        <v>193</v>
      </c>
      <c r="H1145" t="s">
        <v>151</v>
      </c>
      <c r="I1145" t="s">
        <v>5</v>
      </c>
      <c r="J1145" t="s">
        <v>152</v>
      </c>
      <c r="K1145" t="s">
        <v>153</v>
      </c>
      <c r="L1145">
        <v>251200654</v>
      </c>
      <c r="M1145" s="84">
        <v>46013</v>
      </c>
      <c r="N1145" s="84">
        <v>46013</v>
      </c>
      <c r="O1145" t="s">
        <v>339</v>
      </c>
      <c r="P1145" t="s">
        <v>340</v>
      </c>
      <c r="Q1145">
        <v>4500</v>
      </c>
      <c r="R1145">
        <v>24</v>
      </c>
      <c r="S1145">
        <v>108000</v>
      </c>
      <c r="T1145">
        <v>0</v>
      </c>
      <c r="U1145">
        <v>0</v>
      </c>
      <c r="V1145">
        <v>24</v>
      </c>
      <c r="W1145">
        <v>108000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</row>
    <row r="1146" spans="1:29">
      <c r="A1146">
        <v>1138</v>
      </c>
      <c r="B1146" t="s">
        <v>149</v>
      </c>
      <c r="C1146">
        <v>1550</v>
      </c>
      <c r="D1146" t="s">
        <v>337</v>
      </c>
      <c r="E1146" t="str">
        <f t="shared" si="17"/>
        <v>01550</v>
      </c>
      <c r="F1146" t="s">
        <v>15</v>
      </c>
      <c r="G1146" t="s">
        <v>193</v>
      </c>
      <c r="H1146" t="s">
        <v>151</v>
      </c>
      <c r="I1146" t="s">
        <v>5</v>
      </c>
      <c r="J1146" t="s">
        <v>152</v>
      </c>
      <c r="K1146" t="s">
        <v>153</v>
      </c>
      <c r="L1146">
        <v>251200655</v>
      </c>
      <c r="M1146" s="84">
        <v>46013</v>
      </c>
      <c r="N1146" s="84">
        <v>46013</v>
      </c>
      <c r="O1146" t="s">
        <v>191</v>
      </c>
      <c r="P1146" t="s">
        <v>192</v>
      </c>
      <c r="Q1146">
        <v>4500</v>
      </c>
      <c r="R1146">
        <v>1</v>
      </c>
      <c r="S1146">
        <v>4500</v>
      </c>
      <c r="T1146">
        <v>0</v>
      </c>
      <c r="U1146">
        <v>0</v>
      </c>
      <c r="V1146">
        <v>1</v>
      </c>
      <c r="W1146">
        <v>4500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</row>
    <row r="1147" spans="1:29">
      <c r="A1147">
        <v>1139</v>
      </c>
      <c r="B1147" t="s">
        <v>149</v>
      </c>
      <c r="C1147">
        <v>1550</v>
      </c>
      <c r="D1147" t="s">
        <v>337</v>
      </c>
      <c r="E1147" t="str">
        <f t="shared" si="17"/>
        <v>01550</v>
      </c>
      <c r="F1147" t="s">
        <v>15</v>
      </c>
      <c r="G1147" t="s">
        <v>193</v>
      </c>
      <c r="H1147" t="s">
        <v>151</v>
      </c>
      <c r="I1147" t="s">
        <v>4</v>
      </c>
      <c r="J1147" t="s">
        <v>152</v>
      </c>
      <c r="K1147" t="s">
        <v>153</v>
      </c>
      <c r="L1147">
        <v>251200655</v>
      </c>
      <c r="M1147" s="84">
        <v>46013</v>
      </c>
      <c r="N1147" s="84">
        <v>46013</v>
      </c>
      <c r="O1147" t="s">
        <v>179</v>
      </c>
      <c r="P1147" t="s">
        <v>180</v>
      </c>
      <c r="Q1147">
        <v>5500</v>
      </c>
      <c r="R1147">
        <v>7</v>
      </c>
      <c r="S1147">
        <v>38500</v>
      </c>
      <c r="T1147">
        <v>0</v>
      </c>
      <c r="U1147">
        <v>0</v>
      </c>
      <c r="V1147">
        <v>7</v>
      </c>
      <c r="W1147">
        <v>38500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</row>
    <row r="1148" spans="1:29">
      <c r="A1148">
        <v>1140</v>
      </c>
      <c r="B1148" t="s">
        <v>149</v>
      </c>
      <c r="C1148">
        <v>1594</v>
      </c>
      <c r="D1148" t="s">
        <v>346</v>
      </c>
      <c r="E1148" t="str">
        <f t="shared" si="17"/>
        <v>01594</v>
      </c>
      <c r="F1148" t="s">
        <v>73</v>
      </c>
      <c r="G1148" t="s">
        <v>185</v>
      </c>
      <c r="H1148" t="s">
        <v>151</v>
      </c>
      <c r="I1148" t="s">
        <v>4</v>
      </c>
      <c r="J1148" t="s">
        <v>152</v>
      </c>
      <c r="K1148" t="s">
        <v>153</v>
      </c>
      <c r="L1148">
        <v>251200656</v>
      </c>
      <c r="M1148" s="84">
        <v>46013</v>
      </c>
      <c r="N1148" s="84">
        <v>46013</v>
      </c>
      <c r="O1148" t="s">
        <v>160</v>
      </c>
      <c r="P1148" t="s">
        <v>161</v>
      </c>
      <c r="Q1148">
        <v>5500</v>
      </c>
      <c r="R1148">
        <v>4</v>
      </c>
      <c r="S1148">
        <v>22000</v>
      </c>
      <c r="T1148">
        <v>0</v>
      </c>
      <c r="U1148">
        <v>0</v>
      </c>
      <c r="V1148">
        <v>4</v>
      </c>
      <c r="W1148">
        <v>22000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</row>
    <row r="1149" spans="1:29">
      <c r="A1149">
        <v>1141</v>
      </c>
      <c r="B1149" t="s">
        <v>149</v>
      </c>
      <c r="C1149">
        <v>1594</v>
      </c>
      <c r="D1149" t="s">
        <v>346</v>
      </c>
      <c r="E1149" t="str">
        <f t="shared" si="17"/>
        <v>01594</v>
      </c>
      <c r="F1149" t="s">
        <v>73</v>
      </c>
      <c r="G1149" t="s">
        <v>185</v>
      </c>
      <c r="H1149" t="s">
        <v>151</v>
      </c>
      <c r="I1149" t="s">
        <v>4</v>
      </c>
      <c r="J1149" t="s">
        <v>152</v>
      </c>
      <c r="K1149" t="s">
        <v>153</v>
      </c>
      <c r="L1149">
        <v>251200656</v>
      </c>
      <c r="M1149" s="84">
        <v>46013</v>
      </c>
      <c r="N1149" s="84">
        <v>46013</v>
      </c>
      <c r="O1149" t="s">
        <v>154</v>
      </c>
      <c r="P1149" t="s">
        <v>155</v>
      </c>
      <c r="Q1149">
        <v>5500</v>
      </c>
      <c r="R1149">
        <v>5</v>
      </c>
      <c r="S1149">
        <v>27500</v>
      </c>
      <c r="T1149">
        <v>0</v>
      </c>
      <c r="U1149">
        <v>0</v>
      </c>
      <c r="V1149">
        <v>5</v>
      </c>
      <c r="W1149">
        <v>27500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</row>
    <row r="1150" spans="1:29">
      <c r="A1150">
        <v>1142</v>
      </c>
      <c r="B1150" t="s">
        <v>149</v>
      </c>
      <c r="C1150">
        <v>1471</v>
      </c>
      <c r="D1150" t="s">
        <v>369</v>
      </c>
      <c r="E1150" t="str">
        <f t="shared" si="17"/>
        <v>01471</v>
      </c>
      <c r="F1150" t="s">
        <v>73</v>
      </c>
      <c r="G1150" t="s">
        <v>185</v>
      </c>
      <c r="H1150" t="s">
        <v>151</v>
      </c>
      <c r="I1150" t="s">
        <v>4</v>
      </c>
      <c r="J1150" t="s">
        <v>152</v>
      </c>
      <c r="K1150" t="s">
        <v>153</v>
      </c>
      <c r="L1150">
        <v>251200657</v>
      </c>
      <c r="M1150" s="84">
        <v>46013</v>
      </c>
      <c r="N1150" s="84">
        <v>46013</v>
      </c>
      <c r="O1150" t="s">
        <v>168</v>
      </c>
      <c r="P1150" t="s">
        <v>169</v>
      </c>
      <c r="Q1150">
        <v>5500</v>
      </c>
      <c r="R1150">
        <v>8</v>
      </c>
      <c r="S1150">
        <v>44000</v>
      </c>
      <c r="T1150">
        <v>0</v>
      </c>
      <c r="U1150">
        <v>0</v>
      </c>
      <c r="V1150">
        <v>8</v>
      </c>
      <c r="W1150">
        <v>44000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</row>
    <row r="1151" spans="1:29">
      <c r="A1151">
        <v>1143</v>
      </c>
      <c r="B1151" t="s">
        <v>149</v>
      </c>
      <c r="C1151">
        <v>1522</v>
      </c>
      <c r="D1151" t="s">
        <v>370</v>
      </c>
      <c r="E1151" t="str">
        <f t="shared" si="17"/>
        <v>01522</v>
      </c>
      <c r="F1151" t="s">
        <v>73</v>
      </c>
      <c r="G1151" t="s">
        <v>185</v>
      </c>
      <c r="H1151" t="s">
        <v>151</v>
      </c>
      <c r="I1151" t="s">
        <v>4</v>
      </c>
      <c r="J1151" t="s">
        <v>152</v>
      </c>
      <c r="K1151" t="s">
        <v>153</v>
      </c>
      <c r="L1151">
        <v>251200658</v>
      </c>
      <c r="M1151" s="84">
        <v>46013</v>
      </c>
      <c r="N1151" s="84">
        <v>46013</v>
      </c>
      <c r="O1151" t="s">
        <v>168</v>
      </c>
      <c r="P1151" t="s">
        <v>169</v>
      </c>
      <c r="Q1151">
        <v>5500</v>
      </c>
      <c r="R1151">
        <v>20</v>
      </c>
      <c r="S1151">
        <v>110000</v>
      </c>
      <c r="T1151">
        <v>0</v>
      </c>
      <c r="U1151">
        <v>0</v>
      </c>
      <c r="V1151">
        <v>20</v>
      </c>
      <c r="W1151">
        <v>110000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</row>
    <row r="1152" spans="1:29">
      <c r="A1152">
        <v>1144</v>
      </c>
      <c r="B1152" t="s">
        <v>149</v>
      </c>
      <c r="C1152">
        <v>329</v>
      </c>
      <c r="D1152" t="s">
        <v>32</v>
      </c>
      <c r="E1152" t="str">
        <f t="shared" si="17"/>
        <v>00329</v>
      </c>
      <c r="F1152" t="s">
        <v>28</v>
      </c>
      <c r="G1152" t="s">
        <v>164</v>
      </c>
      <c r="H1152" t="s">
        <v>151</v>
      </c>
      <c r="I1152" t="s">
        <v>4</v>
      </c>
      <c r="J1152" t="s">
        <v>152</v>
      </c>
      <c r="K1152" t="s">
        <v>153</v>
      </c>
      <c r="L1152">
        <v>251200659</v>
      </c>
      <c r="M1152" s="84">
        <v>46013</v>
      </c>
      <c r="N1152" s="84">
        <v>46013</v>
      </c>
      <c r="O1152" t="s">
        <v>204</v>
      </c>
      <c r="P1152" t="s">
        <v>205</v>
      </c>
      <c r="Q1152">
        <v>14250</v>
      </c>
      <c r="R1152">
        <v>12</v>
      </c>
      <c r="S1152">
        <v>171000</v>
      </c>
      <c r="T1152">
        <v>0</v>
      </c>
      <c r="U1152">
        <v>0</v>
      </c>
      <c r="V1152">
        <v>12</v>
      </c>
      <c r="W1152">
        <v>171000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</row>
    <row r="1153" spans="1:29">
      <c r="A1153">
        <v>1145</v>
      </c>
      <c r="B1153" t="s">
        <v>149</v>
      </c>
      <c r="C1153">
        <v>1341</v>
      </c>
      <c r="D1153" t="s">
        <v>24</v>
      </c>
      <c r="E1153" t="str">
        <f t="shared" si="17"/>
        <v>01341</v>
      </c>
      <c r="F1153" t="s">
        <v>20</v>
      </c>
      <c r="G1153" t="s">
        <v>193</v>
      </c>
      <c r="H1153" t="s">
        <v>151</v>
      </c>
      <c r="I1153" t="s">
        <v>4</v>
      </c>
      <c r="J1153" t="s">
        <v>152</v>
      </c>
      <c r="K1153" t="s">
        <v>236</v>
      </c>
      <c r="L1153">
        <v>251200660</v>
      </c>
      <c r="M1153" s="84">
        <v>46013</v>
      </c>
      <c r="N1153" s="84">
        <v>46013</v>
      </c>
      <c r="O1153" t="s">
        <v>204</v>
      </c>
      <c r="P1153" t="s">
        <v>205</v>
      </c>
      <c r="Q1153">
        <v>14250</v>
      </c>
      <c r="R1153">
        <v>10</v>
      </c>
      <c r="S1153">
        <v>142500</v>
      </c>
      <c r="T1153">
        <v>0</v>
      </c>
      <c r="U1153">
        <v>0</v>
      </c>
      <c r="V1153">
        <v>10</v>
      </c>
      <c r="W1153">
        <v>142500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</row>
    <row r="1154" spans="1:29">
      <c r="A1154">
        <v>1146</v>
      </c>
      <c r="B1154" t="s">
        <v>149</v>
      </c>
      <c r="C1154">
        <v>1588</v>
      </c>
      <c r="D1154" t="s">
        <v>90</v>
      </c>
      <c r="E1154" t="str">
        <f t="shared" si="17"/>
        <v>01588</v>
      </c>
      <c r="F1154" t="s">
        <v>86</v>
      </c>
      <c r="G1154" t="s">
        <v>156</v>
      </c>
      <c r="H1154" t="s">
        <v>157</v>
      </c>
      <c r="I1154" t="s">
        <v>4</v>
      </c>
      <c r="J1154" t="s">
        <v>152</v>
      </c>
      <c r="K1154" t="s">
        <v>159</v>
      </c>
      <c r="L1154">
        <v>251200661</v>
      </c>
      <c r="M1154" s="84">
        <v>46013</v>
      </c>
      <c r="N1154" s="84">
        <v>46013</v>
      </c>
      <c r="O1154" t="s">
        <v>160</v>
      </c>
      <c r="P1154" t="s">
        <v>161</v>
      </c>
      <c r="Q1154">
        <v>14250</v>
      </c>
      <c r="R1154">
        <v>12</v>
      </c>
      <c r="S1154">
        <v>171000</v>
      </c>
      <c r="T1154">
        <v>0</v>
      </c>
      <c r="U1154">
        <v>0</v>
      </c>
      <c r="V1154">
        <v>12</v>
      </c>
      <c r="W1154">
        <v>171000</v>
      </c>
      <c r="X1154">
        <v>1800</v>
      </c>
      <c r="Y1154">
        <v>2400</v>
      </c>
      <c r="Z1154">
        <v>0</v>
      </c>
      <c r="AA1154">
        <v>0</v>
      </c>
      <c r="AB1154">
        <v>0</v>
      </c>
      <c r="AC1154">
        <v>4200</v>
      </c>
    </row>
    <row r="1155" spans="1:29">
      <c r="A1155">
        <v>1147</v>
      </c>
      <c r="B1155" t="s">
        <v>149</v>
      </c>
      <c r="C1155">
        <v>1468</v>
      </c>
      <c r="D1155" t="s">
        <v>342</v>
      </c>
      <c r="E1155" t="str">
        <f t="shared" si="17"/>
        <v>01468</v>
      </c>
      <c r="F1155" t="s">
        <v>7</v>
      </c>
      <c r="G1155" t="s">
        <v>156</v>
      </c>
      <c r="H1155" t="s">
        <v>157</v>
      </c>
      <c r="I1155" t="s">
        <v>4</v>
      </c>
      <c r="J1155" t="s">
        <v>152</v>
      </c>
      <c r="K1155" t="s">
        <v>159</v>
      </c>
      <c r="L1155">
        <v>251200662</v>
      </c>
      <c r="M1155" s="84">
        <v>46013</v>
      </c>
      <c r="N1155" s="84">
        <v>46013</v>
      </c>
      <c r="O1155" t="s">
        <v>160</v>
      </c>
      <c r="P1155" t="s">
        <v>161</v>
      </c>
      <c r="Q1155">
        <v>5500</v>
      </c>
      <c r="R1155">
        <v>40</v>
      </c>
      <c r="S1155">
        <v>220000</v>
      </c>
      <c r="T1155">
        <v>0</v>
      </c>
      <c r="U1155">
        <v>0</v>
      </c>
      <c r="V1155">
        <v>40</v>
      </c>
      <c r="W1155">
        <v>220000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</row>
    <row r="1156" spans="1:29">
      <c r="A1156">
        <v>1148</v>
      </c>
      <c r="B1156" t="s">
        <v>149</v>
      </c>
      <c r="C1156">
        <v>1497</v>
      </c>
      <c r="D1156" t="s">
        <v>364</v>
      </c>
      <c r="E1156" t="str">
        <f t="shared" si="17"/>
        <v>01497</v>
      </c>
      <c r="F1156" t="s">
        <v>7</v>
      </c>
      <c r="G1156" t="s">
        <v>156</v>
      </c>
      <c r="H1156" t="s">
        <v>157</v>
      </c>
      <c r="I1156" t="s">
        <v>4</v>
      </c>
      <c r="J1156" t="s">
        <v>152</v>
      </c>
      <c r="K1156" t="s">
        <v>159</v>
      </c>
      <c r="L1156">
        <v>251200663</v>
      </c>
      <c r="M1156" s="84">
        <v>46013</v>
      </c>
      <c r="N1156" s="84">
        <v>46013</v>
      </c>
      <c r="O1156" t="s">
        <v>248</v>
      </c>
      <c r="P1156" t="s">
        <v>249</v>
      </c>
      <c r="Q1156">
        <v>5500</v>
      </c>
      <c r="R1156">
        <v>30</v>
      </c>
      <c r="S1156">
        <v>165000</v>
      </c>
      <c r="T1156">
        <v>0</v>
      </c>
      <c r="U1156">
        <v>0</v>
      </c>
      <c r="V1156">
        <v>30</v>
      </c>
      <c r="W1156">
        <v>165000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</row>
    <row r="1157" spans="1:29">
      <c r="A1157">
        <v>1149</v>
      </c>
      <c r="B1157" t="s">
        <v>149</v>
      </c>
      <c r="C1157">
        <v>1497</v>
      </c>
      <c r="D1157" t="s">
        <v>364</v>
      </c>
      <c r="E1157" t="str">
        <f t="shared" si="17"/>
        <v>01497</v>
      </c>
      <c r="F1157" t="s">
        <v>7</v>
      </c>
      <c r="G1157" t="s">
        <v>156</v>
      </c>
      <c r="H1157" t="s">
        <v>157</v>
      </c>
      <c r="I1157" t="s">
        <v>4</v>
      </c>
      <c r="J1157" t="s">
        <v>152</v>
      </c>
      <c r="K1157" t="s">
        <v>159</v>
      </c>
      <c r="L1157">
        <v>251200664</v>
      </c>
      <c r="M1157" s="84">
        <v>46013</v>
      </c>
      <c r="N1157" s="84">
        <v>46013</v>
      </c>
      <c r="O1157" t="s">
        <v>256</v>
      </c>
      <c r="P1157" t="s">
        <v>257</v>
      </c>
      <c r="Q1157">
        <v>5500</v>
      </c>
      <c r="R1157">
        <v>30</v>
      </c>
      <c r="S1157">
        <v>165000</v>
      </c>
      <c r="T1157">
        <v>0</v>
      </c>
      <c r="U1157">
        <v>0</v>
      </c>
      <c r="V1157">
        <v>30</v>
      </c>
      <c r="W1157">
        <v>165000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</row>
    <row r="1158" spans="1:29">
      <c r="A1158">
        <v>1150</v>
      </c>
      <c r="B1158" t="s">
        <v>149</v>
      </c>
      <c r="C1158">
        <v>1519</v>
      </c>
      <c r="D1158" t="s">
        <v>353</v>
      </c>
      <c r="E1158" t="str">
        <f t="shared" si="17"/>
        <v>01519</v>
      </c>
      <c r="F1158" t="s">
        <v>111</v>
      </c>
      <c r="G1158" t="s">
        <v>150</v>
      </c>
      <c r="H1158" t="s">
        <v>151</v>
      </c>
      <c r="I1158" t="s">
        <v>4</v>
      </c>
      <c r="J1158" t="s">
        <v>152</v>
      </c>
      <c r="K1158" t="s">
        <v>153</v>
      </c>
      <c r="L1158">
        <v>251200665</v>
      </c>
      <c r="M1158" s="84">
        <v>46013</v>
      </c>
      <c r="N1158" s="84">
        <v>46013</v>
      </c>
      <c r="O1158" t="s">
        <v>219</v>
      </c>
      <c r="P1158" t="s">
        <v>220</v>
      </c>
      <c r="Q1158">
        <v>5500</v>
      </c>
      <c r="R1158">
        <v>8</v>
      </c>
      <c r="S1158">
        <v>44000</v>
      </c>
      <c r="T1158">
        <v>0</v>
      </c>
      <c r="U1158">
        <v>0</v>
      </c>
      <c r="V1158">
        <v>8</v>
      </c>
      <c r="W1158">
        <v>44000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</row>
    <row r="1159" spans="1:29">
      <c r="A1159">
        <v>1151</v>
      </c>
      <c r="B1159" t="s">
        <v>149</v>
      </c>
      <c r="C1159">
        <v>1557</v>
      </c>
      <c r="D1159" t="s">
        <v>344</v>
      </c>
      <c r="E1159" t="str">
        <f t="shared" si="17"/>
        <v>01557</v>
      </c>
      <c r="F1159" t="s">
        <v>111</v>
      </c>
      <c r="G1159" t="s">
        <v>150</v>
      </c>
      <c r="H1159" t="s">
        <v>151</v>
      </c>
      <c r="I1159" t="s">
        <v>4</v>
      </c>
      <c r="J1159" t="s">
        <v>152</v>
      </c>
      <c r="K1159" t="s">
        <v>153</v>
      </c>
      <c r="L1159">
        <v>251200666</v>
      </c>
      <c r="M1159" s="84">
        <v>46013</v>
      </c>
      <c r="N1159" s="84">
        <v>46013</v>
      </c>
      <c r="O1159" t="s">
        <v>160</v>
      </c>
      <c r="P1159" t="s">
        <v>161</v>
      </c>
      <c r="Q1159">
        <v>5500</v>
      </c>
      <c r="R1159">
        <v>20</v>
      </c>
      <c r="S1159">
        <v>110000</v>
      </c>
      <c r="T1159">
        <v>0</v>
      </c>
      <c r="U1159">
        <v>0</v>
      </c>
      <c r="V1159">
        <v>20</v>
      </c>
      <c r="W1159">
        <v>110000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</row>
    <row r="1160" spans="1:29">
      <c r="A1160">
        <v>1152</v>
      </c>
      <c r="B1160" t="s">
        <v>149</v>
      </c>
      <c r="C1160">
        <v>1466</v>
      </c>
      <c r="D1160" t="s">
        <v>81</v>
      </c>
      <c r="E1160" t="str">
        <f t="shared" si="17"/>
        <v>01466</v>
      </c>
      <c r="F1160" t="s">
        <v>80</v>
      </c>
      <c r="G1160" t="s">
        <v>164</v>
      </c>
      <c r="H1160" t="s">
        <v>151</v>
      </c>
      <c r="I1160" t="s">
        <v>5</v>
      </c>
      <c r="J1160" t="s">
        <v>152</v>
      </c>
      <c r="K1160" t="s">
        <v>153</v>
      </c>
      <c r="L1160">
        <v>251200667</v>
      </c>
      <c r="M1160" s="84">
        <v>46013</v>
      </c>
      <c r="N1160" s="84">
        <v>46013</v>
      </c>
      <c r="O1160" t="s">
        <v>191</v>
      </c>
      <c r="P1160" t="s">
        <v>192</v>
      </c>
      <c r="Q1160">
        <v>11700</v>
      </c>
      <c r="R1160">
        <v>4</v>
      </c>
      <c r="S1160">
        <v>46800</v>
      </c>
      <c r="T1160">
        <v>0</v>
      </c>
      <c r="U1160">
        <v>0</v>
      </c>
      <c r="V1160">
        <v>4</v>
      </c>
      <c r="W1160">
        <v>46800</v>
      </c>
      <c r="X1160">
        <v>600</v>
      </c>
      <c r="Y1160">
        <v>600</v>
      </c>
      <c r="Z1160">
        <v>0</v>
      </c>
      <c r="AA1160">
        <v>0</v>
      </c>
      <c r="AB1160">
        <v>0</v>
      </c>
      <c r="AC1160">
        <v>1200</v>
      </c>
    </row>
    <row r="1161" spans="1:29">
      <c r="A1161">
        <v>1153</v>
      </c>
      <c r="B1161" t="s">
        <v>149</v>
      </c>
      <c r="C1161">
        <v>1450</v>
      </c>
      <c r="D1161" t="s">
        <v>82</v>
      </c>
      <c r="E1161" t="str">
        <f t="shared" ref="E1161:E1224" si="18">TEXT(C1161,"00000")</f>
        <v>01450</v>
      </c>
      <c r="F1161" t="s">
        <v>80</v>
      </c>
      <c r="G1161" t="s">
        <v>164</v>
      </c>
      <c r="H1161" t="s">
        <v>151</v>
      </c>
      <c r="I1161" t="s">
        <v>5</v>
      </c>
      <c r="J1161" t="s">
        <v>152</v>
      </c>
      <c r="K1161" t="s">
        <v>153</v>
      </c>
      <c r="L1161">
        <v>251200668</v>
      </c>
      <c r="M1161" s="84">
        <v>46013</v>
      </c>
      <c r="N1161" s="84">
        <v>46013</v>
      </c>
      <c r="O1161" t="s">
        <v>191</v>
      </c>
      <c r="P1161" t="s">
        <v>192</v>
      </c>
      <c r="Q1161">
        <v>11700</v>
      </c>
      <c r="R1161">
        <v>16</v>
      </c>
      <c r="S1161">
        <v>187200</v>
      </c>
      <c r="T1161">
        <v>0</v>
      </c>
      <c r="U1161">
        <v>0</v>
      </c>
      <c r="V1161">
        <v>16</v>
      </c>
      <c r="W1161">
        <v>187200</v>
      </c>
      <c r="X1161">
        <v>2400</v>
      </c>
      <c r="Y1161">
        <v>2400</v>
      </c>
      <c r="Z1161">
        <v>0</v>
      </c>
      <c r="AA1161">
        <v>0</v>
      </c>
      <c r="AB1161">
        <v>0</v>
      </c>
      <c r="AC1161">
        <v>4800</v>
      </c>
    </row>
    <row r="1162" spans="1:29">
      <c r="A1162">
        <v>1154</v>
      </c>
      <c r="B1162" t="s">
        <v>149</v>
      </c>
      <c r="C1162">
        <v>1486</v>
      </c>
      <c r="D1162" t="s">
        <v>306</v>
      </c>
      <c r="E1162" t="str">
        <f t="shared" si="18"/>
        <v>01486</v>
      </c>
      <c r="F1162" t="s">
        <v>95</v>
      </c>
      <c r="G1162" t="s">
        <v>187</v>
      </c>
      <c r="H1162" t="s">
        <v>188</v>
      </c>
      <c r="I1162" t="s">
        <v>182</v>
      </c>
      <c r="J1162" t="s">
        <v>152</v>
      </c>
      <c r="K1162" t="s">
        <v>159</v>
      </c>
      <c r="L1162">
        <v>251200669</v>
      </c>
      <c r="M1162" s="84">
        <v>46013</v>
      </c>
      <c r="N1162" s="84">
        <v>46013</v>
      </c>
      <c r="O1162" t="s">
        <v>183</v>
      </c>
      <c r="P1162" t="s">
        <v>184</v>
      </c>
      <c r="Q1162">
        <v>72</v>
      </c>
      <c r="R1162">
        <v>300</v>
      </c>
      <c r="S1162">
        <v>21600</v>
      </c>
      <c r="T1162">
        <v>0</v>
      </c>
      <c r="U1162">
        <v>0</v>
      </c>
      <c r="V1162">
        <v>300</v>
      </c>
      <c r="W1162">
        <v>21600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</row>
    <row r="1163" spans="1:29">
      <c r="A1163">
        <v>1155</v>
      </c>
      <c r="B1163" t="s">
        <v>149</v>
      </c>
      <c r="C1163">
        <v>1551</v>
      </c>
      <c r="D1163" t="s">
        <v>316</v>
      </c>
      <c r="E1163" t="str">
        <f t="shared" si="18"/>
        <v>01551</v>
      </c>
      <c r="F1163" t="s">
        <v>111</v>
      </c>
      <c r="G1163" t="s">
        <v>150</v>
      </c>
      <c r="H1163" t="s">
        <v>151</v>
      </c>
      <c r="I1163" t="s">
        <v>5</v>
      </c>
      <c r="J1163" t="s">
        <v>152</v>
      </c>
      <c r="K1163" t="s">
        <v>153</v>
      </c>
      <c r="L1163">
        <v>251200670</v>
      </c>
      <c r="M1163" s="84">
        <v>46014</v>
      </c>
      <c r="N1163" s="84">
        <v>46014</v>
      </c>
      <c r="O1163" t="s">
        <v>191</v>
      </c>
      <c r="P1163" t="s">
        <v>192</v>
      </c>
      <c r="Q1163">
        <v>4500</v>
      </c>
      <c r="R1163">
        <v>28</v>
      </c>
      <c r="S1163">
        <v>126000</v>
      </c>
      <c r="T1163">
        <v>0</v>
      </c>
      <c r="U1163">
        <v>0</v>
      </c>
      <c r="V1163">
        <v>28</v>
      </c>
      <c r="W1163">
        <v>126000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</row>
    <row r="1164" spans="1:29">
      <c r="A1164">
        <v>1156</v>
      </c>
      <c r="B1164" t="s">
        <v>149</v>
      </c>
      <c r="C1164">
        <v>1491</v>
      </c>
      <c r="D1164" t="s">
        <v>354</v>
      </c>
      <c r="E1164" t="str">
        <f t="shared" si="18"/>
        <v>01491</v>
      </c>
      <c r="F1164" t="s">
        <v>111</v>
      </c>
      <c r="G1164" t="s">
        <v>150</v>
      </c>
      <c r="H1164" t="s">
        <v>151</v>
      </c>
      <c r="I1164" t="s">
        <v>4</v>
      </c>
      <c r="J1164" t="s">
        <v>152</v>
      </c>
      <c r="K1164" t="s">
        <v>153</v>
      </c>
      <c r="L1164">
        <v>251200671</v>
      </c>
      <c r="M1164" s="84">
        <v>46014</v>
      </c>
      <c r="N1164" s="84">
        <v>46014</v>
      </c>
      <c r="O1164" t="s">
        <v>262</v>
      </c>
      <c r="P1164" t="s">
        <v>263</v>
      </c>
      <c r="Q1164">
        <v>5500</v>
      </c>
      <c r="R1164">
        <v>12</v>
      </c>
      <c r="S1164">
        <v>66000</v>
      </c>
      <c r="T1164">
        <v>0</v>
      </c>
      <c r="U1164">
        <v>0</v>
      </c>
      <c r="V1164">
        <v>12</v>
      </c>
      <c r="W1164">
        <v>66000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</row>
    <row r="1165" spans="1:29">
      <c r="A1165">
        <v>1157</v>
      </c>
      <c r="B1165" t="s">
        <v>149</v>
      </c>
      <c r="C1165">
        <v>1491</v>
      </c>
      <c r="D1165" t="s">
        <v>354</v>
      </c>
      <c r="E1165" t="str">
        <f t="shared" si="18"/>
        <v>01491</v>
      </c>
      <c r="F1165" t="s">
        <v>111</v>
      </c>
      <c r="G1165" t="s">
        <v>150</v>
      </c>
      <c r="H1165" t="s">
        <v>151</v>
      </c>
      <c r="I1165" t="s">
        <v>4</v>
      </c>
      <c r="J1165" t="s">
        <v>152</v>
      </c>
      <c r="K1165" t="s">
        <v>153</v>
      </c>
      <c r="L1165">
        <v>251200671</v>
      </c>
      <c r="M1165" s="84">
        <v>46014</v>
      </c>
      <c r="N1165" s="84">
        <v>46014</v>
      </c>
      <c r="O1165" t="s">
        <v>160</v>
      </c>
      <c r="P1165" t="s">
        <v>161</v>
      </c>
      <c r="Q1165">
        <v>5500</v>
      </c>
      <c r="R1165">
        <v>13</v>
      </c>
      <c r="S1165">
        <v>71500</v>
      </c>
      <c r="T1165">
        <v>0</v>
      </c>
      <c r="U1165">
        <v>0</v>
      </c>
      <c r="V1165">
        <v>13</v>
      </c>
      <c r="W1165">
        <v>71500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</row>
    <row r="1166" spans="1:29">
      <c r="A1166">
        <v>1158</v>
      </c>
      <c r="B1166" t="s">
        <v>149</v>
      </c>
      <c r="C1166">
        <v>1553</v>
      </c>
      <c r="D1166" t="s">
        <v>317</v>
      </c>
      <c r="E1166" t="str">
        <f t="shared" si="18"/>
        <v>01553</v>
      </c>
      <c r="F1166" t="s">
        <v>43</v>
      </c>
      <c r="G1166" t="s">
        <v>150</v>
      </c>
      <c r="H1166" t="s">
        <v>151</v>
      </c>
      <c r="I1166" t="s">
        <v>4</v>
      </c>
      <c r="J1166" t="s">
        <v>152</v>
      </c>
      <c r="K1166" t="s">
        <v>153</v>
      </c>
      <c r="L1166">
        <v>251200672</v>
      </c>
      <c r="M1166" s="84">
        <v>46014</v>
      </c>
      <c r="N1166" s="84">
        <v>46014</v>
      </c>
      <c r="O1166" t="s">
        <v>160</v>
      </c>
      <c r="P1166" t="s">
        <v>161</v>
      </c>
      <c r="Q1166">
        <v>5500</v>
      </c>
      <c r="R1166">
        <v>25</v>
      </c>
      <c r="S1166">
        <v>137500</v>
      </c>
      <c r="T1166">
        <v>0</v>
      </c>
      <c r="U1166">
        <v>0</v>
      </c>
      <c r="V1166">
        <v>25</v>
      </c>
      <c r="W1166">
        <v>137500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</row>
    <row r="1167" spans="1:29">
      <c r="A1167">
        <v>1159</v>
      </c>
      <c r="B1167" t="s">
        <v>149</v>
      </c>
      <c r="C1167">
        <v>1553</v>
      </c>
      <c r="D1167" t="s">
        <v>317</v>
      </c>
      <c r="E1167" t="str">
        <f t="shared" si="18"/>
        <v>01553</v>
      </c>
      <c r="F1167" t="s">
        <v>43</v>
      </c>
      <c r="G1167" t="s">
        <v>150</v>
      </c>
      <c r="H1167" t="s">
        <v>151</v>
      </c>
      <c r="I1167" t="s">
        <v>4</v>
      </c>
      <c r="J1167" t="s">
        <v>152</v>
      </c>
      <c r="K1167" t="s">
        <v>153</v>
      </c>
      <c r="L1167">
        <v>251200672</v>
      </c>
      <c r="M1167" s="84">
        <v>46014</v>
      </c>
      <c r="N1167" s="84">
        <v>46014</v>
      </c>
      <c r="O1167" t="s">
        <v>243</v>
      </c>
      <c r="P1167" t="s">
        <v>244</v>
      </c>
      <c r="Q1167">
        <v>5700</v>
      </c>
      <c r="R1167">
        <v>5</v>
      </c>
      <c r="S1167">
        <v>28500</v>
      </c>
      <c r="T1167">
        <v>0</v>
      </c>
      <c r="U1167">
        <v>0</v>
      </c>
      <c r="V1167">
        <v>5</v>
      </c>
      <c r="W1167">
        <v>28500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</row>
    <row r="1168" spans="1:29">
      <c r="A1168">
        <v>1160</v>
      </c>
      <c r="B1168" t="s">
        <v>149</v>
      </c>
      <c r="C1168">
        <v>1553</v>
      </c>
      <c r="D1168" t="s">
        <v>317</v>
      </c>
      <c r="E1168" t="str">
        <f t="shared" si="18"/>
        <v>01553</v>
      </c>
      <c r="F1168" t="s">
        <v>43</v>
      </c>
      <c r="G1168" t="s">
        <v>150</v>
      </c>
      <c r="H1168" t="s">
        <v>151</v>
      </c>
      <c r="I1168" t="s">
        <v>4</v>
      </c>
      <c r="J1168" t="s">
        <v>152</v>
      </c>
      <c r="K1168" t="s">
        <v>153</v>
      </c>
      <c r="L1168">
        <v>251200672</v>
      </c>
      <c r="M1168" s="84">
        <v>46014</v>
      </c>
      <c r="N1168" s="84">
        <v>46014</v>
      </c>
      <c r="O1168" t="s">
        <v>219</v>
      </c>
      <c r="P1168" t="s">
        <v>220</v>
      </c>
      <c r="Q1168">
        <v>5500</v>
      </c>
      <c r="R1168">
        <v>10</v>
      </c>
      <c r="S1168">
        <v>55000</v>
      </c>
      <c r="T1168">
        <v>0</v>
      </c>
      <c r="U1168">
        <v>0</v>
      </c>
      <c r="V1168">
        <v>10</v>
      </c>
      <c r="W1168">
        <v>55000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</row>
    <row r="1169" spans="1:29">
      <c r="A1169">
        <v>1161</v>
      </c>
      <c r="B1169" t="s">
        <v>149</v>
      </c>
      <c r="C1169">
        <v>1108</v>
      </c>
      <c r="D1169" t="s">
        <v>107</v>
      </c>
      <c r="E1169" t="str">
        <f t="shared" si="18"/>
        <v>01108</v>
      </c>
      <c r="F1169" t="s">
        <v>103</v>
      </c>
      <c r="G1169" t="s">
        <v>167</v>
      </c>
      <c r="H1169" t="s">
        <v>151</v>
      </c>
      <c r="I1169" t="s">
        <v>4</v>
      </c>
      <c r="J1169" t="s">
        <v>152</v>
      </c>
      <c r="K1169" t="s">
        <v>153</v>
      </c>
      <c r="L1169">
        <v>251200673</v>
      </c>
      <c r="M1169" s="84">
        <v>46014</v>
      </c>
      <c r="N1169" s="84">
        <v>46014</v>
      </c>
      <c r="O1169" t="s">
        <v>200</v>
      </c>
      <c r="P1169" t="s">
        <v>201</v>
      </c>
      <c r="Q1169">
        <v>14250</v>
      </c>
      <c r="R1169">
        <v>10</v>
      </c>
      <c r="S1169">
        <v>142500</v>
      </c>
      <c r="T1169">
        <v>0</v>
      </c>
      <c r="U1169">
        <v>0</v>
      </c>
      <c r="V1169">
        <v>10</v>
      </c>
      <c r="W1169">
        <v>142500</v>
      </c>
      <c r="X1169">
        <v>1500</v>
      </c>
      <c r="Y1169">
        <v>2000</v>
      </c>
      <c r="Z1169">
        <v>0</v>
      </c>
      <c r="AA1169">
        <v>0</v>
      </c>
      <c r="AB1169">
        <v>0</v>
      </c>
      <c r="AC1169">
        <v>3500</v>
      </c>
    </row>
    <row r="1170" spans="1:29">
      <c r="A1170">
        <v>1162</v>
      </c>
      <c r="B1170" t="s">
        <v>149</v>
      </c>
      <c r="C1170">
        <v>1298</v>
      </c>
      <c r="D1170" t="s">
        <v>389</v>
      </c>
      <c r="E1170" t="str">
        <f t="shared" si="18"/>
        <v>01298</v>
      </c>
      <c r="F1170" t="s">
        <v>83</v>
      </c>
      <c r="G1170" t="s">
        <v>164</v>
      </c>
      <c r="H1170" t="s">
        <v>151</v>
      </c>
      <c r="I1170" t="s">
        <v>4</v>
      </c>
      <c r="J1170" t="s">
        <v>152</v>
      </c>
      <c r="K1170" t="s">
        <v>153</v>
      </c>
      <c r="L1170">
        <v>251200674</v>
      </c>
      <c r="M1170" s="84">
        <v>46014</v>
      </c>
      <c r="N1170" s="84">
        <v>46014</v>
      </c>
      <c r="O1170" t="s">
        <v>160</v>
      </c>
      <c r="P1170" t="s">
        <v>161</v>
      </c>
      <c r="Q1170">
        <v>5500</v>
      </c>
      <c r="R1170">
        <v>50</v>
      </c>
      <c r="S1170">
        <v>275000</v>
      </c>
      <c r="T1170">
        <v>0</v>
      </c>
      <c r="U1170">
        <v>0</v>
      </c>
      <c r="V1170">
        <v>50</v>
      </c>
      <c r="W1170">
        <v>275000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</row>
    <row r="1171" spans="1:29">
      <c r="A1171">
        <v>1163</v>
      </c>
      <c r="B1171" t="s">
        <v>149</v>
      </c>
      <c r="C1171">
        <v>1298</v>
      </c>
      <c r="D1171" t="s">
        <v>389</v>
      </c>
      <c r="E1171" t="str">
        <f t="shared" si="18"/>
        <v>01298</v>
      </c>
      <c r="F1171" t="s">
        <v>83</v>
      </c>
      <c r="G1171" t="s">
        <v>164</v>
      </c>
      <c r="H1171" t="s">
        <v>151</v>
      </c>
      <c r="I1171" t="s">
        <v>5</v>
      </c>
      <c r="J1171" t="s">
        <v>152</v>
      </c>
      <c r="K1171" t="s">
        <v>153</v>
      </c>
      <c r="L1171">
        <v>251200674</v>
      </c>
      <c r="M1171" s="84">
        <v>46014</v>
      </c>
      <c r="N1171" s="84">
        <v>46014</v>
      </c>
      <c r="O1171" t="s">
        <v>253</v>
      </c>
      <c r="P1171" t="s">
        <v>254</v>
      </c>
      <c r="Q1171">
        <v>4500</v>
      </c>
      <c r="R1171">
        <v>30</v>
      </c>
      <c r="S1171">
        <v>135000</v>
      </c>
      <c r="T1171">
        <v>0</v>
      </c>
      <c r="U1171">
        <v>0</v>
      </c>
      <c r="V1171">
        <v>30</v>
      </c>
      <c r="W1171">
        <v>135000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</row>
    <row r="1172" spans="1:29">
      <c r="A1172">
        <v>1164</v>
      </c>
      <c r="B1172" t="s">
        <v>149</v>
      </c>
      <c r="C1172">
        <v>1298</v>
      </c>
      <c r="D1172" t="s">
        <v>389</v>
      </c>
      <c r="E1172" t="str">
        <f t="shared" si="18"/>
        <v>01298</v>
      </c>
      <c r="F1172" t="s">
        <v>83</v>
      </c>
      <c r="G1172" t="s">
        <v>164</v>
      </c>
      <c r="H1172" t="s">
        <v>151</v>
      </c>
      <c r="I1172" t="s">
        <v>4</v>
      </c>
      <c r="J1172" t="s">
        <v>152</v>
      </c>
      <c r="K1172" t="s">
        <v>153</v>
      </c>
      <c r="L1172">
        <v>251200674</v>
      </c>
      <c r="M1172" s="84">
        <v>46014</v>
      </c>
      <c r="N1172" s="84">
        <v>46014</v>
      </c>
      <c r="O1172" t="s">
        <v>162</v>
      </c>
      <c r="P1172" t="s">
        <v>163</v>
      </c>
      <c r="Q1172">
        <v>5500</v>
      </c>
      <c r="R1172">
        <v>50</v>
      </c>
      <c r="S1172">
        <v>275000</v>
      </c>
      <c r="T1172">
        <v>0</v>
      </c>
      <c r="U1172">
        <v>0</v>
      </c>
      <c r="V1172">
        <v>50</v>
      </c>
      <c r="W1172">
        <v>275000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</row>
    <row r="1173" spans="1:29">
      <c r="A1173">
        <v>1165</v>
      </c>
      <c r="B1173" t="s">
        <v>149</v>
      </c>
      <c r="C1173">
        <v>1298</v>
      </c>
      <c r="D1173" t="s">
        <v>389</v>
      </c>
      <c r="E1173" t="str">
        <f t="shared" si="18"/>
        <v>01298</v>
      </c>
      <c r="F1173" t="s">
        <v>83</v>
      </c>
      <c r="G1173" t="s">
        <v>164</v>
      </c>
      <c r="H1173" t="s">
        <v>151</v>
      </c>
      <c r="I1173" t="s">
        <v>5</v>
      </c>
      <c r="J1173" t="s">
        <v>152</v>
      </c>
      <c r="K1173" t="s">
        <v>153</v>
      </c>
      <c r="L1173">
        <v>251200674</v>
      </c>
      <c r="M1173" s="84">
        <v>46014</v>
      </c>
      <c r="N1173" s="84">
        <v>46014</v>
      </c>
      <c r="O1173" t="s">
        <v>191</v>
      </c>
      <c r="P1173" t="s">
        <v>192</v>
      </c>
      <c r="Q1173">
        <v>4500</v>
      </c>
      <c r="R1173">
        <v>150</v>
      </c>
      <c r="S1173">
        <v>675000</v>
      </c>
      <c r="T1173">
        <v>0</v>
      </c>
      <c r="U1173">
        <v>0</v>
      </c>
      <c r="V1173">
        <v>150</v>
      </c>
      <c r="W1173">
        <v>675000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</row>
    <row r="1174" spans="1:29">
      <c r="A1174">
        <v>1166</v>
      </c>
      <c r="B1174" t="s">
        <v>149</v>
      </c>
      <c r="C1174">
        <v>1401</v>
      </c>
      <c r="D1174" t="s">
        <v>29</v>
      </c>
      <c r="E1174" t="str">
        <f t="shared" si="18"/>
        <v>01401</v>
      </c>
      <c r="F1174" t="s">
        <v>28</v>
      </c>
      <c r="G1174" t="s">
        <v>164</v>
      </c>
      <c r="H1174" t="s">
        <v>151</v>
      </c>
      <c r="I1174" t="s">
        <v>4</v>
      </c>
      <c r="J1174" t="s">
        <v>152</v>
      </c>
      <c r="K1174" t="s">
        <v>153</v>
      </c>
      <c r="L1174">
        <v>251200675</v>
      </c>
      <c r="M1174" s="84">
        <v>46014</v>
      </c>
      <c r="N1174" s="84">
        <v>46014</v>
      </c>
      <c r="O1174" t="s">
        <v>262</v>
      </c>
      <c r="P1174" t="s">
        <v>263</v>
      </c>
      <c r="Q1174">
        <v>14250</v>
      </c>
      <c r="R1174">
        <v>8</v>
      </c>
      <c r="S1174">
        <v>114000</v>
      </c>
      <c r="T1174">
        <v>0</v>
      </c>
      <c r="U1174">
        <v>0</v>
      </c>
      <c r="V1174">
        <v>8</v>
      </c>
      <c r="W1174">
        <v>114000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</row>
    <row r="1175" spans="1:29">
      <c r="A1175">
        <v>1167</v>
      </c>
      <c r="B1175" t="s">
        <v>149</v>
      </c>
      <c r="C1175">
        <v>1401</v>
      </c>
      <c r="D1175" t="s">
        <v>29</v>
      </c>
      <c r="E1175" t="str">
        <f t="shared" si="18"/>
        <v>01401</v>
      </c>
      <c r="F1175" t="s">
        <v>28</v>
      </c>
      <c r="G1175" t="s">
        <v>164</v>
      </c>
      <c r="H1175" t="s">
        <v>151</v>
      </c>
      <c r="I1175" t="s">
        <v>4</v>
      </c>
      <c r="J1175" t="s">
        <v>152</v>
      </c>
      <c r="K1175" t="s">
        <v>153</v>
      </c>
      <c r="L1175">
        <v>251200675</v>
      </c>
      <c r="M1175" s="84">
        <v>46014</v>
      </c>
      <c r="N1175" s="84">
        <v>46014</v>
      </c>
      <c r="O1175" t="s">
        <v>160</v>
      </c>
      <c r="P1175" t="s">
        <v>161</v>
      </c>
      <c r="Q1175">
        <v>14250</v>
      </c>
      <c r="R1175">
        <v>20</v>
      </c>
      <c r="S1175">
        <v>285000</v>
      </c>
      <c r="T1175">
        <v>0</v>
      </c>
      <c r="U1175">
        <v>0</v>
      </c>
      <c r="V1175">
        <v>20</v>
      </c>
      <c r="W1175">
        <v>285000</v>
      </c>
      <c r="X1175">
        <v>3000</v>
      </c>
      <c r="Y1175">
        <v>4000</v>
      </c>
      <c r="Z1175">
        <v>0</v>
      </c>
      <c r="AA1175">
        <v>0</v>
      </c>
      <c r="AB1175">
        <v>0</v>
      </c>
      <c r="AC1175">
        <v>7000</v>
      </c>
    </row>
    <row r="1176" spans="1:29">
      <c r="A1176">
        <v>1168</v>
      </c>
      <c r="B1176" t="s">
        <v>149</v>
      </c>
      <c r="C1176">
        <v>1444</v>
      </c>
      <c r="D1176" t="s">
        <v>341</v>
      </c>
      <c r="E1176" t="str">
        <f t="shared" si="18"/>
        <v>01444</v>
      </c>
      <c r="F1176" t="s">
        <v>28</v>
      </c>
      <c r="G1176" t="s">
        <v>164</v>
      </c>
      <c r="H1176" t="s">
        <v>151</v>
      </c>
      <c r="I1176" t="s">
        <v>5</v>
      </c>
      <c r="J1176" t="s">
        <v>152</v>
      </c>
      <c r="K1176" t="s">
        <v>153</v>
      </c>
      <c r="L1176">
        <v>251200676</v>
      </c>
      <c r="M1176" s="84">
        <v>46014</v>
      </c>
      <c r="N1176" s="84">
        <v>46014</v>
      </c>
      <c r="O1176" t="s">
        <v>191</v>
      </c>
      <c r="P1176" t="s">
        <v>192</v>
      </c>
      <c r="Q1176">
        <v>4500</v>
      </c>
      <c r="R1176">
        <v>56</v>
      </c>
      <c r="S1176">
        <v>252000</v>
      </c>
      <c r="T1176">
        <v>0</v>
      </c>
      <c r="U1176">
        <v>0</v>
      </c>
      <c r="V1176">
        <v>56</v>
      </c>
      <c r="W1176">
        <v>252000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</row>
    <row r="1177" spans="1:29">
      <c r="A1177">
        <v>1169</v>
      </c>
      <c r="B1177" t="s">
        <v>149</v>
      </c>
      <c r="C1177">
        <v>325</v>
      </c>
      <c r="D1177" t="s">
        <v>34</v>
      </c>
      <c r="E1177" t="str">
        <f t="shared" si="18"/>
        <v>00325</v>
      </c>
      <c r="F1177" t="s">
        <v>28</v>
      </c>
      <c r="G1177" t="s">
        <v>164</v>
      </c>
      <c r="H1177" t="s">
        <v>151</v>
      </c>
      <c r="I1177" t="s">
        <v>5</v>
      </c>
      <c r="J1177" t="s">
        <v>152</v>
      </c>
      <c r="K1177" t="s">
        <v>153</v>
      </c>
      <c r="L1177">
        <v>251200677</v>
      </c>
      <c r="M1177" s="84">
        <v>46014</v>
      </c>
      <c r="N1177" s="84">
        <v>46014</v>
      </c>
      <c r="O1177" t="s">
        <v>191</v>
      </c>
      <c r="P1177" t="s">
        <v>192</v>
      </c>
      <c r="Q1177">
        <v>11700</v>
      </c>
      <c r="R1177">
        <v>8</v>
      </c>
      <c r="S1177">
        <v>93600</v>
      </c>
      <c r="T1177">
        <v>0</v>
      </c>
      <c r="U1177">
        <v>0</v>
      </c>
      <c r="V1177">
        <v>8</v>
      </c>
      <c r="W1177">
        <v>93600</v>
      </c>
      <c r="X1177">
        <v>1200</v>
      </c>
      <c r="Y1177">
        <v>1200</v>
      </c>
      <c r="Z1177">
        <v>0</v>
      </c>
      <c r="AA1177">
        <v>0</v>
      </c>
      <c r="AB1177">
        <v>0</v>
      </c>
      <c r="AC1177">
        <v>2400</v>
      </c>
    </row>
    <row r="1178" spans="1:29">
      <c r="A1178">
        <v>1170</v>
      </c>
      <c r="B1178" t="s">
        <v>149</v>
      </c>
      <c r="C1178">
        <v>1306</v>
      </c>
      <c r="D1178" t="s">
        <v>377</v>
      </c>
      <c r="E1178" t="str">
        <f t="shared" si="18"/>
        <v>01306</v>
      </c>
      <c r="F1178" t="s">
        <v>28</v>
      </c>
      <c r="G1178" t="s">
        <v>164</v>
      </c>
      <c r="H1178" t="s">
        <v>151</v>
      </c>
      <c r="I1178" t="s">
        <v>4</v>
      </c>
      <c r="J1178" t="s">
        <v>152</v>
      </c>
      <c r="K1178" t="s">
        <v>153</v>
      </c>
      <c r="L1178">
        <v>251200678</v>
      </c>
      <c r="M1178" s="84">
        <v>46014</v>
      </c>
      <c r="N1178" s="84">
        <v>46014</v>
      </c>
      <c r="O1178" t="s">
        <v>179</v>
      </c>
      <c r="P1178" t="s">
        <v>180</v>
      </c>
      <c r="Q1178">
        <v>5500</v>
      </c>
      <c r="R1178">
        <v>8</v>
      </c>
      <c r="S1178">
        <v>44000</v>
      </c>
      <c r="T1178">
        <v>0</v>
      </c>
      <c r="U1178">
        <v>0</v>
      </c>
      <c r="V1178">
        <v>8</v>
      </c>
      <c r="W1178">
        <v>44000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</row>
    <row r="1179" spans="1:29">
      <c r="A1179">
        <v>1171</v>
      </c>
      <c r="B1179" t="s">
        <v>149</v>
      </c>
      <c r="C1179">
        <v>1306</v>
      </c>
      <c r="D1179" t="s">
        <v>377</v>
      </c>
      <c r="E1179" t="str">
        <f t="shared" si="18"/>
        <v>01306</v>
      </c>
      <c r="F1179" t="s">
        <v>28</v>
      </c>
      <c r="G1179" t="s">
        <v>164</v>
      </c>
      <c r="H1179" t="s">
        <v>151</v>
      </c>
      <c r="I1179" t="s">
        <v>5</v>
      </c>
      <c r="J1179" t="s">
        <v>152</v>
      </c>
      <c r="K1179" t="s">
        <v>153</v>
      </c>
      <c r="L1179">
        <v>251200678</v>
      </c>
      <c r="M1179" s="84">
        <v>46014</v>
      </c>
      <c r="N1179" s="84">
        <v>46014</v>
      </c>
      <c r="O1179" t="s">
        <v>191</v>
      </c>
      <c r="P1179" t="s">
        <v>192</v>
      </c>
      <c r="Q1179">
        <v>4500</v>
      </c>
      <c r="R1179">
        <v>48</v>
      </c>
      <c r="S1179">
        <v>216000</v>
      </c>
      <c r="T1179">
        <v>0</v>
      </c>
      <c r="U1179">
        <v>0</v>
      </c>
      <c r="V1179">
        <v>48</v>
      </c>
      <c r="W1179">
        <v>216000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</row>
    <row r="1180" spans="1:29">
      <c r="A1180">
        <v>1172</v>
      </c>
      <c r="B1180" t="s">
        <v>149</v>
      </c>
      <c r="C1180">
        <v>1486</v>
      </c>
      <c r="D1180" t="s">
        <v>306</v>
      </c>
      <c r="E1180" t="str">
        <f t="shared" si="18"/>
        <v>01486</v>
      </c>
      <c r="F1180" t="s">
        <v>95</v>
      </c>
      <c r="G1180" t="s">
        <v>187</v>
      </c>
      <c r="H1180" t="s">
        <v>188</v>
      </c>
      <c r="I1180" t="s">
        <v>231</v>
      </c>
      <c r="J1180" t="s">
        <v>152</v>
      </c>
      <c r="K1180" t="s">
        <v>159</v>
      </c>
      <c r="L1180">
        <v>251200679</v>
      </c>
      <c r="M1180" s="84">
        <v>46014</v>
      </c>
      <c r="N1180" s="84">
        <v>46014</v>
      </c>
      <c r="O1180" t="s">
        <v>233</v>
      </c>
      <c r="P1180" t="s">
        <v>118</v>
      </c>
      <c r="Q1180">
        <v>4486</v>
      </c>
      <c r="R1180">
        <v>5</v>
      </c>
      <c r="S1180">
        <v>22430</v>
      </c>
      <c r="T1180">
        <v>0</v>
      </c>
      <c r="U1180">
        <v>0</v>
      </c>
      <c r="V1180">
        <v>5</v>
      </c>
      <c r="W1180">
        <v>22430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</row>
    <row r="1181" spans="1:29">
      <c r="A1181">
        <v>1173</v>
      </c>
      <c r="B1181" t="s">
        <v>149</v>
      </c>
      <c r="C1181">
        <v>1605</v>
      </c>
      <c r="D1181" t="s">
        <v>304</v>
      </c>
      <c r="E1181" t="str">
        <f t="shared" si="18"/>
        <v>01605</v>
      </c>
      <c r="F1181" t="s">
        <v>15</v>
      </c>
      <c r="G1181" t="s">
        <v>193</v>
      </c>
      <c r="H1181" t="s">
        <v>151</v>
      </c>
      <c r="I1181" t="s">
        <v>210</v>
      </c>
      <c r="J1181" t="s">
        <v>152</v>
      </c>
      <c r="K1181" t="s">
        <v>153</v>
      </c>
      <c r="L1181">
        <v>251200680</v>
      </c>
      <c r="M1181" s="84">
        <v>46014</v>
      </c>
      <c r="N1181" s="84">
        <v>46014</v>
      </c>
      <c r="O1181" t="s">
        <v>250</v>
      </c>
      <c r="P1181" t="s">
        <v>251</v>
      </c>
      <c r="Q1181">
        <v>30930</v>
      </c>
      <c r="R1181">
        <v>2</v>
      </c>
      <c r="S1181">
        <v>61860</v>
      </c>
      <c r="T1181">
        <v>0</v>
      </c>
      <c r="U1181">
        <v>0</v>
      </c>
      <c r="V1181">
        <v>2</v>
      </c>
      <c r="W1181">
        <v>61860</v>
      </c>
      <c r="X1181">
        <v>1856</v>
      </c>
      <c r="Y1181">
        <v>2474</v>
      </c>
      <c r="Z1181">
        <v>1238</v>
      </c>
      <c r="AA1181">
        <v>3094</v>
      </c>
      <c r="AB1181">
        <v>200</v>
      </c>
      <c r="AC1181">
        <v>8862</v>
      </c>
    </row>
    <row r="1182" spans="1:29">
      <c r="A1182">
        <v>1174</v>
      </c>
      <c r="B1182" t="s">
        <v>149</v>
      </c>
      <c r="C1182">
        <v>1550</v>
      </c>
      <c r="D1182" t="s">
        <v>337</v>
      </c>
      <c r="E1182" t="str">
        <f t="shared" si="18"/>
        <v>01550</v>
      </c>
      <c r="F1182" t="s">
        <v>15</v>
      </c>
      <c r="G1182" t="s">
        <v>193</v>
      </c>
      <c r="H1182" t="s">
        <v>151</v>
      </c>
      <c r="I1182" t="s">
        <v>4</v>
      </c>
      <c r="J1182" t="s">
        <v>152</v>
      </c>
      <c r="K1182" t="s">
        <v>153</v>
      </c>
      <c r="L1182">
        <v>251200681</v>
      </c>
      <c r="M1182" s="84">
        <v>46014</v>
      </c>
      <c r="N1182" s="84">
        <v>46014</v>
      </c>
      <c r="O1182" t="s">
        <v>177</v>
      </c>
      <c r="P1182" t="s">
        <v>178</v>
      </c>
      <c r="Q1182">
        <v>5500</v>
      </c>
      <c r="R1182">
        <v>7</v>
      </c>
      <c r="S1182">
        <v>38500</v>
      </c>
      <c r="T1182">
        <v>0</v>
      </c>
      <c r="U1182">
        <v>0</v>
      </c>
      <c r="V1182">
        <v>7</v>
      </c>
      <c r="W1182">
        <v>38500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</row>
    <row r="1183" spans="1:29">
      <c r="A1183">
        <v>1175</v>
      </c>
      <c r="B1183" t="s">
        <v>149</v>
      </c>
      <c r="C1183">
        <v>1356</v>
      </c>
      <c r="D1183" t="s">
        <v>98</v>
      </c>
      <c r="E1183" t="str">
        <f t="shared" si="18"/>
        <v>01356</v>
      </c>
      <c r="F1183" t="s">
        <v>95</v>
      </c>
      <c r="G1183" t="s">
        <v>187</v>
      </c>
      <c r="H1183" t="s">
        <v>188</v>
      </c>
      <c r="I1183" t="s">
        <v>4</v>
      </c>
      <c r="J1183" t="s">
        <v>152</v>
      </c>
      <c r="K1183" t="s">
        <v>159</v>
      </c>
      <c r="L1183">
        <v>251200682</v>
      </c>
      <c r="M1183" s="84">
        <v>46014</v>
      </c>
      <c r="N1183" s="84">
        <v>46014</v>
      </c>
      <c r="O1183" t="s">
        <v>215</v>
      </c>
      <c r="P1183" t="s">
        <v>216</v>
      </c>
      <c r="Q1183">
        <v>13300</v>
      </c>
      <c r="R1183">
        <v>10</v>
      </c>
      <c r="S1183">
        <v>133000</v>
      </c>
      <c r="T1183">
        <v>0</v>
      </c>
      <c r="U1183">
        <v>0</v>
      </c>
      <c r="V1183">
        <v>10</v>
      </c>
      <c r="W1183">
        <v>133000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</row>
    <row r="1184" spans="1:29">
      <c r="A1184">
        <v>1176</v>
      </c>
      <c r="B1184" t="s">
        <v>149</v>
      </c>
      <c r="C1184">
        <v>1581</v>
      </c>
      <c r="D1184" t="s">
        <v>96</v>
      </c>
      <c r="E1184" t="str">
        <f t="shared" si="18"/>
        <v>01581</v>
      </c>
      <c r="F1184" t="s">
        <v>95</v>
      </c>
      <c r="G1184" t="s">
        <v>187</v>
      </c>
      <c r="H1184" t="s">
        <v>188</v>
      </c>
      <c r="I1184" t="s">
        <v>5</v>
      </c>
      <c r="J1184" t="s">
        <v>152</v>
      </c>
      <c r="K1184" t="s">
        <v>159</v>
      </c>
      <c r="L1184">
        <v>251200683</v>
      </c>
      <c r="M1184" s="84">
        <v>46014</v>
      </c>
      <c r="N1184" s="84">
        <v>46014</v>
      </c>
      <c r="O1184" t="s">
        <v>198</v>
      </c>
      <c r="P1184" t="s">
        <v>199</v>
      </c>
      <c r="Q1184">
        <v>10800</v>
      </c>
      <c r="R1184">
        <v>20</v>
      </c>
      <c r="S1184">
        <v>216000</v>
      </c>
      <c r="T1184">
        <v>0</v>
      </c>
      <c r="U1184">
        <v>0</v>
      </c>
      <c r="V1184">
        <v>20</v>
      </c>
      <c r="W1184">
        <v>216000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</row>
    <row r="1185" spans="1:29">
      <c r="A1185">
        <v>1177</v>
      </c>
      <c r="B1185" t="s">
        <v>149</v>
      </c>
      <c r="C1185">
        <v>1581</v>
      </c>
      <c r="D1185" t="s">
        <v>96</v>
      </c>
      <c r="E1185" t="str">
        <f t="shared" si="18"/>
        <v>01581</v>
      </c>
      <c r="F1185" t="s">
        <v>95</v>
      </c>
      <c r="G1185" t="s">
        <v>187</v>
      </c>
      <c r="H1185" t="s">
        <v>188</v>
      </c>
      <c r="I1185" t="s">
        <v>4</v>
      </c>
      <c r="J1185" t="s">
        <v>152</v>
      </c>
      <c r="K1185" t="s">
        <v>159</v>
      </c>
      <c r="L1185">
        <v>251200683</v>
      </c>
      <c r="M1185" s="84">
        <v>46014</v>
      </c>
      <c r="N1185" s="84">
        <v>46014</v>
      </c>
      <c r="O1185" t="s">
        <v>262</v>
      </c>
      <c r="P1185" t="s">
        <v>263</v>
      </c>
      <c r="Q1185">
        <v>13300</v>
      </c>
      <c r="R1185">
        <v>10</v>
      </c>
      <c r="S1185">
        <v>133000</v>
      </c>
      <c r="T1185">
        <v>0</v>
      </c>
      <c r="U1185">
        <v>0</v>
      </c>
      <c r="V1185">
        <v>10</v>
      </c>
      <c r="W1185">
        <v>133000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</row>
    <row r="1186" spans="1:29">
      <c r="A1186">
        <v>1178</v>
      </c>
      <c r="B1186" t="s">
        <v>149</v>
      </c>
      <c r="C1186">
        <v>1341</v>
      </c>
      <c r="D1186" t="s">
        <v>24</v>
      </c>
      <c r="E1186" t="str">
        <f t="shared" si="18"/>
        <v>01341</v>
      </c>
      <c r="F1186" t="s">
        <v>20</v>
      </c>
      <c r="G1186" t="s">
        <v>193</v>
      </c>
      <c r="H1186" t="s">
        <v>151</v>
      </c>
      <c r="I1186" t="s">
        <v>4</v>
      </c>
      <c r="J1186" t="s">
        <v>152</v>
      </c>
      <c r="K1186" t="s">
        <v>236</v>
      </c>
      <c r="L1186">
        <v>251200684</v>
      </c>
      <c r="M1186" s="84">
        <v>46014</v>
      </c>
      <c r="N1186" s="84">
        <v>46014</v>
      </c>
      <c r="O1186" t="s">
        <v>262</v>
      </c>
      <c r="P1186" t="s">
        <v>263</v>
      </c>
      <c r="Q1186">
        <v>14250</v>
      </c>
      <c r="R1186">
        <v>10</v>
      </c>
      <c r="S1186">
        <v>142500</v>
      </c>
      <c r="T1186">
        <v>0</v>
      </c>
      <c r="U1186">
        <v>0</v>
      </c>
      <c r="V1186">
        <v>10</v>
      </c>
      <c r="W1186">
        <v>142500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</row>
    <row r="1187" spans="1:29">
      <c r="A1187">
        <v>1179</v>
      </c>
      <c r="B1187" t="s">
        <v>149</v>
      </c>
      <c r="C1187">
        <v>337</v>
      </c>
      <c r="D1187" t="s">
        <v>57</v>
      </c>
      <c r="E1187" t="str">
        <f t="shared" si="18"/>
        <v>00337</v>
      </c>
      <c r="F1187" t="s">
        <v>49</v>
      </c>
      <c r="G1187" t="s">
        <v>167</v>
      </c>
      <c r="H1187" t="s">
        <v>151</v>
      </c>
      <c r="I1187" t="s">
        <v>4</v>
      </c>
      <c r="J1187" t="s">
        <v>152</v>
      </c>
      <c r="K1187" t="s">
        <v>153</v>
      </c>
      <c r="L1187">
        <v>251200685</v>
      </c>
      <c r="M1187" s="84">
        <v>46014</v>
      </c>
      <c r="N1187" s="84">
        <v>46014</v>
      </c>
      <c r="O1187" t="s">
        <v>160</v>
      </c>
      <c r="P1187" t="s">
        <v>161</v>
      </c>
      <c r="Q1187">
        <v>14250</v>
      </c>
      <c r="R1187">
        <v>20</v>
      </c>
      <c r="S1187">
        <v>285000</v>
      </c>
      <c r="T1187">
        <v>0</v>
      </c>
      <c r="U1187">
        <v>0</v>
      </c>
      <c r="V1187">
        <v>20</v>
      </c>
      <c r="W1187">
        <v>285000</v>
      </c>
      <c r="X1187">
        <v>3000</v>
      </c>
      <c r="Y1187">
        <v>4000</v>
      </c>
      <c r="Z1187">
        <v>0</v>
      </c>
      <c r="AA1187">
        <v>0</v>
      </c>
      <c r="AB1187">
        <v>0</v>
      </c>
      <c r="AC1187">
        <v>7000</v>
      </c>
    </row>
    <row r="1188" spans="1:29">
      <c r="A1188">
        <v>1180</v>
      </c>
      <c r="B1188" t="s">
        <v>149</v>
      </c>
      <c r="C1188">
        <v>134</v>
      </c>
      <c r="D1188" t="s">
        <v>79</v>
      </c>
      <c r="E1188" t="str">
        <f t="shared" si="18"/>
        <v>00134</v>
      </c>
      <c r="F1188" t="s">
        <v>73</v>
      </c>
      <c r="G1188" t="s">
        <v>185</v>
      </c>
      <c r="H1188" t="s">
        <v>151</v>
      </c>
      <c r="I1188" t="s">
        <v>4</v>
      </c>
      <c r="J1188" t="s">
        <v>152</v>
      </c>
      <c r="K1188" t="s">
        <v>153</v>
      </c>
      <c r="L1188">
        <v>251200686</v>
      </c>
      <c r="M1188" s="84">
        <v>46014</v>
      </c>
      <c r="N1188" s="84">
        <v>46014</v>
      </c>
      <c r="O1188" t="s">
        <v>219</v>
      </c>
      <c r="P1188" t="s">
        <v>220</v>
      </c>
      <c r="Q1188">
        <v>14250</v>
      </c>
      <c r="R1188">
        <v>15</v>
      </c>
      <c r="S1188">
        <v>213750</v>
      </c>
      <c r="T1188">
        <v>0</v>
      </c>
      <c r="U1188">
        <v>0</v>
      </c>
      <c r="V1188">
        <v>15</v>
      </c>
      <c r="W1188">
        <v>213750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</row>
    <row r="1189" spans="1:29">
      <c r="A1189">
        <v>1181</v>
      </c>
      <c r="B1189" t="s">
        <v>149</v>
      </c>
      <c r="C1189">
        <v>134</v>
      </c>
      <c r="D1189" t="s">
        <v>79</v>
      </c>
      <c r="E1189" t="str">
        <f t="shared" si="18"/>
        <v>00134</v>
      </c>
      <c r="F1189" t="s">
        <v>73</v>
      </c>
      <c r="G1189" t="s">
        <v>185</v>
      </c>
      <c r="H1189" t="s">
        <v>151</v>
      </c>
      <c r="I1189" t="s">
        <v>4</v>
      </c>
      <c r="J1189" t="s">
        <v>152</v>
      </c>
      <c r="K1189" t="s">
        <v>153</v>
      </c>
      <c r="L1189">
        <v>251200686</v>
      </c>
      <c r="M1189" s="84">
        <v>46014</v>
      </c>
      <c r="N1189" s="84">
        <v>46014</v>
      </c>
      <c r="O1189" t="s">
        <v>154</v>
      </c>
      <c r="P1189" t="s">
        <v>155</v>
      </c>
      <c r="Q1189">
        <v>14250</v>
      </c>
      <c r="R1189">
        <v>15</v>
      </c>
      <c r="S1189">
        <v>213750</v>
      </c>
      <c r="T1189">
        <v>0</v>
      </c>
      <c r="U1189">
        <v>0</v>
      </c>
      <c r="V1189">
        <v>15</v>
      </c>
      <c r="W1189">
        <v>213750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</row>
    <row r="1190" spans="1:29">
      <c r="A1190">
        <v>1182</v>
      </c>
      <c r="B1190" t="s">
        <v>149</v>
      </c>
      <c r="C1190">
        <v>134</v>
      </c>
      <c r="D1190" t="s">
        <v>79</v>
      </c>
      <c r="E1190" t="str">
        <f t="shared" si="18"/>
        <v>00134</v>
      </c>
      <c r="F1190" t="s">
        <v>73</v>
      </c>
      <c r="G1190" t="s">
        <v>185</v>
      </c>
      <c r="H1190" t="s">
        <v>151</v>
      </c>
      <c r="I1190" t="s">
        <v>4</v>
      </c>
      <c r="J1190" t="s">
        <v>152</v>
      </c>
      <c r="K1190" t="s">
        <v>153</v>
      </c>
      <c r="L1190">
        <v>251200686</v>
      </c>
      <c r="M1190" s="84">
        <v>46014</v>
      </c>
      <c r="N1190" s="84">
        <v>46014</v>
      </c>
      <c r="O1190" t="s">
        <v>179</v>
      </c>
      <c r="P1190" t="s">
        <v>180</v>
      </c>
      <c r="Q1190">
        <v>14250</v>
      </c>
      <c r="R1190">
        <v>15</v>
      </c>
      <c r="S1190">
        <v>213750</v>
      </c>
      <c r="T1190">
        <v>0</v>
      </c>
      <c r="U1190">
        <v>0</v>
      </c>
      <c r="V1190">
        <v>15</v>
      </c>
      <c r="W1190">
        <v>213750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</row>
    <row r="1191" spans="1:29">
      <c r="A1191">
        <v>1183</v>
      </c>
      <c r="B1191" t="s">
        <v>149</v>
      </c>
      <c r="C1191">
        <v>1292</v>
      </c>
      <c r="D1191" t="s">
        <v>336</v>
      </c>
      <c r="E1191" t="str">
        <f t="shared" si="18"/>
        <v>01292</v>
      </c>
      <c r="F1191" t="s">
        <v>73</v>
      </c>
      <c r="G1191" t="s">
        <v>185</v>
      </c>
      <c r="H1191" t="s">
        <v>151</v>
      </c>
      <c r="I1191" t="s">
        <v>4</v>
      </c>
      <c r="J1191" t="s">
        <v>152</v>
      </c>
      <c r="K1191" t="s">
        <v>153</v>
      </c>
      <c r="L1191">
        <v>251200687</v>
      </c>
      <c r="M1191" s="84">
        <v>46014</v>
      </c>
      <c r="N1191" s="84">
        <v>46014</v>
      </c>
      <c r="O1191" t="s">
        <v>243</v>
      </c>
      <c r="P1191" t="s">
        <v>244</v>
      </c>
      <c r="Q1191">
        <v>5700</v>
      </c>
      <c r="R1191">
        <v>19</v>
      </c>
      <c r="S1191">
        <v>108300</v>
      </c>
      <c r="T1191">
        <v>0</v>
      </c>
      <c r="U1191">
        <v>0</v>
      </c>
      <c r="V1191">
        <v>19</v>
      </c>
      <c r="W1191">
        <v>108300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</row>
    <row r="1192" spans="1:29">
      <c r="A1192">
        <v>1184</v>
      </c>
      <c r="B1192" t="s">
        <v>149</v>
      </c>
      <c r="C1192">
        <v>143</v>
      </c>
      <c r="D1192" t="s">
        <v>78</v>
      </c>
      <c r="E1192" t="str">
        <f t="shared" si="18"/>
        <v>00143</v>
      </c>
      <c r="F1192" t="s">
        <v>73</v>
      </c>
      <c r="G1192" t="s">
        <v>185</v>
      </c>
      <c r="H1192" t="s">
        <v>151</v>
      </c>
      <c r="I1192" t="s">
        <v>4</v>
      </c>
      <c r="J1192" t="s">
        <v>152</v>
      </c>
      <c r="K1192" t="s">
        <v>153</v>
      </c>
      <c r="L1192">
        <v>251200688</v>
      </c>
      <c r="M1192" s="84">
        <v>46014</v>
      </c>
      <c r="N1192" s="84">
        <v>46014</v>
      </c>
      <c r="O1192" t="s">
        <v>168</v>
      </c>
      <c r="P1192" t="s">
        <v>169</v>
      </c>
      <c r="Q1192">
        <v>14250</v>
      </c>
      <c r="R1192">
        <v>4</v>
      </c>
      <c r="S1192">
        <v>57000</v>
      </c>
      <c r="T1192">
        <v>0</v>
      </c>
      <c r="U1192">
        <v>0</v>
      </c>
      <c r="V1192">
        <v>4</v>
      </c>
      <c r="W1192">
        <v>57000</v>
      </c>
      <c r="X1192">
        <v>600</v>
      </c>
      <c r="Y1192">
        <v>800</v>
      </c>
      <c r="Z1192">
        <v>0</v>
      </c>
      <c r="AA1192">
        <v>0</v>
      </c>
      <c r="AB1192">
        <v>0</v>
      </c>
      <c r="AC1192">
        <v>1400</v>
      </c>
    </row>
    <row r="1193" spans="1:29">
      <c r="A1193">
        <v>1185</v>
      </c>
      <c r="B1193" t="s">
        <v>149</v>
      </c>
      <c r="C1193">
        <v>1471</v>
      </c>
      <c r="D1193" t="s">
        <v>369</v>
      </c>
      <c r="E1193" t="str">
        <f t="shared" si="18"/>
        <v>01471</v>
      </c>
      <c r="F1193" t="s">
        <v>73</v>
      </c>
      <c r="G1193" t="s">
        <v>185</v>
      </c>
      <c r="H1193" t="s">
        <v>151</v>
      </c>
      <c r="I1193" t="s">
        <v>4</v>
      </c>
      <c r="J1193" t="s">
        <v>152</v>
      </c>
      <c r="K1193" t="s">
        <v>153</v>
      </c>
      <c r="L1193">
        <v>251200689</v>
      </c>
      <c r="M1193" s="84">
        <v>46014</v>
      </c>
      <c r="N1193" s="84">
        <v>46014</v>
      </c>
      <c r="O1193" t="s">
        <v>168</v>
      </c>
      <c r="P1193" t="s">
        <v>169</v>
      </c>
      <c r="Q1193">
        <v>5500</v>
      </c>
      <c r="R1193">
        <v>4</v>
      </c>
      <c r="S1193">
        <v>22000</v>
      </c>
      <c r="T1193">
        <v>0</v>
      </c>
      <c r="U1193">
        <v>0</v>
      </c>
      <c r="V1193">
        <v>4</v>
      </c>
      <c r="W1193">
        <v>22000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</row>
    <row r="1194" spans="1:29">
      <c r="A1194">
        <v>1186</v>
      </c>
      <c r="B1194" t="s">
        <v>149</v>
      </c>
      <c r="C1194">
        <v>1395</v>
      </c>
      <c r="D1194" t="s">
        <v>101</v>
      </c>
      <c r="E1194" t="str">
        <f t="shared" si="18"/>
        <v>01395</v>
      </c>
      <c r="F1194" t="s">
        <v>95</v>
      </c>
      <c r="G1194" t="s">
        <v>187</v>
      </c>
      <c r="H1194" t="s">
        <v>188</v>
      </c>
      <c r="I1194" t="s">
        <v>4</v>
      </c>
      <c r="J1194" t="s">
        <v>152</v>
      </c>
      <c r="K1194" t="s">
        <v>159</v>
      </c>
      <c r="L1194">
        <v>251200690</v>
      </c>
      <c r="M1194" s="84">
        <v>46014</v>
      </c>
      <c r="N1194" s="84">
        <v>46014</v>
      </c>
      <c r="O1194" t="s">
        <v>243</v>
      </c>
      <c r="P1194" t="s">
        <v>244</v>
      </c>
      <c r="Q1194">
        <v>13600</v>
      </c>
      <c r="R1194">
        <v>6</v>
      </c>
      <c r="S1194">
        <v>81600</v>
      </c>
      <c r="T1194">
        <v>0</v>
      </c>
      <c r="U1194">
        <v>0</v>
      </c>
      <c r="V1194">
        <v>6</v>
      </c>
      <c r="W1194">
        <v>81600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</row>
    <row r="1195" spans="1:29">
      <c r="A1195">
        <v>1187</v>
      </c>
      <c r="B1195" t="s">
        <v>149</v>
      </c>
      <c r="C1195">
        <v>1395</v>
      </c>
      <c r="D1195" t="s">
        <v>101</v>
      </c>
      <c r="E1195" t="str">
        <f t="shared" si="18"/>
        <v>01395</v>
      </c>
      <c r="F1195" t="s">
        <v>95</v>
      </c>
      <c r="G1195" t="s">
        <v>187</v>
      </c>
      <c r="H1195" t="s">
        <v>188</v>
      </c>
      <c r="I1195" t="s">
        <v>4</v>
      </c>
      <c r="J1195" t="s">
        <v>152</v>
      </c>
      <c r="K1195" t="s">
        <v>159</v>
      </c>
      <c r="L1195">
        <v>251200690</v>
      </c>
      <c r="M1195" s="84">
        <v>46014</v>
      </c>
      <c r="N1195" s="84">
        <v>46014</v>
      </c>
      <c r="O1195" t="s">
        <v>160</v>
      </c>
      <c r="P1195" t="s">
        <v>161</v>
      </c>
      <c r="Q1195">
        <v>13200</v>
      </c>
      <c r="R1195">
        <v>2</v>
      </c>
      <c r="S1195">
        <v>26400</v>
      </c>
      <c r="T1195">
        <v>0</v>
      </c>
      <c r="U1195">
        <v>0</v>
      </c>
      <c r="V1195">
        <v>2</v>
      </c>
      <c r="W1195">
        <v>26400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</row>
    <row r="1196" spans="1:29">
      <c r="A1196">
        <v>1188</v>
      </c>
      <c r="B1196" t="s">
        <v>149</v>
      </c>
      <c r="C1196">
        <v>336</v>
      </c>
      <c r="D1196" t="s">
        <v>31</v>
      </c>
      <c r="E1196" t="str">
        <f t="shared" si="18"/>
        <v>00336</v>
      </c>
      <c r="F1196" t="s">
        <v>28</v>
      </c>
      <c r="G1196" t="s">
        <v>164</v>
      </c>
      <c r="H1196" t="s">
        <v>151</v>
      </c>
      <c r="I1196" t="s">
        <v>4</v>
      </c>
      <c r="J1196" t="s">
        <v>152</v>
      </c>
      <c r="K1196" t="s">
        <v>153</v>
      </c>
      <c r="L1196">
        <v>251200691</v>
      </c>
      <c r="M1196" s="84">
        <v>46014</v>
      </c>
      <c r="N1196" s="84">
        <v>46014</v>
      </c>
      <c r="O1196" t="s">
        <v>154</v>
      </c>
      <c r="P1196" t="s">
        <v>155</v>
      </c>
      <c r="Q1196">
        <v>14250</v>
      </c>
      <c r="R1196">
        <v>3</v>
      </c>
      <c r="S1196">
        <v>42750</v>
      </c>
      <c r="T1196">
        <v>0</v>
      </c>
      <c r="U1196">
        <v>0</v>
      </c>
      <c r="V1196">
        <v>3</v>
      </c>
      <c r="W1196">
        <v>42750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</row>
    <row r="1197" spans="1:29">
      <c r="A1197">
        <v>1189</v>
      </c>
      <c r="B1197" t="s">
        <v>149</v>
      </c>
      <c r="C1197">
        <v>336</v>
      </c>
      <c r="D1197" t="s">
        <v>31</v>
      </c>
      <c r="E1197" t="str">
        <f t="shared" si="18"/>
        <v>00336</v>
      </c>
      <c r="F1197" t="s">
        <v>28</v>
      </c>
      <c r="G1197" t="s">
        <v>164</v>
      </c>
      <c r="H1197" t="s">
        <v>151</v>
      </c>
      <c r="I1197" t="s">
        <v>4</v>
      </c>
      <c r="J1197" t="s">
        <v>152</v>
      </c>
      <c r="K1197" t="s">
        <v>153</v>
      </c>
      <c r="L1197">
        <v>251200691</v>
      </c>
      <c r="M1197" s="84">
        <v>46014</v>
      </c>
      <c r="N1197" s="84">
        <v>46014</v>
      </c>
      <c r="O1197" t="s">
        <v>160</v>
      </c>
      <c r="P1197" t="s">
        <v>161</v>
      </c>
      <c r="Q1197">
        <v>14250</v>
      </c>
      <c r="R1197">
        <v>5</v>
      </c>
      <c r="S1197">
        <v>71250</v>
      </c>
      <c r="T1197">
        <v>0</v>
      </c>
      <c r="U1197">
        <v>0</v>
      </c>
      <c r="V1197">
        <v>5</v>
      </c>
      <c r="W1197">
        <v>71250</v>
      </c>
      <c r="X1197">
        <v>750</v>
      </c>
      <c r="Y1197">
        <v>1000</v>
      </c>
      <c r="Z1197">
        <v>0</v>
      </c>
      <c r="AA1197">
        <v>0</v>
      </c>
      <c r="AB1197">
        <v>0</v>
      </c>
      <c r="AC1197">
        <v>1750</v>
      </c>
    </row>
    <row r="1198" spans="1:29">
      <c r="A1198">
        <v>1190</v>
      </c>
      <c r="B1198" t="s">
        <v>149</v>
      </c>
      <c r="C1198">
        <v>496</v>
      </c>
      <c r="D1198" t="s">
        <v>8</v>
      </c>
      <c r="E1198" t="str">
        <f t="shared" si="18"/>
        <v>00496</v>
      </c>
      <c r="F1198" t="s">
        <v>7</v>
      </c>
      <c r="G1198" t="s">
        <v>156</v>
      </c>
      <c r="H1198" t="s">
        <v>157</v>
      </c>
      <c r="I1198" t="s">
        <v>4</v>
      </c>
      <c r="J1198" t="s">
        <v>152</v>
      </c>
      <c r="K1198" t="s">
        <v>159</v>
      </c>
      <c r="L1198">
        <v>251200692</v>
      </c>
      <c r="M1198" s="84">
        <v>46014</v>
      </c>
      <c r="N1198" s="84">
        <v>46014</v>
      </c>
      <c r="O1198" t="s">
        <v>243</v>
      </c>
      <c r="P1198" t="s">
        <v>244</v>
      </c>
      <c r="Q1198">
        <v>15050</v>
      </c>
      <c r="R1198">
        <v>16</v>
      </c>
      <c r="S1198">
        <v>240800</v>
      </c>
      <c r="T1198">
        <v>0</v>
      </c>
      <c r="U1198">
        <v>0</v>
      </c>
      <c r="V1198">
        <v>16</v>
      </c>
      <c r="W1198">
        <v>240800</v>
      </c>
      <c r="X1198">
        <v>2400</v>
      </c>
      <c r="Y1198">
        <v>3200</v>
      </c>
      <c r="Z1198">
        <v>0</v>
      </c>
      <c r="AA1198">
        <v>0</v>
      </c>
      <c r="AB1198">
        <v>0</v>
      </c>
      <c r="AC1198">
        <v>5600</v>
      </c>
    </row>
    <row r="1199" spans="1:29">
      <c r="A1199">
        <v>1191</v>
      </c>
      <c r="B1199" t="s">
        <v>149</v>
      </c>
      <c r="C1199">
        <v>1484</v>
      </c>
      <c r="D1199" t="s">
        <v>331</v>
      </c>
      <c r="E1199" t="str">
        <f t="shared" si="18"/>
        <v>01484</v>
      </c>
      <c r="F1199" t="s">
        <v>71</v>
      </c>
      <c r="G1199" t="s">
        <v>305</v>
      </c>
      <c r="H1199" t="s">
        <v>157</v>
      </c>
      <c r="I1199" t="s">
        <v>4</v>
      </c>
      <c r="J1199" t="s">
        <v>152</v>
      </c>
      <c r="K1199" t="s">
        <v>174</v>
      </c>
      <c r="L1199">
        <v>251200693</v>
      </c>
      <c r="M1199" s="84">
        <v>46014</v>
      </c>
      <c r="N1199" s="84">
        <v>46014</v>
      </c>
      <c r="O1199" t="s">
        <v>243</v>
      </c>
      <c r="P1199" t="s">
        <v>244</v>
      </c>
      <c r="Q1199">
        <v>5700</v>
      </c>
      <c r="R1199">
        <v>5</v>
      </c>
      <c r="S1199">
        <v>28500</v>
      </c>
      <c r="T1199">
        <v>0</v>
      </c>
      <c r="U1199">
        <v>0</v>
      </c>
      <c r="V1199">
        <v>5</v>
      </c>
      <c r="W1199">
        <v>28500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</row>
    <row r="1200" spans="1:29">
      <c r="A1200">
        <v>1192</v>
      </c>
      <c r="B1200" t="s">
        <v>149</v>
      </c>
      <c r="C1200">
        <v>1355</v>
      </c>
      <c r="D1200" t="s">
        <v>102</v>
      </c>
      <c r="E1200" t="str">
        <f t="shared" si="18"/>
        <v>01355</v>
      </c>
      <c r="F1200" t="s">
        <v>95</v>
      </c>
      <c r="G1200" t="s">
        <v>187</v>
      </c>
      <c r="H1200" t="s">
        <v>188</v>
      </c>
      <c r="I1200" t="s">
        <v>4</v>
      </c>
      <c r="J1200" t="s">
        <v>152</v>
      </c>
      <c r="K1200" t="s">
        <v>159</v>
      </c>
      <c r="L1200">
        <v>251200694</v>
      </c>
      <c r="M1200" s="84">
        <v>46014</v>
      </c>
      <c r="N1200" s="84">
        <v>46014</v>
      </c>
      <c r="O1200" t="s">
        <v>160</v>
      </c>
      <c r="P1200" t="s">
        <v>161</v>
      </c>
      <c r="Q1200">
        <v>13200</v>
      </c>
      <c r="R1200">
        <v>4</v>
      </c>
      <c r="S1200">
        <v>52800</v>
      </c>
      <c r="T1200">
        <v>0</v>
      </c>
      <c r="U1200">
        <v>0</v>
      </c>
      <c r="V1200">
        <v>4</v>
      </c>
      <c r="W1200">
        <v>52800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</row>
    <row r="1201" spans="1:29">
      <c r="A1201">
        <v>1193</v>
      </c>
      <c r="B1201" t="s">
        <v>149</v>
      </c>
      <c r="C1201">
        <v>1355</v>
      </c>
      <c r="D1201" t="s">
        <v>102</v>
      </c>
      <c r="E1201" t="str">
        <f t="shared" si="18"/>
        <v>01355</v>
      </c>
      <c r="F1201" t="s">
        <v>95</v>
      </c>
      <c r="G1201" t="s">
        <v>187</v>
      </c>
      <c r="H1201" t="s">
        <v>188</v>
      </c>
      <c r="I1201" t="s">
        <v>231</v>
      </c>
      <c r="J1201" t="s">
        <v>152</v>
      </c>
      <c r="K1201" t="s">
        <v>159</v>
      </c>
      <c r="L1201">
        <v>251200695</v>
      </c>
      <c r="M1201" s="84">
        <v>46014</v>
      </c>
      <c r="N1201" s="84">
        <v>46014</v>
      </c>
      <c r="O1201" t="s">
        <v>232</v>
      </c>
      <c r="P1201" t="s">
        <v>122</v>
      </c>
      <c r="Q1201">
        <v>6213</v>
      </c>
      <c r="R1201">
        <v>1</v>
      </c>
      <c r="S1201">
        <v>6213</v>
      </c>
      <c r="T1201">
        <v>0</v>
      </c>
      <c r="U1201">
        <v>0</v>
      </c>
      <c r="V1201">
        <v>1</v>
      </c>
      <c r="W1201">
        <v>6213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</row>
    <row r="1202" spans="1:29">
      <c r="A1202">
        <v>1194</v>
      </c>
      <c r="B1202" t="s">
        <v>149</v>
      </c>
      <c r="C1202">
        <v>1289</v>
      </c>
      <c r="D1202" t="s">
        <v>412</v>
      </c>
      <c r="E1202" t="str">
        <f t="shared" si="18"/>
        <v>01289</v>
      </c>
      <c r="F1202" t="s">
        <v>43</v>
      </c>
      <c r="G1202" t="s">
        <v>150</v>
      </c>
      <c r="H1202" t="s">
        <v>151</v>
      </c>
      <c r="I1202" t="s">
        <v>4</v>
      </c>
      <c r="J1202" t="s">
        <v>152</v>
      </c>
      <c r="K1202" t="s">
        <v>153</v>
      </c>
      <c r="L1202">
        <v>251200696</v>
      </c>
      <c r="M1202" s="84">
        <v>46014</v>
      </c>
      <c r="N1202" s="84">
        <v>46014</v>
      </c>
      <c r="O1202" t="s">
        <v>357</v>
      </c>
      <c r="P1202" t="s">
        <v>358</v>
      </c>
      <c r="Q1202">
        <v>5500</v>
      </c>
      <c r="R1202">
        <v>10</v>
      </c>
      <c r="S1202">
        <v>55000</v>
      </c>
      <c r="T1202">
        <v>0</v>
      </c>
      <c r="U1202">
        <v>0</v>
      </c>
      <c r="V1202">
        <v>10</v>
      </c>
      <c r="W1202">
        <v>55000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</row>
    <row r="1203" spans="1:29">
      <c r="A1203">
        <v>1195</v>
      </c>
      <c r="B1203" t="s">
        <v>149</v>
      </c>
      <c r="C1203">
        <v>1289</v>
      </c>
      <c r="D1203" t="s">
        <v>412</v>
      </c>
      <c r="E1203" t="str">
        <f t="shared" si="18"/>
        <v>01289</v>
      </c>
      <c r="F1203" t="s">
        <v>43</v>
      </c>
      <c r="G1203" t="s">
        <v>150</v>
      </c>
      <c r="H1203" t="s">
        <v>151</v>
      </c>
      <c r="I1203" t="s">
        <v>4</v>
      </c>
      <c r="J1203" t="s">
        <v>152</v>
      </c>
      <c r="K1203" t="s">
        <v>153</v>
      </c>
      <c r="L1203">
        <v>251200697</v>
      </c>
      <c r="M1203" s="84">
        <v>46014</v>
      </c>
      <c r="N1203" s="84">
        <v>46014</v>
      </c>
      <c r="O1203" t="s">
        <v>357</v>
      </c>
      <c r="P1203" t="s">
        <v>358</v>
      </c>
      <c r="Q1203">
        <v>5500</v>
      </c>
      <c r="R1203">
        <v>10</v>
      </c>
      <c r="S1203">
        <v>55000</v>
      </c>
      <c r="T1203">
        <v>0</v>
      </c>
      <c r="U1203">
        <v>0</v>
      </c>
      <c r="V1203">
        <v>10</v>
      </c>
      <c r="W1203">
        <v>55000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</row>
    <row r="1204" spans="1:29">
      <c r="A1204">
        <v>1196</v>
      </c>
      <c r="B1204" t="s">
        <v>149</v>
      </c>
      <c r="C1204">
        <v>87</v>
      </c>
      <c r="D1204" t="s">
        <v>307</v>
      </c>
      <c r="E1204" t="str">
        <f t="shared" si="18"/>
        <v>00087</v>
      </c>
      <c r="F1204" t="s">
        <v>43</v>
      </c>
      <c r="G1204" t="s">
        <v>150</v>
      </c>
      <c r="H1204" t="s">
        <v>151</v>
      </c>
      <c r="I1204" t="s">
        <v>210</v>
      </c>
      <c r="J1204" t="s">
        <v>152</v>
      </c>
      <c r="K1204" t="s">
        <v>153</v>
      </c>
      <c r="L1204">
        <v>251200698</v>
      </c>
      <c r="M1204" s="84">
        <v>46014</v>
      </c>
      <c r="N1204" s="84">
        <v>46014</v>
      </c>
      <c r="O1204" t="s">
        <v>213</v>
      </c>
      <c r="P1204" t="s">
        <v>214</v>
      </c>
      <c r="Q1204">
        <v>23802</v>
      </c>
      <c r="R1204">
        <v>5</v>
      </c>
      <c r="S1204">
        <v>119010</v>
      </c>
      <c r="T1204">
        <v>0</v>
      </c>
      <c r="U1204">
        <v>0</v>
      </c>
      <c r="V1204">
        <v>5</v>
      </c>
      <c r="W1204">
        <v>119010</v>
      </c>
      <c r="X1204">
        <v>2380</v>
      </c>
      <c r="Y1204">
        <v>2380</v>
      </c>
      <c r="Z1204">
        <v>5000</v>
      </c>
      <c r="AA1204">
        <v>0</v>
      </c>
      <c r="AB1204">
        <v>500</v>
      </c>
      <c r="AC1204">
        <v>10260</v>
      </c>
    </row>
    <row r="1205" spans="1:29">
      <c r="A1205">
        <v>1197</v>
      </c>
      <c r="B1205" t="s">
        <v>149</v>
      </c>
      <c r="C1205">
        <v>1554</v>
      </c>
      <c r="D1205" t="s">
        <v>382</v>
      </c>
      <c r="E1205" t="str">
        <f t="shared" si="18"/>
        <v>01554</v>
      </c>
      <c r="F1205" t="s">
        <v>111</v>
      </c>
      <c r="G1205" t="s">
        <v>150</v>
      </c>
      <c r="H1205" t="s">
        <v>151</v>
      </c>
      <c r="I1205" t="s">
        <v>4</v>
      </c>
      <c r="J1205" t="s">
        <v>152</v>
      </c>
      <c r="K1205" t="s">
        <v>153</v>
      </c>
      <c r="L1205">
        <v>251200718</v>
      </c>
      <c r="M1205" s="84">
        <v>46015</v>
      </c>
      <c r="N1205" s="84">
        <v>46015</v>
      </c>
      <c r="O1205" t="s">
        <v>248</v>
      </c>
      <c r="P1205" t="s">
        <v>249</v>
      </c>
      <c r="Q1205">
        <v>5500</v>
      </c>
      <c r="R1205">
        <v>10</v>
      </c>
      <c r="S1205">
        <v>55000</v>
      </c>
      <c r="T1205">
        <v>0</v>
      </c>
      <c r="U1205">
        <v>0</v>
      </c>
      <c r="V1205">
        <v>10</v>
      </c>
      <c r="W1205">
        <v>55000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</row>
    <row r="1206" spans="1:29">
      <c r="A1206">
        <v>1198</v>
      </c>
      <c r="B1206" t="s">
        <v>149</v>
      </c>
      <c r="C1206">
        <v>1554</v>
      </c>
      <c r="D1206" t="s">
        <v>382</v>
      </c>
      <c r="E1206" t="str">
        <f t="shared" si="18"/>
        <v>01554</v>
      </c>
      <c r="F1206" t="s">
        <v>111</v>
      </c>
      <c r="G1206" t="s">
        <v>150</v>
      </c>
      <c r="H1206" t="s">
        <v>151</v>
      </c>
      <c r="I1206" t="s">
        <v>4</v>
      </c>
      <c r="J1206" t="s">
        <v>152</v>
      </c>
      <c r="K1206" t="s">
        <v>153</v>
      </c>
      <c r="L1206">
        <v>251200718</v>
      </c>
      <c r="M1206" s="84">
        <v>46015</v>
      </c>
      <c r="N1206" s="84">
        <v>46015</v>
      </c>
      <c r="O1206" t="s">
        <v>321</v>
      </c>
      <c r="P1206" t="s">
        <v>322</v>
      </c>
      <c r="Q1206">
        <v>5500</v>
      </c>
      <c r="R1206">
        <v>10</v>
      </c>
      <c r="S1206">
        <v>55000</v>
      </c>
      <c r="T1206">
        <v>0</v>
      </c>
      <c r="U1206">
        <v>0</v>
      </c>
      <c r="V1206">
        <v>10</v>
      </c>
      <c r="W1206">
        <v>55000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</row>
    <row r="1207" spans="1:29">
      <c r="A1207">
        <v>1199</v>
      </c>
      <c r="B1207" t="s">
        <v>149</v>
      </c>
      <c r="C1207">
        <v>1478</v>
      </c>
      <c r="D1207" t="s">
        <v>314</v>
      </c>
      <c r="E1207" t="str">
        <f t="shared" si="18"/>
        <v>01478</v>
      </c>
      <c r="F1207" t="s">
        <v>111</v>
      </c>
      <c r="G1207" t="s">
        <v>150</v>
      </c>
      <c r="H1207" t="s">
        <v>151</v>
      </c>
      <c r="I1207" t="s">
        <v>5</v>
      </c>
      <c r="J1207" t="s">
        <v>152</v>
      </c>
      <c r="K1207" t="s">
        <v>153</v>
      </c>
      <c r="L1207">
        <v>251200719</v>
      </c>
      <c r="M1207" s="84">
        <v>46015</v>
      </c>
      <c r="N1207" s="84">
        <v>46015</v>
      </c>
      <c r="O1207" t="s">
        <v>191</v>
      </c>
      <c r="P1207" t="s">
        <v>192</v>
      </c>
      <c r="Q1207">
        <v>4500</v>
      </c>
      <c r="R1207">
        <v>32</v>
      </c>
      <c r="S1207">
        <v>144000</v>
      </c>
      <c r="T1207">
        <v>0</v>
      </c>
      <c r="U1207">
        <v>0</v>
      </c>
      <c r="V1207">
        <v>32</v>
      </c>
      <c r="W1207">
        <v>144000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</row>
    <row r="1208" spans="1:29">
      <c r="A1208">
        <v>1200</v>
      </c>
      <c r="B1208" t="s">
        <v>149</v>
      </c>
      <c r="C1208">
        <v>1593</v>
      </c>
      <c r="D1208" t="s">
        <v>343</v>
      </c>
      <c r="E1208" t="str">
        <f t="shared" si="18"/>
        <v>01593</v>
      </c>
      <c r="F1208" t="s">
        <v>111</v>
      </c>
      <c r="G1208" t="s">
        <v>150</v>
      </c>
      <c r="H1208" t="s">
        <v>151</v>
      </c>
      <c r="I1208" t="s">
        <v>5</v>
      </c>
      <c r="J1208" t="s">
        <v>152</v>
      </c>
      <c r="K1208" t="s">
        <v>153</v>
      </c>
      <c r="L1208">
        <v>251200720</v>
      </c>
      <c r="M1208" s="84">
        <v>46015</v>
      </c>
      <c r="N1208" s="84">
        <v>46015</v>
      </c>
      <c r="O1208" t="s">
        <v>260</v>
      </c>
      <c r="P1208" t="s">
        <v>261</v>
      </c>
      <c r="Q1208">
        <v>4500</v>
      </c>
      <c r="R1208">
        <v>12</v>
      </c>
      <c r="S1208">
        <v>54000</v>
      </c>
      <c r="T1208">
        <v>0</v>
      </c>
      <c r="U1208">
        <v>0</v>
      </c>
      <c r="V1208">
        <v>12</v>
      </c>
      <c r="W1208">
        <v>54000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</row>
    <row r="1209" spans="1:29">
      <c r="A1209">
        <v>1201</v>
      </c>
      <c r="B1209" t="s">
        <v>149</v>
      </c>
      <c r="C1209">
        <v>1593</v>
      </c>
      <c r="D1209" t="s">
        <v>343</v>
      </c>
      <c r="E1209" t="str">
        <f t="shared" si="18"/>
        <v>01593</v>
      </c>
      <c r="F1209" t="s">
        <v>111</v>
      </c>
      <c r="G1209" t="s">
        <v>150</v>
      </c>
      <c r="H1209" t="s">
        <v>151</v>
      </c>
      <c r="I1209" t="s">
        <v>5</v>
      </c>
      <c r="J1209" t="s">
        <v>152</v>
      </c>
      <c r="K1209" t="s">
        <v>153</v>
      </c>
      <c r="L1209">
        <v>251200720</v>
      </c>
      <c r="M1209" s="84">
        <v>46015</v>
      </c>
      <c r="N1209" s="84">
        <v>46015</v>
      </c>
      <c r="O1209" t="s">
        <v>191</v>
      </c>
      <c r="P1209" t="s">
        <v>192</v>
      </c>
      <c r="Q1209">
        <v>4500</v>
      </c>
      <c r="R1209">
        <v>8</v>
      </c>
      <c r="S1209">
        <v>36000</v>
      </c>
      <c r="T1209">
        <v>0</v>
      </c>
      <c r="U1209">
        <v>0</v>
      </c>
      <c r="V1209">
        <v>8</v>
      </c>
      <c r="W1209">
        <v>36000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</row>
    <row r="1210" spans="1:29">
      <c r="A1210">
        <v>1202</v>
      </c>
      <c r="B1210" t="s">
        <v>149</v>
      </c>
      <c r="C1210">
        <v>88</v>
      </c>
      <c r="D1210" t="s">
        <v>46</v>
      </c>
      <c r="E1210" t="str">
        <f t="shared" si="18"/>
        <v>00088</v>
      </c>
      <c r="F1210" t="s">
        <v>43</v>
      </c>
      <c r="G1210" t="s">
        <v>150</v>
      </c>
      <c r="H1210" t="s">
        <v>151</v>
      </c>
      <c r="I1210" t="s">
        <v>5</v>
      </c>
      <c r="J1210" t="s">
        <v>152</v>
      </c>
      <c r="K1210" t="s">
        <v>153</v>
      </c>
      <c r="L1210">
        <v>251200721</v>
      </c>
      <c r="M1210" s="84">
        <v>46015</v>
      </c>
      <c r="N1210" s="84">
        <v>46015</v>
      </c>
      <c r="O1210" t="s">
        <v>191</v>
      </c>
      <c r="P1210" t="s">
        <v>192</v>
      </c>
      <c r="Q1210">
        <v>11700</v>
      </c>
      <c r="R1210">
        <v>7</v>
      </c>
      <c r="S1210">
        <v>81900</v>
      </c>
      <c r="T1210">
        <v>0</v>
      </c>
      <c r="U1210">
        <v>0</v>
      </c>
      <c r="V1210">
        <v>7</v>
      </c>
      <c r="W1210">
        <v>81900</v>
      </c>
      <c r="X1210">
        <v>1050</v>
      </c>
      <c r="Y1210">
        <v>1050</v>
      </c>
      <c r="Z1210">
        <v>0</v>
      </c>
      <c r="AA1210">
        <v>0</v>
      </c>
      <c r="AB1210">
        <v>0</v>
      </c>
      <c r="AC1210">
        <v>2100</v>
      </c>
    </row>
    <row r="1211" spans="1:29">
      <c r="A1211">
        <v>1203</v>
      </c>
      <c r="B1211" t="s">
        <v>149</v>
      </c>
      <c r="C1211">
        <v>88</v>
      </c>
      <c r="D1211" t="s">
        <v>46</v>
      </c>
      <c r="E1211" t="str">
        <f t="shared" si="18"/>
        <v>00088</v>
      </c>
      <c r="F1211" t="s">
        <v>43</v>
      </c>
      <c r="G1211" t="s">
        <v>150</v>
      </c>
      <c r="H1211" t="s">
        <v>151</v>
      </c>
      <c r="I1211" t="s">
        <v>4</v>
      </c>
      <c r="J1211" t="s">
        <v>152</v>
      </c>
      <c r="K1211" t="s">
        <v>153</v>
      </c>
      <c r="L1211">
        <v>251200721</v>
      </c>
      <c r="M1211" s="84">
        <v>46015</v>
      </c>
      <c r="N1211" s="84">
        <v>46015</v>
      </c>
      <c r="O1211" t="s">
        <v>160</v>
      </c>
      <c r="P1211" t="s">
        <v>161</v>
      </c>
      <c r="Q1211">
        <v>14250</v>
      </c>
      <c r="R1211">
        <v>8</v>
      </c>
      <c r="S1211">
        <v>114000</v>
      </c>
      <c r="T1211">
        <v>0</v>
      </c>
      <c r="U1211">
        <v>0</v>
      </c>
      <c r="V1211">
        <v>8</v>
      </c>
      <c r="W1211">
        <v>114000</v>
      </c>
      <c r="X1211">
        <v>1200</v>
      </c>
      <c r="Y1211">
        <v>1600</v>
      </c>
      <c r="Z1211">
        <v>0</v>
      </c>
      <c r="AA1211">
        <v>0</v>
      </c>
      <c r="AB1211">
        <v>0</v>
      </c>
      <c r="AC1211">
        <v>2800</v>
      </c>
    </row>
    <row r="1212" spans="1:29">
      <c r="A1212">
        <v>1204</v>
      </c>
      <c r="B1212" t="s">
        <v>149</v>
      </c>
      <c r="C1212">
        <v>1557</v>
      </c>
      <c r="D1212" t="s">
        <v>344</v>
      </c>
      <c r="E1212" t="str">
        <f t="shared" si="18"/>
        <v>01557</v>
      </c>
      <c r="F1212" t="s">
        <v>111</v>
      </c>
      <c r="G1212" t="s">
        <v>150</v>
      </c>
      <c r="H1212" t="s">
        <v>151</v>
      </c>
      <c r="I1212" t="s">
        <v>4</v>
      </c>
      <c r="J1212" t="s">
        <v>152</v>
      </c>
      <c r="K1212" t="s">
        <v>153</v>
      </c>
      <c r="L1212">
        <v>251200722</v>
      </c>
      <c r="M1212" s="84">
        <v>46015</v>
      </c>
      <c r="N1212" s="84">
        <v>46015</v>
      </c>
      <c r="O1212" t="s">
        <v>160</v>
      </c>
      <c r="P1212" t="s">
        <v>161</v>
      </c>
      <c r="Q1212">
        <v>5500</v>
      </c>
      <c r="R1212">
        <v>40</v>
      </c>
      <c r="S1212">
        <v>220000</v>
      </c>
      <c r="T1212">
        <v>0</v>
      </c>
      <c r="U1212">
        <v>0</v>
      </c>
      <c r="V1212">
        <v>40</v>
      </c>
      <c r="W1212">
        <v>220000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</row>
    <row r="1213" spans="1:29">
      <c r="A1213">
        <v>1205</v>
      </c>
      <c r="B1213" t="s">
        <v>149</v>
      </c>
      <c r="C1213">
        <v>1551</v>
      </c>
      <c r="D1213" t="s">
        <v>316</v>
      </c>
      <c r="E1213" t="str">
        <f t="shared" si="18"/>
        <v>01551</v>
      </c>
      <c r="F1213" t="s">
        <v>111</v>
      </c>
      <c r="G1213" t="s">
        <v>150</v>
      </c>
      <c r="H1213" t="s">
        <v>151</v>
      </c>
      <c r="I1213" t="s">
        <v>4</v>
      </c>
      <c r="J1213" t="s">
        <v>152</v>
      </c>
      <c r="K1213" t="s">
        <v>153</v>
      </c>
      <c r="L1213">
        <v>251200723</v>
      </c>
      <c r="M1213" s="84">
        <v>46015</v>
      </c>
      <c r="N1213" s="84">
        <v>46015</v>
      </c>
      <c r="O1213" t="s">
        <v>262</v>
      </c>
      <c r="P1213" t="s">
        <v>263</v>
      </c>
      <c r="Q1213">
        <v>5500</v>
      </c>
      <c r="R1213">
        <v>5</v>
      </c>
      <c r="S1213">
        <v>27500</v>
      </c>
      <c r="T1213">
        <v>0</v>
      </c>
      <c r="U1213">
        <v>0</v>
      </c>
      <c r="V1213">
        <v>5</v>
      </c>
      <c r="W1213">
        <v>27500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</row>
    <row r="1214" spans="1:29">
      <c r="A1214">
        <v>1206</v>
      </c>
      <c r="B1214" t="s">
        <v>149</v>
      </c>
      <c r="C1214">
        <v>1551</v>
      </c>
      <c r="D1214" t="s">
        <v>316</v>
      </c>
      <c r="E1214" t="str">
        <f t="shared" si="18"/>
        <v>01551</v>
      </c>
      <c r="F1214" t="s">
        <v>111</v>
      </c>
      <c r="G1214" t="s">
        <v>150</v>
      </c>
      <c r="H1214" t="s">
        <v>151</v>
      </c>
      <c r="I1214" t="s">
        <v>4</v>
      </c>
      <c r="J1214" t="s">
        <v>152</v>
      </c>
      <c r="K1214" t="s">
        <v>153</v>
      </c>
      <c r="L1214">
        <v>251200723</v>
      </c>
      <c r="M1214" s="84">
        <v>46015</v>
      </c>
      <c r="N1214" s="84">
        <v>46015</v>
      </c>
      <c r="O1214" t="s">
        <v>219</v>
      </c>
      <c r="P1214" t="s">
        <v>220</v>
      </c>
      <c r="Q1214">
        <v>5500</v>
      </c>
      <c r="R1214">
        <v>15</v>
      </c>
      <c r="S1214">
        <v>82500</v>
      </c>
      <c r="T1214">
        <v>0</v>
      </c>
      <c r="U1214">
        <v>0</v>
      </c>
      <c r="V1214">
        <v>15</v>
      </c>
      <c r="W1214">
        <v>82500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</row>
    <row r="1215" spans="1:29">
      <c r="A1215">
        <v>1207</v>
      </c>
      <c r="B1215" t="s">
        <v>149</v>
      </c>
      <c r="C1215">
        <v>827</v>
      </c>
      <c r="D1215" t="s">
        <v>84</v>
      </c>
      <c r="E1215" t="str">
        <f t="shared" si="18"/>
        <v>00827</v>
      </c>
      <c r="F1215" t="s">
        <v>83</v>
      </c>
      <c r="G1215" t="s">
        <v>164</v>
      </c>
      <c r="H1215" t="s">
        <v>151</v>
      </c>
      <c r="I1215" t="s">
        <v>4</v>
      </c>
      <c r="J1215" t="s">
        <v>152</v>
      </c>
      <c r="K1215" t="s">
        <v>153</v>
      </c>
      <c r="L1215">
        <v>251200724</v>
      </c>
      <c r="M1215" s="84">
        <v>46015</v>
      </c>
      <c r="N1215" s="84">
        <v>46015</v>
      </c>
      <c r="O1215" t="s">
        <v>177</v>
      </c>
      <c r="P1215" t="s">
        <v>178</v>
      </c>
      <c r="Q1215">
        <v>14250</v>
      </c>
      <c r="R1215">
        <v>3</v>
      </c>
      <c r="S1215">
        <v>42750</v>
      </c>
      <c r="T1215">
        <v>0</v>
      </c>
      <c r="U1215">
        <v>0</v>
      </c>
      <c r="V1215">
        <v>3</v>
      </c>
      <c r="W1215">
        <v>42750</v>
      </c>
      <c r="X1215">
        <v>450</v>
      </c>
      <c r="Y1215">
        <v>600</v>
      </c>
      <c r="Z1215">
        <v>0</v>
      </c>
      <c r="AA1215">
        <v>0</v>
      </c>
      <c r="AB1215">
        <v>0</v>
      </c>
      <c r="AC1215">
        <v>1050</v>
      </c>
    </row>
    <row r="1216" spans="1:29">
      <c r="A1216">
        <v>1208</v>
      </c>
      <c r="B1216" t="s">
        <v>149</v>
      </c>
      <c r="C1216">
        <v>1522</v>
      </c>
      <c r="D1216" t="s">
        <v>370</v>
      </c>
      <c r="E1216" t="str">
        <f t="shared" si="18"/>
        <v>01522</v>
      </c>
      <c r="F1216" t="s">
        <v>73</v>
      </c>
      <c r="G1216" t="s">
        <v>185</v>
      </c>
      <c r="H1216" t="s">
        <v>151</v>
      </c>
      <c r="I1216" t="s">
        <v>4</v>
      </c>
      <c r="J1216" t="s">
        <v>152</v>
      </c>
      <c r="K1216" t="s">
        <v>153</v>
      </c>
      <c r="L1216">
        <v>251200725</v>
      </c>
      <c r="M1216" s="84">
        <v>46015</v>
      </c>
      <c r="N1216" s="84">
        <v>46015</v>
      </c>
      <c r="O1216" t="s">
        <v>154</v>
      </c>
      <c r="P1216" t="s">
        <v>155</v>
      </c>
      <c r="Q1216">
        <v>5500</v>
      </c>
      <c r="R1216">
        <v>10</v>
      </c>
      <c r="S1216">
        <v>55000</v>
      </c>
      <c r="T1216">
        <v>0</v>
      </c>
      <c r="U1216">
        <v>0</v>
      </c>
      <c r="V1216">
        <v>10</v>
      </c>
      <c r="W1216">
        <v>55000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</row>
    <row r="1217" spans="1:29">
      <c r="A1217">
        <v>1209</v>
      </c>
      <c r="B1217" t="s">
        <v>149</v>
      </c>
      <c r="C1217">
        <v>1522</v>
      </c>
      <c r="D1217" t="s">
        <v>370</v>
      </c>
      <c r="E1217" t="str">
        <f t="shared" si="18"/>
        <v>01522</v>
      </c>
      <c r="F1217" t="s">
        <v>73</v>
      </c>
      <c r="G1217" t="s">
        <v>185</v>
      </c>
      <c r="H1217" t="s">
        <v>151</v>
      </c>
      <c r="I1217" t="s">
        <v>4</v>
      </c>
      <c r="J1217" t="s">
        <v>152</v>
      </c>
      <c r="K1217" t="s">
        <v>153</v>
      </c>
      <c r="L1217">
        <v>251200725</v>
      </c>
      <c r="M1217" s="84">
        <v>46015</v>
      </c>
      <c r="N1217" s="84">
        <v>46015</v>
      </c>
      <c r="O1217" t="s">
        <v>168</v>
      </c>
      <c r="P1217" t="s">
        <v>169</v>
      </c>
      <c r="Q1217">
        <v>5500</v>
      </c>
      <c r="R1217">
        <v>10</v>
      </c>
      <c r="S1217">
        <v>55000</v>
      </c>
      <c r="T1217">
        <v>0</v>
      </c>
      <c r="U1217">
        <v>0</v>
      </c>
      <c r="V1217">
        <v>10</v>
      </c>
      <c r="W1217">
        <v>55000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</row>
    <row r="1218" spans="1:29">
      <c r="A1218">
        <v>1210</v>
      </c>
      <c r="B1218" t="s">
        <v>149</v>
      </c>
      <c r="C1218">
        <v>134</v>
      </c>
      <c r="D1218" t="s">
        <v>79</v>
      </c>
      <c r="E1218" t="str">
        <f t="shared" si="18"/>
        <v>00134</v>
      </c>
      <c r="F1218" t="s">
        <v>73</v>
      </c>
      <c r="G1218" t="s">
        <v>185</v>
      </c>
      <c r="H1218" t="s">
        <v>151</v>
      </c>
      <c r="I1218" t="s">
        <v>4</v>
      </c>
      <c r="J1218" t="s">
        <v>152</v>
      </c>
      <c r="K1218" t="s">
        <v>153</v>
      </c>
      <c r="L1218">
        <v>251200726</v>
      </c>
      <c r="M1218" s="84">
        <v>46015</v>
      </c>
      <c r="N1218" s="84">
        <v>46015</v>
      </c>
      <c r="O1218" t="s">
        <v>179</v>
      </c>
      <c r="P1218" t="s">
        <v>180</v>
      </c>
      <c r="Q1218">
        <v>14250</v>
      </c>
      <c r="R1218">
        <v>10</v>
      </c>
      <c r="S1218">
        <v>142500</v>
      </c>
      <c r="T1218">
        <v>0</v>
      </c>
      <c r="U1218">
        <v>0</v>
      </c>
      <c r="V1218">
        <v>10</v>
      </c>
      <c r="W1218">
        <v>142500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</row>
    <row r="1219" spans="1:29">
      <c r="A1219">
        <v>1211</v>
      </c>
      <c r="B1219" t="s">
        <v>149</v>
      </c>
      <c r="C1219">
        <v>337</v>
      </c>
      <c r="D1219" t="s">
        <v>57</v>
      </c>
      <c r="E1219" t="str">
        <f t="shared" si="18"/>
        <v>00337</v>
      </c>
      <c r="F1219" t="s">
        <v>49</v>
      </c>
      <c r="G1219" t="s">
        <v>167</v>
      </c>
      <c r="H1219" t="s">
        <v>151</v>
      </c>
      <c r="I1219" t="s">
        <v>210</v>
      </c>
      <c r="J1219" t="s">
        <v>152</v>
      </c>
      <c r="K1219" t="s">
        <v>153</v>
      </c>
      <c r="L1219">
        <v>251200727</v>
      </c>
      <c r="M1219" s="84">
        <v>46015</v>
      </c>
      <c r="N1219" s="84">
        <v>46015</v>
      </c>
      <c r="O1219" t="s">
        <v>213</v>
      </c>
      <c r="P1219" t="s">
        <v>214</v>
      </c>
      <c r="Q1219">
        <v>23802</v>
      </c>
      <c r="R1219">
        <v>5</v>
      </c>
      <c r="S1219">
        <v>119010</v>
      </c>
      <c r="T1219">
        <v>0</v>
      </c>
      <c r="U1219">
        <v>0</v>
      </c>
      <c r="V1219">
        <v>5</v>
      </c>
      <c r="W1219">
        <v>119010</v>
      </c>
      <c r="X1219">
        <v>2380</v>
      </c>
      <c r="Y1219">
        <v>2380</v>
      </c>
      <c r="Z1219">
        <v>5000</v>
      </c>
      <c r="AA1219">
        <v>0</v>
      </c>
      <c r="AB1219">
        <v>500</v>
      </c>
      <c r="AC1219">
        <v>10260</v>
      </c>
    </row>
    <row r="1220" spans="1:29">
      <c r="A1220">
        <v>1212</v>
      </c>
      <c r="B1220" t="s">
        <v>149</v>
      </c>
      <c r="C1220">
        <v>337</v>
      </c>
      <c r="D1220" t="s">
        <v>57</v>
      </c>
      <c r="E1220" t="str">
        <f t="shared" si="18"/>
        <v>00337</v>
      </c>
      <c r="F1220" t="s">
        <v>49</v>
      </c>
      <c r="G1220" t="s">
        <v>167</v>
      </c>
      <c r="H1220" t="s">
        <v>151</v>
      </c>
      <c r="I1220" t="s">
        <v>231</v>
      </c>
      <c r="J1220" t="s">
        <v>152</v>
      </c>
      <c r="K1220" t="s">
        <v>153</v>
      </c>
      <c r="L1220">
        <v>251200727</v>
      </c>
      <c r="M1220" s="84">
        <v>46015</v>
      </c>
      <c r="N1220" s="84">
        <v>46015</v>
      </c>
      <c r="O1220" t="s">
        <v>233</v>
      </c>
      <c r="P1220" t="s">
        <v>118</v>
      </c>
      <c r="Q1220">
        <v>4486</v>
      </c>
      <c r="R1220">
        <v>3</v>
      </c>
      <c r="S1220">
        <v>13458</v>
      </c>
      <c r="T1220">
        <v>0</v>
      </c>
      <c r="U1220">
        <v>0</v>
      </c>
      <c r="V1220">
        <v>3</v>
      </c>
      <c r="W1220">
        <v>13458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</row>
    <row r="1221" spans="1:29">
      <c r="A1221">
        <v>1213</v>
      </c>
      <c r="B1221" t="s">
        <v>149</v>
      </c>
      <c r="C1221">
        <v>337</v>
      </c>
      <c r="D1221" t="s">
        <v>57</v>
      </c>
      <c r="E1221" t="str">
        <f t="shared" si="18"/>
        <v>00337</v>
      </c>
      <c r="F1221" t="s">
        <v>49</v>
      </c>
      <c r="G1221" t="s">
        <v>167</v>
      </c>
      <c r="H1221" t="s">
        <v>151</v>
      </c>
      <c r="I1221" t="s">
        <v>4</v>
      </c>
      <c r="J1221" t="s">
        <v>152</v>
      </c>
      <c r="K1221" t="s">
        <v>153</v>
      </c>
      <c r="L1221">
        <v>251200727</v>
      </c>
      <c r="M1221" s="84">
        <v>46015</v>
      </c>
      <c r="N1221" s="84">
        <v>46015</v>
      </c>
      <c r="O1221" t="s">
        <v>160</v>
      </c>
      <c r="P1221" t="s">
        <v>161</v>
      </c>
      <c r="Q1221">
        <v>14250</v>
      </c>
      <c r="R1221">
        <v>20</v>
      </c>
      <c r="S1221">
        <v>285000</v>
      </c>
      <c r="T1221">
        <v>0</v>
      </c>
      <c r="U1221">
        <v>0</v>
      </c>
      <c r="V1221">
        <v>20</v>
      </c>
      <c r="W1221">
        <v>285000</v>
      </c>
      <c r="X1221">
        <v>3000</v>
      </c>
      <c r="Y1221">
        <v>4000</v>
      </c>
      <c r="Z1221">
        <v>0</v>
      </c>
      <c r="AA1221">
        <v>0</v>
      </c>
      <c r="AB1221">
        <v>0</v>
      </c>
      <c r="AC1221">
        <v>7000</v>
      </c>
    </row>
    <row r="1222" spans="1:29">
      <c r="A1222">
        <v>1214</v>
      </c>
      <c r="B1222" t="s">
        <v>149</v>
      </c>
      <c r="C1222">
        <v>471</v>
      </c>
      <c r="D1222" t="s">
        <v>25</v>
      </c>
      <c r="E1222" t="str">
        <f t="shared" si="18"/>
        <v>00471</v>
      </c>
      <c r="F1222" t="s">
        <v>20</v>
      </c>
      <c r="G1222" t="s">
        <v>193</v>
      </c>
      <c r="H1222" t="s">
        <v>151</v>
      </c>
      <c r="I1222" t="s">
        <v>4</v>
      </c>
      <c r="J1222" t="s">
        <v>152</v>
      </c>
      <c r="K1222" t="s">
        <v>236</v>
      </c>
      <c r="L1222">
        <v>251200728</v>
      </c>
      <c r="M1222" s="84">
        <v>46015</v>
      </c>
      <c r="N1222" s="84">
        <v>46015</v>
      </c>
      <c r="O1222" t="s">
        <v>179</v>
      </c>
      <c r="P1222" t="s">
        <v>180</v>
      </c>
      <c r="Q1222">
        <v>14250</v>
      </c>
      <c r="R1222">
        <v>20</v>
      </c>
      <c r="S1222">
        <v>285000</v>
      </c>
      <c r="T1222">
        <v>0</v>
      </c>
      <c r="U1222">
        <v>0</v>
      </c>
      <c r="V1222">
        <v>20</v>
      </c>
      <c r="W1222">
        <v>285000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</row>
    <row r="1223" spans="1:29">
      <c r="A1223">
        <v>1215</v>
      </c>
      <c r="B1223" t="s">
        <v>149</v>
      </c>
      <c r="C1223">
        <v>471</v>
      </c>
      <c r="D1223" t="s">
        <v>25</v>
      </c>
      <c r="E1223" t="str">
        <f t="shared" si="18"/>
        <v>00471</v>
      </c>
      <c r="F1223" t="s">
        <v>20</v>
      </c>
      <c r="G1223" t="s">
        <v>193</v>
      </c>
      <c r="H1223" t="s">
        <v>151</v>
      </c>
      <c r="I1223" t="s">
        <v>4</v>
      </c>
      <c r="J1223" t="s">
        <v>152</v>
      </c>
      <c r="K1223" t="s">
        <v>236</v>
      </c>
      <c r="L1223">
        <v>251200728</v>
      </c>
      <c r="M1223" s="84">
        <v>46015</v>
      </c>
      <c r="N1223" s="84">
        <v>46015</v>
      </c>
      <c r="O1223" t="s">
        <v>160</v>
      </c>
      <c r="P1223" t="s">
        <v>161</v>
      </c>
      <c r="Q1223">
        <v>14250</v>
      </c>
      <c r="R1223">
        <v>12</v>
      </c>
      <c r="S1223">
        <v>171000</v>
      </c>
      <c r="T1223">
        <v>0</v>
      </c>
      <c r="U1223">
        <v>0</v>
      </c>
      <c r="V1223">
        <v>12</v>
      </c>
      <c r="W1223">
        <v>171000</v>
      </c>
      <c r="X1223">
        <v>1800</v>
      </c>
      <c r="Y1223">
        <v>2400</v>
      </c>
      <c r="Z1223">
        <v>0</v>
      </c>
      <c r="AA1223">
        <v>0</v>
      </c>
      <c r="AB1223">
        <v>0</v>
      </c>
      <c r="AC1223">
        <v>4200</v>
      </c>
    </row>
    <row r="1224" spans="1:29">
      <c r="A1224">
        <v>1216</v>
      </c>
      <c r="B1224" t="s">
        <v>149</v>
      </c>
      <c r="C1224">
        <v>471</v>
      </c>
      <c r="D1224" t="s">
        <v>25</v>
      </c>
      <c r="E1224" t="str">
        <f t="shared" si="18"/>
        <v>00471</v>
      </c>
      <c r="F1224" t="s">
        <v>20</v>
      </c>
      <c r="G1224" t="s">
        <v>193</v>
      </c>
      <c r="H1224" t="s">
        <v>151</v>
      </c>
      <c r="I1224" t="s">
        <v>4</v>
      </c>
      <c r="J1224" t="s">
        <v>152</v>
      </c>
      <c r="K1224" t="s">
        <v>236</v>
      </c>
      <c r="L1224">
        <v>251200728</v>
      </c>
      <c r="M1224" s="84">
        <v>46015</v>
      </c>
      <c r="N1224" s="84">
        <v>46015</v>
      </c>
      <c r="O1224" t="s">
        <v>154</v>
      </c>
      <c r="P1224" t="s">
        <v>155</v>
      </c>
      <c r="Q1224">
        <v>14250</v>
      </c>
      <c r="R1224">
        <v>10</v>
      </c>
      <c r="S1224">
        <v>142500</v>
      </c>
      <c r="T1224">
        <v>0</v>
      </c>
      <c r="U1224">
        <v>0</v>
      </c>
      <c r="V1224">
        <v>10</v>
      </c>
      <c r="W1224">
        <v>142500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</row>
    <row r="1225" spans="1:29">
      <c r="A1225">
        <v>1217</v>
      </c>
      <c r="B1225" t="s">
        <v>149</v>
      </c>
      <c r="C1225">
        <v>1368</v>
      </c>
      <c r="D1225" t="s">
        <v>22</v>
      </c>
      <c r="E1225" t="str">
        <f t="shared" ref="E1225:E1288" si="19">TEXT(C1225,"00000")</f>
        <v>01368</v>
      </c>
      <c r="F1225" t="s">
        <v>20</v>
      </c>
      <c r="G1225" t="s">
        <v>193</v>
      </c>
      <c r="H1225" t="s">
        <v>151</v>
      </c>
      <c r="I1225" t="s">
        <v>4</v>
      </c>
      <c r="J1225" t="s">
        <v>152</v>
      </c>
      <c r="K1225" t="s">
        <v>236</v>
      </c>
      <c r="L1225">
        <v>251200729</v>
      </c>
      <c r="M1225" s="84">
        <v>46015</v>
      </c>
      <c r="N1225" s="84">
        <v>46015</v>
      </c>
      <c r="O1225" t="s">
        <v>160</v>
      </c>
      <c r="P1225" t="s">
        <v>161</v>
      </c>
      <c r="Q1225">
        <v>14250</v>
      </c>
      <c r="R1225">
        <v>8</v>
      </c>
      <c r="S1225">
        <v>114000</v>
      </c>
      <c r="T1225">
        <v>0</v>
      </c>
      <c r="U1225">
        <v>0</v>
      </c>
      <c r="V1225">
        <v>8</v>
      </c>
      <c r="W1225">
        <v>114000</v>
      </c>
      <c r="X1225">
        <v>1200</v>
      </c>
      <c r="Y1225">
        <v>1600</v>
      </c>
      <c r="Z1225">
        <v>0</v>
      </c>
      <c r="AA1225">
        <v>0</v>
      </c>
      <c r="AB1225">
        <v>0</v>
      </c>
      <c r="AC1225">
        <v>2800</v>
      </c>
    </row>
    <row r="1226" spans="1:29">
      <c r="A1226">
        <v>1218</v>
      </c>
      <c r="B1226" t="s">
        <v>149</v>
      </c>
      <c r="C1226">
        <v>336</v>
      </c>
      <c r="D1226" t="s">
        <v>31</v>
      </c>
      <c r="E1226" t="str">
        <f t="shared" si="19"/>
        <v>00336</v>
      </c>
      <c r="F1226" t="s">
        <v>28</v>
      </c>
      <c r="G1226" t="s">
        <v>164</v>
      </c>
      <c r="H1226" t="s">
        <v>151</v>
      </c>
      <c r="I1226" t="s">
        <v>210</v>
      </c>
      <c r="J1226" t="s">
        <v>152</v>
      </c>
      <c r="K1226" t="s">
        <v>153</v>
      </c>
      <c r="L1226">
        <v>251200730</v>
      </c>
      <c r="M1226" s="84">
        <v>46015</v>
      </c>
      <c r="N1226" s="84">
        <v>46015</v>
      </c>
      <c r="O1226" t="s">
        <v>213</v>
      </c>
      <c r="P1226" t="s">
        <v>214</v>
      </c>
      <c r="Q1226">
        <v>23802</v>
      </c>
      <c r="R1226">
        <v>2</v>
      </c>
      <c r="S1226">
        <v>47604</v>
      </c>
      <c r="T1226">
        <v>0</v>
      </c>
      <c r="U1226">
        <v>0</v>
      </c>
      <c r="V1226">
        <v>2</v>
      </c>
      <c r="W1226">
        <v>47604</v>
      </c>
      <c r="X1226">
        <v>952</v>
      </c>
      <c r="Y1226">
        <v>952</v>
      </c>
      <c r="Z1226">
        <v>2000</v>
      </c>
      <c r="AA1226">
        <v>0</v>
      </c>
      <c r="AB1226">
        <v>200</v>
      </c>
      <c r="AC1226">
        <v>4104</v>
      </c>
    </row>
    <row r="1227" spans="1:29">
      <c r="A1227">
        <v>1219</v>
      </c>
      <c r="B1227" t="s">
        <v>149</v>
      </c>
      <c r="C1227">
        <v>1118</v>
      </c>
      <c r="D1227" t="s">
        <v>37</v>
      </c>
      <c r="E1227" t="str">
        <f t="shared" si="19"/>
        <v>01118</v>
      </c>
      <c r="F1227" t="s">
        <v>28</v>
      </c>
      <c r="G1227" t="s">
        <v>164</v>
      </c>
      <c r="H1227" t="s">
        <v>151</v>
      </c>
      <c r="I1227" t="s">
        <v>4</v>
      </c>
      <c r="J1227" t="s">
        <v>152</v>
      </c>
      <c r="K1227" t="s">
        <v>153</v>
      </c>
      <c r="L1227">
        <v>251200731</v>
      </c>
      <c r="M1227" s="84">
        <v>46015</v>
      </c>
      <c r="N1227" s="84">
        <v>46015</v>
      </c>
      <c r="O1227" t="s">
        <v>160</v>
      </c>
      <c r="P1227" t="s">
        <v>161</v>
      </c>
      <c r="Q1227">
        <v>14250</v>
      </c>
      <c r="R1227">
        <v>12</v>
      </c>
      <c r="S1227">
        <v>171000</v>
      </c>
      <c r="T1227">
        <v>0</v>
      </c>
      <c r="U1227">
        <v>0</v>
      </c>
      <c r="V1227">
        <v>12</v>
      </c>
      <c r="W1227">
        <v>171000</v>
      </c>
      <c r="X1227">
        <v>1800</v>
      </c>
      <c r="Y1227">
        <v>2400</v>
      </c>
      <c r="Z1227">
        <v>0</v>
      </c>
      <c r="AA1227">
        <v>0</v>
      </c>
      <c r="AB1227">
        <v>0</v>
      </c>
      <c r="AC1227">
        <v>4200</v>
      </c>
    </row>
    <row r="1228" spans="1:29">
      <c r="A1228">
        <v>1220</v>
      </c>
      <c r="B1228" t="s">
        <v>149</v>
      </c>
      <c r="C1228">
        <v>1550</v>
      </c>
      <c r="D1228" t="s">
        <v>337</v>
      </c>
      <c r="E1228" t="str">
        <f t="shared" si="19"/>
        <v>01550</v>
      </c>
      <c r="F1228" t="s">
        <v>15</v>
      </c>
      <c r="G1228" t="s">
        <v>193</v>
      </c>
      <c r="H1228" t="s">
        <v>151</v>
      </c>
      <c r="I1228" t="s">
        <v>5</v>
      </c>
      <c r="J1228" t="s">
        <v>152</v>
      </c>
      <c r="K1228" t="s">
        <v>153</v>
      </c>
      <c r="L1228">
        <v>251200732</v>
      </c>
      <c r="M1228" s="84">
        <v>46015</v>
      </c>
      <c r="N1228" s="84">
        <v>46015</v>
      </c>
      <c r="O1228" t="s">
        <v>260</v>
      </c>
      <c r="P1228" t="s">
        <v>261</v>
      </c>
      <c r="Q1228">
        <v>4500</v>
      </c>
      <c r="R1228">
        <v>4</v>
      </c>
      <c r="S1228">
        <v>18000</v>
      </c>
      <c r="T1228">
        <v>0</v>
      </c>
      <c r="U1228">
        <v>0</v>
      </c>
      <c r="V1228">
        <v>4</v>
      </c>
      <c r="W1228">
        <v>18000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</row>
    <row r="1229" spans="1:29">
      <c r="A1229">
        <v>1221</v>
      </c>
      <c r="B1229" t="s">
        <v>149</v>
      </c>
      <c r="C1229">
        <v>1550</v>
      </c>
      <c r="D1229" t="s">
        <v>337</v>
      </c>
      <c r="E1229" t="str">
        <f t="shared" si="19"/>
        <v>01550</v>
      </c>
      <c r="F1229" t="s">
        <v>15</v>
      </c>
      <c r="G1229" t="s">
        <v>193</v>
      </c>
      <c r="H1229" t="s">
        <v>151</v>
      </c>
      <c r="I1229" t="s">
        <v>5</v>
      </c>
      <c r="J1229" t="s">
        <v>152</v>
      </c>
      <c r="K1229" t="s">
        <v>153</v>
      </c>
      <c r="L1229">
        <v>251200732</v>
      </c>
      <c r="M1229" s="84">
        <v>46015</v>
      </c>
      <c r="N1229" s="84">
        <v>46015</v>
      </c>
      <c r="O1229" t="s">
        <v>191</v>
      </c>
      <c r="P1229" t="s">
        <v>192</v>
      </c>
      <c r="Q1229">
        <v>4500</v>
      </c>
      <c r="R1229">
        <v>36</v>
      </c>
      <c r="S1229">
        <v>162000</v>
      </c>
      <c r="T1229">
        <v>0</v>
      </c>
      <c r="U1229">
        <v>0</v>
      </c>
      <c r="V1229">
        <v>36</v>
      </c>
      <c r="W1229">
        <v>162000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</row>
    <row r="1230" spans="1:29">
      <c r="A1230">
        <v>1222</v>
      </c>
      <c r="B1230" t="s">
        <v>149</v>
      </c>
      <c r="C1230">
        <v>1312</v>
      </c>
      <c r="D1230" t="s">
        <v>359</v>
      </c>
      <c r="E1230" t="str">
        <f t="shared" si="19"/>
        <v>01312</v>
      </c>
      <c r="F1230" t="s">
        <v>15</v>
      </c>
      <c r="G1230" t="s">
        <v>193</v>
      </c>
      <c r="H1230" t="s">
        <v>151</v>
      </c>
      <c r="I1230" t="s">
        <v>5</v>
      </c>
      <c r="J1230" t="s">
        <v>152</v>
      </c>
      <c r="K1230" t="s">
        <v>153</v>
      </c>
      <c r="L1230">
        <v>251200733</v>
      </c>
      <c r="M1230" s="84">
        <v>46015</v>
      </c>
      <c r="N1230" s="84">
        <v>46015</v>
      </c>
      <c r="O1230" t="s">
        <v>196</v>
      </c>
      <c r="P1230" t="s">
        <v>197</v>
      </c>
      <c r="Q1230">
        <v>4500</v>
      </c>
      <c r="R1230">
        <v>12</v>
      </c>
      <c r="S1230">
        <v>54000</v>
      </c>
      <c r="T1230">
        <v>0</v>
      </c>
      <c r="U1230">
        <v>0</v>
      </c>
      <c r="V1230">
        <v>12</v>
      </c>
      <c r="W1230">
        <v>54000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</row>
    <row r="1231" spans="1:29">
      <c r="A1231">
        <v>1223</v>
      </c>
      <c r="B1231" t="s">
        <v>149</v>
      </c>
      <c r="C1231">
        <v>1326</v>
      </c>
      <c r="D1231" t="s">
        <v>338</v>
      </c>
      <c r="E1231" t="str">
        <f t="shared" si="19"/>
        <v>01326</v>
      </c>
      <c r="F1231" t="s">
        <v>15</v>
      </c>
      <c r="G1231" t="s">
        <v>193</v>
      </c>
      <c r="H1231" t="s">
        <v>151</v>
      </c>
      <c r="I1231" t="s">
        <v>5</v>
      </c>
      <c r="J1231" t="s">
        <v>152</v>
      </c>
      <c r="K1231" t="s">
        <v>153</v>
      </c>
      <c r="L1231">
        <v>251200734</v>
      </c>
      <c r="M1231" s="84">
        <v>46015</v>
      </c>
      <c r="N1231" s="84">
        <v>46015</v>
      </c>
      <c r="O1231" t="s">
        <v>191</v>
      </c>
      <c r="P1231" t="s">
        <v>192</v>
      </c>
      <c r="Q1231">
        <v>4500</v>
      </c>
      <c r="R1231">
        <v>44</v>
      </c>
      <c r="S1231">
        <v>198000</v>
      </c>
      <c r="T1231">
        <v>0</v>
      </c>
      <c r="U1231">
        <v>0</v>
      </c>
      <c r="V1231">
        <v>44</v>
      </c>
      <c r="W1231">
        <v>198000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</row>
    <row r="1232" spans="1:29">
      <c r="A1232">
        <v>1224</v>
      </c>
      <c r="B1232" t="s">
        <v>149</v>
      </c>
      <c r="C1232">
        <v>1605</v>
      </c>
      <c r="D1232" t="s">
        <v>304</v>
      </c>
      <c r="E1232" t="str">
        <f t="shared" si="19"/>
        <v>01605</v>
      </c>
      <c r="F1232" t="s">
        <v>15</v>
      </c>
      <c r="G1232" t="s">
        <v>193</v>
      </c>
      <c r="H1232" t="s">
        <v>151</v>
      </c>
      <c r="I1232" t="s">
        <v>210</v>
      </c>
      <c r="J1232" t="s">
        <v>152</v>
      </c>
      <c r="K1232" t="s">
        <v>153</v>
      </c>
      <c r="L1232">
        <v>251200735</v>
      </c>
      <c r="M1232" s="84">
        <v>46015</v>
      </c>
      <c r="N1232" s="84">
        <v>46015</v>
      </c>
      <c r="O1232" t="s">
        <v>213</v>
      </c>
      <c r="P1232" t="s">
        <v>214</v>
      </c>
      <c r="Q1232">
        <v>23802</v>
      </c>
      <c r="R1232">
        <v>2</v>
      </c>
      <c r="S1232">
        <v>47604</v>
      </c>
      <c r="T1232">
        <v>0</v>
      </c>
      <c r="U1232">
        <v>0</v>
      </c>
      <c r="V1232">
        <v>2</v>
      </c>
      <c r="W1232">
        <v>47604</v>
      </c>
      <c r="X1232">
        <v>952</v>
      </c>
      <c r="Y1232">
        <v>952</v>
      </c>
      <c r="Z1232">
        <v>2000</v>
      </c>
      <c r="AA1232">
        <v>0</v>
      </c>
      <c r="AB1232">
        <v>200</v>
      </c>
      <c r="AC1232">
        <v>4104</v>
      </c>
    </row>
    <row r="1233" spans="1:29">
      <c r="A1233">
        <v>1225</v>
      </c>
      <c r="B1233" t="s">
        <v>149</v>
      </c>
      <c r="C1233">
        <v>988</v>
      </c>
      <c r="D1233" t="s">
        <v>19</v>
      </c>
      <c r="E1233" t="str">
        <f t="shared" si="19"/>
        <v>00988</v>
      </c>
      <c r="F1233" t="s">
        <v>15</v>
      </c>
      <c r="G1233" t="s">
        <v>193</v>
      </c>
      <c r="H1233" t="s">
        <v>151</v>
      </c>
      <c r="I1233" t="s">
        <v>210</v>
      </c>
      <c r="J1233" t="s">
        <v>152</v>
      </c>
      <c r="K1233" t="s">
        <v>153</v>
      </c>
      <c r="L1233">
        <v>251200736</v>
      </c>
      <c r="M1233" s="84">
        <v>46015</v>
      </c>
      <c r="N1233" s="84">
        <v>46015</v>
      </c>
      <c r="O1233" t="s">
        <v>213</v>
      </c>
      <c r="P1233" t="s">
        <v>214</v>
      </c>
      <c r="Q1233">
        <v>23802</v>
      </c>
      <c r="R1233">
        <v>8</v>
      </c>
      <c r="S1233">
        <v>190416</v>
      </c>
      <c r="T1233">
        <v>0</v>
      </c>
      <c r="U1233">
        <v>0</v>
      </c>
      <c r="V1233">
        <v>8</v>
      </c>
      <c r="W1233">
        <v>190416</v>
      </c>
      <c r="X1233">
        <v>3808</v>
      </c>
      <c r="Y1233">
        <v>3808</v>
      </c>
      <c r="Z1233">
        <v>8000</v>
      </c>
      <c r="AA1233">
        <v>0</v>
      </c>
      <c r="AB1233">
        <v>800</v>
      </c>
      <c r="AC1233">
        <v>16416</v>
      </c>
    </row>
    <row r="1234" spans="1:29">
      <c r="A1234">
        <v>1226</v>
      </c>
      <c r="B1234" t="s">
        <v>149</v>
      </c>
      <c r="C1234">
        <v>988</v>
      </c>
      <c r="D1234" t="s">
        <v>19</v>
      </c>
      <c r="E1234" t="str">
        <f t="shared" si="19"/>
        <v>00988</v>
      </c>
      <c r="F1234" t="s">
        <v>15</v>
      </c>
      <c r="G1234" t="s">
        <v>193</v>
      </c>
      <c r="H1234" t="s">
        <v>151</v>
      </c>
      <c r="I1234" t="s">
        <v>210</v>
      </c>
      <c r="J1234" t="s">
        <v>152</v>
      </c>
      <c r="K1234" t="s">
        <v>153</v>
      </c>
      <c r="L1234">
        <v>251200736</v>
      </c>
      <c r="M1234" s="84">
        <v>46015</v>
      </c>
      <c r="N1234" s="84">
        <v>46015</v>
      </c>
      <c r="O1234" t="s">
        <v>250</v>
      </c>
      <c r="P1234" t="s">
        <v>251</v>
      </c>
      <c r="Q1234">
        <v>30930</v>
      </c>
      <c r="R1234">
        <v>2</v>
      </c>
      <c r="S1234">
        <v>61860</v>
      </c>
      <c r="T1234">
        <v>0</v>
      </c>
      <c r="U1234">
        <v>0</v>
      </c>
      <c r="V1234">
        <v>2</v>
      </c>
      <c r="W1234">
        <v>61860</v>
      </c>
      <c r="X1234">
        <v>1856</v>
      </c>
      <c r="Y1234">
        <v>2474</v>
      </c>
      <c r="Z1234">
        <v>1238</v>
      </c>
      <c r="AA1234">
        <v>3094</v>
      </c>
      <c r="AB1234">
        <v>200</v>
      </c>
      <c r="AC1234">
        <v>8862</v>
      </c>
    </row>
    <row r="1235" spans="1:29">
      <c r="A1235">
        <v>1227</v>
      </c>
      <c r="B1235" t="s">
        <v>149</v>
      </c>
      <c r="C1235">
        <v>1569</v>
      </c>
      <c r="D1235" t="s">
        <v>329</v>
      </c>
      <c r="E1235" t="str">
        <f t="shared" si="19"/>
        <v>01569</v>
      </c>
      <c r="F1235" t="s">
        <v>10</v>
      </c>
      <c r="G1235" t="s">
        <v>172</v>
      </c>
      <c r="H1235" t="s">
        <v>157</v>
      </c>
      <c r="I1235" t="s">
        <v>4</v>
      </c>
      <c r="J1235" t="s">
        <v>152</v>
      </c>
      <c r="K1235" t="s">
        <v>174</v>
      </c>
      <c r="L1235">
        <v>251200737</v>
      </c>
      <c r="M1235" s="84">
        <v>46015</v>
      </c>
      <c r="N1235" s="84">
        <v>46015</v>
      </c>
      <c r="O1235" t="s">
        <v>221</v>
      </c>
      <c r="P1235" t="s">
        <v>222</v>
      </c>
      <c r="Q1235">
        <v>5500</v>
      </c>
      <c r="R1235">
        <v>1</v>
      </c>
      <c r="S1235">
        <v>5500</v>
      </c>
      <c r="T1235">
        <v>0</v>
      </c>
      <c r="U1235">
        <v>0</v>
      </c>
      <c r="V1235">
        <v>1</v>
      </c>
      <c r="W1235">
        <v>5500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</row>
    <row r="1236" spans="1:29">
      <c r="A1236">
        <v>1228</v>
      </c>
      <c r="B1236" t="s">
        <v>149</v>
      </c>
      <c r="C1236">
        <v>1534</v>
      </c>
      <c r="D1236" t="s">
        <v>371</v>
      </c>
      <c r="E1236" t="str">
        <f t="shared" si="19"/>
        <v>01534</v>
      </c>
      <c r="F1236" t="s">
        <v>65</v>
      </c>
      <c r="G1236" t="s">
        <v>208</v>
      </c>
      <c r="H1236" t="s">
        <v>157</v>
      </c>
      <c r="I1236" t="s">
        <v>4</v>
      </c>
      <c r="J1236" t="s">
        <v>152</v>
      </c>
      <c r="K1236" t="s">
        <v>174</v>
      </c>
      <c r="L1236">
        <v>251200738</v>
      </c>
      <c r="M1236" s="84">
        <v>46015</v>
      </c>
      <c r="N1236" s="84">
        <v>46015</v>
      </c>
      <c r="O1236" t="s">
        <v>294</v>
      </c>
      <c r="P1236" t="s">
        <v>295</v>
      </c>
      <c r="Q1236">
        <v>5500</v>
      </c>
      <c r="R1236">
        <v>10</v>
      </c>
      <c r="S1236">
        <v>55000</v>
      </c>
      <c r="T1236">
        <v>0</v>
      </c>
      <c r="U1236">
        <v>0</v>
      </c>
      <c r="V1236">
        <v>10</v>
      </c>
      <c r="W1236">
        <v>55000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</row>
    <row r="1237" spans="1:29">
      <c r="A1237">
        <v>1229</v>
      </c>
      <c r="B1237" t="s">
        <v>149</v>
      </c>
      <c r="C1237">
        <v>1534</v>
      </c>
      <c r="D1237" t="s">
        <v>371</v>
      </c>
      <c r="E1237" t="str">
        <f t="shared" si="19"/>
        <v>01534</v>
      </c>
      <c r="F1237" t="s">
        <v>65</v>
      </c>
      <c r="G1237" t="s">
        <v>208</v>
      </c>
      <c r="H1237" t="s">
        <v>157</v>
      </c>
      <c r="I1237" t="s">
        <v>4</v>
      </c>
      <c r="J1237" t="s">
        <v>152</v>
      </c>
      <c r="K1237" t="s">
        <v>174</v>
      </c>
      <c r="L1237">
        <v>251200738</v>
      </c>
      <c r="M1237" s="84">
        <v>46015</v>
      </c>
      <c r="N1237" s="84">
        <v>46015</v>
      </c>
      <c r="O1237" t="s">
        <v>321</v>
      </c>
      <c r="P1237" t="s">
        <v>322</v>
      </c>
      <c r="Q1237">
        <v>5500</v>
      </c>
      <c r="R1237">
        <v>5</v>
      </c>
      <c r="S1237">
        <v>27500</v>
      </c>
      <c r="T1237">
        <v>0</v>
      </c>
      <c r="U1237">
        <v>0</v>
      </c>
      <c r="V1237">
        <v>5</v>
      </c>
      <c r="W1237">
        <v>27500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</row>
    <row r="1238" spans="1:29">
      <c r="A1238">
        <v>1230</v>
      </c>
      <c r="B1238" t="s">
        <v>149</v>
      </c>
      <c r="C1238">
        <v>1391</v>
      </c>
      <c r="D1238" t="s">
        <v>97</v>
      </c>
      <c r="E1238" t="str">
        <f t="shared" si="19"/>
        <v>01391</v>
      </c>
      <c r="F1238" t="s">
        <v>95</v>
      </c>
      <c r="G1238" t="s">
        <v>187</v>
      </c>
      <c r="H1238" t="s">
        <v>188</v>
      </c>
      <c r="I1238" t="s">
        <v>4</v>
      </c>
      <c r="J1238" t="s">
        <v>152</v>
      </c>
      <c r="K1238" t="s">
        <v>159</v>
      </c>
      <c r="L1238">
        <v>251200739</v>
      </c>
      <c r="M1238" s="84">
        <v>46015</v>
      </c>
      <c r="N1238" s="84">
        <v>46015</v>
      </c>
      <c r="O1238" t="s">
        <v>219</v>
      </c>
      <c r="P1238" t="s">
        <v>220</v>
      </c>
      <c r="Q1238">
        <v>13200</v>
      </c>
      <c r="R1238">
        <v>4</v>
      </c>
      <c r="S1238">
        <v>52800</v>
      </c>
      <c r="T1238">
        <v>0</v>
      </c>
      <c r="U1238">
        <v>0</v>
      </c>
      <c r="V1238">
        <v>4</v>
      </c>
      <c r="W1238">
        <v>52800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</row>
    <row r="1239" spans="1:29">
      <c r="A1239">
        <v>1231</v>
      </c>
      <c r="B1239" t="s">
        <v>149</v>
      </c>
      <c r="C1239">
        <v>1562</v>
      </c>
      <c r="D1239" t="s">
        <v>325</v>
      </c>
      <c r="E1239" t="str">
        <f t="shared" si="19"/>
        <v>01562</v>
      </c>
      <c r="F1239" t="s">
        <v>10</v>
      </c>
      <c r="G1239" t="s">
        <v>172</v>
      </c>
      <c r="H1239" t="s">
        <v>157</v>
      </c>
      <c r="I1239" t="s">
        <v>4</v>
      </c>
      <c r="J1239" t="s">
        <v>152</v>
      </c>
      <c r="K1239" t="s">
        <v>174</v>
      </c>
      <c r="L1239">
        <v>251200740</v>
      </c>
      <c r="M1239" s="84">
        <v>46015</v>
      </c>
      <c r="N1239" s="84">
        <v>46015</v>
      </c>
      <c r="O1239" t="s">
        <v>160</v>
      </c>
      <c r="P1239" t="s">
        <v>161</v>
      </c>
      <c r="Q1239">
        <v>5500</v>
      </c>
      <c r="R1239">
        <v>5</v>
      </c>
      <c r="S1239">
        <v>27500</v>
      </c>
      <c r="T1239">
        <v>0</v>
      </c>
      <c r="U1239">
        <v>0</v>
      </c>
      <c r="V1239">
        <v>5</v>
      </c>
      <c r="W1239">
        <v>27500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</row>
    <row r="1240" spans="1:29">
      <c r="A1240">
        <v>1232</v>
      </c>
      <c r="B1240" t="s">
        <v>149</v>
      </c>
      <c r="C1240">
        <v>1547</v>
      </c>
      <c r="D1240" t="s">
        <v>413</v>
      </c>
      <c r="E1240" t="str">
        <f t="shared" si="19"/>
        <v>01547</v>
      </c>
      <c r="F1240" t="s">
        <v>10</v>
      </c>
      <c r="G1240" t="s">
        <v>172</v>
      </c>
      <c r="H1240" t="s">
        <v>157</v>
      </c>
      <c r="I1240" t="s">
        <v>4</v>
      </c>
      <c r="J1240" t="s">
        <v>152</v>
      </c>
      <c r="K1240" t="s">
        <v>174</v>
      </c>
      <c r="L1240">
        <v>251200741</v>
      </c>
      <c r="M1240" s="84">
        <v>46015</v>
      </c>
      <c r="N1240" s="84">
        <v>46015</v>
      </c>
      <c r="O1240" t="s">
        <v>160</v>
      </c>
      <c r="P1240" t="s">
        <v>161</v>
      </c>
      <c r="Q1240">
        <v>5500</v>
      </c>
      <c r="R1240">
        <v>10</v>
      </c>
      <c r="S1240">
        <v>55000</v>
      </c>
      <c r="T1240">
        <v>0</v>
      </c>
      <c r="U1240">
        <v>0</v>
      </c>
      <c r="V1240">
        <v>10</v>
      </c>
      <c r="W1240">
        <v>55000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</row>
    <row r="1241" spans="1:29">
      <c r="A1241">
        <v>1233</v>
      </c>
      <c r="B1241" t="s">
        <v>149</v>
      </c>
      <c r="C1241">
        <v>1547</v>
      </c>
      <c r="D1241" t="s">
        <v>413</v>
      </c>
      <c r="E1241" t="str">
        <f t="shared" si="19"/>
        <v>01547</v>
      </c>
      <c r="F1241" t="s">
        <v>10</v>
      </c>
      <c r="G1241" t="s">
        <v>172</v>
      </c>
      <c r="H1241" t="s">
        <v>157</v>
      </c>
      <c r="I1241" t="s">
        <v>4</v>
      </c>
      <c r="J1241" t="s">
        <v>152</v>
      </c>
      <c r="K1241" t="s">
        <v>174</v>
      </c>
      <c r="L1241">
        <v>251200741</v>
      </c>
      <c r="M1241" s="84">
        <v>46015</v>
      </c>
      <c r="N1241" s="84">
        <v>46015</v>
      </c>
      <c r="O1241" t="s">
        <v>206</v>
      </c>
      <c r="P1241" t="s">
        <v>207</v>
      </c>
      <c r="Q1241">
        <v>5500</v>
      </c>
      <c r="R1241">
        <v>5</v>
      </c>
      <c r="S1241">
        <v>27500</v>
      </c>
      <c r="T1241">
        <v>0</v>
      </c>
      <c r="U1241">
        <v>0</v>
      </c>
      <c r="V1241">
        <v>5</v>
      </c>
      <c r="W1241">
        <v>27500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</row>
    <row r="1242" spans="1:29">
      <c r="A1242">
        <v>1234</v>
      </c>
      <c r="B1242" t="s">
        <v>149</v>
      </c>
      <c r="C1242">
        <v>1511</v>
      </c>
      <c r="D1242" t="s">
        <v>414</v>
      </c>
      <c r="E1242" t="str">
        <f t="shared" si="19"/>
        <v>01511</v>
      </c>
      <c r="F1242" t="s">
        <v>10</v>
      </c>
      <c r="G1242" t="s">
        <v>172</v>
      </c>
      <c r="H1242" t="s">
        <v>157</v>
      </c>
      <c r="I1242" t="s">
        <v>4</v>
      </c>
      <c r="J1242" t="s">
        <v>152</v>
      </c>
      <c r="K1242" t="s">
        <v>174</v>
      </c>
      <c r="L1242">
        <v>251200742</v>
      </c>
      <c r="M1242" s="84">
        <v>46015</v>
      </c>
      <c r="N1242" s="84">
        <v>46015</v>
      </c>
      <c r="O1242" t="s">
        <v>160</v>
      </c>
      <c r="P1242" t="s">
        <v>161</v>
      </c>
      <c r="Q1242">
        <v>5500</v>
      </c>
      <c r="R1242">
        <v>10</v>
      </c>
      <c r="S1242">
        <v>55000</v>
      </c>
      <c r="T1242">
        <v>0</v>
      </c>
      <c r="U1242">
        <v>0</v>
      </c>
      <c r="V1242">
        <v>10</v>
      </c>
      <c r="W1242">
        <v>55000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</row>
    <row r="1243" spans="1:29">
      <c r="A1243">
        <v>1235</v>
      </c>
      <c r="B1243" t="s">
        <v>149</v>
      </c>
      <c r="C1243">
        <v>1511</v>
      </c>
      <c r="D1243" t="s">
        <v>414</v>
      </c>
      <c r="E1243" t="str">
        <f t="shared" si="19"/>
        <v>01511</v>
      </c>
      <c r="F1243" t="s">
        <v>10</v>
      </c>
      <c r="G1243" t="s">
        <v>172</v>
      </c>
      <c r="H1243" t="s">
        <v>157</v>
      </c>
      <c r="I1243" t="s">
        <v>4</v>
      </c>
      <c r="J1243" t="s">
        <v>152</v>
      </c>
      <c r="K1243" t="s">
        <v>174</v>
      </c>
      <c r="L1243">
        <v>251200742</v>
      </c>
      <c r="M1243" s="84">
        <v>46015</v>
      </c>
      <c r="N1243" s="84">
        <v>46015</v>
      </c>
      <c r="O1243" t="s">
        <v>290</v>
      </c>
      <c r="P1243" t="s">
        <v>291</v>
      </c>
      <c r="Q1243">
        <v>5500</v>
      </c>
      <c r="R1243">
        <v>10</v>
      </c>
      <c r="S1243">
        <v>55000</v>
      </c>
      <c r="T1243">
        <v>0</v>
      </c>
      <c r="U1243">
        <v>0</v>
      </c>
      <c r="V1243">
        <v>10</v>
      </c>
      <c r="W1243">
        <v>55000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</row>
    <row r="1244" spans="1:29">
      <c r="A1244">
        <v>1236</v>
      </c>
      <c r="B1244" t="s">
        <v>149</v>
      </c>
      <c r="C1244">
        <v>1592</v>
      </c>
      <c r="D1244" t="s">
        <v>415</v>
      </c>
      <c r="E1244" t="str">
        <f t="shared" si="19"/>
        <v>01592</v>
      </c>
      <c r="F1244" t="s">
        <v>91</v>
      </c>
      <c r="G1244" t="s">
        <v>202</v>
      </c>
      <c r="H1244" t="s">
        <v>157</v>
      </c>
      <c r="I1244" t="s">
        <v>4</v>
      </c>
      <c r="J1244" t="s">
        <v>152</v>
      </c>
      <c r="K1244" t="s">
        <v>159</v>
      </c>
      <c r="L1244">
        <v>251200743</v>
      </c>
      <c r="M1244" s="84">
        <v>46015</v>
      </c>
      <c r="N1244" s="84">
        <v>46015</v>
      </c>
      <c r="O1244" t="s">
        <v>248</v>
      </c>
      <c r="P1244" t="s">
        <v>249</v>
      </c>
      <c r="Q1244">
        <v>5500</v>
      </c>
      <c r="R1244">
        <v>10</v>
      </c>
      <c r="S1244">
        <v>55000</v>
      </c>
      <c r="T1244">
        <v>0</v>
      </c>
      <c r="U1244">
        <v>0</v>
      </c>
      <c r="V1244">
        <v>10</v>
      </c>
      <c r="W1244">
        <v>55000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</row>
    <row r="1245" spans="1:29">
      <c r="A1245">
        <v>1237</v>
      </c>
      <c r="B1245" t="s">
        <v>149</v>
      </c>
      <c r="C1245">
        <v>1592</v>
      </c>
      <c r="D1245" t="s">
        <v>415</v>
      </c>
      <c r="E1245" t="str">
        <f t="shared" si="19"/>
        <v>01592</v>
      </c>
      <c r="F1245" t="s">
        <v>91</v>
      </c>
      <c r="G1245" t="s">
        <v>202</v>
      </c>
      <c r="H1245" t="s">
        <v>157</v>
      </c>
      <c r="I1245" t="s">
        <v>5</v>
      </c>
      <c r="J1245" t="s">
        <v>152</v>
      </c>
      <c r="K1245" t="s">
        <v>159</v>
      </c>
      <c r="L1245">
        <v>251200743</v>
      </c>
      <c r="M1245" s="84">
        <v>46015</v>
      </c>
      <c r="N1245" s="84">
        <v>46015</v>
      </c>
      <c r="O1245" t="s">
        <v>279</v>
      </c>
      <c r="P1245" t="s">
        <v>280</v>
      </c>
      <c r="Q1245">
        <v>4500</v>
      </c>
      <c r="R1245">
        <v>20</v>
      </c>
      <c r="S1245">
        <v>90000</v>
      </c>
      <c r="T1245">
        <v>0</v>
      </c>
      <c r="U1245">
        <v>0</v>
      </c>
      <c r="V1245">
        <v>20</v>
      </c>
      <c r="W1245">
        <v>90000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</row>
    <row r="1246" spans="1:29">
      <c r="A1246">
        <v>1238</v>
      </c>
      <c r="B1246" t="s">
        <v>149</v>
      </c>
      <c r="C1246">
        <v>1592</v>
      </c>
      <c r="D1246" t="s">
        <v>415</v>
      </c>
      <c r="E1246" t="str">
        <f t="shared" si="19"/>
        <v>01592</v>
      </c>
      <c r="F1246" t="s">
        <v>91</v>
      </c>
      <c r="G1246" t="s">
        <v>202</v>
      </c>
      <c r="H1246" t="s">
        <v>157</v>
      </c>
      <c r="I1246" t="s">
        <v>5</v>
      </c>
      <c r="J1246" t="s">
        <v>152</v>
      </c>
      <c r="K1246" t="s">
        <v>159</v>
      </c>
      <c r="L1246">
        <v>251200743</v>
      </c>
      <c r="M1246" s="84">
        <v>46015</v>
      </c>
      <c r="N1246" s="84">
        <v>46015</v>
      </c>
      <c r="O1246" t="s">
        <v>297</v>
      </c>
      <c r="P1246" t="s">
        <v>298</v>
      </c>
      <c r="Q1246">
        <v>4500</v>
      </c>
      <c r="R1246">
        <v>12</v>
      </c>
      <c r="S1246">
        <v>54000</v>
      </c>
      <c r="T1246">
        <v>0</v>
      </c>
      <c r="U1246">
        <v>0</v>
      </c>
      <c r="V1246">
        <v>12</v>
      </c>
      <c r="W1246">
        <v>54000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</row>
    <row r="1247" spans="1:29">
      <c r="A1247">
        <v>1239</v>
      </c>
      <c r="B1247" t="s">
        <v>149</v>
      </c>
      <c r="C1247">
        <v>1468</v>
      </c>
      <c r="D1247" t="s">
        <v>342</v>
      </c>
      <c r="E1247" t="str">
        <f t="shared" si="19"/>
        <v>01468</v>
      </c>
      <c r="F1247" t="s">
        <v>7</v>
      </c>
      <c r="G1247" t="s">
        <v>156</v>
      </c>
      <c r="H1247" t="s">
        <v>157</v>
      </c>
      <c r="I1247" t="s">
        <v>5</v>
      </c>
      <c r="J1247" t="s">
        <v>152</v>
      </c>
      <c r="K1247" t="s">
        <v>159</v>
      </c>
      <c r="L1247">
        <v>251200744</v>
      </c>
      <c r="M1247" s="84">
        <v>46015</v>
      </c>
      <c r="N1247" s="84">
        <v>46015</v>
      </c>
      <c r="O1247" t="s">
        <v>191</v>
      </c>
      <c r="P1247" t="s">
        <v>192</v>
      </c>
      <c r="Q1247">
        <v>4500</v>
      </c>
      <c r="R1247">
        <v>1</v>
      </c>
      <c r="S1247">
        <v>4500</v>
      </c>
      <c r="T1247">
        <v>0</v>
      </c>
      <c r="U1247">
        <v>0</v>
      </c>
      <c r="V1247">
        <v>1</v>
      </c>
      <c r="W1247">
        <v>4500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</row>
    <row r="1248" spans="1:29">
      <c r="A1248">
        <v>1240</v>
      </c>
      <c r="B1248" t="s">
        <v>149</v>
      </c>
      <c r="C1248">
        <v>1450</v>
      </c>
      <c r="D1248" t="s">
        <v>82</v>
      </c>
      <c r="E1248" t="str">
        <f t="shared" si="19"/>
        <v>01450</v>
      </c>
      <c r="F1248" t="s">
        <v>80</v>
      </c>
      <c r="G1248" t="s">
        <v>164</v>
      </c>
      <c r="H1248" t="s">
        <v>151</v>
      </c>
      <c r="I1248" t="s">
        <v>5</v>
      </c>
      <c r="J1248" t="s">
        <v>152</v>
      </c>
      <c r="K1248" t="s">
        <v>153</v>
      </c>
      <c r="L1248">
        <v>251200745</v>
      </c>
      <c r="M1248" s="84">
        <v>46015</v>
      </c>
      <c r="N1248" s="84">
        <v>46015</v>
      </c>
      <c r="O1248" t="s">
        <v>191</v>
      </c>
      <c r="P1248" t="s">
        <v>192</v>
      </c>
      <c r="Q1248">
        <v>11700</v>
      </c>
      <c r="R1248">
        <v>12</v>
      </c>
      <c r="S1248">
        <v>140400</v>
      </c>
      <c r="T1248">
        <v>0</v>
      </c>
      <c r="U1248">
        <v>0</v>
      </c>
      <c r="V1248">
        <v>12</v>
      </c>
      <c r="W1248">
        <v>140400</v>
      </c>
      <c r="X1248">
        <v>1800</v>
      </c>
      <c r="Y1248">
        <v>1800</v>
      </c>
      <c r="Z1248">
        <v>0</v>
      </c>
      <c r="AA1248">
        <v>0</v>
      </c>
      <c r="AB1248">
        <v>0</v>
      </c>
      <c r="AC1248">
        <v>3600</v>
      </c>
    </row>
    <row r="1249" spans="1:29">
      <c r="A1249">
        <v>1241</v>
      </c>
      <c r="B1249" t="s">
        <v>149</v>
      </c>
      <c r="C1249">
        <v>1450</v>
      </c>
      <c r="D1249" t="s">
        <v>82</v>
      </c>
      <c r="E1249" t="str">
        <f t="shared" si="19"/>
        <v>01450</v>
      </c>
      <c r="F1249" t="s">
        <v>80</v>
      </c>
      <c r="G1249" t="s">
        <v>164</v>
      </c>
      <c r="H1249" t="s">
        <v>151</v>
      </c>
      <c r="I1249" t="s">
        <v>5</v>
      </c>
      <c r="J1249" t="s">
        <v>152</v>
      </c>
      <c r="K1249" t="s">
        <v>153</v>
      </c>
      <c r="L1249">
        <v>251200745</v>
      </c>
      <c r="M1249" s="84">
        <v>46015</v>
      </c>
      <c r="N1249" s="84">
        <v>46015</v>
      </c>
      <c r="O1249" t="s">
        <v>194</v>
      </c>
      <c r="P1249" t="s">
        <v>195</v>
      </c>
      <c r="Q1249">
        <v>11700</v>
      </c>
      <c r="R1249">
        <v>4</v>
      </c>
      <c r="S1249">
        <v>46800</v>
      </c>
      <c r="T1249">
        <v>0</v>
      </c>
      <c r="U1249">
        <v>0</v>
      </c>
      <c r="V1249">
        <v>4</v>
      </c>
      <c r="W1249">
        <v>46800</v>
      </c>
      <c r="X1249">
        <v>600</v>
      </c>
      <c r="Y1249">
        <v>600</v>
      </c>
      <c r="Z1249">
        <v>0</v>
      </c>
      <c r="AA1249">
        <v>0</v>
      </c>
      <c r="AB1249">
        <v>0</v>
      </c>
      <c r="AC1249">
        <v>1200</v>
      </c>
    </row>
    <row r="1250" spans="1:29">
      <c r="A1250">
        <v>1242</v>
      </c>
      <c r="B1250" t="s">
        <v>149</v>
      </c>
      <c r="C1250">
        <v>1450</v>
      </c>
      <c r="D1250" t="s">
        <v>82</v>
      </c>
      <c r="E1250" t="str">
        <f t="shared" si="19"/>
        <v>01450</v>
      </c>
      <c r="F1250" t="s">
        <v>80</v>
      </c>
      <c r="G1250" t="s">
        <v>164</v>
      </c>
      <c r="H1250" t="s">
        <v>151</v>
      </c>
      <c r="I1250" t="s">
        <v>5</v>
      </c>
      <c r="J1250" t="s">
        <v>152</v>
      </c>
      <c r="K1250" t="s">
        <v>153</v>
      </c>
      <c r="L1250">
        <v>251200745</v>
      </c>
      <c r="M1250" s="84">
        <v>46015</v>
      </c>
      <c r="N1250" s="84">
        <v>46015</v>
      </c>
      <c r="O1250" t="s">
        <v>273</v>
      </c>
      <c r="P1250" t="s">
        <v>274</v>
      </c>
      <c r="Q1250">
        <v>11700</v>
      </c>
      <c r="R1250">
        <v>4</v>
      </c>
      <c r="S1250">
        <v>46800</v>
      </c>
      <c r="T1250">
        <v>0</v>
      </c>
      <c r="U1250">
        <v>0</v>
      </c>
      <c r="V1250">
        <v>4</v>
      </c>
      <c r="W1250">
        <v>46800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</row>
    <row r="1251" spans="1:29">
      <c r="A1251">
        <v>1243</v>
      </c>
      <c r="B1251" t="s">
        <v>149</v>
      </c>
      <c r="C1251">
        <v>1450</v>
      </c>
      <c r="D1251" t="s">
        <v>82</v>
      </c>
      <c r="E1251" t="str">
        <f t="shared" si="19"/>
        <v>01450</v>
      </c>
      <c r="F1251" t="s">
        <v>80</v>
      </c>
      <c r="G1251" t="s">
        <v>164</v>
      </c>
      <c r="H1251" t="s">
        <v>151</v>
      </c>
      <c r="I1251" t="s">
        <v>4</v>
      </c>
      <c r="J1251" t="s">
        <v>152</v>
      </c>
      <c r="K1251" t="s">
        <v>153</v>
      </c>
      <c r="L1251">
        <v>251200745</v>
      </c>
      <c r="M1251" s="84">
        <v>46015</v>
      </c>
      <c r="N1251" s="84">
        <v>46015</v>
      </c>
      <c r="O1251" t="s">
        <v>160</v>
      </c>
      <c r="P1251" t="s">
        <v>161</v>
      </c>
      <c r="Q1251">
        <v>14250</v>
      </c>
      <c r="R1251">
        <v>5</v>
      </c>
      <c r="S1251">
        <v>71250</v>
      </c>
      <c r="T1251">
        <v>0</v>
      </c>
      <c r="U1251">
        <v>0</v>
      </c>
      <c r="V1251">
        <v>5</v>
      </c>
      <c r="W1251">
        <v>71250</v>
      </c>
      <c r="X1251">
        <v>750</v>
      </c>
      <c r="Y1251">
        <v>1000</v>
      </c>
      <c r="Z1251">
        <v>0</v>
      </c>
      <c r="AA1251">
        <v>0</v>
      </c>
      <c r="AB1251">
        <v>0</v>
      </c>
      <c r="AC1251">
        <v>1750</v>
      </c>
    </row>
    <row r="1252" spans="1:29">
      <c r="A1252">
        <v>1244</v>
      </c>
      <c r="B1252" t="s">
        <v>149</v>
      </c>
      <c r="C1252">
        <v>1288</v>
      </c>
      <c r="D1252" t="s">
        <v>367</v>
      </c>
      <c r="E1252" t="str">
        <f t="shared" si="19"/>
        <v>01288</v>
      </c>
      <c r="F1252" t="s">
        <v>43</v>
      </c>
      <c r="G1252" t="s">
        <v>150</v>
      </c>
      <c r="H1252" t="s">
        <v>151</v>
      </c>
      <c r="I1252" t="s">
        <v>4</v>
      </c>
      <c r="J1252" t="s">
        <v>152</v>
      </c>
      <c r="K1252" t="s">
        <v>153</v>
      </c>
      <c r="L1252">
        <v>251200746</v>
      </c>
      <c r="M1252" s="84">
        <v>46015</v>
      </c>
      <c r="N1252" s="84">
        <v>46015</v>
      </c>
      <c r="O1252" t="s">
        <v>154</v>
      </c>
      <c r="P1252" t="s">
        <v>155</v>
      </c>
      <c r="Q1252">
        <v>5500</v>
      </c>
      <c r="R1252">
        <v>5</v>
      </c>
      <c r="S1252">
        <v>27500</v>
      </c>
      <c r="T1252">
        <v>0</v>
      </c>
      <c r="U1252">
        <v>0</v>
      </c>
      <c r="V1252">
        <v>5</v>
      </c>
      <c r="W1252">
        <v>27500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</row>
    <row r="1253" spans="1:29">
      <c r="A1253">
        <v>1245</v>
      </c>
      <c r="B1253" t="s">
        <v>149</v>
      </c>
      <c r="C1253">
        <v>1288</v>
      </c>
      <c r="D1253" t="s">
        <v>367</v>
      </c>
      <c r="E1253" t="str">
        <f t="shared" si="19"/>
        <v>01288</v>
      </c>
      <c r="F1253" t="s">
        <v>43</v>
      </c>
      <c r="G1253" t="s">
        <v>150</v>
      </c>
      <c r="H1253" t="s">
        <v>151</v>
      </c>
      <c r="I1253" t="s">
        <v>4</v>
      </c>
      <c r="J1253" t="s">
        <v>152</v>
      </c>
      <c r="K1253" t="s">
        <v>153</v>
      </c>
      <c r="L1253">
        <v>251200746</v>
      </c>
      <c r="M1253" s="84">
        <v>46015</v>
      </c>
      <c r="N1253" s="84">
        <v>46015</v>
      </c>
      <c r="O1253" t="s">
        <v>160</v>
      </c>
      <c r="P1253" t="s">
        <v>161</v>
      </c>
      <c r="Q1253">
        <v>5500</v>
      </c>
      <c r="R1253">
        <v>25</v>
      </c>
      <c r="S1253">
        <v>137500</v>
      </c>
      <c r="T1253">
        <v>0</v>
      </c>
      <c r="U1253">
        <v>0</v>
      </c>
      <c r="V1253">
        <v>25</v>
      </c>
      <c r="W1253">
        <v>137500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</row>
    <row r="1254" spans="1:29">
      <c r="A1254">
        <v>1246</v>
      </c>
      <c r="B1254" t="s">
        <v>149</v>
      </c>
      <c r="C1254">
        <v>87</v>
      </c>
      <c r="D1254" t="s">
        <v>307</v>
      </c>
      <c r="E1254" t="str">
        <f t="shared" si="19"/>
        <v>00087</v>
      </c>
      <c r="F1254" t="s">
        <v>43</v>
      </c>
      <c r="G1254" t="s">
        <v>150</v>
      </c>
      <c r="H1254" t="s">
        <v>151</v>
      </c>
      <c r="I1254" t="s">
        <v>210</v>
      </c>
      <c r="J1254" t="s">
        <v>152</v>
      </c>
      <c r="K1254" t="s">
        <v>153</v>
      </c>
      <c r="L1254">
        <v>251200747</v>
      </c>
      <c r="M1254" s="84">
        <v>46015</v>
      </c>
      <c r="N1254" s="84">
        <v>46015</v>
      </c>
      <c r="O1254" t="s">
        <v>213</v>
      </c>
      <c r="P1254" t="s">
        <v>214</v>
      </c>
      <c r="Q1254">
        <v>23802</v>
      </c>
      <c r="R1254">
        <v>10</v>
      </c>
      <c r="S1254">
        <v>238020</v>
      </c>
      <c r="T1254">
        <v>0</v>
      </c>
      <c r="U1254">
        <v>0</v>
      </c>
      <c r="V1254">
        <v>10</v>
      </c>
      <c r="W1254">
        <v>238020</v>
      </c>
      <c r="X1254">
        <v>4760</v>
      </c>
      <c r="Y1254">
        <v>4760</v>
      </c>
      <c r="Z1254">
        <v>10000</v>
      </c>
      <c r="AA1254">
        <v>0</v>
      </c>
      <c r="AB1254">
        <v>1000</v>
      </c>
      <c r="AC1254">
        <v>20520</v>
      </c>
    </row>
    <row r="1255" spans="1:29">
      <c r="A1255">
        <v>1247</v>
      </c>
      <c r="B1255" t="s">
        <v>149</v>
      </c>
      <c r="C1255">
        <v>1478</v>
      </c>
      <c r="D1255" t="s">
        <v>314</v>
      </c>
      <c r="E1255" t="str">
        <f t="shared" si="19"/>
        <v>01478</v>
      </c>
      <c r="F1255" t="s">
        <v>111</v>
      </c>
      <c r="G1255" t="s">
        <v>150</v>
      </c>
      <c r="H1255" t="s">
        <v>151</v>
      </c>
      <c r="I1255" t="s">
        <v>4</v>
      </c>
      <c r="J1255" t="s">
        <v>152</v>
      </c>
      <c r="K1255" t="s">
        <v>153</v>
      </c>
      <c r="L1255">
        <v>251200748</v>
      </c>
      <c r="M1255" s="84">
        <v>46019</v>
      </c>
      <c r="N1255" s="84">
        <v>46019</v>
      </c>
      <c r="O1255" t="s">
        <v>219</v>
      </c>
      <c r="P1255" t="s">
        <v>220</v>
      </c>
      <c r="Q1255">
        <v>5500</v>
      </c>
      <c r="R1255">
        <v>20</v>
      </c>
      <c r="S1255">
        <v>110000</v>
      </c>
      <c r="T1255">
        <v>0</v>
      </c>
      <c r="U1255">
        <v>0</v>
      </c>
      <c r="V1255">
        <v>20</v>
      </c>
      <c r="W1255">
        <v>110000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</row>
    <row r="1256" spans="1:29">
      <c r="A1256">
        <v>1248</v>
      </c>
      <c r="B1256" t="s">
        <v>149</v>
      </c>
      <c r="C1256">
        <v>1478</v>
      </c>
      <c r="D1256" t="s">
        <v>314</v>
      </c>
      <c r="E1256" t="str">
        <f t="shared" si="19"/>
        <v>01478</v>
      </c>
      <c r="F1256" t="s">
        <v>111</v>
      </c>
      <c r="G1256" t="s">
        <v>150</v>
      </c>
      <c r="H1256" t="s">
        <v>151</v>
      </c>
      <c r="I1256" t="s">
        <v>5</v>
      </c>
      <c r="J1256" t="s">
        <v>152</v>
      </c>
      <c r="K1256" t="s">
        <v>153</v>
      </c>
      <c r="L1256">
        <v>251200748</v>
      </c>
      <c r="M1256" s="84">
        <v>46019</v>
      </c>
      <c r="N1256" s="84">
        <v>46019</v>
      </c>
      <c r="O1256" t="s">
        <v>191</v>
      </c>
      <c r="P1256" t="s">
        <v>192</v>
      </c>
      <c r="Q1256">
        <v>4500</v>
      </c>
      <c r="R1256">
        <v>12</v>
      </c>
      <c r="S1256">
        <v>54000</v>
      </c>
      <c r="T1256">
        <v>0</v>
      </c>
      <c r="U1256">
        <v>0</v>
      </c>
      <c r="V1256">
        <v>12</v>
      </c>
      <c r="W1256">
        <v>54000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</row>
    <row r="1257" spans="1:29">
      <c r="A1257">
        <v>1249</v>
      </c>
      <c r="B1257" t="s">
        <v>149</v>
      </c>
      <c r="C1257">
        <v>1551</v>
      </c>
      <c r="D1257" t="s">
        <v>316</v>
      </c>
      <c r="E1257" t="str">
        <f t="shared" si="19"/>
        <v>01551</v>
      </c>
      <c r="F1257" t="s">
        <v>111</v>
      </c>
      <c r="G1257" t="s">
        <v>150</v>
      </c>
      <c r="H1257" t="s">
        <v>151</v>
      </c>
      <c r="I1257" t="s">
        <v>4</v>
      </c>
      <c r="J1257" t="s">
        <v>152</v>
      </c>
      <c r="K1257" t="s">
        <v>153</v>
      </c>
      <c r="L1257">
        <v>251200749</v>
      </c>
      <c r="M1257" s="84">
        <v>46019</v>
      </c>
      <c r="N1257" s="84">
        <v>46019</v>
      </c>
      <c r="O1257" t="s">
        <v>160</v>
      </c>
      <c r="P1257" t="s">
        <v>161</v>
      </c>
      <c r="Q1257">
        <v>5500</v>
      </c>
      <c r="R1257">
        <v>20</v>
      </c>
      <c r="S1257">
        <v>110000</v>
      </c>
      <c r="T1257">
        <v>0</v>
      </c>
      <c r="U1257">
        <v>0</v>
      </c>
      <c r="V1257">
        <v>20</v>
      </c>
      <c r="W1257">
        <v>110000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</row>
    <row r="1258" spans="1:29">
      <c r="A1258">
        <v>1250</v>
      </c>
      <c r="B1258" t="s">
        <v>149</v>
      </c>
      <c r="C1258">
        <v>1551</v>
      </c>
      <c r="D1258" t="s">
        <v>316</v>
      </c>
      <c r="E1258" t="str">
        <f t="shared" si="19"/>
        <v>01551</v>
      </c>
      <c r="F1258" t="s">
        <v>111</v>
      </c>
      <c r="G1258" t="s">
        <v>150</v>
      </c>
      <c r="H1258" t="s">
        <v>151</v>
      </c>
      <c r="I1258" t="s">
        <v>5</v>
      </c>
      <c r="J1258" t="s">
        <v>152</v>
      </c>
      <c r="K1258" t="s">
        <v>153</v>
      </c>
      <c r="L1258">
        <v>251200749</v>
      </c>
      <c r="M1258" s="84">
        <v>46019</v>
      </c>
      <c r="N1258" s="84">
        <v>46019</v>
      </c>
      <c r="O1258" t="s">
        <v>191</v>
      </c>
      <c r="P1258" t="s">
        <v>192</v>
      </c>
      <c r="Q1258">
        <v>4500</v>
      </c>
      <c r="R1258">
        <v>12</v>
      </c>
      <c r="S1258">
        <v>54000</v>
      </c>
      <c r="T1258">
        <v>0</v>
      </c>
      <c r="U1258">
        <v>0</v>
      </c>
      <c r="V1258">
        <v>12</v>
      </c>
      <c r="W1258">
        <v>54000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</row>
    <row r="1259" spans="1:29">
      <c r="A1259">
        <v>1251</v>
      </c>
      <c r="B1259" t="s">
        <v>149</v>
      </c>
      <c r="C1259">
        <v>1593</v>
      </c>
      <c r="D1259" t="s">
        <v>343</v>
      </c>
      <c r="E1259" t="str">
        <f t="shared" si="19"/>
        <v>01593</v>
      </c>
      <c r="F1259" t="s">
        <v>111</v>
      </c>
      <c r="G1259" t="s">
        <v>150</v>
      </c>
      <c r="H1259" t="s">
        <v>151</v>
      </c>
      <c r="I1259" t="s">
        <v>4</v>
      </c>
      <c r="J1259" t="s">
        <v>152</v>
      </c>
      <c r="K1259" t="s">
        <v>153</v>
      </c>
      <c r="L1259">
        <v>251200750</v>
      </c>
      <c r="M1259" s="84">
        <v>46019</v>
      </c>
      <c r="N1259" s="84">
        <v>46019</v>
      </c>
      <c r="O1259" t="s">
        <v>267</v>
      </c>
      <c r="P1259" t="s">
        <v>268</v>
      </c>
      <c r="Q1259">
        <v>5500</v>
      </c>
      <c r="R1259">
        <v>5</v>
      </c>
      <c r="S1259">
        <v>27500</v>
      </c>
      <c r="T1259">
        <v>0</v>
      </c>
      <c r="U1259">
        <v>0</v>
      </c>
      <c r="V1259">
        <v>5</v>
      </c>
      <c r="W1259">
        <v>27500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</row>
    <row r="1260" spans="1:29">
      <c r="A1260">
        <v>1252</v>
      </c>
      <c r="B1260" t="s">
        <v>149</v>
      </c>
      <c r="C1260">
        <v>1593</v>
      </c>
      <c r="D1260" t="s">
        <v>343</v>
      </c>
      <c r="E1260" t="str">
        <f t="shared" si="19"/>
        <v>01593</v>
      </c>
      <c r="F1260" t="s">
        <v>111</v>
      </c>
      <c r="G1260" t="s">
        <v>150</v>
      </c>
      <c r="H1260" t="s">
        <v>151</v>
      </c>
      <c r="I1260" t="s">
        <v>4</v>
      </c>
      <c r="J1260" t="s">
        <v>152</v>
      </c>
      <c r="K1260" t="s">
        <v>153</v>
      </c>
      <c r="L1260">
        <v>251200750</v>
      </c>
      <c r="M1260" s="84">
        <v>46019</v>
      </c>
      <c r="N1260" s="84">
        <v>46019</v>
      </c>
      <c r="O1260" t="s">
        <v>154</v>
      </c>
      <c r="P1260" t="s">
        <v>155</v>
      </c>
      <c r="Q1260">
        <v>5500</v>
      </c>
      <c r="R1260">
        <v>5</v>
      </c>
      <c r="S1260">
        <v>27500</v>
      </c>
      <c r="T1260">
        <v>0</v>
      </c>
      <c r="U1260">
        <v>0</v>
      </c>
      <c r="V1260">
        <v>5</v>
      </c>
      <c r="W1260">
        <v>27500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</row>
    <row r="1261" spans="1:29">
      <c r="A1261">
        <v>1253</v>
      </c>
      <c r="B1261" t="s">
        <v>149</v>
      </c>
      <c r="C1261">
        <v>334</v>
      </c>
      <c r="D1261" t="s">
        <v>56</v>
      </c>
      <c r="E1261" t="str">
        <f t="shared" si="19"/>
        <v>00334</v>
      </c>
      <c r="F1261" t="s">
        <v>49</v>
      </c>
      <c r="G1261" t="s">
        <v>167</v>
      </c>
      <c r="H1261" t="s">
        <v>151</v>
      </c>
      <c r="I1261" t="s">
        <v>210</v>
      </c>
      <c r="J1261" t="s">
        <v>152</v>
      </c>
      <c r="K1261" t="s">
        <v>153</v>
      </c>
      <c r="L1261">
        <v>251200751</v>
      </c>
      <c r="M1261" s="84">
        <v>46019</v>
      </c>
      <c r="N1261" s="84">
        <v>46019</v>
      </c>
      <c r="O1261" t="s">
        <v>213</v>
      </c>
      <c r="P1261" t="s">
        <v>214</v>
      </c>
      <c r="Q1261">
        <v>23802</v>
      </c>
      <c r="R1261">
        <v>2</v>
      </c>
      <c r="S1261">
        <v>47604</v>
      </c>
      <c r="T1261">
        <v>0</v>
      </c>
      <c r="U1261">
        <v>0</v>
      </c>
      <c r="V1261">
        <v>2</v>
      </c>
      <c r="W1261">
        <v>47604</v>
      </c>
      <c r="X1261">
        <v>952</v>
      </c>
      <c r="Y1261">
        <v>952</v>
      </c>
      <c r="Z1261">
        <v>2000</v>
      </c>
      <c r="AA1261">
        <v>0</v>
      </c>
      <c r="AB1261">
        <v>200</v>
      </c>
      <c r="AC1261">
        <v>4104</v>
      </c>
    </row>
    <row r="1262" spans="1:29">
      <c r="A1262">
        <v>1254</v>
      </c>
      <c r="B1262" t="s">
        <v>149</v>
      </c>
      <c r="C1262">
        <v>1308</v>
      </c>
      <c r="D1262" t="s">
        <v>368</v>
      </c>
      <c r="E1262" t="str">
        <f t="shared" si="19"/>
        <v>01308</v>
      </c>
      <c r="F1262" t="s">
        <v>49</v>
      </c>
      <c r="G1262" t="s">
        <v>167</v>
      </c>
      <c r="H1262" t="s">
        <v>151</v>
      </c>
      <c r="I1262" t="s">
        <v>5</v>
      </c>
      <c r="J1262" t="s">
        <v>152</v>
      </c>
      <c r="K1262" t="s">
        <v>153</v>
      </c>
      <c r="L1262">
        <v>251200752</v>
      </c>
      <c r="M1262" s="84">
        <v>46019</v>
      </c>
      <c r="N1262" s="84">
        <v>46019</v>
      </c>
      <c r="O1262" t="s">
        <v>191</v>
      </c>
      <c r="P1262" t="s">
        <v>192</v>
      </c>
      <c r="Q1262">
        <v>4500</v>
      </c>
      <c r="R1262">
        <v>200</v>
      </c>
      <c r="S1262">
        <v>900000</v>
      </c>
      <c r="T1262">
        <v>0</v>
      </c>
      <c r="U1262">
        <v>0</v>
      </c>
      <c r="V1262">
        <v>200</v>
      </c>
      <c r="W1262">
        <v>900000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</row>
    <row r="1263" spans="1:29">
      <c r="A1263">
        <v>1255</v>
      </c>
      <c r="B1263" t="s">
        <v>149</v>
      </c>
      <c r="C1263">
        <v>337</v>
      </c>
      <c r="D1263" t="s">
        <v>57</v>
      </c>
      <c r="E1263" t="str">
        <f t="shared" si="19"/>
        <v>00337</v>
      </c>
      <c r="F1263" t="s">
        <v>49</v>
      </c>
      <c r="G1263" t="s">
        <v>167</v>
      </c>
      <c r="H1263" t="s">
        <v>151</v>
      </c>
      <c r="I1263" t="s">
        <v>4</v>
      </c>
      <c r="J1263" t="s">
        <v>152</v>
      </c>
      <c r="K1263" t="s">
        <v>153</v>
      </c>
      <c r="L1263">
        <v>251200753</v>
      </c>
      <c r="M1263" s="84">
        <v>46019</v>
      </c>
      <c r="N1263" s="84">
        <v>46019</v>
      </c>
      <c r="O1263" t="s">
        <v>160</v>
      </c>
      <c r="P1263" t="s">
        <v>161</v>
      </c>
      <c r="Q1263">
        <v>14250</v>
      </c>
      <c r="R1263">
        <v>50</v>
      </c>
      <c r="S1263">
        <v>712500</v>
      </c>
      <c r="T1263">
        <v>0</v>
      </c>
      <c r="U1263">
        <v>0</v>
      </c>
      <c r="V1263">
        <v>50</v>
      </c>
      <c r="W1263">
        <v>712500</v>
      </c>
      <c r="X1263">
        <v>7500</v>
      </c>
      <c r="Y1263">
        <v>10000</v>
      </c>
      <c r="Z1263">
        <v>0</v>
      </c>
      <c r="AA1263">
        <v>0</v>
      </c>
      <c r="AB1263">
        <v>0</v>
      </c>
      <c r="AC1263">
        <v>17500</v>
      </c>
    </row>
    <row r="1264" spans="1:29">
      <c r="A1264">
        <v>1256</v>
      </c>
      <c r="B1264" t="s">
        <v>149</v>
      </c>
      <c r="C1264">
        <v>134</v>
      </c>
      <c r="D1264" t="s">
        <v>79</v>
      </c>
      <c r="E1264" t="str">
        <f t="shared" si="19"/>
        <v>00134</v>
      </c>
      <c r="F1264" t="s">
        <v>73</v>
      </c>
      <c r="G1264" t="s">
        <v>185</v>
      </c>
      <c r="H1264" t="s">
        <v>151</v>
      </c>
      <c r="I1264" t="s">
        <v>4</v>
      </c>
      <c r="J1264" t="s">
        <v>152</v>
      </c>
      <c r="K1264" t="s">
        <v>153</v>
      </c>
      <c r="L1264">
        <v>251200754</v>
      </c>
      <c r="M1264" s="84">
        <v>46019</v>
      </c>
      <c r="N1264" s="84">
        <v>46019</v>
      </c>
      <c r="O1264" t="s">
        <v>219</v>
      </c>
      <c r="P1264" t="s">
        <v>220</v>
      </c>
      <c r="Q1264">
        <v>14250</v>
      </c>
      <c r="R1264">
        <v>5</v>
      </c>
      <c r="S1264">
        <v>71250</v>
      </c>
      <c r="T1264">
        <v>0</v>
      </c>
      <c r="U1264">
        <v>0</v>
      </c>
      <c r="V1264">
        <v>5</v>
      </c>
      <c r="W1264">
        <v>71250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</row>
    <row r="1265" spans="1:29">
      <c r="A1265">
        <v>1257</v>
      </c>
      <c r="B1265" t="s">
        <v>149</v>
      </c>
      <c r="C1265">
        <v>134</v>
      </c>
      <c r="D1265" t="s">
        <v>79</v>
      </c>
      <c r="E1265" t="str">
        <f t="shared" si="19"/>
        <v>00134</v>
      </c>
      <c r="F1265" t="s">
        <v>73</v>
      </c>
      <c r="G1265" t="s">
        <v>185</v>
      </c>
      <c r="H1265" t="s">
        <v>151</v>
      </c>
      <c r="I1265" t="s">
        <v>4</v>
      </c>
      <c r="J1265" t="s">
        <v>152</v>
      </c>
      <c r="K1265" t="s">
        <v>153</v>
      </c>
      <c r="L1265">
        <v>251200754</v>
      </c>
      <c r="M1265" s="84">
        <v>46019</v>
      </c>
      <c r="N1265" s="84">
        <v>46019</v>
      </c>
      <c r="O1265" t="s">
        <v>154</v>
      </c>
      <c r="P1265" t="s">
        <v>155</v>
      </c>
      <c r="Q1265">
        <v>14250</v>
      </c>
      <c r="R1265">
        <v>5</v>
      </c>
      <c r="S1265">
        <v>71250</v>
      </c>
      <c r="T1265">
        <v>0</v>
      </c>
      <c r="U1265">
        <v>0</v>
      </c>
      <c r="V1265">
        <v>5</v>
      </c>
      <c r="W1265">
        <v>71250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</row>
    <row r="1266" spans="1:29">
      <c r="A1266">
        <v>1258</v>
      </c>
      <c r="B1266" t="s">
        <v>149</v>
      </c>
      <c r="C1266">
        <v>1471</v>
      </c>
      <c r="D1266" t="s">
        <v>369</v>
      </c>
      <c r="E1266" t="str">
        <f t="shared" si="19"/>
        <v>01471</v>
      </c>
      <c r="F1266" t="s">
        <v>73</v>
      </c>
      <c r="G1266" t="s">
        <v>185</v>
      </c>
      <c r="H1266" t="s">
        <v>151</v>
      </c>
      <c r="I1266" t="s">
        <v>4</v>
      </c>
      <c r="J1266" t="s">
        <v>152</v>
      </c>
      <c r="K1266" t="s">
        <v>153</v>
      </c>
      <c r="L1266">
        <v>251200755</v>
      </c>
      <c r="M1266" s="84">
        <v>46019</v>
      </c>
      <c r="N1266" s="84">
        <v>46019</v>
      </c>
      <c r="O1266" t="s">
        <v>168</v>
      </c>
      <c r="P1266" t="s">
        <v>169</v>
      </c>
      <c r="Q1266">
        <v>5500</v>
      </c>
      <c r="R1266">
        <v>8</v>
      </c>
      <c r="S1266">
        <v>44000</v>
      </c>
      <c r="T1266">
        <v>0</v>
      </c>
      <c r="U1266">
        <v>0</v>
      </c>
      <c r="V1266">
        <v>8</v>
      </c>
      <c r="W1266">
        <v>44000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</row>
    <row r="1267" spans="1:29">
      <c r="A1267">
        <v>1259</v>
      </c>
      <c r="B1267" t="s">
        <v>149</v>
      </c>
      <c r="C1267">
        <v>1395</v>
      </c>
      <c r="D1267" t="s">
        <v>101</v>
      </c>
      <c r="E1267" t="str">
        <f t="shared" si="19"/>
        <v>01395</v>
      </c>
      <c r="F1267" t="s">
        <v>95</v>
      </c>
      <c r="G1267" t="s">
        <v>187</v>
      </c>
      <c r="H1267" t="s">
        <v>188</v>
      </c>
      <c r="I1267" t="s">
        <v>4</v>
      </c>
      <c r="J1267" t="s">
        <v>152</v>
      </c>
      <c r="K1267" t="s">
        <v>159</v>
      </c>
      <c r="L1267">
        <v>251200756</v>
      </c>
      <c r="M1267" s="84">
        <v>46019</v>
      </c>
      <c r="N1267" s="84">
        <v>46019</v>
      </c>
      <c r="O1267" t="s">
        <v>168</v>
      </c>
      <c r="P1267" t="s">
        <v>169</v>
      </c>
      <c r="Q1267">
        <v>13200</v>
      </c>
      <c r="R1267">
        <v>4</v>
      </c>
      <c r="S1267">
        <v>52800</v>
      </c>
      <c r="T1267">
        <v>0</v>
      </c>
      <c r="U1267">
        <v>0</v>
      </c>
      <c r="V1267">
        <v>4</v>
      </c>
      <c r="W1267">
        <v>52800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</row>
    <row r="1268" spans="1:29">
      <c r="A1268">
        <v>1260</v>
      </c>
      <c r="B1268" t="s">
        <v>149</v>
      </c>
      <c r="C1268">
        <v>1298</v>
      </c>
      <c r="D1268" t="s">
        <v>389</v>
      </c>
      <c r="E1268" t="str">
        <f t="shared" si="19"/>
        <v>01298</v>
      </c>
      <c r="F1268" t="s">
        <v>83</v>
      </c>
      <c r="G1268" t="s">
        <v>164</v>
      </c>
      <c r="H1268" t="s">
        <v>151</v>
      </c>
      <c r="I1268" t="s">
        <v>5</v>
      </c>
      <c r="J1268" t="s">
        <v>152</v>
      </c>
      <c r="K1268" t="s">
        <v>153</v>
      </c>
      <c r="L1268">
        <v>251200757</v>
      </c>
      <c r="M1268" s="84">
        <v>46019</v>
      </c>
      <c r="N1268" s="84">
        <v>46019</v>
      </c>
      <c r="O1268" t="s">
        <v>191</v>
      </c>
      <c r="P1268" t="s">
        <v>192</v>
      </c>
      <c r="Q1268">
        <v>4500</v>
      </c>
      <c r="R1268">
        <v>70</v>
      </c>
      <c r="S1268">
        <v>315000</v>
      </c>
      <c r="T1268">
        <v>0</v>
      </c>
      <c r="U1268">
        <v>0</v>
      </c>
      <c r="V1268">
        <v>70</v>
      </c>
      <c r="W1268">
        <v>315000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</row>
    <row r="1269" spans="1:29">
      <c r="A1269">
        <v>1261</v>
      </c>
      <c r="B1269" t="s">
        <v>149</v>
      </c>
      <c r="C1269">
        <v>1298</v>
      </c>
      <c r="D1269" t="s">
        <v>389</v>
      </c>
      <c r="E1269" t="str">
        <f t="shared" si="19"/>
        <v>01298</v>
      </c>
      <c r="F1269" t="s">
        <v>83</v>
      </c>
      <c r="G1269" t="s">
        <v>164</v>
      </c>
      <c r="H1269" t="s">
        <v>151</v>
      </c>
      <c r="I1269" t="s">
        <v>4</v>
      </c>
      <c r="J1269" t="s">
        <v>152</v>
      </c>
      <c r="K1269" t="s">
        <v>153</v>
      </c>
      <c r="L1269">
        <v>251200757</v>
      </c>
      <c r="M1269" s="84">
        <v>46019</v>
      </c>
      <c r="N1269" s="84">
        <v>46019</v>
      </c>
      <c r="O1269" t="s">
        <v>160</v>
      </c>
      <c r="P1269" t="s">
        <v>161</v>
      </c>
      <c r="Q1269">
        <v>5500</v>
      </c>
      <c r="R1269">
        <v>30</v>
      </c>
      <c r="S1269">
        <v>165000</v>
      </c>
      <c r="T1269">
        <v>0</v>
      </c>
      <c r="U1269">
        <v>0</v>
      </c>
      <c r="V1269">
        <v>30</v>
      </c>
      <c r="W1269">
        <v>165000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</row>
    <row r="1270" spans="1:29">
      <c r="A1270">
        <v>1262</v>
      </c>
      <c r="B1270" t="s">
        <v>149</v>
      </c>
      <c r="C1270">
        <v>1401</v>
      </c>
      <c r="D1270" t="s">
        <v>29</v>
      </c>
      <c r="E1270" t="str">
        <f t="shared" si="19"/>
        <v>01401</v>
      </c>
      <c r="F1270" t="s">
        <v>28</v>
      </c>
      <c r="G1270" t="s">
        <v>164</v>
      </c>
      <c r="H1270" t="s">
        <v>151</v>
      </c>
      <c r="I1270" t="s">
        <v>4</v>
      </c>
      <c r="J1270" t="s">
        <v>152</v>
      </c>
      <c r="K1270" t="s">
        <v>153</v>
      </c>
      <c r="L1270">
        <v>251200758</v>
      </c>
      <c r="M1270" s="84">
        <v>46019</v>
      </c>
      <c r="N1270" s="84">
        <v>46019</v>
      </c>
      <c r="O1270" t="s">
        <v>267</v>
      </c>
      <c r="P1270" t="s">
        <v>268</v>
      </c>
      <c r="Q1270">
        <v>14250</v>
      </c>
      <c r="R1270">
        <v>50</v>
      </c>
      <c r="S1270">
        <v>712500</v>
      </c>
      <c r="T1270">
        <v>0</v>
      </c>
      <c r="U1270">
        <v>0</v>
      </c>
      <c r="V1270">
        <v>50</v>
      </c>
      <c r="W1270">
        <v>712500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</row>
    <row r="1271" spans="1:29">
      <c r="A1271">
        <v>1263</v>
      </c>
      <c r="B1271" t="s">
        <v>149</v>
      </c>
      <c r="C1271">
        <v>1444</v>
      </c>
      <c r="D1271" t="s">
        <v>341</v>
      </c>
      <c r="E1271" t="str">
        <f t="shared" si="19"/>
        <v>01444</v>
      </c>
      <c r="F1271" t="s">
        <v>28</v>
      </c>
      <c r="G1271" t="s">
        <v>164</v>
      </c>
      <c r="H1271" t="s">
        <v>151</v>
      </c>
      <c r="I1271" t="s">
        <v>4</v>
      </c>
      <c r="J1271" t="s">
        <v>152</v>
      </c>
      <c r="K1271" t="s">
        <v>153</v>
      </c>
      <c r="L1271">
        <v>251200759</v>
      </c>
      <c r="M1271" s="84">
        <v>46019</v>
      </c>
      <c r="N1271" s="84">
        <v>46019</v>
      </c>
      <c r="O1271" t="s">
        <v>160</v>
      </c>
      <c r="P1271" t="s">
        <v>161</v>
      </c>
      <c r="Q1271">
        <v>5500</v>
      </c>
      <c r="R1271">
        <v>12</v>
      </c>
      <c r="S1271">
        <v>66000</v>
      </c>
      <c r="T1271">
        <v>0</v>
      </c>
      <c r="U1271">
        <v>0</v>
      </c>
      <c r="V1271">
        <v>12</v>
      </c>
      <c r="W1271">
        <v>66000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</row>
    <row r="1272" spans="1:29">
      <c r="A1272">
        <v>1264</v>
      </c>
      <c r="B1272" t="s">
        <v>149</v>
      </c>
      <c r="C1272">
        <v>1331</v>
      </c>
      <c r="D1272" t="s">
        <v>366</v>
      </c>
      <c r="E1272" t="str">
        <f t="shared" si="19"/>
        <v>01331</v>
      </c>
      <c r="F1272" t="s">
        <v>28</v>
      </c>
      <c r="G1272" t="s">
        <v>164</v>
      </c>
      <c r="H1272" t="s">
        <v>151</v>
      </c>
      <c r="I1272" t="s">
        <v>5</v>
      </c>
      <c r="J1272" t="s">
        <v>152</v>
      </c>
      <c r="K1272" t="s">
        <v>153</v>
      </c>
      <c r="L1272">
        <v>251200760</v>
      </c>
      <c r="M1272" s="84">
        <v>46019</v>
      </c>
      <c r="N1272" s="84">
        <v>46019</v>
      </c>
      <c r="O1272" t="s">
        <v>191</v>
      </c>
      <c r="P1272" t="s">
        <v>192</v>
      </c>
      <c r="Q1272">
        <v>4500</v>
      </c>
      <c r="R1272">
        <v>32</v>
      </c>
      <c r="S1272">
        <v>144000</v>
      </c>
      <c r="T1272">
        <v>0</v>
      </c>
      <c r="U1272">
        <v>0</v>
      </c>
      <c r="V1272">
        <v>32</v>
      </c>
      <c r="W1272">
        <v>144000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</row>
    <row r="1273" spans="1:29">
      <c r="A1273">
        <v>1265</v>
      </c>
      <c r="B1273" t="s">
        <v>149</v>
      </c>
      <c r="C1273">
        <v>1331</v>
      </c>
      <c r="D1273" t="s">
        <v>366</v>
      </c>
      <c r="E1273" t="str">
        <f t="shared" si="19"/>
        <v>01331</v>
      </c>
      <c r="F1273" t="s">
        <v>28</v>
      </c>
      <c r="G1273" t="s">
        <v>164</v>
      </c>
      <c r="H1273" t="s">
        <v>151</v>
      </c>
      <c r="I1273" t="s">
        <v>5</v>
      </c>
      <c r="J1273" t="s">
        <v>152</v>
      </c>
      <c r="K1273" t="s">
        <v>153</v>
      </c>
      <c r="L1273">
        <v>251200760</v>
      </c>
      <c r="M1273" s="84">
        <v>46019</v>
      </c>
      <c r="N1273" s="84">
        <v>46019</v>
      </c>
      <c r="O1273" t="s">
        <v>297</v>
      </c>
      <c r="P1273" t="s">
        <v>298</v>
      </c>
      <c r="Q1273">
        <v>4500</v>
      </c>
      <c r="R1273">
        <v>40</v>
      </c>
      <c r="S1273">
        <v>180000</v>
      </c>
      <c r="T1273">
        <v>0</v>
      </c>
      <c r="U1273">
        <v>0</v>
      </c>
      <c r="V1273">
        <v>40</v>
      </c>
      <c r="W1273">
        <v>180000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</row>
    <row r="1274" spans="1:29">
      <c r="A1274">
        <v>1266</v>
      </c>
      <c r="B1274" t="s">
        <v>149</v>
      </c>
      <c r="C1274">
        <v>1331</v>
      </c>
      <c r="D1274" t="s">
        <v>366</v>
      </c>
      <c r="E1274" t="str">
        <f t="shared" si="19"/>
        <v>01331</v>
      </c>
      <c r="F1274" t="s">
        <v>28</v>
      </c>
      <c r="G1274" t="s">
        <v>164</v>
      </c>
      <c r="H1274" t="s">
        <v>151</v>
      </c>
      <c r="I1274" t="s">
        <v>5</v>
      </c>
      <c r="J1274" t="s">
        <v>152</v>
      </c>
      <c r="K1274" t="s">
        <v>153</v>
      </c>
      <c r="L1274">
        <v>251200760</v>
      </c>
      <c r="M1274" s="84">
        <v>46019</v>
      </c>
      <c r="N1274" s="84">
        <v>46019</v>
      </c>
      <c r="O1274" t="s">
        <v>194</v>
      </c>
      <c r="P1274" t="s">
        <v>195</v>
      </c>
      <c r="Q1274">
        <v>4500</v>
      </c>
      <c r="R1274">
        <v>8</v>
      </c>
      <c r="S1274">
        <v>36000</v>
      </c>
      <c r="T1274">
        <v>0</v>
      </c>
      <c r="U1274">
        <v>0</v>
      </c>
      <c r="V1274">
        <v>8</v>
      </c>
      <c r="W1274">
        <v>36000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</row>
    <row r="1275" spans="1:29">
      <c r="A1275">
        <v>1267</v>
      </c>
      <c r="B1275" t="s">
        <v>149</v>
      </c>
      <c r="C1275">
        <v>1331</v>
      </c>
      <c r="D1275" t="s">
        <v>366</v>
      </c>
      <c r="E1275" t="str">
        <f t="shared" si="19"/>
        <v>01331</v>
      </c>
      <c r="F1275" t="s">
        <v>28</v>
      </c>
      <c r="G1275" t="s">
        <v>164</v>
      </c>
      <c r="H1275" t="s">
        <v>151</v>
      </c>
      <c r="I1275" t="s">
        <v>5</v>
      </c>
      <c r="J1275" t="s">
        <v>152</v>
      </c>
      <c r="K1275" t="s">
        <v>153</v>
      </c>
      <c r="L1275">
        <v>251200761</v>
      </c>
      <c r="M1275" s="84">
        <v>46019</v>
      </c>
      <c r="N1275" s="84">
        <v>46019</v>
      </c>
      <c r="O1275" t="s">
        <v>191</v>
      </c>
      <c r="P1275" t="s">
        <v>192</v>
      </c>
      <c r="Q1275">
        <v>4500</v>
      </c>
      <c r="R1275">
        <v>40</v>
      </c>
      <c r="S1275">
        <v>180000</v>
      </c>
      <c r="T1275">
        <v>0</v>
      </c>
      <c r="U1275">
        <v>0</v>
      </c>
      <c r="V1275">
        <v>40</v>
      </c>
      <c r="W1275">
        <v>180000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</row>
    <row r="1276" spans="1:29">
      <c r="A1276">
        <v>1268</v>
      </c>
      <c r="B1276" t="s">
        <v>149</v>
      </c>
      <c r="C1276">
        <v>1400</v>
      </c>
      <c r="D1276" t="s">
        <v>289</v>
      </c>
      <c r="E1276" t="str">
        <f t="shared" si="19"/>
        <v>01400</v>
      </c>
      <c r="F1276" t="s">
        <v>28</v>
      </c>
      <c r="G1276" t="s">
        <v>164</v>
      </c>
      <c r="H1276" t="s">
        <v>151</v>
      </c>
      <c r="I1276" t="s">
        <v>210</v>
      </c>
      <c r="J1276" t="s">
        <v>152</v>
      </c>
      <c r="K1276" t="s">
        <v>153</v>
      </c>
      <c r="L1276">
        <v>251200762</v>
      </c>
      <c r="M1276" s="84">
        <v>46019</v>
      </c>
      <c r="N1276" s="84">
        <v>46019</v>
      </c>
      <c r="O1276" t="s">
        <v>213</v>
      </c>
      <c r="P1276" t="s">
        <v>214</v>
      </c>
      <c r="Q1276">
        <v>23802</v>
      </c>
      <c r="R1276">
        <v>2</v>
      </c>
      <c r="S1276">
        <v>47604</v>
      </c>
      <c r="T1276">
        <v>0</v>
      </c>
      <c r="U1276">
        <v>0</v>
      </c>
      <c r="V1276">
        <v>2</v>
      </c>
      <c r="W1276">
        <v>47604</v>
      </c>
      <c r="X1276">
        <v>952</v>
      </c>
      <c r="Y1276">
        <v>952</v>
      </c>
      <c r="Z1276">
        <v>2000</v>
      </c>
      <c r="AA1276">
        <v>0</v>
      </c>
      <c r="AB1276">
        <v>200</v>
      </c>
      <c r="AC1276">
        <v>4104</v>
      </c>
    </row>
    <row r="1277" spans="1:29">
      <c r="A1277">
        <v>1269</v>
      </c>
      <c r="B1277" t="s">
        <v>149</v>
      </c>
      <c r="C1277">
        <v>1557</v>
      </c>
      <c r="D1277" t="s">
        <v>344</v>
      </c>
      <c r="E1277" t="str">
        <f t="shared" si="19"/>
        <v>01557</v>
      </c>
      <c r="F1277" t="s">
        <v>111</v>
      </c>
      <c r="G1277" t="s">
        <v>150</v>
      </c>
      <c r="H1277" t="s">
        <v>151</v>
      </c>
      <c r="I1277" t="s">
        <v>4</v>
      </c>
      <c r="J1277" t="s">
        <v>152</v>
      </c>
      <c r="K1277" t="s">
        <v>153</v>
      </c>
      <c r="L1277">
        <v>251200763</v>
      </c>
      <c r="M1277" s="84">
        <v>46019</v>
      </c>
      <c r="N1277" s="84">
        <v>46019</v>
      </c>
      <c r="O1277" t="s">
        <v>243</v>
      </c>
      <c r="P1277" t="s">
        <v>244</v>
      </c>
      <c r="Q1277">
        <v>5700</v>
      </c>
      <c r="R1277">
        <v>10</v>
      </c>
      <c r="S1277">
        <v>57000</v>
      </c>
      <c r="T1277">
        <v>0</v>
      </c>
      <c r="U1277">
        <v>0</v>
      </c>
      <c r="V1277">
        <v>10</v>
      </c>
      <c r="W1277">
        <v>57000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</row>
    <row r="1278" spans="1:29">
      <c r="A1278">
        <v>1270</v>
      </c>
      <c r="B1278" t="s">
        <v>149</v>
      </c>
      <c r="C1278">
        <v>2</v>
      </c>
      <c r="D1278" t="s">
        <v>281</v>
      </c>
      <c r="E1278" t="str">
        <f t="shared" si="19"/>
        <v>00002</v>
      </c>
      <c r="F1278" t="s">
        <v>111</v>
      </c>
      <c r="G1278" t="s">
        <v>150</v>
      </c>
      <c r="H1278" t="s">
        <v>151</v>
      </c>
      <c r="I1278" t="s">
        <v>231</v>
      </c>
      <c r="J1278" t="s">
        <v>152</v>
      </c>
      <c r="K1278" t="s">
        <v>153</v>
      </c>
      <c r="L1278">
        <v>251200764</v>
      </c>
      <c r="M1278" s="84">
        <v>46019</v>
      </c>
      <c r="N1278" s="84">
        <v>46019</v>
      </c>
      <c r="O1278" t="s">
        <v>234</v>
      </c>
      <c r="P1278" t="s">
        <v>235</v>
      </c>
      <c r="Q1278">
        <v>10432</v>
      </c>
      <c r="R1278">
        <v>2</v>
      </c>
      <c r="S1278">
        <v>20864</v>
      </c>
      <c r="T1278">
        <v>0</v>
      </c>
      <c r="U1278">
        <v>0</v>
      </c>
      <c r="V1278">
        <v>2</v>
      </c>
      <c r="W1278">
        <v>20864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</row>
    <row r="1279" spans="1:29">
      <c r="A1279">
        <v>1271</v>
      </c>
      <c r="B1279" t="s">
        <v>149</v>
      </c>
      <c r="C1279">
        <v>1557</v>
      </c>
      <c r="D1279" t="s">
        <v>344</v>
      </c>
      <c r="E1279" t="str">
        <f t="shared" si="19"/>
        <v>01557</v>
      </c>
      <c r="F1279" t="s">
        <v>111</v>
      </c>
      <c r="G1279" t="s">
        <v>150</v>
      </c>
      <c r="H1279" t="s">
        <v>151</v>
      </c>
      <c r="I1279" t="s">
        <v>4</v>
      </c>
      <c r="J1279" t="s">
        <v>152</v>
      </c>
      <c r="K1279" t="s">
        <v>153</v>
      </c>
      <c r="L1279">
        <v>251200765</v>
      </c>
      <c r="M1279" s="84">
        <v>46019</v>
      </c>
      <c r="N1279" s="84">
        <v>46019</v>
      </c>
      <c r="O1279" t="s">
        <v>179</v>
      </c>
      <c r="P1279" t="s">
        <v>180</v>
      </c>
      <c r="Q1279">
        <v>5500</v>
      </c>
      <c r="R1279">
        <v>5</v>
      </c>
      <c r="S1279">
        <v>27500</v>
      </c>
      <c r="T1279">
        <v>0</v>
      </c>
      <c r="U1279">
        <v>0</v>
      </c>
      <c r="V1279">
        <v>5</v>
      </c>
      <c r="W1279">
        <v>27500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</row>
    <row r="1280" spans="1:29">
      <c r="A1280">
        <v>1272</v>
      </c>
      <c r="B1280" t="s">
        <v>149</v>
      </c>
      <c r="C1280">
        <v>1581</v>
      </c>
      <c r="D1280" t="s">
        <v>96</v>
      </c>
      <c r="E1280" t="str">
        <f t="shared" si="19"/>
        <v>01581</v>
      </c>
      <c r="F1280" t="s">
        <v>95</v>
      </c>
      <c r="G1280" t="s">
        <v>187</v>
      </c>
      <c r="H1280" t="s">
        <v>188</v>
      </c>
      <c r="I1280" t="s">
        <v>4</v>
      </c>
      <c r="J1280" t="s">
        <v>152</v>
      </c>
      <c r="K1280" t="s">
        <v>159</v>
      </c>
      <c r="L1280">
        <v>251200766</v>
      </c>
      <c r="M1280" s="84">
        <v>46019</v>
      </c>
      <c r="N1280" s="84">
        <v>46019</v>
      </c>
      <c r="O1280" t="s">
        <v>221</v>
      </c>
      <c r="P1280" t="s">
        <v>222</v>
      </c>
      <c r="Q1280">
        <v>13300</v>
      </c>
      <c r="R1280">
        <v>5</v>
      </c>
      <c r="S1280">
        <v>66500</v>
      </c>
      <c r="T1280">
        <v>0</v>
      </c>
      <c r="U1280">
        <v>0</v>
      </c>
      <c r="V1280">
        <v>5</v>
      </c>
      <c r="W1280">
        <v>66500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</row>
    <row r="1281" spans="1:29">
      <c r="A1281">
        <v>1273</v>
      </c>
      <c r="B1281" t="s">
        <v>149</v>
      </c>
      <c r="C1281">
        <v>1550</v>
      </c>
      <c r="D1281" t="s">
        <v>337</v>
      </c>
      <c r="E1281" t="str">
        <f t="shared" si="19"/>
        <v>01550</v>
      </c>
      <c r="F1281" t="s">
        <v>15</v>
      </c>
      <c r="G1281" t="s">
        <v>193</v>
      </c>
      <c r="H1281" t="s">
        <v>151</v>
      </c>
      <c r="I1281" t="s">
        <v>5</v>
      </c>
      <c r="J1281" t="s">
        <v>152</v>
      </c>
      <c r="K1281" t="s">
        <v>153</v>
      </c>
      <c r="L1281">
        <v>251200767</v>
      </c>
      <c r="M1281" s="84">
        <v>46019</v>
      </c>
      <c r="N1281" s="84">
        <v>46019</v>
      </c>
      <c r="O1281" t="s">
        <v>191</v>
      </c>
      <c r="P1281" t="s">
        <v>192</v>
      </c>
      <c r="Q1281">
        <v>4500</v>
      </c>
      <c r="R1281">
        <v>20</v>
      </c>
      <c r="S1281">
        <v>90000</v>
      </c>
      <c r="T1281">
        <v>0</v>
      </c>
      <c r="U1281">
        <v>0</v>
      </c>
      <c r="V1281">
        <v>20</v>
      </c>
      <c r="W1281">
        <v>90000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</row>
    <row r="1282" spans="1:29">
      <c r="A1282">
        <v>1274</v>
      </c>
      <c r="B1282" t="s">
        <v>149</v>
      </c>
      <c r="C1282">
        <v>1550</v>
      </c>
      <c r="D1282" t="s">
        <v>337</v>
      </c>
      <c r="E1282" t="str">
        <f t="shared" si="19"/>
        <v>01550</v>
      </c>
      <c r="F1282" t="s">
        <v>15</v>
      </c>
      <c r="G1282" t="s">
        <v>193</v>
      </c>
      <c r="H1282" t="s">
        <v>151</v>
      </c>
      <c r="I1282" t="s">
        <v>5</v>
      </c>
      <c r="J1282" t="s">
        <v>152</v>
      </c>
      <c r="K1282" t="s">
        <v>153</v>
      </c>
      <c r="L1282">
        <v>251200767</v>
      </c>
      <c r="M1282" s="84">
        <v>46019</v>
      </c>
      <c r="N1282" s="84">
        <v>46019</v>
      </c>
      <c r="O1282" t="s">
        <v>260</v>
      </c>
      <c r="P1282" t="s">
        <v>261</v>
      </c>
      <c r="Q1282">
        <v>4500</v>
      </c>
      <c r="R1282">
        <v>12</v>
      </c>
      <c r="S1282">
        <v>54000</v>
      </c>
      <c r="T1282">
        <v>0</v>
      </c>
      <c r="U1282">
        <v>0</v>
      </c>
      <c r="V1282">
        <v>12</v>
      </c>
      <c r="W1282">
        <v>54000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</row>
    <row r="1283" spans="1:29">
      <c r="A1283">
        <v>1275</v>
      </c>
      <c r="B1283" t="s">
        <v>149</v>
      </c>
      <c r="C1283">
        <v>1312</v>
      </c>
      <c r="D1283" t="s">
        <v>359</v>
      </c>
      <c r="E1283" t="str">
        <f t="shared" si="19"/>
        <v>01312</v>
      </c>
      <c r="F1283" t="s">
        <v>15</v>
      </c>
      <c r="G1283" t="s">
        <v>193</v>
      </c>
      <c r="H1283" t="s">
        <v>151</v>
      </c>
      <c r="I1283" t="s">
        <v>5</v>
      </c>
      <c r="J1283" t="s">
        <v>152</v>
      </c>
      <c r="K1283" t="s">
        <v>153</v>
      </c>
      <c r="L1283">
        <v>251200768</v>
      </c>
      <c r="M1283" s="84">
        <v>46019</v>
      </c>
      <c r="N1283" s="84">
        <v>46019</v>
      </c>
      <c r="O1283" t="s">
        <v>196</v>
      </c>
      <c r="P1283" t="s">
        <v>197</v>
      </c>
      <c r="Q1283">
        <v>4500</v>
      </c>
      <c r="R1283">
        <v>12</v>
      </c>
      <c r="S1283">
        <v>54000</v>
      </c>
      <c r="T1283">
        <v>0</v>
      </c>
      <c r="U1283">
        <v>0</v>
      </c>
      <c r="V1283">
        <v>12</v>
      </c>
      <c r="W1283">
        <v>54000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</row>
    <row r="1284" spans="1:29">
      <c r="A1284">
        <v>1276</v>
      </c>
      <c r="B1284" t="s">
        <v>149</v>
      </c>
      <c r="C1284">
        <v>1550</v>
      </c>
      <c r="D1284" t="s">
        <v>337</v>
      </c>
      <c r="E1284" t="str">
        <f t="shared" si="19"/>
        <v>01550</v>
      </c>
      <c r="F1284" t="s">
        <v>15</v>
      </c>
      <c r="G1284" t="s">
        <v>193</v>
      </c>
      <c r="H1284" t="s">
        <v>151</v>
      </c>
      <c r="I1284" t="s">
        <v>5</v>
      </c>
      <c r="J1284" t="s">
        <v>152</v>
      </c>
      <c r="K1284" t="s">
        <v>153</v>
      </c>
      <c r="L1284">
        <v>251200769</v>
      </c>
      <c r="M1284" s="84">
        <v>46019</v>
      </c>
      <c r="N1284" s="84">
        <v>46019</v>
      </c>
      <c r="O1284" t="s">
        <v>194</v>
      </c>
      <c r="P1284" t="s">
        <v>195</v>
      </c>
      <c r="Q1284">
        <v>4500</v>
      </c>
      <c r="R1284">
        <v>8</v>
      </c>
      <c r="S1284">
        <v>36000</v>
      </c>
      <c r="T1284">
        <v>0</v>
      </c>
      <c r="U1284">
        <v>0</v>
      </c>
      <c r="V1284">
        <v>8</v>
      </c>
      <c r="W1284">
        <v>36000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</row>
    <row r="1285" spans="1:29">
      <c r="A1285">
        <v>1277</v>
      </c>
      <c r="B1285" t="s">
        <v>149</v>
      </c>
      <c r="C1285">
        <v>1326</v>
      </c>
      <c r="D1285" t="s">
        <v>338</v>
      </c>
      <c r="E1285" t="str">
        <f t="shared" si="19"/>
        <v>01326</v>
      </c>
      <c r="F1285" t="s">
        <v>15</v>
      </c>
      <c r="G1285" t="s">
        <v>193</v>
      </c>
      <c r="H1285" t="s">
        <v>151</v>
      </c>
      <c r="I1285" t="s">
        <v>5</v>
      </c>
      <c r="J1285" t="s">
        <v>152</v>
      </c>
      <c r="K1285" t="s">
        <v>153</v>
      </c>
      <c r="L1285">
        <v>251200770</v>
      </c>
      <c r="M1285" s="84">
        <v>46019</v>
      </c>
      <c r="N1285" s="84">
        <v>46019</v>
      </c>
      <c r="O1285" t="s">
        <v>191</v>
      </c>
      <c r="P1285" t="s">
        <v>192</v>
      </c>
      <c r="Q1285">
        <v>4500</v>
      </c>
      <c r="R1285">
        <v>60</v>
      </c>
      <c r="S1285">
        <v>270000</v>
      </c>
      <c r="T1285">
        <v>0</v>
      </c>
      <c r="U1285">
        <v>0</v>
      </c>
      <c r="V1285">
        <v>60</v>
      </c>
      <c r="W1285">
        <v>270000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</row>
    <row r="1286" spans="1:29">
      <c r="A1286">
        <v>1278</v>
      </c>
      <c r="B1286" t="s">
        <v>149</v>
      </c>
      <c r="C1286">
        <v>1455</v>
      </c>
      <c r="D1286" t="s">
        <v>323</v>
      </c>
      <c r="E1286" t="str">
        <f t="shared" si="19"/>
        <v>01455</v>
      </c>
      <c r="F1286" t="s">
        <v>171</v>
      </c>
      <c r="G1286" t="s">
        <v>172</v>
      </c>
      <c r="H1286" t="s">
        <v>157</v>
      </c>
      <c r="I1286" t="s">
        <v>4</v>
      </c>
      <c r="J1286" t="s">
        <v>152</v>
      </c>
      <c r="K1286" t="s">
        <v>174</v>
      </c>
      <c r="L1286">
        <v>251200771</v>
      </c>
      <c r="M1286" s="84">
        <v>46019</v>
      </c>
      <c r="N1286" s="84">
        <v>46019</v>
      </c>
      <c r="O1286" t="s">
        <v>248</v>
      </c>
      <c r="P1286" t="s">
        <v>249</v>
      </c>
      <c r="Q1286">
        <v>5500</v>
      </c>
      <c r="R1286">
        <v>10</v>
      </c>
      <c r="S1286">
        <v>55000</v>
      </c>
      <c r="T1286">
        <v>0</v>
      </c>
      <c r="U1286">
        <v>0</v>
      </c>
      <c r="V1286">
        <v>10</v>
      </c>
      <c r="W1286">
        <v>55000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</row>
    <row r="1287" spans="1:29">
      <c r="A1287">
        <v>1279</v>
      </c>
      <c r="B1287" t="s">
        <v>149</v>
      </c>
      <c r="C1287">
        <v>561</v>
      </c>
      <c r="D1287" t="s">
        <v>93</v>
      </c>
      <c r="E1287" t="str">
        <f t="shared" si="19"/>
        <v>00561</v>
      </c>
      <c r="F1287" t="s">
        <v>91</v>
      </c>
      <c r="G1287" t="s">
        <v>202</v>
      </c>
      <c r="H1287" t="s">
        <v>157</v>
      </c>
      <c r="I1287" t="s">
        <v>238</v>
      </c>
      <c r="J1287" t="s">
        <v>152</v>
      </c>
      <c r="K1287" t="s">
        <v>159</v>
      </c>
      <c r="L1287">
        <v>251200772</v>
      </c>
      <c r="M1287" s="84">
        <v>46019</v>
      </c>
      <c r="N1287" s="84">
        <v>46019</v>
      </c>
      <c r="O1287" t="s">
        <v>247</v>
      </c>
      <c r="P1287" t="s">
        <v>116</v>
      </c>
      <c r="Q1287">
        <v>10982</v>
      </c>
      <c r="R1287">
        <v>4</v>
      </c>
      <c r="S1287">
        <v>43928</v>
      </c>
      <c r="T1287">
        <v>0</v>
      </c>
      <c r="U1287">
        <v>0</v>
      </c>
      <c r="V1287">
        <v>4</v>
      </c>
      <c r="W1287">
        <v>43928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</row>
    <row r="1288" spans="1:29">
      <c r="A1288">
        <v>1280</v>
      </c>
      <c r="B1288" t="s">
        <v>149</v>
      </c>
      <c r="C1288">
        <v>561</v>
      </c>
      <c r="D1288" t="s">
        <v>93</v>
      </c>
      <c r="E1288" t="str">
        <f t="shared" si="19"/>
        <v>00561</v>
      </c>
      <c r="F1288" t="s">
        <v>91</v>
      </c>
      <c r="G1288" t="s">
        <v>202</v>
      </c>
      <c r="H1288" t="s">
        <v>157</v>
      </c>
      <c r="I1288" t="s">
        <v>238</v>
      </c>
      <c r="J1288" t="s">
        <v>152</v>
      </c>
      <c r="K1288" t="s">
        <v>159</v>
      </c>
      <c r="L1288">
        <v>251200772</v>
      </c>
      <c r="M1288" s="84">
        <v>46019</v>
      </c>
      <c r="N1288" s="84">
        <v>46019</v>
      </c>
      <c r="O1288" t="s">
        <v>239</v>
      </c>
      <c r="P1288" t="s">
        <v>240</v>
      </c>
      <c r="Q1288">
        <v>13684</v>
      </c>
      <c r="R1288">
        <v>1</v>
      </c>
      <c r="S1288">
        <v>13684</v>
      </c>
      <c r="T1288">
        <v>0</v>
      </c>
      <c r="U1288">
        <v>0</v>
      </c>
      <c r="V1288">
        <v>1</v>
      </c>
      <c r="W1288">
        <v>13684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</row>
    <row r="1289" spans="1:29">
      <c r="A1289">
        <v>1281</v>
      </c>
      <c r="B1289" t="s">
        <v>149</v>
      </c>
      <c r="C1289">
        <v>561</v>
      </c>
      <c r="D1289" t="s">
        <v>93</v>
      </c>
      <c r="E1289" t="str">
        <f t="shared" ref="E1289:E1352" si="20">TEXT(C1289,"00000")</f>
        <v>00561</v>
      </c>
      <c r="F1289" t="s">
        <v>91</v>
      </c>
      <c r="G1289" t="s">
        <v>202</v>
      </c>
      <c r="H1289" t="s">
        <v>157</v>
      </c>
      <c r="I1289" t="s">
        <v>238</v>
      </c>
      <c r="J1289" t="s">
        <v>152</v>
      </c>
      <c r="K1289" t="s">
        <v>159</v>
      </c>
      <c r="L1289">
        <v>251200772</v>
      </c>
      <c r="M1289" s="84">
        <v>46019</v>
      </c>
      <c r="N1289" s="84">
        <v>46019</v>
      </c>
      <c r="O1289" t="s">
        <v>241</v>
      </c>
      <c r="P1289" t="s">
        <v>242</v>
      </c>
      <c r="Q1289">
        <v>17156</v>
      </c>
      <c r="R1289">
        <v>1</v>
      </c>
      <c r="S1289">
        <v>17156</v>
      </c>
      <c r="T1289">
        <v>0</v>
      </c>
      <c r="U1289">
        <v>0</v>
      </c>
      <c r="V1289">
        <v>1</v>
      </c>
      <c r="W1289">
        <v>17156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</row>
    <row r="1290" spans="1:29">
      <c r="A1290">
        <v>1282</v>
      </c>
      <c r="B1290" t="s">
        <v>149</v>
      </c>
      <c r="C1290">
        <v>561</v>
      </c>
      <c r="D1290" t="s">
        <v>93</v>
      </c>
      <c r="E1290" t="str">
        <f t="shared" si="20"/>
        <v>00561</v>
      </c>
      <c r="F1290" t="s">
        <v>91</v>
      </c>
      <c r="G1290" t="s">
        <v>202</v>
      </c>
      <c r="H1290" t="s">
        <v>157</v>
      </c>
      <c r="I1290" t="s">
        <v>231</v>
      </c>
      <c r="J1290" t="s">
        <v>152</v>
      </c>
      <c r="K1290" t="s">
        <v>159</v>
      </c>
      <c r="L1290">
        <v>251200772</v>
      </c>
      <c r="M1290" s="84">
        <v>46019</v>
      </c>
      <c r="N1290" s="84">
        <v>46019</v>
      </c>
      <c r="O1290" t="s">
        <v>234</v>
      </c>
      <c r="P1290" t="s">
        <v>235</v>
      </c>
      <c r="Q1290">
        <v>10432</v>
      </c>
      <c r="R1290">
        <v>1</v>
      </c>
      <c r="S1290">
        <v>10432</v>
      </c>
      <c r="T1290">
        <v>0</v>
      </c>
      <c r="U1290">
        <v>0</v>
      </c>
      <c r="V1290">
        <v>1</v>
      </c>
      <c r="W1290">
        <v>10432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</row>
    <row r="1291" spans="1:29">
      <c r="A1291">
        <v>1283</v>
      </c>
      <c r="B1291" t="s">
        <v>149</v>
      </c>
      <c r="C1291">
        <v>561</v>
      </c>
      <c r="D1291" t="s">
        <v>93</v>
      </c>
      <c r="E1291" t="str">
        <f t="shared" si="20"/>
        <v>00561</v>
      </c>
      <c r="F1291" t="s">
        <v>91</v>
      </c>
      <c r="G1291" t="s">
        <v>202</v>
      </c>
      <c r="H1291" t="s">
        <v>157</v>
      </c>
      <c r="I1291" t="s">
        <v>231</v>
      </c>
      <c r="J1291" t="s">
        <v>152</v>
      </c>
      <c r="K1291" t="s">
        <v>159</v>
      </c>
      <c r="L1291">
        <v>251200772</v>
      </c>
      <c r="M1291" s="84">
        <v>46019</v>
      </c>
      <c r="N1291" s="84">
        <v>46019</v>
      </c>
      <c r="O1291" t="s">
        <v>232</v>
      </c>
      <c r="P1291" t="s">
        <v>122</v>
      </c>
      <c r="Q1291">
        <v>6213</v>
      </c>
      <c r="R1291">
        <v>1</v>
      </c>
      <c r="S1291">
        <v>6213</v>
      </c>
      <c r="T1291">
        <v>0</v>
      </c>
      <c r="U1291">
        <v>0</v>
      </c>
      <c r="V1291">
        <v>1</v>
      </c>
      <c r="W1291">
        <v>6213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</row>
    <row r="1292" spans="1:29">
      <c r="A1292">
        <v>1284</v>
      </c>
      <c r="B1292" t="s">
        <v>149</v>
      </c>
      <c r="C1292">
        <v>519</v>
      </c>
      <c r="D1292" t="s">
        <v>296</v>
      </c>
      <c r="E1292" t="str">
        <f t="shared" si="20"/>
        <v>00519</v>
      </c>
      <c r="F1292" t="s">
        <v>7</v>
      </c>
      <c r="G1292" t="s">
        <v>156</v>
      </c>
      <c r="H1292" t="s">
        <v>157</v>
      </c>
      <c r="I1292" t="s">
        <v>210</v>
      </c>
      <c r="J1292" t="s">
        <v>152</v>
      </c>
      <c r="K1292" t="s">
        <v>159</v>
      </c>
      <c r="L1292">
        <v>251200773</v>
      </c>
      <c r="M1292" s="84">
        <v>46019</v>
      </c>
      <c r="N1292" s="84">
        <v>46019</v>
      </c>
      <c r="O1292" t="s">
        <v>228</v>
      </c>
      <c r="P1292" t="s">
        <v>229</v>
      </c>
      <c r="Q1292">
        <v>27674</v>
      </c>
      <c r="R1292">
        <v>14</v>
      </c>
      <c r="S1292">
        <v>387436</v>
      </c>
      <c r="T1292">
        <v>0</v>
      </c>
      <c r="U1292">
        <v>0</v>
      </c>
      <c r="V1292">
        <v>14</v>
      </c>
      <c r="W1292">
        <v>387436</v>
      </c>
      <c r="X1292">
        <v>11620</v>
      </c>
      <c r="Y1292">
        <v>15498</v>
      </c>
      <c r="Z1292">
        <v>7742</v>
      </c>
      <c r="AA1292">
        <v>19376</v>
      </c>
      <c r="AB1292">
        <v>1400</v>
      </c>
      <c r="AC1292">
        <v>55636</v>
      </c>
    </row>
    <row r="1293" spans="1:29">
      <c r="A1293">
        <v>1285</v>
      </c>
      <c r="B1293" t="s">
        <v>149</v>
      </c>
      <c r="C1293">
        <v>519</v>
      </c>
      <c r="D1293" t="s">
        <v>296</v>
      </c>
      <c r="E1293" t="str">
        <f t="shared" si="20"/>
        <v>00519</v>
      </c>
      <c r="F1293" t="s">
        <v>7</v>
      </c>
      <c r="G1293" t="s">
        <v>156</v>
      </c>
      <c r="H1293" t="s">
        <v>157</v>
      </c>
      <c r="I1293" t="s">
        <v>210</v>
      </c>
      <c r="J1293" t="s">
        <v>152</v>
      </c>
      <c r="K1293" t="s">
        <v>159</v>
      </c>
      <c r="L1293">
        <v>251200773</v>
      </c>
      <c r="M1293" s="84">
        <v>46019</v>
      </c>
      <c r="N1293" s="84">
        <v>46019</v>
      </c>
      <c r="O1293" t="s">
        <v>213</v>
      </c>
      <c r="P1293" t="s">
        <v>214</v>
      </c>
      <c r="Q1293">
        <v>23802</v>
      </c>
      <c r="R1293">
        <v>8</v>
      </c>
      <c r="S1293">
        <v>190416</v>
      </c>
      <c r="T1293">
        <v>0</v>
      </c>
      <c r="U1293">
        <v>0</v>
      </c>
      <c r="V1293">
        <v>8</v>
      </c>
      <c r="W1293">
        <v>190416</v>
      </c>
      <c r="X1293">
        <v>3808</v>
      </c>
      <c r="Y1293">
        <v>3808</v>
      </c>
      <c r="Z1293">
        <v>8000</v>
      </c>
      <c r="AA1293">
        <v>0</v>
      </c>
      <c r="AB1293">
        <v>800</v>
      </c>
      <c r="AC1293">
        <v>16416</v>
      </c>
    </row>
    <row r="1294" spans="1:29">
      <c r="A1294">
        <v>1286</v>
      </c>
      <c r="B1294" t="s">
        <v>149</v>
      </c>
      <c r="C1294">
        <v>519</v>
      </c>
      <c r="D1294" t="s">
        <v>296</v>
      </c>
      <c r="E1294" t="str">
        <f t="shared" si="20"/>
        <v>00519</v>
      </c>
      <c r="F1294" t="s">
        <v>7</v>
      </c>
      <c r="G1294" t="s">
        <v>156</v>
      </c>
      <c r="H1294" t="s">
        <v>157</v>
      </c>
      <c r="I1294" t="s">
        <v>210</v>
      </c>
      <c r="J1294" t="s">
        <v>152</v>
      </c>
      <c r="K1294" t="s">
        <v>159</v>
      </c>
      <c r="L1294">
        <v>251200773</v>
      </c>
      <c r="M1294" s="84">
        <v>46019</v>
      </c>
      <c r="N1294" s="84">
        <v>46019</v>
      </c>
      <c r="O1294" t="s">
        <v>250</v>
      </c>
      <c r="P1294" t="s">
        <v>251</v>
      </c>
      <c r="Q1294">
        <v>30930</v>
      </c>
      <c r="R1294">
        <v>5</v>
      </c>
      <c r="S1294">
        <v>154650</v>
      </c>
      <c r="T1294">
        <v>0</v>
      </c>
      <c r="U1294">
        <v>0</v>
      </c>
      <c r="V1294">
        <v>5</v>
      </c>
      <c r="W1294">
        <v>154650</v>
      </c>
      <c r="X1294">
        <v>4640</v>
      </c>
      <c r="Y1294">
        <v>6185</v>
      </c>
      <c r="Z1294">
        <v>3095</v>
      </c>
      <c r="AA1294">
        <v>7735</v>
      </c>
      <c r="AB1294">
        <v>500</v>
      </c>
      <c r="AC1294">
        <v>22155</v>
      </c>
    </row>
    <row r="1295" spans="1:29">
      <c r="A1295">
        <v>1287</v>
      </c>
      <c r="B1295" t="s">
        <v>149</v>
      </c>
      <c r="C1295">
        <v>1563</v>
      </c>
      <c r="D1295" t="s">
        <v>348</v>
      </c>
      <c r="E1295" t="str">
        <f t="shared" si="20"/>
        <v>01563</v>
      </c>
      <c r="F1295" t="s">
        <v>91</v>
      </c>
      <c r="G1295" t="s">
        <v>202</v>
      </c>
      <c r="H1295" t="s">
        <v>157</v>
      </c>
      <c r="I1295" t="s">
        <v>5</v>
      </c>
      <c r="J1295" t="s">
        <v>152</v>
      </c>
      <c r="K1295" t="s">
        <v>159</v>
      </c>
      <c r="L1295">
        <v>251200774</v>
      </c>
      <c r="M1295" s="84">
        <v>46019</v>
      </c>
      <c r="N1295" s="84">
        <v>46019</v>
      </c>
      <c r="O1295" t="s">
        <v>191</v>
      </c>
      <c r="P1295" t="s">
        <v>192</v>
      </c>
      <c r="Q1295">
        <v>4500</v>
      </c>
      <c r="R1295">
        <v>50</v>
      </c>
      <c r="S1295">
        <v>225000</v>
      </c>
      <c r="T1295">
        <v>0</v>
      </c>
      <c r="U1295">
        <v>0</v>
      </c>
      <c r="V1295">
        <v>50</v>
      </c>
      <c r="W1295">
        <v>225000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</row>
    <row r="1296" spans="1:29">
      <c r="A1296">
        <v>1288</v>
      </c>
      <c r="B1296" t="s">
        <v>149</v>
      </c>
      <c r="C1296">
        <v>1606</v>
      </c>
      <c r="D1296" t="s">
        <v>411</v>
      </c>
      <c r="E1296" t="str">
        <f t="shared" si="20"/>
        <v>01606</v>
      </c>
      <c r="F1296" t="s">
        <v>86</v>
      </c>
      <c r="G1296" t="s">
        <v>156</v>
      </c>
      <c r="H1296" t="s">
        <v>157</v>
      </c>
      <c r="I1296" t="s">
        <v>4</v>
      </c>
      <c r="J1296" t="s">
        <v>152</v>
      </c>
      <c r="K1296" t="s">
        <v>159</v>
      </c>
      <c r="L1296">
        <v>251200775</v>
      </c>
      <c r="M1296" s="84">
        <v>46019</v>
      </c>
      <c r="N1296" s="84">
        <v>46019</v>
      </c>
      <c r="O1296" t="s">
        <v>177</v>
      </c>
      <c r="P1296" t="s">
        <v>178</v>
      </c>
      <c r="Q1296">
        <v>5500</v>
      </c>
      <c r="R1296">
        <v>10</v>
      </c>
      <c r="S1296">
        <v>55000</v>
      </c>
      <c r="T1296">
        <v>0</v>
      </c>
      <c r="U1296">
        <v>0</v>
      </c>
      <c r="V1296">
        <v>10</v>
      </c>
      <c r="W1296">
        <v>55000</v>
      </c>
      <c r="X1296">
        <v>1500</v>
      </c>
      <c r="Y1296">
        <v>2000</v>
      </c>
      <c r="Z1296">
        <v>0</v>
      </c>
      <c r="AA1296">
        <v>0</v>
      </c>
      <c r="AB1296">
        <v>0</v>
      </c>
      <c r="AC1296">
        <v>3500</v>
      </c>
    </row>
    <row r="1297" spans="1:29">
      <c r="A1297">
        <v>1289</v>
      </c>
      <c r="B1297" t="s">
        <v>149</v>
      </c>
      <c r="C1297">
        <v>1606</v>
      </c>
      <c r="D1297" t="s">
        <v>411</v>
      </c>
      <c r="E1297" t="str">
        <f t="shared" si="20"/>
        <v>01606</v>
      </c>
      <c r="F1297" t="s">
        <v>86</v>
      </c>
      <c r="G1297" t="s">
        <v>156</v>
      </c>
      <c r="H1297" t="s">
        <v>157</v>
      </c>
      <c r="I1297" t="s">
        <v>4</v>
      </c>
      <c r="J1297" t="s">
        <v>152</v>
      </c>
      <c r="K1297" t="s">
        <v>159</v>
      </c>
      <c r="L1297">
        <v>251200775</v>
      </c>
      <c r="M1297" s="84">
        <v>46019</v>
      </c>
      <c r="N1297" s="84">
        <v>46019</v>
      </c>
      <c r="O1297" t="s">
        <v>160</v>
      </c>
      <c r="P1297" t="s">
        <v>161</v>
      </c>
      <c r="Q1297">
        <v>5500</v>
      </c>
      <c r="R1297">
        <v>10</v>
      </c>
      <c r="S1297">
        <v>55000</v>
      </c>
      <c r="T1297">
        <v>0</v>
      </c>
      <c r="U1297">
        <v>0</v>
      </c>
      <c r="V1297">
        <v>10</v>
      </c>
      <c r="W1297">
        <v>55000</v>
      </c>
      <c r="X1297">
        <v>1500</v>
      </c>
      <c r="Y1297">
        <v>2000</v>
      </c>
      <c r="Z1297">
        <v>0</v>
      </c>
      <c r="AA1297">
        <v>0</v>
      </c>
      <c r="AB1297">
        <v>0</v>
      </c>
      <c r="AC1297">
        <v>3500</v>
      </c>
    </row>
    <row r="1298" spans="1:29">
      <c r="A1298">
        <v>1290</v>
      </c>
      <c r="B1298" t="s">
        <v>149</v>
      </c>
      <c r="C1298">
        <v>163</v>
      </c>
      <c r="D1298" t="s">
        <v>76</v>
      </c>
      <c r="E1298" t="str">
        <f t="shared" si="20"/>
        <v>00163</v>
      </c>
      <c r="F1298" t="s">
        <v>73</v>
      </c>
      <c r="G1298" t="s">
        <v>185</v>
      </c>
      <c r="H1298" t="s">
        <v>151</v>
      </c>
      <c r="I1298" t="s">
        <v>4</v>
      </c>
      <c r="J1298" t="s">
        <v>152</v>
      </c>
      <c r="K1298" t="s">
        <v>153</v>
      </c>
      <c r="L1298">
        <v>251200776</v>
      </c>
      <c r="M1298" s="84">
        <v>46019</v>
      </c>
      <c r="N1298" s="84">
        <v>46019</v>
      </c>
      <c r="O1298" t="s">
        <v>243</v>
      </c>
      <c r="P1298" t="s">
        <v>244</v>
      </c>
      <c r="Q1298">
        <v>15050</v>
      </c>
      <c r="R1298">
        <v>4</v>
      </c>
      <c r="S1298">
        <v>60200</v>
      </c>
      <c r="T1298">
        <v>0</v>
      </c>
      <c r="U1298">
        <v>0</v>
      </c>
      <c r="V1298">
        <v>4</v>
      </c>
      <c r="W1298">
        <v>60200</v>
      </c>
      <c r="X1298">
        <v>600</v>
      </c>
      <c r="Y1298">
        <v>800</v>
      </c>
      <c r="Z1298">
        <v>0</v>
      </c>
      <c r="AA1298">
        <v>0</v>
      </c>
      <c r="AB1298">
        <v>0</v>
      </c>
      <c r="AC1298">
        <v>1400</v>
      </c>
    </row>
    <row r="1299" spans="1:29">
      <c r="A1299">
        <v>1291</v>
      </c>
      <c r="B1299" t="s">
        <v>149</v>
      </c>
      <c r="C1299">
        <v>88</v>
      </c>
      <c r="D1299" t="s">
        <v>46</v>
      </c>
      <c r="E1299" t="str">
        <f t="shared" si="20"/>
        <v>00088</v>
      </c>
      <c r="F1299" t="s">
        <v>43</v>
      </c>
      <c r="G1299" t="s">
        <v>150</v>
      </c>
      <c r="H1299" t="s">
        <v>151</v>
      </c>
      <c r="I1299" t="s">
        <v>5</v>
      </c>
      <c r="J1299" t="s">
        <v>152</v>
      </c>
      <c r="K1299" t="s">
        <v>153</v>
      </c>
      <c r="L1299">
        <v>251200777</v>
      </c>
      <c r="M1299" s="84">
        <v>46019</v>
      </c>
      <c r="N1299" s="84">
        <v>46019</v>
      </c>
      <c r="O1299" t="s">
        <v>191</v>
      </c>
      <c r="P1299" t="s">
        <v>192</v>
      </c>
      <c r="Q1299">
        <v>11700</v>
      </c>
      <c r="R1299">
        <v>4</v>
      </c>
      <c r="S1299">
        <v>46800</v>
      </c>
      <c r="T1299">
        <v>0</v>
      </c>
      <c r="U1299">
        <v>0</v>
      </c>
      <c r="V1299">
        <v>4</v>
      </c>
      <c r="W1299">
        <v>46800</v>
      </c>
      <c r="X1299">
        <v>600</v>
      </c>
      <c r="Y1299">
        <v>600</v>
      </c>
      <c r="Z1299">
        <v>0</v>
      </c>
      <c r="AA1299">
        <v>0</v>
      </c>
      <c r="AB1299">
        <v>0</v>
      </c>
      <c r="AC1299">
        <v>1200</v>
      </c>
    </row>
    <row r="1300" spans="1:29">
      <c r="A1300">
        <v>1292</v>
      </c>
      <c r="B1300" t="s">
        <v>149</v>
      </c>
      <c r="C1300">
        <v>88</v>
      </c>
      <c r="D1300" t="s">
        <v>46</v>
      </c>
      <c r="E1300" t="str">
        <f t="shared" si="20"/>
        <v>00088</v>
      </c>
      <c r="F1300" t="s">
        <v>43</v>
      </c>
      <c r="G1300" t="s">
        <v>150</v>
      </c>
      <c r="H1300" t="s">
        <v>151</v>
      </c>
      <c r="I1300" t="s">
        <v>4</v>
      </c>
      <c r="J1300" t="s">
        <v>152</v>
      </c>
      <c r="K1300" t="s">
        <v>153</v>
      </c>
      <c r="L1300">
        <v>251200777</v>
      </c>
      <c r="M1300" s="84">
        <v>46019</v>
      </c>
      <c r="N1300" s="84">
        <v>46019</v>
      </c>
      <c r="O1300" t="s">
        <v>160</v>
      </c>
      <c r="P1300" t="s">
        <v>161</v>
      </c>
      <c r="Q1300">
        <v>14250</v>
      </c>
      <c r="R1300">
        <v>5</v>
      </c>
      <c r="S1300">
        <v>71250</v>
      </c>
      <c r="T1300">
        <v>0</v>
      </c>
      <c r="U1300">
        <v>0</v>
      </c>
      <c r="V1300">
        <v>5</v>
      </c>
      <c r="W1300">
        <v>71250</v>
      </c>
      <c r="X1300">
        <v>750</v>
      </c>
      <c r="Y1300">
        <v>1000</v>
      </c>
      <c r="Z1300">
        <v>0</v>
      </c>
      <c r="AA1300">
        <v>0</v>
      </c>
      <c r="AB1300">
        <v>0</v>
      </c>
      <c r="AC1300">
        <v>1750</v>
      </c>
    </row>
    <row r="1301" spans="1:29">
      <c r="A1301">
        <v>1293</v>
      </c>
      <c r="B1301" t="s">
        <v>149</v>
      </c>
      <c r="C1301">
        <v>1553</v>
      </c>
      <c r="D1301" t="s">
        <v>317</v>
      </c>
      <c r="E1301" t="str">
        <f t="shared" si="20"/>
        <v>01553</v>
      </c>
      <c r="F1301" t="s">
        <v>43</v>
      </c>
      <c r="G1301" t="s">
        <v>150</v>
      </c>
      <c r="H1301" t="s">
        <v>151</v>
      </c>
      <c r="I1301" t="s">
        <v>4</v>
      </c>
      <c r="J1301" t="s">
        <v>152</v>
      </c>
      <c r="K1301" t="s">
        <v>153</v>
      </c>
      <c r="L1301">
        <v>251200778</v>
      </c>
      <c r="M1301" s="84">
        <v>46019</v>
      </c>
      <c r="N1301" s="84">
        <v>46019</v>
      </c>
      <c r="O1301" t="s">
        <v>160</v>
      </c>
      <c r="P1301" t="s">
        <v>161</v>
      </c>
      <c r="Q1301">
        <v>5500</v>
      </c>
      <c r="R1301">
        <v>10</v>
      </c>
      <c r="S1301">
        <v>55000</v>
      </c>
      <c r="T1301">
        <v>0</v>
      </c>
      <c r="U1301">
        <v>0</v>
      </c>
      <c r="V1301">
        <v>10</v>
      </c>
      <c r="W1301">
        <v>55000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</row>
    <row r="1302" spans="1:29">
      <c r="A1302">
        <v>1294</v>
      </c>
      <c r="B1302" t="s">
        <v>149</v>
      </c>
      <c r="C1302">
        <v>1454</v>
      </c>
      <c r="D1302" t="s">
        <v>362</v>
      </c>
      <c r="E1302" t="str">
        <f t="shared" si="20"/>
        <v>01454</v>
      </c>
      <c r="F1302" t="s">
        <v>10</v>
      </c>
      <c r="G1302" t="s">
        <v>172</v>
      </c>
      <c r="H1302" t="s">
        <v>157</v>
      </c>
      <c r="I1302" t="s">
        <v>4</v>
      </c>
      <c r="J1302" t="s">
        <v>152</v>
      </c>
      <c r="K1302" t="s">
        <v>174</v>
      </c>
      <c r="L1302">
        <v>251200779</v>
      </c>
      <c r="M1302" s="84">
        <v>46019</v>
      </c>
      <c r="N1302" s="84">
        <v>46019</v>
      </c>
      <c r="O1302" t="s">
        <v>204</v>
      </c>
      <c r="P1302" t="s">
        <v>205</v>
      </c>
      <c r="Q1302">
        <v>5500</v>
      </c>
      <c r="R1302">
        <v>5</v>
      </c>
      <c r="S1302">
        <v>27500</v>
      </c>
      <c r="T1302">
        <v>0</v>
      </c>
      <c r="U1302">
        <v>0</v>
      </c>
      <c r="V1302">
        <v>5</v>
      </c>
      <c r="W1302">
        <v>27500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</row>
    <row r="1303" spans="1:29">
      <c r="A1303">
        <v>1295</v>
      </c>
      <c r="B1303" t="s">
        <v>149</v>
      </c>
      <c r="C1303">
        <v>1428</v>
      </c>
      <c r="D1303" t="s">
        <v>351</v>
      </c>
      <c r="E1303" t="str">
        <f t="shared" si="20"/>
        <v>01428</v>
      </c>
      <c r="F1303" t="s">
        <v>171</v>
      </c>
      <c r="G1303" t="s">
        <v>172</v>
      </c>
      <c r="H1303" t="s">
        <v>157</v>
      </c>
      <c r="I1303" t="s">
        <v>4</v>
      </c>
      <c r="J1303" t="s">
        <v>152</v>
      </c>
      <c r="K1303" t="s">
        <v>174</v>
      </c>
      <c r="L1303">
        <v>251200780</v>
      </c>
      <c r="M1303" s="84">
        <v>46019</v>
      </c>
      <c r="N1303" s="84">
        <v>46019</v>
      </c>
      <c r="O1303" t="s">
        <v>248</v>
      </c>
      <c r="P1303" t="s">
        <v>249</v>
      </c>
      <c r="Q1303">
        <v>5500</v>
      </c>
      <c r="R1303">
        <v>5</v>
      </c>
      <c r="S1303">
        <v>27500</v>
      </c>
      <c r="T1303">
        <v>0</v>
      </c>
      <c r="U1303">
        <v>0</v>
      </c>
      <c r="V1303">
        <v>5</v>
      </c>
      <c r="W1303">
        <v>27500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</row>
    <row r="1304" spans="1:29">
      <c r="A1304">
        <v>1296</v>
      </c>
      <c r="B1304" t="s">
        <v>149</v>
      </c>
      <c r="C1304">
        <v>1484</v>
      </c>
      <c r="D1304" t="s">
        <v>331</v>
      </c>
      <c r="E1304" t="str">
        <f t="shared" si="20"/>
        <v>01484</v>
      </c>
      <c r="F1304" t="s">
        <v>71</v>
      </c>
      <c r="G1304" t="s">
        <v>305</v>
      </c>
      <c r="H1304" t="s">
        <v>157</v>
      </c>
      <c r="I1304" t="s">
        <v>4</v>
      </c>
      <c r="J1304" t="s">
        <v>152</v>
      </c>
      <c r="K1304" t="s">
        <v>174</v>
      </c>
      <c r="L1304">
        <v>251200781</v>
      </c>
      <c r="M1304" s="84">
        <v>46019</v>
      </c>
      <c r="N1304" s="84">
        <v>46019</v>
      </c>
      <c r="O1304" t="s">
        <v>243</v>
      </c>
      <c r="P1304" t="s">
        <v>244</v>
      </c>
      <c r="Q1304">
        <v>5700</v>
      </c>
      <c r="R1304">
        <v>4</v>
      </c>
      <c r="S1304">
        <v>22800</v>
      </c>
      <c r="T1304">
        <v>0</v>
      </c>
      <c r="U1304">
        <v>0</v>
      </c>
      <c r="V1304">
        <v>4</v>
      </c>
      <c r="W1304">
        <v>22800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</row>
    <row r="1305" spans="1:29">
      <c r="A1305">
        <v>1297</v>
      </c>
      <c r="B1305" t="s">
        <v>149</v>
      </c>
      <c r="C1305">
        <v>562</v>
      </c>
      <c r="D1305" t="s">
        <v>92</v>
      </c>
      <c r="E1305" t="str">
        <f t="shared" si="20"/>
        <v>00562</v>
      </c>
      <c r="F1305" t="s">
        <v>91</v>
      </c>
      <c r="G1305" t="s">
        <v>202</v>
      </c>
      <c r="H1305" t="s">
        <v>157</v>
      </c>
      <c r="I1305" t="s">
        <v>4</v>
      </c>
      <c r="J1305" t="s">
        <v>152</v>
      </c>
      <c r="K1305" t="s">
        <v>159</v>
      </c>
      <c r="L1305">
        <v>251200782</v>
      </c>
      <c r="M1305" s="84">
        <v>46019</v>
      </c>
      <c r="N1305" s="84">
        <v>46019</v>
      </c>
      <c r="O1305" t="s">
        <v>177</v>
      </c>
      <c r="P1305" t="s">
        <v>178</v>
      </c>
      <c r="Q1305">
        <v>14250</v>
      </c>
      <c r="R1305">
        <v>20</v>
      </c>
      <c r="S1305">
        <v>285000</v>
      </c>
      <c r="T1305">
        <v>0</v>
      </c>
      <c r="U1305">
        <v>0</v>
      </c>
      <c r="V1305">
        <v>20</v>
      </c>
      <c r="W1305">
        <v>285000</v>
      </c>
      <c r="X1305">
        <v>3000</v>
      </c>
      <c r="Y1305">
        <v>4000</v>
      </c>
      <c r="Z1305">
        <v>0</v>
      </c>
      <c r="AA1305">
        <v>0</v>
      </c>
      <c r="AB1305">
        <v>0</v>
      </c>
      <c r="AC1305">
        <v>7000</v>
      </c>
    </row>
    <row r="1306" spans="1:29">
      <c r="A1306">
        <v>1298</v>
      </c>
      <c r="B1306" t="s">
        <v>149</v>
      </c>
      <c r="C1306">
        <v>1401</v>
      </c>
      <c r="D1306" t="s">
        <v>29</v>
      </c>
      <c r="E1306" t="str">
        <f t="shared" si="20"/>
        <v>01401</v>
      </c>
      <c r="F1306" t="s">
        <v>28</v>
      </c>
      <c r="G1306" t="s">
        <v>164</v>
      </c>
      <c r="H1306" t="s">
        <v>151</v>
      </c>
      <c r="I1306" t="s">
        <v>4</v>
      </c>
      <c r="J1306" t="s">
        <v>152</v>
      </c>
      <c r="K1306" t="s">
        <v>153</v>
      </c>
      <c r="L1306">
        <v>251200783</v>
      </c>
      <c r="M1306" s="84">
        <v>46019</v>
      </c>
      <c r="N1306" s="84">
        <v>46019</v>
      </c>
      <c r="O1306" t="s">
        <v>160</v>
      </c>
      <c r="P1306" t="s">
        <v>161</v>
      </c>
      <c r="Q1306">
        <v>14250</v>
      </c>
      <c r="R1306">
        <v>20</v>
      </c>
      <c r="S1306">
        <v>285000</v>
      </c>
      <c r="T1306">
        <v>0</v>
      </c>
      <c r="U1306">
        <v>0</v>
      </c>
      <c r="V1306">
        <v>20</v>
      </c>
      <c r="W1306">
        <v>285000</v>
      </c>
      <c r="X1306">
        <v>3000</v>
      </c>
      <c r="Y1306">
        <v>4000</v>
      </c>
      <c r="Z1306">
        <v>0</v>
      </c>
      <c r="AA1306">
        <v>0</v>
      </c>
      <c r="AB1306">
        <v>0</v>
      </c>
      <c r="AC1306">
        <v>7000</v>
      </c>
    </row>
    <row r="1307" spans="1:29">
      <c r="A1307">
        <v>1299</v>
      </c>
      <c r="B1307" t="s">
        <v>149</v>
      </c>
      <c r="C1307">
        <v>1353</v>
      </c>
      <c r="D1307" t="s">
        <v>356</v>
      </c>
      <c r="E1307" t="str">
        <f t="shared" si="20"/>
        <v>01353</v>
      </c>
      <c r="F1307" t="s">
        <v>28</v>
      </c>
      <c r="G1307" t="s">
        <v>164</v>
      </c>
      <c r="H1307" t="s">
        <v>151</v>
      </c>
      <c r="I1307" t="s">
        <v>5</v>
      </c>
      <c r="J1307" t="s">
        <v>152</v>
      </c>
      <c r="K1307" t="s">
        <v>153</v>
      </c>
      <c r="L1307">
        <v>251200784</v>
      </c>
      <c r="M1307" s="84">
        <v>46019</v>
      </c>
      <c r="N1307" s="84">
        <v>46019</v>
      </c>
      <c r="O1307" t="s">
        <v>196</v>
      </c>
      <c r="P1307" t="s">
        <v>197</v>
      </c>
      <c r="Q1307">
        <v>4500</v>
      </c>
      <c r="R1307">
        <v>28</v>
      </c>
      <c r="S1307">
        <v>126000</v>
      </c>
      <c r="T1307">
        <v>0</v>
      </c>
      <c r="U1307">
        <v>0</v>
      </c>
      <c r="V1307">
        <v>28</v>
      </c>
      <c r="W1307">
        <v>126000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</row>
    <row r="1308" spans="1:29">
      <c r="A1308">
        <v>1300</v>
      </c>
      <c r="B1308" t="s">
        <v>149</v>
      </c>
      <c r="C1308">
        <v>1353</v>
      </c>
      <c r="D1308" t="s">
        <v>356</v>
      </c>
      <c r="E1308" t="str">
        <f t="shared" si="20"/>
        <v>01353</v>
      </c>
      <c r="F1308" t="s">
        <v>28</v>
      </c>
      <c r="G1308" t="s">
        <v>164</v>
      </c>
      <c r="H1308" t="s">
        <v>151</v>
      </c>
      <c r="I1308" t="s">
        <v>5</v>
      </c>
      <c r="J1308" t="s">
        <v>152</v>
      </c>
      <c r="K1308" t="s">
        <v>153</v>
      </c>
      <c r="L1308">
        <v>251200784</v>
      </c>
      <c r="M1308" s="84">
        <v>46019</v>
      </c>
      <c r="N1308" s="84">
        <v>46019</v>
      </c>
      <c r="O1308" t="s">
        <v>217</v>
      </c>
      <c r="P1308" t="s">
        <v>218</v>
      </c>
      <c r="Q1308">
        <v>4500</v>
      </c>
      <c r="R1308">
        <v>52</v>
      </c>
      <c r="S1308">
        <v>234000</v>
      </c>
      <c r="T1308">
        <v>0</v>
      </c>
      <c r="U1308">
        <v>0</v>
      </c>
      <c r="V1308">
        <v>52</v>
      </c>
      <c r="W1308">
        <v>234000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</row>
    <row r="1309" spans="1:29">
      <c r="A1309">
        <v>1301</v>
      </c>
      <c r="B1309" t="s">
        <v>149</v>
      </c>
      <c r="C1309">
        <v>1353</v>
      </c>
      <c r="D1309" t="s">
        <v>356</v>
      </c>
      <c r="E1309" t="str">
        <f t="shared" si="20"/>
        <v>01353</v>
      </c>
      <c r="F1309" t="s">
        <v>28</v>
      </c>
      <c r="G1309" t="s">
        <v>164</v>
      </c>
      <c r="H1309" t="s">
        <v>151</v>
      </c>
      <c r="I1309" t="s">
        <v>5</v>
      </c>
      <c r="J1309" t="s">
        <v>152</v>
      </c>
      <c r="K1309" t="s">
        <v>153</v>
      </c>
      <c r="L1309">
        <v>251200784</v>
      </c>
      <c r="M1309" s="84">
        <v>46019</v>
      </c>
      <c r="N1309" s="84">
        <v>46019</v>
      </c>
      <c r="O1309" t="s">
        <v>253</v>
      </c>
      <c r="P1309" t="s">
        <v>254</v>
      </c>
      <c r="Q1309">
        <v>4500</v>
      </c>
      <c r="R1309">
        <v>30</v>
      </c>
      <c r="S1309">
        <v>135000</v>
      </c>
      <c r="T1309">
        <v>0</v>
      </c>
      <c r="U1309">
        <v>0</v>
      </c>
      <c r="V1309">
        <v>30</v>
      </c>
      <c r="W1309">
        <v>135000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</row>
    <row r="1310" spans="1:29">
      <c r="A1310">
        <v>1302</v>
      </c>
      <c r="B1310" t="s">
        <v>149</v>
      </c>
      <c r="C1310">
        <v>1353</v>
      </c>
      <c r="D1310" t="s">
        <v>356</v>
      </c>
      <c r="E1310" t="str">
        <f t="shared" si="20"/>
        <v>01353</v>
      </c>
      <c r="F1310" t="s">
        <v>28</v>
      </c>
      <c r="G1310" t="s">
        <v>164</v>
      </c>
      <c r="H1310" t="s">
        <v>151</v>
      </c>
      <c r="I1310" t="s">
        <v>5</v>
      </c>
      <c r="J1310" t="s">
        <v>152</v>
      </c>
      <c r="K1310" t="s">
        <v>153</v>
      </c>
      <c r="L1310">
        <v>251200785</v>
      </c>
      <c r="M1310" s="84">
        <v>46019</v>
      </c>
      <c r="N1310" s="84">
        <v>46019</v>
      </c>
      <c r="O1310" t="s">
        <v>217</v>
      </c>
      <c r="P1310" t="s">
        <v>218</v>
      </c>
      <c r="Q1310">
        <v>4500</v>
      </c>
      <c r="R1310">
        <v>4</v>
      </c>
      <c r="S1310">
        <v>18000</v>
      </c>
      <c r="T1310">
        <v>0</v>
      </c>
      <c r="U1310">
        <v>0</v>
      </c>
      <c r="V1310">
        <v>4</v>
      </c>
      <c r="W1310">
        <v>18000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</row>
    <row r="1311" spans="1:29">
      <c r="A1311">
        <v>1303</v>
      </c>
      <c r="B1311" t="s">
        <v>149</v>
      </c>
      <c r="C1311">
        <v>1298</v>
      </c>
      <c r="D1311" t="s">
        <v>389</v>
      </c>
      <c r="E1311" t="str">
        <f t="shared" si="20"/>
        <v>01298</v>
      </c>
      <c r="F1311" t="s">
        <v>83</v>
      </c>
      <c r="G1311" t="s">
        <v>164</v>
      </c>
      <c r="H1311" t="s">
        <v>151</v>
      </c>
      <c r="I1311" t="s">
        <v>5</v>
      </c>
      <c r="J1311" t="s">
        <v>152</v>
      </c>
      <c r="K1311" t="s">
        <v>153</v>
      </c>
      <c r="L1311">
        <v>251200786</v>
      </c>
      <c r="M1311" s="84">
        <v>46019</v>
      </c>
      <c r="N1311" s="84">
        <v>46019</v>
      </c>
      <c r="O1311" t="s">
        <v>260</v>
      </c>
      <c r="P1311" t="s">
        <v>261</v>
      </c>
      <c r="Q1311">
        <v>4500</v>
      </c>
      <c r="R1311">
        <v>25</v>
      </c>
      <c r="S1311">
        <v>112500</v>
      </c>
      <c r="T1311">
        <v>0</v>
      </c>
      <c r="U1311">
        <v>0</v>
      </c>
      <c r="V1311">
        <v>25</v>
      </c>
      <c r="W1311">
        <v>112500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</row>
    <row r="1312" spans="1:29">
      <c r="A1312">
        <v>1304</v>
      </c>
      <c r="B1312" t="s">
        <v>149</v>
      </c>
      <c r="C1312">
        <v>1298</v>
      </c>
      <c r="D1312" t="s">
        <v>389</v>
      </c>
      <c r="E1312" t="str">
        <f t="shared" si="20"/>
        <v>01298</v>
      </c>
      <c r="F1312" t="s">
        <v>83</v>
      </c>
      <c r="G1312" t="s">
        <v>164</v>
      </c>
      <c r="H1312" t="s">
        <v>151</v>
      </c>
      <c r="I1312" t="s">
        <v>4</v>
      </c>
      <c r="J1312" t="s">
        <v>152</v>
      </c>
      <c r="K1312" t="s">
        <v>153</v>
      </c>
      <c r="L1312">
        <v>251200786</v>
      </c>
      <c r="M1312" s="84">
        <v>46019</v>
      </c>
      <c r="N1312" s="84">
        <v>46019</v>
      </c>
      <c r="O1312" t="s">
        <v>162</v>
      </c>
      <c r="P1312" t="s">
        <v>163</v>
      </c>
      <c r="Q1312">
        <v>5500</v>
      </c>
      <c r="R1312">
        <v>25</v>
      </c>
      <c r="S1312">
        <v>137500</v>
      </c>
      <c r="T1312">
        <v>0</v>
      </c>
      <c r="U1312">
        <v>0</v>
      </c>
      <c r="V1312">
        <v>25</v>
      </c>
      <c r="W1312">
        <v>137500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</row>
    <row r="1313" spans="1:29">
      <c r="A1313">
        <v>1305</v>
      </c>
      <c r="B1313" t="s">
        <v>149</v>
      </c>
      <c r="C1313">
        <v>1298</v>
      </c>
      <c r="D1313" t="s">
        <v>389</v>
      </c>
      <c r="E1313" t="str">
        <f t="shared" si="20"/>
        <v>01298</v>
      </c>
      <c r="F1313" t="s">
        <v>83</v>
      </c>
      <c r="G1313" t="s">
        <v>164</v>
      </c>
      <c r="H1313" t="s">
        <v>151</v>
      </c>
      <c r="I1313" t="s">
        <v>5</v>
      </c>
      <c r="J1313" t="s">
        <v>152</v>
      </c>
      <c r="K1313" t="s">
        <v>153</v>
      </c>
      <c r="L1313">
        <v>251200786</v>
      </c>
      <c r="M1313" s="84">
        <v>46019</v>
      </c>
      <c r="N1313" s="84">
        <v>46019</v>
      </c>
      <c r="O1313" t="s">
        <v>253</v>
      </c>
      <c r="P1313" t="s">
        <v>254</v>
      </c>
      <c r="Q1313">
        <v>4500</v>
      </c>
      <c r="R1313">
        <v>24</v>
      </c>
      <c r="S1313">
        <v>108000</v>
      </c>
      <c r="T1313">
        <v>0</v>
      </c>
      <c r="U1313">
        <v>0</v>
      </c>
      <c r="V1313">
        <v>24</v>
      </c>
      <c r="W1313">
        <v>108000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</row>
    <row r="1314" spans="1:29">
      <c r="A1314">
        <v>1306</v>
      </c>
      <c r="B1314" t="s">
        <v>149</v>
      </c>
      <c r="C1314">
        <v>1298</v>
      </c>
      <c r="D1314" t="s">
        <v>389</v>
      </c>
      <c r="E1314" t="str">
        <f t="shared" si="20"/>
        <v>01298</v>
      </c>
      <c r="F1314" t="s">
        <v>83</v>
      </c>
      <c r="G1314" t="s">
        <v>164</v>
      </c>
      <c r="H1314" t="s">
        <v>151</v>
      </c>
      <c r="I1314" t="s">
        <v>4</v>
      </c>
      <c r="J1314" t="s">
        <v>152</v>
      </c>
      <c r="K1314" t="s">
        <v>153</v>
      </c>
      <c r="L1314">
        <v>251200786</v>
      </c>
      <c r="M1314" s="84">
        <v>46019</v>
      </c>
      <c r="N1314" s="84">
        <v>46019</v>
      </c>
      <c r="O1314" t="s">
        <v>154</v>
      </c>
      <c r="P1314" t="s">
        <v>155</v>
      </c>
      <c r="Q1314">
        <v>5500</v>
      </c>
      <c r="R1314">
        <v>25</v>
      </c>
      <c r="S1314">
        <v>137500</v>
      </c>
      <c r="T1314">
        <v>0</v>
      </c>
      <c r="U1314">
        <v>0</v>
      </c>
      <c r="V1314">
        <v>25</v>
      </c>
      <c r="W1314">
        <v>137500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</row>
    <row r="1315" spans="1:29">
      <c r="A1315">
        <v>1307</v>
      </c>
      <c r="B1315" t="s">
        <v>149</v>
      </c>
      <c r="C1315">
        <v>1395</v>
      </c>
      <c r="D1315" t="s">
        <v>101</v>
      </c>
      <c r="E1315" t="str">
        <f t="shared" si="20"/>
        <v>01395</v>
      </c>
      <c r="F1315" t="s">
        <v>95</v>
      </c>
      <c r="G1315" t="s">
        <v>187</v>
      </c>
      <c r="H1315" t="s">
        <v>188</v>
      </c>
      <c r="I1315" t="s">
        <v>4</v>
      </c>
      <c r="J1315" t="s">
        <v>152</v>
      </c>
      <c r="K1315" t="s">
        <v>159</v>
      </c>
      <c r="L1315">
        <v>251200787</v>
      </c>
      <c r="M1315" s="84">
        <v>46019</v>
      </c>
      <c r="N1315" s="84">
        <v>46019</v>
      </c>
      <c r="O1315" t="s">
        <v>243</v>
      </c>
      <c r="P1315" t="s">
        <v>244</v>
      </c>
      <c r="Q1315">
        <v>13600</v>
      </c>
      <c r="R1315">
        <v>9</v>
      </c>
      <c r="S1315">
        <v>122400</v>
      </c>
      <c r="T1315">
        <v>0</v>
      </c>
      <c r="U1315">
        <v>0</v>
      </c>
      <c r="V1315">
        <v>9</v>
      </c>
      <c r="W1315">
        <v>122400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</row>
    <row r="1316" spans="1:29">
      <c r="A1316">
        <v>1308</v>
      </c>
      <c r="B1316" t="s">
        <v>149</v>
      </c>
      <c r="C1316">
        <v>1471</v>
      </c>
      <c r="D1316" t="s">
        <v>369</v>
      </c>
      <c r="E1316" t="str">
        <f t="shared" si="20"/>
        <v>01471</v>
      </c>
      <c r="F1316" t="s">
        <v>73</v>
      </c>
      <c r="G1316" t="s">
        <v>185</v>
      </c>
      <c r="H1316" t="s">
        <v>151</v>
      </c>
      <c r="I1316" t="s">
        <v>4</v>
      </c>
      <c r="J1316" t="s">
        <v>152</v>
      </c>
      <c r="K1316" t="s">
        <v>153</v>
      </c>
      <c r="L1316">
        <v>251200788</v>
      </c>
      <c r="M1316" s="84">
        <v>46019</v>
      </c>
      <c r="N1316" s="84">
        <v>46019</v>
      </c>
      <c r="O1316" t="s">
        <v>168</v>
      </c>
      <c r="P1316" t="s">
        <v>169</v>
      </c>
      <c r="Q1316">
        <v>5500</v>
      </c>
      <c r="R1316">
        <v>8</v>
      </c>
      <c r="S1316">
        <v>44000</v>
      </c>
      <c r="T1316">
        <v>0</v>
      </c>
      <c r="U1316">
        <v>0</v>
      </c>
      <c r="V1316">
        <v>8</v>
      </c>
      <c r="W1316">
        <v>44000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</row>
    <row r="1317" spans="1:29">
      <c r="A1317">
        <v>1309</v>
      </c>
      <c r="B1317" t="s">
        <v>149</v>
      </c>
      <c r="C1317">
        <v>1401</v>
      </c>
      <c r="D1317" t="s">
        <v>29</v>
      </c>
      <c r="E1317" t="str">
        <f t="shared" si="20"/>
        <v>01401</v>
      </c>
      <c r="F1317" t="s">
        <v>28</v>
      </c>
      <c r="G1317" t="s">
        <v>164</v>
      </c>
      <c r="H1317" t="s">
        <v>151</v>
      </c>
      <c r="I1317" t="s">
        <v>5</v>
      </c>
      <c r="J1317" t="s">
        <v>152</v>
      </c>
      <c r="K1317" t="s">
        <v>153</v>
      </c>
      <c r="L1317">
        <v>251200789</v>
      </c>
      <c r="M1317" s="84">
        <v>46019</v>
      </c>
      <c r="N1317" s="84">
        <v>46019</v>
      </c>
      <c r="O1317" t="s">
        <v>191</v>
      </c>
      <c r="P1317" t="s">
        <v>192</v>
      </c>
      <c r="Q1317">
        <v>11700</v>
      </c>
      <c r="R1317">
        <v>52</v>
      </c>
      <c r="S1317">
        <v>608400</v>
      </c>
      <c r="T1317">
        <v>0</v>
      </c>
      <c r="U1317">
        <v>0</v>
      </c>
      <c r="V1317">
        <v>52</v>
      </c>
      <c r="W1317">
        <v>608400</v>
      </c>
      <c r="X1317">
        <v>7800</v>
      </c>
      <c r="Y1317">
        <v>7800</v>
      </c>
      <c r="Z1317">
        <v>0</v>
      </c>
      <c r="AA1317">
        <v>0</v>
      </c>
      <c r="AB1317">
        <v>0</v>
      </c>
      <c r="AC1317">
        <v>15600</v>
      </c>
    </row>
    <row r="1318" spans="1:29">
      <c r="A1318">
        <v>1310</v>
      </c>
      <c r="B1318" t="s">
        <v>149</v>
      </c>
      <c r="C1318">
        <v>1306</v>
      </c>
      <c r="D1318" t="s">
        <v>377</v>
      </c>
      <c r="E1318" t="str">
        <f t="shared" si="20"/>
        <v>01306</v>
      </c>
      <c r="F1318" t="s">
        <v>28</v>
      </c>
      <c r="G1318" t="s">
        <v>164</v>
      </c>
      <c r="H1318" t="s">
        <v>151</v>
      </c>
      <c r="I1318" t="s">
        <v>4</v>
      </c>
      <c r="J1318" t="s">
        <v>152</v>
      </c>
      <c r="K1318" t="s">
        <v>153</v>
      </c>
      <c r="L1318">
        <v>251200790</v>
      </c>
      <c r="M1318" s="84">
        <v>46019</v>
      </c>
      <c r="N1318" s="84">
        <v>46019</v>
      </c>
      <c r="O1318" t="s">
        <v>179</v>
      </c>
      <c r="P1318" t="s">
        <v>180</v>
      </c>
      <c r="Q1318">
        <v>5500</v>
      </c>
      <c r="R1318">
        <v>7</v>
      </c>
      <c r="S1318">
        <v>38500</v>
      </c>
      <c r="T1318">
        <v>0</v>
      </c>
      <c r="U1318">
        <v>0</v>
      </c>
      <c r="V1318">
        <v>7</v>
      </c>
      <c r="W1318">
        <v>38500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</row>
    <row r="1319" spans="1:29">
      <c r="A1319">
        <v>1311</v>
      </c>
      <c r="B1319" t="s">
        <v>149</v>
      </c>
      <c r="C1319">
        <v>1118</v>
      </c>
      <c r="D1319" t="s">
        <v>37</v>
      </c>
      <c r="E1319" t="str">
        <f t="shared" si="20"/>
        <v>01118</v>
      </c>
      <c r="F1319" t="s">
        <v>28</v>
      </c>
      <c r="G1319" t="s">
        <v>164</v>
      </c>
      <c r="H1319" t="s">
        <v>151</v>
      </c>
      <c r="I1319" t="s">
        <v>4</v>
      </c>
      <c r="J1319" t="s">
        <v>152</v>
      </c>
      <c r="K1319" t="s">
        <v>153</v>
      </c>
      <c r="L1319">
        <v>251200791</v>
      </c>
      <c r="M1319" s="84">
        <v>46019</v>
      </c>
      <c r="N1319" s="84">
        <v>46019</v>
      </c>
      <c r="O1319" t="s">
        <v>243</v>
      </c>
      <c r="P1319" t="s">
        <v>244</v>
      </c>
      <c r="Q1319">
        <v>15050</v>
      </c>
      <c r="R1319">
        <v>9</v>
      </c>
      <c r="S1319">
        <v>135450</v>
      </c>
      <c r="T1319">
        <v>0</v>
      </c>
      <c r="U1319">
        <v>0</v>
      </c>
      <c r="V1319">
        <v>9</v>
      </c>
      <c r="W1319">
        <v>135450</v>
      </c>
      <c r="X1319">
        <v>1350</v>
      </c>
      <c r="Y1319">
        <v>1800</v>
      </c>
      <c r="Z1319">
        <v>0</v>
      </c>
      <c r="AA1319">
        <v>0</v>
      </c>
      <c r="AB1319">
        <v>0</v>
      </c>
      <c r="AC1319">
        <v>3150</v>
      </c>
    </row>
    <row r="1320" spans="1:29">
      <c r="A1320">
        <v>1312</v>
      </c>
      <c r="B1320" t="s">
        <v>149</v>
      </c>
      <c r="C1320">
        <v>1581</v>
      </c>
      <c r="D1320" t="s">
        <v>96</v>
      </c>
      <c r="E1320" t="str">
        <f t="shared" si="20"/>
        <v>01581</v>
      </c>
      <c r="F1320" t="s">
        <v>95</v>
      </c>
      <c r="G1320" t="s">
        <v>187</v>
      </c>
      <c r="H1320" t="s">
        <v>188</v>
      </c>
      <c r="I1320" t="s">
        <v>5</v>
      </c>
      <c r="J1320" t="s">
        <v>152</v>
      </c>
      <c r="K1320" t="s">
        <v>159</v>
      </c>
      <c r="L1320">
        <v>251200792</v>
      </c>
      <c r="M1320" s="84">
        <v>46019</v>
      </c>
      <c r="N1320" s="84">
        <v>46019</v>
      </c>
      <c r="O1320" t="s">
        <v>198</v>
      </c>
      <c r="P1320" t="s">
        <v>199</v>
      </c>
      <c r="Q1320">
        <v>10800</v>
      </c>
      <c r="R1320">
        <v>12</v>
      </c>
      <c r="S1320">
        <v>129600</v>
      </c>
      <c r="T1320">
        <v>0</v>
      </c>
      <c r="U1320">
        <v>0</v>
      </c>
      <c r="V1320">
        <v>12</v>
      </c>
      <c r="W1320">
        <v>129600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</row>
    <row r="1321" spans="1:29">
      <c r="A1321">
        <v>1313</v>
      </c>
      <c r="B1321" t="s">
        <v>149</v>
      </c>
      <c r="C1321">
        <v>1448</v>
      </c>
      <c r="D1321" t="s">
        <v>21</v>
      </c>
      <c r="E1321" t="str">
        <f t="shared" si="20"/>
        <v>01448</v>
      </c>
      <c r="F1321" t="s">
        <v>20</v>
      </c>
      <c r="G1321" t="s">
        <v>193</v>
      </c>
      <c r="H1321" t="s">
        <v>151</v>
      </c>
      <c r="I1321" t="s">
        <v>5</v>
      </c>
      <c r="J1321" t="s">
        <v>152</v>
      </c>
      <c r="K1321" t="s">
        <v>236</v>
      </c>
      <c r="L1321">
        <v>251200793</v>
      </c>
      <c r="M1321" s="84">
        <v>46019</v>
      </c>
      <c r="N1321" s="84">
        <v>46019</v>
      </c>
      <c r="O1321" t="s">
        <v>191</v>
      </c>
      <c r="P1321" t="s">
        <v>192</v>
      </c>
      <c r="Q1321">
        <v>11700</v>
      </c>
      <c r="R1321">
        <v>4</v>
      </c>
      <c r="S1321">
        <v>46800</v>
      </c>
      <c r="T1321">
        <v>0</v>
      </c>
      <c r="U1321">
        <v>0</v>
      </c>
      <c r="V1321">
        <v>4</v>
      </c>
      <c r="W1321">
        <v>46800</v>
      </c>
      <c r="X1321">
        <v>600</v>
      </c>
      <c r="Y1321">
        <v>600</v>
      </c>
      <c r="Z1321">
        <v>0</v>
      </c>
      <c r="AA1321">
        <v>0</v>
      </c>
      <c r="AB1321">
        <v>0</v>
      </c>
      <c r="AC1321">
        <v>1200</v>
      </c>
    </row>
    <row r="1322" spans="1:29">
      <c r="A1322">
        <v>1314</v>
      </c>
      <c r="B1322" t="s">
        <v>149</v>
      </c>
      <c r="C1322">
        <v>1108</v>
      </c>
      <c r="D1322" t="s">
        <v>107</v>
      </c>
      <c r="E1322" t="str">
        <f t="shared" si="20"/>
        <v>01108</v>
      </c>
      <c r="F1322" t="s">
        <v>103</v>
      </c>
      <c r="G1322" t="s">
        <v>167</v>
      </c>
      <c r="H1322" t="s">
        <v>151</v>
      </c>
      <c r="I1322" t="s">
        <v>5</v>
      </c>
      <c r="J1322" t="s">
        <v>152</v>
      </c>
      <c r="K1322" t="s">
        <v>153</v>
      </c>
      <c r="L1322">
        <v>251200794</v>
      </c>
      <c r="M1322" s="84">
        <v>46019</v>
      </c>
      <c r="N1322" s="84">
        <v>46019</v>
      </c>
      <c r="O1322" t="s">
        <v>191</v>
      </c>
      <c r="P1322" t="s">
        <v>192</v>
      </c>
      <c r="Q1322">
        <v>11700</v>
      </c>
      <c r="R1322">
        <v>20</v>
      </c>
      <c r="S1322">
        <v>234000</v>
      </c>
      <c r="T1322">
        <v>0</v>
      </c>
      <c r="U1322">
        <v>0</v>
      </c>
      <c r="V1322">
        <v>20</v>
      </c>
      <c r="W1322">
        <v>234000</v>
      </c>
      <c r="X1322">
        <v>3000</v>
      </c>
      <c r="Y1322">
        <v>3000</v>
      </c>
      <c r="Z1322">
        <v>0</v>
      </c>
      <c r="AA1322">
        <v>0</v>
      </c>
      <c r="AB1322">
        <v>0</v>
      </c>
      <c r="AC1322">
        <v>6000</v>
      </c>
    </row>
    <row r="1323" spans="1:29">
      <c r="A1323">
        <v>1315</v>
      </c>
      <c r="B1323" t="s">
        <v>149</v>
      </c>
      <c r="C1323">
        <v>1108</v>
      </c>
      <c r="D1323" t="s">
        <v>107</v>
      </c>
      <c r="E1323" t="str">
        <f t="shared" si="20"/>
        <v>01108</v>
      </c>
      <c r="F1323" t="s">
        <v>103</v>
      </c>
      <c r="G1323" t="s">
        <v>167</v>
      </c>
      <c r="H1323" t="s">
        <v>151</v>
      </c>
      <c r="I1323" t="s">
        <v>4</v>
      </c>
      <c r="J1323" t="s">
        <v>152</v>
      </c>
      <c r="K1323" t="s">
        <v>153</v>
      </c>
      <c r="L1323">
        <v>251200794</v>
      </c>
      <c r="M1323" s="84">
        <v>46019</v>
      </c>
      <c r="N1323" s="84">
        <v>46019</v>
      </c>
      <c r="O1323" t="s">
        <v>160</v>
      </c>
      <c r="P1323" t="s">
        <v>161</v>
      </c>
      <c r="Q1323">
        <v>14250</v>
      </c>
      <c r="R1323">
        <v>60</v>
      </c>
      <c r="S1323">
        <v>855000</v>
      </c>
      <c r="T1323">
        <v>0</v>
      </c>
      <c r="U1323">
        <v>0</v>
      </c>
      <c r="V1323">
        <v>60</v>
      </c>
      <c r="W1323">
        <v>855000</v>
      </c>
      <c r="X1323">
        <v>9000</v>
      </c>
      <c r="Y1323">
        <v>12000</v>
      </c>
      <c r="Z1323">
        <v>0</v>
      </c>
      <c r="AA1323">
        <v>0</v>
      </c>
      <c r="AB1323">
        <v>0</v>
      </c>
      <c r="AC1323">
        <v>21000</v>
      </c>
    </row>
    <row r="1324" spans="1:29">
      <c r="A1324">
        <v>1316</v>
      </c>
      <c r="B1324" t="s">
        <v>149</v>
      </c>
      <c r="C1324">
        <v>1326</v>
      </c>
      <c r="D1324" t="s">
        <v>338</v>
      </c>
      <c r="E1324" t="str">
        <f t="shared" si="20"/>
        <v>01326</v>
      </c>
      <c r="F1324" t="s">
        <v>15</v>
      </c>
      <c r="G1324" t="s">
        <v>193</v>
      </c>
      <c r="H1324" t="s">
        <v>151</v>
      </c>
      <c r="I1324" t="s">
        <v>5</v>
      </c>
      <c r="J1324" t="s">
        <v>152</v>
      </c>
      <c r="K1324" t="s">
        <v>153</v>
      </c>
      <c r="L1324">
        <v>251200795</v>
      </c>
      <c r="M1324" s="84">
        <v>46019</v>
      </c>
      <c r="N1324" s="84">
        <v>46019</v>
      </c>
      <c r="O1324" t="s">
        <v>260</v>
      </c>
      <c r="P1324" t="s">
        <v>261</v>
      </c>
      <c r="Q1324">
        <v>4500</v>
      </c>
      <c r="R1324">
        <v>12</v>
      </c>
      <c r="S1324">
        <v>54000</v>
      </c>
      <c r="T1324">
        <v>0</v>
      </c>
      <c r="U1324">
        <v>0</v>
      </c>
      <c r="V1324">
        <v>12</v>
      </c>
      <c r="W1324">
        <v>54000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</row>
    <row r="1325" spans="1:29">
      <c r="A1325">
        <v>1317</v>
      </c>
      <c r="B1325" t="s">
        <v>149</v>
      </c>
      <c r="C1325">
        <v>1326</v>
      </c>
      <c r="D1325" t="s">
        <v>338</v>
      </c>
      <c r="E1325" t="str">
        <f t="shared" si="20"/>
        <v>01326</v>
      </c>
      <c r="F1325" t="s">
        <v>15</v>
      </c>
      <c r="G1325" t="s">
        <v>193</v>
      </c>
      <c r="H1325" t="s">
        <v>151</v>
      </c>
      <c r="I1325" t="s">
        <v>5</v>
      </c>
      <c r="J1325" t="s">
        <v>152</v>
      </c>
      <c r="K1325" t="s">
        <v>153</v>
      </c>
      <c r="L1325">
        <v>251200795</v>
      </c>
      <c r="M1325" s="84">
        <v>46019</v>
      </c>
      <c r="N1325" s="84">
        <v>46019</v>
      </c>
      <c r="O1325" t="s">
        <v>253</v>
      </c>
      <c r="P1325" t="s">
        <v>254</v>
      </c>
      <c r="Q1325">
        <v>4500</v>
      </c>
      <c r="R1325">
        <v>12</v>
      </c>
      <c r="S1325">
        <v>54000</v>
      </c>
      <c r="T1325">
        <v>0</v>
      </c>
      <c r="U1325">
        <v>0</v>
      </c>
      <c r="V1325">
        <v>12</v>
      </c>
      <c r="W1325">
        <v>54000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</row>
    <row r="1326" spans="1:29">
      <c r="A1326">
        <v>1318</v>
      </c>
      <c r="B1326" t="s">
        <v>149</v>
      </c>
      <c r="C1326">
        <v>1326</v>
      </c>
      <c r="D1326" t="s">
        <v>338</v>
      </c>
      <c r="E1326" t="str">
        <f t="shared" si="20"/>
        <v>01326</v>
      </c>
      <c r="F1326" t="s">
        <v>15</v>
      </c>
      <c r="G1326" t="s">
        <v>193</v>
      </c>
      <c r="H1326" t="s">
        <v>151</v>
      </c>
      <c r="I1326" t="s">
        <v>4</v>
      </c>
      <c r="J1326" t="s">
        <v>152</v>
      </c>
      <c r="K1326" t="s">
        <v>153</v>
      </c>
      <c r="L1326">
        <v>251200795</v>
      </c>
      <c r="M1326" s="84">
        <v>46019</v>
      </c>
      <c r="N1326" s="84">
        <v>46019</v>
      </c>
      <c r="O1326" t="s">
        <v>160</v>
      </c>
      <c r="P1326" t="s">
        <v>161</v>
      </c>
      <c r="Q1326">
        <v>5500</v>
      </c>
      <c r="R1326">
        <v>30</v>
      </c>
      <c r="S1326">
        <v>165000</v>
      </c>
      <c r="T1326">
        <v>0</v>
      </c>
      <c r="U1326">
        <v>0</v>
      </c>
      <c r="V1326">
        <v>30</v>
      </c>
      <c r="W1326">
        <v>165000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</row>
    <row r="1327" spans="1:29">
      <c r="A1327">
        <v>1319</v>
      </c>
      <c r="B1327" t="s">
        <v>149</v>
      </c>
      <c r="C1327">
        <v>1326</v>
      </c>
      <c r="D1327" t="s">
        <v>338</v>
      </c>
      <c r="E1327" t="str">
        <f t="shared" si="20"/>
        <v>01326</v>
      </c>
      <c r="F1327" t="s">
        <v>15</v>
      </c>
      <c r="G1327" t="s">
        <v>193</v>
      </c>
      <c r="H1327" t="s">
        <v>151</v>
      </c>
      <c r="I1327" t="s">
        <v>5</v>
      </c>
      <c r="J1327" t="s">
        <v>152</v>
      </c>
      <c r="K1327" t="s">
        <v>153</v>
      </c>
      <c r="L1327">
        <v>251200795</v>
      </c>
      <c r="M1327" s="84">
        <v>46019</v>
      </c>
      <c r="N1327" s="84">
        <v>46019</v>
      </c>
      <c r="O1327" t="s">
        <v>191</v>
      </c>
      <c r="P1327" t="s">
        <v>192</v>
      </c>
      <c r="Q1327">
        <v>4500</v>
      </c>
      <c r="R1327">
        <v>60</v>
      </c>
      <c r="S1327">
        <v>270000</v>
      </c>
      <c r="T1327">
        <v>0</v>
      </c>
      <c r="U1327">
        <v>0</v>
      </c>
      <c r="V1327">
        <v>60</v>
      </c>
      <c r="W1327">
        <v>270000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</row>
    <row r="1328" spans="1:29">
      <c r="A1328">
        <v>1320</v>
      </c>
      <c r="B1328" t="s">
        <v>149</v>
      </c>
      <c r="C1328">
        <v>988</v>
      </c>
      <c r="D1328" t="s">
        <v>19</v>
      </c>
      <c r="E1328" t="str">
        <f t="shared" si="20"/>
        <v>00988</v>
      </c>
      <c r="F1328" t="s">
        <v>15</v>
      </c>
      <c r="G1328" t="s">
        <v>193</v>
      </c>
      <c r="H1328" t="s">
        <v>151</v>
      </c>
      <c r="I1328" t="s">
        <v>5</v>
      </c>
      <c r="J1328" t="s">
        <v>152</v>
      </c>
      <c r="K1328" t="s">
        <v>153</v>
      </c>
      <c r="L1328">
        <v>251200796</v>
      </c>
      <c r="M1328" s="84">
        <v>46019</v>
      </c>
      <c r="N1328" s="84">
        <v>46019</v>
      </c>
      <c r="O1328" t="s">
        <v>191</v>
      </c>
      <c r="P1328" t="s">
        <v>192</v>
      </c>
      <c r="Q1328">
        <v>11700</v>
      </c>
      <c r="R1328">
        <v>20</v>
      </c>
      <c r="S1328">
        <v>234000</v>
      </c>
      <c r="T1328">
        <v>0</v>
      </c>
      <c r="U1328">
        <v>0</v>
      </c>
      <c r="V1328">
        <v>20</v>
      </c>
      <c r="W1328">
        <v>234000</v>
      </c>
      <c r="X1328">
        <v>3000</v>
      </c>
      <c r="Y1328">
        <v>3000</v>
      </c>
      <c r="Z1328">
        <v>0</v>
      </c>
      <c r="AA1328">
        <v>0</v>
      </c>
      <c r="AB1328">
        <v>0</v>
      </c>
      <c r="AC1328">
        <v>6000</v>
      </c>
    </row>
    <row r="1329" spans="1:29">
      <c r="A1329">
        <v>1321</v>
      </c>
      <c r="B1329" t="s">
        <v>149</v>
      </c>
      <c r="C1329">
        <v>988</v>
      </c>
      <c r="D1329" t="s">
        <v>19</v>
      </c>
      <c r="E1329" t="str">
        <f t="shared" si="20"/>
        <v>00988</v>
      </c>
      <c r="F1329" t="s">
        <v>15</v>
      </c>
      <c r="G1329" t="s">
        <v>193</v>
      </c>
      <c r="H1329" t="s">
        <v>151</v>
      </c>
      <c r="I1329" t="s">
        <v>210</v>
      </c>
      <c r="J1329" t="s">
        <v>152</v>
      </c>
      <c r="K1329" t="s">
        <v>153</v>
      </c>
      <c r="L1329">
        <v>251200796</v>
      </c>
      <c r="M1329" s="84">
        <v>46019</v>
      </c>
      <c r="N1329" s="84">
        <v>46019</v>
      </c>
      <c r="O1329" t="s">
        <v>213</v>
      </c>
      <c r="P1329" t="s">
        <v>214</v>
      </c>
      <c r="Q1329">
        <v>23802</v>
      </c>
      <c r="R1329">
        <v>5</v>
      </c>
      <c r="S1329">
        <v>119010</v>
      </c>
      <c r="T1329">
        <v>0</v>
      </c>
      <c r="U1329">
        <v>0</v>
      </c>
      <c r="V1329">
        <v>5</v>
      </c>
      <c r="W1329">
        <v>119010</v>
      </c>
      <c r="X1329">
        <v>2380</v>
      </c>
      <c r="Y1329">
        <v>2380</v>
      </c>
      <c r="Z1329">
        <v>5000</v>
      </c>
      <c r="AA1329">
        <v>0</v>
      </c>
      <c r="AB1329">
        <v>500</v>
      </c>
      <c r="AC1329">
        <v>10260</v>
      </c>
    </row>
    <row r="1330" spans="1:29">
      <c r="A1330">
        <v>1322</v>
      </c>
      <c r="B1330" t="s">
        <v>149</v>
      </c>
      <c r="C1330">
        <v>988</v>
      </c>
      <c r="D1330" t="s">
        <v>19</v>
      </c>
      <c r="E1330" t="str">
        <f t="shared" si="20"/>
        <v>00988</v>
      </c>
      <c r="F1330" t="s">
        <v>15</v>
      </c>
      <c r="G1330" t="s">
        <v>193</v>
      </c>
      <c r="H1330" t="s">
        <v>151</v>
      </c>
      <c r="I1330" t="s">
        <v>4</v>
      </c>
      <c r="J1330" t="s">
        <v>152</v>
      </c>
      <c r="K1330" t="s">
        <v>153</v>
      </c>
      <c r="L1330">
        <v>251200796</v>
      </c>
      <c r="M1330" s="84">
        <v>46019</v>
      </c>
      <c r="N1330" s="84">
        <v>46019</v>
      </c>
      <c r="O1330" t="s">
        <v>179</v>
      </c>
      <c r="P1330" t="s">
        <v>180</v>
      </c>
      <c r="Q1330">
        <v>14250</v>
      </c>
      <c r="R1330">
        <v>10</v>
      </c>
      <c r="S1330">
        <v>142500</v>
      </c>
      <c r="T1330">
        <v>0</v>
      </c>
      <c r="U1330">
        <v>0</v>
      </c>
      <c r="V1330">
        <v>10</v>
      </c>
      <c r="W1330">
        <v>142500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</row>
    <row r="1331" spans="1:29">
      <c r="A1331">
        <v>1323</v>
      </c>
      <c r="B1331" t="s">
        <v>149</v>
      </c>
      <c r="C1331">
        <v>988</v>
      </c>
      <c r="D1331" t="s">
        <v>19</v>
      </c>
      <c r="E1331" t="str">
        <f t="shared" si="20"/>
        <v>00988</v>
      </c>
      <c r="F1331" t="s">
        <v>15</v>
      </c>
      <c r="G1331" t="s">
        <v>193</v>
      </c>
      <c r="H1331" t="s">
        <v>151</v>
      </c>
      <c r="I1331" t="s">
        <v>5</v>
      </c>
      <c r="J1331" t="s">
        <v>152</v>
      </c>
      <c r="K1331" t="s">
        <v>153</v>
      </c>
      <c r="L1331">
        <v>251200796</v>
      </c>
      <c r="M1331" s="84">
        <v>46019</v>
      </c>
      <c r="N1331" s="84">
        <v>46019</v>
      </c>
      <c r="O1331" t="s">
        <v>260</v>
      </c>
      <c r="P1331" t="s">
        <v>261</v>
      </c>
      <c r="Q1331">
        <v>11700</v>
      </c>
      <c r="R1331">
        <v>8</v>
      </c>
      <c r="S1331">
        <v>93600</v>
      </c>
      <c r="T1331">
        <v>0</v>
      </c>
      <c r="U1331">
        <v>0</v>
      </c>
      <c r="V1331">
        <v>8</v>
      </c>
      <c r="W1331">
        <v>93600</v>
      </c>
      <c r="X1331">
        <v>1200</v>
      </c>
      <c r="Y1331">
        <v>1200</v>
      </c>
      <c r="Z1331">
        <v>0</v>
      </c>
      <c r="AA1331">
        <v>0</v>
      </c>
      <c r="AB1331">
        <v>0</v>
      </c>
      <c r="AC1331">
        <v>2400</v>
      </c>
    </row>
    <row r="1332" spans="1:29">
      <c r="A1332">
        <v>1324</v>
      </c>
      <c r="B1332" t="s">
        <v>149</v>
      </c>
      <c r="C1332">
        <v>845</v>
      </c>
      <c r="D1332" t="s">
        <v>293</v>
      </c>
      <c r="E1332" t="str">
        <f t="shared" si="20"/>
        <v>00845</v>
      </c>
      <c r="F1332" t="s">
        <v>15</v>
      </c>
      <c r="G1332" t="s">
        <v>193</v>
      </c>
      <c r="H1332" t="s">
        <v>151</v>
      </c>
      <c r="I1332" t="s">
        <v>210</v>
      </c>
      <c r="J1332" t="s">
        <v>152</v>
      </c>
      <c r="K1332" t="s">
        <v>153</v>
      </c>
      <c r="L1332">
        <v>251200797</v>
      </c>
      <c r="M1332" s="84">
        <v>46019</v>
      </c>
      <c r="N1332" s="84">
        <v>46019</v>
      </c>
      <c r="O1332" t="s">
        <v>213</v>
      </c>
      <c r="P1332" t="s">
        <v>214</v>
      </c>
      <c r="Q1332">
        <v>23802</v>
      </c>
      <c r="R1332">
        <v>5</v>
      </c>
      <c r="S1332">
        <v>119010</v>
      </c>
      <c r="T1332">
        <v>0</v>
      </c>
      <c r="U1332">
        <v>0</v>
      </c>
      <c r="V1332">
        <v>5</v>
      </c>
      <c r="W1332">
        <v>119010</v>
      </c>
      <c r="X1332">
        <v>2380</v>
      </c>
      <c r="Y1332">
        <v>2380</v>
      </c>
      <c r="Z1332">
        <v>5000</v>
      </c>
      <c r="AA1332">
        <v>0</v>
      </c>
      <c r="AB1332">
        <v>500</v>
      </c>
      <c r="AC1332">
        <v>10260</v>
      </c>
    </row>
    <row r="1333" spans="1:29">
      <c r="A1333">
        <v>1325</v>
      </c>
      <c r="B1333" t="s">
        <v>149</v>
      </c>
      <c r="C1333">
        <v>1312</v>
      </c>
      <c r="D1333" t="s">
        <v>359</v>
      </c>
      <c r="E1333" t="str">
        <f t="shared" si="20"/>
        <v>01312</v>
      </c>
      <c r="F1333" t="s">
        <v>15</v>
      </c>
      <c r="G1333" t="s">
        <v>193</v>
      </c>
      <c r="H1333" t="s">
        <v>151</v>
      </c>
      <c r="I1333" t="s">
        <v>5</v>
      </c>
      <c r="J1333" t="s">
        <v>152</v>
      </c>
      <c r="K1333" t="s">
        <v>153</v>
      </c>
      <c r="L1333">
        <v>251200798</v>
      </c>
      <c r="M1333" s="84">
        <v>46019</v>
      </c>
      <c r="N1333" s="84">
        <v>46019</v>
      </c>
      <c r="O1333" t="s">
        <v>196</v>
      </c>
      <c r="P1333" t="s">
        <v>197</v>
      </c>
      <c r="Q1333">
        <v>4500</v>
      </c>
      <c r="R1333">
        <v>20</v>
      </c>
      <c r="S1333">
        <v>90000</v>
      </c>
      <c r="T1333">
        <v>0</v>
      </c>
      <c r="U1333">
        <v>0</v>
      </c>
      <c r="V1333">
        <v>20</v>
      </c>
      <c r="W1333">
        <v>90000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</row>
    <row r="1334" spans="1:29">
      <c r="A1334">
        <v>1326</v>
      </c>
      <c r="B1334" t="s">
        <v>149</v>
      </c>
      <c r="C1334">
        <v>337</v>
      </c>
      <c r="D1334" t="s">
        <v>57</v>
      </c>
      <c r="E1334" t="str">
        <f t="shared" si="20"/>
        <v>00337</v>
      </c>
      <c r="F1334" t="s">
        <v>49</v>
      </c>
      <c r="G1334" t="s">
        <v>167</v>
      </c>
      <c r="H1334" t="s">
        <v>151</v>
      </c>
      <c r="I1334" t="s">
        <v>4</v>
      </c>
      <c r="J1334" t="s">
        <v>152</v>
      </c>
      <c r="K1334" t="s">
        <v>153</v>
      </c>
      <c r="L1334">
        <v>251200799</v>
      </c>
      <c r="M1334" s="84">
        <v>46019</v>
      </c>
      <c r="N1334" s="84">
        <v>46019</v>
      </c>
      <c r="O1334" t="s">
        <v>154</v>
      </c>
      <c r="P1334" t="s">
        <v>155</v>
      </c>
      <c r="Q1334">
        <v>14250</v>
      </c>
      <c r="R1334">
        <v>8</v>
      </c>
      <c r="S1334">
        <v>114000</v>
      </c>
      <c r="T1334">
        <v>0</v>
      </c>
      <c r="U1334">
        <v>0</v>
      </c>
      <c r="V1334">
        <v>8</v>
      </c>
      <c r="W1334">
        <v>114000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</row>
    <row r="1335" spans="1:29">
      <c r="A1335">
        <v>1327</v>
      </c>
      <c r="B1335" t="s">
        <v>149</v>
      </c>
      <c r="C1335">
        <v>1308</v>
      </c>
      <c r="D1335" t="s">
        <v>368</v>
      </c>
      <c r="E1335" t="str">
        <f t="shared" si="20"/>
        <v>01308</v>
      </c>
      <c r="F1335" t="s">
        <v>49</v>
      </c>
      <c r="G1335" t="s">
        <v>167</v>
      </c>
      <c r="H1335" t="s">
        <v>151</v>
      </c>
      <c r="I1335" t="s">
        <v>5</v>
      </c>
      <c r="J1335" t="s">
        <v>152</v>
      </c>
      <c r="K1335" t="s">
        <v>153</v>
      </c>
      <c r="L1335">
        <v>251200800</v>
      </c>
      <c r="M1335" s="84">
        <v>46019</v>
      </c>
      <c r="N1335" s="84">
        <v>46019</v>
      </c>
      <c r="O1335" t="s">
        <v>260</v>
      </c>
      <c r="P1335" t="s">
        <v>261</v>
      </c>
      <c r="Q1335">
        <v>4500</v>
      </c>
      <c r="R1335">
        <v>20</v>
      </c>
      <c r="S1335">
        <v>90000</v>
      </c>
      <c r="T1335">
        <v>0</v>
      </c>
      <c r="U1335">
        <v>0</v>
      </c>
      <c r="V1335">
        <v>20</v>
      </c>
      <c r="W1335">
        <v>90000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</row>
    <row r="1336" spans="1:29">
      <c r="A1336">
        <v>1328</v>
      </c>
      <c r="B1336" t="s">
        <v>149</v>
      </c>
      <c r="C1336">
        <v>1549</v>
      </c>
      <c r="D1336" t="s">
        <v>345</v>
      </c>
      <c r="E1336" t="str">
        <f t="shared" si="20"/>
        <v>01549</v>
      </c>
      <c r="F1336" t="s">
        <v>43</v>
      </c>
      <c r="G1336" t="s">
        <v>150</v>
      </c>
      <c r="H1336" t="s">
        <v>151</v>
      </c>
      <c r="I1336" t="s">
        <v>4</v>
      </c>
      <c r="J1336" t="s">
        <v>152</v>
      </c>
      <c r="K1336" t="s">
        <v>153</v>
      </c>
      <c r="L1336">
        <v>251200801</v>
      </c>
      <c r="M1336" s="84">
        <v>46019</v>
      </c>
      <c r="N1336" s="84">
        <v>46019</v>
      </c>
      <c r="O1336" t="s">
        <v>160</v>
      </c>
      <c r="P1336" t="s">
        <v>161</v>
      </c>
      <c r="Q1336">
        <v>5500</v>
      </c>
      <c r="R1336">
        <v>4</v>
      </c>
      <c r="S1336">
        <v>22000</v>
      </c>
      <c r="T1336">
        <v>0</v>
      </c>
      <c r="U1336">
        <v>0</v>
      </c>
      <c r="V1336">
        <v>4</v>
      </c>
      <c r="W1336">
        <v>22000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</row>
    <row r="1337" spans="1:29">
      <c r="A1337">
        <v>1329</v>
      </c>
      <c r="B1337" t="s">
        <v>149</v>
      </c>
      <c r="C1337">
        <v>1549</v>
      </c>
      <c r="D1337" t="s">
        <v>345</v>
      </c>
      <c r="E1337" t="str">
        <f t="shared" si="20"/>
        <v>01549</v>
      </c>
      <c r="F1337" t="s">
        <v>43</v>
      </c>
      <c r="G1337" t="s">
        <v>150</v>
      </c>
      <c r="H1337" t="s">
        <v>151</v>
      </c>
      <c r="I1337" t="s">
        <v>4</v>
      </c>
      <c r="J1337" t="s">
        <v>152</v>
      </c>
      <c r="K1337" t="s">
        <v>153</v>
      </c>
      <c r="L1337">
        <v>251200801</v>
      </c>
      <c r="M1337" s="84">
        <v>46019</v>
      </c>
      <c r="N1337" s="84">
        <v>46019</v>
      </c>
      <c r="O1337" t="s">
        <v>168</v>
      </c>
      <c r="P1337" t="s">
        <v>169</v>
      </c>
      <c r="Q1337">
        <v>5500</v>
      </c>
      <c r="R1337">
        <v>2</v>
      </c>
      <c r="S1337">
        <v>11000</v>
      </c>
      <c r="T1337">
        <v>0</v>
      </c>
      <c r="U1337">
        <v>0</v>
      </c>
      <c r="V1337">
        <v>2</v>
      </c>
      <c r="W1337">
        <v>11000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</row>
    <row r="1338" spans="1:29">
      <c r="A1338">
        <v>1330</v>
      </c>
      <c r="B1338" t="s">
        <v>149</v>
      </c>
      <c r="C1338">
        <v>1549</v>
      </c>
      <c r="D1338" t="s">
        <v>345</v>
      </c>
      <c r="E1338" t="str">
        <f t="shared" si="20"/>
        <v>01549</v>
      </c>
      <c r="F1338" t="s">
        <v>43</v>
      </c>
      <c r="G1338" t="s">
        <v>150</v>
      </c>
      <c r="H1338" t="s">
        <v>151</v>
      </c>
      <c r="I1338" t="s">
        <v>4</v>
      </c>
      <c r="J1338" t="s">
        <v>152</v>
      </c>
      <c r="K1338" t="s">
        <v>153</v>
      </c>
      <c r="L1338">
        <v>251200801</v>
      </c>
      <c r="M1338" s="84">
        <v>46019</v>
      </c>
      <c r="N1338" s="84">
        <v>46019</v>
      </c>
      <c r="O1338" t="s">
        <v>262</v>
      </c>
      <c r="P1338" t="s">
        <v>263</v>
      </c>
      <c r="Q1338">
        <v>5500</v>
      </c>
      <c r="R1338">
        <v>3</v>
      </c>
      <c r="S1338">
        <v>16500</v>
      </c>
      <c r="T1338">
        <v>0</v>
      </c>
      <c r="U1338">
        <v>0</v>
      </c>
      <c r="V1338">
        <v>3</v>
      </c>
      <c r="W1338">
        <v>16500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</row>
    <row r="1339" spans="1:29">
      <c r="A1339">
        <v>1331</v>
      </c>
      <c r="B1339" t="s">
        <v>149</v>
      </c>
      <c r="C1339">
        <v>1288</v>
      </c>
      <c r="D1339" t="s">
        <v>367</v>
      </c>
      <c r="E1339" t="str">
        <f t="shared" si="20"/>
        <v>01288</v>
      </c>
      <c r="F1339" t="s">
        <v>43</v>
      </c>
      <c r="G1339" t="s">
        <v>150</v>
      </c>
      <c r="H1339" t="s">
        <v>151</v>
      </c>
      <c r="I1339" t="s">
        <v>4</v>
      </c>
      <c r="J1339" t="s">
        <v>152</v>
      </c>
      <c r="K1339" t="s">
        <v>153</v>
      </c>
      <c r="L1339">
        <v>251200802</v>
      </c>
      <c r="M1339" s="84">
        <v>46019</v>
      </c>
      <c r="N1339" s="84">
        <v>46019</v>
      </c>
      <c r="O1339" t="s">
        <v>179</v>
      </c>
      <c r="P1339" t="s">
        <v>180</v>
      </c>
      <c r="Q1339">
        <v>5500</v>
      </c>
      <c r="R1339">
        <v>5</v>
      </c>
      <c r="S1339">
        <v>27500</v>
      </c>
      <c r="T1339">
        <v>0</v>
      </c>
      <c r="U1339">
        <v>0</v>
      </c>
      <c r="V1339">
        <v>5</v>
      </c>
      <c r="W1339">
        <v>27500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</row>
    <row r="1340" spans="1:29">
      <c r="A1340">
        <v>1332</v>
      </c>
      <c r="B1340" t="s">
        <v>149</v>
      </c>
      <c r="C1340">
        <v>1288</v>
      </c>
      <c r="D1340" t="s">
        <v>367</v>
      </c>
      <c r="E1340" t="str">
        <f t="shared" si="20"/>
        <v>01288</v>
      </c>
      <c r="F1340" t="s">
        <v>43</v>
      </c>
      <c r="G1340" t="s">
        <v>150</v>
      </c>
      <c r="H1340" t="s">
        <v>151</v>
      </c>
      <c r="I1340" t="s">
        <v>4</v>
      </c>
      <c r="J1340" t="s">
        <v>152</v>
      </c>
      <c r="K1340" t="s">
        <v>153</v>
      </c>
      <c r="L1340">
        <v>251200802</v>
      </c>
      <c r="M1340" s="84">
        <v>46019</v>
      </c>
      <c r="N1340" s="84">
        <v>46019</v>
      </c>
      <c r="O1340" t="s">
        <v>154</v>
      </c>
      <c r="P1340" t="s">
        <v>155</v>
      </c>
      <c r="Q1340">
        <v>5500</v>
      </c>
      <c r="R1340">
        <v>5</v>
      </c>
      <c r="S1340">
        <v>27500</v>
      </c>
      <c r="T1340">
        <v>0</v>
      </c>
      <c r="U1340">
        <v>0</v>
      </c>
      <c r="V1340">
        <v>5</v>
      </c>
      <c r="W1340">
        <v>27500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</row>
    <row r="1341" spans="1:29">
      <c r="A1341">
        <v>1333</v>
      </c>
      <c r="B1341" t="s">
        <v>149</v>
      </c>
      <c r="C1341">
        <v>1550</v>
      </c>
      <c r="D1341" t="s">
        <v>337</v>
      </c>
      <c r="E1341" t="str">
        <f t="shared" si="20"/>
        <v>01550</v>
      </c>
      <c r="F1341" t="s">
        <v>15</v>
      </c>
      <c r="G1341" t="s">
        <v>193</v>
      </c>
      <c r="H1341" t="s">
        <v>151</v>
      </c>
      <c r="I1341" t="s">
        <v>4</v>
      </c>
      <c r="J1341" t="s">
        <v>152</v>
      </c>
      <c r="K1341" t="s">
        <v>153</v>
      </c>
      <c r="L1341">
        <v>251200803</v>
      </c>
      <c r="M1341" s="84">
        <v>46019</v>
      </c>
      <c r="N1341" s="84">
        <v>46019</v>
      </c>
      <c r="O1341" t="s">
        <v>177</v>
      </c>
      <c r="P1341" t="s">
        <v>178</v>
      </c>
      <c r="Q1341">
        <v>5500</v>
      </c>
      <c r="R1341">
        <v>10</v>
      </c>
      <c r="S1341">
        <v>55000</v>
      </c>
      <c r="T1341">
        <v>0</v>
      </c>
      <c r="U1341">
        <v>0</v>
      </c>
      <c r="V1341">
        <v>10</v>
      </c>
      <c r="W1341">
        <v>55000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</row>
    <row r="1342" spans="1:29">
      <c r="A1342">
        <v>1334</v>
      </c>
      <c r="B1342" t="s">
        <v>149</v>
      </c>
      <c r="C1342">
        <v>1596</v>
      </c>
      <c r="D1342" t="s">
        <v>315</v>
      </c>
      <c r="E1342" t="str">
        <f t="shared" si="20"/>
        <v>01596</v>
      </c>
      <c r="F1342" t="s">
        <v>111</v>
      </c>
      <c r="G1342" t="s">
        <v>150</v>
      </c>
      <c r="H1342" t="s">
        <v>151</v>
      </c>
      <c r="I1342" t="s">
        <v>4</v>
      </c>
      <c r="J1342" t="s">
        <v>152</v>
      </c>
      <c r="K1342" t="s">
        <v>153</v>
      </c>
      <c r="L1342">
        <v>251200804</v>
      </c>
      <c r="M1342" s="84">
        <v>46019</v>
      </c>
      <c r="N1342" s="84">
        <v>46019</v>
      </c>
      <c r="O1342" t="s">
        <v>177</v>
      </c>
      <c r="P1342" t="s">
        <v>178</v>
      </c>
      <c r="Q1342">
        <v>5500</v>
      </c>
      <c r="R1342">
        <v>5</v>
      </c>
      <c r="S1342">
        <v>27500</v>
      </c>
      <c r="T1342">
        <v>0</v>
      </c>
      <c r="U1342">
        <v>0</v>
      </c>
      <c r="V1342">
        <v>5</v>
      </c>
      <c r="W1342">
        <v>27500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</row>
    <row r="1343" spans="1:29">
      <c r="A1343">
        <v>1335</v>
      </c>
      <c r="B1343" t="s">
        <v>149</v>
      </c>
      <c r="C1343">
        <v>1596</v>
      </c>
      <c r="D1343" t="s">
        <v>315</v>
      </c>
      <c r="E1343" t="str">
        <f t="shared" si="20"/>
        <v>01596</v>
      </c>
      <c r="F1343" t="s">
        <v>111</v>
      </c>
      <c r="G1343" t="s">
        <v>150</v>
      </c>
      <c r="H1343" t="s">
        <v>151</v>
      </c>
      <c r="I1343" t="s">
        <v>4</v>
      </c>
      <c r="J1343" t="s">
        <v>152</v>
      </c>
      <c r="K1343" t="s">
        <v>153</v>
      </c>
      <c r="L1343">
        <v>251200804</v>
      </c>
      <c r="M1343" s="84">
        <v>46019</v>
      </c>
      <c r="N1343" s="84">
        <v>46019</v>
      </c>
      <c r="O1343" t="s">
        <v>160</v>
      </c>
      <c r="P1343" t="s">
        <v>161</v>
      </c>
      <c r="Q1343">
        <v>5500</v>
      </c>
      <c r="R1343">
        <v>15</v>
      </c>
      <c r="S1343">
        <v>82500</v>
      </c>
      <c r="T1343">
        <v>0</v>
      </c>
      <c r="U1343">
        <v>0</v>
      </c>
      <c r="V1343">
        <v>15</v>
      </c>
      <c r="W1343">
        <v>82500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</row>
    <row r="1344" spans="1:29">
      <c r="A1344">
        <v>1336</v>
      </c>
      <c r="B1344" t="s">
        <v>149</v>
      </c>
      <c r="C1344">
        <v>1596</v>
      </c>
      <c r="D1344" t="s">
        <v>315</v>
      </c>
      <c r="E1344" t="str">
        <f t="shared" si="20"/>
        <v>01596</v>
      </c>
      <c r="F1344" t="s">
        <v>111</v>
      </c>
      <c r="G1344" t="s">
        <v>150</v>
      </c>
      <c r="H1344" t="s">
        <v>151</v>
      </c>
      <c r="I1344" t="s">
        <v>4</v>
      </c>
      <c r="J1344" t="s">
        <v>152</v>
      </c>
      <c r="K1344" t="s">
        <v>153</v>
      </c>
      <c r="L1344">
        <v>251200804</v>
      </c>
      <c r="M1344" s="84">
        <v>46019</v>
      </c>
      <c r="N1344" s="84">
        <v>46019</v>
      </c>
      <c r="O1344" t="s">
        <v>248</v>
      </c>
      <c r="P1344" t="s">
        <v>249</v>
      </c>
      <c r="Q1344">
        <v>5500</v>
      </c>
      <c r="R1344">
        <v>10</v>
      </c>
      <c r="S1344">
        <v>55000</v>
      </c>
      <c r="T1344">
        <v>0</v>
      </c>
      <c r="U1344">
        <v>0</v>
      </c>
      <c r="V1344">
        <v>10</v>
      </c>
      <c r="W1344">
        <v>55000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</row>
    <row r="1345" spans="1:29">
      <c r="A1345">
        <v>1337</v>
      </c>
      <c r="B1345" t="s">
        <v>149</v>
      </c>
      <c r="C1345">
        <v>1551</v>
      </c>
      <c r="D1345" t="s">
        <v>316</v>
      </c>
      <c r="E1345" t="str">
        <f t="shared" si="20"/>
        <v>01551</v>
      </c>
      <c r="F1345" t="s">
        <v>111</v>
      </c>
      <c r="G1345" t="s">
        <v>150</v>
      </c>
      <c r="H1345" t="s">
        <v>151</v>
      </c>
      <c r="I1345" t="s">
        <v>4</v>
      </c>
      <c r="J1345" t="s">
        <v>152</v>
      </c>
      <c r="K1345" t="s">
        <v>153</v>
      </c>
      <c r="L1345">
        <v>251200805</v>
      </c>
      <c r="M1345" s="84">
        <v>46019</v>
      </c>
      <c r="N1345" s="84">
        <v>46019</v>
      </c>
      <c r="O1345" t="s">
        <v>160</v>
      </c>
      <c r="P1345" t="s">
        <v>161</v>
      </c>
      <c r="Q1345">
        <v>5500</v>
      </c>
      <c r="R1345">
        <v>12</v>
      </c>
      <c r="S1345">
        <v>66000</v>
      </c>
      <c r="T1345">
        <v>0</v>
      </c>
      <c r="U1345">
        <v>0</v>
      </c>
      <c r="V1345">
        <v>12</v>
      </c>
      <c r="W1345">
        <v>66000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</row>
    <row r="1346" spans="1:29">
      <c r="A1346">
        <v>1338</v>
      </c>
      <c r="B1346" t="s">
        <v>149</v>
      </c>
      <c r="C1346">
        <v>1454</v>
      </c>
      <c r="D1346" t="s">
        <v>362</v>
      </c>
      <c r="E1346" t="str">
        <f t="shared" si="20"/>
        <v>01454</v>
      </c>
      <c r="F1346" t="s">
        <v>10</v>
      </c>
      <c r="G1346" t="s">
        <v>172</v>
      </c>
      <c r="H1346" t="s">
        <v>157</v>
      </c>
      <c r="I1346" t="s">
        <v>4</v>
      </c>
      <c r="J1346" t="s">
        <v>152</v>
      </c>
      <c r="K1346" t="s">
        <v>174</v>
      </c>
      <c r="L1346">
        <v>251200806</v>
      </c>
      <c r="M1346" s="84">
        <v>46019</v>
      </c>
      <c r="N1346" s="84">
        <v>46019</v>
      </c>
      <c r="O1346" t="s">
        <v>267</v>
      </c>
      <c r="P1346" t="s">
        <v>268</v>
      </c>
      <c r="Q1346">
        <v>5500</v>
      </c>
      <c r="R1346">
        <v>5</v>
      </c>
      <c r="S1346">
        <v>27500</v>
      </c>
      <c r="T1346">
        <v>0</v>
      </c>
      <c r="U1346">
        <v>0</v>
      </c>
      <c r="V1346">
        <v>5</v>
      </c>
      <c r="W1346">
        <v>27500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</row>
    <row r="1347" spans="1:29">
      <c r="A1347">
        <v>1339</v>
      </c>
      <c r="B1347" t="s">
        <v>149</v>
      </c>
      <c r="C1347">
        <v>1454</v>
      </c>
      <c r="D1347" t="s">
        <v>362</v>
      </c>
      <c r="E1347" t="str">
        <f t="shared" si="20"/>
        <v>01454</v>
      </c>
      <c r="F1347" t="s">
        <v>10</v>
      </c>
      <c r="G1347" t="s">
        <v>172</v>
      </c>
      <c r="H1347" t="s">
        <v>157</v>
      </c>
      <c r="I1347" t="s">
        <v>4</v>
      </c>
      <c r="J1347" t="s">
        <v>152</v>
      </c>
      <c r="K1347" t="s">
        <v>174</v>
      </c>
      <c r="L1347">
        <v>251200806</v>
      </c>
      <c r="M1347" s="84">
        <v>46019</v>
      </c>
      <c r="N1347" s="84">
        <v>46019</v>
      </c>
      <c r="O1347" t="s">
        <v>179</v>
      </c>
      <c r="P1347" t="s">
        <v>180</v>
      </c>
      <c r="Q1347">
        <v>5500</v>
      </c>
      <c r="R1347">
        <v>5</v>
      </c>
      <c r="S1347">
        <v>27500</v>
      </c>
      <c r="T1347">
        <v>0</v>
      </c>
      <c r="U1347">
        <v>0</v>
      </c>
      <c r="V1347">
        <v>5</v>
      </c>
      <c r="W1347">
        <v>27500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</row>
    <row r="1348" spans="1:29">
      <c r="A1348">
        <v>1340</v>
      </c>
      <c r="B1348" t="s">
        <v>149</v>
      </c>
      <c r="C1348">
        <v>1599</v>
      </c>
      <c r="D1348" t="s">
        <v>388</v>
      </c>
      <c r="E1348" t="str">
        <f t="shared" si="20"/>
        <v>01599</v>
      </c>
      <c r="F1348" t="s">
        <v>65</v>
      </c>
      <c r="G1348" t="s">
        <v>208</v>
      </c>
      <c r="H1348" t="s">
        <v>157</v>
      </c>
      <c r="I1348" t="s">
        <v>4</v>
      </c>
      <c r="J1348" t="s">
        <v>152</v>
      </c>
      <c r="K1348" t="s">
        <v>174</v>
      </c>
      <c r="L1348">
        <v>251200807</v>
      </c>
      <c r="M1348" s="84">
        <v>46019</v>
      </c>
      <c r="N1348" s="84">
        <v>46019</v>
      </c>
      <c r="O1348" t="s">
        <v>225</v>
      </c>
      <c r="P1348" t="s">
        <v>226</v>
      </c>
      <c r="Q1348">
        <v>5500</v>
      </c>
      <c r="R1348">
        <v>30</v>
      </c>
      <c r="S1348">
        <v>165000</v>
      </c>
      <c r="T1348">
        <v>0</v>
      </c>
      <c r="U1348">
        <v>0</v>
      </c>
      <c r="V1348">
        <v>30</v>
      </c>
      <c r="W1348">
        <v>165000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</row>
    <row r="1349" spans="1:29">
      <c r="A1349">
        <v>1341</v>
      </c>
      <c r="B1349" t="s">
        <v>149</v>
      </c>
      <c r="C1349">
        <v>1438</v>
      </c>
      <c r="D1349" t="s">
        <v>320</v>
      </c>
      <c r="E1349" t="str">
        <f t="shared" si="20"/>
        <v>01438</v>
      </c>
      <c r="F1349" t="s">
        <v>171</v>
      </c>
      <c r="G1349" t="s">
        <v>172</v>
      </c>
      <c r="H1349" t="s">
        <v>157</v>
      </c>
      <c r="I1349" t="s">
        <v>4</v>
      </c>
      <c r="J1349" t="s">
        <v>152</v>
      </c>
      <c r="K1349" t="s">
        <v>174</v>
      </c>
      <c r="L1349">
        <v>251200808</v>
      </c>
      <c r="M1349" s="84">
        <v>46019</v>
      </c>
      <c r="N1349" s="84">
        <v>46019</v>
      </c>
      <c r="O1349" t="s">
        <v>321</v>
      </c>
      <c r="P1349" t="s">
        <v>322</v>
      </c>
      <c r="Q1349">
        <v>5500</v>
      </c>
      <c r="R1349">
        <v>10</v>
      </c>
      <c r="S1349">
        <v>55000</v>
      </c>
      <c r="T1349">
        <v>0</v>
      </c>
      <c r="U1349">
        <v>0</v>
      </c>
      <c r="V1349">
        <v>10</v>
      </c>
      <c r="W1349">
        <v>55000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</row>
    <row r="1350" spans="1:29">
      <c r="A1350">
        <v>1342</v>
      </c>
      <c r="B1350" t="s">
        <v>149</v>
      </c>
      <c r="C1350">
        <v>562</v>
      </c>
      <c r="D1350" t="s">
        <v>92</v>
      </c>
      <c r="E1350" t="str">
        <f t="shared" si="20"/>
        <v>00562</v>
      </c>
      <c r="F1350" t="s">
        <v>91</v>
      </c>
      <c r="G1350" t="s">
        <v>202</v>
      </c>
      <c r="H1350" t="s">
        <v>157</v>
      </c>
      <c r="I1350" t="s">
        <v>5</v>
      </c>
      <c r="J1350" t="s">
        <v>152</v>
      </c>
      <c r="K1350" t="s">
        <v>159</v>
      </c>
      <c r="L1350">
        <v>251200809</v>
      </c>
      <c r="M1350" s="84">
        <v>46019</v>
      </c>
      <c r="N1350" s="84">
        <v>46019</v>
      </c>
      <c r="O1350" t="s">
        <v>191</v>
      </c>
      <c r="P1350" t="s">
        <v>192</v>
      </c>
      <c r="Q1350">
        <v>11700</v>
      </c>
      <c r="R1350">
        <v>50</v>
      </c>
      <c r="S1350">
        <v>585000</v>
      </c>
      <c r="T1350">
        <v>0</v>
      </c>
      <c r="U1350">
        <v>0</v>
      </c>
      <c r="V1350">
        <v>50</v>
      </c>
      <c r="W1350">
        <v>585000</v>
      </c>
      <c r="X1350">
        <v>7500</v>
      </c>
      <c r="Y1350">
        <v>7500</v>
      </c>
      <c r="Z1350">
        <v>0</v>
      </c>
      <c r="AA1350">
        <v>0</v>
      </c>
      <c r="AB1350">
        <v>0</v>
      </c>
      <c r="AC1350">
        <v>15000</v>
      </c>
    </row>
    <row r="1351" spans="1:29">
      <c r="A1351">
        <v>1343</v>
      </c>
      <c r="B1351" t="s">
        <v>149</v>
      </c>
      <c r="C1351">
        <v>562</v>
      </c>
      <c r="D1351" t="s">
        <v>92</v>
      </c>
      <c r="E1351" t="str">
        <f t="shared" si="20"/>
        <v>00562</v>
      </c>
      <c r="F1351" t="s">
        <v>91</v>
      </c>
      <c r="G1351" t="s">
        <v>202</v>
      </c>
      <c r="H1351" t="s">
        <v>157</v>
      </c>
      <c r="I1351" t="s">
        <v>4</v>
      </c>
      <c r="J1351" t="s">
        <v>152</v>
      </c>
      <c r="K1351" t="s">
        <v>159</v>
      </c>
      <c r="L1351">
        <v>251200809</v>
      </c>
      <c r="M1351" s="84">
        <v>46019</v>
      </c>
      <c r="N1351" s="84">
        <v>46019</v>
      </c>
      <c r="O1351" t="s">
        <v>206</v>
      </c>
      <c r="P1351" t="s">
        <v>207</v>
      </c>
      <c r="Q1351">
        <v>14250</v>
      </c>
      <c r="R1351">
        <v>40</v>
      </c>
      <c r="S1351">
        <v>570000</v>
      </c>
      <c r="T1351">
        <v>0</v>
      </c>
      <c r="U1351">
        <v>0</v>
      </c>
      <c r="V1351">
        <v>40</v>
      </c>
      <c r="W1351">
        <v>570000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</row>
    <row r="1352" spans="1:29">
      <c r="A1352">
        <v>1344</v>
      </c>
      <c r="B1352" t="s">
        <v>149</v>
      </c>
      <c r="C1352">
        <v>562</v>
      </c>
      <c r="D1352" t="s">
        <v>92</v>
      </c>
      <c r="E1352" t="str">
        <f t="shared" si="20"/>
        <v>00562</v>
      </c>
      <c r="F1352" t="s">
        <v>91</v>
      </c>
      <c r="G1352" t="s">
        <v>202</v>
      </c>
      <c r="H1352" t="s">
        <v>157</v>
      </c>
      <c r="I1352" t="s">
        <v>4</v>
      </c>
      <c r="J1352" t="s">
        <v>152</v>
      </c>
      <c r="K1352" t="s">
        <v>159</v>
      </c>
      <c r="L1352">
        <v>251200809</v>
      </c>
      <c r="M1352" s="84">
        <v>46019</v>
      </c>
      <c r="N1352" s="84">
        <v>46019</v>
      </c>
      <c r="O1352" t="s">
        <v>177</v>
      </c>
      <c r="P1352" t="s">
        <v>178</v>
      </c>
      <c r="Q1352">
        <v>14250</v>
      </c>
      <c r="R1352">
        <v>97</v>
      </c>
      <c r="S1352">
        <v>1382250</v>
      </c>
      <c r="T1352">
        <v>0</v>
      </c>
      <c r="U1352">
        <v>0</v>
      </c>
      <c r="V1352">
        <v>97</v>
      </c>
      <c r="W1352">
        <v>1382250</v>
      </c>
      <c r="X1352">
        <v>14550</v>
      </c>
      <c r="Y1352">
        <v>19400</v>
      </c>
      <c r="Z1352">
        <v>0</v>
      </c>
      <c r="AA1352">
        <v>0</v>
      </c>
      <c r="AB1352">
        <v>0</v>
      </c>
      <c r="AC1352">
        <v>33950</v>
      </c>
    </row>
    <row r="1353" spans="1:29">
      <c r="A1353">
        <v>1345</v>
      </c>
      <c r="B1353" t="s">
        <v>149</v>
      </c>
      <c r="C1353">
        <v>562</v>
      </c>
      <c r="D1353" t="s">
        <v>92</v>
      </c>
      <c r="E1353" t="str">
        <f t="shared" ref="E1353:E1416" si="21">TEXT(C1353,"00000")</f>
        <v>00562</v>
      </c>
      <c r="F1353" t="s">
        <v>91</v>
      </c>
      <c r="G1353" t="s">
        <v>202</v>
      </c>
      <c r="H1353" t="s">
        <v>157</v>
      </c>
      <c r="I1353" t="s">
        <v>4</v>
      </c>
      <c r="J1353" t="s">
        <v>152</v>
      </c>
      <c r="K1353" t="s">
        <v>159</v>
      </c>
      <c r="L1353">
        <v>251200809</v>
      </c>
      <c r="M1353" s="84">
        <v>46019</v>
      </c>
      <c r="N1353" s="84">
        <v>46019</v>
      </c>
      <c r="O1353" t="s">
        <v>221</v>
      </c>
      <c r="P1353" t="s">
        <v>222</v>
      </c>
      <c r="Q1353">
        <v>14250</v>
      </c>
      <c r="R1353">
        <v>20</v>
      </c>
      <c r="S1353">
        <v>285000</v>
      </c>
      <c r="T1353">
        <v>0</v>
      </c>
      <c r="U1353">
        <v>0</v>
      </c>
      <c r="V1353">
        <v>20</v>
      </c>
      <c r="W1353">
        <v>285000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</row>
    <row r="1354" spans="1:29">
      <c r="A1354">
        <v>1346</v>
      </c>
      <c r="B1354" t="s">
        <v>149</v>
      </c>
      <c r="C1354">
        <v>562</v>
      </c>
      <c r="D1354" t="s">
        <v>92</v>
      </c>
      <c r="E1354" t="str">
        <f t="shared" si="21"/>
        <v>00562</v>
      </c>
      <c r="F1354" t="s">
        <v>91</v>
      </c>
      <c r="G1354" t="s">
        <v>202</v>
      </c>
      <c r="H1354" t="s">
        <v>157</v>
      </c>
      <c r="I1354" t="s">
        <v>4</v>
      </c>
      <c r="J1354" t="s">
        <v>152</v>
      </c>
      <c r="K1354" t="s">
        <v>159</v>
      </c>
      <c r="L1354">
        <v>251200810</v>
      </c>
      <c r="M1354" s="84">
        <v>46019</v>
      </c>
      <c r="N1354" s="84">
        <v>46019</v>
      </c>
      <c r="O1354" t="s">
        <v>177</v>
      </c>
      <c r="P1354" t="s">
        <v>178</v>
      </c>
      <c r="Q1354">
        <v>14250</v>
      </c>
      <c r="R1354">
        <v>3</v>
      </c>
      <c r="S1354">
        <v>42750</v>
      </c>
      <c r="T1354">
        <v>0</v>
      </c>
      <c r="U1354">
        <v>0</v>
      </c>
      <c r="V1354">
        <v>3</v>
      </c>
      <c r="W1354">
        <v>42750</v>
      </c>
      <c r="X1354">
        <v>450</v>
      </c>
      <c r="Y1354">
        <v>600</v>
      </c>
      <c r="Z1354">
        <v>0</v>
      </c>
      <c r="AA1354">
        <v>0</v>
      </c>
      <c r="AB1354">
        <v>0</v>
      </c>
      <c r="AC1354">
        <v>1050</v>
      </c>
    </row>
    <row r="1355" spans="1:29">
      <c r="A1355">
        <v>1347</v>
      </c>
      <c r="B1355" t="s">
        <v>149</v>
      </c>
      <c r="C1355">
        <v>1592</v>
      </c>
      <c r="D1355" t="s">
        <v>415</v>
      </c>
      <c r="E1355" t="str">
        <f t="shared" si="21"/>
        <v>01592</v>
      </c>
      <c r="F1355" t="s">
        <v>91</v>
      </c>
      <c r="G1355" t="s">
        <v>202</v>
      </c>
      <c r="H1355" t="s">
        <v>157</v>
      </c>
      <c r="I1355" t="s">
        <v>5</v>
      </c>
      <c r="J1355" t="s">
        <v>152</v>
      </c>
      <c r="K1355" t="s">
        <v>159</v>
      </c>
      <c r="L1355">
        <v>251200811</v>
      </c>
      <c r="M1355" s="84">
        <v>46019</v>
      </c>
      <c r="N1355" s="84">
        <v>46019</v>
      </c>
      <c r="O1355" t="s">
        <v>217</v>
      </c>
      <c r="P1355" t="s">
        <v>218</v>
      </c>
      <c r="Q1355">
        <v>4500</v>
      </c>
      <c r="R1355">
        <v>24</v>
      </c>
      <c r="S1355">
        <v>108000</v>
      </c>
      <c r="T1355">
        <v>0</v>
      </c>
      <c r="U1355">
        <v>0</v>
      </c>
      <c r="V1355">
        <v>24</v>
      </c>
      <c r="W1355">
        <v>108000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</row>
    <row r="1356" spans="1:29">
      <c r="A1356">
        <v>1348</v>
      </c>
      <c r="B1356" t="s">
        <v>149</v>
      </c>
      <c r="C1356">
        <v>1468</v>
      </c>
      <c r="D1356" t="s">
        <v>342</v>
      </c>
      <c r="E1356" t="str">
        <f t="shared" si="21"/>
        <v>01468</v>
      </c>
      <c r="F1356" t="s">
        <v>7</v>
      </c>
      <c r="G1356" t="s">
        <v>156</v>
      </c>
      <c r="H1356" t="s">
        <v>157</v>
      </c>
      <c r="I1356" t="s">
        <v>5</v>
      </c>
      <c r="J1356" t="s">
        <v>152</v>
      </c>
      <c r="K1356" t="s">
        <v>159</v>
      </c>
      <c r="L1356">
        <v>251200812</v>
      </c>
      <c r="M1356" s="84">
        <v>46019</v>
      </c>
      <c r="N1356" s="84">
        <v>46019</v>
      </c>
      <c r="O1356" t="s">
        <v>397</v>
      </c>
      <c r="P1356" t="s">
        <v>398</v>
      </c>
      <c r="Q1356">
        <v>3000</v>
      </c>
      <c r="R1356">
        <v>32</v>
      </c>
      <c r="S1356">
        <v>96000</v>
      </c>
      <c r="T1356">
        <v>0</v>
      </c>
      <c r="U1356">
        <v>0</v>
      </c>
      <c r="V1356">
        <v>32</v>
      </c>
      <c r="W1356">
        <v>96000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</row>
    <row r="1357" spans="1:29">
      <c r="A1357">
        <v>1349</v>
      </c>
      <c r="B1357" t="s">
        <v>149</v>
      </c>
      <c r="C1357">
        <v>1468</v>
      </c>
      <c r="D1357" t="s">
        <v>342</v>
      </c>
      <c r="E1357" t="str">
        <f t="shared" si="21"/>
        <v>01468</v>
      </c>
      <c r="F1357" t="s">
        <v>7</v>
      </c>
      <c r="G1357" t="s">
        <v>156</v>
      </c>
      <c r="H1357" t="s">
        <v>157</v>
      </c>
      <c r="I1357" t="s">
        <v>5</v>
      </c>
      <c r="J1357" t="s">
        <v>152</v>
      </c>
      <c r="K1357" t="s">
        <v>159</v>
      </c>
      <c r="L1357">
        <v>251200812</v>
      </c>
      <c r="M1357" s="84">
        <v>46019</v>
      </c>
      <c r="N1357" s="84">
        <v>46019</v>
      </c>
      <c r="O1357" t="s">
        <v>217</v>
      </c>
      <c r="P1357" t="s">
        <v>218</v>
      </c>
      <c r="Q1357">
        <v>4500</v>
      </c>
      <c r="R1357">
        <v>12</v>
      </c>
      <c r="S1357">
        <v>54000</v>
      </c>
      <c r="T1357">
        <v>0</v>
      </c>
      <c r="U1357">
        <v>0</v>
      </c>
      <c r="V1357">
        <v>12</v>
      </c>
      <c r="W1357">
        <v>54000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</row>
    <row r="1358" spans="1:29">
      <c r="A1358">
        <v>1350</v>
      </c>
      <c r="B1358" t="s">
        <v>149</v>
      </c>
      <c r="C1358">
        <v>1468</v>
      </c>
      <c r="D1358" t="s">
        <v>342</v>
      </c>
      <c r="E1358" t="str">
        <f t="shared" si="21"/>
        <v>01468</v>
      </c>
      <c r="F1358" t="s">
        <v>7</v>
      </c>
      <c r="G1358" t="s">
        <v>156</v>
      </c>
      <c r="H1358" t="s">
        <v>157</v>
      </c>
      <c r="I1358" t="s">
        <v>5</v>
      </c>
      <c r="J1358" t="s">
        <v>152</v>
      </c>
      <c r="K1358" t="s">
        <v>159</v>
      </c>
      <c r="L1358">
        <v>251200812</v>
      </c>
      <c r="M1358" s="84">
        <v>46019</v>
      </c>
      <c r="N1358" s="84">
        <v>46019</v>
      </c>
      <c r="O1358" t="s">
        <v>269</v>
      </c>
      <c r="P1358" t="s">
        <v>270</v>
      </c>
      <c r="Q1358">
        <v>3000</v>
      </c>
      <c r="R1358">
        <v>20</v>
      </c>
      <c r="S1358">
        <v>60000</v>
      </c>
      <c r="T1358">
        <v>0</v>
      </c>
      <c r="U1358">
        <v>0</v>
      </c>
      <c r="V1358">
        <v>20</v>
      </c>
      <c r="W1358">
        <v>60000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</row>
    <row r="1359" spans="1:29">
      <c r="A1359">
        <v>1351</v>
      </c>
      <c r="B1359" t="s">
        <v>149</v>
      </c>
      <c r="C1359">
        <v>1520</v>
      </c>
      <c r="D1359" t="s">
        <v>333</v>
      </c>
      <c r="E1359" t="str">
        <f t="shared" si="21"/>
        <v>01520</v>
      </c>
      <c r="F1359" t="s">
        <v>38</v>
      </c>
      <c r="G1359" t="s">
        <v>202</v>
      </c>
      <c r="H1359" t="s">
        <v>157</v>
      </c>
      <c r="I1359" t="s">
        <v>4</v>
      </c>
      <c r="J1359" t="s">
        <v>152</v>
      </c>
      <c r="K1359" t="s">
        <v>203</v>
      </c>
      <c r="L1359">
        <v>251200813</v>
      </c>
      <c r="M1359" s="84">
        <v>46019</v>
      </c>
      <c r="N1359" s="84">
        <v>46019</v>
      </c>
      <c r="O1359" t="s">
        <v>290</v>
      </c>
      <c r="P1359" t="s">
        <v>291</v>
      </c>
      <c r="Q1359">
        <v>5500</v>
      </c>
      <c r="R1359">
        <v>10</v>
      </c>
      <c r="S1359">
        <v>55000</v>
      </c>
      <c r="T1359">
        <v>0</v>
      </c>
      <c r="U1359">
        <v>0</v>
      </c>
      <c r="V1359">
        <v>10</v>
      </c>
      <c r="W1359">
        <v>55000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</row>
    <row r="1360" spans="1:29">
      <c r="A1360">
        <v>1352</v>
      </c>
      <c r="B1360" t="s">
        <v>149</v>
      </c>
      <c r="C1360">
        <v>496</v>
      </c>
      <c r="D1360" t="s">
        <v>8</v>
      </c>
      <c r="E1360" t="str">
        <f t="shared" si="21"/>
        <v>00496</v>
      </c>
      <c r="F1360" t="s">
        <v>7</v>
      </c>
      <c r="G1360" t="s">
        <v>156</v>
      </c>
      <c r="H1360" t="s">
        <v>157</v>
      </c>
      <c r="I1360" t="s">
        <v>4</v>
      </c>
      <c r="J1360" t="s">
        <v>152</v>
      </c>
      <c r="K1360" t="s">
        <v>159</v>
      </c>
      <c r="L1360">
        <v>251200814</v>
      </c>
      <c r="M1360" s="84">
        <v>46019</v>
      </c>
      <c r="N1360" s="84">
        <v>46019</v>
      </c>
      <c r="O1360" t="s">
        <v>243</v>
      </c>
      <c r="P1360" t="s">
        <v>244</v>
      </c>
      <c r="Q1360">
        <v>15050</v>
      </c>
      <c r="R1360">
        <v>5</v>
      </c>
      <c r="S1360">
        <v>75250</v>
      </c>
      <c r="T1360">
        <v>0</v>
      </c>
      <c r="U1360">
        <v>0</v>
      </c>
      <c r="V1360">
        <v>5</v>
      </c>
      <c r="W1360">
        <v>75250</v>
      </c>
      <c r="X1360">
        <v>750</v>
      </c>
      <c r="Y1360">
        <v>1000</v>
      </c>
      <c r="Z1360">
        <v>0</v>
      </c>
      <c r="AA1360">
        <v>0</v>
      </c>
      <c r="AB1360">
        <v>0</v>
      </c>
      <c r="AC1360">
        <v>1750</v>
      </c>
    </row>
    <row r="1361" spans="1:29">
      <c r="A1361">
        <v>1353</v>
      </c>
      <c r="B1361" t="s">
        <v>149</v>
      </c>
      <c r="C1361">
        <v>1466</v>
      </c>
      <c r="D1361" t="s">
        <v>81</v>
      </c>
      <c r="E1361" t="str">
        <f t="shared" si="21"/>
        <v>01466</v>
      </c>
      <c r="F1361" t="s">
        <v>80</v>
      </c>
      <c r="G1361" t="s">
        <v>164</v>
      </c>
      <c r="H1361" t="s">
        <v>151</v>
      </c>
      <c r="I1361" t="s">
        <v>5</v>
      </c>
      <c r="J1361" t="s">
        <v>152</v>
      </c>
      <c r="K1361" t="s">
        <v>153</v>
      </c>
      <c r="L1361">
        <v>251200819</v>
      </c>
      <c r="M1361" s="84">
        <v>46019</v>
      </c>
      <c r="N1361" s="84">
        <v>46019</v>
      </c>
      <c r="O1361" t="s">
        <v>191</v>
      </c>
      <c r="P1361" t="s">
        <v>192</v>
      </c>
      <c r="Q1361">
        <v>11700</v>
      </c>
      <c r="R1361">
        <v>8</v>
      </c>
      <c r="S1361">
        <v>93600</v>
      </c>
      <c r="T1361">
        <v>0</v>
      </c>
      <c r="U1361">
        <v>0</v>
      </c>
      <c r="V1361">
        <v>8</v>
      </c>
      <c r="W1361">
        <v>93600</v>
      </c>
      <c r="X1361">
        <v>1200</v>
      </c>
      <c r="Y1361">
        <v>1200</v>
      </c>
      <c r="Z1361">
        <v>0</v>
      </c>
      <c r="AA1361">
        <v>0</v>
      </c>
      <c r="AB1361">
        <v>0</v>
      </c>
      <c r="AC1361">
        <v>2400</v>
      </c>
    </row>
    <row r="1362" spans="1:29">
      <c r="A1362">
        <v>1354</v>
      </c>
      <c r="B1362" t="s">
        <v>149</v>
      </c>
      <c r="C1362">
        <v>1450</v>
      </c>
      <c r="D1362" t="s">
        <v>82</v>
      </c>
      <c r="E1362" t="str">
        <f t="shared" si="21"/>
        <v>01450</v>
      </c>
      <c r="F1362" t="s">
        <v>80</v>
      </c>
      <c r="G1362" t="s">
        <v>164</v>
      </c>
      <c r="H1362" t="s">
        <v>151</v>
      </c>
      <c r="I1362" t="s">
        <v>4</v>
      </c>
      <c r="J1362" t="s">
        <v>152</v>
      </c>
      <c r="K1362" t="s">
        <v>153</v>
      </c>
      <c r="L1362">
        <v>251200820</v>
      </c>
      <c r="M1362" s="84">
        <v>46019</v>
      </c>
      <c r="N1362" s="84">
        <v>46019</v>
      </c>
      <c r="O1362" t="s">
        <v>160</v>
      </c>
      <c r="P1362" t="s">
        <v>161</v>
      </c>
      <c r="Q1362">
        <v>14250</v>
      </c>
      <c r="R1362">
        <v>5</v>
      </c>
      <c r="S1362">
        <v>71250</v>
      </c>
      <c r="T1362">
        <v>0</v>
      </c>
      <c r="U1362">
        <v>0</v>
      </c>
      <c r="V1362">
        <v>5</v>
      </c>
      <c r="W1362">
        <v>71250</v>
      </c>
      <c r="X1362">
        <v>750</v>
      </c>
      <c r="Y1362">
        <v>1000</v>
      </c>
      <c r="Z1362">
        <v>0</v>
      </c>
      <c r="AA1362">
        <v>0</v>
      </c>
      <c r="AB1362">
        <v>0</v>
      </c>
      <c r="AC1362">
        <v>1750</v>
      </c>
    </row>
    <row r="1363" spans="1:29">
      <c r="A1363">
        <v>1355</v>
      </c>
      <c r="B1363" t="s">
        <v>149</v>
      </c>
      <c r="C1363">
        <v>1429</v>
      </c>
      <c r="D1363" t="s">
        <v>47</v>
      </c>
      <c r="E1363" t="str">
        <f t="shared" si="21"/>
        <v>01429</v>
      </c>
      <c r="F1363" t="s">
        <v>43</v>
      </c>
      <c r="G1363" t="s">
        <v>150</v>
      </c>
      <c r="H1363" t="s">
        <v>151</v>
      </c>
      <c r="I1363" t="s">
        <v>5</v>
      </c>
      <c r="J1363" t="s">
        <v>152</v>
      </c>
      <c r="K1363" t="s">
        <v>153</v>
      </c>
      <c r="L1363">
        <v>251200821</v>
      </c>
      <c r="M1363" s="84">
        <v>46019</v>
      </c>
      <c r="N1363" s="84">
        <v>46019</v>
      </c>
      <c r="O1363" t="s">
        <v>191</v>
      </c>
      <c r="P1363" t="s">
        <v>192</v>
      </c>
      <c r="Q1363">
        <v>11700</v>
      </c>
      <c r="R1363">
        <v>4</v>
      </c>
      <c r="S1363">
        <v>46800</v>
      </c>
      <c r="T1363">
        <v>0</v>
      </c>
      <c r="U1363">
        <v>0</v>
      </c>
      <c r="V1363">
        <v>4</v>
      </c>
      <c r="W1363">
        <v>46800</v>
      </c>
      <c r="X1363">
        <v>600</v>
      </c>
      <c r="Y1363">
        <v>600</v>
      </c>
      <c r="Z1363">
        <v>0</v>
      </c>
      <c r="AA1363">
        <v>0</v>
      </c>
      <c r="AB1363">
        <v>0</v>
      </c>
      <c r="AC1363">
        <v>1200</v>
      </c>
    </row>
    <row r="1364" spans="1:29">
      <c r="A1364">
        <v>1356</v>
      </c>
      <c r="B1364" t="s">
        <v>149</v>
      </c>
      <c r="C1364">
        <v>1450</v>
      </c>
      <c r="D1364" t="s">
        <v>82</v>
      </c>
      <c r="E1364" t="str">
        <f t="shared" si="21"/>
        <v>01450</v>
      </c>
      <c r="F1364" t="s">
        <v>80</v>
      </c>
      <c r="G1364" t="s">
        <v>164</v>
      </c>
      <c r="H1364" t="s">
        <v>151</v>
      </c>
      <c r="I1364" t="s">
        <v>4</v>
      </c>
      <c r="J1364" t="s">
        <v>152</v>
      </c>
      <c r="K1364" t="s">
        <v>153</v>
      </c>
      <c r="L1364">
        <v>251200837</v>
      </c>
      <c r="M1364" s="84">
        <v>46020</v>
      </c>
      <c r="N1364" s="84">
        <v>46020</v>
      </c>
      <c r="O1364" t="s">
        <v>160</v>
      </c>
      <c r="P1364" t="s">
        <v>161</v>
      </c>
      <c r="Q1364">
        <v>14250</v>
      </c>
      <c r="R1364">
        <v>5</v>
      </c>
      <c r="S1364">
        <v>71250</v>
      </c>
      <c r="T1364">
        <v>0</v>
      </c>
      <c r="U1364">
        <v>0</v>
      </c>
      <c r="V1364">
        <v>5</v>
      </c>
      <c r="W1364">
        <v>71250</v>
      </c>
      <c r="X1364">
        <v>750</v>
      </c>
      <c r="Y1364">
        <v>1000</v>
      </c>
      <c r="Z1364">
        <v>0</v>
      </c>
      <c r="AA1364">
        <v>0</v>
      </c>
      <c r="AB1364">
        <v>0</v>
      </c>
      <c r="AC1364">
        <v>1750</v>
      </c>
    </row>
    <row r="1365" spans="1:29">
      <c r="A1365">
        <v>1357</v>
      </c>
      <c r="B1365" t="s">
        <v>149</v>
      </c>
      <c r="C1365">
        <v>1519</v>
      </c>
      <c r="D1365" t="s">
        <v>353</v>
      </c>
      <c r="E1365" t="str">
        <f t="shared" si="21"/>
        <v>01519</v>
      </c>
      <c r="F1365" t="s">
        <v>111</v>
      </c>
      <c r="G1365" t="s">
        <v>150</v>
      </c>
      <c r="H1365" t="s">
        <v>151</v>
      </c>
      <c r="I1365" t="s">
        <v>4</v>
      </c>
      <c r="J1365" t="s">
        <v>152</v>
      </c>
      <c r="K1365" t="s">
        <v>153</v>
      </c>
      <c r="L1365">
        <v>251200838</v>
      </c>
      <c r="M1365" s="84">
        <v>46020</v>
      </c>
      <c r="N1365" s="84">
        <v>46020</v>
      </c>
      <c r="O1365" t="s">
        <v>219</v>
      </c>
      <c r="P1365" t="s">
        <v>220</v>
      </c>
      <c r="Q1365">
        <v>5500</v>
      </c>
      <c r="R1365">
        <v>10</v>
      </c>
      <c r="S1365">
        <v>55000</v>
      </c>
      <c r="T1365">
        <v>0</v>
      </c>
      <c r="U1365">
        <v>0</v>
      </c>
      <c r="V1365">
        <v>10</v>
      </c>
      <c r="W1365">
        <v>55000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</row>
    <row r="1366" spans="1:29">
      <c r="A1366">
        <v>1358</v>
      </c>
      <c r="B1366" t="s">
        <v>149</v>
      </c>
      <c r="C1366">
        <v>1519</v>
      </c>
      <c r="D1366" t="s">
        <v>353</v>
      </c>
      <c r="E1366" t="str">
        <f t="shared" si="21"/>
        <v>01519</v>
      </c>
      <c r="F1366" t="s">
        <v>111</v>
      </c>
      <c r="G1366" t="s">
        <v>150</v>
      </c>
      <c r="H1366" t="s">
        <v>151</v>
      </c>
      <c r="I1366" t="s">
        <v>4</v>
      </c>
      <c r="J1366" t="s">
        <v>152</v>
      </c>
      <c r="K1366" t="s">
        <v>153</v>
      </c>
      <c r="L1366">
        <v>251200838</v>
      </c>
      <c r="M1366" s="84">
        <v>46020</v>
      </c>
      <c r="N1366" s="84">
        <v>46020</v>
      </c>
      <c r="O1366" t="s">
        <v>160</v>
      </c>
      <c r="P1366" t="s">
        <v>161</v>
      </c>
      <c r="Q1366">
        <v>5500</v>
      </c>
      <c r="R1366">
        <v>20</v>
      </c>
      <c r="S1366">
        <v>110000</v>
      </c>
      <c r="T1366">
        <v>0</v>
      </c>
      <c r="U1366">
        <v>0</v>
      </c>
      <c r="V1366">
        <v>20</v>
      </c>
      <c r="W1366">
        <v>110000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</row>
    <row r="1367" spans="1:29">
      <c r="A1367">
        <v>1359</v>
      </c>
      <c r="B1367" t="s">
        <v>149</v>
      </c>
      <c r="C1367">
        <v>1551</v>
      </c>
      <c r="D1367" t="s">
        <v>316</v>
      </c>
      <c r="E1367" t="str">
        <f t="shared" si="21"/>
        <v>01551</v>
      </c>
      <c r="F1367" t="s">
        <v>111</v>
      </c>
      <c r="G1367" t="s">
        <v>150</v>
      </c>
      <c r="H1367" t="s">
        <v>151</v>
      </c>
      <c r="I1367" t="s">
        <v>4</v>
      </c>
      <c r="J1367" t="s">
        <v>152</v>
      </c>
      <c r="K1367" t="s">
        <v>153</v>
      </c>
      <c r="L1367">
        <v>251200839</v>
      </c>
      <c r="M1367" s="84">
        <v>46020</v>
      </c>
      <c r="N1367" s="84">
        <v>46020</v>
      </c>
      <c r="O1367" t="s">
        <v>160</v>
      </c>
      <c r="P1367" t="s">
        <v>161</v>
      </c>
      <c r="Q1367">
        <v>5500</v>
      </c>
      <c r="R1367">
        <v>12</v>
      </c>
      <c r="S1367">
        <v>66000</v>
      </c>
      <c r="T1367">
        <v>0</v>
      </c>
      <c r="U1367">
        <v>0</v>
      </c>
      <c r="V1367">
        <v>12</v>
      </c>
      <c r="W1367">
        <v>66000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</row>
    <row r="1368" spans="1:29">
      <c r="A1368">
        <v>1360</v>
      </c>
      <c r="B1368" t="s">
        <v>149</v>
      </c>
      <c r="C1368">
        <v>1581</v>
      </c>
      <c r="D1368" t="s">
        <v>96</v>
      </c>
      <c r="E1368" t="str">
        <f t="shared" si="21"/>
        <v>01581</v>
      </c>
      <c r="F1368" t="s">
        <v>95</v>
      </c>
      <c r="G1368" t="s">
        <v>187</v>
      </c>
      <c r="H1368" t="s">
        <v>188</v>
      </c>
      <c r="I1368" t="s">
        <v>4</v>
      </c>
      <c r="J1368" t="s">
        <v>152</v>
      </c>
      <c r="K1368" t="s">
        <v>159</v>
      </c>
      <c r="L1368">
        <v>251200840</v>
      </c>
      <c r="M1368" s="84">
        <v>46020</v>
      </c>
      <c r="N1368" s="84">
        <v>46020</v>
      </c>
      <c r="O1368" t="s">
        <v>262</v>
      </c>
      <c r="P1368" t="s">
        <v>263</v>
      </c>
      <c r="Q1368">
        <v>13300</v>
      </c>
      <c r="R1368">
        <v>10</v>
      </c>
      <c r="S1368">
        <v>133000</v>
      </c>
      <c r="T1368">
        <v>0</v>
      </c>
      <c r="U1368">
        <v>0</v>
      </c>
      <c r="V1368">
        <v>10</v>
      </c>
      <c r="W1368">
        <v>133000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</row>
    <row r="1369" spans="1:29">
      <c r="A1369">
        <v>1361</v>
      </c>
      <c r="B1369" t="s">
        <v>149</v>
      </c>
      <c r="C1369">
        <v>1581</v>
      </c>
      <c r="D1369" t="s">
        <v>96</v>
      </c>
      <c r="E1369" t="str">
        <f t="shared" si="21"/>
        <v>01581</v>
      </c>
      <c r="F1369" t="s">
        <v>95</v>
      </c>
      <c r="G1369" t="s">
        <v>187</v>
      </c>
      <c r="H1369" t="s">
        <v>188</v>
      </c>
      <c r="I1369" t="s">
        <v>4</v>
      </c>
      <c r="J1369" t="s">
        <v>152</v>
      </c>
      <c r="K1369" t="s">
        <v>159</v>
      </c>
      <c r="L1369">
        <v>251200840</v>
      </c>
      <c r="M1369" s="84">
        <v>46020</v>
      </c>
      <c r="N1369" s="84">
        <v>46020</v>
      </c>
      <c r="O1369" t="s">
        <v>221</v>
      </c>
      <c r="P1369" t="s">
        <v>222</v>
      </c>
      <c r="Q1369">
        <v>13300</v>
      </c>
      <c r="R1369">
        <v>5</v>
      </c>
      <c r="S1369">
        <v>66500</v>
      </c>
      <c r="T1369">
        <v>0</v>
      </c>
      <c r="U1369">
        <v>0</v>
      </c>
      <c r="V1369">
        <v>5</v>
      </c>
      <c r="W1369">
        <v>66500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</row>
    <row r="1370" spans="1:29">
      <c r="A1370">
        <v>1362</v>
      </c>
      <c r="B1370" t="s">
        <v>149</v>
      </c>
      <c r="C1370">
        <v>1448</v>
      </c>
      <c r="D1370" t="s">
        <v>21</v>
      </c>
      <c r="E1370" t="str">
        <f t="shared" si="21"/>
        <v>01448</v>
      </c>
      <c r="F1370" t="s">
        <v>20</v>
      </c>
      <c r="G1370" t="s">
        <v>193</v>
      </c>
      <c r="H1370" t="s">
        <v>151</v>
      </c>
      <c r="I1370" t="s">
        <v>4</v>
      </c>
      <c r="J1370" t="s">
        <v>152</v>
      </c>
      <c r="K1370" t="s">
        <v>236</v>
      </c>
      <c r="L1370">
        <v>251200841</v>
      </c>
      <c r="M1370" s="84">
        <v>46020</v>
      </c>
      <c r="N1370" s="84">
        <v>46020</v>
      </c>
      <c r="O1370" t="s">
        <v>160</v>
      </c>
      <c r="P1370" t="s">
        <v>161</v>
      </c>
      <c r="Q1370">
        <v>14250</v>
      </c>
      <c r="R1370">
        <v>10</v>
      </c>
      <c r="S1370">
        <v>142500</v>
      </c>
      <c r="T1370">
        <v>0</v>
      </c>
      <c r="U1370">
        <v>0</v>
      </c>
      <c r="V1370">
        <v>10</v>
      </c>
      <c r="W1370">
        <v>142500</v>
      </c>
      <c r="X1370">
        <v>1500</v>
      </c>
      <c r="Y1370">
        <v>2000</v>
      </c>
      <c r="Z1370">
        <v>0</v>
      </c>
      <c r="AA1370">
        <v>0</v>
      </c>
      <c r="AB1370">
        <v>0</v>
      </c>
      <c r="AC1370">
        <v>3500</v>
      </c>
    </row>
    <row r="1371" spans="1:29">
      <c r="A1371">
        <v>1363</v>
      </c>
      <c r="B1371" t="s">
        <v>149</v>
      </c>
      <c r="C1371">
        <v>1308</v>
      </c>
      <c r="D1371" t="s">
        <v>368</v>
      </c>
      <c r="E1371" t="str">
        <f t="shared" si="21"/>
        <v>01308</v>
      </c>
      <c r="F1371" t="s">
        <v>49</v>
      </c>
      <c r="G1371" t="s">
        <v>167</v>
      </c>
      <c r="H1371" t="s">
        <v>151</v>
      </c>
      <c r="I1371" t="s">
        <v>5</v>
      </c>
      <c r="J1371" t="s">
        <v>152</v>
      </c>
      <c r="K1371" t="s">
        <v>153</v>
      </c>
      <c r="L1371">
        <v>251200842</v>
      </c>
      <c r="M1371" s="84">
        <v>46020</v>
      </c>
      <c r="N1371" s="84">
        <v>46020</v>
      </c>
      <c r="O1371" t="s">
        <v>271</v>
      </c>
      <c r="P1371" t="s">
        <v>272</v>
      </c>
      <c r="Q1371">
        <v>4500</v>
      </c>
      <c r="R1371">
        <v>40</v>
      </c>
      <c r="S1371">
        <v>180000</v>
      </c>
      <c r="T1371">
        <v>0</v>
      </c>
      <c r="U1371">
        <v>0</v>
      </c>
      <c r="V1371">
        <v>40</v>
      </c>
      <c r="W1371">
        <v>180000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</row>
    <row r="1372" spans="1:29">
      <c r="A1372">
        <v>1364</v>
      </c>
      <c r="B1372" t="s">
        <v>149</v>
      </c>
      <c r="C1372">
        <v>1149</v>
      </c>
      <c r="D1372" t="s">
        <v>55</v>
      </c>
      <c r="E1372" t="str">
        <f t="shared" si="21"/>
        <v>01149</v>
      </c>
      <c r="F1372" t="s">
        <v>49</v>
      </c>
      <c r="G1372" t="s">
        <v>167</v>
      </c>
      <c r="H1372" t="s">
        <v>151</v>
      </c>
      <c r="I1372" t="s">
        <v>4</v>
      </c>
      <c r="J1372" t="s">
        <v>152</v>
      </c>
      <c r="K1372" t="s">
        <v>153</v>
      </c>
      <c r="L1372">
        <v>251200843</v>
      </c>
      <c r="M1372" s="84">
        <v>46020</v>
      </c>
      <c r="N1372" s="84">
        <v>46020</v>
      </c>
      <c r="O1372" t="s">
        <v>177</v>
      </c>
      <c r="P1372" t="s">
        <v>178</v>
      </c>
      <c r="Q1372">
        <v>14250</v>
      </c>
      <c r="R1372">
        <v>8</v>
      </c>
      <c r="S1372">
        <v>114000</v>
      </c>
      <c r="T1372">
        <v>0</v>
      </c>
      <c r="U1372">
        <v>0</v>
      </c>
      <c r="V1372">
        <v>8</v>
      </c>
      <c r="W1372">
        <v>114000</v>
      </c>
      <c r="X1372">
        <v>1200</v>
      </c>
      <c r="Y1372">
        <v>1600</v>
      </c>
      <c r="Z1372">
        <v>0</v>
      </c>
      <c r="AA1372">
        <v>0</v>
      </c>
      <c r="AB1372">
        <v>0</v>
      </c>
      <c r="AC1372">
        <v>2800</v>
      </c>
    </row>
    <row r="1373" spans="1:29">
      <c r="A1373">
        <v>1365</v>
      </c>
      <c r="B1373" t="s">
        <v>149</v>
      </c>
      <c r="C1373">
        <v>337</v>
      </c>
      <c r="D1373" t="s">
        <v>57</v>
      </c>
      <c r="E1373" t="str">
        <f t="shared" si="21"/>
        <v>00337</v>
      </c>
      <c r="F1373" t="s">
        <v>49</v>
      </c>
      <c r="G1373" t="s">
        <v>167</v>
      </c>
      <c r="H1373" t="s">
        <v>151</v>
      </c>
      <c r="I1373" t="s">
        <v>4</v>
      </c>
      <c r="J1373" t="s">
        <v>152</v>
      </c>
      <c r="K1373" t="s">
        <v>153</v>
      </c>
      <c r="L1373">
        <v>251200844</v>
      </c>
      <c r="M1373" s="84">
        <v>46020</v>
      </c>
      <c r="N1373" s="84">
        <v>46020</v>
      </c>
      <c r="O1373" t="s">
        <v>219</v>
      </c>
      <c r="P1373" t="s">
        <v>220</v>
      </c>
      <c r="Q1373">
        <v>14250</v>
      </c>
      <c r="R1373">
        <v>5</v>
      </c>
      <c r="S1373">
        <v>71250</v>
      </c>
      <c r="T1373">
        <v>0</v>
      </c>
      <c r="U1373">
        <v>0</v>
      </c>
      <c r="V1373">
        <v>5</v>
      </c>
      <c r="W1373">
        <v>71250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</row>
    <row r="1374" spans="1:29">
      <c r="A1374">
        <v>1366</v>
      </c>
      <c r="B1374" t="s">
        <v>149</v>
      </c>
      <c r="C1374">
        <v>371</v>
      </c>
      <c r="D1374" t="s">
        <v>35</v>
      </c>
      <c r="E1374" t="str">
        <f t="shared" si="21"/>
        <v>00371</v>
      </c>
      <c r="F1374" t="s">
        <v>28</v>
      </c>
      <c r="G1374" t="s">
        <v>164</v>
      </c>
      <c r="H1374" t="s">
        <v>151</v>
      </c>
      <c r="I1374" t="s">
        <v>5</v>
      </c>
      <c r="J1374" t="s">
        <v>152</v>
      </c>
      <c r="K1374" t="s">
        <v>153</v>
      </c>
      <c r="L1374">
        <v>251200845</v>
      </c>
      <c r="M1374" s="84">
        <v>46020</v>
      </c>
      <c r="N1374" s="84">
        <v>46020</v>
      </c>
      <c r="O1374" t="s">
        <v>191</v>
      </c>
      <c r="P1374" t="s">
        <v>192</v>
      </c>
      <c r="Q1374">
        <v>11700</v>
      </c>
      <c r="R1374">
        <v>16</v>
      </c>
      <c r="S1374">
        <v>187200</v>
      </c>
      <c r="T1374">
        <v>0</v>
      </c>
      <c r="U1374">
        <v>0</v>
      </c>
      <c r="V1374">
        <v>16</v>
      </c>
      <c r="W1374">
        <v>187200</v>
      </c>
      <c r="X1374">
        <v>2400</v>
      </c>
      <c r="Y1374">
        <v>2400</v>
      </c>
      <c r="Z1374">
        <v>0</v>
      </c>
      <c r="AA1374">
        <v>0</v>
      </c>
      <c r="AB1374">
        <v>0</v>
      </c>
      <c r="AC1374">
        <v>4800</v>
      </c>
    </row>
    <row r="1375" spans="1:29">
      <c r="A1375">
        <v>1367</v>
      </c>
      <c r="B1375" t="s">
        <v>149</v>
      </c>
      <c r="C1375">
        <v>371</v>
      </c>
      <c r="D1375" t="s">
        <v>35</v>
      </c>
      <c r="E1375" t="str">
        <f t="shared" si="21"/>
        <v>00371</v>
      </c>
      <c r="F1375" t="s">
        <v>28</v>
      </c>
      <c r="G1375" t="s">
        <v>164</v>
      </c>
      <c r="H1375" t="s">
        <v>151</v>
      </c>
      <c r="I1375" t="s">
        <v>210</v>
      </c>
      <c r="J1375" t="s">
        <v>152</v>
      </c>
      <c r="K1375" t="s">
        <v>153</v>
      </c>
      <c r="L1375">
        <v>251200846</v>
      </c>
      <c r="M1375" s="84">
        <v>46020</v>
      </c>
      <c r="N1375" s="84">
        <v>46020</v>
      </c>
      <c r="O1375" t="s">
        <v>213</v>
      </c>
      <c r="P1375" t="s">
        <v>214</v>
      </c>
      <c r="Q1375">
        <v>23802</v>
      </c>
      <c r="R1375">
        <v>6</v>
      </c>
      <c r="S1375">
        <v>142812</v>
      </c>
      <c r="T1375">
        <v>0</v>
      </c>
      <c r="U1375">
        <v>0</v>
      </c>
      <c r="V1375">
        <v>6</v>
      </c>
      <c r="W1375">
        <v>142812</v>
      </c>
      <c r="X1375">
        <v>2856</v>
      </c>
      <c r="Y1375">
        <v>2856</v>
      </c>
      <c r="Z1375">
        <v>6000</v>
      </c>
      <c r="AA1375">
        <v>0</v>
      </c>
      <c r="AB1375">
        <v>600</v>
      </c>
      <c r="AC1375">
        <v>12312</v>
      </c>
    </row>
    <row r="1376" spans="1:29">
      <c r="A1376">
        <v>1368</v>
      </c>
      <c r="B1376" t="s">
        <v>149</v>
      </c>
      <c r="C1376">
        <v>324</v>
      </c>
      <c r="D1376" t="s">
        <v>36</v>
      </c>
      <c r="E1376" t="str">
        <f t="shared" si="21"/>
        <v>00324</v>
      </c>
      <c r="F1376" t="s">
        <v>28</v>
      </c>
      <c r="G1376" t="s">
        <v>164</v>
      </c>
      <c r="H1376" t="s">
        <v>151</v>
      </c>
      <c r="I1376" t="s">
        <v>4</v>
      </c>
      <c r="J1376" t="s">
        <v>152</v>
      </c>
      <c r="K1376" t="s">
        <v>153</v>
      </c>
      <c r="L1376">
        <v>251200847</v>
      </c>
      <c r="M1376" s="84">
        <v>46020</v>
      </c>
      <c r="N1376" s="84">
        <v>46020</v>
      </c>
      <c r="O1376" t="s">
        <v>160</v>
      </c>
      <c r="P1376" t="s">
        <v>161</v>
      </c>
      <c r="Q1376">
        <v>14250</v>
      </c>
      <c r="R1376">
        <v>20</v>
      </c>
      <c r="S1376">
        <v>285000</v>
      </c>
      <c r="T1376">
        <v>0</v>
      </c>
      <c r="U1376">
        <v>0</v>
      </c>
      <c r="V1376">
        <v>20</v>
      </c>
      <c r="W1376">
        <v>285000</v>
      </c>
      <c r="X1376">
        <v>3000</v>
      </c>
      <c r="Y1376">
        <v>4000</v>
      </c>
      <c r="Z1376">
        <v>0</v>
      </c>
      <c r="AA1376">
        <v>0</v>
      </c>
      <c r="AB1376">
        <v>0</v>
      </c>
      <c r="AC1376">
        <v>7000</v>
      </c>
    </row>
    <row r="1377" spans="1:29">
      <c r="A1377">
        <v>1369</v>
      </c>
      <c r="B1377" t="s">
        <v>149</v>
      </c>
      <c r="C1377">
        <v>1550</v>
      </c>
      <c r="D1377" t="s">
        <v>337</v>
      </c>
      <c r="E1377" t="str">
        <f t="shared" si="21"/>
        <v>01550</v>
      </c>
      <c r="F1377" t="s">
        <v>15</v>
      </c>
      <c r="G1377" t="s">
        <v>193</v>
      </c>
      <c r="H1377" t="s">
        <v>151</v>
      </c>
      <c r="I1377" t="s">
        <v>5</v>
      </c>
      <c r="J1377" t="s">
        <v>152</v>
      </c>
      <c r="K1377" t="s">
        <v>153</v>
      </c>
      <c r="L1377">
        <v>251200848</v>
      </c>
      <c r="M1377" s="84">
        <v>46020</v>
      </c>
      <c r="N1377" s="84">
        <v>46020</v>
      </c>
      <c r="O1377" t="s">
        <v>191</v>
      </c>
      <c r="P1377" t="s">
        <v>192</v>
      </c>
      <c r="Q1377">
        <v>4500</v>
      </c>
      <c r="R1377">
        <v>12</v>
      </c>
      <c r="S1377">
        <v>54000</v>
      </c>
      <c r="T1377">
        <v>0</v>
      </c>
      <c r="U1377">
        <v>0</v>
      </c>
      <c r="V1377">
        <v>12</v>
      </c>
      <c r="W1377">
        <v>54000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</row>
    <row r="1378" spans="1:29">
      <c r="A1378">
        <v>1370</v>
      </c>
      <c r="B1378" t="s">
        <v>149</v>
      </c>
      <c r="C1378">
        <v>1594</v>
      </c>
      <c r="D1378" t="s">
        <v>346</v>
      </c>
      <c r="E1378" t="str">
        <f t="shared" si="21"/>
        <v>01594</v>
      </c>
      <c r="F1378" t="s">
        <v>73</v>
      </c>
      <c r="G1378" t="s">
        <v>185</v>
      </c>
      <c r="H1378" t="s">
        <v>151</v>
      </c>
      <c r="I1378" t="s">
        <v>4</v>
      </c>
      <c r="J1378" t="s">
        <v>152</v>
      </c>
      <c r="K1378" t="s">
        <v>153</v>
      </c>
      <c r="L1378">
        <v>251200849</v>
      </c>
      <c r="M1378" s="84">
        <v>46020</v>
      </c>
      <c r="N1378" s="84">
        <v>46020</v>
      </c>
      <c r="O1378" t="s">
        <v>160</v>
      </c>
      <c r="P1378" t="s">
        <v>161</v>
      </c>
      <c r="Q1378">
        <v>5500</v>
      </c>
      <c r="R1378">
        <v>15</v>
      </c>
      <c r="S1378">
        <v>82500</v>
      </c>
      <c r="T1378">
        <v>0</v>
      </c>
      <c r="U1378">
        <v>0</v>
      </c>
      <c r="V1378">
        <v>15</v>
      </c>
      <c r="W1378">
        <v>82500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</row>
    <row r="1379" spans="1:29">
      <c r="A1379">
        <v>1371</v>
      </c>
      <c r="B1379" t="s">
        <v>149</v>
      </c>
      <c r="C1379">
        <v>1594</v>
      </c>
      <c r="D1379" t="s">
        <v>346</v>
      </c>
      <c r="E1379" t="str">
        <f t="shared" si="21"/>
        <v>01594</v>
      </c>
      <c r="F1379" t="s">
        <v>73</v>
      </c>
      <c r="G1379" t="s">
        <v>185</v>
      </c>
      <c r="H1379" t="s">
        <v>151</v>
      </c>
      <c r="I1379" t="s">
        <v>4</v>
      </c>
      <c r="J1379" t="s">
        <v>152</v>
      </c>
      <c r="K1379" t="s">
        <v>153</v>
      </c>
      <c r="L1379">
        <v>251200849</v>
      </c>
      <c r="M1379" s="84">
        <v>46020</v>
      </c>
      <c r="N1379" s="84">
        <v>46020</v>
      </c>
      <c r="O1379" t="s">
        <v>200</v>
      </c>
      <c r="P1379" t="s">
        <v>201</v>
      </c>
      <c r="Q1379">
        <v>5500</v>
      </c>
      <c r="R1379">
        <v>4</v>
      </c>
      <c r="S1379">
        <v>22000</v>
      </c>
      <c r="T1379">
        <v>0</v>
      </c>
      <c r="U1379">
        <v>0</v>
      </c>
      <c r="V1379">
        <v>4</v>
      </c>
      <c r="W1379">
        <v>22000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</row>
    <row r="1380" spans="1:29">
      <c r="A1380">
        <v>1372</v>
      </c>
      <c r="B1380" t="s">
        <v>149</v>
      </c>
      <c r="C1380">
        <v>1594</v>
      </c>
      <c r="D1380" t="s">
        <v>346</v>
      </c>
      <c r="E1380" t="str">
        <f t="shared" si="21"/>
        <v>01594</v>
      </c>
      <c r="F1380" t="s">
        <v>73</v>
      </c>
      <c r="G1380" t="s">
        <v>185</v>
      </c>
      <c r="H1380" t="s">
        <v>151</v>
      </c>
      <c r="I1380" t="s">
        <v>4</v>
      </c>
      <c r="J1380" t="s">
        <v>152</v>
      </c>
      <c r="K1380" t="s">
        <v>153</v>
      </c>
      <c r="L1380">
        <v>251200849</v>
      </c>
      <c r="M1380" s="84">
        <v>46020</v>
      </c>
      <c r="N1380" s="84">
        <v>46020</v>
      </c>
      <c r="O1380" t="s">
        <v>154</v>
      </c>
      <c r="P1380" t="s">
        <v>155</v>
      </c>
      <c r="Q1380">
        <v>5500</v>
      </c>
      <c r="R1380">
        <v>12</v>
      </c>
      <c r="S1380">
        <v>66000</v>
      </c>
      <c r="T1380">
        <v>0</v>
      </c>
      <c r="U1380">
        <v>0</v>
      </c>
      <c r="V1380">
        <v>12</v>
      </c>
      <c r="W1380">
        <v>66000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</row>
    <row r="1381" spans="1:29">
      <c r="A1381">
        <v>1373</v>
      </c>
      <c r="B1381" t="s">
        <v>149</v>
      </c>
      <c r="C1381">
        <v>1594</v>
      </c>
      <c r="D1381" t="s">
        <v>346</v>
      </c>
      <c r="E1381" t="str">
        <f t="shared" si="21"/>
        <v>01594</v>
      </c>
      <c r="F1381" t="s">
        <v>73</v>
      </c>
      <c r="G1381" t="s">
        <v>185</v>
      </c>
      <c r="H1381" t="s">
        <v>151</v>
      </c>
      <c r="I1381" t="s">
        <v>4</v>
      </c>
      <c r="J1381" t="s">
        <v>152</v>
      </c>
      <c r="K1381" t="s">
        <v>153</v>
      </c>
      <c r="L1381">
        <v>251200849</v>
      </c>
      <c r="M1381" s="84">
        <v>46020</v>
      </c>
      <c r="N1381" s="84">
        <v>46020</v>
      </c>
      <c r="O1381" t="s">
        <v>221</v>
      </c>
      <c r="P1381" t="s">
        <v>222</v>
      </c>
      <c r="Q1381">
        <v>5500</v>
      </c>
      <c r="R1381">
        <v>4</v>
      </c>
      <c r="S1381">
        <v>22000</v>
      </c>
      <c r="T1381">
        <v>0</v>
      </c>
      <c r="U1381">
        <v>0</v>
      </c>
      <c r="V1381">
        <v>4</v>
      </c>
      <c r="W1381">
        <v>22000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</row>
    <row r="1382" spans="1:29">
      <c r="A1382">
        <v>1374</v>
      </c>
      <c r="B1382" t="s">
        <v>149</v>
      </c>
      <c r="C1382">
        <v>1594</v>
      </c>
      <c r="D1382" t="s">
        <v>346</v>
      </c>
      <c r="E1382" t="str">
        <f t="shared" si="21"/>
        <v>01594</v>
      </c>
      <c r="F1382" t="s">
        <v>73</v>
      </c>
      <c r="G1382" t="s">
        <v>185</v>
      </c>
      <c r="H1382" t="s">
        <v>151</v>
      </c>
      <c r="I1382" t="s">
        <v>4</v>
      </c>
      <c r="J1382" t="s">
        <v>152</v>
      </c>
      <c r="K1382" t="s">
        <v>153</v>
      </c>
      <c r="L1382">
        <v>251200849</v>
      </c>
      <c r="M1382" s="84">
        <v>46020</v>
      </c>
      <c r="N1382" s="84">
        <v>46020</v>
      </c>
      <c r="O1382" t="s">
        <v>243</v>
      </c>
      <c r="P1382" t="s">
        <v>244</v>
      </c>
      <c r="Q1382">
        <v>5700</v>
      </c>
      <c r="R1382">
        <v>5</v>
      </c>
      <c r="S1382">
        <v>28500</v>
      </c>
      <c r="T1382">
        <v>0</v>
      </c>
      <c r="U1382">
        <v>0</v>
      </c>
      <c r="V1382">
        <v>5</v>
      </c>
      <c r="W1382">
        <v>28500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</row>
    <row r="1383" spans="1:29">
      <c r="A1383">
        <v>1375</v>
      </c>
      <c r="B1383" t="s">
        <v>149</v>
      </c>
      <c r="C1383">
        <v>1594</v>
      </c>
      <c r="D1383" t="s">
        <v>346</v>
      </c>
      <c r="E1383" t="str">
        <f t="shared" si="21"/>
        <v>01594</v>
      </c>
      <c r="F1383" t="s">
        <v>73</v>
      </c>
      <c r="G1383" t="s">
        <v>185</v>
      </c>
      <c r="H1383" t="s">
        <v>151</v>
      </c>
      <c r="I1383" t="s">
        <v>4</v>
      </c>
      <c r="J1383" t="s">
        <v>152</v>
      </c>
      <c r="K1383" t="s">
        <v>153</v>
      </c>
      <c r="L1383">
        <v>251200849</v>
      </c>
      <c r="M1383" s="84">
        <v>46020</v>
      </c>
      <c r="N1383" s="84">
        <v>46020</v>
      </c>
      <c r="O1383" t="s">
        <v>177</v>
      </c>
      <c r="P1383" t="s">
        <v>178</v>
      </c>
      <c r="Q1383">
        <v>5500</v>
      </c>
      <c r="R1383">
        <v>1</v>
      </c>
      <c r="S1383">
        <v>5500</v>
      </c>
      <c r="T1383">
        <v>0</v>
      </c>
      <c r="U1383">
        <v>0</v>
      </c>
      <c r="V1383">
        <v>1</v>
      </c>
      <c r="W1383">
        <v>5500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</row>
    <row r="1384" spans="1:29">
      <c r="A1384">
        <v>1376</v>
      </c>
      <c r="B1384" t="s">
        <v>149</v>
      </c>
      <c r="C1384">
        <v>1395</v>
      </c>
      <c r="D1384" t="s">
        <v>101</v>
      </c>
      <c r="E1384" t="str">
        <f t="shared" si="21"/>
        <v>01395</v>
      </c>
      <c r="F1384" t="s">
        <v>95</v>
      </c>
      <c r="G1384" t="s">
        <v>187</v>
      </c>
      <c r="H1384" t="s">
        <v>188</v>
      </c>
      <c r="I1384" t="s">
        <v>4</v>
      </c>
      <c r="J1384" t="s">
        <v>152</v>
      </c>
      <c r="K1384" t="s">
        <v>159</v>
      </c>
      <c r="L1384">
        <v>251200850</v>
      </c>
      <c r="M1384" s="84">
        <v>46020</v>
      </c>
      <c r="N1384" s="84">
        <v>46020</v>
      </c>
      <c r="O1384" t="s">
        <v>168</v>
      </c>
      <c r="P1384" t="s">
        <v>169</v>
      </c>
      <c r="Q1384">
        <v>13200</v>
      </c>
      <c r="R1384">
        <v>5</v>
      </c>
      <c r="S1384">
        <v>66000</v>
      </c>
      <c r="T1384">
        <v>0</v>
      </c>
      <c r="U1384">
        <v>0</v>
      </c>
      <c r="V1384">
        <v>5</v>
      </c>
      <c r="W1384">
        <v>66000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</row>
    <row r="1385" spans="1:29">
      <c r="A1385">
        <v>1377</v>
      </c>
      <c r="B1385" t="s">
        <v>149</v>
      </c>
      <c r="C1385">
        <v>496</v>
      </c>
      <c r="D1385" t="s">
        <v>8</v>
      </c>
      <c r="E1385" t="str">
        <f t="shared" si="21"/>
        <v>00496</v>
      </c>
      <c r="F1385" t="s">
        <v>7</v>
      </c>
      <c r="G1385" t="s">
        <v>156</v>
      </c>
      <c r="H1385" t="s">
        <v>157</v>
      </c>
      <c r="I1385" t="s">
        <v>4</v>
      </c>
      <c r="J1385" t="s">
        <v>152</v>
      </c>
      <c r="K1385" t="s">
        <v>159</v>
      </c>
      <c r="L1385">
        <v>251200851</v>
      </c>
      <c r="M1385" s="84">
        <v>46020</v>
      </c>
      <c r="N1385" s="84">
        <v>46020</v>
      </c>
      <c r="O1385" t="s">
        <v>243</v>
      </c>
      <c r="P1385" t="s">
        <v>244</v>
      </c>
      <c r="Q1385">
        <v>15050</v>
      </c>
      <c r="R1385">
        <v>10</v>
      </c>
      <c r="S1385">
        <v>150500</v>
      </c>
      <c r="T1385">
        <v>0</v>
      </c>
      <c r="U1385">
        <v>0</v>
      </c>
      <c r="V1385">
        <v>10</v>
      </c>
      <c r="W1385">
        <v>150500</v>
      </c>
      <c r="X1385">
        <v>1500</v>
      </c>
      <c r="Y1385">
        <v>2000</v>
      </c>
      <c r="Z1385">
        <v>0</v>
      </c>
      <c r="AA1385">
        <v>0</v>
      </c>
      <c r="AB1385">
        <v>0</v>
      </c>
      <c r="AC1385">
        <v>3500</v>
      </c>
    </row>
    <row r="1386" spans="1:29">
      <c r="A1386">
        <v>1378</v>
      </c>
      <c r="B1386" t="s">
        <v>149</v>
      </c>
      <c r="C1386">
        <v>1497</v>
      </c>
      <c r="D1386" t="s">
        <v>364</v>
      </c>
      <c r="E1386" t="str">
        <f t="shared" si="21"/>
        <v>01497</v>
      </c>
      <c r="F1386" t="s">
        <v>7</v>
      </c>
      <c r="G1386" t="s">
        <v>156</v>
      </c>
      <c r="H1386" t="s">
        <v>157</v>
      </c>
      <c r="I1386" t="s">
        <v>4</v>
      </c>
      <c r="J1386" t="s">
        <v>152</v>
      </c>
      <c r="K1386" t="s">
        <v>159</v>
      </c>
      <c r="L1386">
        <v>251200852</v>
      </c>
      <c r="M1386" s="84">
        <v>46020</v>
      </c>
      <c r="N1386" s="84">
        <v>46020</v>
      </c>
      <c r="O1386" t="s">
        <v>248</v>
      </c>
      <c r="P1386" t="s">
        <v>249</v>
      </c>
      <c r="Q1386">
        <v>5500</v>
      </c>
      <c r="R1386">
        <v>18</v>
      </c>
      <c r="S1386">
        <v>99000</v>
      </c>
      <c r="T1386">
        <v>0</v>
      </c>
      <c r="U1386">
        <v>0</v>
      </c>
      <c r="V1386">
        <v>18</v>
      </c>
      <c r="W1386">
        <v>99000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</row>
    <row r="1387" spans="1:29">
      <c r="A1387">
        <v>1379</v>
      </c>
      <c r="B1387" t="s">
        <v>149</v>
      </c>
      <c r="C1387">
        <v>1497</v>
      </c>
      <c r="D1387" t="s">
        <v>364</v>
      </c>
      <c r="E1387" t="str">
        <f t="shared" si="21"/>
        <v>01497</v>
      </c>
      <c r="F1387" t="s">
        <v>7</v>
      </c>
      <c r="G1387" t="s">
        <v>156</v>
      </c>
      <c r="H1387" t="s">
        <v>157</v>
      </c>
      <c r="I1387" t="s">
        <v>4</v>
      </c>
      <c r="J1387" t="s">
        <v>152</v>
      </c>
      <c r="K1387" t="s">
        <v>159</v>
      </c>
      <c r="L1387">
        <v>251200852</v>
      </c>
      <c r="M1387" s="84">
        <v>46020</v>
      </c>
      <c r="N1387" s="84">
        <v>46020</v>
      </c>
      <c r="O1387" t="s">
        <v>256</v>
      </c>
      <c r="P1387" t="s">
        <v>257</v>
      </c>
      <c r="Q1387">
        <v>5500</v>
      </c>
      <c r="R1387">
        <v>20</v>
      </c>
      <c r="S1387">
        <v>110000</v>
      </c>
      <c r="T1387">
        <v>0</v>
      </c>
      <c r="U1387">
        <v>0</v>
      </c>
      <c r="V1387">
        <v>20</v>
      </c>
      <c r="W1387">
        <v>110000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</row>
    <row r="1388" spans="1:29">
      <c r="A1388">
        <v>1380</v>
      </c>
      <c r="B1388" t="s">
        <v>149</v>
      </c>
      <c r="C1388">
        <v>1535</v>
      </c>
      <c r="D1388" t="s">
        <v>355</v>
      </c>
      <c r="E1388" t="str">
        <f t="shared" si="21"/>
        <v>01535</v>
      </c>
      <c r="F1388" t="s">
        <v>7</v>
      </c>
      <c r="G1388" t="s">
        <v>156</v>
      </c>
      <c r="H1388" t="s">
        <v>157</v>
      </c>
      <c r="I1388" t="s">
        <v>4</v>
      </c>
      <c r="J1388" t="s">
        <v>152</v>
      </c>
      <c r="K1388" t="s">
        <v>159</v>
      </c>
      <c r="L1388">
        <v>251200853</v>
      </c>
      <c r="M1388" s="84">
        <v>46020</v>
      </c>
      <c r="N1388" s="84">
        <v>46020</v>
      </c>
      <c r="O1388" t="s">
        <v>160</v>
      </c>
      <c r="P1388" t="s">
        <v>161</v>
      </c>
      <c r="Q1388">
        <v>5500</v>
      </c>
      <c r="R1388">
        <v>50</v>
      </c>
      <c r="S1388">
        <v>275000</v>
      </c>
      <c r="T1388">
        <v>0</v>
      </c>
      <c r="U1388">
        <v>0</v>
      </c>
      <c r="V1388">
        <v>50</v>
      </c>
      <c r="W1388">
        <v>275000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</row>
    <row r="1389" spans="1:29">
      <c r="A1389">
        <v>1381</v>
      </c>
      <c r="B1389" t="s">
        <v>149</v>
      </c>
      <c r="C1389">
        <v>1577</v>
      </c>
      <c r="D1389" t="s">
        <v>386</v>
      </c>
      <c r="E1389" t="str">
        <f t="shared" si="21"/>
        <v>01577</v>
      </c>
      <c r="F1389" t="s">
        <v>38</v>
      </c>
      <c r="G1389" t="s">
        <v>202</v>
      </c>
      <c r="H1389" t="s">
        <v>157</v>
      </c>
      <c r="I1389" t="s">
        <v>4</v>
      </c>
      <c r="J1389" t="s">
        <v>152</v>
      </c>
      <c r="K1389" t="s">
        <v>203</v>
      </c>
      <c r="L1389">
        <v>251200854</v>
      </c>
      <c r="M1389" s="84">
        <v>46020</v>
      </c>
      <c r="N1389" s="84">
        <v>46020</v>
      </c>
      <c r="O1389" t="s">
        <v>357</v>
      </c>
      <c r="P1389" t="s">
        <v>358</v>
      </c>
      <c r="Q1389">
        <v>5500</v>
      </c>
      <c r="R1389">
        <v>25</v>
      </c>
      <c r="S1389">
        <v>137500</v>
      </c>
      <c r="T1389">
        <v>0</v>
      </c>
      <c r="U1389">
        <v>0</v>
      </c>
      <c r="V1389">
        <v>25</v>
      </c>
      <c r="W1389">
        <v>137500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</row>
    <row r="1390" spans="1:29">
      <c r="A1390">
        <v>1382</v>
      </c>
      <c r="B1390" t="s">
        <v>149</v>
      </c>
      <c r="C1390">
        <v>1523</v>
      </c>
      <c r="D1390" t="s">
        <v>326</v>
      </c>
      <c r="E1390" t="str">
        <f t="shared" si="21"/>
        <v>01523</v>
      </c>
      <c r="F1390" t="s">
        <v>10</v>
      </c>
      <c r="G1390" t="s">
        <v>172</v>
      </c>
      <c r="H1390" t="s">
        <v>157</v>
      </c>
      <c r="I1390" t="s">
        <v>4</v>
      </c>
      <c r="J1390" t="s">
        <v>152</v>
      </c>
      <c r="K1390" t="s">
        <v>174</v>
      </c>
      <c r="L1390">
        <v>251200855</v>
      </c>
      <c r="M1390" s="84">
        <v>46020</v>
      </c>
      <c r="N1390" s="84">
        <v>46020</v>
      </c>
      <c r="O1390" t="s">
        <v>267</v>
      </c>
      <c r="P1390" t="s">
        <v>268</v>
      </c>
      <c r="Q1390">
        <v>5500</v>
      </c>
      <c r="R1390">
        <v>1</v>
      </c>
      <c r="S1390">
        <v>5500</v>
      </c>
      <c r="T1390">
        <v>0</v>
      </c>
      <c r="U1390">
        <v>0</v>
      </c>
      <c r="V1390">
        <v>1</v>
      </c>
      <c r="W1390">
        <v>5500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</row>
    <row r="1391" spans="1:29">
      <c r="A1391">
        <v>1383</v>
      </c>
      <c r="B1391" t="s">
        <v>149</v>
      </c>
      <c r="C1391">
        <v>1552</v>
      </c>
      <c r="D1391" t="s">
        <v>365</v>
      </c>
      <c r="E1391" t="str">
        <f t="shared" si="21"/>
        <v>01552</v>
      </c>
      <c r="F1391" t="s">
        <v>91</v>
      </c>
      <c r="G1391" t="s">
        <v>202</v>
      </c>
      <c r="H1391" t="s">
        <v>157</v>
      </c>
      <c r="I1391" t="s">
        <v>5</v>
      </c>
      <c r="J1391" t="s">
        <v>152</v>
      </c>
      <c r="K1391" t="s">
        <v>159</v>
      </c>
      <c r="L1391">
        <v>251200856</v>
      </c>
      <c r="M1391" s="84">
        <v>46020</v>
      </c>
      <c r="N1391" s="84">
        <v>46020</v>
      </c>
      <c r="O1391" t="s">
        <v>191</v>
      </c>
      <c r="P1391" t="s">
        <v>192</v>
      </c>
      <c r="Q1391">
        <v>4500</v>
      </c>
      <c r="R1391">
        <v>20</v>
      </c>
      <c r="S1391">
        <v>90000</v>
      </c>
      <c r="T1391">
        <v>0</v>
      </c>
      <c r="U1391">
        <v>0</v>
      </c>
      <c r="V1391">
        <v>20</v>
      </c>
      <c r="W1391">
        <v>90000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</row>
    <row r="1392" spans="1:29">
      <c r="A1392">
        <v>1384</v>
      </c>
      <c r="B1392" t="s">
        <v>149</v>
      </c>
      <c r="C1392">
        <v>1552</v>
      </c>
      <c r="D1392" t="s">
        <v>365</v>
      </c>
      <c r="E1392" t="str">
        <f t="shared" si="21"/>
        <v>01552</v>
      </c>
      <c r="F1392" t="s">
        <v>91</v>
      </c>
      <c r="G1392" t="s">
        <v>202</v>
      </c>
      <c r="H1392" t="s">
        <v>157</v>
      </c>
      <c r="I1392" t="s">
        <v>4</v>
      </c>
      <c r="J1392" t="s">
        <v>152</v>
      </c>
      <c r="K1392" t="s">
        <v>159</v>
      </c>
      <c r="L1392">
        <v>251200857</v>
      </c>
      <c r="M1392" s="84">
        <v>46020</v>
      </c>
      <c r="N1392" s="84">
        <v>46020</v>
      </c>
      <c r="O1392" t="s">
        <v>160</v>
      </c>
      <c r="P1392" t="s">
        <v>161</v>
      </c>
      <c r="Q1392">
        <v>5500</v>
      </c>
      <c r="R1392">
        <v>35</v>
      </c>
      <c r="S1392">
        <v>192500</v>
      </c>
      <c r="T1392">
        <v>0</v>
      </c>
      <c r="U1392">
        <v>0</v>
      </c>
      <c r="V1392">
        <v>35</v>
      </c>
      <c r="W1392">
        <v>192500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</row>
    <row r="1393" spans="1:29">
      <c r="A1393">
        <v>1385</v>
      </c>
      <c r="B1393" t="s">
        <v>149</v>
      </c>
      <c r="C1393">
        <v>1379</v>
      </c>
      <c r="D1393" t="s">
        <v>252</v>
      </c>
      <c r="E1393" t="str">
        <f t="shared" si="21"/>
        <v>01379</v>
      </c>
      <c r="F1393" t="s">
        <v>95</v>
      </c>
      <c r="G1393" t="s">
        <v>187</v>
      </c>
      <c r="H1393" t="s">
        <v>188</v>
      </c>
      <c r="I1393" t="s">
        <v>210</v>
      </c>
      <c r="J1393" t="s">
        <v>152</v>
      </c>
      <c r="K1393" t="s">
        <v>159</v>
      </c>
      <c r="L1393">
        <v>251200858</v>
      </c>
      <c r="M1393" s="84">
        <v>46020</v>
      </c>
      <c r="N1393" s="84">
        <v>46020</v>
      </c>
      <c r="O1393" t="s">
        <v>250</v>
      </c>
      <c r="P1393" t="s">
        <v>251</v>
      </c>
      <c r="Q1393">
        <v>26500</v>
      </c>
      <c r="R1393">
        <v>2</v>
      </c>
      <c r="S1393">
        <v>53000</v>
      </c>
      <c r="T1393">
        <v>0</v>
      </c>
      <c r="U1393">
        <v>0</v>
      </c>
      <c r="V1393">
        <v>2</v>
      </c>
      <c r="W1393">
        <v>53000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</row>
    <row r="1394" spans="1:29">
      <c r="A1394">
        <v>1386</v>
      </c>
      <c r="B1394" t="s">
        <v>149</v>
      </c>
      <c r="C1394">
        <v>1299</v>
      </c>
      <c r="D1394" t="s">
        <v>334</v>
      </c>
      <c r="E1394" t="str">
        <f t="shared" si="21"/>
        <v>01299</v>
      </c>
      <c r="F1394" t="s">
        <v>83</v>
      </c>
      <c r="G1394" t="s">
        <v>164</v>
      </c>
      <c r="H1394" t="s">
        <v>151</v>
      </c>
      <c r="I1394" t="s">
        <v>4</v>
      </c>
      <c r="J1394" t="s">
        <v>152</v>
      </c>
      <c r="K1394" t="s">
        <v>153</v>
      </c>
      <c r="L1394">
        <v>251200859</v>
      </c>
      <c r="M1394" s="84">
        <v>46020</v>
      </c>
      <c r="N1394" s="84">
        <v>46020</v>
      </c>
      <c r="O1394" t="s">
        <v>160</v>
      </c>
      <c r="P1394" t="s">
        <v>161</v>
      </c>
      <c r="Q1394">
        <v>5500</v>
      </c>
      <c r="R1394">
        <v>100</v>
      </c>
      <c r="S1394">
        <v>550000</v>
      </c>
      <c r="T1394">
        <v>0</v>
      </c>
      <c r="U1394">
        <v>0</v>
      </c>
      <c r="V1394">
        <v>100</v>
      </c>
      <c r="W1394">
        <v>550000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</row>
    <row r="1395" spans="1:29">
      <c r="A1395">
        <v>1387</v>
      </c>
      <c r="B1395" t="s">
        <v>149</v>
      </c>
      <c r="C1395">
        <v>1299</v>
      </c>
      <c r="D1395" t="s">
        <v>334</v>
      </c>
      <c r="E1395" t="str">
        <f t="shared" si="21"/>
        <v>01299</v>
      </c>
      <c r="F1395" t="s">
        <v>83</v>
      </c>
      <c r="G1395" t="s">
        <v>164</v>
      </c>
      <c r="H1395" t="s">
        <v>151</v>
      </c>
      <c r="I1395" t="s">
        <v>5</v>
      </c>
      <c r="J1395" t="s">
        <v>152</v>
      </c>
      <c r="K1395" t="s">
        <v>153</v>
      </c>
      <c r="L1395">
        <v>251200859</v>
      </c>
      <c r="M1395" s="84">
        <v>46020</v>
      </c>
      <c r="N1395" s="84">
        <v>46020</v>
      </c>
      <c r="O1395" t="s">
        <v>191</v>
      </c>
      <c r="P1395" t="s">
        <v>192</v>
      </c>
      <c r="Q1395">
        <v>4500</v>
      </c>
      <c r="R1395">
        <v>107</v>
      </c>
      <c r="S1395">
        <v>481500</v>
      </c>
      <c r="T1395">
        <v>0</v>
      </c>
      <c r="U1395">
        <v>0</v>
      </c>
      <c r="V1395">
        <v>107</v>
      </c>
      <c r="W1395">
        <v>481500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</row>
    <row r="1396" spans="1:29">
      <c r="A1396">
        <v>1388</v>
      </c>
      <c r="B1396" t="s">
        <v>149</v>
      </c>
      <c r="C1396">
        <v>1299</v>
      </c>
      <c r="D1396" t="s">
        <v>334</v>
      </c>
      <c r="E1396" t="str">
        <f t="shared" si="21"/>
        <v>01299</v>
      </c>
      <c r="F1396" t="s">
        <v>83</v>
      </c>
      <c r="G1396" t="s">
        <v>164</v>
      </c>
      <c r="H1396" t="s">
        <v>151</v>
      </c>
      <c r="I1396" t="s">
        <v>5</v>
      </c>
      <c r="J1396" t="s">
        <v>152</v>
      </c>
      <c r="K1396" t="s">
        <v>153</v>
      </c>
      <c r="L1396">
        <v>251200860</v>
      </c>
      <c r="M1396" s="84">
        <v>46020</v>
      </c>
      <c r="N1396" s="84">
        <v>46020</v>
      </c>
      <c r="O1396" t="s">
        <v>191</v>
      </c>
      <c r="P1396" t="s">
        <v>192</v>
      </c>
      <c r="Q1396">
        <v>4500</v>
      </c>
      <c r="R1396">
        <v>13</v>
      </c>
      <c r="S1396">
        <v>58500</v>
      </c>
      <c r="T1396">
        <v>0</v>
      </c>
      <c r="U1396">
        <v>0</v>
      </c>
      <c r="V1396">
        <v>13</v>
      </c>
      <c r="W1396">
        <v>58500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</row>
    <row r="1397" spans="1:29">
      <c r="A1397">
        <v>1389</v>
      </c>
      <c r="B1397" t="s">
        <v>149</v>
      </c>
      <c r="C1397">
        <v>1596</v>
      </c>
      <c r="D1397" t="s">
        <v>315</v>
      </c>
      <c r="E1397" t="str">
        <f t="shared" si="21"/>
        <v>01596</v>
      </c>
      <c r="F1397" t="s">
        <v>111</v>
      </c>
      <c r="G1397" t="s">
        <v>150</v>
      </c>
      <c r="H1397" t="s">
        <v>151</v>
      </c>
      <c r="I1397" t="s">
        <v>4</v>
      </c>
      <c r="J1397" t="s">
        <v>152</v>
      </c>
      <c r="K1397" t="s">
        <v>153</v>
      </c>
      <c r="L1397">
        <v>251200885</v>
      </c>
      <c r="M1397" s="84">
        <v>46021</v>
      </c>
      <c r="N1397" s="84">
        <v>46021</v>
      </c>
      <c r="O1397" t="s">
        <v>160</v>
      </c>
      <c r="P1397" t="s">
        <v>161</v>
      </c>
      <c r="Q1397">
        <v>5500</v>
      </c>
      <c r="R1397">
        <v>30</v>
      </c>
      <c r="S1397">
        <v>165000</v>
      </c>
      <c r="T1397">
        <v>0</v>
      </c>
      <c r="U1397">
        <v>0</v>
      </c>
      <c r="V1397">
        <v>30</v>
      </c>
      <c r="W1397">
        <v>165000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</row>
    <row r="1398" spans="1:29">
      <c r="A1398">
        <v>1390</v>
      </c>
      <c r="B1398" t="s">
        <v>149</v>
      </c>
      <c r="C1398">
        <v>1596</v>
      </c>
      <c r="D1398" t="s">
        <v>315</v>
      </c>
      <c r="E1398" t="str">
        <f t="shared" si="21"/>
        <v>01596</v>
      </c>
      <c r="F1398" t="s">
        <v>111</v>
      </c>
      <c r="G1398" t="s">
        <v>150</v>
      </c>
      <c r="H1398" t="s">
        <v>151</v>
      </c>
      <c r="I1398" t="s">
        <v>4</v>
      </c>
      <c r="J1398" t="s">
        <v>152</v>
      </c>
      <c r="K1398" t="s">
        <v>153</v>
      </c>
      <c r="L1398">
        <v>251200885</v>
      </c>
      <c r="M1398" s="84">
        <v>46021</v>
      </c>
      <c r="N1398" s="84">
        <v>46021</v>
      </c>
      <c r="O1398" t="s">
        <v>294</v>
      </c>
      <c r="P1398" t="s">
        <v>295</v>
      </c>
      <c r="Q1398">
        <v>5500</v>
      </c>
      <c r="R1398">
        <v>20</v>
      </c>
      <c r="S1398">
        <v>110000</v>
      </c>
      <c r="T1398">
        <v>0</v>
      </c>
      <c r="U1398">
        <v>0</v>
      </c>
      <c r="V1398">
        <v>20</v>
      </c>
      <c r="W1398">
        <v>110000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</row>
    <row r="1399" spans="1:29">
      <c r="A1399">
        <v>1391</v>
      </c>
      <c r="B1399" t="s">
        <v>149</v>
      </c>
      <c r="C1399">
        <v>1551</v>
      </c>
      <c r="D1399" t="s">
        <v>316</v>
      </c>
      <c r="E1399" t="str">
        <f t="shared" si="21"/>
        <v>01551</v>
      </c>
      <c r="F1399" t="s">
        <v>111</v>
      </c>
      <c r="G1399" t="s">
        <v>150</v>
      </c>
      <c r="H1399" t="s">
        <v>151</v>
      </c>
      <c r="I1399" t="s">
        <v>4</v>
      </c>
      <c r="J1399" t="s">
        <v>152</v>
      </c>
      <c r="K1399" t="s">
        <v>153</v>
      </c>
      <c r="L1399">
        <v>251200886</v>
      </c>
      <c r="M1399" s="84">
        <v>46021</v>
      </c>
      <c r="N1399" s="84">
        <v>46021</v>
      </c>
      <c r="O1399" t="s">
        <v>219</v>
      </c>
      <c r="P1399" t="s">
        <v>220</v>
      </c>
      <c r="Q1399">
        <v>5500</v>
      </c>
      <c r="R1399">
        <v>10</v>
      </c>
      <c r="S1399">
        <v>55000</v>
      </c>
      <c r="T1399">
        <v>0</v>
      </c>
      <c r="U1399">
        <v>0</v>
      </c>
      <c r="V1399">
        <v>10</v>
      </c>
      <c r="W1399">
        <v>55000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</row>
    <row r="1400" spans="1:29">
      <c r="A1400">
        <v>1392</v>
      </c>
      <c r="B1400" t="s">
        <v>149</v>
      </c>
      <c r="C1400">
        <v>1353</v>
      </c>
      <c r="D1400" t="s">
        <v>356</v>
      </c>
      <c r="E1400" t="str">
        <f t="shared" si="21"/>
        <v>01353</v>
      </c>
      <c r="F1400" t="s">
        <v>28</v>
      </c>
      <c r="G1400" t="s">
        <v>164</v>
      </c>
      <c r="H1400" t="s">
        <v>151</v>
      </c>
      <c r="I1400" t="s">
        <v>5</v>
      </c>
      <c r="J1400" t="s">
        <v>152</v>
      </c>
      <c r="K1400" t="s">
        <v>153</v>
      </c>
      <c r="L1400">
        <v>251200887</v>
      </c>
      <c r="M1400" s="84">
        <v>46021</v>
      </c>
      <c r="N1400" s="84">
        <v>46021</v>
      </c>
      <c r="O1400" t="s">
        <v>196</v>
      </c>
      <c r="P1400" t="s">
        <v>197</v>
      </c>
      <c r="Q1400">
        <v>4500</v>
      </c>
      <c r="R1400">
        <v>32</v>
      </c>
      <c r="S1400">
        <v>144000</v>
      </c>
      <c r="T1400">
        <v>0</v>
      </c>
      <c r="U1400">
        <v>0</v>
      </c>
      <c r="V1400">
        <v>32</v>
      </c>
      <c r="W1400">
        <v>144000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</row>
    <row r="1401" spans="1:29">
      <c r="A1401">
        <v>1393</v>
      </c>
      <c r="B1401" t="s">
        <v>149</v>
      </c>
      <c r="C1401">
        <v>1353</v>
      </c>
      <c r="D1401" t="s">
        <v>356</v>
      </c>
      <c r="E1401" t="str">
        <f t="shared" si="21"/>
        <v>01353</v>
      </c>
      <c r="F1401" t="s">
        <v>28</v>
      </c>
      <c r="G1401" t="s">
        <v>164</v>
      </c>
      <c r="H1401" t="s">
        <v>151</v>
      </c>
      <c r="I1401" t="s">
        <v>5</v>
      </c>
      <c r="J1401" t="s">
        <v>152</v>
      </c>
      <c r="K1401" t="s">
        <v>153</v>
      </c>
      <c r="L1401">
        <v>251200887</v>
      </c>
      <c r="M1401" s="84">
        <v>46021</v>
      </c>
      <c r="N1401" s="84">
        <v>46021</v>
      </c>
      <c r="O1401" t="s">
        <v>217</v>
      </c>
      <c r="P1401" t="s">
        <v>218</v>
      </c>
      <c r="Q1401">
        <v>4500</v>
      </c>
      <c r="R1401">
        <v>70</v>
      </c>
      <c r="S1401">
        <v>315000</v>
      </c>
      <c r="T1401">
        <v>0</v>
      </c>
      <c r="U1401">
        <v>0</v>
      </c>
      <c r="V1401">
        <v>70</v>
      </c>
      <c r="W1401">
        <v>315000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</row>
    <row r="1402" spans="1:29">
      <c r="A1402">
        <v>1394</v>
      </c>
      <c r="B1402" t="s">
        <v>149</v>
      </c>
      <c r="C1402">
        <v>1353</v>
      </c>
      <c r="D1402" t="s">
        <v>356</v>
      </c>
      <c r="E1402" t="str">
        <f t="shared" si="21"/>
        <v>01353</v>
      </c>
      <c r="F1402" t="s">
        <v>28</v>
      </c>
      <c r="G1402" t="s">
        <v>164</v>
      </c>
      <c r="H1402" t="s">
        <v>151</v>
      </c>
      <c r="I1402" t="s">
        <v>5</v>
      </c>
      <c r="J1402" t="s">
        <v>152</v>
      </c>
      <c r="K1402" t="s">
        <v>153</v>
      </c>
      <c r="L1402">
        <v>251200887</v>
      </c>
      <c r="M1402" s="84">
        <v>46021</v>
      </c>
      <c r="N1402" s="84">
        <v>46021</v>
      </c>
      <c r="O1402" t="s">
        <v>253</v>
      </c>
      <c r="P1402" t="s">
        <v>254</v>
      </c>
      <c r="Q1402">
        <v>4500</v>
      </c>
      <c r="R1402">
        <v>18</v>
      </c>
      <c r="S1402">
        <v>81000</v>
      </c>
      <c r="T1402">
        <v>0</v>
      </c>
      <c r="U1402">
        <v>0</v>
      </c>
      <c r="V1402">
        <v>18</v>
      </c>
      <c r="W1402">
        <v>81000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</row>
    <row r="1403" spans="1:29">
      <c r="A1403">
        <v>1395</v>
      </c>
      <c r="B1403" t="s">
        <v>149</v>
      </c>
      <c r="C1403">
        <v>337</v>
      </c>
      <c r="D1403" t="s">
        <v>57</v>
      </c>
      <c r="E1403" t="str">
        <f t="shared" si="21"/>
        <v>00337</v>
      </c>
      <c r="F1403" t="s">
        <v>49</v>
      </c>
      <c r="G1403" t="s">
        <v>167</v>
      </c>
      <c r="H1403" t="s">
        <v>151</v>
      </c>
      <c r="I1403" t="s">
        <v>4</v>
      </c>
      <c r="J1403" t="s">
        <v>152</v>
      </c>
      <c r="K1403" t="s">
        <v>153</v>
      </c>
      <c r="L1403">
        <v>251200888</v>
      </c>
      <c r="M1403" s="84">
        <v>46021</v>
      </c>
      <c r="N1403" s="84">
        <v>46021</v>
      </c>
      <c r="O1403" t="s">
        <v>219</v>
      </c>
      <c r="P1403" t="s">
        <v>220</v>
      </c>
      <c r="Q1403">
        <v>14250</v>
      </c>
      <c r="R1403">
        <v>10</v>
      </c>
      <c r="S1403">
        <v>142500</v>
      </c>
      <c r="T1403">
        <v>0</v>
      </c>
      <c r="U1403">
        <v>0</v>
      </c>
      <c r="V1403">
        <v>10</v>
      </c>
      <c r="W1403">
        <v>142500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</row>
    <row r="1404" spans="1:29">
      <c r="A1404">
        <v>1396</v>
      </c>
      <c r="B1404" t="s">
        <v>149</v>
      </c>
      <c r="C1404">
        <v>1149</v>
      </c>
      <c r="D1404" t="s">
        <v>55</v>
      </c>
      <c r="E1404" t="str">
        <f t="shared" si="21"/>
        <v>01149</v>
      </c>
      <c r="F1404" t="s">
        <v>49</v>
      </c>
      <c r="G1404" t="s">
        <v>167</v>
      </c>
      <c r="H1404" t="s">
        <v>151</v>
      </c>
      <c r="I1404" t="s">
        <v>4</v>
      </c>
      <c r="J1404" t="s">
        <v>152</v>
      </c>
      <c r="K1404" t="s">
        <v>153</v>
      </c>
      <c r="L1404">
        <v>251200889</v>
      </c>
      <c r="M1404" s="84">
        <v>46021</v>
      </c>
      <c r="N1404" s="84">
        <v>46021</v>
      </c>
      <c r="O1404" t="s">
        <v>177</v>
      </c>
      <c r="P1404" t="s">
        <v>178</v>
      </c>
      <c r="Q1404">
        <v>14250</v>
      </c>
      <c r="R1404">
        <v>16</v>
      </c>
      <c r="S1404">
        <v>228000</v>
      </c>
      <c r="T1404">
        <v>0</v>
      </c>
      <c r="U1404">
        <v>0</v>
      </c>
      <c r="V1404">
        <v>16</v>
      </c>
      <c r="W1404">
        <v>228000</v>
      </c>
      <c r="X1404">
        <v>2400</v>
      </c>
      <c r="Y1404">
        <v>3200</v>
      </c>
      <c r="Z1404">
        <v>0</v>
      </c>
      <c r="AA1404">
        <v>0</v>
      </c>
      <c r="AB1404">
        <v>0</v>
      </c>
      <c r="AC1404">
        <v>5600</v>
      </c>
    </row>
    <row r="1405" spans="1:29">
      <c r="A1405">
        <v>1397</v>
      </c>
      <c r="B1405" t="s">
        <v>149</v>
      </c>
      <c r="C1405">
        <v>334</v>
      </c>
      <c r="D1405" t="s">
        <v>56</v>
      </c>
      <c r="E1405" t="str">
        <f t="shared" si="21"/>
        <v>00334</v>
      </c>
      <c r="F1405" t="s">
        <v>49</v>
      </c>
      <c r="G1405" t="s">
        <v>167</v>
      </c>
      <c r="H1405" t="s">
        <v>151</v>
      </c>
      <c r="I1405" t="s">
        <v>5</v>
      </c>
      <c r="J1405" t="s">
        <v>152</v>
      </c>
      <c r="K1405" t="s">
        <v>153</v>
      </c>
      <c r="L1405">
        <v>251200890</v>
      </c>
      <c r="M1405" s="84">
        <v>46021</v>
      </c>
      <c r="N1405" s="84">
        <v>46021</v>
      </c>
      <c r="O1405" t="s">
        <v>191</v>
      </c>
      <c r="P1405" t="s">
        <v>192</v>
      </c>
      <c r="Q1405">
        <v>11700</v>
      </c>
      <c r="R1405">
        <v>12</v>
      </c>
      <c r="S1405">
        <v>140400</v>
      </c>
      <c r="T1405">
        <v>0</v>
      </c>
      <c r="U1405">
        <v>0</v>
      </c>
      <c r="V1405">
        <v>12</v>
      </c>
      <c r="W1405">
        <v>140400</v>
      </c>
      <c r="X1405">
        <v>1800</v>
      </c>
      <c r="Y1405">
        <v>1800</v>
      </c>
      <c r="Z1405">
        <v>0</v>
      </c>
      <c r="AA1405">
        <v>0</v>
      </c>
      <c r="AB1405">
        <v>0</v>
      </c>
      <c r="AC1405">
        <v>3600</v>
      </c>
    </row>
    <row r="1406" spans="1:29">
      <c r="A1406">
        <v>1398</v>
      </c>
      <c r="B1406" t="s">
        <v>149</v>
      </c>
      <c r="C1406">
        <v>1581</v>
      </c>
      <c r="D1406" t="s">
        <v>96</v>
      </c>
      <c r="E1406" t="str">
        <f t="shared" si="21"/>
        <v>01581</v>
      </c>
      <c r="F1406" t="s">
        <v>95</v>
      </c>
      <c r="G1406" t="s">
        <v>187</v>
      </c>
      <c r="H1406" t="s">
        <v>188</v>
      </c>
      <c r="I1406" t="s">
        <v>4</v>
      </c>
      <c r="J1406" t="s">
        <v>152</v>
      </c>
      <c r="K1406" t="s">
        <v>159</v>
      </c>
      <c r="L1406">
        <v>251200891</v>
      </c>
      <c r="M1406" s="84">
        <v>46021</v>
      </c>
      <c r="N1406" s="84">
        <v>46021</v>
      </c>
      <c r="O1406" t="s">
        <v>262</v>
      </c>
      <c r="P1406" t="s">
        <v>263</v>
      </c>
      <c r="Q1406">
        <v>13300</v>
      </c>
      <c r="R1406">
        <v>10</v>
      </c>
      <c r="S1406">
        <v>133000</v>
      </c>
      <c r="T1406">
        <v>0</v>
      </c>
      <c r="U1406">
        <v>0</v>
      </c>
      <c r="V1406">
        <v>10</v>
      </c>
      <c r="W1406">
        <v>133000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</row>
    <row r="1407" spans="1:29">
      <c r="A1407">
        <v>1399</v>
      </c>
      <c r="B1407" t="s">
        <v>149</v>
      </c>
      <c r="C1407">
        <v>1594</v>
      </c>
      <c r="D1407" t="s">
        <v>346</v>
      </c>
      <c r="E1407" t="str">
        <f t="shared" si="21"/>
        <v>01594</v>
      </c>
      <c r="F1407" t="s">
        <v>73</v>
      </c>
      <c r="G1407" t="s">
        <v>185</v>
      </c>
      <c r="H1407" t="s">
        <v>151</v>
      </c>
      <c r="I1407" t="s">
        <v>4</v>
      </c>
      <c r="J1407" t="s">
        <v>152</v>
      </c>
      <c r="K1407" t="s">
        <v>153</v>
      </c>
      <c r="L1407">
        <v>251200892</v>
      </c>
      <c r="M1407" s="84">
        <v>46021</v>
      </c>
      <c r="N1407" s="84">
        <v>46021</v>
      </c>
      <c r="O1407" t="s">
        <v>243</v>
      </c>
      <c r="P1407" t="s">
        <v>244</v>
      </c>
      <c r="Q1407">
        <v>5700</v>
      </c>
      <c r="R1407">
        <v>10</v>
      </c>
      <c r="S1407">
        <v>57000</v>
      </c>
      <c r="T1407">
        <v>0</v>
      </c>
      <c r="U1407">
        <v>0</v>
      </c>
      <c r="V1407">
        <v>10</v>
      </c>
      <c r="W1407">
        <v>57000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</row>
    <row r="1408" spans="1:29">
      <c r="A1408">
        <v>1400</v>
      </c>
      <c r="B1408" t="s">
        <v>149</v>
      </c>
      <c r="C1408">
        <v>1326</v>
      </c>
      <c r="D1408" t="s">
        <v>338</v>
      </c>
      <c r="E1408" t="str">
        <f t="shared" si="21"/>
        <v>01326</v>
      </c>
      <c r="F1408" t="s">
        <v>15</v>
      </c>
      <c r="G1408" t="s">
        <v>193</v>
      </c>
      <c r="H1408" t="s">
        <v>151</v>
      </c>
      <c r="I1408" t="s">
        <v>5</v>
      </c>
      <c r="J1408" t="s">
        <v>152</v>
      </c>
      <c r="K1408" t="s">
        <v>153</v>
      </c>
      <c r="L1408">
        <v>251200893</v>
      </c>
      <c r="M1408" s="84">
        <v>46021</v>
      </c>
      <c r="N1408" s="84">
        <v>46021</v>
      </c>
      <c r="O1408" t="s">
        <v>198</v>
      </c>
      <c r="P1408" t="s">
        <v>199</v>
      </c>
      <c r="Q1408">
        <v>4500</v>
      </c>
      <c r="R1408">
        <v>12</v>
      </c>
      <c r="S1408">
        <v>54000</v>
      </c>
      <c r="T1408">
        <v>0</v>
      </c>
      <c r="U1408">
        <v>0</v>
      </c>
      <c r="V1408">
        <v>12</v>
      </c>
      <c r="W1408">
        <v>54000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</row>
    <row r="1409" spans="1:29">
      <c r="A1409">
        <v>1401</v>
      </c>
      <c r="B1409" t="s">
        <v>149</v>
      </c>
      <c r="C1409">
        <v>1326</v>
      </c>
      <c r="D1409" t="s">
        <v>338</v>
      </c>
      <c r="E1409" t="str">
        <f t="shared" si="21"/>
        <v>01326</v>
      </c>
      <c r="F1409" t="s">
        <v>15</v>
      </c>
      <c r="G1409" t="s">
        <v>193</v>
      </c>
      <c r="H1409" t="s">
        <v>151</v>
      </c>
      <c r="I1409" t="s">
        <v>5</v>
      </c>
      <c r="J1409" t="s">
        <v>152</v>
      </c>
      <c r="K1409" t="s">
        <v>153</v>
      </c>
      <c r="L1409">
        <v>251200893</v>
      </c>
      <c r="M1409" s="84">
        <v>46021</v>
      </c>
      <c r="N1409" s="84">
        <v>46021</v>
      </c>
      <c r="O1409" t="s">
        <v>260</v>
      </c>
      <c r="P1409" t="s">
        <v>261</v>
      </c>
      <c r="Q1409">
        <v>4500</v>
      </c>
      <c r="R1409">
        <v>8</v>
      </c>
      <c r="S1409">
        <v>36000</v>
      </c>
      <c r="T1409">
        <v>0</v>
      </c>
      <c r="U1409">
        <v>0</v>
      </c>
      <c r="V1409">
        <v>8</v>
      </c>
      <c r="W1409">
        <v>36000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</row>
    <row r="1410" spans="1:29">
      <c r="A1410">
        <v>1402</v>
      </c>
      <c r="B1410" t="s">
        <v>149</v>
      </c>
      <c r="C1410">
        <v>1326</v>
      </c>
      <c r="D1410" t="s">
        <v>338</v>
      </c>
      <c r="E1410" t="str">
        <f t="shared" si="21"/>
        <v>01326</v>
      </c>
      <c r="F1410" t="s">
        <v>15</v>
      </c>
      <c r="G1410" t="s">
        <v>193</v>
      </c>
      <c r="H1410" t="s">
        <v>151</v>
      </c>
      <c r="I1410" t="s">
        <v>5</v>
      </c>
      <c r="J1410" t="s">
        <v>152</v>
      </c>
      <c r="K1410" t="s">
        <v>153</v>
      </c>
      <c r="L1410">
        <v>251200893</v>
      </c>
      <c r="M1410" s="84">
        <v>46021</v>
      </c>
      <c r="N1410" s="84">
        <v>46021</v>
      </c>
      <c r="O1410" t="s">
        <v>339</v>
      </c>
      <c r="P1410" t="s">
        <v>340</v>
      </c>
      <c r="Q1410">
        <v>4500</v>
      </c>
      <c r="R1410">
        <v>22</v>
      </c>
      <c r="S1410">
        <v>99000</v>
      </c>
      <c r="T1410">
        <v>0</v>
      </c>
      <c r="U1410">
        <v>0</v>
      </c>
      <c r="V1410">
        <v>22</v>
      </c>
      <c r="W1410">
        <v>99000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</row>
    <row r="1411" spans="1:29">
      <c r="A1411">
        <v>1403</v>
      </c>
      <c r="B1411" t="s">
        <v>149</v>
      </c>
      <c r="C1411">
        <v>988</v>
      </c>
      <c r="D1411" t="s">
        <v>19</v>
      </c>
      <c r="E1411" t="str">
        <f t="shared" si="21"/>
        <v>00988</v>
      </c>
      <c r="F1411" t="s">
        <v>15</v>
      </c>
      <c r="G1411" t="s">
        <v>193</v>
      </c>
      <c r="H1411" t="s">
        <v>151</v>
      </c>
      <c r="I1411" t="s">
        <v>4</v>
      </c>
      <c r="J1411" t="s">
        <v>152</v>
      </c>
      <c r="K1411" t="s">
        <v>153</v>
      </c>
      <c r="L1411">
        <v>251200894</v>
      </c>
      <c r="M1411" s="84">
        <v>46021</v>
      </c>
      <c r="N1411" s="84">
        <v>46021</v>
      </c>
      <c r="O1411" t="s">
        <v>160</v>
      </c>
      <c r="P1411" t="s">
        <v>161</v>
      </c>
      <c r="Q1411">
        <v>14250</v>
      </c>
      <c r="R1411">
        <v>10</v>
      </c>
      <c r="S1411">
        <v>142500</v>
      </c>
      <c r="T1411">
        <v>0</v>
      </c>
      <c r="U1411">
        <v>0</v>
      </c>
      <c r="V1411">
        <v>10</v>
      </c>
      <c r="W1411">
        <v>142500</v>
      </c>
      <c r="X1411">
        <v>1500</v>
      </c>
      <c r="Y1411">
        <v>2000</v>
      </c>
      <c r="Z1411">
        <v>0</v>
      </c>
      <c r="AA1411">
        <v>0</v>
      </c>
      <c r="AB1411">
        <v>0</v>
      </c>
      <c r="AC1411">
        <v>3500</v>
      </c>
    </row>
    <row r="1412" spans="1:29">
      <c r="A1412">
        <v>1404</v>
      </c>
      <c r="B1412" t="s">
        <v>149</v>
      </c>
      <c r="C1412">
        <v>988</v>
      </c>
      <c r="D1412" t="s">
        <v>19</v>
      </c>
      <c r="E1412" t="str">
        <f t="shared" si="21"/>
        <v>00988</v>
      </c>
      <c r="F1412" t="s">
        <v>15</v>
      </c>
      <c r="G1412" t="s">
        <v>193</v>
      </c>
      <c r="H1412" t="s">
        <v>151</v>
      </c>
      <c r="I1412" t="s">
        <v>5</v>
      </c>
      <c r="J1412" t="s">
        <v>152</v>
      </c>
      <c r="K1412" t="s">
        <v>153</v>
      </c>
      <c r="L1412">
        <v>251200894</v>
      </c>
      <c r="M1412" s="84">
        <v>46021</v>
      </c>
      <c r="N1412" s="84">
        <v>46021</v>
      </c>
      <c r="O1412" t="s">
        <v>260</v>
      </c>
      <c r="P1412" t="s">
        <v>261</v>
      </c>
      <c r="Q1412">
        <v>11700</v>
      </c>
      <c r="R1412">
        <v>4</v>
      </c>
      <c r="S1412">
        <v>46800</v>
      </c>
      <c r="T1412">
        <v>0</v>
      </c>
      <c r="U1412">
        <v>0</v>
      </c>
      <c r="V1412">
        <v>4</v>
      </c>
      <c r="W1412">
        <v>46800</v>
      </c>
      <c r="X1412">
        <v>600</v>
      </c>
      <c r="Y1412">
        <v>600</v>
      </c>
      <c r="Z1412">
        <v>0</v>
      </c>
      <c r="AA1412">
        <v>0</v>
      </c>
      <c r="AB1412">
        <v>0</v>
      </c>
      <c r="AC1412">
        <v>1200</v>
      </c>
    </row>
    <row r="1413" spans="1:29">
      <c r="A1413">
        <v>1405</v>
      </c>
      <c r="B1413" t="s">
        <v>149</v>
      </c>
      <c r="C1413">
        <v>988</v>
      </c>
      <c r="D1413" t="s">
        <v>19</v>
      </c>
      <c r="E1413" t="str">
        <f t="shared" si="21"/>
        <v>00988</v>
      </c>
      <c r="F1413" t="s">
        <v>15</v>
      </c>
      <c r="G1413" t="s">
        <v>193</v>
      </c>
      <c r="H1413" t="s">
        <v>151</v>
      </c>
      <c r="I1413" t="s">
        <v>4</v>
      </c>
      <c r="J1413" t="s">
        <v>152</v>
      </c>
      <c r="K1413" t="s">
        <v>153</v>
      </c>
      <c r="L1413">
        <v>251200894</v>
      </c>
      <c r="M1413" s="84">
        <v>46021</v>
      </c>
      <c r="N1413" s="84">
        <v>46021</v>
      </c>
      <c r="O1413" t="s">
        <v>179</v>
      </c>
      <c r="P1413" t="s">
        <v>180</v>
      </c>
      <c r="Q1413">
        <v>14250</v>
      </c>
      <c r="R1413">
        <v>10</v>
      </c>
      <c r="S1413">
        <v>142500</v>
      </c>
      <c r="T1413">
        <v>0</v>
      </c>
      <c r="U1413">
        <v>0</v>
      </c>
      <c r="V1413">
        <v>10</v>
      </c>
      <c r="W1413">
        <v>142500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</row>
    <row r="1414" spans="1:29">
      <c r="A1414">
        <v>1406</v>
      </c>
      <c r="B1414" t="s">
        <v>149</v>
      </c>
      <c r="C1414">
        <v>1326</v>
      </c>
      <c r="D1414" t="s">
        <v>338</v>
      </c>
      <c r="E1414" t="str">
        <f t="shared" si="21"/>
        <v>01326</v>
      </c>
      <c r="F1414" t="s">
        <v>15</v>
      </c>
      <c r="G1414" t="s">
        <v>193</v>
      </c>
      <c r="H1414" t="s">
        <v>151</v>
      </c>
      <c r="I1414" t="s">
        <v>5</v>
      </c>
      <c r="J1414" t="s">
        <v>152</v>
      </c>
      <c r="K1414" t="s">
        <v>153</v>
      </c>
      <c r="L1414">
        <v>251200895</v>
      </c>
      <c r="M1414" s="84">
        <v>46021</v>
      </c>
      <c r="N1414" s="84">
        <v>46021</v>
      </c>
      <c r="O1414" t="s">
        <v>339</v>
      </c>
      <c r="P1414" t="s">
        <v>340</v>
      </c>
      <c r="Q1414">
        <v>4500</v>
      </c>
      <c r="R1414">
        <v>28</v>
      </c>
      <c r="S1414">
        <v>126000</v>
      </c>
      <c r="T1414">
        <v>0</v>
      </c>
      <c r="U1414">
        <v>0</v>
      </c>
      <c r="V1414">
        <v>28</v>
      </c>
      <c r="W1414">
        <v>126000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</row>
    <row r="1415" spans="1:29">
      <c r="A1415">
        <v>1407</v>
      </c>
      <c r="B1415" t="s">
        <v>149</v>
      </c>
      <c r="C1415">
        <v>1550</v>
      </c>
      <c r="D1415" t="s">
        <v>337</v>
      </c>
      <c r="E1415" t="str">
        <f t="shared" si="21"/>
        <v>01550</v>
      </c>
      <c r="F1415" t="s">
        <v>15</v>
      </c>
      <c r="G1415" t="s">
        <v>193</v>
      </c>
      <c r="H1415" t="s">
        <v>151</v>
      </c>
      <c r="I1415" t="s">
        <v>4</v>
      </c>
      <c r="J1415" t="s">
        <v>152</v>
      </c>
      <c r="K1415" t="s">
        <v>153</v>
      </c>
      <c r="L1415">
        <v>251200896</v>
      </c>
      <c r="M1415" s="84">
        <v>46021</v>
      </c>
      <c r="N1415" s="84">
        <v>46021</v>
      </c>
      <c r="O1415" t="s">
        <v>160</v>
      </c>
      <c r="P1415" t="s">
        <v>161</v>
      </c>
      <c r="Q1415">
        <v>5500</v>
      </c>
      <c r="R1415">
        <v>10</v>
      </c>
      <c r="S1415">
        <v>55000</v>
      </c>
      <c r="T1415">
        <v>0</v>
      </c>
      <c r="U1415">
        <v>0</v>
      </c>
      <c r="V1415">
        <v>10</v>
      </c>
      <c r="W1415">
        <v>55000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</row>
    <row r="1416" spans="1:29">
      <c r="A1416">
        <v>1408</v>
      </c>
      <c r="B1416" t="s">
        <v>149</v>
      </c>
      <c r="C1416">
        <v>1550</v>
      </c>
      <c r="D1416" t="s">
        <v>337</v>
      </c>
      <c r="E1416" t="str">
        <f t="shared" si="21"/>
        <v>01550</v>
      </c>
      <c r="F1416" t="s">
        <v>15</v>
      </c>
      <c r="G1416" t="s">
        <v>193</v>
      </c>
      <c r="H1416" t="s">
        <v>151</v>
      </c>
      <c r="I1416" t="s">
        <v>4</v>
      </c>
      <c r="J1416" t="s">
        <v>152</v>
      </c>
      <c r="K1416" t="s">
        <v>153</v>
      </c>
      <c r="L1416">
        <v>251200896</v>
      </c>
      <c r="M1416" s="84">
        <v>46021</v>
      </c>
      <c r="N1416" s="84">
        <v>46021</v>
      </c>
      <c r="O1416" t="s">
        <v>179</v>
      </c>
      <c r="P1416" t="s">
        <v>180</v>
      </c>
      <c r="Q1416">
        <v>5500</v>
      </c>
      <c r="R1416">
        <v>8</v>
      </c>
      <c r="S1416">
        <v>44000</v>
      </c>
      <c r="T1416">
        <v>0</v>
      </c>
      <c r="U1416">
        <v>0</v>
      </c>
      <c r="V1416">
        <v>8</v>
      </c>
      <c r="W1416">
        <v>44000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</row>
    <row r="1417" spans="1:29">
      <c r="A1417">
        <v>1409</v>
      </c>
      <c r="B1417" t="s">
        <v>149</v>
      </c>
      <c r="C1417">
        <v>1331</v>
      </c>
      <c r="D1417" t="s">
        <v>366</v>
      </c>
      <c r="E1417" t="str">
        <f t="shared" ref="E1417:E1480" si="22">TEXT(C1417,"00000")</f>
        <v>01331</v>
      </c>
      <c r="F1417" t="s">
        <v>28</v>
      </c>
      <c r="G1417" t="s">
        <v>164</v>
      </c>
      <c r="H1417" t="s">
        <v>151</v>
      </c>
      <c r="I1417" t="s">
        <v>5</v>
      </c>
      <c r="J1417" t="s">
        <v>152</v>
      </c>
      <c r="K1417" t="s">
        <v>153</v>
      </c>
      <c r="L1417">
        <v>251200897</v>
      </c>
      <c r="M1417" s="84">
        <v>46021</v>
      </c>
      <c r="N1417" s="84">
        <v>46021</v>
      </c>
      <c r="O1417" t="s">
        <v>260</v>
      </c>
      <c r="P1417" t="s">
        <v>261</v>
      </c>
      <c r="Q1417">
        <v>4500</v>
      </c>
      <c r="R1417">
        <v>12</v>
      </c>
      <c r="S1417">
        <v>54000</v>
      </c>
      <c r="T1417">
        <v>0</v>
      </c>
      <c r="U1417">
        <v>0</v>
      </c>
      <c r="V1417">
        <v>12</v>
      </c>
      <c r="W1417">
        <v>54000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</row>
    <row r="1418" spans="1:29">
      <c r="A1418">
        <v>1410</v>
      </c>
      <c r="B1418" t="s">
        <v>149</v>
      </c>
      <c r="C1418">
        <v>846</v>
      </c>
      <c r="D1418" t="s">
        <v>94</v>
      </c>
      <c r="E1418" t="str">
        <f t="shared" si="22"/>
        <v>00846</v>
      </c>
      <c r="F1418" t="s">
        <v>91</v>
      </c>
      <c r="G1418" t="s">
        <v>202</v>
      </c>
      <c r="H1418" t="s">
        <v>157</v>
      </c>
      <c r="I1418" t="s">
        <v>4</v>
      </c>
      <c r="J1418" t="s">
        <v>152</v>
      </c>
      <c r="K1418" t="s">
        <v>159</v>
      </c>
      <c r="L1418">
        <v>251200898</v>
      </c>
      <c r="M1418" s="84">
        <v>46021</v>
      </c>
      <c r="N1418" s="84">
        <v>46021</v>
      </c>
      <c r="O1418" t="s">
        <v>162</v>
      </c>
      <c r="P1418" t="s">
        <v>163</v>
      </c>
      <c r="Q1418">
        <v>14250</v>
      </c>
      <c r="R1418">
        <v>50</v>
      </c>
      <c r="S1418">
        <v>712500</v>
      </c>
      <c r="T1418">
        <v>0</v>
      </c>
      <c r="U1418">
        <v>0</v>
      </c>
      <c r="V1418">
        <v>50</v>
      </c>
      <c r="W1418">
        <v>712500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</row>
    <row r="1419" spans="1:29">
      <c r="A1419">
        <v>1411</v>
      </c>
      <c r="B1419" t="s">
        <v>149</v>
      </c>
      <c r="C1419">
        <v>1566</v>
      </c>
      <c r="D1419" t="s">
        <v>376</v>
      </c>
      <c r="E1419" t="str">
        <f t="shared" si="22"/>
        <v>01566</v>
      </c>
      <c r="F1419" t="s">
        <v>91</v>
      </c>
      <c r="G1419" t="s">
        <v>202</v>
      </c>
      <c r="H1419" t="s">
        <v>157</v>
      </c>
      <c r="I1419" t="s">
        <v>4</v>
      </c>
      <c r="J1419" t="s">
        <v>152</v>
      </c>
      <c r="K1419" t="s">
        <v>159</v>
      </c>
      <c r="L1419">
        <v>251200899</v>
      </c>
      <c r="M1419" s="84">
        <v>46021</v>
      </c>
      <c r="N1419" s="84">
        <v>46021</v>
      </c>
      <c r="O1419" t="s">
        <v>256</v>
      </c>
      <c r="P1419" t="s">
        <v>257</v>
      </c>
      <c r="Q1419">
        <v>5500</v>
      </c>
      <c r="R1419">
        <v>5</v>
      </c>
      <c r="S1419">
        <v>27500</v>
      </c>
      <c r="T1419">
        <v>0</v>
      </c>
      <c r="U1419">
        <v>0</v>
      </c>
      <c r="V1419">
        <v>5</v>
      </c>
      <c r="W1419">
        <v>27500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</row>
    <row r="1420" spans="1:29">
      <c r="A1420">
        <v>1412</v>
      </c>
      <c r="B1420" t="s">
        <v>149</v>
      </c>
      <c r="C1420">
        <v>1592</v>
      </c>
      <c r="D1420" t="s">
        <v>415</v>
      </c>
      <c r="E1420" t="str">
        <f t="shared" si="22"/>
        <v>01592</v>
      </c>
      <c r="F1420" t="s">
        <v>91</v>
      </c>
      <c r="G1420" t="s">
        <v>202</v>
      </c>
      <c r="H1420" t="s">
        <v>157</v>
      </c>
      <c r="I1420" t="s">
        <v>4</v>
      </c>
      <c r="J1420" t="s">
        <v>152</v>
      </c>
      <c r="K1420" t="s">
        <v>159</v>
      </c>
      <c r="L1420">
        <v>251200900</v>
      </c>
      <c r="M1420" s="84">
        <v>46021</v>
      </c>
      <c r="N1420" s="84">
        <v>46021</v>
      </c>
      <c r="O1420" t="s">
        <v>390</v>
      </c>
      <c r="P1420" t="s">
        <v>391</v>
      </c>
      <c r="Q1420">
        <v>5500</v>
      </c>
      <c r="R1420">
        <v>10</v>
      </c>
      <c r="S1420">
        <v>55000</v>
      </c>
      <c r="T1420">
        <v>0</v>
      </c>
      <c r="U1420">
        <v>0</v>
      </c>
      <c r="V1420">
        <v>10</v>
      </c>
      <c r="W1420">
        <v>55000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</row>
    <row r="1421" spans="1:29">
      <c r="A1421">
        <v>1413</v>
      </c>
      <c r="B1421" t="s">
        <v>149</v>
      </c>
      <c r="C1421">
        <v>496</v>
      </c>
      <c r="D1421" t="s">
        <v>8</v>
      </c>
      <c r="E1421" t="str">
        <f t="shared" si="22"/>
        <v>00496</v>
      </c>
      <c r="F1421" t="s">
        <v>7</v>
      </c>
      <c r="G1421" t="s">
        <v>156</v>
      </c>
      <c r="H1421" t="s">
        <v>157</v>
      </c>
      <c r="I1421" t="s">
        <v>4</v>
      </c>
      <c r="J1421" t="s">
        <v>152</v>
      </c>
      <c r="K1421" t="s">
        <v>159</v>
      </c>
      <c r="L1421">
        <v>251200901</v>
      </c>
      <c r="M1421" s="84">
        <v>46021</v>
      </c>
      <c r="N1421" s="84">
        <v>46021</v>
      </c>
      <c r="O1421" t="s">
        <v>160</v>
      </c>
      <c r="P1421" t="s">
        <v>161</v>
      </c>
      <c r="Q1421">
        <v>14250</v>
      </c>
      <c r="R1421">
        <v>68</v>
      </c>
      <c r="S1421">
        <v>969000</v>
      </c>
      <c r="T1421">
        <v>0</v>
      </c>
      <c r="U1421">
        <v>0</v>
      </c>
      <c r="V1421">
        <v>68</v>
      </c>
      <c r="W1421">
        <v>969000</v>
      </c>
      <c r="X1421">
        <v>10200</v>
      </c>
      <c r="Y1421">
        <v>13600</v>
      </c>
      <c r="Z1421">
        <v>0</v>
      </c>
      <c r="AA1421">
        <v>0</v>
      </c>
      <c r="AB1421">
        <v>0</v>
      </c>
      <c r="AC1421">
        <v>23800</v>
      </c>
    </row>
    <row r="1422" spans="1:29">
      <c r="A1422">
        <v>1414</v>
      </c>
      <c r="B1422" t="s">
        <v>149</v>
      </c>
      <c r="C1422">
        <v>496</v>
      </c>
      <c r="D1422" t="s">
        <v>8</v>
      </c>
      <c r="E1422" t="str">
        <f t="shared" si="22"/>
        <v>00496</v>
      </c>
      <c r="F1422" t="s">
        <v>7</v>
      </c>
      <c r="G1422" t="s">
        <v>156</v>
      </c>
      <c r="H1422" t="s">
        <v>157</v>
      </c>
      <c r="I1422" t="s">
        <v>4</v>
      </c>
      <c r="J1422" t="s">
        <v>152</v>
      </c>
      <c r="K1422" t="s">
        <v>159</v>
      </c>
      <c r="L1422">
        <v>251200901</v>
      </c>
      <c r="M1422" s="84">
        <v>46021</v>
      </c>
      <c r="N1422" s="84">
        <v>46021</v>
      </c>
      <c r="O1422" t="s">
        <v>243</v>
      </c>
      <c r="P1422" t="s">
        <v>244</v>
      </c>
      <c r="Q1422">
        <v>15050</v>
      </c>
      <c r="R1422">
        <v>5</v>
      </c>
      <c r="S1422">
        <v>75250</v>
      </c>
      <c r="T1422">
        <v>0</v>
      </c>
      <c r="U1422">
        <v>0</v>
      </c>
      <c r="V1422">
        <v>5</v>
      </c>
      <c r="W1422">
        <v>75250</v>
      </c>
      <c r="X1422">
        <v>750</v>
      </c>
      <c r="Y1422">
        <v>1000</v>
      </c>
      <c r="Z1422">
        <v>0</v>
      </c>
      <c r="AA1422">
        <v>0</v>
      </c>
      <c r="AB1422">
        <v>0</v>
      </c>
      <c r="AC1422">
        <v>1750</v>
      </c>
    </row>
    <row r="1423" spans="1:29">
      <c r="A1423">
        <v>1415</v>
      </c>
      <c r="B1423" t="s">
        <v>149</v>
      </c>
      <c r="C1423">
        <v>1545</v>
      </c>
      <c r="D1423" t="s">
        <v>387</v>
      </c>
      <c r="E1423" t="str">
        <f t="shared" si="22"/>
        <v>01545</v>
      </c>
      <c r="F1423" t="s">
        <v>7</v>
      </c>
      <c r="G1423" t="s">
        <v>156</v>
      </c>
      <c r="H1423" t="s">
        <v>157</v>
      </c>
      <c r="I1423" t="s">
        <v>4</v>
      </c>
      <c r="J1423" t="s">
        <v>152</v>
      </c>
      <c r="K1423" t="s">
        <v>159</v>
      </c>
      <c r="L1423">
        <v>251200902</v>
      </c>
      <c r="M1423" s="84">
        <v>46021</v>
      </c>
      <c r="N1423" s="84">
        <v>46021</v>
      </c>
      <c r="O1423" t="s">
        <v>160</v>
      </c>
      <c r="P1423" t="s">
        <v>161</v>
      </c>
      <c r="Q1423">
        <v>5500</v>
      </c>
      <c r="R1423">
        <v>8</v>
      </c>
      <c r="S1423">
        <v>44000</v>
      </c>
      <c r="T1423">
        <v>0</v>
      </c>
      <c r="U1423">
        <v>0</v>
      </c>
      <c r="V1423">
        <v>8</v>
      </c>
      <c r="W1423">
        <v>44000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</row>
    <row r="1424" spans="1:29">
      <c r="A1424">
        <v>1416</v>
      </c>
      <c r="B1424" t="s">
        <v>149</v>
      </c>
      <c r="C1424">
        <v>1468</v>
      </c>
      <c r="D1424" t="s">
        <v>342</v>
      </c>
      <c r="E1424" t="str">
        <f t="shared" si="22"/>
        <v>01468</v>
      </c>
      <c r="F1424" t="s">
        <v>7</v>
      </c>
      <c r="G1424" t="s">
        <v>156</v>
      </c>
      <c r="H1424" t="s">
        <v>157</v>
      </c>
      <c r="I1424" t="s">
        <v>5</v>
      </c>
      <c r="J1424" t="s">
        <v>152</v>
      </c>
      <c r="K1424" t="s">
        <v>159</v>
      </c>
      <c r="L1424">
        <v>251200903</v>
      </c>
      <c r="M1424" s="84">
        <v>46021</v>
      </c>
      <c r="N1424" s="84">
        <v>46021</v>
      </c>
      <c r="O1424" t="s">
        <v>397</v>
      </c>
      <c r="P1424" t="s">
        <v>398</v>
      </c>
      <c r="Q1424">
        <v>3000</v>
      </c>
      <c r="R1424">
        <v>40</v>
      </c>
      <c r="S1424">
        <v>120000</v>
      </c>
      <c r="T1424">
        <v>0</v>
      </c>
      <c r="U1424">
        <v>0</v>
      </c>
      <c r="V1424">
        <v>40</v>
      </c>
      <c r="W1424">
        <v>120000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</row>
    <row r="1425" spans="1:29">
      <c r="A1425">
        <v>1417</v>
      </c>
      <c r="B1425" t="s">
        <v>149</v>
      </c>
      <c r="C1425">
        <v>1352</v>
      </c>
      <c r="D1425" t="s">
        <v>42</v>
      </c>
      <c r="E1425" t="str">
        <f t="shared" si="22"/>
        <v>01352</v>
      </c>
      <c r="F1425" t="s">
        <v>38</v>
      </c>
      <c r="G1425" t="s">
        <v>202</v>
      </c>
      <c r="H1425" t="s">
        <v>157</v>
      </c>
      <c r="I1425" t="s">
        <v>4</v>
      </c>
      <c r="J1425" t="s">
        <v>152</v>
      </c>
      <c r="K1425" t="s">
        <v>203</v>
      </c>
      <c r="L1425">
        <v>251200904</v>
      </c>
      <c r="M1425" s="84">
        <v>46021</v>
      </c>
      <c r="N1425" s="84">
        <v>46021</v>
      </c>
      <c r="O1425" t="s">
        <v>160</v>
      </c>
      <c r="P1425" t="s">
        <v>161</v>
      </c>
      <c r="Q1425">
        <v>14250</v>
      </c>
      <c r="R1425">
        <v>30</v>
      </c>
      <c r="S1425">
        <v>427500</v>
      </c>
      <c r="T1425">
        <v>0</v>
      </c>
      <c r="U1425">
        <v>0</v>
      </c>
      <c r="V1425">
        <v>30</v>
      </c>
      <c r="W1425">
        <v>427500</v>
      </c>
      <c r="X1425">
        <v>4500</v>
      </c>
      <c r="Y1425">
        <v>6000</v>
      </c>
      <c r="Z1425">
        <v>0</v>
      </c>
      <c r="AA1425">
        <v>0</v>
      </c>
      <c r="AB1425">
        <v>0</v>
      </c>
      <c r="AC1425">
        <v>10500</v>
      </c>
    </row>
    <row r="1426" spans="1:29">
      <c r="A1426">
        <v>1418</v>
      </c>
      <c r="B1426" t="s">
        <v>149</v>
      </c>
      <c r="C1426">
        <v>1523</v>
      </c>
      <c r="D1426" t="s">
        <v>326</v>
      </c>
      <c r="E1426" t="str">
        <f t="shared" si="22"/>
        <v>01523</v>
      </c>
      <c r="F1426" t="s">
        <v>10</v>
      </c>
      <c r="G1426" t="s">
        <v>172</v>
      </c>
      <c r="H1426" t="s">
        <v>157</v>
      </c>
      <c r="I1426" t="s">
        <v>4</v>
      </c>
      <c r="J1426" t="s">
        <v>152</v>
      </c>
      <c r="K1426" t="s">
        <v>174</v>
      </c>
      <c r="L1426">
        <v>251200905</v>
      </c>
      <c r="M1426" s="84">
        <v>46021</v>
      </c>
      <c r="N1426" s="84">
        <v>46021</v>
      </c>
      <c r="O1426" t="s">
        <v>267</v>
      </c>
      <c r="P1426" t="s">
        <v>268</v>
      </c>
      <c r="Q1426">
        <v>5500</v>
      </c>
      <c r="R1426">
        <v>10</v>
      </c>
      <c r="S1426">
        <v>55000</v>
      </c>
      <c r="T1426">
        <v>0</v>
      </c>
      <c r="U1426">
        <v>0</v>
      </c>
      <c r="V1426">
        <v>10</v>
      </c>
      <c r="W1426">
        <v>55000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</row>
    <row r="1427" spans="1:29">
      <c r="A1427">
        <v>1419</v>
      </c>
      <c r="B1427" t="s">
        <v>149</v>
      </c>
      <c r="C1427">
        <v>1454</v>
      </c>
      <c r="D1427" t="s">
        <v>362</v>
      </c>
      <c r="E1427" t="str">
        <f t="shared" si="22"/>
        <v>01454</v>
      </c>
      <c r="F1427" t="s">
        <v>10</v>
      </c>
      <c r="G1427" t="s">
        <v>172</v>
      </c>
      <c r="H1427" t="s">
        <v>157</v>
      </c>
      <c r="I1427" t="s">
        <v>4</v>
      </c>
      <c r="J1427" t="s">
        <v>152</v>
      </c>
      <c r="K1427" t="s">
        <v>174</v>
      </c>
      <c r="L1427">
        <v>251200906</v>
      </c>
      <c r="M1427" s="84">
        <v>46021</v>
      </c>
      <c r="N1427" s="84">
        <v>46021</v>
      </c>
      <c r="O1427" t="s">
        <v>204</v>
      </c>
      <c r="P1427" t="s">
        <v>205</v>
      </c>
      <c r="Q1427">
        <v>5500</v>
      </c>
      <c r="R1427">
        <v>5</v>
      </c>
      <c r="S1427">
        <v>27500</v>
      </c>
      <c r="T1427">
        <v>0</v>
      </c>
      <c r="U1427">
        <v>0</v>
      </c>
      <c r="V1427">
        <v>5</v>
      </c>
      <c r="W1427">
        <v>27500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</row>
    <row r="1428" spans="1:29">
      <c r="A1428">
        <v>1420</v>
      </c>
      <c r="B1428" t="s">
        <v>149</v>
      </c>
      <c r="C1428">
        <v>1599</v>
      </c>
      <c r="D1428" t="s">
        <v>388</v>
      </c>
      <c r="E1428" t="str">
        <f t="shared" si="22"/>
        <v>01599</v>
      </c>
      <c r="F1428" t="s">
        <v>65</v>
      </c>
      <c r="G1428" t="s">
        <v>208</v>
      </c>
      <c r="H1428" t="s">
        <v>157</v>
      </c>
      <c r="I1428" t="s">
        <v>4</v>
      </c>
      <c r="J1428" t="s">
        <v>152</v>
      </c>
      <c r="K1428" t="s">
        <v>174</v>
      </c>
      <c r="L1428">
        <v>251200907</v>
      </c>
      <c r="M1428" s="84">
        <v>46021</v>
      </c>
      <c r="N1428" s="84">
        <v>46021</v>
      </c>
      <c r="O1428" t="s">
        <v>225</v>
      </c>
      <c r="P1428" t="s">
        <v>226</v>
      </c>
      <c r="Q1428">
        <v>5500</v>
      </c>
      <c r="R1428">
        <v>21</v>
      </c>
      <c r="S1428">
        <v>115500</v>
      </c>
      <c r="T1428">
        <v>0</v>
      </c>
      <c r="U1428">
        <v>0</v>
      </c>
      <c r="V1428">
        <v>21</v>
      </c>
      <c r="W1428">
        <v>115500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</row>
    <row r="1429" spans="1:29">
      <c r="A1429">
        <v>1421</v>
      </c>
      <c r="B1429" t="s">
        <v>149</v>
      </c>
      <c r="C1429">
        <v>1484</v>
      </c>
      <c r="D1429" t="s">
        <v>331</v>
      </c>
      <c r="E1429" t="str">
        <f t="shared" si="22"/>
        <v>01484</v>
      </c>
      <c r="F1429" t="s">
        <v>71</v>
      </c>
      <c r="G1429" t="s">
        <v>305</v>
      </c>
      <c r="H1429" t="s">
        <v>157</v>
      </c>
      <c r="I1429" t="s">
        <v>4</v>
      </c>
      <c r="J1429" t="s">
        <v>152</v>
      </c>
      <c r="K1429" t="s">
        <v>174</v>
      </c>
      <c r="L1429">
        <v>251200908</v>
      </c>
      <c r="M1429" s="84">
        <v>46021</v>
      </c>
      <c r="N1429" s="84">
        <v>46021</v>
      </c>
      <c r="O1429" t="s">
        <v>243</v>
      </c>
      <c r="P1429" t="s">
        <v>244</v>
      </c>
      <c r="Q1429">
        <v>5700</v>
      </c>
      <c r="R1429">
        <v>4</v>
      </c>
      <c r="S1429">
        <v>22800</v>
      </c>
      <c r="T1429">
        <v>0</v>
      </c>
      <c r="U1429">
        <v>0</v>
      </c>
      <c r="V1429">
        <v>4</v>
      </c>
      <c r="W1429">
        <v>22800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</row>
    <row r="1430" spans="1:29">
      <c r="A1430">
        <v>1422</v>
      </c>
      <c r="B1430" t="s">
        <v>149</v>
      </c>
      <c r="C1430">
        <v>1497</v>
      </c>
      <c r="D1430" t="s">
        <v>364</v>
      </c>
      <c r="E1430" t="str">
        <f t="shared" si="22"/>
        <v>01497</v>
      </c>
      <c r="F1430" t="s">
        <v>7</v>
      </c>
      <c r="G1430" t="s">
        <v>156</v>
      </c>
      <c r="H1430" t="s">
        <v>157</v>
      </c>
      <c r="I1430" t="s">
        <v>4</v>
      </c>
      <c r="J1430" t="s">
        <v>152</v>
      </c>
      <c r="K1430" t="s">
        <v>159</v>
      </c>
      <c r="L1430">
        <v>251200909</v>
      </c>
      <c r="M1430" s="84">
        <v>46021</v>
      </c>
      <c r="N1430" s="84">
        <v>46021</v>
      </c>
      <c r="O1430" t="s">
        <v>256</v>
      </c>
      <c r="P1430" t="s">
        <v>257</v>
      </c>
      <c r="Q1430">
        <v>5500</v>
      </c>
      <c r="R1430">
        <v>30</v>
      </c>
      <c r="S1430">
        <v>165000</v>
      </c>
      <c r="T1430">
        <v>0</v>
      </c>
      <c r="U1430">
        <v>0</v>
      </c>
      <c r="V1430">
        <v>30</v>
      </c>
      <c r="W1430">
        <v>165000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</row>
    <row r="1431" spans="1:29">
      <c r="A1431">
        <v>1423</v>
      </c>
      <c r="B1431" t="s">
        <v>149</v>
      </c>
      <c r="C1431">
        <v>1530</v>
      </c>
      <c r="D1431" t="s">
        <v>379</v>
      </c>
      <c r="E1431" t="str">
        <f t="shared" si="22"/>
        <v>01530</v>
      </c>
      <c r="F1431" t="s">
        <v>111</v>
      </c>
      <c r="G1431" t="s">
        <v>150</v>
      </c>
      <c r="H1431" t="s">
        <v>151</v>
      </c>
      <c r="I1431" t="s">
        <v>5</v>
      </c>
      <c r="J1431" t="s">
        <v>152</v>
      </c>
      <c r="K1431" t="s">
        <v>153</v>
      </c>
      <c r="L1431">
        <v>251200910</v>
      </c>
      <c r="M1431" s="84">
        <v>46021</v>
      </c>
      <c r="N1431" s="84">
        <v>46021</v>
      </c>
      <c r="O1431" t="s">
        <v>260</v>
      </c>
      <c r="P1431" t="s">
        <v>261</v>
      </c>
      <c r="Q1431">
        <v>4500</v>
      </c>
      <c r="R1431">
        <v>4</v>
      </c>
      <c r="S1431">
        <v>18000</v>
      </c>
      <c r="T1431">
        <v>0</v>
      </c>
      <c r="U1431">
        <v>0</v>
      </c>
      <c r="V1431">
        <v>4</v>
      </c>
      <c r="W1431">
        <v>18000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</row>
    <row r="1432" spans="1:29">
      <c r="A1432">
        <v>1424</v>
      </c>
      <c r="B1432" t="s">
        <v>149</v>
      </c>
      <c r="C1432">
        <v>1530</v>
      </c>
      <c r="D1432" t="s">
        <v>379</v>
      </c>
      <c r="E1432" t="str">
        <f t="shared" si="22"/>
        <v>01530</v>
      </c>
      <c r="F1432" t="s">
        <v>111</v>
      </c>
      <c r="G1432" t="s">
        <v>150</v>
      </c>
      <c r="H1432" t="s">
        <v>151</v>
      </c>
      <c r="I1432" t="s">
        <v>4</v>
      </c>
      <c r="J1432" t="s">
        <v>152</v>
      </c>
      <c r="K1432" t="s">
        <v>153</v>
      </c>
      <c r="L1432">
        <v>251200910</v>
      </c>
      <c r="M1432" s="84">
        <v>46021</v>
      </c>
      <c r="N1432" s="84">
        <v>46021</v>
      </c>
      <c r="O1432" t="s">
        <v>321</v>
      </c>
      <c r="P1432" t="s">
        <v>322</v>
      </c>
      <c r="Q1432">
        <v>5500</v>
      </c>
      <c r="R1432">
        <v>40</v>
      </c>
      <c r="S1432">
        <v>220000</v>
      </c>
      <c r="T1432">
        <v>0</v>
      </c>
      <c r="U1432">
        <v>0</v>
      </c>
      <c r="V1432">
        <v>40</v>
      </c>
      <c r="W1432">
        <v>220000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</row>
    <row r="1433" spans="1:29">
      <c r="A1433">
        <v>1425</v>
      </c>
      <c r="B1433" t="s">
        <v>149</v>
      </c>
      <c r="C1433">
        <v>1530</v>
      </c>
      <c r="D1433" t="s">
        <v>379</v>
      </c>
      <c r="E1433" t="str">
        <f t="shared" si="22"/>
        <v>01530</v>
      </c>
      <c r="F1433" t="s">
        <v>111</v>
      </c>
      <c r="G1433" t="s">
        <v>150</v>
      </c>
      <c r="H1433" t="s">
        <v>151</v>
      </c>
      <c r="I1433" t="s">
        <v>4</v>
      </c>
      <c r="J1433" t="s">
        <v>152</v>
      </c>
      <c r="K1433" t="s">
        <v>153</v>
      </c>
      <c r="L1433">
        <v>251200910</v>
      </c>
      <c r="M1433" s="84">
        <v>46021</v>
      </c>
      <c r="N1433" s="84">
        <v>46021</v>
      </c>
      <c r="O1433" t="s">
        <v>380</v>
      </c>
      <c r="P1433" t="s">
        <v>381</v>
      </c>
      <c r="Q1433">
        <v>5500</v>
      </c>
      <c r="R1433">
        <v>10</v>
      </c>
      <c r="S1433">
        <v>55000</v>
      </c>
      <c r="T1433">
        <v>0</v>
      </c>
      <c r="U1433">
        <v>0</v>
      </c>
      <c r="V1433">
        <v>10</v>
      </c>
      <c r="W1433">
        <v>55000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</row>
    <row r="1434" spans="1:29">
      <c r="A1434">
        <v>1426</v>
      </c>
      <c r="B1434" t="s">
        <v>149</v>
      </c>
      <c r="C1434">
        <v>334</v>
      </c>
      <c r="D1434" t="s">
        <v>56</v>
      </c>
      <c r="E1434" t="str">
        <f t="shared" si="22"/>
        <v>00334</v>
      </c>
      <c r="F1434" t="s">
        <v>49</v>
      </c>
      <c r="G1434" t="s">
        <v>167</v>
      </c>
      <c r="H1434" t="s">
        <v>151</v>
      </c>
      <c r="I1434" t="s">
        <v>5</v>
      </c>
      <c r="J1434" t="s">
        <v>152</v>
      </c>
      <c r="K1434" t="s">
        <v>153</v>
      </c>
      <c r="L1434">
        <v>251200912</v>
      </c>
      <c r="M1434" s="84">
        <v>46021</v>
      </c>
      <c r="N1434" s="84">
        <v>46021</v>
      </c>
      <c r="O1434" t="s">
        <v>191</v>
      </c>
      <c r="P1434" t="s">
        <v>192</v>
      </c>
      <c r="Q1434">
        <v>11700</v>
      </c>
      <c r="R1434">
        <v>13</v>
      </c>
      <c r="S1434">
        <v>152100</v>
      </c>
      <c r="T1434">
        <v>0</v>
      </c>
      <c r="U1434">
        <v>0</v>
      </c>
      <c r="V1434">
        <v>13</v>
      </c>
      <c r="W1434">
        <v>152100</v>
      </c>
      <c r="X1434">
        <v>1950</v>
      </c>
      <c r="Y1434">
        <v>1950</v>
      </c>
      <c r="Z1434">
        <v>0</v>
      </c>
      <c r="AA1434">
        <v>0</v>
      </c>
      <c r="AB1434">
        <v>0</v>
      </c>
      <c r="AC1434">
        <v>3900</v>
      </c>
    </row>
    <row r="1435" spans="1:29">
      <c r="A1435">
        <v>1427</v>
      </c>
      <c r="B1435" t="s">
        <v>149</v>
      </c>
      <c r="C1435">
        <v>334</v>
      </c>
      <c r="D1435" t="s">
        <v>56</v>
      </c>
      <c r="E1435" t="str">
        <f t="shared" si="22"/>
        <v>00334</v>
      </c>
      <c r="F1435" t="s">
        <v>49</v>
      </c>
      <c r="G1435" t="s">
        <v>167</v>
      </c>
      <c r="H1435" t="s">
        <v>151</v>
      </c>
      <c r="I1435" t="s">
        <v>5</v>
      </c>
      <c r="J1435" t="s">
        <v>152</v>
      </c>
      <c r="K1435" t="s">
        <v>153</v>
      </c>
      <c r="L1435">
        <v>251200913</v>
      </c>
      <c r="M1435" s="84">
        <v>46021</v>
      </c>
      <c r="N1435" s="84">
        <v>46021</v>
      </c>
      <c r="O1435" t="s">
        <v>191</v>
      </c>
      <c r="P1435" t="s">
        <v>192</v>
      </c>
      <c r="Q1435">
        <v>11700</v>
      </c>
      <c r="R1435">
        <v>7</v>
      </c>
      <c r="S1435">
        <v>81900</v>
      </c>
      <c r="T1435">
        <v>0</v>
      </c>
      <c r="U1435">
        <v>0</v>
      </c>
      <c r="V1435">
        <v>7</v>
      </c>
      <c r="W1435">
        <v>81900</v>
      </c>
      <c r="X1435">
        <v>1050</v>
      </c>
      <c r="Y1435">
        <v>1050</v>
      </c>
      <c r="Z1435">
        <v>0</v>
      </c>
      <c r="AA1435">
        <v>0</v>
      </c>
      <c r="AB1435">
        <v>0</v>
      </c>
      <c r="AC1435">
        <v>2100</v>
      </c>
    </row>
    <row r="1436" spans="1:29">
      <c r="A1436">
        <v>1428</v>
      </c>
      <c r="B1436" t="s">
        <v>149</v>
      </c>
      <c r="C1436">
        <v>827</v>
      </c>
      <c r="D1436" t="s">
        <v>84</v>
      </c>
      <c r="E1436" t="str">
        <f t="shared" si="22"/>
        <v>00827</v>
      </c>
      <c r="F1436" t="s">
        <v>83</v>
      </c>
      <c r="G1436" t="s">
        <v>164</v>
      </c>
      <c r="H1436" t="s">
        <v>151</v>
      </c>
      <c r="I1436" t="s">
        <v>173</v>
      </c>
      <c r="J1436" t="s">
        <v>152</v>
      </c>
      <c r="K1436" t="s">
        <v>153</v>
      </c>
      <c r="L1436">
        <v>251200914</v>
      </c>
      <c r="M1436" s="84">
        <v>46021</v>
      </c>
      <c r="N1436" s="84">
        <v>46021</v>
      </c>
      <c r="O1436" t="s">
        <v>308</v>
      </c>
      <c r="P1436" t="s">
        <v>309</v>
      </c>
      <c r="Q1436">
        <v>18102</v>
      </c>
      <c r="R1436">
        <v>1</v>
      </c>
      <c r="S1436">
        <v>18102</v>
      </c>
      <c r="T1436">
        <v>0</v>
      </c>
      <c r="U1436">
        <v>0</v>
      </c>
      <c r="V1436">
        <v>1</v>
      </c>
      <c r="W1436">
        <v>18102</v>
      </c>
      <c r="X1436">
        <v>0</v>
      </c>
      <c r="Y1436">
        <v>362</v>
      </c>
      <c r="Z1436">
        <v>905</v>
      </c>
      <c r="AA1436">
        <v>0</v>
      </c>
      <c r="AB1436">
        <v>100</v>
      </c>
      <c r="AC1436">
        <v>1367</v>
      </c>
    </row>
    <row r="1437" spans="1:29">
      <c r="A1437">
        <v>1429</v>
      </c>
      <c r="B1437" t="s">
        <v>149</v>
      </c>
      <c r="C1437">
        <v>827</v>
      </c>
      <c r="D1437" t="s">
        <v>84</v>
      </c>
      <c r="E1437" t="str">
        <f t="shared" si="22"/>
        <v>00827</v>
      </c>
      <c r="F1437" t="s">
        <v>83</v>
      </c>
      <c r="G1437" t="s">
        <v>164</v>
      </c>
      <c r="H1437" t="s">
        <v>151</v>
      </c>
      <c r="I1437" t="s">
        <v>5</v>
      </c>
      <c r="J1437" t="s">
        <v>152</v>
      </c>
      <c r="K1437" t="s">
        <v>153</v>
      </c>
      <c r="L1437">
        <v>251200915</v>
      </c>
      <c r="M1437" s="84">
        <v>46021</v>
      </c>
      <c r="N1437" s="84">
        <v>46021</v>
      </c>
      <c r="O1437" t="s">
        <v>198</v>
      </c>
      <c r="P1437" t="s">
        <v>199</v>
      </c>
      <c r="Q1437">
        <v>11700</v>
      </c>
      <c r="R1437">
        <v>1</v>
      </c>
      <c r="S1437">
        <v>11700</v>
      </c>
      <c r="T1437">
        <v>0</v>
      </c>
      <c r="U1437">
        <v>0</v>
      </c>
      <c r="V1437">
        <v>1</v>
      </c>
      <c r="W1437">
        <v>11700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</row>
    <row r="1438" spans="1:29">
      <c r="A1438">
        <v>1430</v>
      </c>
      <c r="B1438" t="s">
        <v>149</v>
      </c>
      <c r="C1438">
        <v>1564</v>
      </c>
      <c r="D1438" t="s">
        <v>40</v>
      </c>
      <c r="E1438" t="str">
        <f t="shared" si="22"/>
        <v>01564</v>
      </c>
      <c r="F1438" t="s">
        <v>38</v>
      </c>
      <c r="G1438" t="s">
        <v>202</v>
      </c>
      <c r="H1438" t="s">
        <v>157</v>
      </c>
      <c r="I1438" t="s">
        <v>4</v>
      </c>
      <c r="J1438" t="s">
        <v>152</v>
      </c>
      <c r="K1438" t="s">
        <v>203</v>
      </c>
      <c r="L1438">
        <v>251200916</v>
      </c>
      <c r="M1438" s="84">
        <v>46021</v>
      </c>
      <c r="N1438" s="84">
        <v>46021</v>
      </c>
      <c r="O1438" t="s">
        <v>300</v>
      </c>
      <c r="P1438" t="s">
        <v>301</v>
      </c>
      <c r="Q1438">
        <v>14250</v>
      </c>
      <c r="R1438">
        <v>32</v>
      </c>
      <c r="S1438">
        <v>456000</v>
      </c>
      <c r="T1438">
        <v>0</v>
      </c>
      <c r="U1438">
        <v>0</v>
      </c>
      <c r="V1438">
        <v>32</v>
      </c>
      <c r="W1438">
        <v>456000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</row>
    <row r="1439" spans="1:29">
      <c r="A1439">
        <v>1431</v>
      </c>
      <c r="B1439" t="s">
        <v>149</v>
      </c>
      <c r="C1439">
        <v>561</v>
      </c>
      <c r="D1439" t="s">
        <v>93</v>
      </c>
      <c r="E1439" t="str">
        <f t="shared" si="22"/>
        <v>00561</v>
      </c>
      <c r="F1439" t="s">
        <v>91</v>
      </c>
      <c r="G1439" t="s">
        <v>202</v>
      </c>
      <c r="H1439" t="s">
        <v>157</v>
      </c>
      <c r="I1439" t="s">
        <v>5</v>
      </c>
      <c r="J1439" t="s">
        <v>152</v>
      </c>
      <c r="K1439" t="s">
        <v>159</v>
      </c>
      <c r="L1439">
        <v>251200917</v>
      </c>
      <c r="M1439" s="84">
        <v>46021</v>
      </c>
      <c r="N1439" s="84">
        <v>46021</v>
      </c>
      <c r="O1439" t="s">
        <v>310</v>
      </c>
      <c r="P1439" t="s">
        <v>311</v>
      </c>
      <c r="Q1439">
        <v>12900</v>
      </c>
      <c r="R1439">
        <v>10</v>
      </c>
      <c r="S1439">
        <v>129000</v>
      </c>
      <c r="T1439">
        <v>0</v>
      </c>
      <c r="U1439">
        <v>0</v>
      </c>
      <c r="V1439">
        <v>10</v>
      </c>
      <c r="W1439">
        <v>129000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</row>
    <row r="1440" spans="1:29">
      <c r="A1440">
        <v>1432</v>
      </c>
      <c r="B1440" t="s">
        <v>149</v>
      </c>
      <c r="C1440">
        <v>561</v>
      </c>
      <c r="D1440" t="s">
        <v>93</v>
      </c>
      <c r="E1440" t="str">
        <f t="shared" si="22"/>
        <v>00561</v>
      </c>
      <c r="F1440" t="s">
        <v>91</v>
      </c>
      <c r="G1440" t="s">
        <v>202</v>
      </c>
      <c r="H1440" t="s">
        <v>157</v>
      </c>
      <c r="I1440" t="s">
        <v>5</v>
      </c>
      <c r="J1440" t="s">
        <v>152</v>
      </c>
      <c r="K1440" t="s">
        <v>159</v>
      </c>
      <c r="L1440">
        <v>251200918</v>
      </c>
      <c r="M1440" s="84">
        <v>46021</v>
      </c>
      <c r="N1440" s="84">
        <v>46021</v>
      </c>
      <c r="O1440" t="s">
        <v>310</v>
      </c>
      <c r="P1440" t="s">
        <v>311</v>
      </c>
      <c r="Q1440">
        <v>12900</v>
      </c>
      <c r="R1440">
        <v>5</v>
      </c>
      <c r="S1440">
        <v>64500</v>
      </c>
      <c r="T1440">
        <v>0</v>
      </c>
      <c r="U1440">
        <v>0</v>
      </c>
      <c r="V1440">
        <v>5</v>
      </c>
      <c r="W1440">
        <v>64500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</row>
    <row r="1441" spans="1:29">
      <c r="A1441">
        <v>1433</v>
      </c>
      <c r="B1441" t="s">
        <v>149</v>
      </c>
      <c r="C1441">
        <v>561</v>
      </c>
      <c r="D1441" t="s">
        <v>93</v>
      </c>
      <c r="E1441" t="str">
        <f t="shared" si="22"/>
        <v>00561</v>
      </c>
      <c r="F1441" t="s">
        <v>91</v>
      </c>
      <c r="G1441" t="s">
        <v>202</v>
      </c>
      <c r="H1441" t="s">
        <v>157</v>
      </c>
      <c r="I1441" t="s">
        <v>5</v>
      </c>
      <c r="J1441" t="s">
        <v>152</v>
      </c>
      <c r="K1441" t="s">
        <v>159</v>
      </c>
      <c r="L1441">
        <v>251200918</v>
      </c>
      <c r="M1441" s="84">
        <v>46021</v>
      </c>
      <c r="N1441" s="84">
        <v>46021</v>
      </c>
      <c r="O1441" t="s">
        <v>191</v>
      </c>
      <c r="P1441" t="s">
        <v>192</v>
      </c>
      <c r="Q1441">
        <v>11700</v>
      </c>
      <c r="R1441">
        <v>50</v>
      </c>
      <c r="S1441">
        <v>585000</v>
      </c>
      <c r="T1441">
        <v>0</v>
      </c>
      <c r="U1441">
        <v>0</v>
      </c>
      <c r="V1441">
        <v>50</v>
      </c>
      <c r="W1441">
        <v>585000</v>
      </c>
      <c r="X1441">
        <v>7500</v>
      </c>
      <c r="Y1441">
        <v>7500</v>
      </c>
      <c r="Z1441">
        <v>0</v>
      </c>
      <c r="AA1441">
        <v>0</v>
      </c>
      <c r="AB1441">
        <v>0</v>
      </c>
      <c r="AC1441">
        <v>15000</v>
      </c>
    </row>
    <row r="1442" spans="1:29">
      <c r="A1442">
        <v>1434</v>
      </c>
      <c r="B1442" t="s">
        <v>149</v>
      </c>
      <c r="C1442">
        <v>561</v>
      </c>
      <c r="D1442" t="s">
        <v>93</v>
      </c>
      <c r="E1442" t="str">
        <f t="shared" si="22"/>
        <v>00561</v>
      </c>
      <c r="F1442" t="s">
        <v>91</v>
      </c>
      <c r="G1442" t="s">
        <v>202</v>
      </c>
      <c r="H1442" t="s">
        <v>157</v>
      </c>
      <c r="I1442" t="s">
        <v>4</v>
      </c>
      <c r="J1442" t="s">
        <v>152</v>
      </c>
      <c r="K1442" t="s">
        <v>159</v>
      </c>
      <c r="L1442">
        <v>251200918</v>
      </c>
      <c r="M1442" s="84">
        <v>46021</v>
      </c>
      <c r="N1442" s="84">
        <v>46021</v>
      </c>
      <c r="O1442" t="s">
        <v>245</v>
      </c>
      <c r="P1442" t="s">
        <v>246</v>
      </c>
      <c r="Q1442">
        <v>14250</v>
      </c>
      <c r="R1442">
        <v>20</v>
      </c>
      <c r="S1442">
        <v>285000</v>
      </c>
      <c r="T1442">
        <v>0</v>
      </c>
      <c r="U1442">
        <v>0</v>
      </c>
      <c r="V1442">
        <v>20</v>
      </c>
      <c r="W1442">
        <v>285000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</row>
    <row r="1443" spans="1:29">
      <c r="A1443">
        <v>1435</v>
      </c>
      <c r="B1443" t="s">
        <v>149</v>
      </c>
      <c r="C1443">
        <v>561</v>
      </c>
      <c r="D1443" t="s">
        <v>93</v>
      </c>
      <c r="E1443" t="str">
        <f t="shared" si="22"/>
        <v>00561</v>
      </c>
      <c r="F1443" t="s">
        <v>91</v>
      </c>
      <c r="G1443" t="s">
        <v>202</v>
      </c>
      <c r="H1443" t="s">
        <v>157</v>
      </c>
      <c r="I1443" t="s">
        <v>4</v>
      </c>
      <c r="J1443" t="s">
        <v>152</v>
      </c>
      <c r="K1443" t="s">
        <v>159</v>
      </c>
      <c r="L1443">
        <v>251200918</v>
      </c>
      <c r="M1443" s="84">
        <v>46021</v>
      </c>
      <c r="N1443" s="84">
        <v>46021</v>
      </c>
      <c r="O1443" t="s">
        <v>225</v>
      </c>
      <c r="P1443" t="s">
        <v>226</v>
      </c>
      <c r="Q1443">
        <v>14250</v>
      </c>
      <c r="R1443">
        <v>20</v>
      </c>
      <c r="S1443">
        <v>285000</v>
      </c>
      <c r="T1443">
        <v>0</v>
      </c>
      <c r="U1443">
        <v>0</v>
      </c>
      <c r="V1443">
        <v>20</v>
      </c>
      <c r="W1443">
        <v>285000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</row>
    <row r="1444" spans="1:29">
      <c r="A1444">
        <v>1436</v>
      </c>
      <c r="B1444" t="s">
        <v>149</v>
      </c>
      <c r="C1444">
        <v>561</v>
      </c>
      <c r="D1444" t="s">
        <v>93</v>
      </c>
      <c r="E1444" t="str">
        <f t="shared" si="22"/>
        <v>00561</v>
      </c>
      <c r="F1444" t="s">
        <v>91</v>
      </c>
      <c r="G1444" t="s">
        <v>202</v>
      </c>
      <c r="H1444" t="s">
        <v>157</v>
      </c>
      <c r="I1444" t="s">
        <v>4</v>
      </c>
      <c r="J1444" t="s">
        <v>152</v>
      </c>
      <c r="K1444" t="s">
        <v>159</v>
      </c>
      <c r="L1444">
        <v>251200918</v>
      </c>
      <c r="M1444" s="84">
        <v>46021</v>
      </c>
      <c r="N1444" s="84">
        <v>46021</v>
      </c>
      <c r="O1444" t="s">
        <v>160</v>
      </c>
      <c r="P1444" t="s">
        <v>161</v>
      </c>
      <c r="Q1444">
        <v>14250</v>
      </c>
      <c r="R1444">
        <v>50</v>
      </c>
      <c r="S1444">
        <v>712500</v>
      </c>
      <c r="T1444">
        <v>0</v>
      </c>
      <c r="U1444">
        <v>0</v>
      </c>
      <c r="V1444">
        <v>50</v>
      </c>
      <c r="W1444">
        <v>712500</v>
      </c>
      <c r="X1444">
        <v>7500</v>
      </c>
      <c r="Y1444">
        <v>10000</v>
      </c>
      <c r="Z1444">
        <v>0</v>
      </c>
      <c r="AA1444">
        <v>0</v>
      </c>
      <c r="AB1444">
        <v>0</v>
      </c>
      <c r="AC1444">
        <v>17500</v>
      </c>
    </row>
    <row r="1445" spans="1:29">
      <c r="A1445">
        <v>1437</v>
      </c>
      <c r="B1445" t="s">
        <v>149</v>
      </c>
      <c r="C1445">
        <v>1341</v>
      </c>
      <c r="D1445" t="s">
        <v>24</v>
      </c>
      <c r="E1445" t="str">
        <f t="shared" si="22"/>
        <v>01341</v>
      </c>
      <c r="F1445" t="s">
        <v>20</v>
      </c>
      <c r="G1445" t="s">
        <v>193</v>
      </c>
      <c r="H1445" t="s">
        <v>151</v>
      </c>
      <c r="I1445" t="s">
        <v>182</v>
      </c>
      <c r="J1445" t="s">
        <v>152</v>
      </c>
      <c r="K1445" t="s">
        <v>236</v>
      </c>
      <c r="L1445">
        <v>251200919</v>
      </c>
      <c r="M1445" s="84">
        <v>46021</v>
      </c>
      <c r="N1445" s="84">
        <v>46021</v>
      </c>
      <c r="O1445" t="s">
        <v>183</v>
      </c>
      <c r="P1445" t="s">
        <v>184</v>
      </c>
      <c r="Q1445">
        <v>70</v>
      </c>
      <c r="R1445">
        <v>1000</v>
      </c>
      <c r="S1445">
        <v>70000</v>
      </c>
      <c r="T1445">
        <v>0</v>
      </c>
      <c r="U1445">
        <v>0</v>
      </c>
      <c r="V1445">
        <v>1000</v>
      </c>
      <c r="W1445">
        <v>70000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</row>
    <row r="1446" spans="1:29">
      <c r="A1446">
        <v>1438</v>
      </c>
      <c r="B1446" t="s">
        <v>149</v>
      </c>
      <c r="C1446">
        <v>1385</v>
      </c>
      <c r="D1446" t="s">
        <v>27</v>
      </c>
      <c r="E1446" t="str">
        <f t="shared" si="22"/>
        <v>01385</v>
      </c>
      <c r="F1446" t="s">
        <v>20</v>
      </c>
      <c r="G1446" t="s">
        <v>193</v>
      </c>
      <c r="H1446" t="s">
        <v>151</v>
      </c>
      <c r="I1446" t="s">
        <v>182</v>
      </c>
      <c r="J1446" t="s">
        <v>152</v>
      </c>
      <c r="K1446" t="s">
        <v>236</v>
      </c>
      <c r="L1446">
        <v>251200920</v>
      </c>
      <c r="M1446" s="84">
        <v>46021</v>
      </c>
      <c r="N1446" s="84">
        <v>46021</v>
      </c>
      <c r="O1446" t="s">
        <v>183</v>
      </c>
      <c r="P1446" t="s">
        <v>184</v>
      </c>
      <c r="Q1446">
        <v>70</v>
      </c>
      <c r="R1446">
        <v>400</v>
      </c>
      <c r="S1446">
        <v>28000</v>
      </c>
      <c r="T1446">
        <v>0</v>
      </c>
      <c r="U1446">
        <v>0</v>
      </c>
      <c r="V1446">
        <v>400</v>
      </c>
      <c r="W1446">
        <v>28000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</row>
    <row r="1447" spans="1:29">
      <c r="A1447">
        <v>1439</v>
      </c>
      <c r="B1447" t="s">
        <v>149</v>
      </c>
      <c r="C1447">
        <v>1356</v>
      </c>
      <c r="D1447" t="s">
        <v>98</v>
      </c>
      <c r="E1447" t="str">
        <f t="shared" si="22"/>
        <v>01356</v>
      </c>
      <c r="F1447" t="s">
        <v>95</v>
      </c>
      <c r="G1447" t="s">
        <v>187</v>
      </c>
      <c r="H1447" t="s">
        <v>188</v>
      </c>
      <c r="I1447" t="s">
        <v>182</v>
      </c>
      <c r="J1447" t="s">
        <v>152</v>
      </c>
      <c r="K1447" t="s">
        <v>159</v>
      </c>
      <c r="L1447">
        <v>251200921</v>
      </c>
      <c r="M1447" s="84">
        <v>46021</v>
      </c>
      <c r="N1447" s="84">
        <v>46021</v>
      </c>
      <c r="O1447" t="s">
        <v>183</v>
      </c>
      <c r="P1447" t="s">
        <v>184</v>
      </c>
      <c r="Q1447">
        <v>70</v>
      </c>
      <c r="R1447">
        <v>400</v>
      </c>
      <c r="S1447">
        <v>28000</v>
      </c>
      <c r="T1447">
        <v>0</v>
      </c>
      <c r="U1447">
        <v>0</v>
      </c>
      <c r="V1447">
        <v>400</v>
      </c>
      <c r="W1447">
        <v>28000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</row>
    <row r="1448" spans="1:29">
      <c r="A1448">
        <v>1440</v>
      </c>
      <c r="B1448" t="s">
        <v>149</v>
      </c>
      <c r="C1448">
        <v>1450</v>
      </c>
      <c r="D1448" t="s">
        <v>82</v>
      </c>
      <c r="E1448" t="str">
        <f t="shared" si="22"/>
        <v>01450</v>
      </c>
      <c r="F1448" t="s">
        <v>80</v>
      </c>
      <c r="G1448" t="s">
        <v>164</v>
      </c>
      <c r="H1448" t="s">
        <v>151</v>
      </c>
      <c r="I1448" t="s">
        <v>182</v>
      </c>
      <c r="J1448" t="s">
        <v>152</v>
      </c>
      <c r="K1448" t="s">
        <v>153</v>
      </c>
      <c r="L1448">
        <v>251200922</v>
      </c>
      <c r="M1448" s="84">
        <v>46021</v>
      </c>
      <c r="N1448" s="84">
        <v>46021</v>
      </c>
      <c r="O1448" t="s">
        <v>183</v>
      </c>
      <c r="P1448" t="s">
        <v>184</v>
      </c>
      <c r="Q1448">
        <v>72</v>
      </c>
      <c r="R1448">
        <v>100</v>
      </c>
      <c r="S1448">
        <v>7200</v>
      </c>
      <c r="T1448">
        <v>0</v>
      </c>
      <c r="U1448">
        <v>0</v>
      </c>
      <c r="V1448">
        <v>100</v>
      </c>
      <c r="W1448">
        <v>7200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</row>
    <row r="1449" spans="1:29">
      <c r="A1449">
        <v>1441</v>
      </c>
      <c r="B1449" t="s">
        <v>149</v>
      </c>
      <c r="C1449">
        <v>1289</v>
      </c>
      <c r="D1449" t="s">
        <v>412</v>
      </c>
      <c r="E1449" t="str">
        <f t="shared" si="22"/>
        <v>01289</v>
      </c>
      <c r="F1449" t="s">
        <v>43</v>
      </c>
      <c r="G1449" t="s">
        <v>150</v>
      </c>
      <c r="H1449" t="s">
        <v>151</v>
      </c>
      <c r="I1449" t="s">
        <v>4</v>
      </c>
      <c r="J1449" t="s">
        <v>152</v>
      </c>
      <c r="K1449" t="s">
        <v>153</v>
      </c>
      <c r="L1449">
        <v>251200974</v>
      </c>
      <c r="M1449" s="84">
        <v>46022</v>
      </c>
      <c r="N1449" s="84">
        <v>46022</v>
      </c>
      <c r="O1449" t="s">
        <v>357</v>
      </c>
      <c r="P1449" t="s">
        <v>358</v>
      </c>
      <c r="Q1449">
        <v>5500</v>
      </c>
      <c r="R1449">
        <v>50</v>
      </c>
      <c r="S1449">
        <v>275000</v>
      </c>
      <c r="T1449">
        <v>0</v>
      </c>
      <c r="U1449">
        <v>0</v>
      </c>
      <c r="V1449">
        <v>50</v>
      </c>
      <c r="W1449">
        <v>275000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</row>
    <row r="1450" spans="1:29">
      <c r="A1450">
        <v>1442</v>
      </c>
      <c r="B1450" t="s">
        <v>149</v>
      </c>
      <c r="C1450">
        <v>1551</v>
      </c>
      <c r="D1450" t="s">
        <v>316</v>
      </c>
      <c r="E1450" t="str">
        <f t="shared" si="22"/>
        <v>01551</v>
      </c>
      <c r="F1450" t="s">
        <v>111</v>
      </c>
      <c r="G1450" t="s">
        <v>150</v>
      </c>
      <c r="H1450" t="s">
        <v>151</v>
      </c>
      <c r="I1450" t="s">
        <v>4</v>
      </c>
      <c r="J1450" t="s">
        <v>152</v>
      </c>
      <c r="K1450" t="s">
        <v>153</v>
      </c>
      <c r="L1450">
        <v>251200975</v>
      </c>
      <c r="M1450" s="84">
        <v>46022</v>
      </c>
      <c r="N1450" s="84">
        <v>46022</v>
      </c>
      <c r="O1450" t="s">
        <v>267</v>
      </c>
      <c r="P1450" t="s">
        <v>268</v>
      </c>
      <c r="Q1450">
        <v>5500</v>
      </c>
      <c r="R1450">
        <v>30</v>
      </c>
      <c r="S1450">
        <v>165000</v>
      </c>
      <c r="T1450">
        <v>0</v>
      </c>
      <c r="U1450">
        <v>0</v>
      </c>
      <c r="V1450">
        <v>30</v>
      </c>
      <c r="W1450">
        <v>165000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</row>
    <row r="1451" spans="1:29">
      <c r="A1451">
        <v>1443</v>
      </c>
      <c r="B1451" t="s">
        <v>149</v>
      </c>
      <c r="C1451">
        <v>1551</v>
      </c>
      <c r="D1451" t="s">
        <v>316</v>
      </c>
      <c r="E1451" t="str">
        <f t="shared" si="22"/>
        <v>01551</v>
      </c>
      <c r="F1451" t="s">
        <v>111</v>
      </c>
      <c r="G1451" t="s">
        <v>150</v>
      </c>
      <c r="H1451" t="s">
        <v>151</v>
      </c>
      <c r="I1451" t="s">
        <v>5</v>
      </c>
      <c r="J1451" t="s">
        <v>152</v>
      </c>
      <c r="K1451" t="s">
        <v>153</v>
      </c>
      <c r="L1451">
        <v>251200975</v>
      </c>
      <c r="M1451" s="84">
        <v>46022</v>
      </c>
      <c r="N1451" s="84">
        <v>46022</v>
      </c>
      <c r="O1451" t="s">
        <v>271</v>
      </c>
      <c r="P1451" t="s">
        <v>272</v>
      </c>
      <c r="Q1451">
        <v>4500</v>
      </c>
      <c r="R1451">
        <v>16</v>
      </c>
      <c r="S1451">
        <v>72000</v>
      </c>
      <c r="T1451">
        <v>0</v>
      </c>
      <c r="U1451">
        <v>0</v>
      </c>
      <c r="V1451">
        <v>16</v>
      </c>
      <c r="W1451">
        <v>72000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</row>
    <row r="1452" spans="1:29">
      <c r="A1452">
        <v>1444</v>
      </c>
      <c r="B1452" t="s">
        <v>149</v>
      </c>
      <c r="C1452">
        <v>1551</v>
      </c>
      <c r="D1452" t="s">
        <v>316</v>
      </c>
      <c r="E1452" t="str">
        <f t="shared" si="22"/>
        <v>01551</v>
      </c>
      <c r="F1452" t="s">
        <v>111</v>
      </c>
      <c r="G1452" t="s">
        <v>150</v>
      </c>
      <c r="H1452" t="s">
        <v>151</v>
      </c>
      <c r="I1452" t="s">
        <v>5</v>
      </c>
      <c r="J1452" t="s">
        <v>152</v>
      </c>
      <c r="K1452" t="s">
        <v>153</v>
      </c>
      <c r="L1452">
        <v>251200975</v>
      </c>
      <c r="M1452" s="84">
        <v>46022</v>
      </c>
      <c r="N1452" s="84">
        <v>46022</v>
      </c>
      <c r="O1452" t="s">
        <v>191</v>
      </c>
      <c r="P1452" t="s">
        <v>192</v>
      </c>
      <c r="Q1452">
        <v>4500</v>
      </c>
      <c r="R1452">
        <v>8</v>
      </c>
      <c r="S1452">
        <v>36000</v>
      </c>
      <c r="T1452">
        <v>0</v>
      </c>
      <c r="U1452">
        <v>0</v>
      </c>
      <c r="V1452">
        <v>8</v>
      </c>
      <c r="W1452">
        <v>36000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</row>
    <row r="1453" spans="1:29">
      <c r="A1453">
        <v>1445</v>
      </c>
      <c r="B1453" t="s">
        <v>149</v>
      </c>
      <c r="C1453">
        <v>1551</v>
      </c>
      <c r="D1453" t="s">
        <v>316</v>
      </c>
      <c r="E1453" t="str">
        <f t="shared" si="22"/>
        <v>01551</v>
      </c>
      <c r="F1453" t="s">
        <v>111</v>
      </c>
      <c r="G1453" t="s">
        <v>150</v>
      </c>
      <c r="H1453" t="s">
        <v>151</v>
      </c>
      <c r="I1453" t="s">
        <v>4</v>
      </c>
      <c r="J1453" t="s">
        <v>152</v>
      </c>
      <c r="K1453" t="s">
        <v>153</v>
      </c>
      <c r="L1453">
        <v>251200975</v>
      </c>
      <c r="M1453" s="84">
        <v>46022</v>
      </c>
      <c r="N1453" s="84">
        <v>46022</v>
      </c>
      <c r="O1453" t="s">
        <v>160</v>
      </c>
      <c r="P1453" t="s">
        <v>161</v>
      </c>
      <c r="Q1453">
        <v>5500</v>
      </c>
      <c r="R1453">
        <v>39</v>
      </c>
      <c r="S1453">
        <v>214500</v>
      </c>
      <c r="T1453">
        <v>0</v>
      </c>
      <c r="U1453">
        <v>0</v>
      </c>
      <c r="V1453">
        <v>39</v>
      </c>
      <c r="W1453">
        <v>214500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</row>
    <row r="1454" spans="1:29">
      <c r="A1454">
        <v>1446</v>
      </c>
      <c r="B1454" t="s">
        <v>149</v>
      </c>
      <c r="C1454">
        <v>1581</v>
      </c>
      <c r="D1454" t="s">
        <v>96</v>
      </c>
      <c r="E1454" t="str">
        <f t="shared" si="22"/>
        <v>01581</v>
      </c>
      <c r="F1454" t="s">
        <v>95</v>
      </c>
      <c r="G1454" t="s">
        <v>187</v>
      </c>
      <c r="H1454" t="s">
        <v>188</v>
      </c>
      <c r="I1454" t="s">
        <v>5</v>
      </c>
      <c r="J1454" t="s">
        <v>152</v>
      </c>
      <c r="K1454" t="s">
        <v>159</v>
      </c>
      <c r="L1454">
        <v>251200976</v>
      </c>
      <c r="M1454" s="84">
        <v>46022</v>
      </c>
      <c r="N1454" s="84">
        <v>46022</v>
      </c>
      <c r="O1454" t="s">
        <v>198</v>
      </c>
      <c r="P1454" t="s">
        <v>199</v>
      </c>
      <c r="Q1454">
        <v>10800</v>
      </c>
      <c r="R1454">
        <v>12</v>
      </c>
      <c r="S1454">
        <v>129600</v>
      </c>
      <c r="T1454">
        <v>0</v>
      </c>
      <c r="U1454">
        <v>0</v>
      </c>
      <c r="V1454">
        <v>12</v>
      </c>
      <c r="W1454">
        <v>129600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</row>
    <row r="1455" spans="1:29">
      <c r="A1455">
        <v>1447</v>
      </c>
      <c r="B1455" t="s">
        <v>149</v>
      </c>
      <c r="C1455">
        <v>1448</v>
      </c>
      <c r="D1455" t="s">
        <v>21</v>
      </c>
      <c r="E1455" t="str">
        <f t="shared" si="22"/>
        <v>01448</v>
      </c>
      <c r="F1455" t="s">
        <v>20</v>
      </c>
      <c r="G1455" t="s">
        <v>193</v>
      </c>
      <c r="H1455" t="s">
        <v>151</v>
      </c>
      <c r="I1455" t="s">
        <v>4</v>
      </c>
      <c r="J1455" t="s">
        <v>152</v>
      </c>
      <c r="K1455" t="s">
        <v>236</v>
      </c>
      <c r="L1455">
        <v>251200977</v>
      </c>
      <c r="M1455" s="84">
        <v>46022</v>
      </c>
      <c r="N1455" s="84">
        <v>46022</v>
      </c>
      <c r="O1455" t="s">
        <v>179</v>
      </c>
      <c r="P1455" t="s">
        <v>180</v>
      </c>
      <c r="Q1455">
        <v>14250</v>
      </c>
      <c r="R1455">
        <v>4</v>
      </c>
      <c r="S1455">
        <v>57000</v>
      </c>
      <c r="T1455">
        <v>0</v>
      </c>
      <c r="U1455">
        <v>0</v>
      </c>
      <c r="V1455">
        <v>4</v>
      </c>
      <c r="W1455">
        <v>57000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</row>
    <row r="1456" spans="1:29">
      <c r="A1456">
        <v>1448</v>
      </c>
      <c r="B1456" t="s">
        <v>149</v>
      </c>
      <c r="C1456">
        <v>1326</v>
      </c>
      <c r="D1456" t="s">
        <v>338</v>
      </c>
      <c r="E1456" t="str">
        <f t="shared" si="22"/>
        <v>01326</v>
      </c>
      <c r="F1456" t="s">
        <v>15</v>
      </c>
      <c r="G1456" t="s">
        <v>193</v>
      </c>
      <c r="H1456" t="s">
        <v>151</v>
      </c>
      <c r="I1456" t="s">
        <v>5</v>
      </c>
      <c r="J1456" t="s">
        <v>152</v>
      </c>
      <c r="K1456" t="s">
        <v>153</v>
      </c>
      <c r="L1456">
        <v>251200978</v>
      </c>
      <c r="M1456" s="84">
        <v>46022</v>
      </c>
      <c r="N1456" s="84">
        <v>46022</v>
      </c>
      <c r="O1456" t="s">
        <v>339</v>
      </c>
      <c r="P1456" t="s">
        <v>340</v>
      </c>
      <c r="Q1456">
        <v>4500</v>
      </c>
      <c r="R1456">
        <v>50</v>
      </c>
      <c r="S1456">
        <v>225000</v>
      </c>
      <c r="T1456">
        <v>0</v>
      </c>
      <c r="U1456">
        <v>0</v>
      </c>
      <c r="V1456">
        <v>50</v>
      </c>
      <c r="W1456">
        <v>225000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</row>
    <row r="1457" spans="1:29">
      <c r="A1457">
        <v>1449</v>
      </c>
      <c r="B1457" t="s">
        <v>149</v>
      </c>
      <c r="C1457">
        <v>1550</v>
      </c>
      <c r="D1457" t="s">
        <v>337</v>
      </c>
      <c r="E1457" t="str">
        <f t="shared" si="22"/>
        <v>01550</v>
      </c>
      <c r="F1457" t="s">
        <v>15</v>
      </c>
      <c r="G1457" t="s">
        <v>193</v>
      </c>
      <c r="H1457" t="s">
        <v>151</v>
      </c>
      <c r="I1457" t="s">
        <v>5</v>
      </c>
      <c r="J1457" t="s">
        <v>152</v>
      </c>
      <c r="K1457" t="s">
        <v>153</v>
      </c>
      <c r="L1457">
        <v>251200979</v>
      </c>
      <c r="M1457" s="84">
        <v>46022</v>
      </c>
      <c r="N1457" s="84">
        <v>46022</v>
      </c>
      <c r="O1457" t="s">
        <v>191</v>
      </c>
      <c r="P1457" t="s">
        <v>192</v>
      </c>
      <c r="Q1457">
        <v>4500</v>
      </c>
      <c r="R1457">
        <v>16</v>
      </c>
      <c r="S1457">
        <v>72000</v>
      </c>
      <c r="T1457">
        <v>0</v>
      </c>
      <c r="U1457">
        <v>0</v>
      </c>
      <c r="V1457">
        <v>16</v>
      </c>
      <c r="W1457">
        <v>72000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</row>
    <row r="1458" spans="1:29">
      <c r="A1458">
        <v>1450</v>
      </c>
      <c r="B1458" t="s">
        <v>149</v>
      </c>
      <c r="C1458">
        <v>388</v>
      </c>
      <c r="D1458" t="s">
        <v>106</v>
      </c>
      <c r="E1458" t="str">
        <f t="shared" si="22"/>
        <v>00388</v>
      </c>
      <c r="F1458" t="s">
        <v>103</v>
      </c>
      <c r="G1458" t="s">
        <v>167</v>
      </c>
      <c r="H1458" t="s">
        <v>151</v>
      </c>
      <c r="I1458" t="s">
        <v>4</v>
      </c>
      <c r="J1458" t="s">
        <v>152</v>
      </c>
      <c r="K1458" t="s">
        <v>153</v>
      </c>
      <c r="L1458">
        <v>251200980</v>
      </c>
      <c r="M1458" s="84">
        <v>46022</v>
      </c>
      <c r="N1458" s="84">
        <v>46022</v>
      </c>
      <c r="O1458" t="s">
        <v>160</v>
      </c>
      <c r="P1458" t="s">
        <v>161</v>
      </c>
      <c r="Q1458">
        <v>14250</v>
      </c>
      <c r="R1458">
        <v>50</v>
      </c>
      <c r="S1458">
        <v>712500</v>
      </c>
      <c r="T1458">
        <v>0</v>
      </c>
      <c r="U1458">
        <v>0</v>
      </c>
      <c r="V1458">
        <v>50</v>
      </c>
      <c r="W1458">
        <v>712500</v>
      </c>
      <c r="X1458">
        <v>7500</v>
      </c>
      <c r="Y1458">
        <v>10000</v>
      </c>
      <c r="Z1458">
        <v>0</v>
      </c>
      <c r="AA1458">
        <v>0</v>
      </c>
      <c r="AB1458">
        <v>0</v>
      </c>
      <c r="AC1458">
        <v>17500</v>
      </c>
    </row>
    <row r="1459" spans="1:29">
      <c r="A1459">
        <v>1451</v>
      </c>
      <c r="B1459" t="s">
        <v>149</v>
      </c>
      <c r="C1459">
        <v>334</v>
      </c>
      <c r="D1459" t="s">
        <v>56</v>
      </c>
      <c r="E1459" t="str">
        <f t="shared" si="22"/>
        <v>00334</v>
      </c>
      <c r="F1459" t="s">
        <v>49</v>
      </c>
      <c r="G1459" t="s">
        <v>167</v>
      </c>
      <c r="H1459" t="s">
        <v>151</v>
      </c>
      <c r="I1459" t="s">
        <v>5</v>
      </c>
      <c r="J1459" t="s">
        <v>152</v>
      </c>
      <c r="K1459" t="s">
        <v>153</v>
      </c>
      <c r="L1459">
        <v>251200981</v>
      </c>
      <c r="M1459" s="84">
        <v>46022</v>
      </c>
      <c r="N1459" s="84">
        <v>46022</v>
      </c>
      <c r="O1459" t="s">
        <v>191</v>
      </c>
      <c r="P1459" t="s">
        <v>192</v>
      </c>
      <c r="Q1459">
        <v>11700</v>
      </c>
      <c r="R1459">
        <v>12</v>
      </c>
      <c r="S1459">
        <v>140400</v>
      </c>
      <c r="T1459">
        <v>0</v>
      </c>
      <c r="U1459">
        <v>0</v>
      </c>
      <c r="V1459">
        <v>12</v>
      </c>
      <c r="W1459">
        <v>140400</v>
      </c>
      <c r="X1459">
        <v>1800</v>
      </c>
      <c r="Y1459">
        <v>1800</v>
      </c>
      <c r="Z1459">
        <v>0</v>
      </c>
      <c r="AA1459">
        <v>0</v>
      </c>
      <c r="AB1459">
        <v>0</v>
      </c>
      <c r="AC1459">
        <v>3600</v>
      </c>
    </row>
    <row r="1460" spans="1:29">
      <c r="A1460">
        <v>1452</v>
      </c>
      <c r="B1460" t="s">
        <v>149</v>
      </c>
      <c r="C1460">
        <v>1470</v>
      </c>
      <c r="D1460" t="s">
        <v>12</v>
      </c>
      <c r="E1460" t="str">
        <f t="shared" si="22"/>
        <v>01470</v>
      </c>
      <c r="F1460" t="s">
        <v>10</v>
      </c>
      <c r="G1460" t="s">
        <v>172</v>
      </c>
      <c r="H1460" t="s">
        <v>157</v>
      </c>
      <c r="I1460" t="s">
        <v>4</v>
      </c>
      <c r="J1460" t="s">
        <v>152</v>
      </c>
      <c r="K1460" t="s">
        <v>174</v>
      </c>
      <c r="L1460">
        <v>251200982</v>
      </c>
      <c r="M1460" s="84">
        <v>46022</v>
      </c>
      <c r="N1460" s="84">
        <v>46022</v>
      </c>
      <c r="O1460" t="s">
        <v>160</v>
      </c>
      <c r="P1460" t="s">
        <v>161</v>
      </c>
      <c r="Q1460">
        <v>14250</v>
      </c>
      <c r="R1460">
        <v>5</v>
      </c>
      <c r="S1460">
        <v>71250</v>
      </c>
      <c r="T1460">
        <v>0</v>
      </c>
      <c r="U1460">
        <v>0</v>
      </c>
      <c r="V1460">
        <v>5</v>
      </c>
      <c r="W1460">
        <v>71250</v>
      </c>
      <c r="X1460">
        <v>750</v>
      </c>
      <c r="Y1460">
        <v>1000</v>
      </c>
      <c r="Z1460">
        <v>0</v>
      </c>
      <c r="AA1460">
        <v>0</v>
      </c>
      <c r="AB1460">
        <v>0</v>
      </c>
      <c r="AC1460">
        <v>1750</v>
      </c>
    </row>
    <row r="1461" spans="1:29">
      <c r="A1461">
        <v>1453</v>
      </c>
      <c r="B1461" t="s">
        <v>149</v>
      </c>
      <c r="C1461">
        <v>1485</v>
      </c>
      <c r="D1461" t="s">
        <v>275</v>
      </c>
      <c r="E1461" t="str">
        <f t="shared" si="22"/>
        <v>01485</v>
      </c>
      <c r="F1461" t="s">
        <v>95</v>
      </c>
      <c r="G1461" t="s">
        <v>187</v>
      </c>
      <c r="H1461" t="s">
        <v>188</v>
      </c>
      <c r="I1461" t="s">
        <v>210</v>
      </c>
      <c r="J1461" t="s">
        <v>152</v>
      </c>
      <c r="K1461" t="s">
        <v>159</v>
      </c>
      <c r="L1461">
        <v>251200983</v>
      </c>
      <c r="M1461" s="84">
        <v>46022</v>
      </c>
      <c r="N1461" s="84">
        <v>46022</v>
      </c>
      <c r="O1461" t="s">
        <v>250</v>
      </c>
      <c r="P1461" t="s">
        <v>251</v>
      </c>
      <c r="Q1461">
        <v>26500</v>
      </c>
      <c r="R1461">
        <v>1</v>
      </c>
      <c r="S1461">
        <v>26500</v>
      </c>
      <c r="T1461">
        <v>0</v>
      </c>
      <c r="U1461">
        <v>0</v>
      </c>
      <c r="V1461">
        <v>1</v>
      </c>
      <c r="W1461">
        <v>26500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</row>
    <row r="1462" spans="1:29">
      <c r="A1462">
        <v>1454</v>
      </c>
      <c r="B1462" t="s">
        <v>149</v>
      </c>
      <c r="C1462">
        <v>1498</v>
      </c>
      <c r="D1462" t="s">
        <v>416</v>
      </c>
      <c r="E1462" t="str">
        <f t="shared" si="22"/>
        <v>01498</v>
      </c>
      <c r="F1462" t="s">
        <v>65</v>
      </c>
      <c r="G1462" t="s">
        <v>208</v>
      </c>
      <c r="H1462" t="s">
        <v>157</v>
      </c>
      <c r="I1462" t="s">
        <v>4</v>
      </c>
      <c r="J1462" t="s">
        <v>152</v>
      </c>
      <c r="K1462" t="s">
        <v>174</v>
      </c>
      <c r="L1462">
        <v>251200984</v>
      </c>
      <c r="M1462" s="84">
        <v>46022</v>
      </c>
      <c r="N1462" s="84">
        <v>46022</v>
      </c>
      <c r="O1462" t="s">
        <v>327</v>
      </c>
      <c r="P1462" t="s">
        <v>328</v>
      </c>
      <c r="Q1462">
        <v>5500</v>
      </c>
      <c r="R1462">
        <v>1</v>
      </c>
      <c r="S1462">
        <v>5500</v>
      </c>
      <c r="T1462">
        <v>0</v>
      </c>
      <c r="U1462">
        <v>0</v>
      </c>
      <c r="V1462">
        <v>1</v>
      </c>
      <c r="W1462">
        <v>5500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</row>
    <row r="1463" spans="1:29">
      <c r="A1463">
        <v>1455</v>
      </c>
      <c r="B1463" t="s">
        <v>149</v>
      </c>
      <c r="C1463">
        <v>1592</v>
      </c>
      <c r="D1463" t="s">
        <v>415</v>
      </c>
      <c r="E1463" t="str">
        <f t="shared" si="22"/>
        <v>01592</v>
      </c>
      <c r="F1463" t="s">
        <v>91</v>
      </c>
      <c r="G1463" t="s">
        <v>202</v>
      </c>
      <c r="H1463" t="s">
        <v>157</v>
      </c>
      <c r="I1463" t="s">
        <v>5</v>
      </c>
      <c r="J1463" t="s">
        <v>152</v>
      </c>
      <c r="K1463" t="s">
        <v>159</v>
      </c>
      <c r="L1463">
        <v>251200985</v>
      </c>
      <c r="M1463" s="84">
        <v>46022</v>
      </c>
      <c r="N1463" s="84">
        <v>46022</v>
      </c>
      <c r="O1463" t="s">
        <v>217</v>
      </c>
      <c r="P1463" t="s">
        <v>218</v>
      </c>
      <c r="Q1463">
        <v>4500</v>
      </c>
      <c r="R1463">
        <v>4</v>
      </c>
      <c r="S1463">
        <v>18000</v>
      </c>
      <c r="T1463">
        <v>0</v>
      </c>
      <c r="U1463">
        <v>0</v>
      </c>
      <c r="V1463">
        <v>4</v>
      </c>
      <c r="W1463">
        <v>18000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</row>
    <row r="1464" spans="1:29">
      <c r="A1464">
        <v>1456</v>
      </c>
      <c r="B1464" t="s">
        <v>149</v>
      </c>
      <c r="C1464">
        <v>1468</v>
      </c>
      <c r="D1464" t="s">
        <v>342</v>
      </c>
      <c r="E1464" t="str">
        <f t="shared" si="22"/>
        <v>01468</v>
      </c>
      <c r="F1464" t="s">
        <v>7</v>
      </c>
      <c r="G1464" t="s">
        <v>156</v>
      </c>
      <c r="H1464" t="s">
        <v>157</v>
      </c>
      <c r="I1464" t="s">
        <v>4</v>
      </c>
      <c r="J1464" t="s">
        <v>152</v>
      </c>
      <c r="K1464" t="s">
        <v>159</v>
      </c>
      <c r="L1464">
        <v>251200986</v>
      </c>
      <c r="M1464" s="84">
        <v>46022</v>
      </c>
      <c r="N1464" s="84">
        <v>46022</v>
      </c>
      <c r="O1464" t="s">
        <v>160</v>
      </c>
      <c r="P1464" t="s">
        <v>161</v>
      </c>
      <c r="Q1464">
        <v>5500</v>
      </c>
      <c r="R1464">
        <v>40</v>
      </c>
      <c r="S1464">
        <v>220000</v>
      </c>
      <c r="T1464">
        <v>0</v>
      </c>
      <c r="U1464">
        <v>0</v>
      </c>
      <c r="V1464">
        <v>40</v>
      </c>
      <c r="W1464">
        <v>220000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</row>
    <row r="1465" spans="1:29">
      <c r="A1465">
        <v>1457</v>
      </c>
      <c r="B1465" t="s">
        <v>149</v>
      </c>
      <c r="C1465">
        <v>1468</v>
      </c>
      <c r="D1465" t="s">
        <v>342</v>
      </c>
      <c r="E1465" t="str">
        <f t="shared" si="22"/>
        <v>01468</v>
      </c>
      <c r="F1465" t="s">
        <v>7</v>
      </c>
      <c r="G1465" t="s">
        <v>156</v>
      </c>
      <c r="H1465" t="s">
        <v>157</v>
      </c>
      <c r="I1465" t="s">
        <v>5</v>
      </c>
      <c r="J1465" t="s">
        <v>152</v>
      </c>
      <c r="K1465" t="s">
        <v>159</v>
      </c>
      <c r="L1465">
        <v>251200986</v>
      </c>
      <c r="M1465" s="84">
        <v>46022</v>
      </c>
      <c r="N1465" s="84">
        <v>46022</v>
      </c>
      <c r="O1465" t="s">
        <v>269</v>
      </c>
      <c r="P1465" t="s">
        <v>270</v>
      </c>
      <c r="Q1465">
        <v>3000</v>
      </c>
      <c r="R1465">
        <v>20</v>
      </c>
      <c r="S1465">
        <v>60000</v>
      </c>
      <c r="T1465">
        <v>0</v>
      </c>
      <c r="U1465">
        <v>0</v>
      </c>
      <c r="V1465">
        <v>20</v>
      </c>
      <c r="W1465">
        <v>60000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</row>
    <row r="1466" spans="1:29">
      <c r="A1466">
        <v>1458</v>
      </c>
      <c r="B1466" t="s">
        <v>149</v>
      </c>
      <c r="C1466">
        <v>1552</v>
      </c>
      <c r="D1466" t="s">
        <v>365</v>
      </c>
      <c r="E1466" t="str">
        <f t="shared" si="22"/>
        <v>01552</v>
      </c>
      <c r="F1466" t="s">
        <v>91</v>
      </c>
      <c r="G1466" t="s">
        <v>202</v>
      </c>
      <c r="H1466" t="s">
        <v>157</v>
      </c>
      <c r="I1466" t="s">
        <v>5</v>
      </c>
      <c r="J1466" t="s">
        <v>152</v>
      </c>
      <c r="K1466" t="s">
        <v>159</v>
      </c>
      <c r="L1466">
        <v>251200987</v>
      </c>
      <c r="M1466" s="84">
        <v>46022</v>
      </c>
      <c r="N1466" s="84">
        <v>46022</v>
      </c>
      <c r="O1466" t="s">
        <v>191</v>
      </c>
      <c r="P1466" t="s">
        <v>192</v>
      </c>
      <c r="Q1466">
        <v>4500</v>
      </c>
      <c r="R1466">
        <v>20</v>
      </c>
      <c r="S1466">
        <v>90000</v>
      </c>
      <c r="T1466">
        <v>0</v>
      </c>
      <c r="U1466">
        <v>0</v>
      </c>
      <c r="V1466">
        <v>20</v>
      </c>
      <c r="W1466">
        <v>90000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</row>
    <row r="1467" spans="1:29">
      <c r="A1467">
        <v>1459</v>
      </c>
      <c r="B1467" t="s">
        <v>149</v>
      </c>
      <c r="C1467">
        <v>1331</v>
      </c>
      <c r="D1467" t="s">
        <v>366</v>
      </c>
      <c r="E1467" t="str">
        <f t="shared" si="22"/>
        <v>01331</v>
      </c>
      <c r="F1467" t="s">
        <v>28</v>
      </c>
      <c r="G1467" t="s">
        <v>164</v>
      </c>
      <c r="H1467" t="s">
        <v>151</v>
      </c>
      <c r="I1467" t="s">
        <v>5</v>
      </c>
      <c r="J1467" t="s">
        <v>152</v>
      </c>
      <c r="K1467" t="s">
        <v>153</v>
      </c>
      <c r="L1467">
        <v>251200988</v>
      </c>
      <c r="M1467" s="84">
        <v>46022</v>
      </c>
      <c r="N1467" s="84">
        <v>46022</v>
      </c>
      <c r="O1467" t="s">
        <v>191</v>
      </c>
      <c r="P1467" t="s">
        <v>192</v>
      </c>
      <c r="Q1467">
        <v>4500</v>
      </c>
      <c r="R1467">
        <v>32</v>
      </c>
      <c r="S1467">
        <v>144000</v>
      </c>
      <c r="T1467">
        <v>0</v>
      </c>
      <c r="U1467">
        <v>0</v>
      </c>
      <c r="V1467">
        <v>32</v>
      </c>
      <c r="W1467">
        <v>144000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</row>
    <row r="1468" spans="1:29">
      <c r="A1468">
        <v>1460</v>
      </c>
      <c r="B1468" t="s">
        <v>149</v>
      </c>
      <c r="C1468">
        <v>1118</v>
      </c>
      <c r="D1468" t="s">
        <v>37</v>
      </c>
      <c r="E1468" t="str">
        <f t="shared" si="22"/>
        <v>01118</v>
      </c>
      <c r="F1468" t="s">
        <v>28</v>
      </c>
      <c r="G1468" t="s">
        <v>164</v>
      </c>
      <c r="H1468" t="s">
        <v>151</v>
      </c>
      <c r="I1468" t="s">
        <v>210</v>
      </c>
      <c r="J1468" t="s">
        <v>152</v>
      </c>
      <c r="K1468" t="s">
        <v>153</v>
      </c>
      <c r="L1468">
        <v>251200989</v>
      </c>
      <c r="M1468" s="84">
        <v>46022</v>
      </c>
      <c r="N1468" s="84">
        <v>46022</v>
      </c>
      <c r="O1468" t="s">
        <v>213</v>
      </c>
      <c r="P1468" t="s">
        <v>214</v>
      </c>
      <c r="Q1468">
        <v>23802</v>
      </c>
      <c r="R1468">
        <v>5</v>
      </c>
      <c r="S1468">
        <v>119010</v>
      </c>
      <c r="T1468">
        <v>0</v>
      </c>
      <c r="U1468">
        <v>0</v>
      </c>
      <c r="V1468">
        <v>5</v>
      </c>
      <c r="W1468">
        <v>119010</v>
      </c>
      <c r="X1468">
        <v>2380</v>
      </c>
      <c r="Y1468">
        <v>2380</v>
      </c>
      <c r="Z1468">
        <v>5000</v>
      </c>
      <c r="AA1468">
        <v>0</v>
      </c>
      <c r="AB1468">
        <v>500</v>
      </c>
      <c r="AC1468">
        <v>10260</v>
      </c>
    </row>
    <row r="1469" spans="1:29">
      <c r="A1469">
        <v>1461</v>
      </c>
      <c r="B1469" t="s">
        <v>149</v>
      </c>
      <c r="C1469">
        <v>371</v>
      </c>
      <c r="D1469" t="s">
        <v>35</v>
      </c>
      <c r="E1469" t="str">
        <f t="shared" si="22"/>
        <v>00371</v>
      </c>
      <c r="F1469" t="s">
        <v>28</v>
      </c>
      <c r="G1469" t="s">
        <v>164</v>
      </c>
      <c r="H1469" t="s">
        <v>151</v>
      </c>
      <c r="I1469" t="s">
        <v>210</v>
      </c>
      <c r="J1469" t="s">
        <v>152</v>
      </c>
      <c r="K1469" t="s">
        <v>153</v>
      </c>
      <c r="L1469">
        <v>251200990</v>
      </c>
      <c r="M1469" s="84">
        <v>46022</v>
      </c>
      <c r="N1469" s="84">
        <v>46022</v>
      </c>
      <c r="O1469" t="s">
        <v>213</v>
      </c>
      <c r="P1469" t="s">
        <v>214</v>
      </c>
      <c r="Q1469">
        <v>23802</v>
      </c>
      <c r="R1469">
        <v>1</v>
      </c>
      <c r="S1469">
        <v>23802</v>
      </c>
      <c r="T1469">
        <v>0</v>
      </c>
      <c r="U1469">
        <v>0</v>
      </c>
      <c r="V1469">
        <v>1</v>
      </c>
      <c r="W1469">
        <v>23802</v>
      </c>
      <c r="X1469">
        <v>476</v>
      </c>
      <c r="Y1469">
        <v>476</v>
      </c>
      <c r="Z1469">
        <v>1000</v>
      </c>
      <c r="AA1469">
        <v>0</v>
      </c>
      <c r="AB1469">
        <v>100</v>
      </c>
      <c r="AC1469">
        <v>2052</v>
      </c>
    </row>
    <row r="1470" spans="1:29">
      <c r="A1470">
        <v>1462</v>
      </c>
      <c r="B1470" t="s">
        <v>149</v>
      </c>
      <c r="C1470">
        <v>1262</v>
      </c>
      <c r="D1470" t="s">
        <v>312</v>
      </c>
      <c r="E1470" t="str">
        <f t="shared" si="22"/>
        <v>01262</v>
      </c>
      <c r="F1470" t="s">
        <v>28</v>
      </c>
      <c r="G1470" t="s">
        <v>164</v>
      </c>
      <c r="H1470" t="s">
        <v>151</v>
      </c>
      <c r="I1470" t="s">
        <v>210</v>
      </c>
      <c r="J1470" t="s">
        <v>152</v>
      </c>
      <c r="K1470" t="s">
        <v>153</v>
      </c>
      <c r="L1470">
        <v>251200991</v>
      </c>
      <c r="M1470" s="84">
        <v>46022</v>
      </c>
      <c r="N1470" s="84">
        <v>46022</v>
      </c>
      <c r="O1470" t="s">
        <v>213</v>
      </c>
      <c r="P1470" t="s">
        <v>214</v>
      </c>
      <c r="Q1470">
        <v>23802</v>
      </c>
      <c r="R1470">
        <v>10</v>
      </c>
      <c r="S1470">
        <v>238020</v>
      </c>
      <c r="T1470">
        <v>0</v>
      </c>
      <c r="U1470">
        <v>0</v>
      </c>
      <c r="V1470">
        <v>10</v>
      </c>
      <c r="W1470">
        <v>238020</v>
      </c>
      <c r="X1470">
        <v>4760</v>
      </c>
      <c r="Y1470">
        <v>4760</v>
      </c>
      <c r="Z1470">
        <v>10000</v>
      </c>
      <c r="AA1470">
        <v>0</v>
      </c>
      <c r="AB1470">
        <v>1000</v>
      </c>
      <c r="AC1470">
        <v>20520</v>
      </c>
    </row>
    <row r="1471" spans="1:29">
      <c r="A1471">
        <v>1463</v>
      </c>
      <c r="B1471" t="s">
        <v>149</v>
      </c>
      <c r="C1471">
        <v>1298</v>
      </c>
      <c r="D1471" t="s">
        <v>389</v>
      </c>
      <c r="E1471" t="str">
        <f t="shared" si="22"/>
        <v>01298</v>
      </c>
      <c r="F1471" t="s">
        <v>83</v>
      </c>
      <c r="G1471" t="s">
        <v>164</v>
      </c>
      <c r="H1471" t="s">
        <v>151</v>
      </c>
      <c r="I1471" t="s">
        <v>4</v>
      </c>
      <c r="J1471" t="s">
        <v>152</v>
      </c>
      <c r="K1471" t="s">
        <v>153</v>
      </c>
      <c r="L1471">
        <v>251200992</v>
      </c>
      <c r="M1471" s="84">
        <v>46022</v>
      </c>
      <c r="N1471" s="84">
        <v>46022</v>
      </c>
      <c r="O1471" t="s">
        <v>160</v>
      </c>
      <c r="P1471" t="s">
        <v>161</v>
      </c>
      <c r="Q1471">
        <v>5500</v>
      </c>
      <c r="R1471">
        <v>15</v>
      </c>
      <c r="S1471">
        <v>82500</v>
      </c>
      <c r="T1471">
        <v>0</v>
      </c>
      <c r="U1471">
        <v>0</v>
      </c>
      <c r="V1471">
        <v>15</v>
      </c>
      <c r="W1471">
        <v>82500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</row>
    <row r="1472" spans="1:29">
      <c r="A1472">
        <v>1464</v>
      </c>
      <c r="B1472" t="s">
        <v>149</v>
      </c>
      <c r="C1472">
        <v>325</v>
      </c>
      <c r="D1472" t="s">
        <v>34</v>
      </c>
      <c r="E1472" t="str">
        <f t="shared" si="22"/>
        <v>00325</v>
      </c>
      <c r="F1472" t="s">
        <v>28</v>
      </c>
      <c r="G1472" t="s">
        <v>164</v>
      </c>
      <c r="H1472" t="s">
        <v>151</v>
      </c>
      <c r="I1472" t="s">
        <v>4</v>
      </c>
      <c r="J1472" t="s">
        <v>152</v>
      </c>
      <c r="K1472" t="s">
        <v>153</v>
      </c>
      <c r="L1472">
        <v>251200993</v>
      </c>
      <c r="M1472" s="84">
        <v>46022</v>
      </c>
      <c r="N1472" s="84">
        <v>46022</v>
      </c>
      <c r="O1472" t="s">
        <v>160</v>
      </c>
      <c r="P1472" t="s">
        <v>161</v>
      </c>
      <c r="Q1472">
        <v>14250</v>
      </c>
      <c r="R1472">
        <v>30</v>
      </c>
      <c r="S1472">
        <v>427500</v>
      </c>
      <c r="T1472">
        <v>0</v>
      </c>
      <c r="U1472">
        <v>0</v>
      </c>
      <c r="V1472">
        <v>30</v>
      </c>
      <c r="W1472">
        <v>427500</v>
      </c>
      <c r="X1472">
        <v>4500</v>
      </c>
      <c r="Y1472">
        <v>6000</v>
      </c>
      <c r="Z1472">
        <v>0</v>
      </c>
      <c r="AA1472">
        <v>0</v>
      </c>
      <c r="AB1472">
        <v>0</v>
      </c>
      <c r="AC1472">
        <v>10500</v>
      </c>
    </row>
    <row r="1473" spans="1:29">
      <c r="A1473">
        <v>1465</v>
      </c>
      <c r="B1473" t="s">
        <v>149</v>
      </c>
      <c r="C1473">
        <v>325</v>
      </c>
      <c r="D1473" t="s">
        <v>34</v>
      </c>
      <c r="E1473" t="str">
        <f t="shared" si="22"/>
        <v>00325</v>
      </c>
      <c r="F1473" t="s">
        <v>28</v>
      </c>
      <c r="G1473" t="s">
        <v>164</v>
      </c>
      <c r="H1473" t="s">
        <v>151</v>
      </c>
      <c r="I1473" t="s">
        <v>4</v>
      </c>
      <c r="J1473" t="s">
        <v>152</v>
      </c>
      <c r="K1473" t="s">
        <v>153</v>
      </c>
      <c r="L1473">
        <v>251200993</v>
      </c>
      <c r="M1473" s="84">
        <v>46022</v>
      </c>
      <c r="N1473" s="84">
        <v>46022</v>
      </c>
      <c r="O1473" t="s">
        <v>179</v>
      </c>
      <c r="P1473" t="s">
        <v>180</v>
      </c>
      <c r="Q1473">
        <v>14250</v>
      </c>
      <c r="R1473">
        <v>20</v>
      </c>
      <c r="S1473">
        <v>285000</v>
      </c>
      <c r="T1473">
        <v>0</v>
      </c>
      <c r="U1473">
        <v>0</v>
      </c>
      <c r="V1473">
        <v>20</v>
      </c>
      <c r="W1473">
        <v>285000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</row>
    <row r="1474" spans="1:29">
      <c r="A1474">
        <v>1466</v>
      </c>
      <c r="B1474" t="s">
        <v>149</v>
      </c>
      <c r="C1474">
        <v>1450</v>
      </c>
      <c r="D1474" t="s">
        <v>82</v>
      </c>
      <c r="E1474" t="str">
        <f t="shared" si="22"/>
        <v>01450</v>
      </c>
      <c r="F1474" t="s">
        <v>80</v>
      </c>
      <c r="G1474" t="s">
        <v>164</v>
      </c>
      <c r="H1474" t="s">
        <v>151</v>
      </c>
      <c r="I1474" t="s">
        <v>4</v>
      </c>
      <c r="J1474" t="s">
        <v>152</v>
      </c>
      <c r="K1474" t="s">
        <v>153</v>
      </c>
      <c r="L1474">
        <v>251200994</v>
      </c>
      <c r="M1474" s="84">
        <v>46022</v>
      </c>
      <c r="N1474" s="84">
        <v>46022</v>
      </c>
      <c r="O1474" t="s">
        <v>160</v>
      </c>
      <c r="P1474" t="s">
        <v>161</v>
      </c>
      <c r="Q1474">
        <v>14250</v>
      </c>
      <c r="R1474">
        <v>10</v>
      </c>
      <c r="S1474">
        <v>142500</v>
      </c>
      <c r="T1474">
        <v>0</v>
      </c>
      <c r="U1474">
        <v>0</v>
      </c>
      <c r="V1474">
        <v>10</v>
      </c>
      <c r="W1474">
        <v>142500</v>
      </c>
      <c r="X1474">
        <v>1500</v>
      </c>
      <c r="Y1474">
        <v>2000</v>
      </c>
      <c r="Z1474">
        <v>0</v>
      </c>
      <c r="AA1474">
        <v>0</v>
      </c>
      <c r="AB1474">
        <v>0</v>
      </c>
      <c r="AC1474">
        <v>3500</v>
      </c>
    </row>
    <row r="1475" spans="1:29">
      <c r="A1475">
        <v>1467</v>
      </c>
      <c r="B1475" t="s">
        <v>149</v>
      </c>
      <c r="C1475">
        <v>330</v>
      </c>
      <c r="D1475" t="s">
        <v>313</v>
      </c>
      <c r="E1475" t="str">
        <f t="shared" si="22"/>
        <v>00330</v>
      </c>
      <c r="F1475" t="s">
        <v>28</v>
      </c>
      <c r="G1475" t="s">
        <v>164</v>
      </c>
      <c r="H1475" t="s">
        <v>151</v>
      </c>
      <c r="I1475" t="s">
        <v>182</v>
      </c>
      <c r="J1475" t="s">
        <v>152</v>
      </c>
      <c r="K1475" t="s">
        <v>153</v>
      </c>
      <c r="L1475">
        <v>251200995</v>
      </c>
      <c r="M1475" s="84">
        <v>46022</v>
      </c>
      <c r="N1475" s="84">
        <v>46022</v>
      </c>
      <c r="O1475" t="s">
        <v>183</v>
      </c>
      <c r="P1475" t="s">
        <v>184</v>
      </c>
      <c r="Q1475">
        <v>68</v>
      </c>
      <c r="R1475">
        <v>300</v>
      </c>
      <c r="S1475">
        <v>20400</v>
      </c>
      <c r="T1475">
        <v>0</v>
      </c>
      <c r="U1475">
        <v>0</v>
      </c>
      <c r="V1475">
        <v>300</v>
      </c>
      <c r="W1475">
        <v>20400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</row>
    <row r="1476" spans="1:29">
      <c r="A1476">
        <v>1468</v>
      </c>
      <c r="B1476" t="s">
        <v>149</v>
      </c>
      <c r="C1476">
        <v>1400</v>
      </c>
      <c r="D1476" t="s">
        <v>289</v>
      </c>
      <c r="E1476" t="str">
        <f t="shared" si="22"/>
        <v>01400</v>
      </c>
      <c r="F1476" t="s">
        <v>28</v>
      </c>
      <c r="G1476" t="s">
        <v>164</v>
      </c>
      <c r="H1476" t="s">
        <v>151</v>
      </c>
      <c r="I1476" t="s">
        <v>182</v>
      </c>
      <c r="J1476" t="s">
        <v>152</v>
      </c>
      <c r="K1476" t="s">
        <v>153</v>
      </c>
      <c r="L1476">
        <v>251200996</v>
      </c>
      <c r="M1476" s="84">
        <v>46022</v>
      </c>
      <c r="N1476" s="84">
        <v>46022</v>
      </c>
      <c r="O1476" t="s">
        <v>183</v>
      </c>
      <c r="P1476" t="s">
        <v>184</v>
      </c>
      <c r="Q1476">
        <v>68</v>
      </c>
      <c r="R1476">
        <v>400</v>
      </c>
      <c r="S1476">
        <v>27200</v>
      </c>
      <c r="T1476">
        <v>0</v>
      </c>
      <c r="U1476">
        <v>0</v>
      </c>
      <c r="V1476">
        <v>400</v>
      </c>
      <c r="W1476">
        <v>27200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</row>
    <row r="1477" spans="1:29">
      <c r="A1477">
        <v>1469</v>
      </c>
      <c r="B1477" t="s">
        <v>149</v>
      </c>
      <c r="C1477">
        <v>330</v>
      </c>
      <c r="D1477" t="s">
        <v>313</v>
      </c>
      <c r="E1477" t="str">
        <f t="shared" si="22"/>
        <v>00330</v>
      </c>
      <c r="F1477" t="s">
        <v>28</v>
      </c>
      <c r="G1477" t="s">
        <v>164</v>
      </c>
      <c r="H1477" t="s">
        <v>151</v>
      </c>
      <c r="I1477" t="s">
        <v>182</v>
      </c>
      <c r="J1477" t="s">
        <v>152</v>
      </c>
      <c r="K1477" t="s">
        <v>153</v>
      </c>
      <c r="L1477">
        <v>251200997</v>
      </c>
      <c r="M1477" s="84">
        <v>46022</v>
      </c>
      <c r="N1477" s="84">
        <v>46022</v>
      </c>
      <c r="O1477" t="s">
        <v>183</v>
      </c>
      <c r="P1477" t="s">
        <v>184</v>
      </c>
      <c r="Q1477">
        <v>68</v>
      </c>
      <c r="R1477">
        <v>300</v>
      </c>
      <c r="S1477">
        <v>20400</v>
      </c>
      <c r="T1477">
        <v>0</v>
      </c>
      <c r="U1477">
        <v>0</v>
      </c>
      <c r="V1477">
        <v>300</v>
      </c>
      <c r="W1477">
        <v>20400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</row>
    <row r="1478" spans="1:29">
      <c r="A1478">
        <v>1470</v>
      </c>
      <c r="B1478" t="s">
        <v>149</v>
      </c>
      <c r="C1478">
        <v>325</v>
      </c>
      <c r="D1478" t="s">
        <v>34</v>
      </c>
      <c r="E1478" t="str">
        <f t="shared" si="22"/>
        <v>00325</v>
      </c>
      <c r="F1478" t="s">
        <v>28</v>
      </c>
      <c r="G1478" t="s">
        <v>164</v>
      </c>
      <c r="H1478" t="s">
        <v>151</v>
      </c>
      <c r="I1478" t="s">
        <v>4</v>
      </c>
      <c r="J1478" t="s">
        <v>152</v>
      </c>
      <c r="K1478" t="s">
        <v>153</v>
      </c>
      <c r="L1478">
        <v>251201010</v>
      </c>
      <c r="M1478" s="84">
        <v>46022</v>
      </c>
      <c r="N1478" s="84">
        <v>46022</v>
      </c>
      <c r="O1478" t="s">
        <v>160</v>
      </c>
      <c r="P1478" t="s">
        <v>161</v>
      </c>
      <c r="Q1478">
        <v>14250</v>
      </c>
      <c r="R1478">
        <v>90</v>
      </c>
      <c r="S1478">
        <v>1282500</v>
      </c>
      <c r="T1478">
        <v>0</v>
      </c>
      <c r="U1478">
        <v>0</v>
      </c>
      <c r="V1478">
        <v>90</v>
      </c>
      <c r="W1478">
        <v>1282500</v>
      </c>
      <c r="X1478">
        <v>13500</v>
      </c>
      <c r="Y1478">
        <v>18000</v>
      </c>
      <c r="Z1478">
        <v>0</v>
      </c>
      <c r="AA1478">
        <v>0</v>
      </c>
      <c r="AB1478">
        <v>0</v>
      </c>
      <c r="AC1478">
        <v>31500</v>
      </c>
    </row>
    <row r="1479" spans="1:29">
      <c r="A1479">
        <v>1471</v>
      </c>
      <c r="B1479" t="s">
        <v>149</v>
      </c>
      <c r="C1479">
        <v>325</v>
      </c>
      <c r="D1479" t="s">
        <v>34</v>
      </c>
      <c r="E1479" t="str">
        <f t="shared" si="22"/>
        <v>00325</v>
      </c>
      <c r="F1479" t="s">
        <v>28</v>
      </c>
      <c r="G1479" t="s">
        <v>164</v>
      </c>
      <c r="H1479" t="s">
        <v>151</v>
      </c>
      <c r="I1479" t="s">
        <v>4</v>
      </c>
      <c r="J1479" t="s">
        <v>152</v>
      </c>
      <c r="K1479" t="s">
        <v>153</v>
      </c>
      <c r="L1479">
        <v>251201010</v>
      </c>
      <c r="M1479" s="84">
        <v>46022</v>
      </c>
      <c r="N1479" s="84">
        <v>46022</v>
      </c>
      <c r="O1479" t="s">
        <v>168</v>
      </c>
      <c r="P1479" t="s">
        <v>169</v>
      </c>
      <c r="Q1479">
        <v>14250</v>
      </c>
      <c r="R1479">
        <v>20</v>
      </c>
      <c r="S1479">
        <v>285000</v>
      </c>
      <c r="T1479">
        <v>0</v>
      </c>
      <c r="U1479">
        <v>0</v>
      </c>
      <c r="V1479">
        <v>20</v>
      </c>
      <c r="W1479">
        <v>285000</v>
      </c>
      <c r="X1479">
        <v>3000</v>
      </c>
      <c r="Y1479">
        <v>4000</v>
      </c>
      <c r="Z1479">
        <v>0</v>
      </c>
      <c r="AA1479">
        <v>0</v>
      </c>
      <c r="AB1479">
        <v>0</v>
      </c>
      <c r="AC1479">
        <v>7000</v>
      </c>
    </row>
    <row r="1480" spans="1:29">
      <c r="A1480">
        <v>1472</v>
      </c>
      <c r="B1480" t="s">
        <v>149</v>
      </c>
      <c r="C1480">
        <v>325</v>
      </c>
      <c r="D1480" t="s">
        <v>34</v>
      </c>
      <c r="E1480" t="str">
        <f t="shared" si="22"/>
        <v>00325</v>
      </c>
      <c r="F1480" t="s">
        <v>28</v>
      </c>
      <c r="G1480" t="s">
        <v>164</v>
      </c>
      <c r="H1480" t="s">
        <v>151</v>
      </c>
      <c r="I1480" t="s">
        <v>4</v>
      </c>
      <c r="J1480" t="s">
        <v>152</v>
      </c>
      <c r="K1480" t="s">
        <v>153</v>
      </c>
      <c r="L1480">
        <v>251201010</v>
      </c>
      <c r="M1480" s="84">
        <v>46022</v>
      </c>
      <c r="N1480" s="84">
        <v>46022</v>
      </c>
      <c r="O1480" t="s">
        <v>179</v>
      </c>
      <c r="P1480" t="s">
        <v>180</v>
      </c>
      <c r="Q1480">
        <v>14250</v>
      </c>
      <c r="R1480">
        <v>40</v>
      </c>
      <c r="S1480">
        <v>570000</v>
      </c>
      <c r="T1480">
        <v>0</v>
      </c>
      <c r="U1480">
        <v>0</v>
      </c>
      <c r="V1480">
        <v>40</v>
      </c>
      <c r="W1480">
        <v>570000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</row>
    <row r="1481" spans="1:29">
      <c r="A1481">
        <v>1473</v>
      </c>
      <c r="B1481" t="s">
        <v>149</v>
      </c>
      <c r="C1481">
        <v>1118</v>
      </c>
      <c r="D1481" t="s">
        <v>37</v>
      </c>
      <c r="E1481" t="str">
        <f t="shared" ref="E1481:E1485" si="23">TEXT(C1481,"00000")</f>
        <v>01118</v>
      </c>
      <c r="F1481" t="s">
        <v>28</v>
      </c>
      <c r="G1481" t="s">
        <v>164</v>
      </c>
      <c r="H1481" t="s">
        <v>151</v>
      </c>
      <c r="I1481" t="s">
        <v>4</v>
      </c>
      <c r="J1481" t="s">
        <v>152</v>
      </c>
      <c r="K1481" t="s">
        <v>153</v>
      </c>
      <c r="L1481">
        <v>251201011</v>
      </c>
      <c r="M1481" s="84">
        <v>46022</v>
      </c>
      <c r="N1481" s="84">
        <v>46022</v>
      </c>
      <c r="O1481" t="s">
        <v>243</v>
      </c>
      <c r="P1481" t="s">
        <v>244</v>
      </c>
      <c r="Q1481">
        <v>15050</v>
      </c>
      <c r="R1481">
        <v>5</v>
      </c>
      <c r="S1481">
        <v>75250</v>
      </c>
      <c r="T1481">
        <v>0</v>
      </c>
      <c r="U1481">
        <v>0</v>
      </c>
      <c r="V1481">
        <v>5</v>
      </c>
      <c r="W1481">
        <v>75250</v>
      </c>
      <c r="X1481">
        <v>750</v>
      </c>
      <c r="Y1481">
        <v>1000</v>
      </c>
      <c r="Z1481">
        <v>0</v>
      </c>
      <c r="AA1481">
        <v>0</v>
      </c>
      <c r="AB1481">
        <v>0</v>
      </c>
      <c r="AC1481">
        <v>1750</v>
      </c>
    </row>
    <row r="1482" spans="1:29">
      <c r="A1482">
        <v>1474</v>
      </c>
      <c r="B1482" t="s">
        <v>149</v>
      </c>
      <c r="C1482">
        <v>1444</v>
      </c>
      <c r="D1482" t="s">
        <v>341</v>
      </c>
      <c r="E1482" t="str">
        <f t="shared" si="23"/>
        <v>01444</v>
      </c>
      <c r="F1482" t="s">
        <v>28</v>
      </c>
      <c r="G1482" t="s">
        <v>164</v>
      </c>
      <c r="H1482" t="s">
        <v>151</v>
      </c>
      <c r="I1482" t="s">
        <v>4</v>
      </c>
      <c r="J1482" t="s">
        <v>152</v>
      </c>
      <c r="K1482" t="s">
        <v>153</v>
      </c>
      <c r="L1482">
        <v>251201012</v>
      </c>
      <c r="M1482" s="84">
        <v>46022</v>
      </c>
      <c r="N1482" s="84">
        <v>46022</v>
      </c>
      <c r="O1482" t="s">
        <v>160</v>
      </c>
      <c r="P1482" t="s">
        <v>161</v>
      </c>
      <c r="Q1482">
        <v>5500</v>
      </c>
      <c r="R1482">
        <v>10</v>
      </c>
      <c r="S1482">
        <v>55000</v>
      </c>
      <c r="T1482">
        <v>0</v>
      </c>
      <c r="U1482">
        <v>0</v>
      </c>
      <c r="V1482">
        <v>10</v>
      </c>
      <c r="W1482">
        <v>55000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</row>
    <row r="1483" spans="1:29">
      <c r="A1483">
        <v>1475</v>
      </c>
      <c r="B1483" t="s">
        <v>149</v>
      </c>
      <c r="C1483">
        <v>1282</v>
      </c>
      <c r="D1483" t="s">
        <v>374</v>
      </c>
      <c r="E1483" t="str">
        <f t="shared" si="23"/>
        <v>01282</v>
      </c>
      <c r="F1483" t="s">
        <v>111</v>
      </c>
      <c r="G1483" t="s">
        <v>150</v>
      </c>
      <c r="H1483" t="s">
        <v>151</v>
      </c>
      <c r="I1483" t="s">
        <v>5</v>
      </c>
      <c r="J1483" t="s">
        <v>152</v>
      </c>
      <c r="K1483" t="s">
        <v>153</v>
      </c>
      <c r="L1483">
        <v>251201013</v>
      </c>
      <c r="M1483" s="84">
        <v>46022</v>
      </c>
      <c r="N1483" s="84">
        <v>46022</v>
      </c>
      <c r="O1483" t="s">
        <v>198</v>
      </c>
      <c r="P1483" t="s">
        <v>199</v>
      </c>
      <c r="Q1483">
        <v>4500</v>
      </c>
      <c r="R1483">
        <v>150</v>
      </c>
      <c r="S1483">
        <v>675000</v>
      </c>
      <c r="T1483">
        <v>0</v>
      </c>
      <c r="U1483">
        <v>0</v>
      </c>
      <c r="V1483">
        <v>150</v>
      </c>
      <c r="W1483">
        <v>675000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</row>
    <row r="1484" spans="1:29">
      <c r="A1484">
        <v>1476</v>
      </c>
      <c r="B1484" t="s">
        <v>149</v>
      </c>
      <c r="C1484">
        <v>1282</v>
      </c>
      <c r="D1484" t="s">
        <v>374</v>
      </c>
      <c r="E1484" t="str">
        <f t="shared" si="23"/>
        <v>01282</v>
      </c>
      <c r="F1484" t="s">
        <v>111</v>
      </c>
      <c r="G1484" t="s">
        <v>150</v>
      </c>
      <c r="H1484" t="s">
        <v>151</v>
      </c>
      <c r="I1484" t="s">
        <v>4</v>
      </c>
      <c r="J1484" t="s">
        <v>152</v>
      </c>
      <c r="K1484" t="s">
        <v>153</v>
      </c>
      <c r="L1484">
        <v>251201013</v>
      </c>
      <c r="M1484" s="84">
        <v>46022</v>
      </c>
      <c r="N1484" s="84">
        <v>46022</v>
      </c>
      <c r="O1484" t="s">
        <v>160</v>
      </c>
      <c r="P1484" t="s">
        <v>161</v>
      </c>
      <c r="Q1484">
        <v>5500</v>
      </c>
      <c r="R1484">
        <v>20</v>
      </c>
      <c r="S1484">
        <v>110000</v>
      </c>
      <c r="T1484">
        <v>0</v>
      </c>
      <c r="U1484">
        <v>0</v>
      </c>
      <c r="V1484">
        <v>20</v>
      </c>
      <c r="W1484">
        <v>110000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</row>
    <row r="1485" spans="1:29">
      <c r="A1485">
        <v>1477</v>
      </c>
      <c r="B1485" t="s">
        <v>149</v>
      </c>
      <c r="C1485">
        <v>1282</v>
      </c>
      <c r="D1485" t="s">
        <v>374</v>
      </c>
      <c r="E1485" t="str">
        <f t="shared" si="23"/>
        <v>01282</v>
      </c>
      <c r="F1485" t="s">
        <v>111</v>
      </c>
      <c r="G1485" t="s">
        <v>150</v>
      </c>
      <c r="H1485" t="s">
        <v>151</v>
      </c>
      <c r="I1485" t="s">
        <v>4</v>
      </c>
      <c r="J1485" t="s">
        <v>152</v>
      </c>
      <c r="K1485" t="s">
        <v>153</v>
      </c>
      <c r="L1485">
        <v>251201013</v>
      </c>
      <c r="M1485" s="84">
        <v>46022</v>
      </c>
      <c r="N1485" s="84">
        <v>46022</v>
      </c>
      <c r="O1485" t="s">
        <v>248</v>
      </c>
      <c r="P1485" t="s">
        <v>249</v>
      </c>
      <c r="Q1485">
        <v>5500</v>
      </c>
      <c r="R1485">
        <v>10</v>
      </c>
      <c r="S1485">
        <v>55000</v>
      </c>
      <c r="T1485">
        <v>0</v>
      </c>
      <c r="U1485">
        <v>0</v>
      </c>
      <c r="V1485">
        <v>10</v>
      </c>
      <c r="W1485">
        <v>55000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</row>
  </sheetData>
  <autoFilter ref="A8:AC1485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4"/>
  <sheetViews>
    <sheetView workbookViewId="0">
      <selection activeCell="A6" sqref="A6 C6:E6"/>
      <pivotSelection pane="bottomRight" showHeader="1" extendable="1" activeRow="4" activeCol="1" previousRow="4" previousCol="1" click="1" r:id="rId1">
        <pivotArea dataOnly="0" fieldPosition="0">
          <references count="1">
            <reference field="5" count="1">
              <x v="0"/>
            </reference>
          </references>
        </pivotArea>
      </pivotSelection>
    </sheetView>
  </sheetViews>
  <sheetFormatPr defaultColWidth="8.88888888888889" defaultRowHeight="14.4" outlineLevelCol="4"/>
  <cols>
    <col min="1" max="1" width="25.7777777777778" customWidth="1"/>
    <col min="2" max="2" width="43.7777777777778"/>
    <col min="3" max="3" width="23.1111111111111"/>
    <col min="4" max="4" width="15.7777777777778"/>
    <col min="5" max="5" width="11.4444444444444"/>
    <col min="6" max="35" width="36"/>
    <col min="36" max="36" width="8.33333333333333"/>
    <col min="37" max="37" width="11.4444444444444"/>
  </cols>
  <sheetData>
    <row r="3" spans="1:4">
      <c r="A3" t="s">
        <v>0</v>
      </c>
      <c r="C3" t="s">
        <v>1</v>
      </c>
      <c r="D3" t="s">
        <v>135</v>
      </c>
    </row>
    <row r="4" spans="3:5">
      <c r="C4" t="s">
        <v>4</v>
      </c>
      <c r="D4" t="s">
        <v>417</v>
      </c>
      <c r="E4" t="s">
        <v>6</v>
      </c>
    </row>
    <row r="5" spans="1:3">
      <c r="A5" t="s">
        <v>2</v>
      </c>
      <c r="B5" t="s">
        <v>3</v>
      </c>
      <c r="C5" t="s">
        <v>244</v>
      </c>
    </row>
    <row r="6" spans="1:5">
      <c r="A6" t="s">
        <v>7</v>
      </c>
      <c r="C6">
        <v>8</v>
      </c>
      <c r="D6">
        <v>8</v>
      </c>
      <c r="E6">
        <v>8</v>
      </c>
    </row>
    <row r="7" spans="2:5">
      <c r="B7" t="s">
        <v>399</v>
      </c>
      <c r="C7">
        <v>8</v>
      </c>
      <c r="D7">
        <v>8</v>
      </c>
      <c r="E7">
        <v>8</v>
      </c>
    </row>
    <row r="8" spans="1:5">
      <c r="A8" t="s">
        <v>171</v>
      </c>
      <c r="C8">
        <v>5</v>
      </c>
      <c r="D8">
        <v>5</v>
      </c>
      <c r="E8">
        <v>5</v>
      </c>
    </row>
    <row r="9" spans="2:5">
      <c r="B9" t="s">
        <v>363</v>
      </c>
      <c r="C9">
        <v>5</v>
      </c>
      <c r="D9">
        <v>5</v>
      </c>
      <c r="E9">
        <v>5</v>
      </c>
    </row>
    <row r="10" spans="1:5">
      <c r="A10" t="s">
        <v>15</v>
      </c>
      <c r="C10">
        <v>10</v>
      </c>
      <c r="D10">
        <v>10</v>
      </c>
      <c r="E10">
        <v>10</v>
      </c>
    </row>
    <row r="11" spans="2:5">
      <c r="B11" t="s">
        <v>338</v>
      </c>
      <c r="C11">
        <v>10</v>
      </c>
      <c r="D11">
        <v>10</v>
      </c>
      <c r="E11">
        <v>10</v>
      </c>
    </row>
    <row r="12" spans="1:5">
      <c r="A12" t="s">
        <v>43</v>
      </c>
      <c r="C12">
        <v>11</v>
      </c>
      <c r="D12">
        <v>11</v>
      </c>
      <c r="E12">
        <v>11</v>
      </c>
    </row>
    <row r="13" spans="2:5">
      <c r="B13" t="s">
        <v>317</v>
      </c>
      <c r="C13">
        <v>11</v>
      </c>
      <c r="D13">
        <v>11</v>
      </c>
      <c r="E13">
        <v>11</v>
      </c>
    </row>
    <row r="14" spans="1:5">
      <c r="A14" t="s">
        <v>71</v>
      </c>
      <c r="C14">
        <v>30</v>
      </c>
      <c r="D14">
        <v>30</v>
      </c>
      <c r="E14">
        <v>30</v>
      </c>
    </row>
    <row r="15" spans="2:5">
      <c r="B15" t="s">
        <v>331</v>
      </c>
      <c r="C15">
        <v>30</v>
      </c>
      <c r="D15">
        <v>30</v>
      </c>
      <c r="E15">
        <v>30</v>
      </c>
    </row>
    <row r="16" spans="1:5">
      <c r="A16" t="s">
        <v>73</v>
      </c>
      <c r="C16">
        <v>139</v>
      </c>
      <c r="D16">
        <v>139</v>
      </c>
      <c r="E16">
        <v>139</v>
      </c>
    </row>
    <row r="17" spans="2:5">
      <c r="B17" t="s">
        <v>336</v>
      </c>
      <c r="C17">
        <v>116</v>
      </c>
      <c r="D17">
        <v>116</v>
      </c>
      <c r="E17">
        <v>116</v>
      </c>
    </row>
    <row r="18" spans="2:5">
      <c r="B18" t="s">
        <v>346</v>
      </c>
      <c r="C18">
        <v>23</v>
      </c>
      <c r="D18">
        <v>23</v>
      </c>
      <c r="E18">
        <v>23</v>
      </c>
    </row>
    <row r="19" spans="1:5">
      <c r="A19" t="s">
        <v>111</v>
      </c>
      <c r="C19">
        <v>65</v>
      </c>
      <c r="D19">
        <v>65</v>
      </c>
      <c r="E19">
        <v>65</v>
      </c>
    </row>
    <row r="20" spans="2:5">
      <c r="B20" t="s">
        <v>316</v>
      </c>
      <c r="C20">
        <v>20</v>
      </c>
      <c r="D20">
        <v>20</v>
      </c>
      <c r="E20">
        <v>20</v>
      </c>
    </row>
    <row r="21" spans="2:5">
      <c r="B21" t="s">
        <v>374</v>
      </c>
      <c r="C21">
        <v>20</v>
      </c>
      <c r="D21">
        <v>20</v>
      </c>
      <c r="E21">
        <v>20</v>
      </c>
    </row>
    <row r="22" spans="2:5">
      <c r="B22" t="s">
        <v>344</v>
      </c>
      <c r="C22">
        <v>15</v>
      </c>
      <c r="D22">
        <v>15</v>
      </c>
      <c r="E22">
        <v>15</v>
      </c>
    </row>
    <row r="23" spans="2:5">
      <c r="B23" t="s">
        <v>343</v>
      </c>
      <c r="C23">
        <v>10</v>
      </c>
      <c r="D23">
        <v>10</v>
      </c>
      <c r="E23">
        <v>10</v>
      </c>
    </row>
    <row r="24" spans="1:5">
      <c r="A24" t="s">
        <v>6</v>
      </c>
      <c r="C24">
        <v>268</v>
      </c>
      <c r="D24">
        <v>268</v>
      </c>
      <c r="E24">
        <v>268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91"/>
  <sheetViews>
    <sheetView topLeftCell="B1" workbookViewId="0">
      <selection activeCell="L18" sqref="L18"/>
    </sheetView>
  </sheetViews>
  <sheetFormatPr defaultColWidth="8.88888888888889" defaultRowHeight="14.4"/>
  <cols>
    <col min="4" max="4" width="43.7777777777778" customWidth="1"/>
    <col min="16" max="16" width="36" customWidth="1"/>
  </cols>
  <sheetData>
    <row r="1" spans="1:1">
      <c r="A1" t="s">
        <v>115</v>
      </c>
    </row>
    <row r="2" spans="1:1">
      <c r="A2" t="s">
        <v>117</v>
      </c>
    </row>
    <row r="3" spans="1:1">
      <c r="A3" t="s">
        <v>119</v>
      </c>
    </row>
    <row r="4" spans="1:1">
      <c r="A4" t="s">
        <v>120</v>
      </c>
    </row>
    <row r="5" spans="1:1">
      <c r="A5" t="s">
        <v>121</v>
      </c>
    </row>
    <row r="8" spans="1:29">
      <c r="A8" t="s">
        <v>123</v>
      </c>
      <c r="B8" t="s">
        <v>124</v>
      </c>
      <c r="C8" t="s">
        <v>125</v>
      </c>
      <c r="D8" t="s">
        <v>3</v>
      </c>
      <c r="E8" t="s">
        <v>126</v>
      </c>
      <c r="F8" t="s">
        <v>2</v>
      </c>
      <c r="G8" t="s">
        <v>127</v>
      </c>
      <c r="H8" t="s">
        <v>128</v>
      </c>
      <c r="I8" t="s">
        <v>1</v>
      </c>
      <c r="J8" t="s">
        <v>129</v>
      </c>
      <c r="K8" t="s">
        <v>130</v>
      </c>
      <c r="L8" t="s">
        <v>131</v>
      </c>
      <c r="M8" t="s">
        <v>132</v>
      </c>
      <c r="N8" t="s">
        <v>133</v>
      </c>
      <c r="O8" t="s">
        <v>134</v>
      </c>
      <c r="P8" t="s">
        <v>135</v>
      </c>
      <c r="Q8" t="s">
        <v>136</v>
      </c>
      <c r="R8" t="s">
        <v>137</v>
      </c>
      <c r="S8" t="s">
        <v>138</v>
      </c>
      <c r="T8" t="s">
        <v>139</v>
      </c>
      <c r="U8" t="s">
        <v>140</v>
      </c>
      <c r="V8" t="s">
        <v>141</v>
      </c>
      <c r="W8" t="s">
        <v>142</v>
      </c>
      <c r="X8" t="s">
        <v>143</v>
      </c>
      <c r="Y8" t="s">
        <v>144</v>
      </c>
      <c r="Z8" t="s">
        <v>145</v>
      </c>
      <c r="AA8" t="s">
        <v>146</v>
      </c>
      <c r="AB8" t="s">
        <v>147</v>
      </c>
      <c r="AC8" t="s">
        <v>148</v>
      </c>
    </row>
    <row r="9" spans="1:29">
      <c r="A9">
        <v>6</v>
      </c>
      <c r="B9" t="s">
        <v>149</v>
      </c>
      <c r="C9">
        <v>1478</v>
      </c>
      <c r="D9" t="s">
        <v>314</v>
      </c>
      <c r="F9" t="s">
        <v>111</v>
      </c>
      <c r="G9" t="s">
        <v>150</v>
      </c>
      <c r="H9" t="s">
        <v>151</v>
      </c>
      <c r="I9" t="s">
        <v>5</v>
      </c>
      <c r="J9" t="s">
        <v>152</v>
      </c>
      <c r="K9" t="s">
        <v>153</v>
      </c>
      <c r="L9">
        <v>251200002</v>
      </c>
      <c r="M9" s="84">
        <v>45993</v>
      </c>
      <c r="N9" s="84">
        <v>45993</v>
      </c>
      <c r="O9" t="s">
        <v>191</v>
      </c>
      <c r="P9" t="s">
        <v>192</v>
      </c>
      <c r="Q9">
        <v>4500</v>
      </c>
      <c r="R9">
        <v>40</v>
      </c>
      <c r="S9">
        <v>180000</v>
      </c>
      <c r="T9">
        <v>0</v>
      </c>
      <c r="U9">
        <v>0</v>
      </c>
      <c r="V9">
        <v>40</v>
      </c>
      <c r="W9">
        <v>180000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>
        <v>9</v>
      </c>
      <c r="B10" t="s">
        <v>149</v>
      </c>
      <c r="C10">
        <v>1596</v>
      </c>
      <c r="D10" t="s">
        <v>315</v>
      </c>
      <c r="F10" t="s">
        <v>111</v>
      </c>
      <c r="G10" t="s">
        <v>150</v>
      </c>
      <c r="H10" t="s">
        <v>151</v>
      </c>
      <c r="I10" t="s">
        <v>5</v>
      </c>
      <c r="J10" t="s">
        <v>152</v>
      </c>
      <c r="K10" t="s">
        <v>153</v>
      </c>
      <c r="L10">
        <v>251200004</v>
      </c>
      <c r="M10" s="84">
        <v>45993</v>
      </c>
      <c r="N10" s="84">
        <v>45993</v>
      </c>
      <c r="O10" t="s">
        <v>191</v>
      </c>
      <c r="P10" t="s">
        <v>192</v>
      </c>
      <c r="Q10">
        <v>4500</v>
      </c>
      <c r="R10">
        <v>4</v>
      </c>
      <c r="S10">
        <v>18000</v>
      </c>
      <c r="T10">
        <v>0</v>
      </c>
      <c r="U10">
        <v>0</v>
      </c>
      <c r="V10">
        <v>4</v>
      </c>
      <c r="W10">
        <v>18000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>
        <v>11</v>
      </c>
      <c r="B11" t="s">
        <v>149</v>
      </c>
      <c r="C11">
        <v>1596</v>
      </c>
      <c r="D11" t="s">
        <v>315</v>
      </c>
      <c r="F11" t="s">
        <v>111</v>
      </c>
      <c r="G11" t="s">
        <v>150</v>
      </c>
      <c r="H11" t="s">
        <v>151</v>
      </c>
      <c r="I11" t="s">
        <v>4</v>
      </c>
      <c r="J11" t="s">
        <v>152</v>
      </c>
      <c r="K11" t="s">
        <v>153</v>
      </c>
      <c r="L11">
        <v>251200004</v>
      </c>
      <c r="M11" s="84">
        <v>45993</v>
      </c>
      <c r="N11" s="84">
        <v>45993</v>
      </c>
      <c r="O11" t="s">
        <v>160</v>
      </c>
      <c r="P11" t="s">
        <v>161</v>
      </c>
      <c r="Q11">
        <v>5500</v>
      </c>
      <c r="R11">
        <v>34</v>
      </c>
      <c r="S11">
        <v>187000</v>
      </c>
      <c r="T11">
        <v>0</v>
      </c>
      <c r="U11">
        <v>0</v>
      </c>
      <c r="V11">
        <v>34</v>
      </c>
      <c r="W11">
        <v>187000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>
        <v>12</v>
      </c>
      <c r="B12" t="s">
        <v>149</v>
      </c>
      <c r="C12">
        <v>1596</v>
      </c>
      <c r="D12" t="s">
        <v>315</v>
      </c>
      <c r="F12" t="s">
        <v>111</v>
      </c>
      <c r="G12" t="s">
        <v>150</v>
      </c>
      <c r="H12" t="s">
        <v>151</v>
      </c>
      <c r="I12" t="s">
        <v>4</v>
      </c>
      <c r="J12" t="s">
        <v>152</v>
      </c>
      <c r="K12" t="s">
        <v>153</v>
      </c>
      <c r="L12">
        <v>251200004</v>
      </c>
      <c r="M12" s="84">
        <v>45993</v>
      </c>
      <c r="N12" s="84">
        <v>45993</v>
      </c>
      <c r="O12" t="s">
        <v>177</v>
      </c>
      <c r="P12" t="s">
        <v>178</v>
      </c>
      <c r="Q12">
        <v>5500</v>
      </c>
      <c r="R12">
        <v>7</v>
      </c>
      <c r="S12">
        <v>38500</v>
      </c>
      <c r="T12">
        <v>0</v>
      </c>
      <c r="U12">
        <v>0</v>
      </c>
      <c r="V12">
        <v>7</v>
      </c>
      <c r="W12">
        <v>38500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>
        <v>13</v>
      </c>
      <c r="B13" t="s">
        <v>149</v>
      </c>
      <c r="C13">
        <v>1596</v>
      </c>
      <c r="D13" t="s">
        <v>315</v>
      </c>
      <c r="F13" t="s">
        <v>111</v>
      </c>
      <c r="G13" t="s">
        <v>150</v>
      </c>
      <c r="H13" t="s">
        <v>151</v>
      </c>
      <c r="I13" t="s">
        <v>4</v>
      </c>
      <c r="J13" t="s">
        <v>152</v>
      </c>
      <c r="K13" t="s">
        <v>153</v>
      </c>
      <c r="L13">
        <v>251200004</v>
      </c>
      <c r="M13" s="84">
        <v>45993</v>
      </c>
      <c r="N13" s="84">
        <v>45993</v>
      </c>
      <c r="O13" t="s">
        <v>248</v>
      </c>
      <c r="P13" t="s">
        <v>249</v>
      </c>
      <c r="Q13">
        <v>5500</v>
      </c>
      <c r="R13">
        <v>10</v>
      </c>
      <c r="S13">
        <v>55000</v>
      </c>
      <c r="T13">
        <v>0</v>
      </c>
      <c r="U13">
        <v>0</v>
      </c>
      <c r="V13">
        <v>10</v>
      </c>
      <c r="W13">
        <v>55000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>
        <v>14</v>
      </c>
      <c r="B14" t="s">
        <v>149</v>
      </c>
      <c r="C14">
        <v>1551</v>
      </c>
      <c r="D14" t="s">
        <v>316</v>
      </c>
      <c r="F14" t="s">
        <v>111</v>
      </c>
      <c r="G14" t="s">
        <v>150</v>
      </c>
      <c r="H14" t="s">
        <v>151</v>
      </c>
      <c r="I14" t="s">
        <v>5</v>
      </c>
      <c r="J14" t="s">
        <v>152</v>
      </c>
      <c r="K14" t="s">
        <v>153</v>
      </c>
      <c r="L14">
        <v>251200005</v>
      </c>
      <c r="M14" s="84">
        <v>45993</v>
      </c>
      <c r="N14" s="84">
        <v>45993</v>
      </c>
      <c r="O14" t="s">
        <v>191</v>
      </c>
      <c r="P14" t="s">
        <v>192</v>
      </c>
      <c r="Q14">
        <v>4500</v>
      </c>
      <c r="R14">
        <v>8</v>
      </c>
      <c r="S14">
        <v>36000</v>
      </c>
      <c r="T14">
        <v>0</v>
      </c>
      <c r="U14">
        <v>0</v>
      </c>
      <c r="V14">
        <v>8</v>
      </c>
      <c r="W14">
        <v>36000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>
        <v>17</v>
      </c>
      <c r="B15" t="s">
        <v>149</v>
      </c>
      <c r="C15">
        <v>1551</v>
      </c>
      <c r="D15" t="s">
        <v>316</v>
      </c>
      <c r="F15" t="s">
        <v>111</v>
      </c>
      <c r="G15" t="s">
        <v>150</v>
      </c>
      <c r="H15" t="s">
        <v>151</v>
      </c>
      <c r="I15" t="s">
        <v>5</v>
      </c>
      <c r="J15" t="s">
        <v>152</v>
      </c>
      <c r="K15" t="s">
        <v>153</v>
      </c>
      <c r="L15">
        <v>251200005</v>
      </c>
      <c r="M15" s="84">
        <v>45993</v>
      </c>
      <c r="N15" s="84">
        <v>45993</v>
      </c>
      <c r="O15" t="s">
        <v>271</v>
      </c>
      <c r="P15" t="s">
        <v>272</v>
      </c>
      <c r="Q15">
        <v>4500</v>
      </c>
      <c r="R15">
        <v>8</v>
      </c>
      <c r="S15">
        <v>36000</v>
      </c>
      <c r="T15">
        <v>0</v>
      </c>
      <c r="U15">
        <v>0</v>
      </c>
      <c r="V15">
        <v>8</v>
      </c>
      <c r="W15">
        <v>36000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>
        <v>20</v>
      </c>
      <c r="B16" t="s">
        <v>149</v>
      </c>
      <c r="C16">
        <v>1553</v>
      </c>
      <c r="D16" t="s">
        <v>317</v>
      </c>
      <c r="F16" t="s">
        <v>43</v>
      </c>
      <c r="G16" t="s">
        <v>150</v>
      </c>
      <c r="H16" t="s">
        <v>151</v>
      </c>
      <c r="I16" t="s">
        <v>5</v>
      </c>
      <c r="J16" t="s">
        <v>152</v>
      </c>
      <c r="K16" t="s">
        <v>153</v>
      </c>
      <c r="L16">
        <v>251200006</v>
      </c>
      <c r="M16" s="84">
        <v>45993</v>
      </c>
      <c r="N16" s="84">
        <v>45993</v>
      </c>
      <c r="O16" t="s">
        <v>191</v>
      </c>
      <c r="P16" t="s">
        <v>192</v>
      </c>
      <c r="Q16">
        <v>4500</v>
      </c>
      <c r="R16">
        <v>20</v>
      </c>
      <c r="S16">
        <v>90000</v>
      </c>
      <c r="T16">
        <v>0</v>
      </c>
      <c r="U16">
        <v>0</v>
      </c>
      <c r="V16">
        <v>20</v>
      </c>
      <c r="W16">
        <v>90000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>
        <v>21</v>
      </c>
      <c r="B17" t="s">
        <v>149</v>
      </c>
      <c r="C17">
        <v>1553</v>
      </c>
      <c r="D17" t="s">
        <v>317</v>
      </c>
      <c r="F17" t="s">
        <v>43</v>
      </c>
      <c r="G17" t="s">
        <v>150</v>
      </c>
      <c r="H17" t="s">
        <v>151</v>
      </c>
      <c r="I17" t="s">
        <v>4</v>
      </c>
      <c r="J17" t="s">
        <v>152</v>
      </c>
      <c r="K17" t="s">
        <v>153</v>
      </c>
      <c r="L17">
        <v>251200006</v>
      </c>
      <c r="M17" s="84">
        <v>45993</v>
      </c>
      <c r="N17" s="84">
        <v>45993</v>
      </c>
      <c r="O17" t="s">
        <v>160</v>
      </c>
      <c r="P17" t="s">
        <v>161</v>
      </c>
      <c r="Q17">
        <v>5500</v>
      </c>
      <c r="R17">
        <v>45</v>
      </c>
      <c r="S17">
        <v>247500</v>
      </c>
      <c r="T17">
        <v>0</v>
      </c>
      <c r="U17">
        <v>0</v>
      </c>
      <c r="V17">
        <v>45</v>
      </c>
      <c r="W17">
        <v>247500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22</v>
      </c>
      <c r="B18" t="s">
        <v>149</v>
      </c>
      <c r="C18">
        <v>1553</v>
      </c>
      <c r="D18" t="s">
        <v>317</v>
      </c>
      <c r="F18" t="s">
        <v>43</v>
      </c>
      <c r="G18" t="s">
        <v>150</v>
      </c>
      <c r="H18" t="s">
        <v>151</v>
      </c>
      <c r="I18" t="s">
        <v>4</v>
      </c>
      <c r="J18" t="s">
        <v>152</v>
      </c>
      <c r="K18" t="s">
        <v>153</v>
      </c>
      <c r="L18">
        <v>251200006</v>
      </c>
      <c r="M18" s="84">
        <v>45993</v>
      </c>
      <c r="N18" s="84">
        <v>45993</v>
      </c>
      <c r="O18" t="s">
        <v>219</v>
      </c>
      <c r="P18" t="s">
        <v>220</v>
      </c>
      <c r="Q18">
        <v>5500</v>
      </c>
      <c r="R18">
        <v>20</v>
      </c>
      <c r="S18">
        <v>110000</v>
      </c>
      <c r="T18">
        <v>0</v>
      </c>
      <c r="U18">
        <v>0</v>
      </c>
      <c r="V18">
        <v>20</v>
      </c>
      <c r="W18">
        <v>110000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23</v>
      </c>
      <c r="B19" t="s">
        <v>149</v>
      </c>
      <c r="C19">
        <v>1553</v>
      </c>
      <c r="D19" t="s">
        <v>317</v>
      </c>
      <c r="F19" t="s">
        <v>43</v>
      </c>
      <c r="G19" t="s">
        <v>150</v>
      </c>
      <c r="H19" t="s">
        <v>151</v>
      </c>
      <c r="I19" t="s">
        <v>4</v>
      </c>
      <c r="J19" t="s">
        <v>152</v>
      </c>
      <c r="K19" t="s">
        <v>153</v>
      </c>
      <c r="L19">
        <v>251200006</v>
      </c>
      <c r="M19" s="84">
        <v>45993</v>
      </c>
      <c r="N19" s="84">
        <v>45993</v>
      </c>
      <c r="O19" t="s">
        <v>179</v>
      </c>
      <c r="P19" t="s">
        <v>180</v>
      </c>
      <c r="Q19">
        <v>5500</v>
      </c>
      <c r="R19">
        <v>10</v>
      </c>
      <c r="S19">
        <v>55000</v>
      </c>
      <c r="T19">
        <v>0</v>
      </c>
      <c r="U19">
        <v>0</v>
      </c>
      <c r="V19">
        <v>10</v>
      </c>
      <c r="W19">
        <v>55000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24</v>
      </c>
      <c r="B20" t="s">
        <v>149</v>
      </c>
      <c r="C20">
        <v>1553</v>
      </c>
      <c r="D20" t="s">
        <v>317</v>
      </c>
      <c r="F20" t="s">
        <v>43</v>
      </c>
      <c r="G20" t="s">
        <v>150</v>
      </c>
      <c r="H20" t="s">
        <v>151</v>
      </c>
      <c r="I20" t="s">
        <v>4</v>
      </c>
      <c r="J20" t="s">
        <v>152</v>
      </c>
      <c r="K20" t="s">
        <v>153</v>
      </c>
      <c r="L20">
        <v>251200006</v>
      </c>
      <c r="M20" s="84">
        <v>45993</v>
      </c>
      <c r="N20" s="84">
        <v>45993</v>
      </c>
      <c r="O20" t="s">
        <v>177</v>
      </c>
      <c r="P20" t="s">
        <v>178</v>
      </c>
      <c r="Q20">
        <v>5500</v>
      </c>
      <c r="R20">
        <v>10</v>
      </c>
      <c r="S20">
        <v>55000</v>
      </c>
      <c r="T20">
        <v>0</v>
      </c>
      <c r="U20">
        <v>0</v>
      </c>
      <c r="V20">
        <v>10</v>
      </c>
      <c r="W20">
        <v>55000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>
        <v>25</v>
      </c>
      <c r="B21" t="s">
        <v>149</v>
      </c>
      <c r="C21">
        <v>1335</v>
      </c>
      <c r="D21" t="s">
        <v>318</v>
      </c>
      <c r="F21" t="s">
        <v>43</v>
      </c>
      <c r="G21" t="s">
        <v>150</v>
      </c>
      <c r="H21" t="s">
        <v>151</v>
      </c>
      <c r="I21" t="s">
        <v>5</v>
      </c>
      <c r="J21" t="s">
        <v>152</v>
      </c>
      <c r="K21" t="s">
        <v>153</v>
      </c>
      <c r="L21">
        <v>251200007</v>
      </c>
      <c r="M21" s="84">
        <v>45993</v>
      </c>
      <c r="N21" s="84">
        <v>45993</v>
      </c>
      <c r="O21" t="s">
        <v>273</v>
      </c>
      <c r="P21" t="s">
        <v>274</v>
      </c>
      <c r="Q21">
        <v>4500</v>
      </c>
      <c r="R21">
        <v>40</v>
      </c>
      <c r="S21">
        <v>180000</v>
      </c>
      <c r="T21">
        <v>0</v>
      </c>
      <c r="U21">
        <v>0</v>
      </c>
      <c r="V21">
        <v>40</v>
      </c>
      <c r="W21">
        <v>180000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26</v>
      </c>
      <c r="B22" t="s">
        <v>149</v>
      </c>
      <c r="C22">
        <v>1335</v>
      </c>
      <c r="D22" t="s">
        <v>318</v>
      </c>
      <c r="F22" t="s">
        <v>43</v>
      </c>
      <c r="G22" t="s">
        <v>150</v>
      </c>
      <c r="H22" t="s">
        <v>151</v>
      </c>
      <c r="I22" t="s">
        <v>5</v>
      </c>
      <c r="J22" t="s">
        <v>152</v>
      </c>
      <c r="K22" t="s">
        <v>153</v>
      </c>
      <c r="L22">
        <v>251200007</v>
      </c>
      <c r="M22" s="84">
        <v>45993</v>
      </c>
      <c r="N22" s="84">
        <v>45993</v>
      </c>
      <c r="O22" t="s">
        <v>196</v>
      </c>
      <c r="P22" t="s">
        <v>197</v>
      </c>
      <c r="Q22">
        <v>4500</v>
      </c>
      <c r="R22">
        <v>20</v>
      </c>
      <c r="S22">
        <v>90000</v>
      </c>
      <c r="T22">
        <v>0</v>
      </c>
      <c r="U22">
        <v>0</v>
      </c>
      <c r="V22">
        <v>20</v>
      </c>
      <c r="W22">
        <v>90000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28</v>
      </c>
      <c r="B23" t="s">
        <v>149</v>
      </c>
      <c r="C23">
        <v>1320</v>
      </c>
      <c r="D23" t="s">
        <v>319</v>
      </c>
      <c r="F23" t="s">
        <v>171</v>
      </c>
      <c r="G23" t="s">
        <v>172</v>
      </c>
      <c r="H23" t="s">
        <v>157</v>
      </c>
      <c r="I23" t="s">
        <v>4</v>
      </c>
      <c r="J23" t="s">
        <v>152</v>
      </c>
      <c r="K23" t="s">
        <v>174</v>
      </c>
      <c r="L23">
        <v>251200008</v>
      </c>
      <c r="M23" s="84">
        <v>45993</v>
      </c>
      <c r="N23" s="84">
        <v>45993</v>
      </c>
      <c r="O23" t="s">
        <v>290</v>
      </c>
      <c r="P23" t="s">
        <v>291</v>
      </c>
      <c r="Q23">
        <v>5500</v>
      </c>
      <c r="R23">
        <v>25</v>
      </c>
      <c r="S23">
        <v>137500</v>
      </c>
      <c r="T23">
        <v>0</v>
      </c>
      <c r="U23">
        <v>0</v>
      </c>
      <c r="V23">
        <v>25</v>
      </c>
      <c r="W23">
        <v>137500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33</v>
      </c>
      <c r="B24" t="s">
        <v>149</v>
      </c>
      <c r="C24">
        <v>1438</v>
      </c>
      <c r="D24" t="s">
        <v>320</v>
      </c>
      <c r="F24" t="s">
        <v>171</v>
      </c>
      <c r="G24" t="s">
        <v>172</v>
      </c>
      <c r="H24" t="s">
        <v>157</v>
      </c>
      <c r="I24" t="s">
        <v>4</v>
      </c>
      <c r="J24" t="s">
        <v>152</v>
      </c>
      <c r="K24" t="s">
        <v>174</v>
      </c>
      <c r="L24">
        <v>251200010</v>
      </c>
      <c r="M24" s="84">
        <v>45993</v>
      </c>
      <c r="N24" s="84">
        <v>45993</v>
      </c>
      <c r="O24" t="s">
        <v>321</v>
      </c>
      <c r="P24" t="s">
        <v>322</v>
      </c>
      <c r="Q24">
        <v>5500</v>
      </c>
      <c r="R24">
        <v>20</v>
      </c>
      <c r="S24">
        <v>110000</v>
      </c>
      <c r="T24">
        <v>0</v>
      </c>
      <c r="U24">
        <v>0</v>
      </c>
      <c r="V24">
        <v>20</v>
      </c>
      <c r="W24">
        <v>110000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>
        <v>36</v>
      </c>
      <c r="B25" t="s">
        <v>149</v>
      </c>
      <c r="C25">
        <v>1455</v>
      </c>
      <c r="D25" t="s">
        <v>323</v>
      </c>
      <c r="F25" t="s">
        <v>171</v>
      </c>
      <c r="G25" t="s">
        <v>172</v>
      </c>
      <c r="H25" t="s">
        <v>157</v>
      </c>
      <c r="I25" t="s">
        <v>4</v>
      </c>
      <c r="J25" t="s">
        <v>152</v>
      </c>
      <c r="K25" t="s">
        <v>174</v>
      </c>
      <c r="L25">
        <v>251200011</v>
      </c>
      <c r="M25" s="84">
        <v>45993</v>
      </c>
      <c r="N25" s="84">
        <v>45993</v>
      </c>
      <c r="O25" t="s">
        <v>248</v>
      </c>
      <c r="P25" t="s">
        <v>249</v>
      </c>
      <c r="Q25">
        <v>5500</v>
      </c>
      <c r="R25">
        <v>10</v>
      </c>
      <c r="S25">
        <v>55000</v>
      </c>
      <c r="T25">
        <v>0</v>
      </c>
      <c r="U25">
        <v>0</v>
      </c>
      <c r="V25">
        <v>10</v>
      </c>
      <c r="W25">
        <v>55000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>
        <v>38</v>
      </c>
      <c r="B26" t="s">
        <v>149</v>
      </c>
      <c r="C26">
        <v>1325</v>
      </c>
      <c r="D26" t="s">
        <v>324</v>
      </c>
      <c r="F26" t="s">
        <v>171</v>
      </c>
      <c r="G26" t="s">
        <v>172</v>
      </c>
      <c r="H26" t="s">
        <v>157</v>
      </c>
      <c r="I26" t="s">
        <v>4</v>
      </c>
      <c r="J26" t="s">
        <v>152</v>
      </c>
      <c r="K26" t="s">
        <v>174</v>
      </c>
      <c r="L26">
        <v>251200012</v>
      </c>
      <c r="M26" s="84">
        <v>45993</v>
      </c>
      <c r="N26" s="84">
        <v>45993</v>
      </c>
      <c r="O26" t="s">
        <v>321</v>
      </c>
      <c r="P26" t="s">
        <v>322</v>
      </c>
      <c r="Q26">
        <v>5500</v>
      </c>
      <c r="R26">
        <v>10</v>
      </c>
      <c r="S26">
        <v>55000</v>
      </c>
      <c r="T26">
        <v>0</v>
      </c>
      <c r="U26">
        <v>0</v>
      </c>
      <c r="V26">
        <v>10</v>
      </c>
      <c r="W26">
        <v>55000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41</v>
      </c>
      <c r="B27" t="s">
        <v>149</v>
      </c>
      <c r="C27">
        <v>1562</v>
      </c>
      <c r="D27" t="s">
        <v>325</v>
      </c>
      <c r="F27" t="s">
        <v>10</v>
      </c>
      <c r="G27" t="s">
        <v>172</v>
      </c>
      <c r="H27" t="s">
        <v>157</v>
      </c>
      <c r="I27" t="s">
        <v>4</v>
      </c>
      <c r="J27" t="s">
        <v>152</v>
      </c>
      <c r="K27" t="s">
        <v>174</v>
      </c>
      <c r="L27">
        <v>251200013</v>
      </c>
      <c r="M27" s="84">
        <v>45993</v>
      </c>
      <c r="N27" s="84">
        <v>45993</v>
      </c>
      <c r="O27" t="s">
        <v>321</v>
      </c>
      <c r="P27" t="s">
        <v>322</v>
      </c>
      <c r="Q27">
        <v>5500</v>
      </c>
      <c r="R27">
        <v>10</v>
      </c>
      <c r="S27">
        <v>55000</v>
      </c>
      <c r="T27">
        <v>0</v>
      </c>
      <c r="U27">
        <v>0</v>
      </c>
      <c r="V27">
        <v>10</v>
      </c>
      <c r="W27">
        <v>55000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>
        <v>44</v>
      </c>
      <c r="B28" t="s">
        <v>149</v>
      </c>
      <c r="C28">
        <v>1523</v>
      </c>
      <c r="D28" t="s">
        <v>326</v>
      </c>
      <c r="F28" t="s">
        <v>10</v>
      </c>
      <c r="G28" t="s">
        <v>172</v>
      </c>
      <c r="H28" t="s">
        <v>157</v>
      </c>
      <c r="I28" t="s">
        <v>4</v>
      </c>
      <c r="J28" t="s">
        <v>152</v>
      </c>
      <c r="K28" t="s">
        <v>174</v>
      </c>
      <c r="L28">
        <v>251200014</v>
      </c>
      <c r="M28" s="84">
        <v>45993</v>
      </c>
      <c r="N28" s="84">
        <v>45993</v>
      </c>
      <c r="O28" t="s">
        <v>327</v>
      </c>
      <c r="P28" t="s">
        <v>328</v>
      </c>
      <c r="Q28">
        <v>5500</v>
      </c>
      <c r="R28">
        <v>5</v>
      </c>
      <c r="S28">
        <v>27500</v>
      </c>
      <c r="T28">
        <v>0</v>
      </c>
      <c r="U28">
        <v>0</v>
      </c>
      <c r="V28">
        <v>5</v>
      </c>
      <c r="W28">
        <v>27500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>
        <v>46</v>
      </c>
      <c r="B29" t="s">
        <v>149</v>
      </c>
      <c r="C29">
        <v>1569</v>
      </c>
      <c r="D29" t="s">
        <v>329</v>
      </c>
      <c r="F29" t="s">
        <v>10</v>
      </c>
      <c r="G29" t="s">
        <v>172</v>
      </c>
      <c r="H29" t="s">
        <v>157</v>
      </c>
      <c r="I29" t="s">
        <v>4</v>
      </c>
      <c r="J29" t="s">
        <v>152</v>
      </c>
      <c r="K29" t="s">
        <v>174</v>
      </c>
      <c r="L29">
        <v>251200015</v>
      </c>
      <c r="M29" s="84">
        <v>45993</v>
      </c>
      <c r="N29" s="84">
        <v>45993</v>
      </c>
      <c r="O29" t="s">
        <v>204</v>
      </c>
      <c r="P29" t="s">
        <v>205</v>
      </c>
      <c r="Q29">
        <v>5500</v>
      </c>
      <c r="R29">
        <v>5</v>
      </c>
      <c r="S29">
        <v>27500</v>
      </c>
      <c r="T29">
        <v>0</v>
      </c>
      <c r="U29">
        <v>0</v>
      </c>
      <c r="V29">
        <v>5</v>
      </c>
      <c r="W29">
        <v>27500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>
        <v>47</v>
      </c>
      <c r="B30" t="s">
        <v>149</v>
      </c>
      <c r="C30">
        <v>1569</v>
      </c>
      <c r="D30" t="s">
        <v>329</v>
      </c>
      <c r="F30" t="s">
        <v>10</v>
      </c>
      <c r="G30" t="s">
        <v>172</v>
      </c>
      <c r="H30" t="s">
        <v>157</v>
      </c>
      <c r="I30" t="s">
        <v>4</v>
      </c>
      <c r="J30" t="s">
        <v>152</v>
      </c>
      <c r="K30" t="s">
        <v>174</v>
      </c>
      <c r="L30">
        <v>251200015</v>
      </c>
      <c r="M30" s="84">
        <v>45993</v>
      </c>
      <c r="N30" s="84">
        <v>45993</v>
      </c>
      <c r="O30" t="s">
        <v>206</v>
      </c>
      <c r="P30" t="s">
        <v>207</v>
      </c>
      <c r="Q30">
        <v>5500</v>
      </c>
      <c r="R30">
        <v>5</v>
      </c>
      <c r="S30">
        <v>27500</v>
      </c>
      <c r="T30">
        <v>0</v>
      </c>
      <c r="U30">
        <v>0</v>
      </c>
      <c r="V30">
        <v>5</v>
      </c>
      <c r="W30">
        <v>27500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>
        <v>51</v>
      </c>
      <c r="B31" t="s">
        <v>149</v>
      </c>
      <c r="C31">
        <v>1533</v>
      </c>
      <c r="D31" t="s">
        <v>330</v>
      </c>
      <c r="F31" t="s">
        <v>65</v>
      </c>
      <c r="G31" t="s">
        <v>208</v>
      </c>
      <c r="H31" t="s">
        <v>157</v>
      </c>
      <c r="I31" t="s">
        <v>4</v>
      </c>
      <c r="J31" t="s">
        <v>152</v>
      </c>
      <c r="K31" t="s">
        <v>174</v>
      </c>
      <c r="L31">
        <v>251200016</v>
      </c>
      <c r="M31" s="84">
        <v>45993</v>
      </c>
      <c r="N31" s="84">
        <v>45993</v>
      </c>
      <c r="O31" t="s">
        <v>256</v>
      </c>
      <c r="P31" t="s">
        <v>257</v>
      </c>
      <c r="Q31">
        <v>5500</v>
      </c>
      <c r="R31">
        <v>10</v>
      </c>
      <c r="S31">
        <v>55000</v>
      </c>
      <c r="T31">
        <v>0</v>
      </c>
      <c r="U31">
        <v>0</v>
      </c>
      <c r="V31">
        <v>10</v>
      </c>
      <c r="W31">
        <v>55000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>
        <v>55</v>
      </c>
      <c r="B32" t="s">
        <v>149</v>
      </c>
      <c r="C32">
        <v>1484</v>
      </c>
      <c r="D32" t="s">
        <v>331</v>
      </c>
      <c r="F32" t="s">
        <v>71</v>
      </c>
      <c r="G32" t="s">
        <v>305</v>
      </c>
      <c r="H32" t="s">
        <v>157</v>
      </c>
      <c r="I32" t="s">
        <v>4</v>
      </c>
      <c r="J32" t="s">
        <v>152</v>
      </c>
      <c r="K32" t="s">
        <v>174</v>
      </c>
      <c r="L32">
        <v>251200018</v>
      </c>
      <c r="M32" s="84">
        <v>45993</v>
      </c>
      <c r="N32" s="84">
        <v>45993</v>
      </c>
      <c r="O32" t="s">
        <v>204</v>
      </c>
      <c r="P32" t="s">
        <v>205</v>
      </c>
      <c r="Q32">
        <v>5500</v>
      </c>
      <c r="R32">
        <v>5</v>
      </c>
      <c r="S32">
        <v>27500</v>
      </c>
      <c r="T32">
        <v>0</v>
      </c>
      <c r="U32">
        <v>0</v>
      </c>
      <c r="V32">
        <v>5</v>
      </c>
      <c r="W32">
        <v>27500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>
        <v>56</v>
      </c>
      <c r="B33" t="s">
        <v>149</v>
      </c>
      <c r="C33">
        <v>1484</v>
      </c>
      <c r="D33" t="s">
        <v>331</v>
      </c>
      <c r="F33" t="s">
        <v>71</v>
      </c>
      <c r="G33" t="s">
        <v>305</v>
      </c>
      <c r="H33" t="s">
        <v>157</v>
      </c>
      <c r="I33" t="s">
        <v>4</v>
      </c>
      <c r="J33" t="s">
        <v>152</v>
      </c>
      <c r="K33" t="s">
        <v>174</v>
      </c>
      <c r="L33">
        <v>251200018</v>
      </c>
      <c r="M33" s="84">
        <v>45993</v>
      </c>
      <c r="N33" s="84">
        <v>45993</v>
      </c>
      <c r="O33" t="s">
        <v>160</v>
      </c>
      <c r="P33" t="s">
        <v>161</v>
      </c>
      <c r="Q33">
        <v>5500</v>
      </c>
      <c r="R33">
        <v>5</v>
      </c>
      <c r="S33">
        <v>27500</v>
      </c>
      <c r="T33">
        <v>0</v>
      </c>
      <c r="U33">
        <v>0</v>
      </c>
      <c r="V33">
        <v>5</v>
      </c>
      <c r="W33">
        <v>27500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>
        <v>58</v>
      </c>
      <c r="B34" t="s">
        <v>149</v>
      </c>
      <c r="C34">
        <v>1345</v>
      </c>
      <c r="D34" t="s">
        <v>332</v>
      </c>
      <c r="F34" t="s">
        <v>71</v>
      </c>
      <c r="G34" t="s">
        <v>305</v>
      </c>
      <c r="H34" t="s">
        <v>157</v>
      </c>
      <c r="I34" t="s">
        <v>4</v>
      </c>
      <c r="J34" t="s">
        <v>152</v>
      </c>
      <c r="K34" t="s">
        <v>174</v>
      </c>
      <c r="L34">
        <v>251200019</v>
      </c>
      <c r="M34" s="84">
        <v>45993</v>
      </c>
      <c r="N34" s="84">
        <v>45993</v>
      </c>
      <c r="O34" t="s">
        <v>160</v>
      </c>
      <c r="P34" t="s">
        <v>161</v>
      </c>
      <c r="Q34">
        <v>5500</v>
      </c>
      <c r="R34">
        <v>10</v>
      </c>
      <c r="S34">
        <v>55000</v>
      </c>
      <c r="T34">
        <v>0</v>
      </c>
      <c r="U34">
        <v>0</v>
      </c>
      <c r="V34">
        <v>10</v>
      </c>
      <c r="W34">
        <v>55000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>
        <v>60</v>
      </c>
      <c r="B35" t="s">
        <v>149</v>
      </c>
      <c r="C35">
        <v>1520</v>
      </c>
      <c r="D35" t="s">
        <v>333</v>
      </c>
      <c r="F35" t="s">
        <v>38</v>
      </c>
      <c r="G35" t="s">
        <v>202</v>
      </c>
      <c r="H35" t="s">
        <v>157</v>
      </c>
      <c r="I35" t="s">
        <v>4</v>
      </c>
      <c r="J35" t="s">
        <v>152</v>
      </c>
      <c r="K35" t="s">
        <v>203</v>
      </c>
      <c r="L35">
        <v>251200020</v>
      </c>
      <c r="M35" s="84">
        <v>45993</v>
      </c>
      <c r="N35" s="84">
        <v>45993</v>
      </c>
      <c r="O35" t="s">
        <v>177</v>
      </c>
      <c r="P35" t="s">
        <v>178</v>
      </c>
      <c r="Q35">
        <v>5500</v>
      </c>
      <c r="R35">
        <v>20</v>
      </c>
      <c r="S35">
        <v>110000</v>
      </c>
      <c r="T35">
        <v>0</v>
      </c>
      <c r="U35">
        <v>0</v>
      </c>
      <c r="V35">
        <v>20</v>
      </c>
      <c r="W35">
        <v>110000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>
        <v>62</v>
      </c>
      <c r="B36" t="s">
        <v>149</v>
      </c>
      <c r="C36">
        <v>1299</v>
      </c>
      <c r="D36" t="s">
        <v>334</v>
      </c>
      <c r="F36" t="s">
        <v>83</v>
      </c>
      <c r="G36" t="s">
        <v>164</v>
      </c>
      <c r="H36" t="s">
        <v>151</v>
      </c>
      <c r="I36" t="s">
        <v>5</v>
      </c>
      <c r="J36" t="s">
        <v>152</v>
      </c>
      <c r="K36" t="s">
        <v>153</v>
      </c>
      <c r="L36">
        <v>251200021</v>
      </c>
      <c r="M36" s="84">
        <v>45993</v>
      </c>
      <c r="N36" s="84">
        <v>45993</v>
      </c>
      <c r="O36" t="s">
        <v>191</v>
      </c>
      <c r="P36" t="s">
        <v>192</v>
      </c>
      <c r="Q36">
        <v>4500</v>
      </c>
      <c r="R36">
        <v>120</v>
      </c>
      <c r="S36">
        <v>540000</v>
      </c>
      <c r="T36">
        <v>0</v>
      </c>
      <c r="U36">
        <v>0</v>
      </c>
      <c r="V36">
        <v>120</v>
      </c>
      <c r="W36">
        <v>540000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>
        <v>63</v>
      </c>
      <c r="B37" t="s">
        <v>149</v>
      </c>
      <c r="C37">
        <v>1299</v>
      </c>
      <c r="D37" t="s">
        <v>334</v>
      </c>
      <c r="F37" t="s">
        <v>83</v>
      </c>
      <c r="G37" t="s">
        <v>164</v>
      </c>
      <c r="H37" t="s">
        <v>151</v>
      </c>
      <c r="I37" t="s">
        <v>4</v>
      </c>
      <c r="J37" t="s">
        <v>152</v>
      </c>
      <c r="K37" t="s">
        <v>153</v>
      </c>
      <c r="L37">
        <v>251200021</v>
      </c>
      <c r="M37" s="84">
        <v>45993</v>
      </c>
      <c r="N37" s="84">
        <v>45993</v>
      </c>
      <c r="O37" t="s">
        <v>160</v>
      </c>
      <c r="P37" t="s">
        <v>161</v>
      </c>
      <c r="Q37">
        <v>5500</v>
      </c>
      <c r="R37">
        <v>80</v>
      </c>
      <c r="S37">
        <v>440000</v>
      </c>
      <c r="T37">
        <v>0</v>
      </c>
      <c r="U37">
        <v>0</v>
      </c>
      <c r="V37">
        <v>80</v>
      </c>
      <c r="W37">
        <v>440000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>
        <v>64</v>
      </c>
      <c r="B38" t="s">
        <v>149</v>
      </c>
      <c r="C38">
        <v>1299</v>
      </c>
      <c r="D38" t="s">
        <v>334</v>
      </c>
      <c r="F38" t="s">
        <v>83</v>
      </c>
      <c r="G38" t="s">
        <v>164</v>
      </c>
      <c r="H38" t="s">
        <v>151</v>
      </c>
      <c r="I38" t="s">
        <v>5</v>
      </c>
      <c r="J38" t="s">
        <v>152</v>
      </c>
      <c r="K38" t="s">
        <v>153</v>
      </c>
      <c r="L38">
        <v>251200021</v>
      </c>
      <c r="M38" s="84">
        <v>45993</v>
      </c>
      <c r="N38" s="84">
        <v>45993</v>
      </c>
      <c r="O38" t="s">
        <v>198</v>
      </c>
      <c r="P38" t="s">
        <v>199</v>
      </c>
      <c r="Q38">
        <v>4500</v>
      </c>
      <c r="R38">
        <v>20</v>
      </c>
      <c r="S38">
        <v>90000</v>
      </c>
      <c r="T38">
        <v>0</v>
      </c>
      <c r="U38">
        <v>0</v>
      </c>
      <c r="V38">
        <v>20</v>
      </c>
      <c r="W38">
        <v>90000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>
        <v>66</v>
      </c>
      <c r="B39" t="s">
        <v>149</v>
      </c>
      <c r="C39">
        <v>1300</v>
      </c>
      <c r="D39" t="s">
        <v>335</v>
      </c>
      <c r="F39" t="s">
        <v>83</v>
      </c>
      <c r="G39" t="s">
        <v>164</v>
      </c>
      <c r="H39" t="s">
        <v>151</v>
      </c>
      <c r="I39" t="s">
        <v>4</v>
      </c>
      <c r="J39" t="s">
        <v>152</v>
      </c>
      <c r="K39" t="s">
        <v>153</v>
      </c>
      <c r="L39">
        <v>251200022</v>
      </c>
      <c r="M39" s="84">
        <v>45993</v>
      </c>
      <c r="N39" s="84">
        <v>45993</v>
      </c>
      <c r="O39" t="s">
        <v>160</v>
      </c>
      <c r="P39" t="s">
        <v>161</v>
      </c>
      <c r="Q39">
        <v>5500</v>
      </c>
      <c r="R39">
        <v>10</v>
      </c>
      <c r="S39">
        <v>55000</v>
      </c>
      <c r="T39">
        <v>0</v>
      </c>
      <c r="U39">
        <v>0</v>
      </c>
      <c r="V39">
        <v>10</v>
      </c>
      <c r="W39">
        <v>55000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>
        <v>67</v>
      </c>
      <c r="B40" t="s">
        <v>149</v>
      </c>
      <c r="C40">
        <v>1300</v>
      </c>
      <c r="D40" t="s">
        <v>335</v>
      </c>
      <c r="F40" t="s">
        <v>83</v>
      </c>
      <c r="G40" t="s">
        <v>164</v>
      </c>
      <c r="H40" t="s">
        <v>151</v>
      </c>
      <c r="I40" t="s">
        <v>5</v>
      </c>
      <c r="J40" t="s">
        <v>152</v>
      </c>
      <c r="K40" t="s">
        <v>153</v>
      </c>
      <c r="L40">
        <v>251200022</v>
      </c>
      <c r="M40" s="84">
        <v>45993</v>
      </c>
      <c r="N40" s="84">
        <v>45993</v>
      </c>
      <c r="O40" t="s">
        <v>191</v>
      </c>
      <c r="P40" t="s">
        <v>192</v>
      </c>
      <c r="Q40">
        <v>4500</v>
      </c>
      <c r="R40">
        <v>20</v>
      </c>
      <c r="S40">
        <v>90000</v>
      </c>
      <c r="T40">
        <v>0</v>
      </c>
      <c r="U40">
        <v>0</v>
      </c>
      <c r="V40">
        <v>20</v>
      </c>
      <c r="W40">
        <v>90000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>
        <v>72</v>
      </c>
      <c r="B41" t="s">
        <v>149</v>
      </c>
      <c r="C41">
        <v>1292</v>
      </c>
      <c r="D41" t="s">
        <v>336</v>
      </c>
      <c r="F41" t="s">
        <v>73</v>
      </c>
      <c r="G41" t="s">
        <v>185</v>
      </c>
      <c r="H41" t="s">
        <v>151</v>
      </c>
      <c r="I41" t="s">
        <v>4</v>
      </c>
      <c r="J41" t="s">
        <v>152</v>
      </c>
      <c r="K41" t="s">
        <v>153</v>
      </c>
      <c r="L41">
        <v>251200024</v>
      </c>
      <c r="M41" s="84">
        <v>45993</v>
      </c>
      <c r="N41" s="84">
        <v>45993</v>
      </c>
      <c r="O41" t="s">
        <v>256</v>
      </c>
      <c r="P41" t="s">
        <v>257</v>
      </c>
      <c r="Q41">
        <v>5500</v>
      </c>
      <c r="R41">
        <v>20</v>
      </c>
      <c r="S41">
        <v>110000</v>
      </c>
      <c r="T41">
        <v>0</v>
      </c>
      <c r="U41">
        <v>0</v>
      </c>
      <c r="V41">
        <v>20</v>
      </c>
      <c r="W41">
        <v>110000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>
        <v>73</v>
      </c>
      <c r="B42" t="s">
        <v>149</v>
      </c>
      <c r="C42">
        <v>1292</v>
      </c>
      <c r="D42" t="s">
        <v>336</v>
      </c>
      <c r="F42" t="s">
        <v>73</v>
      </c>
      <c r="G42" t="s">
        <v>185</v>
      </c>
      <c r="H42" t="s">
        <v>151</v>
      </c>
      <c r="I42" t="s">
        <v>4</v>
      </c>
      <c r="J42" t="s">
        <v>152</v>
      </c>
      <c r="K42" t="s">
        <v>153</v>
      </c>
      <c r="L42">
        <v>251200024</v>
      </c>
      <c r="M42" s="84">
        <v>45993</v>
      </c>
      <c r="N42" s="84">
        <v>45993</v>
      </c>
      <c r="O42" t="s">
        <v>160</v>
      </c>
      <c r="P42" t="s">
        <v>161</v>
      </c>
      <c r="Q42">
        <v>5500</v>
      </c>
      <c r="R42">
        <v>70</v>
      </c>
      <c r="S42">
        <v>385000</v>
      </c>
      <c r="T42">
        <v>0</v>
      </c>
      <c r="U42">
        <v>0</v>
      </c>
      <c r="V42">
        <v>70</v>
      </c>
      <c r="W42">
        <v>385000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74</v>
      </c>
      <c r="B43" t="s">
        <v>149</v>
      </c>
      <c r="C43">
        <v>1292</v>
      </c>
      <c r="D43" t="s">
        <v>336</v>
      </c>
      <c r="F43" t="s">
        <v>73</v>
      </c>
      <c r="G43" t="s">
        <v>185</v>
      </c>
      <c r="H43" t="s">
        <v>151</v>
      </c>
      <c r="I43" t="s">
        <v>4</v>
      </c>
      <c r="J43" t="s">
        <v>152</v>
      </c>
      <c r="K43" t="s">
        <v>153</v>
      </c>
      <c r="L43">
        <v>251200024</v>
      </c>
      <c r="M43" s="84">
        <v>45993</v>
      </c>
      <c r="N43" s="84">
        <v>45993</v>
      </c>
      <c r="O43" t="s">
        <v>243</v>
      </c>
      <c r="P43" t="s">
        <v>244</v>
      </c>
      <c r="Q43">
        <v>5700</v>
      </c>
      <c r="R43">
        <v>30</v>
      </c>
      <c r="S43">
        <v>171000</v>
      </c>
      <c r="T43">
        <v>0</v>
      </c>
      <c r="U43">
        <v>0</v>
      </c>
      <c r="V43">
        <v>30</v>
      </c>
      <c r="W43">
        <v>171000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>
        <v>85</v>
      </c>
      <c r="B44" t="s">
        <v>149</v>
      </c>
      <c r="C44">
        <v>1550</v>
      </c>
      <c r="D44" t="s">
        <v>337</v>
      </c>
      <c r="F44" t="s">
        <v>15</v>
      </c>
      <c r="G44" t="s">
        <v>193</v>
      </c>
      <c r="H44" t="s">
        <v>151</v>
      </c>
      <c r="I44" t="s">
        <v>5</v>
      </c>
      <c r="J44" t="s">
        <v>152</v>
      </c>
      <c r="K44" t="s">
        <v>153</v>
      </c>
      <c r="L44">
        <v>251200028</v>
      </c>
      <c r="M44" s="84">
        <v>45993</v>
      </c>
      <c r="N44" s="84">
        <v>45993</v>
      </c>
      <c r="O44" t="s">
        <v>253</v>
      </c>
      <c r="P44" t="s">
        <v>254</v>
      </c>
      <c r="Q44">
        <v>4500</v>
      </c>
      <c r="R44">
        <v>16</v>
      </c>
      <c r="S44">
        <v>72000</v>
      </c>
      <c r="T44">
        <v>0</v>
      </c>
      <c r="U44">
        <v>0</v>
      </c>
      <c r="V44">
        <v>16</v>
      </c>
      <c r="W44">
        <v>72000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86</v>
      </c>
      <c r="B45" t="s">
        <v>149</v>
      </c>
      <c r="C45">
        <v>1550</v>
      </c>
      <c r="D45" t="s">
        <v>337</v>
      </c>
      <c r="F45" t="s">
        <v>15</v>
      </c>
      <c r="G45" t="s">
        <v>193</v>
      </c>
      <c r="H45" t="s">
        <v>151</v>
      </c>
      <c r="I45" t="s">
        <v>5</v>
      </c>
      <c r="J45" t="s">
        <v>152</v>
      </c>
      <c r="K45" t="s">
        <v>153</v>
      </c>
      <c r="L45">
        <v>251200028</v>
      </c>
      <c r="M45" s="84">
        <v>45993</v>
      </c>
      <c r="N45" s="84">
        <v>45993</v>
      </c>
      <c r="O45" t="s">
        <v>191</v>
      </c>
      <c r="P45" t="s">
        <v>192</v>
      </c>
      <c r="Q45">
        <v>4500</v>
      </c>
      <c r="R45">
        <v>32</v>
      </c>
      <c r="S45">
        <v>144000</v>
      </c>
      <c r="T45">
        <v>0</v>
      </c>
      <c r="U45">
        <v>0</v>
      </c>
      <c r="V45">
        <v>32</v>
      </c>
      <c r="W45">
        <v>144000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>
        <v>87</v>
      </c>
      <c r="B46" t="s">
        <v>149</v>
      </c>
      <c r="C46">
        <v>1326</v>
      </c>
      <c r="D46" t="s">
        <v>338</v>
      </c>
      <c r="F46" t="s">
        <v>15</v>
      </c>
      <c r="G46" t="s">
        <v>193</v>
      </c>
      <c r="H46" t="s">
        <v>151</v>
      </c>
      <c r="I46" t="s">
        <v>5</v>
      </c>
      <c r="J46" t="s">
        <v>152</v>
      </c>
      <c r="K46" t="s">
        <v>153</v>
      </c>
      <c r="L46">
        <v>251200029</v>
      </c>
      <c r="M46" s="84">
        <v>45993</v>
      </c>
      <c r="N46" s="84">
        <v>45993</v>
      </c>
      <c r="O46" t="s">
        <v>191</v>
      </c>
      <c r="P46" t="s">
        <v>192</v>
      </c>
      <c r="Q46">
        <v>4500</v>
      </c>
      <c r="R46">
        <v>28</v>
      </c>
      <c r="S46">
        <v>126000</v>
      </c>
      <c r="T46">
        <v>0</v>
      </c>
      <c r="U46">
        <v>0</v>
      </c>
      <c r="V46">
        <v>28</v>
      </c>
      <c r="W46">
        <v>126000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>
        <v>88</v>
      </c>
      <c r="B47" t="s">
        <v>149</v>
      </c>
      <c r="C47">
        <v>1326</v>
      </c>
      <c r="D47" t="s">
        <v>338</v>
      </c>
      <c r="F47" t="s">
        <v>15</v>
      </c>
      <c r="G47" t="s">
        <v>193</v>
      </c>
      <c r="H47" t="s">
        <v>151</v>
      </c>
      <c r="I47" t="s">
        <v>5</v>
      </c>
      <c r="J47" t="s">
        <v>152</v>
      </c>
      <c r="K47" t="s">
        <v>153</v>
      </c>
      <c r="L47">
        <v>251200029</v>
      </c>
      <c r="M47" s="84">
        <v>45993</v>
      </c>
      <c r="N47" s="84">
        <v>45993</v>
      </c>
      <c r="O47" t="s">
        <v>198</v>
      </c>
      <c r="P47" t="s">
        <v>199</v>
      </c>
      <c r="Q47">
        <v>4500</v>
      </c>
      <c r="R47">
        <v>12</v>
      </c>
      <c r="S47">
        <v>54000</v>
      </c>
      <c r="T47">
        <v>0</v>
      </c>
      <c r="U47">
        <v>0</v>
      </c>
      <c r="V47">
        <v>12</v>
      </c>
      <c r="W47">
        <v>54000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>
        <v>89</v>
      </c>
      <c r="B48" t="s">
        <v>149</v>
      </c>
      <c r="C48">
        <v>1326</v>
      </c>
      <c r="D48" t="s">
        <v>338</v>
      </c>
      <c r="F48" t="s">
        <v>15</v>
      </c>
      <c r="G48" t="s">
        <v>193</v>
      </c>
      <c r="H48" t="s">
        <v>151</v>
      </c>
      <c r="I48" t="s">
        <v>4</v>
      </c>
      <c r="J48" t="s">
        <v>152</v>
      </c>
      <c r="K48" t="s">
        <v>153</v>
      </c>
      <c r="L48">
        <v>251200029</v>
      </c>
      <c r="M48" s="84">
        <v>45993</v>
      </c>
      <c r="N48" s="84">
        <v>45993</v>
      </c>
      <c r="O48" t="s">
        <v>160</v>
      </c>
      <c r="P48" t="s">
        <v>161</v>
      </c>
      <c r="Q48">
        <v>5500</v>
      </c>
      <c r="R48">
        <v>20</v>
      </c>
      <c r="S48">
        <v>110000</v>
      </c>
      <c r="T48">
        <v>0</v>
      </c>
      <c r="U48">
        <v>0</v>
      </c>
      <c r="V48">
        <v>20</v>
      </c>
      <c r="W48">
        <v>110000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>
        <v>91</v>
      </c>
      <c r="B49" t="s">
        <v>149</v>
      </c>
      <c r="C49">
        <v>1326</v>
      </c>
      <c r="D49" t="s">
        <v>338</v>
      </c>
      <c r="F49" t="s">
        <v>15</v>
      </c>
      <c r="G49" t="s">
        <v>193</v>
      </c>
      <c r="H49" t="s">
        <v>151</v>
      </c>
      <c r="I49" t="s">
        <v>5</v>
      </c>
      <c r="J49" t="s">
        <v>152</v>
      </c>
      <c r="K49" t="s">
        <v>153</v>
      </c>
      <c r="L49">
        <v>251200029</v>
      </c>
      <c r="M49" s="84">
        <v>45993</v>
      </c>
      <c r="N49" s="84">
        <v>45993</v>
      </c>
      <c r="O49" t="s">
        <v>339</v>
      </c>
      <c r="P49" t="s">
        <v>340</v>
      </c>
      <c r="Q49">
        <v>4500</v>
      </c>
      <c r="R49">
        <v>20</v>
      </c>
      <c r="S49">
        <v>90000</v>
      </c>
      <c r="T49">
        <v>0</v>
      </c>
      <c r="U49">
        <v>0</v>
      </c>
      <c r="V49">
        <v>20</v>
      </c>
      <c r="W49">
        <v>90000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93</v>
      </c>
      <c r="B50" t="s">
        <v>149</v>
      </c>
      <c r="C50">
        <v>1550</v>
      </c>
      <c r="D50" t="s">
        <v>337</v>
      </c>
      <c r="F50" t="s">
        <v>15</v>
      </c>
      <c r="G50" t="s">
        <v>193</v>
      </c>
      <c r="H50" t="s">
        <v>151</v>
      </c>
      <c r="I50" t="s">
        <v>4</v>
      </c>
      <c r="J50" t="s">
        <v>152</v>
      </c>
      <c r="K50" t="s">
        <v>153</v>
      </c>
      <c r="L50">
        <v>251200030</v>
      </c>
      <c r="M50" s="84">
        <v>45993</v>
      </c>
      <c r="N50" s="84">
        <v>45993</v>
      </c>
      <c r="O50" t="s">
        <v>177</v>
      </c>
      <c r="P50" t="s">
        <v>178</v>
      </c>
      <c r="Q50">
        <v>5500</v>
      </c>
      <c r="R50">
        <v>20</v>
      </c>
      <c r="S50">
        <v>110000</v>
      </c>
      <c r="T50">
        <v>0</v>
      </c>
      <c r="U50">
        <v>0</v>
      </c>
      <c r="V50">
        <v>20</v>
      </c>
      <c r="W50">
        <v>110000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94</v>
      </c>
      <c r="B51" t="s">
        <v>149</v>
      </c>
      <c r="C51">
        <v>1550</v>
      </c>
      <c r="D51" t="s">
        <v>337</v>
      </c>
      <c r="F51" t="s">
        <v>15</v>
      </c>
      <c r="G51" t="s">
        <v>193</v>
      </c>
      <c r="H51" t="s">
        <v>151</v>
      </c>
      <c r="I51" t="s">
        <v>5</v>
      </c>
      <c r="J51" t="s">
        <v>152</v>
      </c>
      <c r="K51" t="s">
        <v>153</v>
      </c>
      <c r="L51">
        <v>251200030</v>
      </c>
      <c r="M51" s="84">
        <v>45993</v>
      </c>
      <c r="N51" s="84">
        <v>45993</v>
      </c>
      <c r="O51" t="s">
        <v>191</v>
      </c>
      <c r="P51" t="s">
        <v>192</v>
      </c>
      <c r="Q51">
        <v>4500</v>
      </c>
      <c r="R51">
        <v>8</v>
      </c>
      <c r="S51">
        <v>36000</v>
      </c>
      <c r="T51">
        <v>0</v>
      </c>
      <c r="U51">
        <v>0</v>
      </c>
      <c r="V51">
        <v>8</v>
      </c>
      <c r="W51">
        <v>36000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95</v>
      </c>
      <c r="B52" t="s">
        <v>149</v>
      </c>
      <c r="C52">
        <v>1550</v>
      </c>
      <c r="D52" t="s">
        <v>337</v>
      </c>
      <c r="F52" t="s">
        <v>15</v>
      </c>
      <c r="G52" t="s">
        <v>193</v>
      </c>
      <c r="H52" t="s">
        <v>151</v>
      </c>
      <c r="I52" t="s">
        <v>4</v>
      </c>
      <c r="J52" t="s">
        <v>152</v>
      </c>
      <c r="K52" t="s">
        <v>153</v>
      </c>
      <c r="L52">
        <v>251200030</v>
      </c>
      <c r="M52" s="84">
        <v>45993</v>
      </c>
      <c r="N52" s="84">
        <v>45993</v>
      </c>
      <c r="O52" t="s">
        <v>160</v>
      </c>
      <c r="P52" t="s">
        <v>161</v>
      </c>
      <c r="Q52">
        <v>5500</v>
      </c>
      <c r="R52">
        <v>10</v>
      </c>
      <c r="S52">
        <v>55000</v>
      </c>
      <c r="T52">
        <v>0</v>
      </c>
      <c r="U52">
        <v>0</v>
      </c>
      <c r="V52">
        <v>10</v>
      </c>
      <c r="W52">
        <v>55000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>
        <v>96</v>
      </c>
      <c r="B53" t="s">
        <v>149</v>
      </c>
      <c r="C53">
        <v>1550</v>
      </c>
      <c r="D53" t="s">
        <v>337</v>
      </c>
      <c r="F53" t="s">
        <v>15</v>
      </c>
      <c r="G53" t="s">
        <v>193</v>
      </c>
      <c r="H53" t="s">
        <v>151</v>
      </c>
      <c r="I53" t="s">
        <v>4</v>
      </c>
      <c r="J53" t="s">
        <v>152</v>
      </c>
      <c r="K53" t="s">
        <v>153</v>
      </c>
      <c r="L53">
        <v>251200030</v>
      </c>
      <c r="M53" s="84">
        <v>45993</v>
      </c>
      <c r="N53" s="84">
        <v>45993</v>
      </c>
      <c r="O53" t="s">
        <v>179</v>
      </c>
      <c r="P53" t="s">
        <v>180</v>
      </c>
      <c r="Q53">
        <v>5500</v>
      </c>
      <c r="R53">
        <v>10</v>
      </c>
      <c r="S53">
        <v>55000</v>
      </c>
      <c r="T53">
        <v>0</v>
      </c>
      <c r="U53">
        <v>0</v>
      </c>
      <c r="V53">
        <v>10</v>
      </c>
      <c r="W53">
        <v>55000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>
        <v>103</v>
      </c>
      <c r="B54" t="s">
        <v>149</v>
      </c>
      <c r="C54">
        <v>1326</v>
      </c>
      <c r="D54" t="s">
        <v>338</v>
      </c>
      <c r="F54" t="s">
        <v>15</v>
      </c>
      <c r="G54" t="s">
        <v>193</v>
      </c>
      <c r="H54" t="s">
        <v>151</v>
      </c>
      <c r="I54" t="s">
        <v>5</v>
      </c>
      <c r="J54" t="s">
        <v>152</v>
      </c>
      <c r="K54" t="s">
        <v>153</v>
      </c>
      <c r="L54">
        <v>251200033</v>
      </c>
      <c r="M54" s="84">
        <v>45993</v>
      </c>
      <c r="N54" s="84">
        <v>45993</v>
      </c>
      <c r="O54" t="s">
        <v>191</v>
      </c>
      <c r="P54" t="s">
        <v>192</v>
      </c>
      <c r="Q54">
        <v>4500</v>
      </c>
      <c r="R54">
        <v>12</v>
      </c>
      <c r="S54">
        <v>54000</v>
      </c>
      <c r="T54">
        <v>0</v>
      </c>
      <c r="U54">
        <v>0</v>
      </c>
      <c r="V54">
        <v>12</v>
      </c>
      <c r="W54">
        <v>54000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106</v>
      </c>
      <c r="B55" t="s">
        <v>149</v>
      </c>
      <c r="C55">
        <v>1326</v>
      </c>
      <c r="D55" t="s">
        <v>338</v>
      </c>
      <c r="F55" t="s">
        <v>15</v>
      </c>
      <c r="G55" t="s">
        <v>193</v>
      </c>
      <c r="H55" t="s">
        <v>151</v>
      </c>
      <c r="I55" t="s">
        <v>5</v>
      </c>
      <c r="J55" t="s">
        <v>152</v>
      </c>
      <c r="K55" t="s">
        <v>153</v>
      </c>
      <c r="L55">
        <v>251200033</v>
      </c>
      <c r="M55" s="84">
        <v>45993</v>
      </c>
      <c r="N55" s="84">
        <v>45993</v>
      </c>
      <c r="O55" t="s">
        <v>260</v>
      </c>
      <c r="P55" t="s">
        <v>261</v>
      </c>
      <c r="Q55">
        <v>4500</v>
      </c>
      <c r="R55">
        <v>8</v>
      </c>
      <c r="S55">
        <v>36000</v>
      </c>
      <c r="T55">
        <v>0</v>
      </c>
      <c r="U55">
        <v>0</v>
      </c>
      <c r="V55">
        <v>8</v>
      </c>
      <c r="W55">
        <v>36000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>
        <v>108</v>
      </c>
      <c r="B56" t="s">
        <v>149</v>
      </c>
      <c r="C56">
        <v>1444</v>
      </c>
      <c r="D56" t="s">
        <v>341</v>
      </c>
      <c r="F56" t="s">
        <v>28</v>
      </c>
      <c r="G56" t="s">
        <v>164</v>
      </c>
      <c r="H56" t="s">
        <v>151</v>
      </c>
      <c r="I56" t="s">
        <v>4</v>
      </c>
      <c r="J56" t="s">
        <v>152</v>
      </c>
      <c r="K56" t="s">
        <v>153</v>
      </c>
      <c r="L56">
        <v>251200034</v>
      </c>
      <c r="M56" s="84">
        <v>45993</v>
      </c>
      <c r="N56" s="84">
        <v>45993</v>
      </c>
      <c r="O56" t="s">
        <v>160</v>
      </c>
      <c r="P56" t="s">
        <v>161</v>
      </c>
      <c r="Q56">
        <v>5500</v>
      </c>
      <c r="R56">
        <v>26</v>
      </c>
      <c r="S56">
        <v>143000</v>
      </c>
      <c r="T56">
        <v>0</v>
      </c>
      <c r="U56">
        <v>0</v>
      </c>
      <c r="V56">
        <v>26</v>
      </c>
      <c r="W56">
        <v>143000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>
        <v>109</v>
      </c>
      <c r="B57" t="s">
        <v>149</v>
      </c>
      <c r="C57">
        <v>1444</v>
      </c>
      <c r="D57" t="s">
        <v>341</v>
      </c>
      <c r="F57" t="s">
        <v>28</v>
      </c>
      <c r="G57" t="s">
        <v>164</v>
      </c>
      <c r="H57" t="s">
        <v>151</v>
      </c>
      <c r="I57" t="s">
        <v>5</v>
      </c>
      <c r="J57" t="s">
        <v>152</v>
      </c>
      <c r="K57" t="s">
        <v>153</v>
      </c>
      <c r="L57">
        <v>251200034</v>
      </c>
      <c r="M57" s="84">
        <v>45993</v>
      </c>
      <c r="N57" s="84">
        <v>45993</v>
      </c>
      <c r="O57" t="s">
        <v>191</v>
      </c>
      <c r="P57" t="s">
        <v>192</v>
      </c>
      <c r="Q57">
        <v>4500</v>
      </c>
      <c r="R57">
        <v>1</v>
      </c>
      <c r="S57">
        <v>4500</v>
      </c>
      <c r="T57">
        <v>0</v>
      </c>
      <c r="U57">
        <v>0</v>
      </c>
      <c r="V57">
        <v>1</v>
      </c>
      <c r="W57">
        <v>4500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>
        <v>110</v>
      </c>
      <c r="B58" t="s">
        <v>149</v>
      </c>
      <c r="C58">
        <v>1444</v>
      </c>
      <c r="D58" t="s">
        <v>341</v>
      </c>
      <c r="F58" t="s">
        <v>28</v>
      </c>
      <c r="G58" t="s">
        <v>164</v>
      </c>
      <c r="H58" t="s">
        <v>151</v>
      </c>
      <c r="I58" t="s">
        <v>4</v>
      </c>
      <c r="J58" t="s">
        <v>152</v>
      </c>
      <c r="K58" t="s">
        <v>153</v>
      </c>
      <c r="L58">
        <v>251200034</v>
      </c>
      <c r="M58" s="84">
        <v>45993</v>
      </c>
      <c r="N58" s="84">
        <v>45993</v>
      </c>
      <c r="O58" t="s">
        <v>179</v>
      </c>
      <c r="P58" t="s">
        <v>180</v>
      </c>
      <c r="Q58">
        <v>5500</v>
      </c>
      <c r="R58">
        <v>5</v>
      </c>
      <c r="S58">
        <v>27500</v>
      </c>
      <c r="T58">
        <v>0</v>
      </c>
      <c r="U58">
        <v>0</v>
      </c>
      <c r="V58">
        <v>5</v>
      </c>
      <c r="W58">
        <v>27500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>
        <v>113</v>
      </c>
      <c r="B59" t="s">
        <v>149</v>
      </c>
      <c r="C59">
        <v>1468</v>
      </c>
      <c r="D59" t="s">
        <v>342</v>
      </c>
      <c r="F59" t="s">
        <v>7</v>
      </c>
      <c r="G59" t="s">
        <v>156</v>
      </c>
      <c r="H59" t="s">
        <v>157</v>
      </c>
      <c r="I59" t="s">
        <v>4</v>
      </c>
      <c r="J59" t="s">
        <v>152</v>
      </c>
      <c r="K59" t="s">
        <v>159</v>
      </c>
      <c r="L59">
        <v>251200036</v>
      </c>
      <c r="M59" s="84">
        <v>45993</v>
      </c>
      <c r="N59" s="84">
        <v>45993</v>
      </c>
      <c r="O59" t="s">
        <v>206</v>
      </c>
      <c r="P59" t="s">
        <v>207</v>
      </c>
      <c r="Q59">
        <v>5500</v>
      </c>
      <c r="R59">
        <v>40</v>
      </c>
      <c r="S59">
        <v>220000</v>
      </c>
      <c r="T59">
        <v>0</v>
      </c>
      <c r="U59">
        <v>0</v>
      </c>
      <c r="V59">
        <v>40</v>
      </c>
      <c r="W59">
        <v>220000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114</v>
      </c>
      <c r="B60" t="s">
        <v>149</v>
      </c>
      <c r="C60">
        <v>1468</v>
      </c>
      <c r="D60" t="s">
        <v>342</v>
      </c>
      <c r="F60" t="s">
        <v>7</v>
      </c>
      <c r="G60" t="s">
        <v>156</v>
      </c>
      <c r="H60" t="s">
        <v>157</v>
      </c>
      <c r="I60" t="s">
        <v>4</v>
      </c>
      <c r="J60" t="s">
        <v>152</v>
      </c>
      <c r="K60" t="s">
        <v>159</v>
      </c>
      <c r="L60">
        <v>251200036</v>
      </c>
      <c r="M60" s="84">
        <v>45993</v>
      </c>
      <c r="N60" s="84">
        <v>45993</v>
      </c>
      <c r="O60" t="s">
        <v>160</v>
      </c>
      <c r="P60" t="s">
        <v>161</v>
      </c>
      <c r="Q60">
        <v>5500</v>
      </c>
      <c r="R60">
        <v>40</v>
      </c>
      <c r="S60">
        <v>220000</v>
      </c>
      <c r="T60">
        <v>0</v>
      </c>
      <c r="U60">
        <v>0</v>
      </c>
      <c r="V60">
        <v>40</v>
      </c>
      <c r="W60">
        <v>220000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>
        <v>115</v>
      </c>
      <c r="B61" t="s">
        <v>149</v>
      </c>
      <c r="C61">
        <v>1468</v>
      </c>
      <c r="D61" t="s">
        <v>342</v>
      </c>
      <c r="F61" t="s">
        <v>7</v>
      </c>
      <c r="G61" t="s">
        <v>156</v>
      </c>
      <c r="H61" t="s">
        <v>157</v>
      </c>
      <c r="I61" t="s">
        <v>4</v>
      </c>
      <c r="J61" t="s">
        <v>152</v>
      </c>
      <c r="K61" t="s">
        <v>159</v>
      </c>
      <c r="L61">
        <v>251200036</v>
      </c>
      <c r="M61" s="84">
        <v>45993</v>
      </c>
      <c r="N61" s="84">
        <v>45993</v>
      </c>
      <c r="O61" t="s">
        <v>179</v>
      </c>
      <c r="P61" t="s">
        <v>180</v>
      </c>
      <c r="Q61">
        <v>5500</v>
      </c>
      <c r="R61">
        <v>40</v>
      </c>
      <c r="S61">
        <v>220000</v>
      </c>
      <c r="T61">
        <v>0</v>
      </c>
      <c r="U61">
        <v>0</v>
      </c>
      <c r="V61">
        <v>40</v>
      </c>
      <c r="W61">
        <v>220000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>
        <v>122</v>
      </c>
      <c r="B62" t="s">
        <v>149</v>
      </c>
      <c r="C62">
        <v>1593</v>
      </c>
      <c r="D62" t="s">
        <v>343</v>
      </c>
      <c r="F62" t="s">
        <v>111</v>
      </c>
      <c r="G62" t="s">
        <v>150</v>
      </c>
      <c r="H62" t="s">
        <v>151</v>
      </c>
      <c r="I62" t="s">
        <v>4</v>
      </c>
      <c r="J62" t="s">
        <v>152</v>
      </c>
      <c r="K62" t="s">
        <v>153</v>
      </c>
      <c r="L62">
        <v>251200039</v>
      </c>
      <c r="M62" s="84">
        <v>45993</v>
      </c>
      <c r="N62" s="84">
        <v>45993</v>
      </c>
      <c r="O62" t="s">
        <v>179</v>
      </c>
      <c r="P62" t="s">
        <v>180</v>
      </c>
      <c r="Q62">
        <v>5500</v>
      </c>
      <c r="R62">
        <v>10</v>
      </c>
      <c r="S62">
        <v>55000</v>
      </c>
      <c r="T62">
        <v>0</v>
      </c>
      <c r="U62">
        <v>0</v>
      </c>
      <c r="V62">
        <v>10</v>
      </c>
      <c r="W62">
        <v>55000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>
        <v>123</v>
      </c>
      <c r="B63" t="s">
        <v>149</v>
      </c>
      <c r="C63">
        <v>1593</v>
      </c>
      <c r="D63" t="s">
        <v>343</v>
      </c>
      <c r="F63" t="s">
        <v>111</v>
      </c>
      <c r="G63" t="s">
        <v>150</v>
      </c>
      <c r="H63" t="s">
        <v>151</v>
      </c>
      <c r="I63" t="s">
        <v>5</v>
      </c>
      <c r="J63" t="s">
        <v>152</v>
      </c>
      <c r="K63" t="s">
        <v>153</v>
      </c>
      <c r="L63">
        <v>251200039</v>
      </c>
      <c r="M63" s="84">
        <v>45993</v>
      </c>
      <c r="N63" s="84">
        <v>45993</v>
      </c>
      <c r="O63" t="s">
        <v>191</v>
      </c>
      <c r="P63" t="s">
        <v>192</v>
      </c>
      <c r="Q63">
        <v>4500</v>
      </c>
      <c r="R63">
        <v>12</v>
      </c>
      <c r="S63">
        <v>54000</v>
      </c>
      <c r="T63">
        <v>0</v>
      </c>
      <c r="U63">
        <v>0</v>
      </c>
      <c r="V63">
        <v>12</v>
      </c>
      <c r="W63">
        <v>54000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>
        <v>124</v>
      </c>
      <c r="B64" t="s">
        <v>149</v>
      </c>
      <c r="C64">
        <v>1593</v>
      </c>
      <c r="D64" t="s">
        <v>343</v>
      </c>
      <c r="F64" t="s">
        <v>111</v>
      </c>
      <c r="G64" t="s">
        <v>150</v>
      </c>
      <c r="H64" t="s">
        <v>151</v>
      </c>
      <c r="I64" t="s">
        <v>5</v>
      </c>
      <c r="J64" t="s">
        <v>152</v>
      </c>
      <c r="K64" t="s">
        <v>153</v>
      </c>
      <c r="L64">
        <v>251200039</v>
      </c>
      <c r="M64" s="84">
        <v>45993</v>
      </c>
      <c r="N64" s="84">
        <v>45993</v>
      </c>
      <c r="O64" t="s">
        <v>260</v>
      </c>
      <c r="P64" t="s">
        <v>261</v>
      </c>
      <c r="Q64">
        <v>4500</v>
      </c>
      <c r="R64">
        <v>12</v>
      </c>
      <c r="S64">
        <v>54000</v>
      </c>
      <c r="T64">
        <v>0</v>
      </c>
      <c r="U64">
        <v>0</v>
      </c>
      <c r="V64">
        <v>12</v>
      </c>
      <c r="W64">
        <v>54000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>
        <v>125</v>
      </c>
      <c r="B65" t="s">
        <v>149</v>
      </c>
      <c r="C65">
        <v>1593</v>
      </c>
      <c r="D65" t="s">
        <v>343</v>
      </c>
      <c r="F65" t="s">
        <v>111</v>
      </c>
      <c r="G65" t="s">
        <v>150</v>
      </c>
      <c r="H65" t="s">
        <v>151</v>
      </c>
      <c r="I65" t="s">
        <v>4</v>
      </c>
      <c r="J65" t="s">
        <v>152</v>
      </c>
      <c r="K65" t="s">
        <v>153</v>
      </c>
      <c r="L65">
        <v>251200039</v>
      </c>
      <c r="M65" s="84">
        <v>45993</v>
      </c>
      <c r="N65" s="84">
        <v>45993</v>
      </c>
      <c r="O65" t="s">
        <v>177</v>
      </c>
      <c r="P65" t="s">
        <v>178</v>
      </c>
      <c r="Q65">
        <v>5500</v>
      </c>
      <c r="R65">
        <v>20</v>
      </c>
      <c r="S65">
        <v>110000</v>
      </c>
      <c r="T65">
        <v>0</v>
      </c>
      <c r="U65">
        <v>0</v>
      </c>
      <c r="V65">
        <v>20</v>
      </c>
      <c r="W65">
        <v>110000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>
        <v>127</v>
      </c>
      <c r="B66" t="s">
        <v>149</v>
      </c>
      <c r="C66">
        <v>1593</v>
      </c>
      <c r="D66" t="s">
        <v>343</v>
      </c>
      <c r="F66" t="s">
        <v>111</v>
      </c>
      <c r="G66" t="s">
        <v>150</v>
      </c>
      <c r="H66" t="s">
        <v>151</v>
      </c>
      <c r="I66" t="s">
        <v>4</v>
      </c>
      <c r="J66" t="s">
        <v>152</v>
      </c>
      <c r="K66" t="s">
        <v>153</v>
      </c>
      <c r="L66">
        <v>251200039</v>
      </c>
      <c r="M66" s="84">
        <v>45993</v>
      </c>
      <c r="N66" s="84">
        <v>45993</v>
      </c>
      <c r="O66" t="s">
        <v>243</v>
      </c>
      <c r="P66" t="s">
        <v>244</v>
      </c>
      <c r="Q66">
        <v>5700</v>
      </c>
      <c r="R66">
        <v>10</v>
      </c>
      <c r="S66">
        <v>57000</v>
      </c>
      <c r="T66">
        <v>0</v>
      </c>
      <c r="U66">
        <v>0</v>
      </c>
      <c r="V66">
        <v>10</v>
      </c>
      <c r="W66">
        <v>57000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>
        <v>128</v>
      </c>
      <c r="B67" t="s">
        <v>149</v>
      </c>
      <c r="C67">
        <v>1593</v>
      </c>
      <c r="D67" t="s">
        <v>343</v>
      </c>
      <c r="F67" t="s">
        <v>111</v>
      </c>
      <c r="G67" t="s">
        <v>150</v>
      </c>
      <c r="H67" t="s">
        <v>151</v>
      </c>
      <c r="I67" t="s">
        <v>4</v>
      </c>
      <c r="J67" t="s">
        <v>152</v>
      </c>
      <c r="K67" t="s">
        <v>153</v>
      </c>
      <c r="L67">
        <v>251200039</v>
      </c>
      <c r="M67" s="84">
        <v>45993</v>
      </c>
      <c r="N67" s="84">
        <v>45993</v>
      </c>
      <c r="O67" t="s">
        <v>160</v>
      </c>
      <c r="P67" t="s">
        <v>161</v>
      </c>
      <c r="Q67">
        <v>5500</v>
      </c>
      <c r="R67">
        <v>20</v>
      </c>
      <c r="S67">
        <v>110000</v>
      </c>
      <c r="T67">
        <v>0</v>
      </c>
      <c r="U67">
        <v>0</v>
      </c>
      <c r="V67">
        <v>20</v>
      </c>
      <c r="W67">
        <v>110000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>
        <v>129</v>
      </c>
      <c r="B68" t="s">
        <v>149</v>
      </c>
      <c r="C68">
        <v>1593</v>
      </c>
      <c r="D68" t="s">
        <v>343</v>
      </c>
      <c r="F68" t="s">
        <v>111</v>
      </c>
      <c r="G68" t="s">
        <v>150</v>
      </c>
      <c r="H68" t="s">
        <v>151</v>
      </c>
      <c r="I68" t="s">
        <v>4</v>
      </c>
      <c r="J68" t="s">
        <v>152</v>
      </c>
      <c r="K68" t="s">
        <v>153</v>
      </c>
      <c r="L68">
        <v>251200039</v>
      </c>
      <c r="M68" s="84">
        <v>45993</v>
      </c>
      <c r="N68" s="84">
        <v>45993</v>
      </c>
      <c r="O68" t="s">
        <v>206</v>
      </c>
      <c r="P68" t="s">
        <v>207</v>
      </c>
      <c r="Q68">
        <v>5500</v>
      </c>
      <c r="R68">
        <v>10</v>
      </c>
      <c r="S68">
        <v>55000</v>
      </c>
      <c r="T68">
        <v>0</v>
      </c>
      <c r="U68">
        <v>0</v>
      </c>
      <c r="V68">
        <v>10</v>
      </c>
      <c r="W68">
        <v>55000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>
        <v>130</v>
      </c>
      <c r="B69" t="s">
        <v>149</v>
      </c>
      <c r="C69">
        <v>1557</v>
      </c>
      <c r="D69" t="s">
        <v>344</v>
      </c>
      <c r="F69" t="s">
        <v>111</v>
      </c>
      <c r="G69" t="s">
        <v>150</v>
      </c>
      <c r="H69" t="s">
        <v>151</v>
      </c>
      <c r="I69" t="s">
        <v>5</v>
      </c>
      <c r="J69" t="s">
        <v>152</v>
      </c>
      <c r="K69" t="s">
        <v>153</v>
      </c>
      <c r="L69">
        <v>251200040</v>
      </c>
      <c r="M69" s="84">
        <v>45994</v>
      </c>
      <c r="N69" s="84">
        <v>45994</v>
      </c>
      <c r="O69" t="s">
        <v>271</v>
      </c>
      <c r="P69" t="s">
        <v>272</v>
      </c>
      <c r="Q69">
        <v>4500</v>
      </c>
      <c r="R69">
        <v>8</v>
      </c>
      <c r="S69">
        <v>36000</v>
      </c>
      <c r="T69">
        <v>0</v>
      </c>
      <c r="U69">
        <v>0</v>
      </c>
      <c r="V69">
        <v>8</v>
      </c>
      <c r="W69">
        <v>36000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>
        <v>132</v>
      </c>
      <c r="B70" t="s">
        <v>149</v>
      </c>
      <c r="C70">
        <v>1557</v>
      </c>
      <c r="D70" t="s">
        <v>344</v>
      </c>
      <c r="F70" t="s">
        <v>111</v>
      </c>
      <c r="G70" t="s">
        <v>150</v>
      </c>
      <c r="H70" t="s">
        <v>151</v>
      </c>
      <c r="I70" t="s">
        <v>4</v>
      </c>
      <c r="J70" t="s">
        <v>152</v>
      </c>
      <c r="K70" t="s">
        <v>153</v>
      </c>
      <c r="L70">
        <v>251200040</v>
      </c>
      <c r="M70" s="84">
        <v>45994</v>
      </c>
      <c r="N70" s="84">
        <v>45994</v>
      </c>
      <c r="O70" t="s">
        <v>243</v>
      </c>
      <c r="P70" t="s">
        <v>244</v>
      </c>
      <c r="Q70">
        <v>5700</v>
      </c>
      <c r="R70">
        <v>5</v>
      </c>
      <c r="S70">
        <v>28500</v>
      </c>
      <c r="T70">
        <v>0</v>
      </c>
      <c r="U70">
        <v>0</v>
      </c>
      <c r="V70">
        <v>5</v>
      </c>
      <c r="W70">
        <v>28500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133</v>
      </c>
      <c r="B71" t="s">
        <v>149</v>
      </c>
      <c r="C71">
        <v>1557</v>
      </c>
      <c r="D71" t="s">
        <v>344</v>
      </c>
      <c r="F71" t="s">
        <v>111</v>
      </c>
      <c r="G71" t="s">
        <v>150</v>
      </c>
      <c r="H71" t="s">
        <v>151</v>
      </c>
      <c r="I71" t="s">
        <v>4</v>
      </c>
      <c r="J71" t="s">
        <v>152</v>
      </c>
      <c r="K71" t="s">
        <v>153</v>
      </c>
      <c r="L71">
        <v>251200040</v>
      </c>
      <c r="M71" s="84">
        <v>45994</v>
      </c>
      <c r="N71" s="84">
        <v>45994</v>
      </c>
      <c r="O71" t="s">
        <v>154</v>
      </c>
      <c r="P71" t="s">
        <v>155</v>
      </c>
      <c r="Q71">
        <v>5500</v>
      </c>
      <c r="R71">
        <v>10</v>
      </c>
      <c r="S71">
        <v>55000</v>
      </c>
      <c r="T71">
        <v>0</v>
      </c>
      <c r="U71">
        <v>0</v>
      </c>
      <c r="V71">
        <v>10</v>
      </c>
      <c r="W71">
        <v>55000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>
        <v>134</v>
      </c>
      <c r="B72" t="s">
        <v>149</v>
      </c>
      <c r="C72">
        <v>1557</v>
      </c>
      <c r="D72" t="s">
        <v>344</v>
      </c>
      <c r="F72" t="s">
        <v>111</v>
      </c>
      <c r="G72" t="s">
        <v>150</v>
      </c>
      <c r="H72" t="s">
        <v>151</v>
      </c>
      <c r="I72" t="s">
        <v>5</v>
      </c>
      <c r="J72" t="s">
        <v>152</v>
      </c>
      <c r="K72" t="s">
        <v>153</v>
      </c>
      <c r="L72">
        <v>251200040</v>
      </c>
      <c r="M72" s="84">
        <v>45994</v>
      </c>
      <c r="N72" s="84">
        <v>45994</v>
      </c>
      <c r="O72" t="s">
        <v>273</v>
      </c>
      <c r="P72" t="s">
        <v>274</v>
      </c>
      <c r="Q72">
        <v>4500</v>
      </c>
      <c r="R72">
        <v>12</v>
      </c>
      <c r="S72">
        <v>54000</v>
      </c>
      <c r="T72">
        <v>0</v>
      </c>
      <c r="U72">
        <v>0</v>
      </c>
      <c r="V72">
        <v>12</v>
      </c>
      <c r="W72">
        <v>54000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>
        <v>135</v>
      </c>
      <c r="B73" t="s">
        <v>149</v>
      </c>
      <c r="C73">
        <v>1557</v>
      </c>
      <c r="D73" t="s">
        <v>344</v>
      </c>
      <c r="F73" t="s">
        <v>111</v>
      </c>
      <c r="G73" t="s">
        <v>150</v>
      </c>
      <c r="H73" t="s">
        <v>151</v>
      </c>
      <c r="I73" t="s">
        <v>4</v>
      </c>
      <c r="J73" t="s">
        <v>152</v>
      </c>
      <c r="K73" t="s">
        <v>153</v>
      </c>
      <c r="L73">
        <v>251200040</v>
      </c>
      <c r="M73" s="84">
        <v>45994</v>
      </c>
      <c r="N73" s="84">
        <v>45994</v>
      </c>
      <c r="O73" t="s">
        <v>215</v>
      </c>
      <c r="P73" t="s">
        <v>216</v>
      </c>
      <c r="Q73">
        <v>5500</v>
      </c>
      <c r="R73">
        <v>5</v>
      </c>
      <c r="S73">
        <v>27500</v>
      </c>
      <c r="T73">
        <v>0</v>
      </c>
      <c r="U73">
        <v>0</v>
      </c>
      <c r="V73">
        <v>5</v>
      </c>
      <c r="W73">
        <v>27500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>
        <v>136</v>
      </c>
      <c r="B74" t="s">
        <v>149</v>
      </c>
      <c r="C74">
        <v>1557</v>
      </c>
      <c r="D74" t="s">
        <v>344</v>
      </c>
      <c r="F74" t="s">
        <v>111</v>
      </c>
      <c r="G74" t="s">
        <v>150</v>
      </c>
      <c r="H74" t="s">
        <v>151</v>
      </c>
      <c r="I74" t="s">
        <v>4</v>
      </c>
      <c r="J74" t="s">
        <v>152</v>
      </c>
      <c r="K74" t="s">
        <v>153</v>
      </c>
      <c r="L74">
        <v>251200040</v>
      </c>
      <c r="M74" s="84">
        <v>45994</v>
      </c>
      <c r="N74" s="84">
        <v>45994</v>
      </c>
      <c r="O74" t="s">
        <v>160</v>
      </c>
      <c r="P74" t="s">
        <v>161</v>
      </c>
      <c r="Q74">
        <v>5500</v>
      </c>
      <c r="R74">
        <v>25</v>
      </c>
      <c r="S74">
        <v>137500</v>
      </c>
      <c r="T74">
        <v>0</v>
      </c>
      <c r="U74">
        <v>0</v>
      </c>
      <c r="V74">
        <v>25</v>
      </c>
      <c r="W74">
        <v>137500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>
        <v>137</v>
      </c>
      <c r="B75" t="s">
        <v>149</v>
      </c>
      <c r="C75">
        <v>1557</v>
      </c>
      <c r="D75" t="s">
        <v>344</v>
      </c>
      <c r="F75" t="s">
        <v>111</v>
      </c>
      <c r="G75" t="s">
        <v>150</v>
      </c>
      <c r="H75" t="s">
        <v>151</v>
      </c>
      <c r="I75" t="s">
        <v>4</v>
      </c>
      <c r="J75" t="s">
        <v>152</v>
      </c>
      <c r="K75" t="s">
        <v>153</v>
      </c>
      <c r="L75">
        <v>251200040</v>
      </c>
      <c r="M75" s="84">
        <v>45994</v>
      </c>
      <c r="N75" s="84">
        <v>45994</v>
      </c>
      <c r="O75" t="s">
        <v>206</v>
      </c>
      <c r="P75" t="s">
        <v>207</v>
      </c>
      <c r="Q75">
        <v>5500</v>
      </c>
      <c r="R75">
        <v>5</v>
      </c>
      <c r="S75">
        <v>27500</v>
      </c>
      <c r="T75">
        <v>0</v>
      </c>
      <c r="U75">
        <v>0</v>
      </c>
      <c r="V75">
        <v>5</v>
      </c>
      <c r="W75">
        <v>27500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138</v>
      </c>
      <c r="B76" t="s">
        <v>149</v>
      </c>
      <c r="C76">
        <v>1557</v>
      </c>
      <c r="D76" t="s">
        <v>344</v>
      </c>
      <c r="F76" t="s">
        <v>111</v>
      </c>
      <c r="G76" t="s">
        <v>150</v>
      </c>
      <c r="H76" t="s">
        <v>151</v>
      </c>
      <c r="I76" t="s">
        <v>4</v>
      </c>
      <c r="J76" t="s">
        <v>152</v>
      </c>
      <c r="K76" t="s">
        <v>153</v>
      </c>
      <c r="L76">
        <v>251200040</v>
      </c>
      <c r="M76" s="84">
        <v>45994</v>
      </c>
      <c r="N76" s="84">
        <v>45994</v>
      </c>
      <c r="O76" t="s">
        <v>177</v>
      </c>
      <c r="P76" t="s">
        <v>178</v>
      </c>
      <c r="Q76">
        <v>5500</v>
      </c>
      <c r="R76">
        <v>10</v>
      </c>
      <c r="S76">
        <v>55000</v>
      </c>
      <c r="T76">
        <v>0</v>
      </c>
      <c r="U76">
        <v>0</v>
      </c>
      <c r="V76">
        <v>10</v>
      </c>
      <c r="W76">
        <v>55000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>
        <v>140</v>
      </c>
      <c r="B77" t="s">
        <v>149</v>
      </c>
      <c r="C77">
        <v>1551</v>
      </c>
      <c r="D77" t="s">
        <v>316</v>
      </c>
      <c r="F77" t="s">
        <v>111</v>
      </c>
      <c r="G77" t="s">
        <v>150</v>
      </c>
      <c r="H77" t="s">
        <v>151</v>
      </c>
      <c r="I77" t="s">
        <v>4</v>
      </c>
      <c r="J77" t="s">
        <v>152</v>
      </c>
      <c r="K77" t="s">
        <v>153</v>
      </c>
      <c r="L77">
        <v>251200041</v>
      </c>
      <c r="M77" s="84">
        <v>45994</v>
      </c>
      <c r="N77" s="84">
        <v>45994</v>
      </c>
      <c r="O77" t="s">
        <v>219</v>
      </c>
      <c r="P77" t="s">
        <v>220</v>
      </c>
      <c r="Q77">
        <v>5500</v>
      </c>
      <c r="R77">
        <v>10</v>
      </c>
      <c r="S77">
        <v>55000</v>
      </c>
      <c r="T77">
        <v>0</v>
      </c>
      <c r="U77">
        <v>0</v>
      </c>
      <c r="V77">
        <v>10</v>
      </c>
      <c r="W77">
        <v>55000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>
        <v>143</v>
      </c>
      <c r="B78" t="s">
        <v>149</v>
      </c>
      <c r="C78">
        <v>1549</v>
      </c>
      <c r="D78" t="s">
        <v>345</v>
      </c>
      <c r="F78" t="s">
        <v>43</v>
      </c>
      <c r="G78" t="s">
        <v>150</v>
      </c>
      <c r="H78" t="s">
        <v>151</v>
      </c>
      <c r="I78" t="s">
        <v>4</v>
      </c>
      <c r="J78" t="s">
        <v>152</v>
      </c>
      <c r="K78" t="s">
        <v>153</v>
      </c>
      <c r="L78">
        <v>251200042</v>
      </c>
      <c r="M78" s="84">
        <v>45994</v>
      </c>
      <c r="N78" s="84">
        <v>45994</v>
      </c>
      <c r="O78" t="s">
        <v>160</v>
      </c>
      <c r="P78" t="s">
        <v>161</v>
      </c>
      <c r="Q78">
        <v>5500</v>
      </c>
      <c r="R78">
        <v>5</v>
      </c>
      <c r="S78">
        <v>27500</v>
      </c>
      <c r="T78">
        <v>0</v>
      </c>
      <c r="U78">
        <v>0</v>
      </c>
      <c r="V78">
        <v>5</v>
      </c>
      <c r="W78">
        <v>27500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>
        <v>145</v>
      </c>
      <c r="B79" t="s">
        <v>149</v>
      </c>
      <c r="C79">
        <v>1553</v>
      </c>
      <c r="D79" t="s">
        <v>317</v>
      </c>
      <c r="F79" t="s">
        <v>43</v>
      </c>
      <c r="G79" t="s">
        <v>150</v>
      </c>
      <c r="H79" t="s">
        <v>151</v>
      </c>
      <c r="I79" t="s">
        <v>4</v>
      </c>
      <c r="J79" t="s">
        <v>152</v>
      </c>
      <c r="K79" t="s">
        <v>153</v>
      </c>
      <c r="L79">
        <v>251200043</v>
      </c>
      <c r="M79" s="84">
        <v>45994</v>
      </c>
      <c r="N79" s="84">
        <v>45994</v>
      </c>
      <c r="O79" t="s">
        <v>160</v>
      </c>
      <c r="P79" t="s">
        <v>161</v>
      </c>
      <c r="Q79">
        <v>5500</v>
      </c>
      <c r="R79">
        <v>10</v>
      </c>
      <c r="S79">
        <v>55000</v>
      </c>
      <c r="T79">
        <v>0</v>
      </c>
      <c r="U79">
        <v>0</v>
      </c>
      <c r="V79">
        <v>10</v>
      </c>
      <c r="W79">
        <v>55000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>
        <v>147</v>
      </c>
      <c r="B80" t="s">
        <v>149</v>
      </c>
      <c r="C80">
        <v>1594</v>
      </c>
      <c r="D80" t="s">
        <v>346</v>
      </c>
      <c r="F80" t="s">
        <v>73</v>
      </c>
      <c r="G80" t="s">
        <v>185</v>
      </c>
      <c r="H80" t="s">
        <v>151</v>
      </c>
      <c r="I80" t="s">
        <v>4</v>
      </c>
      <c r="J80" t="s">
        <v>152</v>
      </c>
      <c r="K80" t="s">
        <v>153</v>
      </c>
      <c r="L80">
        <v>251200044</v>
      </c>
      <c r="M80" s="84">
        <v>45994</v>
      </c>
      <c r="N80" s="84">
        <v>45994</v>
      </c>
      <c r="O80" t="s">
        <v>200</v>
      </c>
      <c r="P80" t="s">
        <v>201</v>
      </c>
      <c r="Q80">
        <v>5500</v>
      </c>
      <c r="R80">
        <v>1</v>
      </c>
      <c r="S80">
        <v>5500</v>
      </c>
      <c r="T80">
        <v>0</v>
      </c>
      <c r="U80">
        <v>0</v>
      </c>
      <c r="V80">
        <v>1</v>
      </c>
      <c r="W80">
        <v>5500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>
        <v>148</v>
      </c>
      <c r="B81" t="s">
        <v>149</v>
      </c>
      <c r="C81">
        <v>1594</v>
      </c>
      <c r="D81" t="s">
        <v>346</v>
      </c>
      <c r="F81" t="s">
        <v>73</v>
      </c>
      <c r="G81" t="s">
        <v>185</v>
      </c>
      <c r="H81" t="s">
        <v>151</v>
      </c>
      <c r="I81" t="s">
        <v>4</v>
      </c>
      <c r="J81" t="s">
        <v>152</v>
      </c>
      <c r="K81" t="s">
        <v>153</v>
      </c>
      <c r="L81">
        <v>251200044</v>
      </c>
      <c r="M81" s="84">
        <v>45994</v>
      </c>
      <c r="N81" s="84">
        <v>45994</v>
      </c>
      <c r="O81" t="s">
        <v>177</v>
      </c>
      <c r="P81" t="s">
        <v>178</v>
      </c>
      <c r="Q81">
        <v>5500</v>
      </c>
      <c r="R81">
        <v>5</v>
      </c>
      <c r="S81">
        <v>27500</v>
      </c>
      <c r="T81">
        <v>0</v>
      </c>
      <c r="U81">
        <v>0</v>
      </c>
      <c r="V81">
        <v>5</v>
      </c>
      <c r="W81">
        <v>27500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>
        <v>150</v>
      </c>
      <c r="B82" t="s">
        <v>149</v>
      </c>
      <c r="C82">
        <v>1292</v>
      </c>
      <c r="D82" t="s">
        <v>336</v>
      </c>
      <c r="F82" t="s">
        <v>73</v>
      </c>
      <c r="G82" t="s">
        <v>185</v>
      </c>
      <c r="H82" t="s">
        <v>151</v>
      </c>
      <c r="I82" t="s">
        <v>4</v>
      </c>
      <c r="J82" t="s">
        <v>152</v>
      </c>
      <c r="K82" t="s">
        <v>153</v>
      </c>
      <c r="L82">
        <v>251200045</v>
      </c>
      <c r="M82" s="84">
        <v>45994</v>
      </c>
      <c r="N82" s="84">
        <v>45994</v>
      </c>
      <c r="O82" t="s">
        <v>243</v>
      </c>
      <c r="P82" t="s">
        <v>244</v>
      </c>
      <c r="Q82">
        <v>5700</v>
      </c>
      <c r="R82">
        <v>10</v>
      </c>
      <c r="S82">
        <v>57000</v>
      </c>
      <c r="T82">
        <v>0</v>
      </c>
      <c r="U82">
        <v>0</v>
      </c>
      <c r="V82">
        <v>10</v>
      </c>
      <c r="W82">
        <v>57000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151</v>
      </c>
      <c r="B83" t="s">
        <v>149</v>
      </c>
      <c r="C83">
        <v>1292</v>
      </c>
      <c r="D83" t="s">
        <v>336</v>
      </c>
      <c r="F83" t="s">
        <v>73</v>
      </c>
      <c r="G83" t="s">
        <v>185</v>
      </c>
      <c r="H83" t="s">
        <v>151</v>
      </c>
      <c r="I83" t="s">
        <v>4</v>
      </c>
      <c r="J83" t="s">
        <v>152</v>
      </c>
      <c r="K83" t="s">
        <v>153</v>
      </c>
      <c r="L83">
        <v>251200045</v>
      </c>
      <c r="M83" s="84">
        <v>45994</v>
      </c>
      <c r="N83" s="84">
        <v>45994</v>
      </c>
      <c r="O83" t="s">
        <v>160</v>
      </c>
      <c r="P83" t="s">
        <v>161</v>
      </c>
      <c r="Q83">
        <v>5500</v>
      </c>
      <c r="R83">
        <v>20</v>
      </c>
      <c r="S83">
        <v>110000</v>
      </c>
      <c r="T83">
        <v>0</v>
      </c>
      <c r="U83">
        <v>0</v>
      </c>
      <c r="V83">
        <v>20</v>
      </c>
      <c r="W83">
        <v>110000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>
        <v>153</v>
      </c>
      <c r="B84" t="s">
        <v>149</v>
      </c>
      <c r="C84">
        <v>1326</v>
      </c>
      <c r="D84" t="s">
        <v>338</v>
      </c>
      <c r="F84" t="s">
        <v>15</v>
      </c>
      <c r="G84" t="s">
        <v>193</v>
      </c>
      <c r="H84" t="s">
        <v>151</v>
      </c>
      <c r="I84" t="s">
        <v>5</v>
      </c>
      <c r="J84" t="s">
        <v>152</v>
      </c>
      <c r="K84" t="s">
        <v>153</v>
      </c>
      <c r="L84">
        <v>251200046</v>
      </c>
      <c r="M84" s="84">
        <v>45994</v>
      </c>
      <c r="N84" s="84">
        <v>45994</v>
      </c>
      <c r="O84" t="s">
        <v>253</v>
      </c>
      <c r="P84" t="s">
        <v>254</v>
      </c>
      <c r="Q84">
        <v>4500</v>
      </c>
      <c r="R84">
        <v>8</v>
      </c>
      <c r="S84">
        <v>36000</v>
      </c>
      <c r="T84">
        <v>0</v>
      </c>
      <c r="U84">
        <v>0</v>
      </c>
      <c r="V84">
        <v>8</v>
      </c>
      <c r="W84">
        <v>36000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>
        <v>154</v>
      </c>
      <c r="B85" t="s">
        <v>149</v>
      </c>
      <c r="C85">
        <v>1326</v>
      </c>
      <c r="D85" t="s">
        <v>338</v>
      </c>
      <c r="F85" t="s">
        <v>15</v>
      </c>
      <c r="G85" t="s">
        <v>193</v>
      </c>
      <c r="H85" t="s">
        <v>151</v>
      </c>
      <c r="I85" t="s">
        <v>4</v>
      </c>
      <c r="J85" t="s">
        <v>152</v>
      </c>
      <c r="K85" t="s">
        <v>153</v>
      </c>
      <c r="L85">
        <v>251200046</v>
      </c>
      <c r="M85" s="84">
        <v>45994</v>
      </c>
      <c r="N85" s="84">
        <v>45994</v>
      </c>
      <c r="O85" t="s">
        <v>243</v>
      </c>
      <c r="P85" t="s">
        <v>244</v>
      </c>
      <c r="Q85">
        <v>5700</v>
      </c>
      <c r="R85">
        <v>5</v>
      </c>
      <c r="S85">
        <v>28500</v>
      </c>
      <c r="T85">
        <v>0</v>
      </c>
      <c r="U85">
        <v>0</v>
      </c>
      <c r="V85">
        <v>5</v>
      </c>
      <c r="W85">
        <v>28500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>
        <v>155</v>
      </c>
      <c r="B86" t="s">
        <v>149</v>
      </c>
      <c r="C86">
        <v>1326</v>
      </c>
      <c r="D86" t="s">
        <v>338</v>
      </c>
      <c r="F86" t="s">
        <v>15</v>
      </c>
      <c r="G86" t="s">
        <v>193</v>
      </c>
      <c r="H86" t="s">
        <v>151</v>
      </c>
      <c r="I86" t="s">
        <v>4</v>
      </c>
      <c r="J86" t="s">
        <v>152</v>
      </c>
      <c r="K86" t="s">
        <v>153</v>
      </c>
      <c r="L86">
        <v>251200046</v>
      </c>
      <c r="M86" s="84">
        <v>45994</v>
      </c>
      <c r="N86" s="84">
        <v>45994</v>
      </c>
      <c r="O86" t="s">
        <v>160</v>
      </c>
      <c r="P86" t="s">
        <v>161</v>
      </c>
      <c r="Q86">
        <v>5500</v>
      </c>
      <c r="R86">
        <v>10</v>
      </c>
      <c r="S86">
        <v>55000</v>
      </c>
      <c r="T86">
        <v>0</v>
      </c>
      <c r="U86">
        <v>0</v>
      </c>
      <c r="V86">
        <v>10</v>
      </c>
      <c r="W86">
        <v>55000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>
        <v>198</v>
      </c>
      <c r="B87" t="s">
        <v>149</v>
      </c>
      <c r="C87">
        <v>1515</v>
      </c>
      <c r="D87" t="s">
        <v>347</v>
      </c>
      <c r="F87" t="s">
        <v>65</v>
      </c>
      <c r="G87" t="s">
        <v>208</v>
      </c>
      <c r="H87" t="s">
        <v>157</v>
      </c>
      <c r="I87" t="s">
        <v>4</v>
      </c>
      <c r="J87" t="s">
        <v>152</v>
      </c>
      <c r="K87" t="s">
        <v>174</v>
      </c>
      <c r="L87">
        <v>251200062</v>
      </c>
      <c r="M87" s="84">
        <v>45994</v>
      </c>
      <c r="N87" s="84">
        <v>45994</v>
      </c>
      <c r="O87" t="s">
        <v>189</v>
      </c>
      <c r="P87" t="s">
        <v>190</v>
      </c>
      <c r="Q87">
        <v>5500</v>
      </c>
      <c r="R87">
        <v>5</v>
      </c>
      <c r="S87">
        <v>27500</v>
      </c>
      <c r="T87">
        <v>0</v>
      </c>
      <c r="U87">
        <v>0</v>
      </c>
      <c r="V87">
        <v>5</v>
      </c>
      <c r="W87">
        <v>27500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>
        <v>203</v>
      </c>
      <c r="B88" t="s">
        <v>149</v>
      </c>
      <c r="C88">
        <v>1563</v>
      </c>
      <c r="D88" t="s">
        <v>348</v>
      </c>
      <c r="F88" t="s">
        <v>91</v>
      </c>
      <c r="G88" t="s">
        <v>202</v>
      </c>
      <c r="H88" t="s">
        <v>157</v>
      </c>
      <c r="I88" t="s">
        <v>5</v>
      </c>
      <c r="J88" t="s">
        <v>152</v>
      </c>
      <c r="K88" t="s">
        <v>159</v>
      </c>
      <c r="L88">
        <v>251200066</v>
      </c>
      <c r="M88" s="84">
        <v>45994</v>
      </c>
      <c r="N88" s="84">
        <v>45994</v>
      </c>
      <c r="O88" t="s">
        <v>198</v>
      </c>
      <c r="P88" t="s">
        <v>199</v>
      </c>
      <c r="Q88">
        <v>4500</v>
      </c>
      <c r="R88">
        <v>20</v>
      </c>
      <c r="S88">
        <v>90000</v>
      </c>
      <c r="T88">
        <v>0</v>
      </c>
      <c r="U88">
        <v>0</v>
      </c>
      <c r="V88">
        <v>20</v>
      </c>
      <c r="W88">
        <v>90000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>
        <v>213</v>
      </c>
      <c r="B89" t="s">
        <v>149</v>
      </c>
      <c r="C89">
        <v>1320</v>
      </c>
      <c r="D89" t="s">
        <v>319</v>
      </c>
      <c r="F89" t="s">
        <v>171</v>
      </c>
      <c r="G89" t="s">
        <v>172</v>
      </c>
      <c r="H89" t="s">
        <v>157</v>
      </c>
      <c r="I89" t="s">
        <v>4</v>
      </c>
      <c r="J89" t="s">
        <v>152</v>
      </c>
      <c r="K89" t="s">
        <v>174</v>
      </c>
      <c r="L89">
        <v>251200071</v>
      </c>
      <c r="M89" s="84">
        <v>45994</v>
      </c>
      <c r="N89" s="84">
        <v>45994</v>
      </c>
      <c r="O89" t="s">
        <v>294</v>
      </c>
      <c r="P89" t="s">
        <v>295</v>
      </c>
      <c r="Q89">
        <v>5500</v>
      </c>
      <c r="R89">
        <v>10</v>
      </c>
      <c r="S89">
        <v>55000</v>
      </c>
      <c r="T89">
        <v>0</v>
      </c>
      <c r="U89">
        <v>0</v>
      </c>
      <c r="V89">
        <v>10</v>
      </c>
      <c r="W89">
        <v>55000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214</v>
      </c>
      <c r="B90" t="s">
        <v>149</v>
      </c>
      <c r="C90">
        <v>1320</v>
      </c>
      <c r="D90" t="s">
        <v>319</v>
      </c>
      <c r="F90" t="s">
        <v>171</v>
      </c>
      <c r="G90" t="s">
        <v>172</v>
      </c>
      <c r="H90" t="s">
        <v>157</v>
      </c>
      <c r="I90" t="s">
        <v>4</v>
      </c>
      <c r="J90" t="s">
        <v>152</v>
      </c>
      <c r="K90" t="s">
        <v>174</v>
      </c>
      <c r="L90">
        <v>251200071</v>
      </c>
      <c r="M90" s="84">
        <v>45994</v>
      </c>
      <c r="N90" s="84">
        <v>45994</v>
      </c>
      <c r="O90" t="s">
        <v>256</v>
      </c>
      <c r="P90" t="s">
        <v>257</v>
      </c>
      <c r="Q90">
        <v>5500</v>
      </c>
      <c r="R90">
        <v>10</v>
      </c>
      <c r="S90">
        <v>55000</v>
      </c>
      <c r="T90">
        <v>0</v>
      </c>
      <c r="U90">
        <v>0</v>
      </c>
      <c r="V90">
        <v>10</v>
      </c>
      <c r="W90">
        <v>55000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>
        <v>215</v>
      </c>
      <c r="B91" t="s">
        <v>149</v>
      </c>
      <c r="C91">
        <v>1320</v>
      </c>
      <c r="D91" t="s">
        <v>319</v>
      </c>
      <c r="F91" t="s">
        <v>171</v>
      </c>
      <c r="G91" t="s">
        <v>172</v>
      </c>
      <c r="H91" t="s">
        <v>157</v>
      </c>
      <c r="I91" t="s">
        <v>4</v>
      </c>
      <c r="J91" t="s">
        <v>152</v>
      </c>
      <c r="K91" t="s">
        <v>174</v>
      </c>
      <c r="L91">
        <v>251200071</v>
      </c>
      <c r="M91" s="84">
        <v>45994</v>
      </c>
      <c r="N91" s="84">
        <v>45994</v>
      </c>
      <c r="O91" t="s">
        <v>225</v>
      </c>
      <c r="P91" t="s">
        <v>226</v>
      </c>
      <c r="Q91">
        <v>5500</v>
      </c>
      <c r="R91">
        <v>15</v>
      </c>
      <c r="S91">
        <v>82500</v>
      </c>
      <c r="T91">
        <v>0</v>
      </c>
      <c r="U91">
        <v>0</v>
      </c>
      <c r="V91">
        <v>15</v>
      </c>
      <c r="W91">
        <v>82500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>
        <v>216</v>
      </c>
      <c r="B92" t="s">
        <v>149</v>
      </c>
      <c r="C92">
        <v>1320</v>
      </c>
      <c r="D92" t="s">
        <v>319</v>
      </c>
      <c r="F92" t="s">
        <v>171</v>
      </c>
      <c r="G92" t="s">
        <v>172</v>
      </c>
      <c r="H92" t="s">
        <v>157</v>
      </c>
      <c r="I92" t="s">
        <v>4</v>
      </c>
      <c r="J92" t="s">
        <v>152</v>
      </c>
      <c r="K92" t="s">
        <v>174</v>
      </c>
      <c r="L92">
        <v>251200072</v>
      </c>
      <c r="M92" s="84">
        <v>45994</v>
      </c>
      <c r="N92" s="84">
        <v>45994</v>
      </c>
      <c r="O92" t="s">
        <v>349</v>
      </c>
      <c r="P92" t="s">
        <v>350</v>
      </c>
      <c r="Q92">
        <v>5500</v>
      </c>
      <c r="R92">
        <v>15</v>
      </c>
      <c r="S92">
        <v>82500</v>
      </c>
      <c r="T92">
        <v>0</v>
      </c>
      <c r="U92">
        <v>0</v>
      </c>
      <c r="V92">
        <v>15</v>
      </c>
      <c r="W92">
        <v>82500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>
        <v>217</v>
      </c>
      <c r="B93" t="s">
        <v>149</v>
      </c>
      <c r="C93">
        <v>1428</v>
      </c>
      <c r="D93" t="s">
        <v>351</v>
      </c>
      <c r="F93" t="s">
        <v>171</v>
      </c>
      <c r="G93" t="s">
        <v>172</v>
      </c>
      <c r="H93" t="s">
        <v>157</v>
      </c>
      <c r="I93" t="s">
        <v>4</v>
      </c>
      <c r="J93" t="s">
        <v>152</v>
      </c>
      <c r="K93" t="s">
        <v>174</v>
      </c>
      <c r="L93">
        <v>251200073</v>
      </c>
      <c r="M93" s="84">
        <v>45994</v>
      </c>
      <c r="N93" s="84">
        <v>45994</v>
      </c>
      <c r="O93" t="s">
        <v>189</v>
      </c>
      <c r="P93" t="s">
        <v>190</v>
      </c>
      <c r="Q93">
        <v>5500</v>
      </c>
      <c r="R93">
        <v>8</v>
      </c>
      <c r="S93">
        <v>44000</v>
      </c>
      <c r="T93">
        <v>0</v>
      </c>
      <c r="U93">
        <v>0</v>
      </c>
      <c r="V93">
        <v>8</v>
      </c>
      <c r="W93">
        <v>44000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>
        <v>218</v>
      </c>
      <c r="B94" t="s">
        <v>149</v>
      </c>
      <c r="C94">
        <v>1428</v>
      </c>
      <c r="D94" t="s">
        <v>351</v>
      </c>
      <c r="F94" t="s">
        <v>171</v>
      </c>
      <c r="G94" t="s">
        <v>172</v>
      </c>
      <c r="H94" t="s">
        <v>157</v>
      </c>
      <c r="I94" t="s">
        <v>4</v>
      </c>
      <c r="J94" t="s">
        <v>152</v>
      </c>
      <c r="K94" t="s">
        <v>174</v>
      </c>
      <c r="L94">
        <v>251200074</v>
      </c>
      <c r="M94" s="84">
        <v>45994</v>
      </c>
      <c r="N94" s="84">
        <v>45994</v>
      </c>
      <c r="O94" t="s">
        <v>300</v>
      </c>
      <c r="P94" t="s">
        <v>301</v>
      </c>
      <c r="Q94">
        <v>5500</v>
      </c>
      <c r="R94">
        <v>4</v>
      </c>
      <c r="S94">
        <v>22000</v>
      </c>
      <c r="T94">
        <v>0</v>
      </c>
      <c r="U94">
        <v>0</v>
      </c>
      <c r="V94">
        <v>4</v>
      </c>
      <c r="W94">
        <v>22000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>
        <v>230</v>
      </c>
      <c r="B95" t="s">
        <v>149</v>
      </c>
      <c r="C95">
        <v>1517</v>
      </c>
      <c r="D95" t="s">
        <v>352</v>
      </c>
      <c r="F95" t="s">
        <v>80</v>
      </c>
      <c r="G95" t="s">
        <v>164</v>
      </c>
      <c r="H95" t="s">
        <v>151</v>
      </c>
      <c r="I95" t="s">
        <v>4</v>
      </c>
      <c r="J95" t="s">
        <v>152</v>
      </c>
      <c r="K95" t="s">
        <v>153</v>
      </c>
      <c r="L95">
        <v>251200079</v>
      </c>
      <c r="M95" s="84">
        <v>45995</v>
      </c>
      <c r="N95" s="84">
        <v>45995</v>
      </c>
      <c r="O95" t="s">
        <v>160</v>
      </c>
      <c r="P95" t="s">
        <v>161</v>
      </c>
      <c r="Q95">
        <v>5500</v>
      </c>
      <c r="R95">
        <v>20</v>
      </c>
      <c r="S95">
        <v>110000</v>
      </c>
      <c r="T95">
        <v>0</v>
      </c>
      <c r="U95">
        <v>0</v>
      </c>
      <c r="V95">
        <v>20</v>
      </c>
      <c r="W95">
        <v>110000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>
        <v>232</v>
      </c>
      <c r="B96" t="s">
        <v>149</v>
      </c>
      <c r="C96">
        <v>1517</v>
      </c>
      <c r="D96" t="s">
        <v>352</v>
      </c>
      <c r="F96" t="s">
        <v>80</v>
      </c>
      <c r="G96" t="s">
        <v>164</v>
      </c>
      <c r="H96" t="s">
        <v>151</v>
      </c>
      <c r="I96" t="s">
        <v>5</v>
      </c>
      <c r="J96" t="s">
        <v>152</v>
      </c>
      <c r="K96" t="s">
        <v>153</v>
      </c>
      <c r="L96">
        <v>251200079</v>
      </c>
      <c r="M96" s="84">
        <v>45995</v>
      </c>
      <c r="N96" s="84">
        <v>45995</v>
      </c>
      <c r="O96" t="s">
        <v>191</v>
      </c>
      <c r="P96" t="s">
        <v>192</v>
      </c>
      <c r="Q96">
        <v>4500</v>
      </c>
      <c r="R96">
        <v>20</v>
      </c>
      <c r="S96">
        <v>90000</v>
      </c>
      <c r="T96">
        <v>0</v>
      </c>
      <c r="U96">
        <v>0</v>
      </c>
      <c r="V96">
        <v>20</v>
      </c>
      <c r="W96">
        <v>90000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>
        <v>237</v>
      </c>
      <c r="B97" t="s">
        <v>149</v>
      </c>
      <c r="C97">
        <v>1519</v>
      </c>
      <c r="D97" t="s">
        <v>353</v>
      </c>
      <c r="F97" t="s">
        <v>111</v>
      </c>
      <c r="G97" t="s">
        <v>150</v>
      </c>
      <c r="H97" t="s">
        <v>151</v>
      </c>
      <c r="I97" t="s">
        <v>4</v>
      </c>
      <c r="J97" t="s">
        <v>152</v>
      </c>
      <c r="K97" t="s">
        <v>153</v>
      </c>
      <c r="L97">
        <v>251200083</v>
      </c>
      <c r="M97" s="84">
        <v>45995</v>
      </c>
      <c r="N97" s="84">
        <v>45995</v>
      </c>
      <c r="O97" t="s">
        <v>219</v>
      </c>
      <c r="P97" t="s">
        <v>220</v>
      </c>
      <c r="Q97">
        <v>5500</v>
      </c>
      <c r="R97">
        <v>10</v>
      </c>
      <c r="S97">
        <v>55000</v>
      </c>
      <c r="T97">
        <v>0</v>
      </c>
      <c r="U97">
        <v>0</v>
      </c>
      <c r="V97">
        <v>10</v>
      </c>
      <c r="W97">
        <v>55000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>
      <c r="A98">
        <v>238</v>
      </c>
      <c r="B98" t="s">
        <v>149</v>
      </c>
      <c r="C98">
        <v>1519</v>
      </c>
      <c r="D98" t="s">
        <v>353</v>
      </c>
      <c r="F98" t="s">
        <v>111</v>
      </c>
      <c r="G98" t="s">
        <v>150</v>
      </c>
      <c r="H98" t="s">
        <v>151</v>
      </c>
      <c r="I98" t="s">
        <v>4</v>
      </c>
      <c r="J98" t="s">
        <v>152</v>
      </c>
      <c r="K98" t="s">
        <v>153</v>
      </c>
      <c r="L98">
        <v>251200083</v>
      </c>
      <c r="M98" s="84">
        <v>45995</v>
      </c>
      <c r="N98" s="84">
        <v>45995</v>
      </c>
      <c r="O98" t="s">
        <v>160</v>
      </c>
      <c r="P98" t="s">
        <v>161</v>
      </c>
      <c r="Q98">
        <v>5500</v>
      </c>
      <c r="R98">
        <v>10</v>
      </c>
      <c r="S98">
        <v>55000</v>
      </c>
      <c r="T98">
        <v>0</v>
      </c>
      <c r="U98">
        <v>0</v>
      </c>
      <c r="V98">
        <v>10</v>
      </c>
      <c r="W98">
        <v>55000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>
      <c r="A99">
        <v>239</v>
      </c>
      <c r="B99" t="s">
        <v>149</v>
      </c>
      <c r="C99">
        <v>1557</v>
      </c>
      <c r="D99" t="s">
        <v>344</v>
      </c>
      <c r="F99" t="s">
        <v>111</v>
      </c>
      <c r="G99" t="s">
        <v>150</v>
      </c>
      <c r="H99" t="s">
        <v>151</v>
      </c>
      <c r="I99" t="s">
        <v>5</v>
      </c>
      <c r="J99" t="s">
        <v>152</v>
      </c>
      <c r="K99" t="s">
        <v>153</v>
      </c>
      <c r="L99">
        <v>251200084</v>
      </c>
      <c r="M99" s="84">
        <v>45995</v>
      </c>
      <c r="N99" s="84">
        <v>45995</v>
      </c>
      <c r="O99" t="s">
        <v>191</v>
      </c>
      <c r="P99" t="s">
        <v>192</v>
      </c>
      <c r="Q99">
        <v>4500</v>
      </c>
      <c r="R99">
        <v>40</v>
      </c>
      <c r="S99">
        <v>180000</v>
      </c>
      <c r="T99">
        <v>0</v>
      </c>
      <c r="U99">
        <v>0</v>
      </c>
      <c r="V99">
        <v>40</v>
      </c>
      <c r="W99">
        <v>180000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>
        <v>243</v>
      </c>
      <c r="B100" t="s">
        <v>149</v>
      </c>
      <c r="C100">
        <v>1478</v>
      </c>
      <c r="D100" t="s">
        <v>314</v>
      </c>
      <c r="F100" t="s">
        <v>111</v>
      </c>
      <c r="G100" t="s">
        <v>150</v>
      </c>
      <c r="H100" t="s">
        <v>151</v>
      </c>
      <c r="I100" t="s">
        <v>5</v>
      </c>
      <c r="J100" t="s">
        <v>152</v>
      </c>
      <c r="K100" t="s">
        <v>153</v>
      </c>
      <c r="L100">
        <v>251200086</v>
      </c>
      <c r="M100" s="84">
        <v>45995</v>
      </c>
      <c r="N100" s="84">
        <v>45995</v>
      </c>
      <c r="O100" t="s">
        <v>196</v>
      </c>
      <c r="P100" t="s">
        <v>197</v>
      </c>
      <c r="Q100">
        <v>4500</v>
      </c>
      <c r="R100">
        <v>8</v>
      </c>
      <c r="S100">
        <v>36000</v>
      </c>
      <c r="T100">
        <v>0</v>
      </c>
      <c r="U100">
        <v>0</v>
      </c>
      <c r="V100">
        <v>8</v>
      </c>
      <c r="W100">
        <v>36000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>
        <v>244</v>
      </c>
      <c r="B101" t="s">
        <v>149</v>
      </c>
      <c r="C101">
        <v>1491</v>
      </c>
      <c r="D101" t="s">
        <v>354</v>
      </c>
      <c r="F101" t="s">
        <v>111</v>
      </c>
      <c r="G101" t="s">
        <v>150</v>
      </c>
      <c r="H101" t="s">
        <v>151</v>
      </c>
      <c r="I101" t="s">
        <v>4</v>
      </c>
      <c r="J101" t="s">
        <v>152</v>
      </c>
      <c r="K101" t="s">
        <v>153</v>
      </c>
      <c r="L101">
        <v>251200087</v>
      </c>
      <c r="M101" s="84">
        <v>45995</v>
      </c>
      <c r="N101" s="84">
        <v>45995</v>
      </c>
      <c r="O101" t="s">
        <v>160</v>
      </c>
      <c r="P101" t="s">
        <v>161</v>
      </c>
      <c r="Q101">
        <v>5500</v>
      </c>
      <c r="R101">
        <v>25</v>
      </c>
      <c r="S101">
        <v>137500</v>
      </c>
      <c r="T101">
        <v>0</v>
      </c>
      <c r="U101">
        <v>0</v>
      </c>
      <c r="V101">
        <v>25</v>
      </c>
      <c r="W101">
        <v>137500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>
        <v>245</v>
      </c>
      <c r="B102" t="s">
        <v>149</v>
      </c>
      <c r="C102">
        <v>1551</v>
      </c>
      <c r="D102" t="s">
        <v>316</v>
      </c>
      <c r="F102" t="s">
        <v>111</v>
      </c>
      <c r="G102" t="s">
        <v>150</v>
      </c>
      <c r="H102" t="s">
        <v>151</v>
      </c>
      <c r="I102" t="s">
        <v>5</v>
      </c>
      <c r="J102" t="s">
        <v>152</v>
      </c>
      <c r="K102" t="s">
        <v>153</v>
      </c>
      <c r="L102">
        <v>251200088</v>
      </c>
      <c r="M102" s="84">
        <v>45995</v>
      </c>
      <c r="N102" s="84">
        <v>45995</v>
      </c>
      <c r="O102" t="s">
        <v>271</v>
      </c>
      <c r="P102" t="s">
        <v>272</v>
      </c>
      <c r="Q102">
        <v>4500</v>
      </c>
      <c r="R102">
        <v>8</v>
      </c>
      <c r="S102">
        <v>36000</v>
      </c>
      <c r="T102">
        <v>0</v>
      </c>
      <c r="U102">
        <v>0</v>
      </c>
      <c r="V102">
        <v>8</v>
      </c>
      <c r="W102">
        <v>36000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>
        <v>246</v>
      </c>
      <c r="B103" t="s">
        <v>149</v>
      </c>
      <c r="C103">
        <v>1535</v>
      </c>
      <c r="D103" t="s">
        <v>355</v>
      </c>
      <c r="F103" t="s">
        <v>7</v>
      </c>
      <c r="G103" t="s">
        <v>156</v>
      </c>
      <c r="H103" t="s">
        <v>157</v>
      </c>
      <c r="I103" t="s">
        <v>4</v>
      </c>
      <c r="J103" t="s">
        <v>152</v>
      </c>
      <c r="K103" t="s">
        <v>159</v>
      </c>
      <c r="L103">
        <v>251200089</v>
      </c>
      <c r="M103" s="84">
        <v>45995</v>
      </c>
      <c r="N103" s="84">
        <v>45995</v>
      </c>
      <c r="O103" t="s">
        <v>160</v>
      </c>
      <c r="P103" t="s">
        <v>161</v>
      </c>
      <c r="Q103">
        <v>5500</v>
      </c>
      <c r="R103">
        <v>50</v>
      </c>
      <c r="S103">
        <v>275000</v>
      </c>
      <c r="T103">
        <v>0</v>
      </c>
      <c r="U103">
        <v>0</v>
      </c>
      <c r="V103">
        <v>50</v>
      </c>
      <c r="W103">
        <v>275000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>
        <v>259</v>
      </c>
      <c r="B104" t="s">
        <v>149</v>
      </c>
      <c r="C104">
        <v>1353</v>
      </c>
      <c r="D104" t="s">
        <v>356</v>
      </c>
      <c r="F104" t="s">
        <v>28</v>
      </c>
      <c r="G104" t="s">
        <v>164</v>
      </c>
      <c r="H104" t="s">
        <v>151</v>
      </c>
      <c r="I104" t="s">
        <v>5</v>
      </c>
      <c r="J104" t="s">
        <v>152</v>
      </c>
      <c r="K104" t="s">
        <v>153</v>
      </c>
      <c r="L104">
        <v>251200097</v>
      </c>
      <c r="M104" s="84">
        <v>45995</v>
      </c>
      <c r="N104" s="84">
        <v>45995</v>
      </c>
      <c r="O104" t="s">
        <v>196</v>
      </c>
      <c r="P104" t="s">
        <v>197</v>
      </c>
      <c r="Q104">
        <v>4500</v>
      </c>
      <c r="R104">
        <v>12</v>
      </c>
      <c r="S104">
        <v>54000</v>
      </c>
      <c r="T104">
        <v>0</v>
      </c>
      <c r="U104">
        <v>0</v>
      </c>
      <c r="V104">
        <v>12</v>
      </c>
      <c r="W104">
        <v>54000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>
        <v>260</v>
      </c>
      <c r="B105" t="s">
        <v>149</v>
      </c>
      <c r="C105">
        <v>1353</v>
      </c>
      <c r="D105" t="s">
        <v>356</v>
      </c>
      <c r="F105" t="s">
        <v>28</v>
      </c>
      <c r="G105" t="s">
        <v>164</v>
      </c>
      <c r="H105" t="s">
        <v>151</v>
      </c>
      <c r="I105" t="s">
        <v>5</v>
      </c>
      <c r="J105" t="s">
        <v>152</v>
      </c>
      <c r="K105" t="s">
        <v>153</v>
      </c>
      <c r="L105">
        <v>251200097</v>
      </c>
      <c r="M105" s="84">
        <v>45995</v>
      </c>
      <c r="N105" s="84">
        <v>45995</v>
      </c>
      <c r="O105" t="s">
        <v>253</v>
      </c>
      <c r="P105" t="s">
        <v>254</v>
      </c>
      <c r="Q105">
        <v>4500</v>
      </c>
      <c r="R105">
        <v>8</v>
      </c>
      <c r="S105">
        <v>36000</v>
      </c>
      <c r="T105">
        <v>0</v>
      </c>
      <c r="U105">
        <v>0</v>
      </c>
      <c r="V105">
        <v>8</v>
      </c>
      <c r="W105">
        <v>36000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261</v>
      </c>
      <c r="B106" t="s">
        <v>149</v>
      </c>
      <c r="C106">
        <v>1353</v>
      </c>
      <c r="D106" t="s">
        <v>356</v>
      </c>
      <c r="F106" t="s">
        <v>28</v>
      </c>
      <c r="G106" t="s">
        <v>164</v>
      </c>
      <c r="H106" t="s">
        <v>151</v>
      </c>
      <c r="I106" t="s">
        <v>5</v>
      </c>
      <c r="J106" t="s">
        <v>152</v>
      </c>
      <c r="K106" t="s">
        <v>153</v>
      </c>
      <c r="L106">
        <v>251200097</v>
      </c>
      <c r="M106" s="84">
        <v>45995</v>
      </c>
      <c r="N106" s="84">
        <v>45995</v>
      </c>
      <c r="O106" t="s">
        <v>217</v>
      </c>
      <c r="P106" t="s">
        <v>218</v>
      </c>
      <c r="Q106">
        <v>4500</v>
      </c>
      <c r="R106">
        <v>116</v>
      </c>
      <c r="S106">
        <v>522000</v>
      </c>
      <c r="T106">
        <v>0</v>
      </c>
      <c r="U106">
        <v>0</v>
      </c>
      <c r="V106">
        <v>116</v>
      </c>
      <c r="W106">
        <v>522000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262</v>
      </c>
      <c r="B107" t="s">
        <v>149</v>
      </c>
      <c r="C107">
        <v>1444</v>
      </c>
      <c r="D107" t="s">
        <v>341</v>
      </c>
      <c r="F107" t="s">
        <v>28</v>
      </c>
      <c r="G107" t="s">
        <v>164</v>
      </c>
      <c r="H107" t="s">
        <v>151</v>
      </c>
      <c r="I107" t="s">
        <v>4</v>
      </c>
      <c r="J107" t="s">
        <v>152</v>
      </c>
      <c r="K107" t="s">
        <v>153</v>
      </c>
      <c r="L107">
        <v>251200098</v>
      </c>
      <c r="M107" s="84">
        <v>45995</v>
      </c>
      <c r="N107" s="84">
        <v>45995</v>
      </c>
      <c r="O107" t="s">
        <v>160</v>
      </c>
      <c r="P107" t="s">
        <v>161</v>
      </c>
      <c r="Q107">
        <v>5500</v>
      </c>
      <c r="R107">
        <v>4</v>
      </c>
      <c r="S107">
        <v>22000</v>
      </c>
      <c r="T107">
        <v>0</v>
      </c>
      <c r="U107">
        <v>0</v>
      </c>
      <c r="V107">
        <v>4</v>
      </c>
      <c r="W107">
        <v>22000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>
        <v>263</v>
      </c>
      <c r="B108" t="s">
        <v>149</v>
      </c>
      <c r="C108">
        <v>1444</v>
      </c>
      <c r="D108" t="s">
        <v>341</v>
      </c>
      <c r="F108" t="s">
        <v>28</v>
      </c>
      <c r="G108" t="s">
        <v>164</v>
      </c>
      <c r="H108" t="s">
        <v>151</v>
      </c>
      <c r="I108" t="s">
        <v>5</v>
      </c>
      <c r="J108" t="s">
        <v>152</v>
      </c>
      <c r="K108" t="s">
        <v>153</v>
      </c>
      <c r="L108">
        <v>251200098</v>
      </c>
      <c r="M108" s="84">
        <v>45995</v>
      </c>
      <c r="N108" s="84">
        <v>45995</v>
      </c>
      <c r="O108" t="s">
        <v>191</v>
      </c>
      <c r="P108" t="s">
        <v>192</v>
      </c>
      <c r="Q108">
        <v>4500</v>
      </c>
      <c r="R108">
        <v>20</v>
      </c>
      <c r="S108">
        <v>90000</v>
      </c>
      <c r="T108">
        <v>0</v>
      </c>
      <c r="U108">
        <v>0</v>
      </c>
      <c r="V108">
        <v>20</v>
      </c>
      <c r="W108">
        <v>90000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265</v>
      </c>
      <c r="B109" t="s">
        <v>149</v>
      </c>
      <c r="C109">
        <v>1557</v>
      </c>
      <c r="D109" t="s">
        <v>344</v>
      </c>
      <c r="F109" t="s">
        <v>111</v>
      </c>
      <c r="G109" t="s">
        <v>150</v>
      </c>
      <c r="H109" t="s">
        <v>151</v>
      </c>
      <c r="I109" t="s">
        <v>4</v>
      </c>
      <c r="J109" t="s">
        <v>152</v>
      </c>
      <c r="K109" t="s">
        <v>153</v>
      </c>
      <c r="L109">
        <v>251200100</v>
      </c>
      <c r="M109" s="84">
        <v>45995</v>
      </c>
      <c r="N109" s="84">
        <v>45995</v>
      </c>
      <c r="O109" t="s">
        <v>179</v>
      </c>
      <c r="P109" t="s">
        <v>180</v>
      </c>
      <c r="Q109">
        <v>5500</v>
      </c>
      <c r="R109">
        <v>1</v>
      </c>
      <c r="S109">
        <v>5500</v>
      </c>
      <c r="T109">
        <v>0</v>
      </c>
      <c r="U109">
        <v>0</v>
      </c>
      <c r="V109">
        <v>1</v>
      </c>
      <c r="W109">
        <v>5500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>
        <v>266</v>
      </c>
      <c r="B110" t="s">
        <v>149</v>
      </c>
      <c r="C110">
        <v>1557</v>
      </c>
      <c r="D110" t="s">
        <v>344</v>
      </c>
      <c r="F110" t="s">
        <v>111</v>
      </c>
      <c r="G110" t="s">
        <v>150</v>
      </c>
      <c r="H110" t="s">
        <v>151</v>
      </c>
      <c r="I110" t="s">
        <v>4</v>
      </c>
      <c r="J110" t="s">
        <v>152</v>
      </c>
      <c r="K110" t="s">
        <v>153</v>
      </c>
      <c r="L110">
        <v>251200100</v>
      </c>
      <c r="M110" s="84">
        <v>45995</v>
      </c>
      <c r="N110" s="84">
        <v>45995</v>
      </c>
      <c r="O110" t="s">
        <v>357</v>
      </c>
      <c r="P110" t="s">
        <v>358</v>
      </c>
      <c r="Q110">
        <v>5500</v>
      </c>
      <c r="R110">
        <v>5</v>
      </c>
      <c r="S110">
        <v>27500</v>
      </c>
      <c r="T110">
        <v>0</v>
      </c>
      <c r="U110">
        <v>0</v>
      </c>
      <c r="V110">
        <v>5</v>
      </c>
      <c r="W110">
        <v>27500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269</v>
      </c>
      <c r="B111" t="s">
        <v>149</v>
      </c>
      <c r="C111">
        <v>1550</v>
      </c>
      <c r="D111" t="s">
        <v>337</v>
      </c>
      <c r="F111" t="s">
        <v>15</v>
      </c>
      <c r="G111" t="s">
        <v>193</v>
      </c>
      <c r="H111" t="s">
        <v>151</v>
      </c>
      <c r="I111" t="s">
        <v>5</v>
      </c>
      <c r="J111" t="s">
        <v>152</v>
      </c>
      <c r="K111" t="s">
        <v>153</v>
      </c>
      <c r="L111">
        <v>251200102</v>
      </c>
      <c r="M111" s="84">
        <v>45995</v>
      </c>
      <c r="N111" s="84">
        <v>45995</v>
      </c>
      <c r="O111" t="s">
        <v>260</v>
      </c>
      <c r="P111" t="s">
        <v>261</v>
      </c>
      <c r="Q111">
        <v>4500</v>
      </c>
      <c r="R111">
        <v>8</v>
      </c>
      <c r="S111">
        <v>36000</v>
      </c>
      <c r="T111">
        <v>0</v>
      </c>
      <c r="U111">
        <v>0</v>
      </c>
      <c r="V111">
        <v>8</v>
      </c>
      <c r="W111">
        <v>36000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>
        <v>270</v>
      </c>
      <c r="B112" t="s">
        <v>149</v>
      </c>
      <c r="C112">
        <v>1550</v>
      </c>
      <c r="D112" t="s">
        <v>337</v>
      </c>
      <c r="F112" t="s">
        <v>15</v>
      </c>
      <c r="G112" t="s">
        <v>193</v>
      </c>
      <c r="H112" t="s">
        <v>151</v>
      </c>
      <c r="I112" t="s">
        <v>5</v>
      </c>
      <c r="J112" t="s">
        <v>152</v>
      </c>
      <c r="K112" t="s">
        <v>153</v>
      </c>
      <c r="L112">
        <v>251200103</v>
      </c>
      <c r="M112" s="84">
        <v>45995</v>
      </c>
      <c r="N112" s="84">
        <v>45995</v>
      </c>
      <c r="O112" t="s">
        <v>191</v>
      </c>
      <c r="P112" t="s">
        <v>192</v>
      </c>
      <c r="Q112">
        <v>4500</v>
      </c>
      <c r="R112">
        <v>20</v>
      </c>
      <c r="S112">
        <v>90000</v>
      </c>
      <c r="T112">
        <v>0</v>
      </c>
      <c r="U112">
        <v>0</v>
      </c>
      <c r="V112">
        <v>20</v>
      </c>
      <c r="W112">
        <v>90000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>
        <v>271</v>
      </c>
      <c r="B113" t="s">
        <v>149</v>
      </c>
      <c r="C113">
        <v>1550</v>
      </c>
      <c r="D113" t="s">
        <v>337</v>
      </c>
      <c r="F113" t="s">
        <v>15</v>
      </c>
      <c r="G113" t="s">
        <v>193</v>
      </c>
      <c r="H113" t="s">
        <v>151</v>
      </c>
      <c r="I113" t="s">
        <v>4</v>
      </c>
      <c r="J113" t="s">
        <v>152</v>
      </c>
      <c r="K113" t="s">
        <v>153</v>
      </c>
      <c r="L113">
        <v>251200103</v>
      </c>
      <c r="M113" s="84">
        <v>45995</v>
      </c>
      <c r="N113" s="84">
        <v>45995</v>
      </c>
      <c r="O113" t="s">
        <v>160</v>
      </c>
      <c r="P113" t="s">
        <v>161</v>
      </c>
      <c r="Q113">
        <v>5500</v>
      </c>
      <c r="R113">
        <v>1</v>
      </c>
      <c r="S113">
        <v>5500</v>
      </c>
      <c r="T113">
        <v>0</v>
      </c>
      <c r="U113">
        <v>0</v>
      </c>
      <c r="V113">
        <v>1</v>
      </c>
      <c r="W113">
        <v>5500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>
        <v>272</v>
      </c>
      <c r="B114" t="s">
        <v>149</v>
      </c>
      <c r="C114">
        <v>1326</v>
      </c>
      <c r="D114" t="s">
        <v>338</v>
      </c>
      <c r="F114" t="s">
        <v>15</v>
      </c>
      <c r="G114" t="s">
        <v>193</v>
      </c>
      <c r="H114" t="s">
        <v>151</v>
      </c>
      <c r="I114" t="s">
        <v>4</v>
      </c>
      <c r="J114" t="s">
        <v>152</v>
      </c>
      <c r="K114" t="s">
        <v>153</v>
      </c>
      <c r="L114">
        <v>251200104</v>
      </c>
      <c r="M114" s="84">
        <v>45995</v>
      </c>
      <c r="N114" s="84">
        <v>45995</v>
      </c>
      <c r="O114" t="s">
        <v>160</v>
      </c>
      <c r="P114" t="s">
        <v>161</v>
      </c>
      <c r="Q114">
        <v>5500</v>
      </c>
      <c r="R114">
        <v>10</v>
      </c>
      <c r="S114">
        <v>55000</v>
      </c>
      <c r="T114">
        <v>0</v>
      </c>
      <c r="U114">
        <v>0</v>
      </c>
      <c r="V114">
        <v>10</v>
      </c>
      <c r="W114">
        <v>55000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273</v>
      </c>
      <c r="B115" t="s">
        <v>149</v>
      </c>
      <c r="C115">
        <v>1326</v>
      </c>
      <c r="D115" t="s">
        <v>338</v>
      </c>
      <c r="F115" t="s">
        <v>15</v>
      </c>
      <c r="G115" t="s">
        <v>193</v>
      </c>
      <c r="H115" t="s">
        <v>151</v>
      </c>
      <c r="I115" t="s">
        <v>5</v>
      </c>
      <c r="J115" t="s">
        <v>152</v>
      </c>
      <c r="K115" t="s">
        <v>153</v>
      </c>
      <c r="L115">
        <v>251200104</v>
      </c>
      <c r="M115" s="84">
        <v>45995</v>
      </c>
      <c r="N115" s="84">
        <v>45995</v>
      </c>
      <c r="O115" t="s">
        <v>191</v>
      </c>
      <c r="P115" t="s">
        <v>192</v>
      </c>
      <c r="Q115">
        <v>4500</v>
      </c>
      <c r="R115">
        <v>24</v>
      </c>
      <c r="S115">
        <v>108000</v>
      </c>
      <c r="T115">
        <v>0</v>
      </c>
      <c r="U115">
        <v>0</v>
      </c>
      <c r="V115">
        <v>24</v>
      </c>
      <c r="W115">
        <v>108000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>
        <v>275</v>
      </c>
      <c r="B116" t="s">
        <v>149</v>
      </c>
      <c r="C116">
        <v>1312</v>
      </c>
      <c r="D116" t="s">
        <v>359</v>
      </c>
      <c r="F116" t="s">
        <v>15</v>
      </c>
      <c r="G116" t="s">
        <v>193</v>
      </c>
      <c r="H116" t="s">
        <v>151</v>
      </c>
      <c r="I116" t="s">
        <v>4</v>
      </c>
      <c r="J116" t="s">
        <v>152</v>
      </c>
      <c r="K116" t="s">
        <v>153</v>
      </c>
      <c r="L116">
        <v>251200106</v>
      </c>
      <c r="M116" s="84">
        <v>45995</v>
      </c>
      <c r="N116" s="84">
        <v>45995</v>
      </c>
      <c r="O116" t="s">
        <v>327</v>
      </c>
      <c r="P116" t="s">
        <v>328</v>
      </c>
      <c r="Q116">
        <v>5500</v>
      </c>
      <c r="R116">
        <v>30</v>
      </c>
      <c r="S116">
        <v>165000</v>
      </c>
      <c r="T116">
        <v>0</v>
      </c>
      <c r="U116">
        <v>0</v>
      </c>
      <c r="V116">
        <v>30</v>
      </c>
      <c r="W116">
        <v>165000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276</v>
      </c>
      <c r="B117" t="s">
        <v>149</v>
      </c>
      <c r="C117">
        <v>1312</v>
      </c>
      <c r="D117" t="s">
        <v>359</v>
      </c>
      <c r="F117" t="s">
        <v>15</v>
      </c>
      <c r="G117" t="s">
        <v>193</v>
      </c>
      <c r="H117" t="s">
        <v>151</v>
      </c>
      <c r="I117" t="s">
        <v>5</v>
      </c>
      <c r="J117" t="s">
        <v>152</v>
      </c>
      <c r="K117" t="s">
        <v>153</v>
      </c>
      <c r="L117">
        <v>251200106</v>
      </c>
      <c r="M117" s="84">
        <v>45995</v>
      </c>
      <c r="N117" s="84">
        <v>45995</v>
      </c>
      <c r="O117" t="s">
        <v>360</v>
      </c>
      <c r="P117" t="s">
        <v>361</v>
      </c>
      <c r="Q117">
        <v>4500</v>
      </c>
      <c r="R117">
        <v>20</v>
      </c>
      <c r="S117">
        <v>90000</v>
      </c>
      <c r="T117">
        <v>0</v>
      </c>
      <c r="U117">
        <v>0</v>
      </c>
      <c r="V117">
        <v>20</v>
      </c>
      <c r="W117">
        <v>90000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>
        <v>277</v>
      </c>
      <c r="B118" t="s">
        <v>149</v>
      </c>
      <c r="C118">
        <v>1312</v>
      </c>
      <c r="D118" t="s">
        <v>359</v>
      </c>
      <c r="F118" t="s">
        <v>15</v>
      </c>
      <c r="G118" t="s">
        <v>193</v>
      </c>
      <c r="H118" t="s">
        <v>151</v>
      </c>
      <c r="I118" t="s">
        <v>5</v>
      </c>
      <c r="J118" t="s">
        <v>152</v>
      </c>
      <c r="K118" t="s">
        <v>153</v>
      </c>
      <c r="L118">
        <v>251200106</v>
      </c>
      <c r="M118" s="84">
        <v>45995</v>
      </c>
      <c r="N118" s="84">
        <v>45995</v>
      </c>
      <c r="O118" t="s">
        <v>196</v>
      </c>
      <c r="P118" t="s">
        <v>197</v>
      </c>
      <c r="Q118">
        <v>4500</v>
      </c>
      <c r="R118">
        <v>12</v>
      </c>
      <c r="S118">
        <v>54000</v>
      </c>
      <c r="T118">
        <v>0</v>
      </c>
      <c r="U118">
        <v>0</v>
      </c>
      <c r="V118">
        <v>12</v>
      </c>
      <c r="W118">
        <v>54000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>
        <v>278</v>
      </c>
      <c r="B119" t="s">
        <v>149</v>
      </c>
      <c r="C119">
        <v>1454</v>
      </c>
      <c r="D119" t="s">
        <v>362</v>
      </c>
      <c r="F119" t="s">
        <v>10</v>
      </c>
      <c r="G119" t="s">
        <v>172</v>
      </c>
      <c r="H119" t="s">
        <v>157</v>
      </c>
      <c r="I119" t="s">
        <v>4</v>
      </c>
      <c r="J119" t="s">
        <v>152</v>
      </c>
      <c r="K119" t="s">
        <v>174</v>
      </c>
      <c r="L119">
        <v>251200107</v>
      </c>
      <c r="M119" s="84">
        <v>45995</v>
      </c>
      <c r="N119" s="84">
        <v>45995</v>
      </c>
      <c r="O119" t="s">
        <v>204</v>
      </c>
      <c r="P119" t="s">
        <v>205</v>
      </c>
      <c r="Q119">
        <v>5500</v>
      </c>
      <c r="R119">
        <v>5</v>
      </c>
      <c r="S119">
        <v>27500</v>
      </c>
      <c r="T119">
        <v>0</v>
      </c>
      <c r="U119">
        <v>0</v>
      </c>
      <c r="V119">
        <v>5</v>
      </c>
      <c r="W119">
        <v>27500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279</v>
      </c>
      <c r="B120" t="s">
        <v>149</v>
      </c>
      <c r="C120">
        <v>1454</v>
      </c>
      <c r="D120" t="s">
        <v>362</v>
      </c>
      <c r="F120" t="s">
        <v>10</v>
      </c>
      <c r="G120" t="s">
        <v>172</v>
      </c>
      <c r="H120" t="s">
        <v>157</v>
      </c>
      <c r="I120" t="s">
        <v>4</v>
      </c>
      <c r="J120" t="s">
        <v>152</v>
      </c>
      <c r="K120" t="s">
        <v>174</v>
      </c>
      <c r="L120">
        <v>251200107</v>
      </c>
      <c r="M120" s="84">
        <v>45995</v>
      </c>
      <c r="N120" s="84">
        <v>45995</v>
      </c>
      <c r="O120" t="s">
        <v>179</v>
      </c>
      <c r="P120" t="s">
        <v>180</v>
      </c>
      <c r="Q120">
        <v>5500</v>
      </c>
      <c r="R120">
        <v>5</v>
      </c>
      <c r="S120">
        <v>27500</v>
      </c>
      <c r="T120">
        <v>0</v>
      </c>
      <c r="U120">
        <v>0</v>
      </c>
      <c r="V120">
        <v>5</v>
      </c>
      <c r="W120">
        <v>27500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>
        <v>280</v>
      </c>
      <c r="B121" t="s">
        <v>149</v>
      </c>
      <c r="C121">
        <v>1439</v>
      </c>
      <c r="D121" t="s">
        <v>363</v>
      </c>
      <c r="F121" t="s">
        <v>171</v>
      </c>
      <c r="G121" t="s">
        <v>172</v>
      </c>
      <c r="H121" t="s">
        <v>157</v>
      </c>
      <c r="I121" t="s">
        <v>4</v>
      </c>
      <c r="J121" t="s">
        <v>152</v>
      </c>
      <c r="K121" t="s">
        <v>174</v>
      </c>
      <c r="L121">
        <v>251200108</v>
      </c>
      <c r="M121" s="84">
        <v>45995</v>
      </c>
      <c r="N121" s="84">
        <v>45995</v>
      </c>
      <c r="O121" t="s">
        <v>225</v>
      </c>
      <c r="P121" t="s">
        <v>226</v>
      </c>
      <c r="Q121">
        <v>5500</v>
      </c>
      <c r="R121">
        <v>6</v>
      </c>
      <c r="S121">
        <v>33000</v>
      </c>
      <c r="T121">
        <v>0</v>
      </c>
      <c r="U121">
        <v>0</v>
      </c>
      <c r="V121">
        <v>6</v>
      </c>
      <c r="W121">
        <v>33000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283</v>
      </c>
      <c r="B122" t="s">
        <v>149</v>
      </c>
      <c r="C122">
        <v>1468</v>
      </c>
      <c r="D122" t="s">
        <v>342</v>
      </c>
      <c r="F122" t="s">
        <v>7</v>
      </c>
      <c r="G122" t="s">
        <v>156</v>
      </c>
      <c r="H122" t="s">
        <v>157</v>
      </c>
      <c r="I122" t="s">
        <v>4</v>
      </c>
      <c r="J122" t="s">
        <v>152</v>
      </c>
      <c r="K122" t="s">
        <v>159</v>
      </c>
      <c r="L122">
        <v>251200110</v>
      </c>
      <c r="M122" s="84">
        <v>45995</v>
      </c>
      <c r="N122" s="84">
        <v>45995</v>
      </c>
      <c r="O122" t="s">
        <v>290</v>
      </c>
      <c r="P122" t="s">
        <v>291</v>
      </c>
      <c r="Q122">
        <v>5500</v>
      </c>
      <c r="R122">
        <v>50</v>
      </c>
      <c r="S122">
        <v>275000</v>
      </c>
      <c r="T122">
        <v>0</v>
      </c>
      <c r="U122">
        <v>0</v>
      </c>
      <c r="V122">
        <v>50</v>
      </c>
      <c r="W122">
        <v>275000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>
        <v>284</v>
      </c>
      <c r="B123" t="s">
        <v>149</v>
      </c>
      <c r="C123">
        <v>1497</v>
      </c>
      <c r="D123" t="s">
        <v>364</v>
      </c>
      <c r="F123" t="s">
        <v>7</v>
      </c>
      <c r="G123" t="s">
        <v>156</v>
      </c>
      <c r="H123" t="s">
        <v>157</v>
      </c>
      <c r="I123" t="s">
        <v>4</v>
      </c>
      <c r="J123" t="s">
        <v>152</v>
      </c>
      <c r="K123" t="s">
        <v>159</v>
      </c>
      <c r="L123">
        <v>251200111</v>
      </c>
      <c r="M123" s="84">
        <v>45995</v>
      </c>
      <c r="N123" s="84">
        <v>45995</v>
      </c>
      <c r="O123" t="s">
        <v>256</v>
      </c>
      <c r="P123" t="s">
        <v>257</v>
      </c>
      <c r="Q123">
        <v>5500</v>
      </c>
      <c r="R123">
        <v>30</v>
      </c>
      <c r="S123">
        <v>165000</v>
      </c>
      <c r="T123">
        <v>0</v>
      </c>
      <c r="U123">
        <v>0</v>
      </c>
      <c r="V123">
        <v>30</v>
      </c>
      <c r="W123">
        <v>165000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285</v>
      </c>
      <c r="B124" t="s">
        <v>149</v>
      </c>
      <c r="C124">
        <v>1497</v>
      </c>
      <c r="D124" t="s">
        <v>364</v>
      </c>
      <c r="F124" t="s">
        <v>7</v>
      </c>
      <c r="G124" t="s">
        <v>156</v>
      </c>
      <c r="H124" t="s">
        <v>157</v>
      </c>
      <c r="I124" t="s">
        <v>4</v>
      </c>
      <c r="J124" t="s">
        <v>152</v>
      </c>
      <c r="K124" t="s">
        <v>159</v>
      </c>
      <c r="L124">
        <v>251200111</v>
      </c>
      <c r="M124" s="84">
        <v>45995</v>
      </c>
      <c r="N124" s="84">
        <v>45995</v>
      </c>
      <c r="O124" t="s">
        <v>248</v>
      </c>
      <c r="P124" t="s">
        <v>249</v>
      </c>
      <c r="Q124">
        <v>5500</v>
      </c>
      <c r="R124">
        <v>20</v>
      </c>
      <c r="S124">
        <v>110000</v>
      </c>
      <c r="T124">
        <v>0</v>
      </c>
      <c r="U124">
        <v>0</v>
      </c>
      <c r="V124">
        <v>20</v>
      </c>
      <c r="W124">
        <v>110000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286</v>
      </c>
      <c r="B125" t="s">
        <v>149</v>
      </c>
      <c r="C125">
        <v>1497</v>
      </c>
      <c r="D125" t="s">
        <v>364</v>
      </c>
      <c r="F125" t="s">
        <v>7</v>
      </c>
      <c r="G125" t="s">
        <v>156</v>
      </c>
      <c r="H125" t="s">
        <v>157</v>
      </c>
      <c r="I125" t="s">
        <v>4</v>
      </c>
      <c r="J125" t="s">
        <v>152</v>
      </c>
      <c r="K125" t="s">
        <v>159</v>
      </c>
      <c r="L125">
        <v>251200111</v>
      </c>
      <c r="M125" s="84">
        <v>45995</v>
      </c>
      <c r="N125" s="84">
        <v>45995</v>
      </c>
      <c r="O125" t="s">
        <v>160</v>
      </c>
      <c r="P125" t="s">
        <v>161</v>
      </c>
      <c r="Q125">
        <v>5500</v>
      </c>
      <c r="R125">
        <v>10</v>
      </c>
      <c r="S125">
        <v>55000</v>
      </c>
      <c r="T125">
        <v>0</v>
      </c>
      <c r="U125">
        <v>0</v>
      </c>
      <c r="V125">
        <v>10</v>
      </c>
      <c r="W125">
        <v>55000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>
        <v>287</v>
      </c>
      <c r="B126" t="s">
        <v>149</v>
      </c>
      <c r="C126">
        <v>1552</v>
      </c>
      <c r="D126" t="s">
        <v>365</v>
      </c>
      <c r="F126" t="s">
        <v>91</v>
      </c>
      <c r="G126" t="s">
        <v>202</v>
      </c>
      <c r="H126" t="s">
        <v>157</v>
      </c>
      <c r="I126" t="s">
        <v>4</v>
      </c>
      <c r="J126" t="s">
        <v>152</v>
      </c>
      <c r="K126" t="s">
        <v>159</v>
      </c>
      <c r="L126">
        <v>251200112</v>
      </c>
      <c r="M126" s="84">
        <v>45995</v>
      </c>
      <c r="N126" s="84">
        <v>45995</v>
      </c>
      <c r="O126" t="s">
        <v>160</v>
      </c>
      <c r="P126" t="s">
        <v>161</v>
      </c>
      <c r="Q126">
        <v>5500</v>
      </c>
      <c r="R126">
        <v>20</v>
      </c>
      <c r="S126">
        <v>110000</v>
      </c>
      <c r="T126">
        <v>0</v>
      </c>
      <c r="U126">
        <v>0</v>
      </c>
      <c r="V126">
        <v>20</v>
      </c>
      <c r="W126">
        <v>110000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>
        <v>288</v>
      </c>
      <c r="B127" t="s">
        <v>149</v>
      </c>
      <c r="C127">
        <v>1552</v>
      </c>
      <c r="D127" t="s">
        <v>365</v>
      </c>
      <c r="F127" t="s">
        <v>91</v>
      </c>
      <c r="G127" t="s">
        <v>202</v>
      </c>
      <c r="H127" t="s">
        <v>157</v>
      </c>
      <c r="I127" t="s">
        <v>5</v>
      </c>
      <c r="J127" t="s">
        <v>152</v>
      </c>
      <c r="K127" t="s">
        <v>159</v>
      </c>
      <c r="L127">
        <v>251200112</v>
      </c>
      <c r="M127" s="84">
        <v>45995</v>
      </c>
      <c r="N127" s="84">
        <v>45995</v>
      </c>
      <c r="O127" t="s">
        <v>191</v>
      </c>
      <c r="P127" t="s">
        <v>192</v>
      </c>
      <c r="Q127">
        <v>4500</v>
      </c>
      <c r="R127">
        <v>20</v>
      </c>
      <c r="S127">
        <v>90000</v>
      </c>
      <c r="T127">
        <v>0</v>
      </c>
      <c r="U127">
        <v>0</v>
      </c>
      <c r="V127">
        <v>20</v>
      </c>
      <c r="W127">
        <v>90000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>
      <c r="A128">
        <v>289</v>
      </c>
      <c r="B128" t="s">
        <v>149</v>
      </c>
      <c r="C128">
        <v>1552</v>
      </c>
      <c r="D128" t="s">
        <v>365</v>
      </c>
      <c r="F128" t="s">
        <v>91</v>
      </c>
      <c r="G128" t="s">
        <v>202</v>
      </c>
      <c r="H128" t="s">
        <v>157</v>
      </c>
      <c r="I128" t="s">
        <v>5</v>
      </c>
      <c r="J128" t="s">
        <v>152</v>
      </c>
      <c r="K128" t="s">
        <v>159</v>
      </c>
      <c r="L128">
        <v>251200113</v>
      </c>
      <c r="M128" s="84">
        <v>45995</v>
      </c>
      <c r="N128" s="84">
        <v>45995</v>
      </c>
      <c r="O128" t="s">
        <v>191</v>
      </c>
      <c r="P128" t="s">
        <v>192</v>
      </c>
      <c r="Q128">
        <v>4500</v>
      </c>
      <c r="R128">
        <v>12</v>
      </c>
      <c r="S128">
        <v>54000</v>
      </c>
      <c r="T128">
        <v>0</v>
      </c>
      <c r="U128">
        <v>0</v>
      </c>
      <c r="V128">
        <v>12</v>
      </c>
      <c r="W128">
        <v>54000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>
      <c r="A129">
        <v>294</v>
      </c>
      <c r="B129" t="s">
        <v>149</v>
      </c>
      <c r="C129">
        <v>1596</v>
      </c>
      <c r="D129" t="s">
        <v>315</v>
      </c>
      <c r="F129" t="s">
        <v>111</v>
      </c>
      <c r="G129" t="s">
        <v>150</v>
      </c>
      <c r="H129" t="s">
        <v>151</v>
      </c>
      <c r="I129" t="s">
        <v>4</v>
      </c>
      <c r="J129" t="s">
        <v>152</v>
      </c>
      <c r="K129" t="s">
        <v>153</v>
      </c>
      <c r="L129">
        <v>251200116</v>
      </c>
      <c r="M129" s="84">
        <v>45995</v>
      </c>
      <c r="N129" s="84">
        <v>45995</v>
      </c>
      <c r="O129" t="s">
        <v>294</v>
      </c>
      <c r="P129" t="s">
        <v>295</v>
      </c>
      <c r="Q129">
        <v>5500</v>
      </c>
      <c r="R129">
        <v>30</v>
      </c>
      <c r="S129">
        <v>165000</v>
      </c>
      <c r="T129">
        <v>0</v>
      </c>
      <c r="U129">
        <v>0</v>
      </c>
      <c r="V129">
        <v>30</v>
      </c>
      <c r="W129">
        <v>165000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>
        <v>295</v>
      </c>
      <c r="B130" t="s">
        <v>149</v>
      </c>
      <c r="C130">
        <v>1596</v>
      </c>
      <c r="D130" t="s">
        <v>315</v>
      </c>
      <c r="F130" t="s">
        <v>111</v>
      </c>
      <c r="G130" t="s">
        <v>150</v>
      </c>
      <c r="H130" t="s">
        <v>151</v>
      </c>
      <c r="I130" t="s">
        <v>4</v>
      </c>
      <c r="J130" t="s">
        <v>152</v>
      </c>
      <c r="K130" t="s">
        <v>153</v>
      </c>
      <c r="L130">
        <v>251200116</v>
      </c>
      <c r="M130" s="84">
        <v>45995</v>
      </c>
      <c r="N130" s="84">
        <v>45995</v>
      </c>
      <c r="O130" t="s">
        <v>357</v>
      </c>
      <c r="P130" t="s">
        <v>358</v>
      </c>
      <c r="Q130">
        <v>5500</v>
      </c>
      <c r="R130">
        <v>3</v>
      </c>
      <c r="S130">
        <v>16500</v>
      </c>
      <c r="T130">
        <v>0</v>
      </c>
      <c r="U130">
        <v>0</v>
      </c>
      <c r="V130">
        <v>3</v>
      </c>
      <c r="W130">
        <v>16500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>
        <v>296</v>
      </c>
      <c r="B131" t="s">
        <v>149</v>
      </c>
      <c r="C131">
        <v>1331</v>
      </c>
      <c r="D131" t="s">
        <v>366</v>
      </c>
      <c r="F131" t="s">
        <v>28</v>
      </c>
      <c r="G131" t="s">
        <v>164</v>
      </c>
      <c r="H131" t="s">
        <v>151</v>
      </c>
      <c r="I131" t="s">
        <v>5</v>
      </c>
      <c r="J131" t="s">
        <v>152</v>
      </c>
      <c r="K131" t="s">
        <v>153</v>
      </c>
      <c r="L131">
        <v>251200117</v>
      </c>
      <c r="M131" s="84">
        <v>45995</v>
      </c>
      <c r="N131" s="84">
        <v>45995</v>
      </c>
      <c r="O131" t="s">
        <v>260</v>
      </c>
      <c r="P131" t="s">
        <v>261</v>
      </c>
      <c r="Q131">
        <v>4500</v>
      </c>
      <c r="R131">
        <v>1</v>
      </c>
      <c r="S131">
        <v>4500</v>
      </c>
      <c r="T131">
        <v>0</v>
      </c>
      <c r="U131">
        <v>0</v>
      </c>
      <c r="V131">
        <v>1</v>
      </c>
      <c r="W131">
        <v>4500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297</v>
      </c>
      <c r="B132" t="s">
        <v>149</v>
      </c>
      <c r="C132">
        <v>1331</v>
      </c>
      <c r="D132" t="s">
        <v>366</v>
      </c>
      <c r="F132" t="s">
        <v>28</v>
      </c>
      <c r="G132" t="s">
        <v>164</v>
      </c>
      <c r="H132" t="s">
        <v>151</v>
      </c>
      <c r="I132" t="s">
        <v>5</v>
      </c>
      <c r="J132" t="s">
        <v>152</v>
      </c>
      <c r="K132" t="s">
        <v>153</v>
      </c>
      <c r="L132">
        <v>251200118</v>
      </c>
      <c r="M132" s="84">
        <v>45995</v>
      </c>
      <c r="N132" s="84">
        <v>45995</v>
      </c>
      <c r="O132" t="s">
        <v>279</v>
      </c>
      <c r="P132" t="s">
        <v>280</v>
      </c>
      <c r="Q132">
        <v>4500</v>
      </c>
      <c r="R132">
        <v>80</v>
      </c>
      <c r="S132">
        <v>360000</v>
      </c>
      <c r="T132">
        <v>0</v>
      </c>
      <c r="U132">
        <v>0</v>
      </c>
      <c r="V132">
        <v>80</v>
      </c>
      <c r="W132">
        <v>360000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298</v>
      </c>
      <c r="B133" t="s">
        <v>149</v>
      </c>
      <c r="C133">
        <v>1331</v>
      </c>
      <c r="D133" t="s">
        <v>366</v>
      </c>
      <c r="F133" t="s">
        <v>28</v>
      </c>
      <c r="G133" t="s">
        <v>164</v>
      </c>
      <c r="H133" t="s">
        <v>151</v>
      </c>
      <c r="I133" t="s">
        <v>5</v>
      </c>
      <c r="J133" t="s">
        <v>152</v>
      </c>
      <c r="K133" t="s">
        <v>153</v>
      </c>
      <c r="L133">
        <v>251200118</v>
      </c>
      <c r="M133" s="84">
        <v>45995</v>
      </c>
      <c r="N133" s="84">
        <v>45995</v>
      </c>
      <c r="O133" t="s">
        <v>260</v>
      </c>
      <c r="P133" t="s">
        <v>261</v>
      </c>
      <c r="Q133">
        <v>4500</v>
      </c>
      <c r="R133">
        <v>7</v>
      </c>
      <c r="S133">
        <v>31500</v>
      </c>
      <c r="T133">
        <v>0</v>
      </c>
      <c r="U133">
        <v>0</v>
      </c>
      <c r="V133">
        <v>7</v>
      </c>
      <c r="W133">
        <v>31500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>
        <v>299</v>
      </c>
      <c r="B134" t="s">
        <v>149</v>
      </c>
      <c r="C134">
        <v>1331</v>
      </c>
      <c r="D134" t="s">
        <v>366</v>
      </c>
      <c r="F134" t="s">
        <v>28</v>
      </c>
      <c r="G134" t="s">
        <v>164</v>
      </c>
      <c r="H134" t="s">
        <v>151</v>
      </c>
      <c r="I134" t="s">
        <v>5</v>
      </c>
      <c r="J134" t="s">
        <v>152</v>
      </c>
      <c r="K134" t="s">
        <v>153</v>
      </c>
      <c r="L134">
        <v>251200118</v>
      </c>
      <c r="M134" s="84">
        <v>45995</v>
      </c>
      <c r="N134" s="84">
        <v>45995</v>
      </c>
      <c r="O134" t="s">
        <v>297</v>
      </c>
      <c r="P134" t="s">
        <v>298</v>
      </c>
      <c r="Q134">
        <v>4500</v>
      </c>
      <c r="R134">
        <v>20</v>
      </c>
      <c r="S134">
        <v>90000</v>
      </c>
      <c r="T134">
        <v>0</v>
      </c>
      <c r="U134">
        <v>0</v>
      </c>
      <c r="V134">
        <v>20</v>
      </c>
      <c r="W134">
        <v>90000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>
        <v>300</v>
      </c>
      <c r="B135" t="s">
        <v>149</v>
      </c>
      <c r="C135">
        <v>1331</v>
      </c>
      <c r="D135" t="s">
        <v>366</v>
      </c>
      <c r="F135" t="s">
        <v>28</v>
      </c>
      <c r="G135" t="s">
        <v>164</v>
      </c>
      <c r="H135" t="s">
        <v>151</v>
      </c>
      <c r="I135" t="s">
        <v>5</v>
      </c>
      <c r="J135" t="s">
        <v>152</v>
      </c>
      <c r="K135" t="s">
        <v>153</v>
      </c>
      <c r="L135">
        <v>251200118</v>
      </c>
      <c r="M135" s="84">
        <v>45995</v>
      </c>
      <c r="N135" s="84">
        <v>45995</v>
      </c>
      <c r="O135" t="s">
        <v>191</v>
      </c>
      <c r="P135" t="s">
        <v>192</v>
      </c>
      <c r="Q135">
        <v>4500</v>
      </c>
      <c r="R135">
        <v>40</v>
      </c>
      <c r="S135">
        <v>180000</v>
      </c>
      <c r="T135">
        <v>0</v>
      </c>
      <c r="U135">
        <v>0</v>
      </c>
      <c r="V135">
        <v>40</v>
      </c>
      <c r="W135">
        <v>180000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>
        <v>302</v>
      </c>
      <c r="B136" t="s">
        <v>149</v>
      </c>
      <c r="C136">
        <v>1519</v>
      </c>
      <c r="D136" t="s">
        <v>353</v>
      </c>
      <c r="F136" t="s">
        <v>111</v>
      </c>
      <c r="G136" t="s">
        <v>150</v>
      </c>
      <c r="H136" t="s">
        <v>151</v>
      </c>
      <c r="I136" t="s">
        <v>4</v>
      </c>
      <c r="J136" t="s">
        <v>152</v>
      </c>
      <c r="K136" t="s">
        <v>153</v>
      </c>
      <c r="L136">
        <v>251200120</v>
      </c>
      <c r="M136" s="84">
        <v>45997</v>
      </c>
      <c r="N136" s="84">
        <v>45997</v>
      </c>
      <c r="O136" t="s">
        <v>160</v>
      </c>
      <c r="P136" t="s">
        <v>161</v>
      </c>
      <c r="Q136">
        <v>5500</v>
      </c>
      <c r="R136">
        <v>12</v>
      </c>
      <c r="S136">
        <v>66000</v>
      </c>
      <c r="T136">
        <v>0</v>
      </c>
      <c r="U136">
        <v>0</v>
      </c>
      <c r="V136">
        <v>12</v>
      </c>
      <c r="W136">
        <v>66000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>
        <v>303</v>
      </c>
      <c r="B137" t="s">
        <v>149</v>
      </c>
      <c r="C137">
        <v>1551</v>
      </c>
      <c r="D137" t="s">
        <v>316</v>
      </c>
      <c r="F137" t="s">
        <v>111</v>
      </c>
      <c r="G137" t="s">
        <v>150</v>
      </c>
      <c r="H137" t="s">
        <v>151</v>
      </c>
      <c r="I137" t="s">
        <v>4</v>
      </c>
      <c r="J137" t="s">
        <v>152</v>
      </c>
      <c r="K137" t="s">
        <v>153</v>
      </c>
      <c r="L137">
        <v>251200121</v>
      </c>
      <c r="M137" s="84">
        <v>45997</v>
      </c>
      <c r="N137" s="84">
        <v>45997</v>
      </c>
      <c r="O137" t="s">
        <v>160</v>
      </c>
      <c r="P137" t="s">
        <v>161</v>
      </c>
      <c r="Q137">
        <v>5500</v>
      </c>
      <c r="R137">
        <v>12</v>
      </c>
      <c r="S137">
        <v>66000</v>
      </c>
      <c r="T137">
        <v>0</v>
      </c>
      <c r="U137">
        <v>0</v>
      </c>
      <c r="V137">
        <v>12</v>
      </c>
      <c r="W137">
        <v>66000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304</v>
      </c>
      <c r="B138" t="s">
        <v>149</v>
      </c>
      <c r="C138">
        <v>1551</v>
      </c>
      <c r="D138" t="s">
        <v>316</v>
      </c>
      <c r="F138" t="s">
        <v>111</v>
      </c>
      <c r="G138" t="s">
        <v>150</v>
      </c>
      <c r="H138" t="s">
        <v>151</v>
      </c>
      <c r="I138" t="s">
        <v>5</v>
      </c>
      <c r="J138" t="s">
        <v>152</v>
      </c>
      <c r="K138" t="s">
        <v>153</v>
      </c>
      <c r="L138">
        <v>251200121</v>
      </c>
      <c r="M138" s="84">
        <v>45997</v>
      </c>
      <c r="N138" s="84">
        <v>45997</v>
      </c>
      <c r="O138" t="s">
        <v>271</v>
      </c>
      <c r="P138" t="s">
        <v>272</v>
      </c>
      <c r="Q138">
        <v>4500</v>
      </c>
      <c r="R138">
        <v>8</v>
      </c>
      <c r="S138">
        <v>36000</v>
      </c>
      <c r="T138">
        <v>0</v>
      </c>
      <c r="U138">
        <v>0</v>
      </c>
      <c r="V138">
        <v>8</v>
      </c>
      <c r="W138">
        <v>36000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305</v>
      </c>
      <c r="B139" t="s">
        <v>149</v>
      </c>
      <c r="C139">
        <v>1551</v>
      </c>
      <c r="D139" t="s">
        <v>316</v>
      </c>
      <c r="F139" t="s">
        <v>111</v>
      </c>
      <c r="G139" t="s">
        <v>150</v>
      </c>
      <c r="H139" t="s">
        <v>151</v>
      </c>
      <c r="I139" t="s">
        <v>4</v>
      </c>
      <c r="J139" t="s">
        <v>152</v>
      </c>
      <c r="K139" t="s">
        <v>153</v>
      </c>
      <c r="L139">
        <v>251200121</v>
      </c>
      <c r="M139" s="84">
        <v>45997</v>
      </c>
      <c r="N139" s="84">
        <v>45997</v>
      </c>
      <c r="O139" t="s">
        <v>219</v>
      </c>
      <c r="P139" t="s">
        <v>220</v>
      </c>
      <c r="Q139">
        <v>5500</v>
      </c>
      <c r="R139">
        <v>4</v>
      </c>
      <c r="S139">
        <v>22000</v>
      </c>
      <c r="T139">
        <v>0</v>
      </c>
      <c r="U139">
        <v>0</v>
      </c>
      <c r="V139">
        <v>4</v>
      </c>
      <c r="W139">
        <v>22000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>
      <c r="A140">
        <v>306</v>
      </c>
      <c r="B140" t="s">
        <v>149</v>
      </c>
      <c r="C140">
        <v>1551</v>
      </c>
      <c r="D140" t="s">
        <v>316</v>
      </c>
      <c r="F140" t="s">
        <v>111</v>
      </c>
      <c r="G140" t="s">
        <v>150</v>
      </c>
      <c r="H140" t="s">
        <v>151</v>
      </c>
      <c r="I140" t="s">
        <v>5</v>
      </c>
      <c r="J140" t="s">
        <v>152</v>
      </c>
      <c r="K140" t="s">
        <v>153</v>
      </c>
      <c r="L140">
        <v>251200122</v>
      </c>
      <c r="M140" s="84">
        <v>45997</v>
      </c>
      <c r="N140" s="84">
        <v>45997</v>
      </c>
      <c r="O140" t="s">
        <v>191</v>
      </c>
      <c r="P140" t="s">
        <v>192</v>
      </c>
      <c r="Q140">
        <v>4500</v>
      </c>
      <c r="R140">
        <v>20</v>
      </c>
      <c r="S140">
        <v>90000</v>
      </c>
      <c r="T140">
        <v>0</v>
      </c>
      <c r="U140">
        <v>0</v>
      </c>
      <c r="V140">
        <v>20</v>
      </c>
      <c r="W140">
        <v>90000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>
        <v>307</v>
      </c>
      <c r="B141" t="s">
        <v>149</v>
      </c>
      <c r="C141">
        <v>1288</v>
      </c>
      <c r="D141" t="s">
        <v>367</v>
      </c>
      <c r="F141" t="s">
        <v>43</v>
      </c>
      <c r="G141" t="s">
        <v>150</v>
      </c>
      <c r="H141" t="s">
        <v>151</v>
      </c>
      <c r="I141" t="s">
        <v>4</v>
      </c>
      <c r="J141" t="s">
        <v>152</v>
      </c>
      <c r="K141" t="s">
        <v>153</v>
      </c>
      <c r="L141">
        <v>251200123</v>
      </c>
      <c r="M141" s="84">
        <v>45997</v>
      </c>
      <c r="N141" s="84">
        <v>45997</v>
      </c>
      <c r="O141" t="s">
        <v>206</v>
      </c>
      <c r="P141" t="s">
        <v>207</v>
      </c>
      <c r="Q141">
        <v>5500</v>
      </c>
      <c r="R141">
        <v>10</v>
      </c>
      <c r="S141">
        <v>55000</v>
      </c>
      <c r="T141">
        <v>0</v>
      </c>
      <c r="U141">
        <v>0</v>
      </c>
      <c r="V141">
        <v>10</v>
      </c>
      <c r="W141">
        <v>55000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308</v>
      </c>
      <c r="B142" t="s">
        <v>149</v>
      </c>
      <c r="C142">
        <v>1288</v>
      </c>
      <c r="D142" t="s">
        <v>367</v>
      </c>
      <c r="F142" t="s">
        <v>43</v>
      </c>
      <c r="G142" t="s">
        <v>150</v>
      </c>
      <c r="H142" t="s">
        <v>151</v>
      </c>
      <c r="I142" t="s">
        <v>4</v>
      </c>
      <c r="J142" t="s">
        <v>152</v>
      </c>
      <c r="K142" t="s">
        <v>153</v>
      </c>
      <c r="L142">
        <v>251200123</v>
      </c>
      <c r="M142" s="84">
        <v>45997</v>
      </c>
      <c r="N142" s="84">
        <v>45997</v>
      </c>
      <c r="O142" t="s">
        <v>177</v>
      </c>
      <c r="P142" t="s">
        <v>178</v>
      </c>
      <c r="Q142">
        <v>5500</v>
      </c>
      <c r="R142">
        <v>10</v>
      </c>
      <c r="S142">
        <v>55000</v>
      </c>
      <c r="T142">
        <v>0</v>
      </c>
      <c r="U142">
        <v>0</v>
      </c>
      <c r="V142">
        <v>10</v>
      </c>
      <c r="W142">
        <v>55000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>
        <v>309</v>
      </c>
      <c r="B143" t="s">
        <v>149</v>
      </c>
      <c r="C143">
        <v>1288</v>
      </c>
      <c r="D143" t="s">
        <v>367</v>
      </c>
      <c r="F143" t="s">
        <v>43</v>
      </c>
      <c r="G143" t="s">
        <v>150</v>
      </c>
      <c r="H143" t="s">
        <v>151</v>
      </c>
      <c r="I143" t="s">
        <v>4</v>
      </c>
      <c r="J143" t="s">
        <v>152</v>
      </c>
      <c r="K143" t="s">
        <v>153</v>
      </c>
      <c r="L143">
        <v>251200123</v>
      </c>
      <c r="M143" s="84">
        <v>45997</v>
      </c>
      <c r="N143" s="84">
        <v>45997</v>
      </c>
      <c r="O143" t="s">
        <v>160</v>
      </c>
      <c r="P143" t="s">
        <v>161</v>
      </c>
      <c r="Q143">
        <v>5500</v>
      </c>
      <c r="R143">
        <v>10</v>
      </c>
      <c r="S143">
        <v>55000</v>
      </c>
      <c r="T143">
        <v>0</v>
      </c>
      <c r="U143">
        <v>0</v>
      </c>
      <c r="V143">
        <v>10</v>
      </c>
      <c r="W143">
        <v>55000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>
        <v>313</v>
      </c>
      <c r="B144" t="s">
        <v>149</v>
      </c>
      <c r="C144">
        <v>1444</v>
      </c>
      <c r="D144" t="s">
        <v>341</v>
      </c>
      <c r="F144" t="s">
        <v>28</v>
      </c>
      <c r="G144" t="s">
        <v>164</v>
      </c>
      <c r="H144" t="s">
        <v>151</v>
      </c>
      <c r="I144" t="s">
        <v>5</v>
      </c>
      <c r="J144" t="s">
        <v>152</v>
      </c>
      <c r="K144" t="s">
        <v>153</v>
      </c>
      <c r="L144">
        <v>251200125</v>
      </c>
      <c r="M144" s="84">
        <v>45997</v>
      </c>
      <c r="N144" s="84">
        <v>45997</v>
      </c>
      <c r="O144" t="s">
        <v>191</v>
      </c>
      <c r="P144" t="s">
        <v>192</v>
      </c>
      <c r="Q144">
        <v>4500</v>
      </c>
      <c r="R144">
        <v>20</v>
      </c>
      <c r="S144">
        <v>90000</v>
      </c>
      <c r="T144">
        <v>0</v>
      </c>
      <c r="U144">
        <v>0</v>
      </c>
      <c r="V144">
        <v>20</v>
      </c>
      <c r="W144">
        <v>90000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>
        <v>317</v>
      </c>
      <c r="B145" t="s">
        <v>149</v>
      </c>
      <c r="C145">
        <v>1331</v>
      </c>
      <c r="D145" t="s">
        <v>366</v>
      </c>
      <c r="F145" t="s">
        <v>28</v>
      </c>
      <c r="G145" t="s">
        <v>164</v>
      </c>
      <c r="H145" t="s">
        <v>151</v>
      </c>
      <c r="I145" t="s">
        <v>5</v>
      </c>
      <c r="J145" t="s">
        <v>152</v>
      </c>
      <c r="K145" t="s">
        <v>153</v>
      </c>
      <c r="L145">
        <v>251200127</v>
      </c>
      <c r="M145" s="84">
        <v>45997</v>
      </c>
      <c r="N145" s="84">
        <v>45997</v>
      </c>
      <c r="O145" t="s">
        <v>191</v>
      </c>
      <c r="P145" t="s">
        <v>192</v>
      </c>
      <c r="Q145">
        <v>4500</v>
      </c>
      <c r="R145">
        <v>40</v>
      </c>
      <c r="S145">
        <v>180000</v>
      </c>
      <c r="T145">
        <v>0</v>
      </c>
      <c r="U145">
        <v>0</v>
      </c>
      <c r="V145">
        <v>40</v>
      </c>
      <c r="W145">
        <v>180000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>
        <v>318</v>
      </c>
      <c r="B146" t="s">
        <v>149</v>
      </c>
      <c r="C146">
        <v>1308</v>
      </c>
      <c r="D146" t="s">
        <v>368</v>
      </c>
      <c r="F146" t="s">
        <v>49</v>
      </c>
      <c r="G146" t="s">
        <v>167</v>
      </c>
      <c r="H146" t="s">
        <v>151</v>
      </c>
      <c r="I146" t="s">
        <v>5</v>
      </c>
      <c r="J146" t="s">
        <v>152</v>
      </c>
      <c r="K146" t="s">
        <v>153</v>
      </c>
      <c r="L146">
        <v>251200128</v>
      </c>
      <c r="M146" s="84">
        <v>45997</v>
      </c>
      <c r="N146" s="84">
        <v>45997</v>
      </c>
      <c r="O146" t="s">
        <v>191</v>
      </c>
      <c r="P146" t="s">
        <v>192</v>
      </c>
      <c r="Q146">
        <v>4500</v>
      </c>
      <c r="R146">
        <v>12</v>
      </c>
      <c r="S146">
        <v>54000</v>
      </c>
      <c r="T146">
        <v>0</v>
      </c>
      <c r="U146">
        <v>0</v>
      </c>
      <c r="V146">
        <v>12</v>
      </c>
      <c r="W146">
        <v>54000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>
        <v>327</v>
      </c>
      <c r="B147" t="s">
        <v>149</v>
      </c>
      <c r="C147">
        <v>1292</v>
      </c>
      <c r="D147" t="s">
        <v>336</v>
      </c>
      <c r="F147" t="s">
        <v>73</v>
      </c>
      <c r="G147" t="s">
        <v>185</v>
      </c>
      <c r="H147" t="s">
        <v>151</v>
      </c>
      <c r="I147" t="s">
        <v>4</v>
      </c>
      <c r="J147" t="s">
        <v>152</v>
      </c>
      <c r="K147" t="s">
        <v>153</v>
      </c>
      <c r="L147">
        <v>251200133</v>
      </c>
      <c r="M147" s="84">
        <v>45997</v>
      </c>
      <c r="N147" s="84">
        <v>45997</v>
      </c>
      <c r="O147" t="s">
        <v>243</v>
      </c>
      <c r="P147" t="s">
        <v>244</v>
      </c>
      <c r="Q147">
        <v>5700</v>
      </c>
      <c r="R147">
        <v>5</v>
      </c>
      <c r="S147">
        <v>28500</v>
      </c>
      <c r="T147">
        <v>0</v>
      </c>
      <c r="U147">
        <v>0</v>
      </c>
      <c r="V147">
        <v>5</v>
      </c>
      <c r="W147">
        <v>28500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>
        <v>328</v>
      </c>
      <c r="B148" t="s">
        <v>149</v>
      </c>
      <c r="C148">
        <v>1471</v>
      </c>
      <c r="D148" t="s">
        <v>369</v>
      </c>
      <c r="F148" t="s">
        <v>73</v>
      </c>
      <c r="G148" t="s">
        <v>185</v>
      </c>
      <c r="H148" t="s">
        <v>151</v>
      </c>
      <c r="I148" t="s">
        <v>4</v>
      </c>
      <c r="J148" t="s">
        <v>152</v>
      </c>
      <c r="K148" t="s">
        <v>153</v>
      </c>
      <c r="L148">
        <v>251200134</v>
      </c>
      <c r="M148" s="84">
        <v>45997</v>
      </c>
      <c r="N148" s="84">
        <v>45997</v>
      </c>
      <c r="O148" t="s">
        <v>168</v>
      </c>
      <c r="P148" t="s">
        <v>169</v>
      </c>
      <c r="Q148">
        <v>5500</v>
      </c>
      <c r="R148">
        <v>10</v>
      </c>
      <c r="S148">
        <v>55000</v>
      </c>
      <c r="T148">
        <v>0</v>
      </c>
      <c r="U148">
        <v>0</v>
      </c>
      <c r="V148">
        <v>10</v>
      </c>
      <c r="W148">
        <v>55000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>
        <v>329</v>
      </c>
      <c r="B149" t="s">
        <v>149</v>
      </c>
      <c r="C149">
        <v>1522</v>
      </c>
      <c r="D149" t="s">
        <v>370</v>
      </c>
      <c r="F149" t="s">
        <v>73</v>
      </c>
      <c r="G149" t="s">
        <v>185</v>
      </c>
      <c r="H149" t="s">
        <v>151</v>
      </c>
      <c r="I149" t="s">
        <v>4</v>
      </c>
      <c r="J149" t="s">
        <v>152</v>
      </c>
      <c r="K149" t="s">
        <v>153</v>
      </c>
      <c r="L149">
        <v>251200135</v>
      </c>
      <c r="M149" s="84">
        <v>45997</v>
      </c>
      <c r="N149" s="84">
        <v>45997</v>
      </c>
      <c r="O149" t="s">
        <v>357</v>
      </c>
      <c r="P149" t="s">
        <v>358</v>
      </c>
      <c r="Q149">
        <v>5500</v>
      </c>
      <c r="R149">
        <v>20</v>
      </c>
      <c r="S149">
        <v>110000</v>
      </c>
      <c r="T149">
        <v>0</v>
      </c>
      <c r="U149">
        <v>0</v>
      </c>
      <c r="V149">
        <v>20</v>
      </c>
      <c r="W149">
        <v>110000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>
        <v>330</v>
      </c>
      <c r="B150" t="s">
        <v>149</v>
      </c>
      <c r="C150">
        <v>1522</v>
      </c>
      <c r="D150" t="s">
        <v>370</v>
      </c>
      <c r="F150" t="s">
        <v>73</v>
      </c>
      <c r="G150" t="s">
        <v>185</v>
      </c>
      <c r="H150" t="s">
        <v>151</v>
      </c>
      <c r="I150" t="s">
        <v>4</v>
      </c>
      <c r="J150" t="s">
        <v>152</v>
      </c>
      <c r="K150" t="s">
        <v>153</v>
      </c>
      <c r="L150">
        <v>251200135</v>
      </c>
      <c r="M150" s="84">
        <v>45997</v>
      </c>
      <c r="N150" s="84">
        <v>45997</v>
      </c>
      <c r="O150" t="s">
        <v>154</v>
      </c>
      <c r="P150" t="s">
        <v>155</v>
      </c>
      <c r="Q150">
        <v>5500</v>
      </c>
      <c r="R150">
        <v>10</v>
      </c>
      <c r="S150">
        <v>55000</v>
      </c>
      <c r="T150">
        <v>0</v>
      </c>
      <c r="U150">
        <v>0</v>
      </c>
      <c r="V150">
        <v>10</v>
      </c>
      <c r="W150">
        <v>55000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>
        <v>332</v>
      </c>
      <c r="B151" t="s">
        <v>149</v>
      </c>
      <c r="C151">
        <v>1326</v>
      </c>
      <c r="D151" t="s">
        <v>338</v>
      </c>
      <c r="F151" t="s">
        <v>15</v>
      </c>
      <c r="G151" t="s">
        <v>193</v>
      </c>
      <c r="H151" t="s">
        <v>151</v>
      </c>
      <c r="I151" t="s">
        <v>5</v>
      </c>
      <c r="J151" t="s">
        <v>152</v>
      </c>
      <c r="K151" t="s">
        <v>153</v>
      </c>
      <c r="L151">
        <v>251200137</v>
      </c>
      <c r="M151" s="84">
        <v>45997</v>
      </c>
      <c r="N151" s="84">
        <v>45997</v>
      </c>
      <c r="O151" t="s">
        <v>191</v>
      </c>
      <c r="P151" t="s">
        <v>192</v>
      </c>
      <c r="Q151">
        <v>4500</v>
      </c>
      <c r="R151">
        <v>12</v>
      </c>
      <c r="S151">
        <v>54000</v>
      </c>
      <c r="T151">
        <v>0</v>
      </c>
      <c r="U151">
        <v>0</v>
      </c>
      <c r="V151">
        <v>12</v>
      </c>
      <c r="W151">
        <v>54000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>
        <v>333</v>
      </c>
      <c r="B152" t="s">
        <v>149</v>
      </c>
      <c r="C152">
        <v>1326</v>
      </c>
      <c r="D152" t="s">
        <v>338</v>
      </c>
      <c r="F152" t="s">
        <v>15</v>
      </c>
      <c r="G152" t="s">
        <v>193</v>
      </c>
      <c r="H152" t="s">
        <v>151</v>
      </c>
      <c r="I152" t="s">
        <v>4</v>
      </c>
      <c r="J152" t="s">
        <v>152</v>
      </c>
      <c r="K152" t="s">
        <v>153</v>
      </c>
      <c r="L152">
        <v>251200138</v>
      </c>
      <c r="M152" s="84">
        <v>45997</v>
      </c>
      <c r="N152" s="84">
        <v>45997</v>
      </c>
      <c r="O152" t="s">
        <v>160</v>
      </c>
      <c r="P152" t="s">
        <v>161</v>
      </c>
      <c r="Q152">
        <v>5500</v>
      </c>
      <c r="R152">
        <v>8</v>
      </c>
      <c r="S152">
        <v>44000</v>
      </c>
      <c r="T152">
        <v>0</v>
      </c>
      <c r="U152">
        <v>0</v>
      </c>
      <c r="V152">
        <v>8</v>
      </c>
      <c r="W152">
        <v>44000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>
      <c r="A153">
        <v>334</v>
      </c>
      <c r="B153" t="s">
        <v>149</v>
      </c>
      <c r="C153">
        <v>1326</v>
      </c>
      <c r="D153" t="s">
        <v>338</v>
      </c>
      <c r="F153" t="s">
        <v>15</v>
      </c>
      <c r="G153" t="s">
        <v>193</v>
      </c>
      <c r="H153" t="s">
        <v>151</v>
      </c>
      <c r="I153" t="s">
        <v>4</v>
      </c>
      <c r="J153" t="s">
        <v>152</v>
      </c>
      <c r="K153" t="s">
        <v>153</v>
      </c>
      <c r="L153">
        <v>251200138</v>
      </c>
      <c r="M153" s="84">
        <v>45997</v>
      </c>
      <c r="N153" s="84">
        <v>45997</v>
      </c>
      <c r="O153" t="s">
        <v>243</v>
      </c>
      <c r="P153" t="s">
        <v>244</v>
      </c>
      <c r="Q153">
        <v>5700</v>
      </c>
      <c r="R153">
        <v>5</v>
      </c>
      <c r="S153">
        <v>28500</v>
      </c>
      <c r="T153">
        <v>0</v>
      </c>
      <c r="U153">
        <v>0</v>
      </c>
      <c r="V153">
        <v>5</v>
      </c>
      <c r="W153">
        <v>28500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335</v>
      </c>
      <c r="B154" t="s">
        <v>149</v>
      </c>
      <c r="C154">
        <v>1326</v>
      </c>
      <c r="D154" t="s">
        <v>338</v>
      </c>
      <c r="F154" t="s">
        <v>15</v>
      </c>
      <c r="G154" t="s">
        <v>193</v>
      </c>
      <c r="H154" t="s">
        <v>151</v>
      </c>
      <c r="I154" t="s">
        <v>5</v>
      </c>
      <c r="J154" t="s">
        <v>152</v>
      </c>
      <c r="K154" t="s">
        <v>153</v>
      </c>
      <c r="L154">
        <v>251200138</v>
      </c>
      <c r="M154" s="84">
        <v>45997</v>
      </c>
      <c r="N154" s="84">
        <v>45997</v>
      </c>
      <c r="O154" t="s">
        <v>339</v>
      </c>
      <c r="P154" t="s">
        <v>340</v>
      </c>
      <c r="Q154">
        <v>4500</v>
      </c>
      <c r="R154">
        <v>12</v>
      </c>
      <c r="S154">
        <v>54000</v>
      </c>
      <c r="T154">
        <v>0</v>
      </c>
      <c r="U154">
        <v>0</v>
      </c>
      <c r="V154">
        <v>12</v>
      </c>
      <c r="W154">
        <v>54000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>
        <v>336</v>
      </c>
      <c r="B155" t="s">
        <v>149</v>
      </c>
      <c r="C155">
        <v>1550</v>
      </c>
      <c r="D155" t="s">
        <v>337</v>
      </c>
      <c r="F155" t="s">
        <v>15</v>
      </c>
      <c r="G155" t="s">
        <v>193</v>
      </c>
      <c r="H155" t="s">
        <v>151</v>
      </c>
      <c r="I155" t="s">
        <v>5</v>
      </c>
      <c r="J155" t="s">
        <v>152</v>
      </c>
      <c r="K155" t="s">
        <v>153</v>
      </c>
      <c r="L155">
        <v>251200139</v>
      </c>
      <c r="M155" s="84">
        <v>45997</v>
      </c>
      <c r="N155" s="84">
        <v>45997</v>
      </c>
      <c r="O155" t="s">
        <v>191</v>
      </c>
      <c r="P155" t="s">
        <v>192</v>
      </c>
      <c r="Q155">
        <v>4500</v>
      </c>
      <c r="R155">
        <v>16</v>
      </c>
      <c r="S155">
        <v>72000</v>
      </c>
      <c r="T155">
        <v>0</v>
      </c>
      <c r="U155">
        <v>0</v>
      </c>
      <c r="V155">
        <v>16</v>
      </c>
      <c r="W155">
        <v>72000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>
        <v>337</v>
      </c>
      <c r="B156" t="s">
        <v>149</v>
      </c>
      <c r="C156">
        <v>1326</v>
      </c>
      <c r="D156" t="s">
        <v>338</v>
      </c>
      <c r="F156" t="s">
        <v>15</v>
      </c>
      <c r="G156" t="s">
        <v>193</v>
      </c>
      <c r="H156" t="s">
        <v>151</v>
      </c>
      <c r="I156" t="s">
        <v>5</v>
      </c>
      <c r="J156" t="s">
        <v>152</v>
      </c>
      <c r="K156" t="s">
        <v>153</v>
      </c>
      <c r="L156">
        <v>251200140</v>
      </c>
      <c r="M156" s="84">
        <v>45997</v>
      </c>
      <c r="N156" s="84">
        <v>45997</v>
      </c>
      <c r="O156" t="s">
        <v>191</v>
      </c>
      <c r="P156" t="s">
        <v>192</v>
      </c>
      <c r="Q156">
        <v>4500</v>
      </c>
      <c r="R156">
        <v>20</v>
      </c>
      <c r="S156">
        <v>90000</v>
      </c>
      <c r="T156">
        <v>0</v>
      </c>
      <c r="U156">
        <v>0</v>
      </c>
      <c r="V156">
        <v>20</v>
      </c>
      <c r="W156">
        <v>90000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338</v>
      </c>
      <c r="B157" t="s">
        <v>149</v>
      </c>
      <c r="C157">
        <v>1326</v>
      </c>
      <c r="D157" t="s">
        <v>338</v>
      </c>
      <c r="F157" t="s">
        <v>15</v>
      </c>
      <c r="G157" t="s">
        <v>193</v>
      </c>
      <c r="H157" t="s">
        <v>151</v>
      </c>
      <c r="I157" t="s">
        <v>5</v>
      </c>
      <c r="J157" t="s">
        <v>152</v>
      </c>
      <c r="K157" t="s">
        <v>153</v>
      </c>
      <c r="L157">
        <v>251200140</v>
      </c>
      <c r="M157" s="84">
        <v>45997</v>
      </c>
      <c r="N157" s="84">
        <v>45997</v>
      </c>
      <c r="O157" t="s">
        <v>339</v>
      </c>
      <c r="P157" t="s">
        <v>340</v>
      </c>
      <c r="Q157">
        <v>4500</v>
      </c>
      <c r="R157">
        <v>12</v>
      </c>
      <c r="S157">
        <v>54000</v>
      </c>
      <c r="T157">
        <v>0</v>
      </c>
      <c r="U157">
        <v>0</v>
      </c>
      <c r="V157">
        <v>12</v>
      </c>
      <c r="W157">
        <v>54000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339</v>
      </c>
      <c r="B158" t="s">
        <v>149</v>
      </c>
      <c r="C158">
        <v>1312</v>
      </c>
      <c r="D158" t="s">
        <v>359</v>
      </c>
      <c r="F158" t="s">
        <v>15</v>
      </c>
      <c r="G158" t="s">
        <v>193</v>
      </c>
      <c r="H158" t="s">
        <v>151</v>
      </c>
      <c r="I158" t="s">
        <v>5</v>
      </c>
      <c r="J158" t="s">
        <v>152</v>
      </c>
      <c r="K158" t="s">
        <v>153</v>
      </c>
      <c r="L158">
        <v>251200141</v>
      </c>
      <c r="M158" s="84">
        <v>45997</v>
      </c>
      <c r="N158" s="84">
        <v>45997</v>
      </c>
      <c r="O158" t="s">
        <v>196</v>
      </c>
      <c r="P158" t="s">
        <v>197</v>
      </c>
      <c r="Q158">
        <v>4500</v>
      </c>
      <c r="R158">
        <v>8</v>
      </c>
      <c r="S158">
        <v>36000</v>
      </c>
      <c r="T158">
        <v>0</v>
      </c>
      <c r="U158">
        <v>0</v>
      </c>
      <c r="V158">
        <v>8</v>
      </c>
      <c r="W158">
        <v>36000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341</v>
      </c>
      <c r="B159" t="s">
        <v>149</v>
      </c>
      <c r="C159">
        <v>1534</v>
      </c>
      <c r="D159" t="s">
        <v>371</v>
      </c>
      <c r="F159" t="s">
        <v>65</v>
      </c>
      <c r="G159" t="s">
        <v>208</v>
      </c>
      <c r="H159" t="s">
        <v>157</v>
      </c>
      <c r="I159" t="s">
        <v>4</v>
      </c>
      <c r="J159" t="s">
        <v>152</v>
      </c>
      <c r="K159" t="s">
        <v>174</v>
      </c>
      <c r="L159">
        <v>251200143</v>
      </c>
      <c r="M159" s="84">
        <v>45997</v>
      </c>
      <c r="N159" s="84">
        <v>45997</v>
      </c>
      <c r="O159" t="s">
        <v>221</v>
      </c>
      <c r="P159" t="s">
        <v>222</v>
      </c>
      <c r="Q159">
        <v>5500</v>
      </c>
      <c r="R159">
        <v>5</v>
      </c>
      <c r="S159">
        <v>27500</v>
      </c>
      <c r="T159">
        <v>0</v>
      </c>
      <c r="U159">
        <v>0</v>
      </c>
      <c r="V159">
        <v>5</v>
      </c>
      <c r="W159">
        <v>27500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342</v>
      </c>
      <c r="B160" t="s">
        <v>149</v>
      </c>
      <c r="C160">
        <v>1575</v>
      </c>
      <c r="D160" t="s">
        <v>372</v>
      </c>
      <c r="F160" t="s">
        <v>10</v>
      </c>
      <c r="G160" t="s">
        <v>172</v>
      </c>
      <c r="H160" t="s">
        <v>157</v>
      </c>
      <c r="I160" t="s">
        <v>4</v>
      </c>
      <c r="J160" t="s">
        <v>152</v>
      </c>
      <c r="K160" t="s">
        <v>174</v>
      </c>
      <c r="L160">
        <v>251200144</v>
      </c>
      <c r="M160" s="84">
        <v>45997</v>
      </c>
      <c r="N160" s="84">
        <v>45997</v>
      </c>
      <c r="O160" t="s">
        <v>262</v>
      </c>
      <c r="P160" t="s">
        <v>263</v>
      </c>
      <c r="Q160">
        <v>5500</v>
      </c>
      <c r="R160">
        <v>5</v>
      </c>
      <c r="S160">
        <v>27500</v>
      </c>
      <c r="T160">
        <v>0</v>
      </c>
      <c r="U160">
        <v>0</v>
      </c>
      <c r="V160">
        <v>5</v>
      </c>
      <c r="W160">
        <v>27500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343</v>
      </c>
      <c r="B161" t="s">
        <v>149</v>
      </c>
      <c r="C161">
        <v>1523</v>
      </c>
      <c r="D161" t="s">
        <v>326</v>
      </c>
      <c r="F161" t="s">
        <v>10</v>
      </c>
      <c r="G161" t="s">
        <v>172</v>
      </c>
      <c r="H161" t="s">
        <v>157</v>
      </c>
      <c r="I161" t="s">
        <v>4</v>
      </c>
      <c r="J161" t="s">
        <v>152</v>
      </c>
      <c r="K161" t="s">
        <v>174</v>
      </c>
      <c r="L161">
        <v>251200145</v>
      </c>
      <c r="M161" s="84">
        <v>45997</v>
      </c>
      <c r="N161" s="84">
        <v>45997</v>
      </c>
      <c r="O161" t="s">
        <v>262</v>
      </c>
      <c r="P161" t="s">
        <v>263</v>
      </c>
      <c r="Q161">
        <v>5500</v>
      </c>
      <c r="R161">
        <v>5</v>
      </c>
      <c r="S161">
        <v>27500</v>
      </c>
      <c r="T161">
        <v>0</v>
      </c>
      <c r="U161">
        <v>0</v>
      </c>
      <c r="V161">
        <v>5</v>
      </c>
      <c r="W161">
        <v>27500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344</v>
      </c>
      <c r="B162" t="s">
        <v>149</v>
      </c>
      <c r="C162">
        <v>1484</v>
      </c>
      <c r="D162" t="s">
        <v>331</v>
      </c>
      <c r="F162" t="s">
        <v>71</v>
      </c>
      <c r="G162" t="s">
        <v>305</v>
      </c>
      <c r="H162" t="s">
        <v>157</v>
      </c>
      <c r="I162" t="s">
        <v>4</v>
      </c>
      <c r="J162" t="s">
        <v>152</v>
      </c>
      <c r="K162" t="s">
        <v>174</v>
      </c>
      <c r="L162">
        <v>251200146</v>
      </c>
      <c r="M162" s="84">
        <v>45997</v>
      </c>
      <c r="N162" s="84">
        <v>45997</v>
      </c>
      <c r="O162" t="s">
        <v>160</v>
      </c>
      <c r="P162" t="s">
        <v>161</v>
      </c>
      <c r="Q162">
        <v>5500</v>
      </c>
      <c r="R162">
        <v>10</v>
      </c>
      <c r="S162">
        <v>55000</v>
      </c>
      <c r="T162">
        <v>0</v>
      </c>
      <c r="U162">
        <v>0</v>
      </c>
      <c r="V162">
        <v>10</v>
      </c>
      <c r="W162">
        <v>55000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345</v>
      </c>
      <c r="B163" t="s">
        <v>149</v>
      </c>
      <c r="C163">
        <v>1484</v>
      </c>
      <c r="D163" t="s">
        <v>331</v>
      </c>
      <c r="F163" t="s">
        <v>71</v>
      </c>
      <c r="G163" t="s">
        <v>305</v>
      </c>
      <c r="H163" t="s">
        <v>157</v>
      </c>
      <c r="I163" t="s">
        <v>4</v>
      </c>
      <c r="J163" t="s">
        <v>152</v>
      </c>
      <c r="K163" t="s">
        <v>174</v>
      </c>
      <c r="L163">
        <v>251200146</v>
      </c>
      <c r="M163" s="84">
        <v>45997</v>
      </c>
      <c r="N163" s="84">
        <v>45997</v>
      </c>
      <c r="O163" t="s">
        <v>256</v>
      </c>
      <c r="P163" t="s">
        <v>257</v>
      </c>
      <c r="Q163">
        <v>5500</v>
      </c>
      <c r="R163">
        <v>5</v>
      </c>
      <c r="S163">
        <v>27500</v>
      </c>
      <c r="T163">
        <v>0</v>
      </c>
      <c r="U163">
        <v>0</v>
      </c>
      <c r="V163">
        <v>5</v>
      </c>
      <c r="W163">
        <v>27500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>
        <v>346</v>
      </c>
      <c r="B164" t="s">
        <v>149</v>
      </c>
      <c r="C164">
        <v>1345</v>
      </c>
      <c r="D164" t="s">
        <v>332</v>
      </c>
      <c r="F164" t="s">
        <v>71</v>
      </c>
      <c r="G164" t="s">
        <v>305</v>
      </c>
      <c r="H164" t="s">
        <v>157</v>
      </c>
      <c r="I164" t="s">
        <v>4</v>
      </c>
      <c r="J164" t="s">
        <v>152</v>
      </c>
      <c r="K164" t="s">
        <v>174</v>
      </c>
      <c r="L164">
        <v>251200147</v>
      </c>
      <c r="M164" s="84">
        <v>45997</v>
      </c>
      <c r="N164" s="84">
        <v>45997</v>
      </c>
      <c r="O164" t="s">
        <v>256</v>
      </c>
      <c r="P164" t="s">
        <v>257</v>
      </c>
      <c r="Q164">
        <v>5500</v>
      </c>
      <c r="R164">
        <v>15</v>
      </c>
      <c r="S164">
        <v>82500</v>
      </c>
      <c r="T164">
        <v>0</v>
      </c>
      <c r="U164">
        <v>0</v>
      </c>
      <c r="V164">
        <v>15</v>
      </c>
      <c r="W164">
        <v>82500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350</v>
      </c>
      <c r="B165" t="s">
        <v>149</v>
      </c>
      <c r="C165">
        <v>1323</v>
      </c>
      <c r="D165" t="s">
        <v>373</v>
      </c>
      <c r="F165" t="s">
        <v>43</v>
      </c>
      <c r="G165" t="s">
        <v>150</v>
      </c>
      <c r="H165" t="s">
        <v>151</v>
      </c>
      <c r="I165" t="s">
        <v>4</v>
      </c>
      <c r="J165" t="s">
        <v>152</v>
      </c>
      <c r="K165" t="s">
        <v>153</v>
      </c>
      <c r="L165">
        <v>251200150</v>
      </c>
      <c r="M165" s="84">
        <v>45998</v>
      </c>
      <c r="N165" s="84">
        <v>45998</v>
      </c>
      <c r="O165" t="s">
        <v>219</v>
      </c>
      <c r="P165" t="s">
        <v>220</v>
      </c>
      <c r="Q165">
        <v>5500</v>
      </c>
      <c r="R165">
        <v>20</v>
      </c>
      <c r="S165">
        <v>110000</v>
      </c>
      <c r="T165">
        <v>0</v>
      </c>
      <c r="U165">
        <v>0</v>
      </c>
      <c r="V165">
        <v>20</v>
      </c>
      <c r="W165">
        <v>110000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>
        <v>351</v>
      </c>
      <c r="B166" t="s">
        <v>149</v>
      </c>
      <c r="C166">
        <v>1323</v>
      </c>
      <c r="D166" t="s">
        <v>373</v>
      </c>
      <c r="F166" t="s">
        <v>43</v>
      </c>
      <c r="G166" t="s">
        <v>150</v>
      </c>
      <c r="H166" t="s">
        <v>151</v>
      </c>
      <c r="I166" t="s">
        <v>4</v>
      </c>
      <c r="J166" t="s">
        <v>152</v>
      </c>
      <c r="K166" t="s">
        <v>153</v>
      </c>
      <c r="L166">
        <v>251200150</v>
      </c>
      <c r="M166" s="84">
        <v>45998</v>
      </c>
      <c r="N166" s="84">
        <v>45998</v>
      </c>
      <c r="O166" t="s">
        <v>177</v>
      </c>
      <c r="P166" t="s">
        <v>178</v>
      </c>
      <c r="Q166">
        <v>5500</v>
      </c>
      <c r="R166">
        <v>15</v>
      </c>
      <c r="S166">
        <v>82500</v>
      </c>
      <c r="T166">
        <v>0</v>
      </c>
      <c r="U166">
        <v>0</v>
      </c>
      <c r="V166">
        <v>15</v>
      </c>
      <c r="W166">
        <v>82500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352</v>
      </c>
      <c r="B167" t="s">
        <v>149</v>
      </c>
      <c r="C167">
        <v>1323</v>
      </c>
      <c r="D167" t="s">
        <v>373</v>
      </c>
      <c r="F167" t="s">
        <v>43</v>
      </c>
      <c r="G167" t="s">
        <v>150</v>
      </c>
      <c r="H167" t="s">
        <v>151</v>
      </c>
      <c r="I167" t="s">
        <v>4</v>
      </c>
      <c r="J167" t="s">
        <v>152</v>
      </c>
      <c r="K167" t="s">
        <v>153</v>
      </c>
      <c r="L167">
        <v>251200150</v>
      </c>
      <c r="M167" s="84">
        <v>45998</v>
      </c>
      <c r="N167" s="84">
        <v>45998</v>
      </c>
      <c r="O167" t="s">
        <v>160</v>
      </c>
      <c r="P167" t="s">
        <v>161</v>
      </c>
      <c r="Q167">
        <v>5500</v>
      </c>
      <c r="R167">
        <v>50</v>
      </c>
      <c r="S167">
        <v>275000</v>
      </c>
      <c r="T167">
        <v>0</v>
      </c>
      <c r="U167">
        <v>0</v>
      </c>
      <c r="V167">
        <v>50</v>
      </c>
      <c r="W167">
        <v>275000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353</v>
      </c>
      <c r="B168" t="s">
        <v>149</v>
      </c>
      <c r="C168">
        <v>1323</v>
      </c>
      <c r="D168" t="s">
        <v>373</v>
      </c>
      <c r="F168" t="s">
        <v>43</v>
      </c>
      <c r="G168" t="s">
        <v>150</v>
      </c>
      <c r="H168" t="s">
        <v>151</v>
      </c>
      <c r="I168" t="s">
        <v>4</v>
      </c>
      <c r="J168" t="s">
        <v>152</v>
      </c>
      <c r="K168" t="s">
        <v>153</v>
      </c>
      <c r="L168">
        <v>251200150</v>
      </c>
      <c r="M168" s="84">
        <v>45998</v>
      </c>
      <c r="N168" s="84">
        <v>45998</v>
      </c>
      <c r="O168" t="s">
        <v>154</v>
      </c>
      <c r="P168" t="s">
        <v>155</v>
      </c>
      <c r="Q168">
        <v>5500</v>
      </c>
      <c r="R168">
        <v>5</v>
      </c>
      <c r="S168">
        <v>27500</v>
      </c>
      <c r="T168">
        <v>0</v>
      </c>
      <c r="U168">
        <v>0</v>
      </c>
      <c r="V168">
        <v>5</v>
      </c>
      <c r="W168">
        <v>27500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354</v>
      </c>
      <c r="B169" t="s">
        <v>149</v>
      </c>
      <c r="C169">
        <v>1323</v>
      </c>
      <c r="D169" t="s">
        <v>373</v>
      </c>
      <c r="F169" t="s">
        <v>43</v>
      </c>
      <c r="G169" t="s">
        <v>150</v>
      </c>
      <c r="H169" t="s">
        <v>151</v>
      </c>
      <c r="I169" t="s">
        <v>4</v>
      </c>
      <c r="J169" t="s">
        <v>152</v>
      </c>
      <c r="K169" t="s">
        <v>153</v>
      </c>
      <c r="L169">
        <v>251200150</v>
      </c>
      <c r="M169" s="84">
        <v>45998</v>
      </c>
      <c r="N169" s="84">
        <v>45998</v>
      </c>
      <c r="O169" t="s">
        <v>267</v>
      </c>
      <c r="P169" t="s">
        <v>268</v>
      </c>
      <c r="Q169">
        <v>5500</v>
      </c>
      <c r="R169">
        <v>10</v>
      </c>
      <c r="S169">
        <v>55000</v>
      </c>
      <c r="T169">
        <v>0</v>
      </c>
      <c r="U169">
        <v>0</v>
      </c>
      <c r="V169">
        <v>10</v>
      </c>
      <c r="W169">
        <v>55000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>
        <v>355</v>
      </c>
      <c r="B170" t="s">
        <v>149</v>
      </c>
      <c r="C170">
        <v>1282</v>
      </c>
      <c r="D170" t="s">
        <v>374</v>
      </c>
      <c r="F170" t="s">
        <v>111</v>
      </c>
      <c r="G170" t="s">
        <v>150</v>
      </c>
      <c r="H170" t="s">
        <v>151</v>
      </c>
      <c r="I170" t="s">
        <v>5</v>
      </c>
      <c r="J170" t="s">
        <v>152</v>
      </c>
      <c r="K170" t="s">
        <v>153</v>
      </c>
      <c r="L170">
        <v>251200151</v>
      </c>
      <c r="M170" s="84">
        <v>45998</v>
      </c>
      <c r="N170" s="84">
        <v>45998</v>
      </c>
      <c r="O170" t="s">
        <v>198</v>
      </c>
      <c r="P170" t="s">
        <v>199</v>
      </c>
      <c r="Q170">
        <v>4500</v>
      </c>
      <c r="R170">
        <v>48</v>
      </c>
      <c r="S170">
        <v>216000</v>
      </c>
      <c r="T170">
        <v>0</v>
      </c>
      <c r="U170">
        <v>0</v>
      </c>
      <c r="V170">
        <v>48</v>
      </c>
      <c r="W170">
        <v>216000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356</v>
      </c>
      <c r="B171" t="s">
        <v>149</v>
      </c>
      <c r="C171">
        <v>1282</v>
      </c>
      <c r="D171" t="s">
        <v>374</v>
      </c>
      <c r="F171" t="s">
        <v>111</v>
      </c>
      <c r="G171" t="s">
        <v>150</v>
      </c>
      <c r="H171" t="s">
        <v>151</v>
      </c>
      <c r="I171" t="s">
        <v>4</v>
      </c>
      <c r="J171" t="s">
        <v>152</v>
      </c>
      <c r="K171" t="s">
        <v>153</v>
      </c>
      <c r="L171">
        <v>251200151</v>
      </c>
      <c r="M171" s="84">
        <v>45998</v>
      </c>
      <c r="N171" s="84">
        <v>45998</v>
      </c>
      <c r="O171" t="s">
        <v>221</v>
      </c>
      <c r="P171" t="s">
        <v>222</v>
      </c>
      <c r="Q171">
        <v>5500</v>
      </c>
      <c r="R171">
        <v>10</v>
      </c>
      <c r="S171">
        <v>55000</v>
      </c>
      <c r="T171">
        <v>0</v>
      </c>
      <c r="U171">
        <v>0</v>
      </c>
      <c r="V171">
        <v>10</v>
      </c>
      <c r="W171">
        <v>55000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357</v>
      </c>
      <c r="B172" t="s">
        <v>149</v>
      </c>
      <c r="C172">
        <v>1282</v>
      </c>
      <c r="D172" t="s">
        <v>374</v>
      </c>
      <c r="F172" t="s">
        <v>111</v>
      </c>
      <c r="G172" t="s">
        <v>150</v>
      </c>
      <c r="H172" t="s">
        <v>151</v>
      </c>
      <c r="I172" t="s">
        <v>4</v>
      </c>
      <c r="J172" t="s">
        <v>152</v>
      </c>
      <c r="K172" t="s">
        <v>153</v>
      </c>
      <c r="L172">
        <v>251200151</v>
      </c>
      <c r="M172" s="84">
        <v>45998</v>
      </c>
      <c r="N172" s="84">
        <v>45998</v>
      </c>
      <c r="O172" t="s">
        <v>262</v>
      </c>
      <c r="P172" t="s">
        <v>263</v>
      </c>
      <c r="Q172">
        <v>5500</v>
      </c>
      <c r="R172">
        <v>10</v>
      </c>
      <c r="S172">
        <v>55000</v>
      </c>
      <c r="T172">
        <v>0</v>
      </c>
      <c r="U172">
        <v>0</v>
      </c>
      <c r="V172">
        <v>10</v>
      </c>
      <c r="W172">
        <v>55000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>
        <v>358</v>
      </c>
      <c r="B173" t="s">
        <v>149</v>
      </c>
      <c r="C173">
        <v>1557</v>
      </c>
      <c r="D173" t="s">
        <v>344</v>
      </c>
      <c r="F173" t="s">
        <v>111</v>
      </c>
      <c r="G173" t="s">
        <v>150</v>
      </c>
      <c r="H173" t="s">
        <v>151</v>
      </c>
      <c r="I173" t="s">
        <v>4</v>
      </c>
      <c r="J173" t="s">
        <v>152</v>
      </c>
      <c r="K173" t="s">
        <v>153</v>
      </c>
      <c r="L173">
        <v>251200152</v>
      </c>
      <c r="M173" s="84">
        <v>45998</v>
      </c>
      <c r="N173" s="84">
        <v>45998</v>
      </c>
      <c r="O173" t="s">
        <v>160</v>
      </c>
      <c r="P173" t="s">
        <v>161</v>
      </c>
      <c r="Q173">
        <v>5500</v>
      </c>
      <c r="R173">
        <v>20</v>
      </c>
      <c r="S173">
        <v>110000</v>
      </c>
      <c r="T173">
        <v>0</v>
      </c>
      <c r="U173">
        <v>0</v>
      </c>
      <c r="V173">
        <v>20</v>
      </c>
      <c r="W173">
        <v>110000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359</v>
      </c>
      <c r="B174" t="s">
        <v>149</v>
      </c>
      <c r="C174">
        <v>1557</v>
      </c>
      <c r="D174" t="s">
        <v>344</v>
      </c>
      <c r="F174" t="s">
        <v>111</v>
      </c>
      <c r="G174" t="s">
        <v>150</v>
      </c>
      <c r="H174" t="s">
        <v>151</v>
      </c>
      <c r="I174" t="s">
        <v>5</v>
      </c>
      <c r="J174" t="s">
        <v>152</v>
      </c>
      <c r="K174" t="s">
        <v>153</v>
      </c>
      <c r="L174">
        <v>251200152</v>
      </c>
      <c r="M174" s="84">
        <v>45998</v>
      </c>
      <c r="N174" s="84">
        <v>45998</v>
      </c>
      <c r="O174" t="s">
        <v>191</v>
      </c>
      <c r="P174" t="s">
        <v>192</v>
      </c>
      <c r="Q174">
        <v>4500</v>
      </c>
      <c r="R174">
        <v>20</v>
      </c>
      <c r="S174">
        <v>90000</v>
      </c>
      <c r="T174">
        <v>0</v>
      </c>
      <c r="U174">
        <v>0</v>
      </c>
      <c r="V174">
        <v>20</v>
      </c>
      <c r="W174">
        <v>90000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>
        <v>362</v>
      </c>
      <c r="B175" t="s">
        <v>149</v>
      </c>
      <c r="C175">
        <v>1288</v>
      </c>
      <c r="D175" t="s">
        <v>367</v>
      </c>
      <c r="F175" t="s">
        <v>43</v>
      </c>
      <c r="G175" t="s">
        <v>150</v>
      </c>
      <c r="H175" t="s">
        <v>151</v>
      </c>
      <c r="I175" t="s">
        <v>4</v>
      </c>
      <c r="J175" t="s">
        <v>152</v>
      </c>
      <c r="K175" t="s">
        <v>153</v>
      </c>
      <c r="L175">
        <v>251200155</v>
      </c>
      <c r="M175" s="84">
        <v>45998</v>
      </c>
      <c r="N175" s="84">
        <v>45998</v>
      </c>
      <c r="O175" t="s">
        <v>160</v>
      </c>
      <c r="P175" t="s">
        <v>161</v>
      </c>
      <c r="Q175">
        <v>5500</v>
      </c>
      <c r="R175">
        <v>20</v>
      </c>
      <c r="S175">
        <v>110000</v>
      </c>
      <c r="T175">
        <v>0</v>
      </c>
      <c r="U175">
        <v>0</v>
      </c>
      <c r="V175">
        <v>20</v>
      </c>
      <c r="W175">
        <v>110000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>
        <v>363</v>
      </c>
      <c r="B176" t="s">
        <v>149</v>
      </c>
      <c r="C176">
        <v>1549</v>
      </c>
      <c r="D176" t="s">
        <v>345</v>
      </c>
      <c r="F176" t="s">
        <v>43</v>
      </c>
      <c r="G176" t="s">
        <v>150</v>
      </c>
      <c r="H176" t="s">
        <v>151</v>
      </c>
      <c r="I176" t="s">
        <v>4</v>
      </c>
      <c r="J176" t="s">
        <v>152</v>
      </c>
      <c r="K176" t="s">
        <v>153</v>
      </c>
      <c r="L176">
        <v>251200156</v>
      </c>
      <c r="M176" s="84">
        <v>45998</v>
      </c>
      <c r="N176" s="84">
        <v>45998</v>
      </c>
      <c r="O176" t="s">
        <v>215</v>
      </c>
      <c r="P176" t="s">
        <v>216</v>
      </c>
      <c r="Q176">
        <v>5500</v>
      </c>
      <c r="R176">
        <v>5</v>
      </c>
      <c r="S176">
        <v>27500</v>
      </c>
      <c r="T176">
        <v>0</v>
      </c>
      <c r="U176">
        <v>0</v>
      </c>
      <c r="V176">
        <v>5</v>
      </c>
      <c r="W176">
        <v>27500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364</v>
      </c>
      <c r="B177" t="s">
        <v>149</v>
      </c>
      <c r="C177">
        <v>1290</v>
      </c>
      <c r="D177" t="s">
        <v>375</v>
      </c>
      <c r="F177" t="s">
        <v>43</v>
      </c>
      <c r="G177" t="s">
        <v>150</v>
      </c>
      <c r="H177" t="s">
        <v>151</v>
      </c>
      <c r="I177" t="s">
        <v>5</v>
      </c>
      <c r="J177" t="s">
        <v>152</v>
      </c>
      <c r="K177" t="s">
        <v>153</v>
      </c>
      <c r="L177">
        <v>251200157</v>
      </c>
      <c r="M177" s="84">
        <v>45998</v>
      </c>
      <c r="N177" s="84">
        <v>45998</v>
      </c>
      <c r="O177" t="s">
        <v>260</v>
      </c>
      <c r="P177" t="s">
        <v>261</v>
      </c>
      <c r="Q177">
        <v>4500</v>
      </c>
      <c r="R177">
        <v>8</v>
      </c>
      <c r="S177">
        <v>36000</v>
      </c>
      <c r="T177">
        <v>0</v>
      </c>
      <c r="U177">
        <v>0</v>
      </c>
      <c r="V177">
        <v>8</v>
      </c>
      <c r="W177">
        <v>36000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365</v>
      </c>
      <c r="B178" t="s">
        <v>149</v>
      </c>
      <c r="C178">
        <v>1290</v>
      </c>
      <c r="D178" t="s">
        <v>375</v>
      </c>
      <c r="F178" t="s">
        <v>43</v>
      </c>
      <c r="G178" t="s">
        <v>150</v>
      </c>
      <c r="H178" t="s">
        <v>151</v>
      </c>
      <c r="I178" t="s">
        <v>5</v>
      </c>
      <c r="J178" t="s">
        <v>152</v>
      </c>
      <c r="K178" t="s">
        <v>153</v>
      </c>
      <c r="L178">
        <v>251200157</v>
      </c>
      <c r="M178" s="84">
        <v>45998</v>
      </c>
      <c r="N178" s="84">
        <v>45998</v>
      </c>
      <c r="O178" t="s">
        <v>253</v>
      </c>
      <c r="P178" t="s">
        <v>254</v>
      </c>
      <c r="Q178">
        <v>4500</v>
      </c>
      <c r="R178">
        <v>8</v>
      </c>
      <c r="S178">
        <v>36000</v>
      </c>
      <c r="T178">
        <v>0</v>
      </c>
      <c r="U178">
        <v>0</v>
      </c>
      <c r="V178">
        <v>8</v>
      </c>
      <c r="W178">
        <v>36000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>
        <v>376</v>
      </c>
      <c r="B179" t="s">
        <v>149</v>
      </c>
      <c r="C179">
        <v>1326</v>
      </c>
      <c r="D179" t="s">
        <v>338</v>
      </c>
      <c r="F179" t="s">
        <v>15</v>
      </c>
      <c r="G179" t="s">
        <v>193</v>
      </c>
      <c r="H179" t="s">
        <v>151</v>
      </c>
      <c r="I179" t="s">
        <v>5</v>
      </c>
      <c r="J179" t="s">
        <v>152</v>
      </c>
      <c r="K179" t="s">
        <v>153</v>
      </c>
      <c r="L179">
        <v>251200164</v>
      </c>
      <c r="M179" s="84">
        <v>45998</v>
      </c>
      <c r="N179" s="84">
        <v>45998</v>
      </c>
      <c r="O179" t="s">
        <v>260</v>
      </c>
      <c r="P179" t="s">
        <v>261</v>
      </c>
      <c r="Q179">
        <v>4500</v>
      </c>
      <c r="R179">
        <v>4</v>
      </c>
      <c r="S179">
        <v>18000</v>
      </c>
      <c r="T179">
        <v>0</v>
      </c>
      <c r="U179">
        <v>0</v>
      </c>
      <c r="V179">
        <v>4</v>
      </c>
      <c r="W179">
        <v>18000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>
        <v>377</v>
      </c>
      <c r="B180" t="s">
        <v>149</v>
      </c>
      <c r="C180">
        <v>1326</v>
      </c>
      <c r="D180" t="s">
        <v>338</v>
      </c>
      <c r="F180" t="s">
        <v>15</v>
      </c>
      <c r="G180" t="s">
        <v>193</v>
      </c>
      <c r="H180" t="s">
        <v>151</v>
      </c>
      <c r="I180" t="s">
        <v>5</v>
      </c>
      <c r="J180" t="s">
        <v>152</v>
      </c>
      <c r="K180" t="s">
        <v>153</v>
      </c>
      <c r="L180">
        <v>251200165</v>
      </c>
      <c r="M180" s="84">
        <v>45998</v>
      </c>
      <c r="N180" s="84">
        <v>45998</v>
      </c>
      <c r="O180" t="s">
        <v>339</v>
      </c>
      <c r="P180" t="s">
        <v>340</v>
      </c>
      <c r="Q180">
        <v>4500</v>
      </c>
      <c r="R180">
        <v>8</v>
      </c>
      <c r="S180">
        <v>36000</v>
      </c>
      <c r="T180">
        <v>0</v>
      </c>
      <c r="U180">
        <v>0</v>
      </c>
      <c r="V180">
        <v>8</v>
      </c>
      <c r="W180">
        <v>36000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>
        <v>378</v>
      </c>
      <c r="B181" t="s">
        <v>149</v>
      </c>
      <c r="C181">
        <v>1326</v>
      </c>
      <c r="D181" t="s">
        <v>338</v>
      </c>
      <c r="F181" t="s">
        <v>15</v>
      </c>
      <c r="G181" t="s">
        <v>193</v>
      </c>
      <c r="H181" t="s">
        <v>151</v>
      </c>
      <c r="I181" t="s">
        <v>5</v>
      </c>
      <c r="J181" t="s">
        <v>152</v>
      </c>
      <c r="K181" t="s">
        <v>153</v>
      </c>
      <c r="L181">
        <v>251200165</v>
      </c>
      <c r="M181" s="84">
        <v>45998</v>
      </c>
      <c r="N181" s="84">
        <v>45998</v>
      </c>
      <c r="O181" t="s">
        <v>191</v>
      </c>
      <c r="P181" t="s">
        <v>192</v>
      </c>
      <c r="Q181">
        <v>4500</v>
      </c>
      <c r="R181">
        <v>80</v>
      </c>
      <c r="S181">
        <v>360000</v>
      </c>
      <c r="T181">
        <v>0</v>
      </c>
      <c r="U181">
        <v>0</v>
      </c>
      <c r="V181">
        <v>80</v>
      </c>
      <c r="W181">
        <v>360000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>
        <v>387</v>
      </c>
      <c r="B182" t="s">
        <v>149</v>
      </c>
      <c r="C182">
        <v>1326</v>
      </c>
      <c r="D182" t="s">
        <v>338</v>
      </c>
      <c r="F182" t="s">
        <v>15</v>
      </c>
      <c r="G182" t="s">
        <v>193</v>
      </c>
      <c r="H182" t="s">
        <v>151</v>
      </c>
      <c r="I182" t="s">
        <v>5</v>
      </c>
      <c r="J182" t="s">
        <v>152</v>
      </c>
      <c r="K182" t="s">
        <v>153</v>
      </c>
      <c r="L182">
        <v>251200167</v>
      </c>
      <c r="M182" s="84">
        <v>45998</v>
      </c>
      <c r="N182" s="84">
        <v>45998</v>
      </c>
      <c r="O182" t="s">
        <v>253</v>
      </c>
      <c r="P182" t="s">
        <v>254</v>
      </c>
      <c r="Q182">
        <v>4500</v>
      </c>
      <c r="R182">
        <v>4</v>
      </c>
      <c r="S182">
        <v>18000</v>
      </c>
      <c r="T182">
        <v>0</v>
      </c>
      <c r="U182">
        <v>0</v>
      </c>
      <c r="V182">
        <v>4</v>
      </c>
      <c r="W182">
        <v>18000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388</v>
      </c>
      <c r="B183" t="s">
        <v>149</v>
      </c>
      <c r="C183">
        <v>1326</v>
      </c>
      <c r="D183" t="s">
        <v>338</v>
      </c>
      <c r="F183" t="s">
        <v>15</v>
      </c>
      <c r="G183" t="s">
        <v>193</v>
      </c>
      <c r="H183" t="s">
        <v>151</v>
      </c>
      <c r="I183" t="s">
        <v>4</v>
      </c>
      <c r="J183" t="s">
        <v>152</v>
      </c>
      <c r="K183" t="s">
        <v>153</v>
      </c>
      <c r="L183">
        <v>251200167</v>
      </c>
      <c r="M183" s="84">
        <v>45998</v>
      </c>
      <c r="N183" s="84">
        <v>45998</v>
      </c>
      <c r="O183" t="s">
        <v>160</v>
      </c>
      <c r="P183" t="s">
        <v>161</v>
      </c>
      <c r="Q183">
        <v>5500</v>
      </c>
      <c r="R183">
        <v>20</v>
      </c>
      <c r="S183">
        <v>110000</v>
      </c>
      <c r="T183">
        <v>0</v>
      </c>
      <c r="U183">
        <v>0</v>
      </c>
      <c r="V183">
        <v>20</v>
      </c>
      <c r="W183">
        <v>110000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>
      <c r="A184">
        <v>389</v>
      </c>
      <c r="B184" t="s">
        <v>149</v>
      </c>
      <c r="C184">
        <v>1326</v>
      </c>
      <c r="D184" t="s">
        <v>338</v>
      </c>
      <c r="F184" t="s">
        <v>15</v>
      </c>
      <c r="G184" t="s">
        <v>193</v>
      </c>
      <c r="H184" t="s">
        <v>151</v>
      </c>
      <c r="I184" t="s">
        <v>5</v>
      </c>
      <c r="J184" t="s">
        <v>152</v>
      </c>
      <c r="K184" t="s">
        <v>153</v>
      </c>
      <c r="L184">
        <v>251200167</v>
      </c>
      <c r="M184" s="84">
        <v>45998</v>
      </c>
      <c r="N184" s="84">
        <v>45998</v>
      </c>
      <c r="O184" t="s">
        <v>191</v>
      </c>
      <c r="P184" t="s">
        <v>192</v>
      </c>
      <c r="Q184">
        <v>4500</v>
      </c>
      <c r="R184">
        <v>40</v>
      </c>
      <c r="S184">
        <v>180000</v>
      </c>
      <c r="T184">
        <v>0</v>
      </c>
      <c r="U184">
        <v>0</v>
      </c>
      <c r="V184">
        <v>40</v>
      </c>
      <c r="W184">
        <v>180000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>
      <c r="A185">
        <v>390</v>
      </c>
      <c r="B185" t="s">
        <v>149</v>
      </c>
      <c r="C185">
        <v>1326</v>
      </c>
      <c r="D185" t="s">
        <v>338</v>
      </c>
      <c r="F185" t="s">
        <v>15</v>
      </c>
      <c r="G185" t="s">
        <v>193</v>
      </c>
      <c r="H185" t="s">
        <v>151</v>
      </c>
      <c r="I185" t="s">
        <v>5</v>
      </c>
      <c r="J185" t="s">
        <v>152</v>
      </c>
      <c r="K185" t="s">
        <v>153</v>
      </c>
      <c r="L185">
        <v>251200167</v>
      </c>
      <c r="M185" s="84">
        <v>45998</v>
      </c>
      <c r="N185" s="84">
        <v>45998</v>
      </c>
      <c r="O185" t="s">
        <v>339</v>
      </c>
      <c r="P185" t="s">
        <v>340</v>
      </c>
      <c r="Q185">
        <v>4500</v>
      </c>
      <c r="R185">
        <v>12</v>
      </c>
      <c r="S185">
        <v>54000</v>
      </c>
      <c r="T185">
        <v>0</v>
      </c>
      <c r="U185">
        <v>0</v>
      </c>
      <c r="V185">
        <v>12</v>
      </c>
      <c r="W185">
        <v>54000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>
        <v>391</v>
      </c>
      <c r="B186" t="s">
        <v>149</v>
      </c>
      <c r="C186">
        <v>1550</v>
      </c>
      <c r="D186" t="s">
        <v>337</v>
      </c>
      <c r="F186" t="s">
        <v>15</v>
      </c>
      <c r="G186" t="s">
        <v>193</v>
      </c>
      <c r="H186" t="s">
        <v>151</v>
      </c>
      <c r="I186" t="s">
        <v>5</v>
      </c>
      <c r="J186" t="s">
        <v>152</v>
      </c>
      <c r="K186" t="s">
        <v>153</v>
      </c>
      <c r="L186">
        <v>251200168</v>
      </c>
      <c r="M186" s="84">
        <v>45998</v>
      </c>
      <c r="N186" s="84">
        <v>45998</v>
      </c>
      <c r="O186" t="s">
        <v>253</v>
      </c>
      <c r="P186" t="s">
        <v>254</v>
      </c>
      <c r="Q186">
        <v>4500</v>
      </c>
      <c r="R186">
        <v>4</v>
      </c>
      <c r="S186">
        <v>18000</v>
      </c>
      <c r="T186">
        <v>0</v>
      </c>
      <c r="U186">
        <v>0</v>
      </c>
      <c r="V186">
        <v>4</v>
      </c>
      <c r="W186">
        <v>18000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>
        <v>392</v>
      </c>
      <c r="B187" t="s">
        <v>149</v>
      </c>
      <c r="C187">
        <v>1550</v>
      </c>
      <c r="D187" t="s">
        <v>337</v>
      </c>
      <c r="F187" t="s">
        <v>15</v>
      </c>
      <c r="G187" t="s">
        <v>193</v>
      </c>
      <c r="H187" t="s">
        <v>151</v>
      </c>
      <c r="I187" t="s">
        <v>5</v>
      </c>
      <c r="J187" t="s">
        <v>152</v>
      </c>
      <c r="K187" t="s">
        <v>153</v>
      </c>
      <c r="L187">
        <v>251200168</v>
      </c>
      <c r="M187" s="84">
        <v>45998</v>
      </c>
      <c r="N187" s="84">
        <v>45998</v>
      </c>
      <c r="O187" t="s">
        <v>191</v>
      </c>
      <c r="P187" t="s">
        <v>192</v>
      </c>
      <c r="Q187">
        <v>4500</v>
      </c>
      <c r="R187">
        <v>40</v>
      </c>
      <c r="S187">
        <v>180000</v>
      </c>
      <c r="T187">
        <v>0</v>
      </c>
      <c r="U187">
        <v>0</v>
      </c>
      <c r="V187">
        <v>40</v>
      </c>
      <c r="W187">
        <v>180000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>
      <c r="A188">
        <v>393</v>
      </c>
      <c r="B188" t="s">
        <v>149</v>
      </c>
      <c r="C188">
        <v>1550</v>
      </c>
      <c r="D188" t="s">
        <v>337</v>
      </c>
      <c r="F188" t="s">
        <v>15</v>
      </c>
      <c r="G188" t="s">
        <v>193</v>
      </c>
      <c r="H188" t="s">
        <v>151</v>
      </c>
      <c r="I188" t="s">
        <v>4</v>
      </c>
      <c r="J188" t="s">
        <v>152</v>
      </c>
      <c r="K188" t="s">
        <v>153</v>
      </c>
      <c r="L188">
        <v>251200168</v>
      </c>
      <c r="M188" s="84">
        <v>45998</v>
      </c>
      <c r="N188" s="84">
        <v>45998</v>
      </c>
      <c r="O188" t="s">
        <v>160</v>
      </c>
      <c r="P188" t="s">
        <v>161</v>
      </c>
      <c r="Q188">
        <v>5500</v>
      </c>
      <c r="R188">
        <v>1</v>
      </c>
      <c r="S188">
        <v>5500</v>
      </c>
      <c r="T188">
        <v>0</v>
      </c>
      <c r="U188">
        <v>0</v>
      </c>
      <c r="V188">
        <v>1</v>
      </c>
      <c r="W188">
        <v>5500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>
        <v>394</v>
      </c>
      <c r="B189" t="s">
        <v>149</v>
      </c>
      <c r="C189">
        <v>1550</v>
      </c>
      <c r="D189" t="s">
        <v>337</v>
      </c>
      <c r="F189" t="s">
        <v>15</v>
      </c>
      <c r="G189" t="s">
        <v>193</v>
      </c>
      <c r="H189" t="s">
        <v>151</v>
      </c>
      <c r="I189" t="s">
        <v>5</v>
      </c>
      <c r="J189" t="s">
        <v>152</v>
      </c>
      <c r="K189" t="s">
        <v>153</v>
      </c>
      <c r="L189">
        <v>251200168</v>
      </c>
      <c r="M189" s="84">
        <v>45998</v>
      </c>
      <c r="N189" s="84">
        <v>45998</v>
      </c>
      <c r="O189" t="s">
        <v>260</v>
      </c>
      <c r="P189" t="s">
        <v>261</v>
      </c>
      <c r="Q189">
        <v>4500</v>
      </c>
      <c r="R189">
        <v>8</v>
      </c>
      <c r="S189">
        <v>36000</v>
      </c>
      <c r="T189">
        <v>0</v>
      </c>
      <c r="U189">
        <v>0</v>
      </c>
      <c r="V189">
        <v>8</v>
      </c>
      <c r="W189">
        <v>36000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395</v>
      </c>
      <c r="B190" t="s">
        <v>149</v>
      </c>
      <c r="C190">
        <v>1312</v>
      </c>
      <c r="D190" t="s">
        <v>359</v>
      </c>
      <c r="F190" t="s">
        <v>15</v>
      </c>
      <c r="G190" t="s">
        <v>193</v>
      </c>
      <c r="H190" t="s">
        <v>151</v>
      </c>
      <c r="I190" t="s">
        <v>5</v>
      </c>
      <c r="J190" t="s">
        <v>152</v>
      </c>
      <c r="K190" t="s">
        <v>153</v>
      </c>
      <c r="L190">
        <v>251200169</v>
      </c>
      <c r="M190" s="84">
        <v>45998</v>
      </c>
      <c r="N190" s="84">
        <v>45998</v>
      </c>
      <c r="O190" t="s">
        <v>196</v>
      </c>
      <c r="P190" t="s">
        <v>197</v>
      </c>
      <c r="Q190">
        <v>4500</v>
      </c>
      <c r="R190">
        <v>10</v>
      </c>
      <c r="S190">
        <v>45000</v>
      </c>
      <c r="T190">
        <v>0</v>
      </c>
      <c r="U190">
        <v>0</v>
      </c>
      <c r="V190">
        <v>10</v>
      </c>
      <c r="W190">
        <v>45000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>
        <v>396</v>
      </c>
      <c r="B191" t="s">
        <v>149</v>
      </c>
      <c r="C191">
        <v>1312</v>
      </c>
      <c r="D191" t="s">
        <v>359</v>
      </c>
      <c r="F191" t="s">
        <v>15</v>
      </c>
      <c r="G191" t="s">
        <v>193</v>
      </c>
      <c r="H191" t="s">
        <v>151</v>
      </c>
      <c r="I191" t="s">
        <v>4</v>
      </c>
      <c r="J191" t="s">
        <v>152</v>
      </c>
      <c r="K191" t="s">
        <v>153</v>
      </c>
      <c r="L191">
        <v>251200169</v>
      </c>
      <c r="M191" s="84">
        <v>45998</v>
      </c>
      <c r="N191" s="84">
        <v>45998</v>
      </c>
      <c r="O191" t="s">
        <v>327</v>
      </c>
      <c r="P191" t="s">
        <v>328</v>
      </c>
      <c r="Q191">
        <v>5500</v>
      </c>
      <c r="R191">
        <v>30</v>
      </c>
      <c r="S191">
        <v>165000</v>
      </c>
      <c r="T191">
        <v>0</v>
      </c>
      <c r="U191">
        <v>0</v>
      </c>
      <c r="V191">
        <v>30</v>
      </c>
      <c r="W191">
        <v>165000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>
        <v>397</v>
      </c>
      <c r="B192" t="s">
        <v>149</v>
      </c>
      <c r="C192">
        <v>1326</v>
      </c>
      <c r="D192" t="s">
        <v>338</v>
      </c>
      <c r="F192" t="s">
        <v>15</v>
      </c>
      <c r="G192" t="s">
        <v>193</v>
      </c>
      <c r="H192" t="s">
        <v>151</v>
      </c>
      <c r="I192" t="s">
        <v>5</v>
      </c>
      <c r="J192" t="s">
        <v>152</v>
      </c>
      <c r="K192" t="s">
        <v>153</v>
      </c>
      <c r="L192">
        <v>251200170</v>
      </c>
      <c r="M192" s="84">
        <v>45998</v>
      </c>
      <c r="N192" s="84">
        <v>45998</v>
      </c>
      <c r="O192" t="s">
        <v>191</v>
      </c>
      <c r="P192" t="s">
        <v>192</v>
      </c>
      <c r="Q192">
        <v>4500</v>
      </c>
      <c r="R192">
        <v>32</v>
      </c>
      <c r="S192">
        <v>144000</v>
      </c>
      <c r="T192">
        <v>0</v>
      </c>
      <c r="U192">
        <v>0</v>
      </c>
      <c r="V192">
        <v>32</v>
      </c>
      <c r="W192">
        <v>144000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398</v>
      </c>
      <c r="B193" t="s">
        <v>149</v>
      </c>
      <c r="C193">
        <v>1569</v>
      </c>
      <c r="D193" t="s">
        <v>329</v>
      </c>
      <c r="F193" t="s">
        <v>10</v>
      </c>
      <c r="G193" t="s">
        <v>172</v>
      </c>
      <c r="H193" t="s">
        <v>157</v>
      </c>
      <c r="I193" t="s">
        <v>4</v>
      </c>
      <c r="J193" t="s">
        <v>152</v>
      </c>
      <c r="K193" t="s">
        <v>174</v>
      </c>
      <c r="L193">
        <v>251200171</v>
      </c>
      <c r="M193" s="84">
        <v>45998</v>
      </c>
      <c r="N193" s="84">
        <v>45998</v>
      </c>
      <c r="O193" t="s">
        <v>177</v>
      </c>
      <c r="P193" t="s">
        <v>178</v>
      </c>
      <c r="Q193">
        <v>5500</v>
      </c>
      <c r="R193">
        <v>10</v>
      </c>
      <c r="S193">
        <v>55000</v>
      </c>
      <c r="T193">
        <v>0</v>
      </c>
      <c r="U193">
        <v>0</v>
      </c>
      <c r="V193">
        <v>10</v>
      </c>
      <c r="W193">
        <v>55000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>
        <v>399</v>
      </c>
      <c r="B194" t="s">
        <v>149</v>
      </c>
      <c r="C194">
        <v>1569</v>
      </c>
      <c r="D194" t="s">
        <v>329</v>
      </c>
      <c r="F194" t="s">
        <v>10</v>
      </c>
      <c r="G194" t="s">
        <v>172</v>
      </c>
      <c r="H194" t="s">
        <v>157</v>
      </c>
      <c r="I194" t="s">
        <v>4</v>
      </c>
      <c r="J194" t="s">
        <v>152</v>
      </c>
      <c r="K194" t="s">
        <v>174</v>
      </c>
      <c r="L194">
        <v>251200171</v>
      </c>
      <c r="M194" s="84">
        <v>45998</v>
      </c>
      <c r="N194" s="84">
        <v>45998</v>
      </c>
      <c r="O194" t="s">
        <v>206</v>
      </c>
      <c r="P194" t="s">
        <v>207</v>
      </c>
      <c r="Q194">
        <v>5500</v>
      </c>
      <c r="R194">
        <v>60</v>
      </c>
      <c r="S194">
        <v>330000</v>
      </c>
      <c r="T194">
        <v>0</v>
      </c>
      <c r="U194">
        <v>0</v>
      </c>
      <c r="V194">
        <v>60</v>
      </c>
      <c r="W194">
        <v>330000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400</v>
      </c>
      <c r="B195" t="s">
        <v>149</v>
      </c>
      <c r="C195">
        <v>1534</v>
      </c>
      <c r="D195" t="s">
        <v>371</v>
      </c>
      <c r="F195" t="s">
        <v>65</v>
      </c>
      <c r="G195" t="s">
        <v>208</v>
      </c>
      <c r="H195" t="s">
        <v>157</v>
      </c>
      <c r="I195" t="s">
        <v>4</v>
      </c>
      <c r="J195" t="s">
        <v>152</v>
      </c>
      <c r="K195" t="s">
        <v>174</v>
      </c>
      <c r="L195">
        <v>251200172</v>
      </c>
      <c r="M195" s="84">
        <v>45998</v>
      </c>
      <c r="N195" s="84">
        <v>45998</v>
      </c>
      <c r="O195" t="s">
        <v>294</v>
      </c>
      <c r="P195" t="s">
        <v>295</v>
      </c>
      <c r="Q195">
        <v>5500</v>
      </c>
      <c r="R195">
        <v>5</v>
      </c>
      <c r="S195">
        <v>27500</v>
      </c>
      <c r="T195">
        <v>0</v>
      </c>
      <c r="U195">
        <v>0</v>
      </c>
      <c r="V195">
        <v>5</v>
      </c>
      <c r="W195">
        <v>27500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>
      <c r="A196">
        <v>401</v>
      </c>
      <c r="B196" t="s">
        <v>149</v>
      </c>
      <c r="C196">
        <v>1575</v>
      </c>
      <c r="D196" t="s">
        <v>372</v>
      </c>
      <c r="F196" t="s">
        <v>10</v>
      </c>
      <c r="G196" t="s">
        <v>172</v>
      </c>
      <c r="H196" t="s">
        <v>157</v>
      </c>
      <c r="I196" t="s">
        <v>4</v>
      </c>
      <c r="J196" t="s">
        <v>152</v>
      </c>
      <c r="K196" t="s">
        <v>174</v>
      </c>
      <c r="L196">
        <v>251200173</v>
      </c>
      <c r="M196" s="84">
        <v>45998</v>
      </c>
      <c r="N196" s="84">
        <v>45998</v>
      </c>
      <c r="O196" t="s">
        <v>168</v>
      </c>
      <c r="P196" t="s">
        <v>169</v>
      </c>
      <c r="Q196">
        <v>5500</v>
      </c>
      <c r="R196">
        <v>5</v>
      </c>
      <c r="S196">
        <v>27500</v>
      </c>
      <c r="T196">
        <v>0</v>
      </c>
      <c r="U196">
        <v>0</v>
      </c>
      <c r="V196">
        <v>5</v>
      </c>
      <c r="W196">
        <v>27500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>
      <c r="A197">
        <v>402</v>
      </c>
      <c r="B197" t="s">
        <v>149</v>
      </c>
      <c r="C197">
        <v>1523</v>
      </c>
      <c r="D197" t="s">
        <v>326</v>
      </c>
      <c r="F197" t="s">
        <v>10</v>
      </c>
      <c r="G197" t="s">
        <v>172</v>
      </c>
      <c r="H197" t="s">
        <v>157</v>
      </c>
      <c r="I197" t="s">
        <v>4</v>
      </c>
      <c r="J197" t="s">
        <v>152</v>
      </c>
      <c r="K197" t="s">
        <v>174</v>
      </c>
      <c r="L197">
        <v>251200174</v>
      </c>
      <c r="M197" s="84">
        <v>45998</v>
      </c>
      <c r="N197" s="84">
        <v>45998</v>
      </c>
      <c r="O197" t="s">
        <v>267</v>
      </c>
      <c r="P197" t="s">
        <v>268</v>
      </c>
      <c r="Q197">
        <v>5500</v>
      </c>
      <c r="R197">
        <v>10</v>
      </c>
      <c r="S197">
        <v>55000</v>
      </c>
      <c r="T197">
        <v>0</v>
      </c>
      <c r="U197">
        <v>0</v>
      </c>
      <c r="V197">
        <v>10</v>
      </c>
      <c r="W197">
        <v>55000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>
        <v>404</v>
      </c>
      <c r="B198" t="s">
        <v>149</v>
      </c>
      <c r="C198">
        <v>1428</v>
      </c>
      <c r="D198" t="s">
        <v>351</v>
      </c>
      <c r="F198" t="s">
        <v>171</v>
      </c>
      <c r="G198" t="s">
        <v>172</v>
      </c>
      <c r="H198" t="s">
        <v>157</v>
      </c>
      <c r="I198" t="s">
        <v>4</v>
      </c>
      <c r="J198" t="s">
        <v>152</v>
      </c>
      <c r="K198" t="s">
        <v>174</v>
      </c>
      <c r="L198">
        <v>251200176</v>
      </c>
      <c r="M198" s="84">
        <v>45998</v>
      </c>
      <c r="N198" s="84">
        <v>45998</v>
      </c>
      <c r="O198" t="s">
        <v>225</v>
      </c>
      <c r="P198" t="s">
        <v>226</v>
      </c>
      <c r="Q198">
        <v>5500</v>
      </c>
      <c r="R198">
        <v>5</v>
      </c>
      <c r="S198">
        <v>27500</v>
      </c>
      <c r="T198">
        <v>0</v>
      </c>
      <c r="U198">
        <v>0</v>
      </c>
      <c r="V198">
        <v>5</v>
      </c>
      <c r="W198">
        <v>27500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>
      <c r="A199">
        <v>407</v>
      </c>
      <c r="B199" t="s">
        <v>149</v>
      </c>
      <c r="C199">
        <v>1484</v>
      </c>
      <c r="D199" t="s">
        <v>331</v>
      </c>
      <c r="F199" t="s">
        <v>71</v>
      </c>
      <c r="G199" t="s">
        <v>305</v>
      </c>
      <c r="H199" t="s">
        <v>157</v>
      </c>
      <c r="I199" t="s">
        <v>4</v>
      </c>
      <c r="J199" t="s">
        <v>152</v>
      </c>
      <c r="K199" t="s">
        <v>174</v>
      </c>
      <c r="L199">
        <v>251200178</v>
      </c>
      <c r="M199" s="84">
        <v>45998</v>
      </c>
      <c r="N199" s="84">
        <v>45998</v>
      </c>
      <c r="O199" t="s">
        <v>215</v>
      </c>
      <c r="P199" t="s">
        <v>216</v>
      </c>
      <c r="Q199">
        <v>5500</v>
      </c>
      <c r="R199">
        <v>5</v>
      </c>
      <c r="S199">
        <v>27500</v>
      </c>
      <c r="T199">
        <v>0</v>
      </c>
      <c r="U199">
        <v>0</v>
      </c>
      <c r="V199">
        <v>5</v>
      </c>
      <c r="W199">
        <v>27500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>
      <c r="A200">
        <v>409</v>
      </c>
      <c r="B200" t="s">
        <v>149</v>
      </c>
      <c r="C200">
        <v>1471</v>
      </c>
      <c r="D200" t="s">
        <v>369</v>
      </c>
      <c r="F200" t="s">
        <v>73</v>
      </c>
      <c r="G200" t="s">
        <v>185</v>
      </c>
      <c r="H200" t="s">
        <v>151</v>
      </c>
      <c r="I200" t="s">
        <v>4</v>
      </c>
      <c r="J200" t="s">
        <v>152</v>
      </c>
      <c r="K200" t="s">
        <v>153</v>
      </c>
      <c r="L200">
        <v>251200180</v>
      </c>
      <c r="M200" s="84">
        <v>45998</v>
      </c>
      <c r="N200" s="84">
        <v>45998</v>
      </c>
      <c r="O200" t="s">
        <v>168</v>
      </c>
      <c r="P200" t="s">
        <v>169</v>
      </c>
      <c r="Q200">
        <v>5500</v>
      </c>
      <c r="R200">
        <v>10</v>
      </c>
      <c r="S200">
        <v>55000</v>
      </c>
      <c r="T200">
        <v>0</v>
      </c>
      <c r="U200">
        <v>0</v>
      </c>
      <c r="V200">
        <v>10</v>
      </c>
      <c r="W200">
        <v>55000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410</v>
      </c>
      <c r="B201" t="s">
        <v>149</v>
      </c>
      <c r="C201">
        <v>1551</v>
      </c>
      <c r="D201" t="s">
        <v>316</v>
      </c>
      <c r="F201" t="s">
        <v>111</v>
      </c>
      <c r="G201" t="s">
        <v>150</v>
      </c>
      <c r="H201" t="s">
        <v>151</v>
      </c>
      <c r="I201" t="s">
        <v>4</v>
      </c>
      <c r="J201" t="s">
        <v>152</v>
      </c>
      <c r="K201" t="s">
        <v>153</v>
      </c>
      <c r="L201">
        <v>251200181</v>
      </c>
      <c r="M201" s="84">
        <v>45998</v>
      </c>
      <c r="N201" s="84">
        <v>45998</v>
      </c>
      <c r="O201" t="s">
        <v>262</v>
      </c>
      <c r="P201" t="s">
        <v>263</v>
      </c>
      <c r="Q201">
        <v>5500</v>
      </c>
      <c r="R201">
        <v>5</v>
      </c>
      <c r="S201">
        <v>27500</v>
      </c>
      <c r="T201">
        <v>0</v>
      </c>
      <c r="U201">
        <v>0</v>
      </c>
      <c r="V201">
        <v>5</v>
      </c>
      <c r="W201">
        <v>27500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411</v>
      </c>
      <c r="B202" t="s">
        <v>149</v>
      </c>
      <c r="C202">
        <v>1551</v>
      </c>
      <c r="D202" t="s">
        <v>316</v>
      </c>
      <c r="F202" t="s">
        <v>111</v>
      </c>
      <c r="G202" t="s">
        <v>150</v>
      </c>
      <c r="H202" t="s">
        <v>151</v>
      </c>
      <c r="I202" t="s">
        <v>4</v>
      </c>
      <c r="J202" t="s">
        <v>152</v>
      </c>
      <c r="K202" t="s">
        <v>153</v>
      </c>
      <c r="L202">
        <v>251200181</v>
      </c>
      <c r="M202" s="84">
        <v>45998</v>
      </c>
      <c r="N202" s="84">
        <v>45998</v>
      </c>
      <c r="O202" t="s">
        <v>219</v>
      </c>
      <c r="P202" t="s">
        <v>220</v>
      </c>
      <c r="Q202">
        <v>5500</v>
      </c>
      <c r="R202">
        <v>15</v>
      </c>
      <c r="S202">
        <v>82500</v>
      </c>
      <c r="T202">
        <v>0</v>
      </c>
      <c r="U202">
        <v>0</v>
      </c>
      <c r="V202">
        <v>15</v>
      </c>
      <c r="W202">
        <v>82500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 spans="1:29">
      <c r="A203">
        <v>412</v>
      </c>
      <c r="B203" t="s">
        <v>149</v>
      </c>
      <c r="C203">
        <v>1551</v>
      </c>
      <c r="D203" t="s">
        <v>316</v>
      </c>
      <c r="F203" t="s">
        <v>111</v>
      </c>
      <c r="G203" t="s">
        <v>150</v>
      </c>
      <c r="H203" t="s">
        <v>151</v>
      </c>
      <c r="I203" t="s">
        <v>4</v>
      </c>
      <c r="J203" t="s">
        <v>152</v>
      </c>
      <c r="K203" t="s">
        <v>153</v>
      </c>
      <c r="L203">
        <v>251200181</v>
      </c>
      <c r="M203" s="84">
        <v>45998</v>
      </c>
      <c r="N203" s="84">
        <v>45998</v>
      </c>
      <c r="O203" t="s">
        <v>168</v>
      </c>
      <c r="P203" t="s">
        <v>169</v>
      </c>
      <c r="Q203">
        <v>5500</v>
      </c>
      <c r="R203">
        <v>5</v>
      </c>
      <c r="S203">
        <v>27500</v>
      </c>
      <c r="T203">
        <v>0</v>
      </c>
      <c r="U203">
        <v>0</v>
      </c>
      <c r="V203">
        <v>5</v>
      </c>
      <c r="W203">
        <v>27500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>
        <v>413</v>
      </c>
      <c r="B204" t="s">
        <v>149</v>
      </c>
      <c r="C204">
        <v>1331</v>
      </c>
      <c r="D204" t="s">
        <v>366</v>
      </c>
      <c r="F204" t="s">
        <v>28</v>
      </c>
      <c r="G204" t="s">
        <v>164</v>
      </c>
      <c r="H204" t="s">
        <v>151</v>
      </c>
      <c r="I204" t="s">
        <v>5</v>
      </c>
      <c r="J204" t="s">
        <v>152</v>
      </c>
      <c r="K204" t="s">
        <v>153</v>
      </c>
      <c r="L204">
        <v>251200182</v>
      </c>
      <c r="M204" s="84">
        <v>45998</v>
      </c>
      <c r="N204" s="84">
        <v>45998</v>
      </c>
      <c r="O204" t="s">
        <v>297</v>
      </c>
      <c r="P204" t="s">
        <v>298</v>
      </c>
      <c r="Q204">
        <v>4500</v>
      </c>
      <c r="R204">
        <v>48</v>
      </c>
      <c r="S204">
        <v>216000</v>
      </c>
      <c r="T204">
        <v>0</v>
      </c>
      <c r="U204">
        <v>0</v>
      </c>
      <c r="V204">
        <v>48</v>
      </c>
      <c r="W204">
        <v>216000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>
      <c r="A205">
        <v>414</v>
      </c>
      <c r="B205" t="s">
        <v>149</v>
      </c>
      <c r="C205">
        <v>1331</v>
      </c>
      <c r="D205" t="s">
        <v>366</v>
      </c>
      <c r="F205" t="s">
        <v>28</v>
      </c>
      <c r="G205" t="s">
        <v>164</v>
      </c>
      <c r="H205" t="s">
        <v>151</v>
      </c>
      <c r="I205" t="s">
        <v>5</v>
      </c>
      <c r="J205" t="s">
        <v>152</v>
      </c>
      <c r="K205" t="s">
        <v>153</v>
      </c>
      <c r="L205">
        <v>251200182</v>
      </c>
      <c r="M205" s="84">
        <v>45998</v>
      </c>
      <c r="N205" s="84">
        <v>45998</v>
      </c>
      <c r="O205" t="s">
        <v>191</v>
      </c>
      <c r="P205" t="s">
        <v>192</v>
      </c>
      <c r="Q205">
        <v>4500</v>
      </c>
      <c r="R205">
        <v>120</v>
      </c>
      <c r="S205">
        <v>540000</v>
      </c>
      <c r="T205">
        <v>0</v>
      </c>
      <c r="U205">
        <v>0</v>
      </c>
      <c r="V205">
        <v>120</v>
      </c>
      <c r="W205">
        <v>540000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>
        <v>417</v>
      </c>
      <c r="B206" t="s">
        <v>149</v>
      </c>
      <c r="C206">
        <v>1300</v>
      </c>
      <c r="D206" t="s">
        <v>335</v>
      </c>
      <c r="F206" t="s">
        <v>83</v>
      </c>
      <c r="G206" t="s">
        <v>164</v>
      </c>
      <c r="H206" t="s">
        <v>151</v>
      </c>
      <c r="I206" t="s">
        <v>5</v>
      </c>
      <c r="J206" t="s">
        <v>152</v>
      </c>
      <c r="K206" t="s">
        <v>153</v>
      </c>
      <c r="L206">
        <v>251200185</v>
      </c>
      <c r="M206" s="84">
        <v>45998</v>
      </c>
      <c r="N206" s="84">
        <v>45998</v>
      </c>
      <c r="O206" t="s">
        <v>191</v>
      </c>
      <c r="P206" t="s">
        <v>192</v>
      </c>
      <c r="Q206">
        <v>4500</v>
      </c>
      <c r="R206">
        <v>20</v>
      </c>
      <c r="S206">
        <v>90000</v>
      </c>
      <c r="T206">
        <v>0</v>
      </c>
      <c r="U206">
        <v>0</v>
      </c>
      <c r="V206">
        <v>20</v>
      </c>
      <c r="W206">
        <v>90000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>
        <v>418</v>
      </c>
      <c r="B207" t="s">
        <v>149</v>
      </c>
      <c r="C207">
        <v>1308</v>
      </c>
      <c r="D207" t="s">
        <v>368</v>
      </c>
      <c r="F207" t="s">
        <v>49</v>
      </c>
      <c r="G207" t="s">
        <v>167</v>
      </c>
      <c r="H207" t="s">
        <v>151</v>
      </c>
      <c r="I207" t="s">
        <v>5</v>
      </c>
      <c r="J207" t="s">
        <v>152</v>
      </c>
      <c r="K207" t="s">
        <v>153</v>
      </c>
      <c r="L207">
        <v>251200186</v>
      </c>
      <c r="M207" s="84">
        <v>45998</v>
      </c>
      <c r="N207" s="84">
        <v>45998</v>
      </c>
      <c r="O207" t="s">
        <v>260</v>
      </c>
      <c r="P207" t="s">
        <v>261</v>
      </c>
      <c r="Q207">
        <v>4500</v>
      </c>
      <c r="R207">
        <v>8</v>
      </c>
      <c r="S207">
        <v>36000</v>
      </c>
      <c r="T207">
        <v>0</v>
      </c>
      <c r="U207">
        <v>0</v>
      </c>
      <c r="V207">
        <v>8</v>
      </c>
      <c r="W207">
        <v>36000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419</v>
      </c>
      <c r="B208" t="s">
        <v>149</v>
      </c>
      <c r="C208">
        <v>1308</v>
      </c>
      <c r="D208" t="s">
        <v>368</v>
      </c>
      <c r="F208" t="s">
        <v>49</v>
      </c>
      <c r="G208" t="s">
        <v>167</v>
      </c>
      <c r="H208" t="s">
        <v>151</v>
      </c>
      <c r="I208" t="s">
        <v>5</v>
      </c>
      <c r="J208" t="s">
        <v>152</v>
      </c>
      <c r="K208" t="s">
        <v>153</v>
      </c>
      <c r="L208">
        <v>251200186</v>
      </c>
      <c r="M208" s="84">
        <v>45998</v>
      </c>
      <c r="N208" s="84">
        <v>45998</v>
      </c>
      <c r="O208" t="s">
        <v>191</v>
      </c>
      <c r="P208" t="s">
        <v>192</v>
      </c>
      <c r="Q208">
        <v>4500</v>
      </c>
      <c r="R208">
        <v>16</v>
      </c>
      <c r="S208">
        <v>72000</v>
      </c>
      <c r="T208">
        <v>0</v>
      </c>
      <c r="U208">
        <v>0</v>
      </c>
      <c r="V208">
        <v>16</v>
      </c>
      <c r="W208">
        <v>72000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>
      <c r="A209">
        <v>424</v>
      </c>
      <c r="B209" t="s">
        <v>149</v>
      </c>
      <c r="C209">
        <v>1566</v>
      </c>
      <c r="D209" t="s">
        <v>376</v>
      </c>
      <c r="F209" t="s">
        <v>91</v>
      </c>
      <c r="G209" t="s">
        <v>202</v>
      </c>
      <c r="H209" t="s">
        <v>157</v>
      </c>
      <c r="I209" t="s">
        <v>4</v>
      </c>
      <c r="J209" t="s">
        <v>152</v>
      </c>
      <c r="K209" t="s">
        <v>159</v>
      </c>
      <c r="L209">
        <v>251200190</v>
      </c>
      <c r="M209" s="84">
        <v>45998</v>
      </c>
      <c r="N209" s="84">
        <v>45998</v>
      </c>
      <c r="O209" t="s">
        <v>256</v>
      </c>
      <c r="P209" t="s">
        <v>257</v>
      </c>
      <c r="Q209">
        <v>5500</v>
      </c>
      <c r="R209">
        <v>10</v>
      </c>
      <c r="S209">
        <v>55000</v>
      </c>
      <c r="T209">
        <v>0</v>
      </c>
      <c r="U209">
        <v>0</v>
      </c>
      <c r="V209">
        <v>10</v>
      </c>
      <c r="W209">
        <v>55000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>
      <c r="A210">
        <v>425</v>
      </c>
      <c r="B210" t="s">
        <v>149</v>
      </c>
      <c r="C210">
        <v>1484</v>
      </c>
      <c r="D210" t="s">
        <v>331</v>
      </c>
      <c r="F210" t="s">
        <v>71</v>
      </c>
      <c r="G210" t="s">
        <v>305</v>
      </c>
      <c r="H210" t="s">
        <v>157</v>
      </c>
      <c r="I210" t="s">
        <v>4</v>
      </c>
      <c r="J210" t="s">
        <v>152</v>
      </c>
      <c r="K210" t="s">
        <v>174</v>
      </c>
      <c r="L210">
        <v>251200191</v>
      </c>
      <c r="M210" s="84">
        <v>45998</v>
      </c>
      <c r="N210" s="84">
        <v>45998</v>
      </c>
      <c r="O210" t="s">
        <v>160</v>
      </c>
      <c r="P210" t="s">
        <v>161</v>
      </c>
      <c r="Q210">
        <v>5500</v>
      </c>
      <c r="R210">
        <v>5</v>
      </c>
      <c r="S210">
        <v>27500</v>
      </c>
      <c r="T210">
        <v>0</v>
      </c>
      <c r="U210">
        <v>0</v>
      </c>
      <c r="V210">
        <v>5</v>
      </c>
      <c r="W210">
        <v>27500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>
        <v>426</v>
      </c>
      <c r="B211" t="s">
        <v>149</v>
      </c>
      <c r="C211">
        <v>1497</v>
      </c>
      <c r="D211" t="s">
        <v>364</v>
      </c>
      <c r="F211" t="s">
        <v>7</v>
      </c>
      <c r="G211" t="s">
        <v>156</v>
      </c>
      <c r="H211" t="s">
        <v>157</v>
      </c>
      <c r="I211" t="s">
        <v>4</v>
      </c>
      <c r="J211" t="s">
        <v>152</v>
      </c>
      <c r="K211" t="s">
        <v>159</v>
      </c>
      <c r="L211">
        <v>251200192</v>
      </c>
      <c r="M211" s="84">
        <v>45998</v>
      </c>
      <c r="N211" s="84">
        <v>45998</v>
      </c>
      <c r="O211" t="s">
        <v>160</v>
      </c>
      <c r="P211" t="s">
        <v>161</v>
      </c>
      <c r="Q211">
        <v>5500</v>
      </c>
      <c r="R211">
        <v>12</v>
      </c>
      <c r="S211">
        <v>66000</v>
      </c>
      <c r="T211">
        <v>0</v>
      </c>
      <c r="U211">
        <v>0</v>
      </c>
      <c r="V211">
        <v>12</v>
      </c>
      <c r="W211">
        <v>66000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427</v>
      </c>
      <c r="B212" t="s">
        <v>149</v>
      </c>
      <c r="C212">
        <v>1282</v>
      </c>
      <c r="D212" t="s">
        <v>374</v>
      </c>
      <c r="F212" t="s">
        <v>111</v>
      </c>
      <c r="G212" t="s">
        <v>150</v>
      </c>
      <c r="H212" t="s">
        <v>151</v>
      </c>
      <c r="I212" t="s">
        <v>5</v>
      </c>
      <c r="J212" t="s">
        <v>152</v>
      </c>
      <c r="K212" t="s">
        <v>153</v>
      </c>
      <c r="L212">
        <v>251200193</v>
      </c>
      <c r="M212" s="84">
        <v>45998</v>
      </c>
      <c r="N212" s="84">
        <v>45998</v>
      </c>
      <c r="O212" t="s">
        <v>198</v>
      </c>
      <c r="P212" t="s">
        <v>199</v>
      </c>
      <c r="Q212">
        <v>4500</v>
      </c>
      <c r="R212">
        <v>30</v>
      </c>
      <c r="S212">
        <v>135000</v>
      </c>
      <c r="T212">
        <v>0</v>
      </c>
      <c r="U212">
        <v>0</v>
      </c>
      <c r="V212">
        <v>30</v>
      </c>
      <c r="W212">
        <v>135000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428</v>
      </c>
      <c r="B213" t="s">
        <v>149</v>
      </c>
      <c r="C213">
        <v>1282</v>
      </c>
      <c r="D213" t="s">
        <v>374</v>
      </c>
      <c r="F213" t="s">
        <v>111</v>
      </c>
      <c r="G213" t="s">
        <v>150</v>
      </c>
      <c r="H213" t="s">
        <v>151</v>
      </c>
      <c r="I213" t="s">
        <v>4</v>
      </c>
      <c r="J213" t="s">
        <v>152</v>
      </c>
      <c r="K213" t="s">
        <v>153</v>
      </c>
      <c r="L213">
        <v>251200194</v>
      </c>
      <c r="M213" s="84">
        <v>45998</v>
      </c>
      <c r="N213" s="84">
        <v>45998</v>
      </c>
      <c r="O213" t="s">
        <v>243</v>
      </c>
      <c r="P213" t="s">
        <v>244</v>
      </c>
      <c r="Q213">
        <v>5700</v>
      </c>
      <c r="R213">
        <v>20</v>
      </c>
      <c r="S213">
        <v>114000</v>
      </c>
      <c r="T213">
        <v>0</v>
      </c>
      <c r="U213">
        <v>0</v>
      </c>
      <c r="V213">
        <v>20</v>
      </c>
      <c r="W213">
        <v>114000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429</v>
      </c>
      <c r="B214" t="s">
        <v>149</v>
      </c>
      <c r="C214">
        <v>1282</v>
      </c>
      <c r="D214" t="s">
        <v>374</v>
      </c>
      <c r="F214" t="s">
        <v>111</v>
      </c>
      <c r="G214" t="s">
        <v>150</v>
      </c>
      <c r="H214" t="s">
        <v>151</v>
      </c>
      <c r="I214" t="s">
        <v>4</v>
      </c>
      <c r="J214" t="s">
        <v>152</v>
      </c>
      <c r="K214" t="s">
        <v>153</v>
      </c>
      <c r="L214">
        <v>251200194</v>
      </c>
      <c r="M214" s="84">
        <v>45998</v>
      </c>
      <c r="N214" s="84">
        <v>45998</v>
      </c>
      <c r="O214" t="s">
        <v>160</v>
      </c>
      <c r="P214" t="s">
        <v>161</v>
      </c>
      <c r="Q214">
        <v>5500</v>
      </c>
      <c r="R214">
        <v>30</v>
      </c>
      <c r="S214">
        <v>165000</v>
      </c>
      <c r="T214">
        <v>0</v>
      </c>
      <c r="U214">
        <v>0</v>
      </c>
      <c r="V214">
        <v>30</v>
      </c>
      <c r="W214">
        <v>165000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>
        <v>430</v>
      </c>
      <c r="B215" t="s">
        <v>149</v>
      </c>
      <c r="C215">
        <v>1282</v>
      </c>
      <c r="D215" t="s">
        <v>374</v>
      </c>
      <c r="F215" t="s">
        <v>111</v>
      </c>
      <c r="G215" t="s">
        <v>150</v>
      </c>
      <c r="H215" t="s">
        <v>151</v>
      </c>
      <c r="I215" t="s">
        <v>4</v>
      </c>
      <c r="J215" t="s">
        <v>152</v>
      </c>
      <c r="K215" t="s">
        <v>153</v>
      </c>
      <c r="L215">
        <v>251200194</v>
      </c>
      <c r="M215" s="84">
        <v>45998</v>
      </c>
      <c r="N215" s="84">
        <v>45998</v>
      </c>
      <c r="O215" t="s">
        <v>248</v>
      </c>
      <c r="P215" t="s">
        <v>249</v>
      </c>
      <c r="Q215">
        <v>5500</v>
      </c>
      <c r="R215">
        <v>25</v>
      </c>
      <c r="S215">
        <v>137500</v>
      </c>
      <c r="T215">
        <v>0</v>
      </c>
      <c r="U215">
        <v>0</v>
      </c>
      <c r="V215">
        <v>25</v>
      </c>
      <c r="W215">
        <v>137500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>
      <c r="A216">
        <v>431</v>
      </c>
      <c r="B216" t="s">
        <v>149</v>
      </c>
      <c r="C216">
        <v>1282</v>
      </c>
      <c r="D216" t="s">
        <v>374</v>
      </c>
      <c r="F216" t="s">
        <v>111</v>
      </c>
      <c r="G216" t="s">
        <v>150</v>
      </c>
      <c r="H216" t="s">
        <v>151</v>
      </c>
      <c r="I216" t="s">
        <v>4</v>
      </c>
      <c r="J216" t="s">
        <v>152</v>
      </c>
      <c r="K216" t="s">
        <v>153</v>
      </c>
      <c r="L216">
        <v>251200194</v>
      </c>
      <c r="M216" s="84">
        <v>45998</v>
      </c>
      <c r="N216" s="84">
        <v>45998</v>
      </c>
      <c r="O216" t="s">
        <v>262</v>
      </c>
      <c r="P216" t="s">
        <v>263</v>
      </c>
      <c r="Q216">
        <v>5500</v>
      </c>
      <c r="R216">
        <v>16</v>
      </c>
      <c r="S216">
        <v>88000</v>
      </c>
      <c r="T216">
        <v>0</v>
      </c>
      <c r="U216">
        <v>0</v>
      </c>
      <c r="V216">
        <v>16</v>
      </c>
      <c r="W216">
        <v>88000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432</v>
      </c>
      <c r="B217" t="s">
        <v>149</v>
      </c>
      <c r="C217">
        <v>1282</v>
      </c>
      <c r="D217" t="s">
        <v>374</v>
      </c>
      <c r="F217" t="s">
        <v>111</v>
      </c>
      <c r="G217" t="s">
        <v>150</v>
      </c>
      <c r="H217" t="s">
        <v>151</v>
      </c>
      <c r="I217" t="s">
        <v>5</v>
      </c>
      <c r="J217" t="s">
        <v>152</v>
      </c>
      <c r="K217" t="s">
        <v>153</v>
      </c>
      <c r="L217">
        <v>251200194</v>
      </c>
      <c r="M217" s="84">
        <v>45998</v>
      </c>
      <c r="N217" s="84">
        <v>45998</v>
      </c>
      <c r="O217" t="s">
        <v>198</v>
      </c>
      <c r="P217" t="s">
        <v>199</v>
      </c>
      <c r="Q217">
        <v>4500</v>
      </c>
      <c r="R217">
        <v>70</v>
      </c>
      <c r="S217">
        <v>315000</v>
      </c>
      <c r="T217">
        <v>0</v>
      </c>
      <c r="U217">
        <v>0</v>
      </c>
      <c r="V217">
        <v>70</v>
      </c>
      <c r="W217">
        <v>315000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>
        <v>433</v>
      </c>
      <c r="B218" t="s">
        <v>149</v>
      </c>
      <c r="C218">
        <v>1282</v>
      </c>
      <c r="D218" t="s">
        <v>374</v>
      </c>
      <c r="F218" t="s">
        <v>111</v>
      </c>
      <c r="G218" t="s">
        <v>150</v>
      </c>
      <c r="H218" t="s">
        <v>151</v>
      </c>
      <c r="I218" t="s">
        <v>4</v>
      </c>
      <c r="J218" t="s">
        <v>152</v>
      </c>
      <c r="K218" t="s">
        <v>153</v>
      </c>
      <c r="L218">
        <v>251200195</v>
      </c>
      <c r="M218" s="84">
        <v>45998</v>
      </c>
      <c r="N218" s="84">
        <v>45998</v>
      </c>
      <c r="O218" t="s">
        <v>262</v>
      </c>
      <c r="P218" t="s">
        <v>263</v>
      </c>
      <c r="Q218">
        <v>5500</v>
      </c>
      <c r="R218">
        <v>9</v>
      </c>
      <c r="S218">
        <v>49500</v>
      </c>
      <c r="T218">
        <v>0</v>
      </c>
      <c r="U218">
        <v>0</v>
      </c>
      <c r="V218">
        <v>9</v>
      </c>
      <c r="W218">
        <v>49500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434</v>
      </c>
      <c r="B219" t="s">
        <v>149</v>
      </c>
      <c r="C219">
        <v>1290</v>
      </c>
      <c r="D219" t="s">
        <v>375</v>
      </c>
      <c r="F219" t="s">
        <v>43</v>
      </c>
      <c r="G219" t="s">
        <v>150</v>
      </c>
      <c r="H219" t="s">
        <v>151</v>
      </c>
      <c r="I219" t="s">
        <v>5</v>
      </c>
      <c r="J219" t="s">
        <v>152</v>
      </c>
      <c r="K219" t="s">
        <v>153</v>
      </c>
      <c r="L219">
        <v>251200196</v>
      </c>
      <c r="M219" s="84">
        <v>45998</v>
      </c>
      <c r="N219" s="84">
        <v>45998</v>
      </c>
      <c r="O219" t="s">
        <v>191</v>
      </c>
      <c r="P219" t="s">
        <v>192</v>
      </c>
      <c r="Q219">
        <v>4500</v>
      </c>
      <c r="R219">
        <v>12</v>
      </c>
      <c r="S219">
        <v>54000</v>
      </c>
      <c r="T219">
        <v>0</v>
      </c>
      <c r="U219">
        <v>0</v>
      </c>
      <c r="V219">
        <v>12</v>
      </c>
      <c r="W219">
        <v>54000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>
        <v>440</v>
      </c>
      <c r="B220" t="s">
        <v>149</v>
      </c>
      <c r="C220">
        <v>1551</v>
      </c>
      <c r="D220" t="s">
        <v>316</v>
      </c>
      <c r="F220" t="s">
        <v>111</v>
      </c>
      <c r="G220" t="s">
        <v>150</v>
      </c>
      <c r="H220" t="s">
        <v>151</v>
      </c>
      <c r="I220" t="s">
        <v>4</v>
      </c>
      <c r="J220" t="s">
        <v>152</v>
      </c>
      <c r="K220" t="s">
        <v>153</v>
      </c>
      <c r="L220">
        <v>251200202</v>
      </c>
      <c r="M220" s="84">
        <v>45999</v>
      </c>
      <c r="N220" s="84">
        <v>45999</v>
      </c>
      <c r="O220" t="s">
        <v>160</v>
      </c>
      <c r="P220" t="s">
        <v>161</v>
      </c>
      <c r="Q220">
        <v>5500</v>
      </c>
      <c r="R220">
        <v>24</v>
      </c>
      <c r="S220">
        <v>132000</v>
      </c>
      <c r="T220">
        <v>0</v>
      </c>
      <c r="U220">
        <v>0</v>
      </c>
      <c r="V220">
        <v>24</v>
      </c>
      <c r="W220">
        <v>132000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441</v>
      </c>
      <c r="B221" t="s">
        <v>149</v>
      </c>
      <c r="C221">
        <v>1519</v>
      </c>
      <c r="D221" t="s">
        <v>353</v>
      </c>
      <c r="F221" t="s">
        <v>111</v>
      </c>
      <c r="G221" t="s">
        <v>150</v>
      </c>
      <c r="H221" t="s">
        <v>151</v>
      </c>
      <c r="I221" t="s">
        <v>4</v>
      </c>
      <c r="J221" t="s">
        <v>152</v>
      </c>
      <c r="K221" t="s">
        <v>153</v>
      </c>
      <c r="L221">
        <v>251200203</v>
      </c>
      <c r="M221" s="84">
        <v>45999</v>
      </c>
      <c r="N221" s="84">
        <v>45999</v>
      </c>
      <c r="O221" t="s">
        <v>219</v>
      </c>
      <c r="P221" t="s">
        <v>220</v>
      </c>
      <c r="Q221">
        <v>5500</v>
      </c>
      <c r="R221">
        <v>8</v>
      </c>
      <c r="S221">
        <v>44000</v>
      </c>
      <c r="T221">
        <v>0</v>
      </c>
      <c r="U221">
        <v>0</v>
      </c>
      <c r="V221">
        <v>8</v>
      </c>
      <c r="W221">
        <v>44000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>
      <c r="A222">
        <v>442</v>
      </c>
      <c r="B222" t="s">
        <v>149</v>
      </c>
      <c r="C222">
        <v>1306</v>
      </c>
      <c r="D222" t="s">
        <v>377</v>
      </c>
      <c r="F222" t="s">
        <v>28</v>
      </c>
      <c r="G222" t="s">
        <v>164</v>
      </c>
      <c r="H222" t="s">
        <v>151</v>
      </c>
      <c r="I222" t="s">
        <v>5</v>
      </c>
      <c r="J222" t="s">
        <v>152</v>
      </c>
      <c r="K222" t="s">
        <v>153</v>
      </c>
      <c r="L222">
        <v>251200204</v>
      </c>
      <c r="M222" s="84">
        <v>45999</v>
      </c>
      <c r="N222" s="84">
        <v>45999</v>
      </c>
      <c r="O222" t="s">
        <v>253</v>
      </c>
      <c r="P222" t="s">
        <v>254</v>
      </c>
      <c r="Q222">
        <v>4500</v>
      </c>
      <c r="R222">
        <v>4</v>
      </c>
      <c r="S222">
        <v>18000</v>
      </c>
      <c r="T222">
        <v>0</v>
      </c>
      <c r="U222">
        <v>0</v>
      </c>
      <c r="V222">
        <v>4</v>
      </c>
      <c r="W222">
        <v>18000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443</v>
      </c>
      <c r="B223" t="s">
        <v>149</v>
      </c>
      <c r="C223">
        <v>1306</v>
      </c>
      <c r="D223" t="s">
        <v>377</v>
      </c>
      <c r="F223" t="s">
        <v>28</v>
      </c>
      <c r="G223" t="s">
        <v>164</v>
      </c>
      <c r="H223" t="s">
        <v>151</v>
      </c>
      <c r="I223" t="s">
        <v>5</v>
      </c>
      <c r="J223" t="s">
        <v>152</v>
      </c>
      <c r="K223" t="s">
        <v>153</v>
      </c>
      <c r="L223">
        <v>251200204</v>
      </c>
      <c r="M223" s="84">
        <v>45999</v>
      </c>
      <c r="N223" s="84">
        <v>45999</v>
      </c>
      <c r="O223" t="s">
        <v>191</v>
      </c>
      <c r="P223" t="s">
        <v>192</v>
      </c>
      <c r="Q223">
        <v>4500</v>
      </c>
      <c r="R223">
        <v>20</v>
      </c>
      <c r="S223">
        <v>90000</v>
      </c>
      <c r="T223">
        <v>0</v>
      </c>
      <c r="U223">
        <v>0</v>
      </c>
      <c r="V223">
        <v>20</v>
      </c>
      <c r="W223">
        <v>90000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444</v>
      </c>
      <c r="B224" t="s">
        <v>149</v>
      </c>
      <c r="C224">
        <v>1306</v>
      </c>
      <c r="D224" t="s">
        <v>377</v>
      </c>
      <c r="F224" t="s">
        <v>28</v>
      </c>
      <c r="G224" t="s">
        <v>164</v>
      </c>
      <c r="H224" t="s">
        <v>151</v>
      </c>
      <c r="I224" t="s">
        <v>4</v>
      </c>
      <c r="J224" t="s">
        <v>152</v>
      </c>
      <c r="K224" t="s">
        <v>153</v>
      </c>
      <c r="L224">
        <v>251200204</v>
      </c>
      <c r="M224" s="84">
        <v>45999</v>
      </c>
      <c r="N224" s="84">
        <v>45999</v>
      </c>
      <c r="O224" t="s">
        <v>179</v>
      </c>
      <c r="P224" t="s">
        <v>180</v>
      </c>
      <c r="Q224">
        <v>5500</v>
      </c>
      <c r="R224">
        <v>10</v>
      </c>
      <c r="S224">
        <v>55000</v>
      </c>
      <c r="T224">
        <v>0</v>
      </c>
      <c r="U224">
        <v>0</v>
      </c>
      <c r="V224">
        <v>10</v>
      </c>
      <c r="W224">
        <v>55000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>
        <v>445</v>
      </c>
      <c r="B225" t="s">
        <v>149</v>
      </c>
      <c r="C225">
        <v>1306</v>
      </c>
      <c r="D225" t="s">
        <v>377</v>
      </c>
      <c r="F225" t="s">
        <v>28</v>
      </c>
      <c r="G225" t="s">
        <v>164</v>
      </c>
      <c r="H225" t="s">
        <v>151</v>
      </c>
      <c r="I225" t="s">
        <v>5</v>
      </c>
      <c r="J225" t="s">
        <v>152</v>
      </c>
      <c r="K225" t="s">
        <v>153</v>
      </c>
      <c r="L225">
        <v>251200204</v>
      </c>
      <c r="M225" s="84">
        <v>45999</v>
      </c>
      <c r="N225" s="84">
        <v>45999</v>
      </c>
      <c r="O225" t="s">
        <v>194</v>
      </c>
      <c r="P225" t="s">
        <v>195</v>
      </c>
      <c r="Q225">
        <v>4500</v>
      </c>
      <c r="R225">
        <v>4</v>
      </c>
      <c r="S225">
        <v>18000</v>
      </c>
      <c r="T225">
        <v>0</v>
      </c>
      <c r="U225">
        <v>0</v>
      </c>
      <c r="V225">
        <v>4</v>
      </c>
      <c r="W225">
        <v>18000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446</v>
      </c>
      <c r="B226" t="s">
        <v>149</v>
      </c>
      <c r="C226">
        <v>1306</v>
      </c>
      <c r="D226" t="s">
        <v>377</v>
      </c>
      <c r="F226" t="s">
        <v>28</v>
      </c>
      <c r="G226" t="s">
        <v>164</v>
      </c>
      <c r="H226" t="s">
        <v>151</v>
      </c>
      <c r="I226" t="s">
        <v>5</v>
      </c>
      <c r="J226" t="s">
        <v>152</v>
      </c>
      <c r="K226" t="s">
        <v>153</v>
      </c>
      <c r="L226">
        <v>251200204</v>
      </c>
      <c r="M226" s="84">
        <v>45999</v>
      </c>
      <c r="N226" s="84">
        <v>45999</v>
      </c>
      <c r="O226" t="s">
        <v>260</v>
      </c>
      <c r="P226" t="s">
        <v>261</v>
      </c>
      <c r="Q226">
        <v>4500</v>
      </c>
      <c r="R226">
        <v>12</v>
      </c>
      <c r="S226">
        <v>54000</v>
      </c>
      <c r="T226">
        <v>0</v>
      </c>
      <c r="U226">
        <v>0</v>
      </c>
      <c r="V226">
        <v>12</v>
      </c>
      <c r="W226">
        <v>54000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449</v>
      </c>
      <c r="B227" t="s">
        <v>149</v>
      </c>
      <c r="C227">
        <v>1326</v>
      </c>
      <c r="D227" t="s">
        <v>338</v>
      </c>
      <c r="F227" t="s">
        <v>15</v>
      </c>
      <c r="G227" t="s">
        <v>193</v>
      </c>
      <c r="H227" t="s">
        <v>151</v>
      </c>
      <c r="I227" t="s">
        <v>5</v>
      </c>
      <c r="J227" t="s">
        <v>152</v>
      </c>
      <c r="K227" t="s">
        <v>153</v>
      </c>
      <c r="L227">
        <v>251200206</v>
      </c>
      <c r="M227" s="84">
        <v>45999</v>
      </c>
      <c r="N227" s="84">
        <v>45999</v>
      </c>
      <c r="O227" t="s">
        <v>253</v>
      </c>
      <c r="P227" t="s">
        <v>254</v>
      </c>
      <c r="Q227">
        <v>4500</v>
      </c>
      <c r="R227">
        <v>8</v>
      </c>
      <c r="S227">
        <v>36000</v>
      </c>
      <c r="T227">
        <v>0</v>
      </c>
      <c r="U227">
        <v>0</v>
      </c>
      <c r="V227">
        <v>8</v>
      </c>
      <c r="W227">
        <v>36000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450</v>
      </c>
      <c r="B228" t="s">
        <v>149</v>
      </c>
      <c r="C228">
        <v>1326</v>
      </c>
      <c r="D228" t="s">
        <v>338</v>
      </c>
      <c r="F228" t="s">
        <v>15</v>
      </c>
      <c r="G228" t="s">
        <v>193</v>
      </c>
      <c r="H228" t="s">
        <v>151</v>
      </c>
      <c r="I228" t="s">
        <v>5</v>
      </c>
      <c r="J228" t="s">
        <v>152</v>
      </c>
      <c r="K228" t="s">
        <v>153</v>
      </c>
      <c r="L228">
        <v>251200206</v>
      </c>
      <c r="M228" s="84">
        <v>45999</v>
      </c>
      <c r="N228" s="84">
        <v>45999</v>
      </c>
      <c r="O228" t="s">
        <v>260</v>
      </c>
      <c r="P228" t="s">
        <v>261</v>
      </c>
      <c r="Q228">
        <v>4500</v>
      </c>
      <c r="R228">
        <v>8</v>
      </c>
      <c r="S228">
        <v>36000</v>
      </c>
      <c r="T228">
        <v>0</v>
      </c>
      <c r="U228">
        <v>0</v>
      </c>
      <c r="V228">
        <v>8</v>
      </c>
      <c r="W228">
        <v>36000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451</v>
      </c>
      <c r="B229" t="s">
        <v>149</v>
      </c>
      <c r="C229">
        <v>1326</v>
      </c>
      <c r="D229" t="s">
        <v>338</v>
      </c>
      <c r="F229" t="s">
        <v>15</v>
      </c>
      <c r="G229" t="s">
        <v>193</v>
      </c>
      <c r="H229" t="s">
        <v>151</v>
      </c>
      <c r="I229" t="s">
        <v>5</v>
      </c>
      <c r="J229" t="s">
        <v>152</v>
      </c>
      <c r="K229" t="s">
        <v>153</v>
      </c>
      <c r="L229">
        <v>251200206</v>
      </c>
      <c r="M229" s="84">
        <v>45999</v>
      </c>
      <c r="N229" s="84">
        <v>45999</v>
      </c>
      <c r="O229" t="s">
        <v>191</v>
      </c>
      <c r="P229" t="s">
        <v>192</v>
      </c>
      <c r="Q229">
        <v>4500</v>
      </c>
      <c r="R229">
        <v>20</v>
      </c>
      <c r="S229">
        <v>90000</v>
      </c>
      <c r="T229">
        <v>0</v>
      </c>
      <c r="U229">
        <v>0</v>
      </c>
      <c r="V229">
        <v>20</v>
      </c>
      <c r="W229">
        <v>90000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>
        <v>454</v>
      </c>
      <c r="B230" t="s">
        <v>149</v>
      </c>
      <c r="C230">
        <v>1471</v>
      </c>
      <c r="D230" t="s">
        <v>369</v>
      </c>
      <c r="F230" t="s">
        <v>73</v>
      </c>
      <c r="G230" t="s">
        <v>185</v>
      </c>
      <c r="H230" t="s">
        <v>151</v>
      </c>
      <c r="I230" t="s">
        <v>4</v>
      </c>
      <c r="J230" t="s">
        <v>152</v>
      </c>
      <c r="K230" t="s">
        <v>153</v>
      </c>
      <c r="L230">
        <v>251200209</v>
      </c>
      <c r="M230" s="84">
        <v>45999</v>
      </c>
      <c r="N230" s="84">
        <v>45999</v>
      </c>
      <c r="O230" t="s">
        <v>168</v>
      </c>
      <c r="P230" t="s">
        <v>169</v>
      </c>
      <c r="Q230">
        <v>5500</v>
      </c>
      <c r="R230">
        <v>5</v>
      </c>
      <c r="S230">
        <v>27500</v>
      </c>
      <c r="T230">
        <v>0</v>
      </c>
      <c r="U230">
        <v>0</v>
      </c>
      <c r="V230">
        <v>5</v>
      </c>
      <c r="W230">
        <v>27500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>
        <v>466</v>
      </c>
      <c r="B231" t="s">
        <v>149</v>
      </c>
      <c r="C231">
        <v>1602</v>
      </c>
      <c r="D231" t="s">
        <v>378</v>
      </c>
      <c r="F231" t="s">
        <v>10</v>
      </c>
      <c r="G231" t="s">
        <v>172</v>
      </c>
      <c r="H231" t="s">
        <v>157</v>
      </c>
      <c r="I231" t="s">
        <v>4</v>
      </c>
      <c r="J231" t="s">
        <v>152</v>
      </c>
      <c r="K231" t="s">
        <v>174</v>
      </c>
      <c r="L231">
        <v>251200217</v>
      </c>
      <c r="M231" s="84">
        <v>45999</v>
      </c>
      <c r="N231" s="84">
        <v>45999</v>
      </c>
      <c r="O231" t="s">
        <v>160</v>
      </c>
      <c r="P231" t="s">
        <v>161</v>
      </c>
      <c r="Q231">
        <v>5500</v>
      </c>
      <c r="R231">
        <v>4</v>
      </c>
      <c r="S231">
        <v>22000</v>
      </c>
      <c r="T231">
        <v>0</v>
      </c>
      <c r="U231">
        <v>0</v>
      </c>
      <c r="V231">
        <v>4</v>
      </c>
      <c r="W231">
        <v>22000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>
        <v>474</v>
      </c>
      <c r="B232" t="s">
        <v>149</v>
      </c>
      <c r="C232">
        <v>1444</v>
      </c>
      <c r="D232" t="s">
        <v>341</v>
      </c>
      <c r="F232" t="s">
        <v>28</v>
      </c>
      <c r="G232" t="s">
        <v>164</v>
      </c>
      <c r="H232" t="s">
        <v>151</v>
      </c>
      <c r="I232" t="s">
        <v>4</v>
      </c>
      <c r="J232" t="s">
        <v>152</v>
      </c>
      <c r="K232" t="s">
        <v>153</v>
      </c>
      <c r="L232">
        <v>251200223</v>
      </c>
      <c r="M232" s="84">
        <v>45999</v>
      </c>
      <c r="N232" s="84">
        <v>45999</v>
      </c>
      <c r="O232" t="s">
        <v>179</v>
      </c>
      <c r="P232" t="s">
        <v>180</v>
      </c>
      <c r="Q232">
        <v>5500</v>
      </c>
      <c r="R232">
        <v>1</v>
      </c>
      <c r="S232">
        <v>5500</v>
      </c>
      <c r="T232">
        <v>0</v>
      </c>
      <c r="U232">
        <v>0</v>
      </c>
      <c r="V232">
        <v>1</v>
      </c>
      <c r="W232">
        <v>5500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475</v>
      </c>
      <c r="B233" t="s">
        <v>149</v>
      </c>
      <c r="C233">
        <v>1444</v>
      </c>
      <c r="D233" t="s">
        <v>341</v>
      </c>
      <c r="F233" t="s">
        <v>28</v>
      </c>
      <c r="G233" t="s">
        <v>164</v>
      </c>
      <c r="H233" t="s">
        <v>151</v>
      </c>
      <c r="I233" t="s">
        <v>4</v>
      </c>
      <c r="J233" t="s">
        <v>152</v>
      </c>
      <c r="K233" t="s">
        <v>153</v>
      </c>
      <c r="L233">
        <v>251200224</v>
      </c>
      <c r="M233" s="84">
        <v>45999</v>
      </c>
      <c r="N233" s="84">
        <v>45999</v>
      </c>
      <c r="O233" t="s">
        <v>179</v>
      </c>
      <c r="P233" t="s">
        <v>180</v>
      </c>
      <c r="Q233">
        <v>5500</v>
      </c>
      <c r="R233">
        <v>9</v>
      </c>
      <c r="S233">
        <v>49500</v>
      </c>
      <c r="T233">
        <v>0</v>
      </c>
      <c r="U233">
        <v>0</v>
      </c>
      <c r="V233">
        <v>9</v>
      </c>
      <c r="W233">
        <v>49500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477</v>
      </c>
      <c r="B234" t="s">
        <v>149</v>
      </c>
      <c r="C234">
        <v>1282</v>
      </c>
      <c r="D234" t="s">
        <v>374</v>
      </c>
      <c r="F234" t="s">
        <v>111</v>
      </c>
      <c r="G234" t="s">
        <v>150</v>
      </c>
      <c r="H234" t="s">
        <v>151</v>
      </c>
      <c r="I234" t="s">
        <v>5</v>
      </c>
      <c r="J234" t="s">
        <v>152</v>
      </c>
      <c r="K234" t="s">
        <v>153</v>
      </c>
      <c r="L234">
        <v>251200226</v>
      </c>
      <c r="M234" s="84">
        <v>45999</v>
      </c>
      <c r="N234" s="84">
        <v>45999</v>
      </c>
      <c r="O234" t="s">
        <v>198</v>
      </c>
      <c r="P234" t="s">
        <v>199</v>
      </c>
      <c r="Q234">
        <v>4500</v>
      </c>
      <c r="R234">
        <v>8</v>
      </c>
      <c r="S234">
        <v>36000</v>
      </c>
      <c r="T234">
        <v>0</v>
      </c>
      <c r="U234">
        <v>0</v>
      </c>
      <c r="V234">
        <v>8</v>
      </c>
      <c r="W234">
        <v>36000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478</v>
      </c>
      <c r="B235" t="s">
        <v>149</v>
      </c>
      <c r="C235">
        <v>1282</v>
      </c>
      <c r="D235" t="s">
        <v>374</v>
      </c>
      <c r="F235" t="s">
        <v>111</v>
      </c>
      <c r="G235" t="s">
        <v>150</v>
      </c>
      <c r="H235" t="s">
        <v>151</v>
      </c>
      <c r="I235" t="s">
        <v>4</v>
      </c>
      <c r="J235" t="s">
        <v>152</v>
      </c>
      <c r="K235" t="s">
        <v>153</v>
      </c>
      <c r="L235">
        <v>251200227</v>
      </c>
      <c r="M235" s="84">
        <v>45999</v>
      </c>
      <c r="N235" s="84">
        <v>45999</v>
      </c>
      <c r="O235" t="s">
        <v>221</v>
      </c>
      <c r="P235" t="s">
        <v>222</v>
      </c>
      <c r="Q235">
        <v>5500</v>
      </c>
      <c r="R235">
        <v>20</v>
      </c>
      <c r="S235">
        <v>110000</v>
      </c>
      <c r="T235">
        <v>0</v>
      </c>
      <c r="U235">
        <v>0</v>
      </c>
      <c r="V235">
        <v>20</v>
      </c>
      <c r="W235">
        <v>110000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479</v>
      </c>
      <c r="B236" t="s">
        <v>149</v>
      </c>
      <c r="C236">
        <v>1282</v>
      </c>
      <c r="D236" t="s">
        <v>374</v>
      </c>
      <c r="F236" t="s">
        <v>111</v>
      </c>
      <c r="G236" t="s">
        <v>150</v>
      </c>
      <c r="H236" t="s">
        <v>151</v>
      </c>
      <c r="I236" t="s">
        <v>4</v>
      </c>
      <c r="J236" t="s">
        <v>152</v>
      </c>
      <c r="K236" t="s">
        <v>153</v>
      </c>
      <c r="L236">
        <v>251200227</v>
      </c>
      <c r="M236" s="84">
        <v>45999</v>
      </c>
      <c r="N236" s="84">
        <v>45999</v>
      </c>
      <c r="O236" t="s">
        <v>262</v>
      </c>
      <c r="P236" t="s">
        <v>263</v>
      </c>
      <c r="Q236">
        <v>5500</v>
      </c>
      <c r="R236">
        <v>10</v>
      </c>
      <c r="S236">
        <v>55000</v>
      </c>
      <c r="T236">
        <v>0</v>
      </c>
      <c r="U236">
        <v>0</v>
      </c>
      <c r="V236">
        <v>10</v>
      </c>
      <c r="W236">
        <v>55000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480</v>
      </c>
      <c r="B237" t="s">
        <v>149</v>
      </c>
      <c r="C237">
        <v>1530</v>
      </c>
      <c r="D237" t="s">
        <v>379</v>
      </c>
      <c r="F237" t="s">
        <v>111</v>
      </c>
      <c r="G237" t="s">
        <v>150</v>
      </c>
      <c r="H237" t="s">
        <v>151</v>
      </c>
      <c r="I237" t="s">
        <v>4</v>
      </c>
      <c r="J237" t="s">
        <v>152</v>
      </c>
      <c r="K237" t="s">
        <v>153</v>
      </c>
      <c r="L237">
        <v>251200228</v>
      </c>
      <c r="M237" s="84">
        <v>45999</v>
      </c>
      <c r="N237" s="84">
        <v>45999</v>
      </c>
      <c r="O237" t="s">
        <v>380</v>
      </c>
      <c r="P237" t="s">
        <v>381</v>
      </c>
      <c r="Q237">
        <v>5500</v>
      </c>
      <c r="R237">
        <v>10</v>
      </c>
      <c r="S237">
        <v>55000</v>
      </c>
      <c r="T237">
        <v>0</v>
      </c>
      <c r="U237">
        <v>0</v>
      </c>
      <c r="V237">
        <v>10</v>
      </c>
      <c r="W237">
        <v>55000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481</v>
      </c>
      <c r="B238" t="s">
        <v>149</v>
      </c>
      <c r="C238">
        <v>1530</v>
      </c>
      <c r="D238" t="s">
        <v>379</v>
      </c>
      <c r="F238" t="s">
        <v>111</v>
      </c>
      <c r="G238" t="s">
        <v>150</v>
      </c>
      <c r="H238" t="s">
        <v>151</v>
      </c>
      <c r="I238" t="s">
        <v>4</v>
      </c>
      <c r="J238" t="s">
        <v>152</v>
      </c>
      <c r="K238" t="s">
        <v>153</v>
      </c>
      <c r="L238">
        <v>251200228</v>
      </c>
      <c r="M238" s="84">
        <v>45999</v>
      </c>
      <c r="N238" s="84">
        <v>45999</v>
      </c>
      <c r="O238" t="s">
        <v>321</v>
      </c>
      <c r="P238" t="s">
        <v>322</v>
      </c>
      <c r="Q238">
        <v>5500</v>
      </c>
      <c r="R238">
        <v>28</v>
      </c>
      <c r="S238">
        <v>154000</v>
      </c>
      <c r="T238">
        <v>0</v>
      </c>
      <c r="U238">
        <v>0</v>
      </c>
      <c r="V238">
        <v>28</v>
      </c>
      <c r="W238">
        <v>154000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>
        <v>482</v>
      </c>
      <c r="B239" t="s">
        <v>149</v>
      </c>
      <c r="C239">
        <v>1530</v>
      </c>
      <c r="D239" t="s">
        <v>379</v>
      </c>
      <c r="F239" t="s">
        <v>111</v>
      </c>
      <c r="G239" t="s">
        <v>150</v>
      </c>
      <c r="H239" t="s">
        <v>151</v>
      </c>
      <c r="I239" t="s">
        <v>4</v>
      </c>
      <c r="J239" t="s">
        <v>152</v>
      </c>
      <c r="K239" t="s">
        <v>153</v>
      </c>
      <c r="L239">
        <v>251200229</v>
      </c>
      <c r="M239" s="84">
        <v>45999</v>
      </c>
      <c r="N239" s="84">
        <v>45999</v>
      </c>
      <c r="O239" t="s">
        <v>321</v>
      </c>
      <c r="P239" t="s">
        <v>322</v>
      </c>
      <c r="Q239">
        <v>5500</v>
      </c>
      <c r="R239">
        <v>10</v>
      </c>
      <c r="S239">
        <v>55000</v>
      </c>
      <c r="T239">
        <v>0</v>
      </c>
      <c r="U239">
        <v>0</v>
      </c>
      <c r="V239">
        <v>10</v>
      </c>
      <c r="W239">
        <v>55000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483</v>
      </c>
      <c r="B240" t="s">
        <v>149</v>
      </c>
      <c r="C240">
        <v>1530</v>
      </c>
      <c r="D240" t="s">
        <v>379</v>
      </c>
      <c r="F240" t="s">
        <v>111</v>
      </c>
      <c r="G240" t="s">
        <v>150</v>
      </c>
      <c r="H240" t="s">
        <v>151</v>
      </c>
      <c r="I240" t="s">
        <v>4</v>
      </c>
      <c r="J240" t="s">
        <v>152</v>
      </c>
      <c r="K240" t="s">
        <v>153</v>
      </c>
      <c r="L240">
        <v>251200230</v>
      </c>
      <c r="M240" s="84">
        <v>45999</v>
      </c>
      <c r="N240" s="84">
        <v>45999</v>
      </c>
      <c r="O240" t="s">
        <v>321</v>
      </c>
      <c r="P240" t="s">
        <v>322</v>
      </c>
      <c r="Q240">
        <v>5500</v>
      </c>
      <c r="R240">
        <v>12</v>
      </c>
      <c r="S240">
        <v>66000</v>
      </c>
      <c r="T240">
        <v>0</v>
      </c>
      <c r="U240">
        <v>0</v>
      </c>
      <c r="V240">
        <v>12</v>
      </c>
      <c r="W240">
        <v>66000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486</v>
      </c>
      <c r="B241" t="s">
        <v>149</v>
      </c>
      <c r="C241">
        <v>1553</v>
      </c>
      <c r="D241" t="s">
        <v>317</v>
      </c>
      <c r="F241" t="s">
        <v>43</v>
      </c>
      <c r="G241" t="s">
        <v>150</v>
      </c>
      <c r="H241" t="s">
        <v>151</v>
      </c>
      <c r="I241" t="s">
        <v>4</v>
      </c>
      <c r="J241" t="s">
        <v>152</v>
      </c>
      <c r="K241" t="s">
        <v>153</v>
      </c>
      <c r="L241">
        <v>251200233</v>
      </c>
      <c r="M241" s="84">
        <v>46000</v>
      </c>
      <c r="N241" s="84">
        <v>46000</v>
      </c>
      <c r="O241" t="s">
        <v>160</v>
      </c>
      <c r="P241" t="s">
        <v>161</v>
      </c>
      <c r="Q241">
        <v>5500</v>
      </c>
      <c r="R241">
        <v>20</v>
      </c>
      <c r="S241">
        <v>110000</v>
      </c>
      <c r="T241">
        <v>0</v>
      </c>
      <c r="U241">
        <v>0</v>
      </c>
      <c r="V241">
        <v>20</v>
      </c>
      <c r="W241">
        <v>110000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>
        <v>487</v>
      </c>
      <c r="B242" t="s">
        <v>149</v>
      </c>
      <c r="C242">
        <v>1553</v>
      </c>
      <c r="D242" t="s">
        <v>317</v>
      </c>
      <c r="F242" t="s">
        <v>43</v>
      </c>
      <c r="G242" t="s">
        <v>150</v>
      </c>
      <c r="H242" t="s">
        <v>151</v>
      </c>
      <c r="I242" t="s">
        <v>5</v>
      </c>
      <c r="J242" t="s">
        <v>152</v>
      </c>
      <c r="K242" t="s">
        <v>153</v>
      </c>
      <c r="L242">
        <v>251200233</v>
      </c>
      <c r="M242" s="84">
        <v>46000</v>
      </c>
      <c r="N242" s="84">
        <v>46000</v>
      </c>
      <c r="O242" t="s">
        <v>191</v>
      </c>
      <c r="P242" t="s">
        <v>192</v>
      </c>
      <c r="Q242">
        <v>4500</v>
      </c>
      <c r="R242">
        <v>12</v>
      </c>
      <c r="S242">
        <v>54000</v>
      </c>
      <c r="T242">
        <v>0</v>
      </c>
      <c r="U242">
        <v>0</v>
      </c>
      <c r="V242">
        <v>12</v>
      </c>
      <c r="W242">
        <v>54000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488</v>
      </c>
      <c r="B243" t="s">
        <v>149</v>
      </c>
      <c r="C243">
        <v>1288</v>
      </c>
      <c r="D243" t="s">
        <v>367</v>
      </c>
      <c r="F243" t="s">
        <v>43</v>
      </c>
      <c r="G243" t="s">
        <v>150</v>
      </c>
      <c r="H243" t="s">
        <v>151</v>
      </c>
      <c r="I243" t="s">
        <v>4</v>
      </c>
      <c r="J243" t="s">
        <v>152</v>
      </c>
      <c r="K243" t="s">
        <v>153</v>
      </c>
      <c r="L243">
        <v>251200234</v>
      </c>
      <c r="M243" s="84">
        <v>46000</v>
      </c>
      <c r="N243" s="84">
        <v>46000</v>
      </c>
      <c r="O243" t="s">
        <v>219</v>
      </c>
      <c r="P243" t="s">
        <v>220</v>
      </c>
      <c r="Q243">
        <v>5500</v>
      </c>
      <c r="R243">
        <v>5</v>
      </c>
      <c r="S243">
        <v>27500</v>
      </c>
      <c r="T243">
        <v>0</v>
      </c>
      <c r="U243">
        <v>0</v>
      </c>
      <c r="V243">
        <v>5</v>
      </c>
      <c r="W243">
        <v>27500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489</v>
      </c>
      <c r="B244" t="s">
        <v>149</v>
      </c>
      <c r="C244">
        <v>1326</v>
      </c>
      <c r="D244" t="s">
        <v>338</v>
      </c>
      <c r="F244" t="s">
        <v>15</v>
      </c>
      <c r="G244" t="s">
        <v>193</v>
      </c>
      <c r="H244" t="s">
        <v>151</v>
      </c>
      <c r="I244" t="s">
        <v>4</v>
      </c>
      <c r="J244" t="s">
        <v>152</v>
      </c>
      <c r="K244" t="s">
        <v>153</v>
      </c>
      <c r="L244">
        <v>251200235</v>
      </c>
      <c r="M244" s="84">
        <v>46000</v>
      </c>
      <c r="N244" s="84">
        <v>46000</v>
      </c>
      <c r="O244" t="s">
        <v>160</v>
      </c>
      <c r="P244" t="s">
        <v>161</v>
      </c>
      <c r="Q244">
        <v>5500</v>
      </c>
      <c r="R244">
        <v>15</v>
      </c>
      <c r="S244">
        <v>82500</v>
      </c>
      <c r="T244">
        <v>0</v>
      </c>
      <c r="U244">
        <v>0</v>
      </c>
      <c r="V244">
        <v>15</v>
      </c>
      <c r="W244">
        <v>82500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490</v>
      </c>
      <c r="B245" t="s">
        <v>149</v>
      </c>
      <c r="C245">
        <v>1326</v>
      </c>
      <c r="D245" t="s">
        <v>338</v>
      </c>
      <c r="F245" t="s">
        <v>15</v>
      </c>
      <c r="G245" t="s">
        <v>193</v>
      </c>
      <c r="H245" t="s">
        <v>151</v>
      </c>
      <c r="I245" t="s">
        <v>5</v>
      </c>
      <c r="J245" t="s">
        <v>152</v>
      </c>
      <c r="K245" t="s">
        <v>153</v>
      </c>
      <c r="L245">
        <v>251200235</v>
      </c>
      <c r="M245" s="84">
        <v>46000</v>
      </c>
      <c r="N245" s="84">
        <v>46000</v>
      </c>
      <c r="O245" t="s">
        <v>253</v>
      </c>
      <c r="P245" t="s">
        <v>254</v>
      </c>
      <c r="Q245">
        <v>4500</v>
      </c>
      <c r="R245">
        <v>8</v>
      </c>
      <c r="S245">
        <v>36000</v>
      </c>
      <c r="T245">
        <v>0</v>
      </c>
      <c r="U245">
        <v>0</v>
      </c>
      <c r="V245">
        <v>8</v>
      </c>
      <c r="W245">
        <v>36000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>
        <v>491</v>
      </c>
      <c r="B246" t="s">
        <v>149</v>
      </c>
      <c r="C246">
        <v>1312</v>
      </c>
      <c r="D246" t="s">
        <v>359</v>
      </c>
      <c r="F246" t="s">
        <v>15</v>
      </c>
      <c r="G246" t="s">
        <v>193</v>
      </c>
      <c r="H246" t="s">
        <v>151</v>
      </c>
      <c r="I246" t="s">
        <v>5</v>
      </c>
      <c r="J246" t="s">
        <v>152</v>
      </c>
      <c r="K246" t="s">
        <v>153</v>
      </c>
      <c r="L246">
        <v>251200236</v>
      </c>
      <c r="M246" s="84">
        <v>46000</v>
      </c>
      <c r="N246" s="84">
        <v>46000</v>
      </c>
      <c r="O246" t="s">
        <v>196</v>
      </c>
      <c r="P246" t="s">
        <v>197</v>
      </c>
      <c r="Q246">
        <v>4500</v>
      </c>
      <c r="R246">
        <v>8</v>
      </c>
      <c r="S246">
        <v>36000</v>
      </c>
      <c r="T246">
        <v>0</v>
      </c>
      <c r="U246">
        <v>0</v>
      </c>
      <c r="V246">
        <v>8</v>
      </c>
      <c r="W246">
        <v>36000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494</v>
      </c>
      <c r="B247" t="s">
        <v>149</v>
      </c>
      <c r="C247">
        <v>1522</v>
      </c>
      <c r="D247" t="s">
        <v>370</v>
      </c>
      <c r="F247" t="s">
        <v>73</v>
      </c>
      <c r="G247" t="s">
        <v>185</v>
      </c>
      <c r="H247" t="s">
        <v>151</v>
      </c>
      <c r="I247" t="s">
        <v>4</v>
      </c>
      <c r="J247" t="s">
        <v>152</v>
      </c>
      <c r="K247" t="s">
        <v>153</v>
      </c>
      <c r="L247">
        <v>251200238</v>
      </c>
      <c r="M247" s="84">
        <v>46000</v>
      </c>
      <c r="N247" s="84">
        <v>46000</v>
      </c>
      <c r="O247" t="s">
        <v>154</v>
      </c>
      <c r="P247" t="s">
        <v>155</v>
      </c>
      <c r="Q247">
        <v>5500</v>
      </c>
      <c r="R247">
        <v>10</v>
      </c>
      <c r="S247">
        <v>55000</v>
      </c>
      <c r="T247">
        <v>0</v>
      </c>
      <c r="U247">
        <v>0</v>
      </c>
      <c r="V247">
        <v>10</v>
      </c>
      <c r="W247">
        <v>55000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495</v>
      </c>
      <c r="B248" t="s">
        <v>149</v>
      </c>
      <c r="C248">
        <v>1522</v>
      </c>
      <c r="D248" t="s">
        <v>370</v>
      </c>
      <c r="F248" t="s">
        <v>73</v>
      </c>
      <c r="G248" t="s">
        <v>185</v>
      </c>
      <c r="H248" t="s">
        <v>151</v>
      </c>
      <c r="I248" t="s">
        <v>4</v>
      </c>
      <c r="J248" t="s">
        <v>152</v>
      </c>
      <c r="K248" t="s">
        <v>153</v>
      </c>
      <c r="L248">
        <v>251200238</v>
      </c>
      <c r="M248" s="84">
        <v>46000</v>
      </c>
      <c r="N248" s="84">
        <v>46000</v>
      </c>
      <c r="O248" t="s">
        <v>168</v>
      </c>
      <c r="P248" t="s">
        <v>169</v>
      </c>
      <c r="Q248">
        <v>5500</v>
      </c>
      <c r="R248">
        <v>5</v>
      </c>
      <c r="S248">
        <v>27500</v>
      </c>
      <c r="T248">
        <v>0</v>
      </c>
      <c r="U248">
        <v>0</v>
      </c>
      <c r="V248">
        <v>5</v>
      </c>
      <c r="W248">
        <v>27500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509</v>
      </c>
      <c r="B249" t="s">
        <v>149</v>
      </c>
      <c r="C249">
        <v>1308</v>
      </c>
      <c r="D249" t="s">
        <v>368</v>
      </c>
      <c r="F249" t="s">
        <v>49</v>
      </c>
      <c r="G249" t="s">
        <v>167</v>
      </c>
      <c r="H249" t="s">
        <v>151</v>
      </c>
      <c r="I249" t="s">
        <v>5</v>
      </c>
      <c r="J249" t="s">
        <v>152</v>
      </c>
      <c r="K249" t="s">
        <v>153</v>
      </c>
      <c r="L249">
        <v>251200245</v>
      </c>
      <c r="M249" s="84">
        <v>46000</v>
      </c>
      <c r="N249" s="84">
        <v>46000</v>
      </c>
      <c r="O249" t="s">
        <v>191</v>
      </c>
      <c r="P249" t="s">
        <v>192</v>
      </c>
      <c r="Q249">
        <v>4500</v>
      </c>
      <c r="R249">
        <v>60</v>
      </c>
      <c r="S249">
        <v>270000</v>
      </c>
      <c r="T249">
        <v>0</v>
      </c>
      <c r="U249">
        <v>0</v>
      </c>
      <c r="V249">
        <v>60</v>
      </c>
      <c r="W249">
        <v>270000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>
        <v>510</v>
      </c>
      <c r="B250" t="s">
        <v>149</v>
      </c>
      <c r="C250">
        <v>1530</v>
      </c>
      <c r="D250" t="s">
        <v>379</v>
      </c>
      <c r="F250" t="s">
        <v>111</v>
      </c>
      <c r="G250" t="s">
        <v>150</v>
      </c>
      <c r="H250" t="s">
        <v>151</v>
      </c>
      <c r="I250" t="s">
        <v>4</v>
      </c>
      <c r="J250" t="s">
        <v>152</v>
      </c>
      <c r="K250" t="s">
        <v>153</v>
      </c>
      <c r="L250">
        <v>251200246</v>
      </c>
      <c r="M250" s="84">
        <v>46000</v>
      </c>
      <c r="N250" s="84">
        <v>46000</v>
      </c>
      <c r="O250" t="s">
        <v>179</v>
      </c>
      <c r="P250" t="s">
        <v>180</v>
      </c>
      <c r="Q250">
        <v>5500</v>
      </c>
      <c r="R250">
        <v>5</v>
      </c>
      <c r="S250">
        <v>27500</v>
      </c>
      <c r="T250">
        <v>0</v>
      </c>
      <c r="U250">
        <v>0</v>
      </c>
      <c r="V250">
        <v>5</v>
      </c>
      <c r="W250">
        <v>27500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>
      <c r="A251">
        <v>511</v>
      </c>
      <c r="B251" t="s">
        <v>149</v>
      </c>
      <c r="C251">
        <v>1554</v>
      </c>
      <c r="D251" t="s">
        <v>382</v>
      </c>
      <c r="F251" t="s">
        <v>111</v>
      </c>
      <c r="G251" t="s">
        <v>150</v>
      </c>
      <c r="H251" t="s">
        <v>151</v>
      </c>
      <c r="I251" t="s">
        <v>4</v>
      </c>
      <c r="J251" t="s">
        <v>152</v>
      </c>
      <c r="K251" t="s">
        <v>153</v>
      </c>
      <c r="L251">
        <v>251200247</v>
      </c>
      <c r="M251" s="84">
        <v>46000</v>
      </c>
      <c r="N251" s="84">
        <v>46000</v>
      </c>
      <c r="O251" t="s">
        <v>160</v>
      </c>
      <c r="P251" t="s">
        <v>161</v>
      </c>
      <c r="Q251">
        <v>5500</v>
      </c>
      <c r="R251">
        <v>10</v>
      </c>
      <c r="S251">
        <v>55000</v>
      </c>
      <c r="T251">
        <v>0</v>
      </c>
      <c r="U251">
        <v>0</v>
      </c>
      <c r="V251">
        <v>10</v>
      </c>
      <c r="W251">
        <v>55000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>
        <v>512</v>
      </c>
      <c r="B252" t="s">
        <v>149</v>
      </c>
      <c r="C252">
        <v>1554</v>
      </c>
      <c r="D252" t="s">
        <v>382</v>
      </c>
      <c r="F252" t="s">
        <v>111</v>
      </c>
      <c r="G252" t="s">
        <v>150</v>
      </c>
      <c r="H252" t="s">
        <v>151</v>
      </c>
      <c r="I252" t="s">
        <v>4</v>
      </c>
      <c r="J252" t="s">
        <v>152</v>
      </c>
      <c r="K252" t="s">
        <v>153</v>
      </c>
      <c r="L252">
        <v>251200248</v>
      </c>
      <c r="M252" s="84">
        <v>46000</v>
      </c>
      <c r="N252" s="84">
        <v>46000</v>
      </c>
      <c r="O252" t="s">
        <v>262</v>
      </c>
      <c r="P252" t="s">
        <v>263</v>
      </c>
      <c r="Q252">
        <v>5500</v>
      </c>
      <c r="R252">
        <v>10</v>
      </c>
      <c r="S252">
        <v>55000</v>
      </c>
      <c r="T252">
        <v>0</v>
      </c>
      <c r="U252">
        <v>0</v>
      </c>
      <c r="V252">
        <v>10</v>
      </c>
      <c r="W252">
        <v>55000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>
        <v>513</v>
      </c>
      <c r="B253" t="s">
        <v>149</v>
      </c>
      <c r="C253">
        <v>1478</v>
      </c>
      <c r="D253" t="s">
        <v>314</v>
      </c>
      <c r="F253" t="s">
        <v>111</v>
      </c>
      <c r="G253" t="s">
        <v>150</v>
      </c>
      <c r="H253" t="s">
        <v>151</v>
      </c>
      <c r="I253" t="s">
        <v>5</v>
      </c>
      <c r="J253" t="s">
        <v>152</v>
      </c>
      <c r="K253" t="s">
        <v>153</v>
      </c>
      <c r="L253">
        <v>251200249</v>
      </c>
      <c r="M253" s="84">
        <v>46000</v>
      </c>
      <c r="N253" s="84">
        <v>46000</v>
      </c>
      <c r="O253" t="s">
        <v>191</v>
      </c>
      <c r="P253" t="s">
        <v>192</v>
      </c>
      <c r="Q253">
        <v>4500</v>
      </c>
      <c r="R253">
        <v>28</v>
      </c>
      <c r="S253">
        <v>126000</v>
      </c>
      <c r="T253">
        <v>0</v>
      </c>
      <c r="U253">
        <v>0</v>
      </c>
      <c r="V253">
        <v>28</v>
      </c>
      <c r="W253">
        <v>126000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514</v>
      </c>
      <c r="B254" t="s">
        <v>149</v>
      </c>
      <c r="C254">
        <v>1519</v>
      </c>
      <c r="D254" t="s">
        <v>353</v>
      </c>
      <c r="F254" t="s">
        <v>111</v>
      </c>
      <c r="G254" t="s">
        <v>150</v>
      </c>
      <c r="H254" t="s">
        <v>151</v>
      </c>
      <c r="I254" t="s">
        <v>4</v>
      </c>
      <c r="J254" t="s">
        <v>152</v>
      </c>
      <c r="K254" t="s">
        <v>153</v>
      </c>
      <c r="L254">
        <v>251200250</v>
      </c>
      <c r="M254" s="84">
        <v>46000</v>
      </c>
      <c r="N254" s="84">
        <v>46000</v>
      </c>
      <c r="O254" t="s">
        <v>219</v>
      </c>
      <c r="P254" t="s">
        <v>220</v>
      </c>
      <c r="Q254">
        <v>5500</v>
      </c>
      <c r="R254">
        <v>8</v>
      </c>
      <c r="S254">
        <v>44000</v>
      </c>
      <c r="T254">
        <v>0</v>
      </c>
      <c r="U254">
        <v>0</v>
      </c>
      <c r="V254">
        <v>8</v>
      </c>
      <c r="W254">
        <v>44000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>
        <v>515</v>
      </c>
      <c r="B255" t="s">
        <v>149</v>
      </c>
      <c r="C255">
        <v>1305</v>
      </c>
      <c r="D255" t="s">
        <v>383</v>
      </c>
      <c r="F255" t="s">
        <v>28</v>
      </c>
      <c r="G255" t="s">
        <v>164</v>
      </c>
      <c r="H255" t="s">
        <v>151</v>
      </c>
      <c r="I255" t="s">
        <v>5</v>
      </c>
      <c r="J255" t="s">
        <v>152</v>
      </c>
      <c r="K255" t="s">
        <v>153</v>
      </c>
      <c r="L255">
        <v>251200251</v>
      </c>
      <c r="M255" s="84">
        <v>46000</v>
      </c>
      <c r="N255" s="84">
        <v>46000</v>
      </c>
      <c r="O255" t="s">
        <v>191</v>
      </c>
      <c r="P255" t="s">
        <v>192</v>
      </c>
      <c r="Q255">
        <v>4500</v>
      </c>
      <c r="R255">
        <v>40</v>
      </c>
      <c r="S255">
        <v>180000</v>
      </c>
      <c r="T255">
        <v>0</v>
      </c>
      <c r="U255">
        <v>0</v>
      </c>
      <c r="V255">
        <v>40</v>
      </c>
      <c r="W255">
        <v>180000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516</v>
      </c>
      <c r="B256" t="s">
        <v>149</v>
      </c>
      <c r="C256">
        <v>1305</v>
      </c>
      <c r="D256" t="s">
        <v>383</v>
      </c>
      <c r="F256" t="s">
        <v>28</v>
      </c>
      <c r="G256" t="s">
        <v>164</v>
      </c>
      <c r="H256" t="s">
        <v>151</v>
      </c>
      <c r="I256" t="s">
        <v>4</v>
      </c>
      <c r="J256" t="s">
        <v>152</v>
      </c>
      <c r="K256" t="s">
        <v>153</v>
      </c>
      <c r="L256">
        <v>251200251</v>
      </c>
      <c r="M256" s="84">
        <v>46000</v>
      </c>
      <c r="N256" s="84">
        <v>46000</v>
      </c>
      <c r="O256" t="s">
        <v>160</v>
      </c>
      <c r="P256" t="s">
        <v>161</v>
      </c>
      <c r="Q256">
        <v>5500</v>
      </c>
      <c r="R256">
        <v>40</v>
      </c>
      <c r="S256">
        <v>220000</v>
      </c>
      <c r="T256">
        <v>0</v>
      </c>
      <c r="U256">
        <v>0</v>
      </c>
      <c r="V256">
        <v>40</v>
      </c>
      <c r="W256">
        <v>220000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517</v>
      </c>
      <c r="B257" t="s">
        <v>149</v>
      </c>
      <c r="C257">
        <v>1305</v>
      </c>
      <c r="D257" t="s">
        <v>383</v>
      </c>
      <c r="F257" t="s">
        <v>28</v>
      </c>
      <c r="G257" t="s">
        <v>164</v>
      </c>
      <c r="H257" t="s">
        <v>151</v>
      </c>
      <c r="I257" t="s">
        <v>5</v>
      </c>
      <c r="J257" t="s">
        <v>152</v>
      </c>
      <c r="K257" t="s">
        <v>153</v>
      </c>
      <c r="L257">
        <v>251200251</v>
      </c>
      <c r="M257" s="84">
        <v>46000</v>
      </c>
      <c r="N257" s="84">
        <v>46000</v>
      </c>
      <c r="O257" t="s">
        <v>384</v>
      </c>
      <c r="P257" t="s">
        <v>385</v>
      </c>
      <c r="Q257">
        <v>4500</v>
      </c>
      <c r="R257">
        <v>50</v>
      </c>
      <c r="S257">
        <v>225000</v>
      </c>
      <c r="T257">
        <v>0</v>
      </c>
      <c r="U257">
        <v>0</v>
      </c>
      <c r="V257">
        <v>50</v>
      </c>
      <c r="W257">
        <v>225000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>
      <c r="A258">
        <v>518</v>
      </c>
      <c r="B258" t="s">
        <v>149</v>
      </c>
      <c r="C258">
        <v>1331</v>
      </c>
      <c r="D258" t="s">
        <v>366</v>
      </c>
      <c r="F258" t="s">
        <v>28</v>
      </c>
      <c r="G258" t="s">
        <v>164</v>
      </c>
      <c r="H258" t="s">
        <v>151</v>
      </c>
      <c r="I258" t="s">
        <v>5</v>
      </c>
      <c r="J258" t="s">
        <v>152</v>
      </c>
      <c r="K258" t="s">
        <v>153</v>
      </c>
      <c r="L258">
        <v>251200252</v>
      </c>
      <c r="M258" s="84">
        <v>46000</v>
      </c>
      <c r="N258" s="84">
        <v>46000</v>
      </c>
      <c r="O258" t="s">
        <v>253</v>
      </c>
      <c r="P258" t="s">
        <v>254</v>
      </c>
      <c r="Q258">
        <v>4500</v>
      </c>
      <c r="R258">
        <v>20</v>
      </c>
      <c r="S258">
        <v>90000</v>
      </c>
      <c r="T258">
        <v>0</v>
      </c>
      <c r="U258">
        <v>0</v>
      </c>
      <c r="V258">
        <v>20</v>
      </c>
      <c r="W258">
        <v>90000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>
        <v>519</v>
      </c>
      <c r="B259" t="s">
        <v>149</v>
      </c>
      <c r="C259">
        <v>1331</v>
      </c>
      <c r="D259" t="s">
        <v>366</v>
      </c>
      <c r="F259" t="s">
        <v>28</v>
      </c>
      <c r="G259" t="s">
        <v>164</v>
      </c>
      <c r="H259" t="s">
        <v>151</v>
      </c>
      <c r="I259" t="s">
        <v>5</v>
      </c>
      <c r="J259" t="s">
        <v>152</v>
      </c>
      <c r="K259" t="s">
        <v>153</v>
      </c>
      <c r="L259">
        <v>251200252</v>
      </c>
      <c r="M259" s="84">
        <v>46000</v>
      </c>
      <c r="N259" s="84">
        <v>46000</v>
      </c>
      <c r="O259" t="s">
        <v>271</v>
      </c>
      <c r="P259" t="s">
        <v>272</v>
      </c>
      <c r="Q259">
        <v>4500</v>
      </c>
      <c r="R259">
        <v>12</v>
      </c>
      <c r="S259">
        <v>54000</v>
      </c>
      <c r="T259">
        <v>0</v>
      </c>
      <c r="U259">
        <v>0</v>
      </c>
      <c r="V259">
        <v>12</v>
      </c>
      <c r="W259">
        <v>54000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>
      <c r="A260">
        <v>520</v>
      </c>
      <c r="B260" t="s">
        <v>149</v>
      </c>
      <c r="C260">
        <v>1331</v>
      </c>
      <c r="D260" t="s">
        <v>366</v>
      </c>
      <c r="F260" t="s">
        <v>28</v>
      </c>
      <c r="G260" t="s">
        <v>164</v>
      </c>
      <c r="H260" t="s">
        <v>151</v>
      </c>
      <c r="I260" t="s">
        <v>5</v>
      </c>
      <c r="J260" t="s">
        <v>152</v>
      </c>
      <c r="K260" t="s">
        <v>153</v>
      </c>
      <c r="L260">
        <v>251200252</v>
      </c>
      <c r="M260" s="84">
        <v>46000</v>
      </c>
      <c r="N260" s="84">
        <v>46000</v>
      </c>
      <c r="O260" t="s">
        <v>191</v>
      </c>
      <c r="P260" t="s">
        <v>192</v>
      </c>
      <c r="Q260">
        <v>4500</v>
      </c>
      <c r="R260">
        <v>32</v>
      </c>
      <c r="S260">
        <v>144000</v>
      </c>
      <c r="T260">
        <v>0</v>
      </c>
      <c r="U260">
        <v>0</v>
      </c>
      <c r="V260">
        <v>32</v>
      </c>
      <c r="W260">
        <v>144000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521</v>
      </c>
      <c r="B261" t="s">
        <v>149</v>
      </c>
      <c r="C261">
        <v>1331</v>
      </c>
      <c r="D261" t="s">
        <v>366</v>
      </c>
      <c r="F261" t="s">
        <v>28</v>
      </c>
      <c r="G261" t="s">
        <v>164</v>
      </c>
      <c r="H261" t="s">
        <v>151</v>
      </c>
      <c r="I261" t="s">
        <v>5</v>
      </c>
      <c r="J261" t="s">
        <v>152</v>
      </c>
      <c r="K261" t="s">
        <v>153</v>
      </c>
      <c r="L261">
        <v>251200252</v>
      </c>
      <c r="M261" s="84">
        <v>46000</v>
      </c>
      <c r="N261" s="84">
        <v>46000</v>
      </c>
      <c r="O261" t="s">
        <v>297</v>
      </c>
      <c r="P261" t="s">
        <v>298</v>
      </c>
      <c r="Q261">
        <v>4500</v>
      </c>
      <c r="R261">
        <v>36</v>
      </c>
      <c r="S261">
        <v>162000</v>
      </c>
      <c r="T261">
        <v>0</v>
      </c>
      <c r="U261">
        <v>0</v>
      </c>
      <c r="V261">
        <v>36</v>
      </c>
      <c r="W261">
        <v>162000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>
        <v>523</v>
      </c>
      <c r="B262" t="s">
        <v>149</v>
      </c>
      <c r="C262">
        <v>1534</v>
      </c>
      <c r="D262" t="s">
        <v>371</v>
      </c>
      <c r="F262" t="s">
        <v>65</v>
      </c>
      <c r="G262" t="s">
        <v>208</v>
      </c>
      <c r="H262" t="s">
        <v>157</v>
      </c>
      <c r="I262" t="s">
        <v>4</v>
      </c>
      <c r="J262" t="s">
        <v>152</v>
      </c>
      <c r="K262" t="s">
        <v>174</v>
      </c>
      <c r="L262">
        <v>251200254</v>
      </c>
      <c r="M262" s="84">
        <v>46000</v>
      </c>
      <c r="N262" s="84">
        <v>46000</v>
      </c>
      <c r="O262" t="s">
        <v>321</v>
      </c>
      <c r="P262" t="s">
        <v>322</v>
      </c>
      <c r="Q262">
        <v>5500</v>
      </c>
      <c r="R262">
        <v>5</v>
      </c>
      <c r="S262">
        <v>27500</v>
      </c>
      <c r="T262">
        <v>0</v>
      </c>
      <c r="U262">
        <v>0</v>
      </c>
      <c r="V262">
        <v>5</v>
      </c>
      <c r="W262">
        <v>27500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>
      <c r="A263">
        <v>527</v>
      </c>
      <c r="B263" t="s">
        <v>149</v>
      </c>
      <c r="C263">
        <v>1439</v>
      </c>
      <c r="D263" t="s">
        <v>363</v>
      </c>
      <c r="F263" t="s">
        <v>171</v>
      </c>
      <c r="G263" t="s">
        <v>172</v>
      </c>
      <c r="H263" t="s">
        <v>157</v>
      </c>
      <c r="I263" t="s">
        <v>4</v>
      </c>
      <c r="J263" t="s">
        <v>152</v>
      </c>
      <c r="K263" t="s">
        <v>174</v>
      </c>
      <c r="L263">
        <v>251200257</v>
      </c>
      <c r="M263" s="84">
        <v>46000</v>
      </c>
      <c r="N263" s="84">
        <v>46000</v>
      </c>
      <c r="O263" t="s">
        <v>243</v>
      </c>
      <c r="P263" t="s">
        <v>244</v>
      </c>
      <c r="Q263">
        <v>5700</v>
      </c>
      <c r="R263">
        <v>5</v>
      </c>
      <c r="S263">
        <v>28500</v>
      </c>
      <c r="T263">
        <v>0</v>
      </c>
      <c r="U263">
        <v>0</v>
      </c>
      <c r="V263">
        <v>5</v>
      </c>
      <c r="W263">
        <v>28500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>
        <v>528</v>
      </c>
      <c r="B264" t="s">
        <v>149</v>
      </c>
      <c r="C264">
        <v>1577</v>
      </c>
      <c r="D264" t="s">
        <v>386</v>
      </c>
      <c r="F264" t="s">
        <v>38</v>
      </c>
      <c r="G264" t="s">
        <v>202</v>
      </c>
      <c r="H264" t="s">
        <v>157</v>
      </c>
      <c r="I264" t="s">
        <v>4</v>
      </c>
      <c r="J264" t="s">
        <v>152</v>
      </c>
      <c r="K264" t="s">
        <v>203</v>
      </c>
      <c r="L264">
        <v>251200258</v>
      </c>
      <c r="M264" s="84">
        <v>46000</v>
      </c>
      <c r="N264" s="84">
        <v>46000</v>
      </c>
      <c r="O264" t="s">
        <v>357</v>
      </c>
      <c r="P264" t="s">
        <v>358</v>
      </c>
      <c r="Q264">
        <v>5500</v>
      </c>
      <c r="R264">
        <v>25</v>
      </c>
      <c r="S264">
        <v>137500</v>
      </c>
      <c r="T264">
        <v>0</v>
      </c>
      <c r="U264">
        <v>0</v>
      </c>
      <c r="V264">
        <v>25</v>
      </c>
      <c r="W264">
        <v>137500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>
        <v>529</v>
      </c>
      <c r="B265" t="s">
        <v>149</v>
      </c>
      <c r="C265">
        <v>1563</v>
      </c>
      <c r="D265" t="s">
        <v>348</v>
      </c>
      <c r="F265" t="s">
        <v>91</v>
      </c>
      <c r="G265" t="s">
        <v>202</v>
      </c>
      <c r="H265" t="s">
        <v>157</v>
      </c>
      <c r="I265" t="s">
        <v>5</v>
      </c>
      <c r="J265" t="s">
        <v>152</v>
      </c>
      <c r="K265" t="s">
        <v>159</v>
      </c>
      <c r="L265">
        <v>251200259</v>
      </c>
      <c r="M265" s="84">
        <v>46000</v>
      </c>
      <c r="N265" s="84">
        <v>46000</v>
      </c>
      <c r="O265" t="s">
        <v>191</v>
      </c>
      <c r="P265" t="s">
        <v>192</v>
      </c>
      <c r="Q265">
        <v>4500</v>
      </c>
      <c r="R265">
        <v>70</v>
      </c>
      <c r="S265">
        <v>315000</v>
      </c>
      <c r="T265">
        <v>0</v>
      </c>
      <c r="U265">
        <v>0</v>
      </c>
      <c r="V265">
        <v>70</v>
      </c>
      <c r="W265">
        <v>315000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>
        <v>530</v>
      </c>
      <c r="B266" t="s">
        <v>149</v>
      </c>
      <c r="C266">
        <v>1545</v>
      </c>
      <c r="D266" t="s">
        <v>387</v>
      </c>
      <c r="F266" t="s">
        <v>7</v>
      </c>
      <c r="G266" t="s">
        <v>156</v>
      </c>
      <c r="H266" t="s">
        <v>157</v>
      </c>
      <c r="I266" t="s">
        <v>4</v>
      </c>
      <c r="J266" t="s">
        <v>152</v>
      </c>
      <c r="K266" t="s">
        <v>159</v>
      </c>
      <c r="L266">
        <v>251200260</v>
      </c>
      <c r="M266" s="84">
        <v>46000</v>
      </c>
      <c r="N266" s="84">
        <v>46000</v>
      </c>
      <c r="O266" t="s">
        <v>262</v>
      </c>
      <c r="P266" t="s">
        <v>263</v>
      </c>
      <c r="Q266">
        <v>5500</v>
      </c>
      <c r="R266">
        <v>10</v>
      </c>
      <c r="S266">
        <v>55000</v>
      </c>
      <c r="T266">
        <v>0</v>
      </c>
      <c r="U266">
        <v>0</v>
      </c>
      <c r="V266">
        <v>10</v>
      </c>
      <c r="W266">
        <v>55000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>
      <c r="A267">
        <v>531</v>
      </c>
      <c r="B267" t="s">
        <v>149</v>
      </c>
      <c r="C267">
        <v>1575</v>
      </c>
      <c r="D267" t="s">
        <v>372</v>
      </c>
      <c r="F267" t="s">
        <v>10</v>
      </c>
      <c r="G267" t="s">
        <v>172</v>
      </c>
      <c r="H267" t="s">
        <v>157</v>
      </c>
      <c r="I267" t="s">
        <v>4</v>
      </c>
      <c r="J267" t="s">
        <v>152</v>
      </c>
      <c r="K267" t="s">
        <v>174</v>
      </c>
      <c r="L267">
        <v>251200261</v>
      </c>
      <c r="M267" s="84">
        <v>46000</v>
      </c>
      <c r="N267" s="84">
        <v>46000</v>
      </c>
      <c r="O267" t="s">
        <v>262</v>
      </c>
      <c r="P267" t="s">
        <v>263</v>
      </c>
      <c r="Q267">
        <v>5500</v>
      </c>
      <c r="R267">
        <v>10</v>
      </c>
      <c r="S267">
        <v>55000</v>
      </c>
      <c r="T267">
        <v>0</v>
      </c>
      <c r="U267">
        <v>0</v>
      </c>
      <c r="V267">
        <v>10</v>
      </c>
      <c r="W267">
        <v>55000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539</v>
      </c>
      <c r="B268" t="s">
        <v>149</v>
      </c>
      <c r="C268">
        <v>1335</v>
      </c>
      <c r="D268" t="s">
        <v>318</v>
      </c>
      <c r="F268" t="s">
        <v>43</v>
      </c>
      <c r="G268" t="s">
        <v>150</v>
      </c>
      <c r="H268" t="s">
        <v>151</v>
      </c>
      <c r="I268" t="s">
        <v>5</v>
      </c>
      <c r="J268" t="s">
        <v>152</v>
      </c>
      <c r="K268" t="s">
        <v>153</v>
      </c>
      <c r="L268">
        <v>251200264</v>
      </c>
      <c r="M268" s="84">
        <v>46000</v>
      </c>
      <c r="N268" s="84">
        <v>46000</v>
      </c>
      <c r="O268" t="s">
        <v>191</v>
      </c>
      <c r="P268" t="s">
        <v>192</v>
      </c>
      <c r="Q268">
        <v>4500</v>
      </c>
      <c r="R268">
        <v>12</v>
      </c>
      <c r="S268">
        <v>54000</v>
      </c>
      <c r="T268">
        <v>0</v>
      </c>
      <c r="U268">
        <v>0</v>
      </c>
      <c r="V268">
        <v>12</v>
      </c>
      <c r="W268">
        <v>54000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544</v>
      </c>
      <c r="B269" t="s">
        <v>149</v>
      </c>
      <c r="C269">
        <v>1312</v>
      </c>
      <c r="D269" t="s">
        <v>359</v>
      </c>
      <c r="F269" t="s">
        <v>15</v>
      </c>
      <c r="G269" t="s">
        <v>193</v>
      </c>
      <c r="H269" t="s">
        <v>151</v>
      </c>
      <c r="I269" t="s">
        <v>5</v>
      </c>
      <c r="J269" t="s">
        <v>152</v>
      </c>
      <c r="K269" t="s">
        <v>153</v>
      </c>
      <c r="L269">
        <v>251200267</v>
      </c>
      <c r="M269" s="84">
        <v>46000</v>
      </c>
      <c r="N269" s="84">
        <v>46000</v>
      </c>
      <c r="O269" t="s">
        <v>360</v>
      </c>
      <c r="P269" t="s">
        <v>361</v>
      </c>
      <c r="Q269">
        <v>4500</v>
      </c>
      <c r="R269">
        <v>20</v>
      </c>
      <c r="S269">
        <v>90000</v>
      </c>
      <c r="T269">
        <v>0</v>
      </c>
      <c r="U269">
        <v>0</v>
      </c>
      <c r="V269">
        <v>20</v>
      </c>
      <c r="W269">
        <v>90000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>
      <c r="A270">
        <v>545</v>
      </c>
      <c r="B270" t="s">
        <v>149</v>
      </c>
      <c r="C270">
        <v>1312</v>
      </c>
      <c r="D270" t="s">
        <v>359</v>
      </c>
      <c r="F270" t="s">
        <v>15</v>
      </c>
      <c r="G270" t="s">
        <v>193</v>
      </c>
      <c r="H270" t="s">
        <v>151</v>
      </c>
      <c r="I270" t="s">
        <v>5</v>
      </c>
      <c r="J270" t="s">
        <v>152</v>
      </c>
      <c r="K270" t="s">
        <v>153</v>
      </c>
      <c r="L270">
        <v>251200267</v>
      </c>
      <c r="M270" s="84">
        <v>46000</v>
      </c>
      <c r="N270" s="84">
        <v>46000</v>
      </c>
      <c r="O270" t="s">
        <v>196</v>
      </c>
      <c r="P270" t="s">
        <v>197</v>
      </c>
      <c r="Q270">
        <v>4500</v>
      </c>
      <c r="R270">
        <v>8</v>
      </c>
      <c r="S270">
        <v>36000</v>
      </c>
      <c r="T270">
        <v>0</v>
      </c>
      <c r="U270">
        <v>0</v>
      </c>
      <c r="V270">
        <v>8</v>
      </c>
      <c r="W270">
        <v>36000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>
        <v>546</v>
      </c>
      <c r="B271" t="s">
        <v>149</v>
      </c>
      <c r="C271">
        <v>1593</v>
      </c>
      <c r="D271" t="s">
        <v>343</v>
      </c>
      <c r="F271" t="s">
        <v>111</v>
      </c>
      <c r="G271" t="s">
        <v>150</v>
      </c>
      <c r="H271" t="s">
        <v>151</v>
      </c>
      <c r="I271" t="s">
        <v>4</v>
      </c>
      <c r="J271" t="s">
        <v>152</v>
      </c>
      <c r="K271" t="s">
        <v>153</v>
      </c>
      <c r="L271">
        <v>251200268</v>
      </c>
      <c r="M271" s="84">
        <v>46001</v>
      </c>
      <c r="N271" s="84">
        <v>46001</v>
      </c>
      <c r="O271" t="s">
        <v>154</v>
      </c>
      <c r="P271" t="s">
        <v>155</v>
      </c>
      <c r="Q271">
        <v>5500</v>
      </c>
      <c r="R271">
        <v>10</v>
      </c>
      <c r="S271">
        <v>55000</v>
      </c>
      <c r="T271">
        <v>0</v>
      </c>
      <c r="U271">
        <v>0</v>
      </c>
      <c r="V271">
        <v>10</v>
      </c>
      <c r="W271">
        <v>55000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547</v>
      </c>
      <c r="B272" t="s">
        <v>149</v>
      </c>
      <c r="C272">
        <v>1593</v>
      </c>
      <c r="D272" t="s">
        <v>343</v>
      </c>
      <c r="F272" t="s">
        <v>111</v>
      </c>
      <c r="G272" t="s">
        <v>150</v>
      </c>
      <c r="H272" t="s">
        <v>151</v>
      </c>
      <c r="I272" t="s">
        <v>4</v>
      </c>
      <c r="J272" t="s">
        <v>152</v>
      </c>
      <c r="K272" t="s">
        <v>153</v>
      </c>
      <c r="L272">
        <v>251200268</v>
      </c>
      <c r="M272" s="84">
        <v>46001</v>
      </c>
      <c r="N272" s="84">
        <v>46001</v>
      </c>
      <c r="O272" t="s">
        <v>160</v>
      </c>
      <c r="P272" t="s">
        <v>161</v>
      </c>
      <c r="Q272">
        <v>5500</v>
      </c>
      <c r="R272">
        <v>10</v>
      </c>
      <c r="S272">
        <v>55000</v>
      </c>
      <c r="T272">
        <v>0</v>
      </c>
      <c r="U272">
        <v>0</v>
      </c>
      <c r="V272">
        <v>10</v>
      </c>
      <c r="W272">
        <v>55000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>
        <v>548</v>
      </c>
      <c r="B273" t="s">
        <v>149</v>
      </c>
      <c r="C273">
        <v>1593</v>
      </c>
      <c r="D273" t="s">
        <v>343</v>
      </c>
      <c r="F273" t="s">
        <v>111</v>
      </c>
      <c r="G273" t="s">
        <v>150</v>
      </c>
      <c r="H273" t="s">
        <v>151</v>
      </c>
      <c r="I273" t="s">
        <v>5</v>
      </c>
      <c r="J273" t="s">
        <v>152</v>
      </c>
      <c r="K273" t="s">
        <v>153</v>
      </c>
      <c r="L273">
        <v>251200268</v>
      </c>
      <c r="M273" s="84">
        <v>46001</v>
      </c>
      <c r="N273" s="84">
        <v>46001</v>
      </c>
      <c r="O273" t="s">
        <v>273</v>
      </c>
      <c r="P273" t="s">
        <v>274</v>
      </c>
      <c r="Q273">
        <v>4500</v>
      </c>
      <c r="R273">
        <v>8</v>
      </c>
      <c r="S273">
        <v>36000</v>
      </c>
      <c r="T273">
        <v>0</v>
      </c>
      <c r="U273">
        <v>0</v>
      </c>
      <c r="V273">
        <v>8</v>
      </c>
      <c r="W273">
        <v>36000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549</v>
      </c>
      <c r="B274" t="s">
        <v>149</v>
      </c>
      <c r="C274">
        <v>1530</v>
      </c>
      <c r="D274" t="s">
        <v>379</v>
      </c>
      <c r="F274" t="s">
        <v>111</v>
      </c>
      <c r="G274" t="s">
        <v>150</v>
      </c>
      <c r="H274" t="s">
        <v>151</v>
      </c>
      <c r="I274" t="s">
        <v>4</v>
      </c>
      <c r="J274" t="s">
        <v>152</v>
      </c>
      <c r="K274" t="s">
        <v>153</v>
      </c>
      <c r="L274">
        <v>251200269</v>
      </c>
      <c r="M274" s="84">
        <v>46001</v>
      </c>
      <c r="N274" s="84">
        <v>46001</v>
      </c>
      <c r="O274" t="s">
        <v>221</v>
      </c>
      <c r="P274" t="s">
        <v>222</v>
      </c>
      <c r="Q274">
        <v>5500</v>
      </c>
      <c r="R274">
        <v>10</v>
      </c>
      <c r="S274">
        <v>55000</v>
      </c>
      <c r="T274">
        <v>0</v>
      </c>
      <c r="U274">
        <v>0</v>
      </c>
      <c r="V274">
        <v>10</v>
      </c>
      <c r="W274">
        <v>55000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>
      <c r="A275">
        <v>550</v>
      </c>
      <c r="B275" t="s">
        <v>149</v>
      </c>
      <c r="C275">
        <v>1551</v>
      </c>
      <c r="D275" t="s">
        <v>316</v>
      </c>
      <c r="F275" t="s">
        <v>111</v>
      </c>
      <c r="G275" t="s">
        <v>150</v>
      </c>
      <c r="H275" t="s">
        <v>151</v>
      </c>
      <c r="I275" t="s">
        <v>4</v>
      </c>
      <c r="J275" t="s">
        <v>152</v>
      </c>
      <c r="K275" t="s">
        <v>153</v>
      </c>
      <c r="L275">
        <v>251200270</v>
      </c>
      <c r="M275" s="84">
        <v>46001</v>
      </c>
      <c r="N275" s="84">
        <v>46001</v>
      </c>
      <c r="O275" t="s">
        <v>160</v>
      </c>
      <c r="P275" t="s">
        <v>161</v>
      </c>
      <c r="Q275">
        <v>5500</v>
      </c>
      <c r="R275">
        <v>20</v>
      </c>
      <c r="S275">
        <v>110000</v>
      </c>
      <c r="T275">
        <v>0</v>
      </c>
      <c r="U275">
        <v>0</v>
      </c>
      <c r="V275">
        <v>20</v>
      </c>
      <c r="W275">
        <v>110000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555</v>
      </c>
      <c r="B276" t="s">
        <v>149</v>
      </c>
      <c r="C276">
        <v>1300</v>
      </c>
      <c r="D276" t="s">
        <v>335</v>
      </c>
      <c r="F276" t="s">
        <v>83</v>
      </c>
      <c r="G276" t="s">
        <v>164</v>
      </c>
      <c r="H276" t="s">
        <v>151</v>
      </c>
      <c r="I276" t="s">
        <v>4</v>
      </c>
      <c r="J276" t="s">
        <v>152</v>
      </c>
      <c r="K276" t="s">
        <v>153</v>
      </c>
      <c r="L276">
        <v>251200273</v>
      </c>
      <c r="M276" s="84">
        <v>46001</v>
      </c>
      <c r="N276" s="84">
        <v>46001</v>
      </c>
      <c r="O276" t="s">
        <v>160</v>
      </c>
      <c r="P276" t="s">
        <v>161</v>
      </c>
      <c r="Q276">
        <v>5500</v>
      </c>
      <c r="R276">
        <v>20</v>
      </c>
      <c r="S276">
        <v>110000</v>
      </c>
      <c r="T276">
        <v>0</v>
      </c>
      <c r="U276">
        <v>0</v>
      </c>
      <c r="V276">
        <v>20</v>
      </c>
      <c r="W276">
        <v>110000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556</v>
      </c>
      <c r="B277" t="s">
        <v>149</v>
      </c>
      <c r="C277">
        <v>1326</v>
      </c>
      <c r="D277" t="s">
        <v>338</v>
      </c>
      <c r="F277" t="s">
        <v>15</v>
      </c>
      <c r="G277" t="s">
        <v>193</v>
      </c>
      <c r="H277" t="s">
        <v>151</v>
      </c>
      <c r="I277" t="s">
        <v>5</v>
      </c>
      <c r="J277" t="s">
        <v>152</v>
      </c>
      <c r="K277" t="s">
        <v>153</v>
      </c>
      <c r="L277">
        <v>251200274</v>
      </c>
      <c r="M277" s="84">
        <v>46001</v>
      </c>
      <c r="N277" s="84">
        <v>46001</v>
      </c>
      <c r="O277" t="s">
        <v>191</v>
      </c>
      <c r="P277" t="s">
        <v>192</v>
      </c>
      <c r="Q277">
        <v>4500</v>
      </c>
      <c r="R277">
        <v>12</v>
      </c>
      <c r="S277">
        <v>54000</v>
      </c>
      <c r="T277">
        <v>0</v>
      </c>
      <c r="U277">
        <v>0</v>
      </c>
      <c r="V277">
        <v>12</v>
      </c>
      <c r="W277">
        <v>54000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557</v>
      </c>
      <c r="B278" t="s">
        <v>149</v>
      </c>
      <c r="C278">
        <v>1326</v>
      </c>
      <c r="D278" t="s">
        <v>338</v>
      </c>
      <c r="F278" t="s">
        <v>15</v>
      </c>
      <c r="G278" t="s">
        <v>193</v>
      </c>
      <c r="H278" t="s">
        <v>151</v>
      </c>
      <c r="I278" t="s">
        <v>4</v>
      </c>
      <c r="J278" t="s">
        <v>152</v>
      </c>
      <c r="K278" t="s">
        <v>153</v>
      </c>
      <c r="L278">
        <v>251200274</v>
      </c>
      <c r="M278" s="84">
        <v>46001</v>
      </c>
      <c r="N278" s="84">
        <v>46001</v>
      </c>
      <c r="O278" t="s">
        <v>160</v>
      </c>
      <c r="P278" t="s">
        <v>161</v>
      </c>
      <c r="Q278">
        <v>5500</v>
      </c>
      <c r="R278">
        <v>15</v>
      </c>
      <c r="S278">
        <v>82500</v>
      </c>
      <c r="T278">
        <v>0</v>
      </c>
      <c r="U278">
        <v>0</v>
      </c>
      <c r="V278">
        <v>15</v>
      </c>
      <c r="W278">
        <v>82500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>
      <c r="A279">
        <v>560</v>
      </c>
      <c r="B279" t="s">
        <v>149</v>
      </c>
      <c r="C279">
        <v>1312</v>
      </c>
      <c r="D279" t="s">
        <v>359</v>
      </c>
      <c r="F279" t="s">
        <v>15</v>
      </c>
      <c r="G279" t="s">
        <v>193</v>
      </c>
      <c r="H279" t="s">
        <v>151</v>
      </c>
      <c r="I279" t="s">
        <v>4</v>
      </c>
      <c r="J279" t="s">
        <v>152</v>
      </c>
      <c r="K279" t="s">
        <v>153</v>
      </c>
      <c r="L279">
        <v>251200276</v>
      </c>
      <c r="M279" s="84">
        <v>46001</v>
      </c>
      <c r="N279" s="84">
        <v>46001</v>
      </c>
      <c r="O279" t="s">
        <v>327</v>
      </c>
      <c r="P279" t="s">
        <v>328</v>
      </c>
      <c r="Q279">
        <v>5500</v>
      </c>
      <c r="R279">
        <v>20</v>
      </c>
      <c r="S279">
        <v>110000</v>
      </c>
      <c r="T279">
        <v>0</v>
      </c>
      <c r="U279">
        <v>0</v>
      </c>
      <c r="V279">
        <v>20</v>
      </c>
      <c r="W279">
        <v>110000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561</v>
      </c>
      <c r="B280" t="s">
        <v>149</v>
      </c>
      <c r="C280">
        <v>1312</v>
      </c>
      <c r="D280" t="s">
        <v>359</v>
      </c>
      <c r="F280" t="s">
        <v>15</v>
      </c>
      <c r="G280" t="s">
        <v>193</v>
      </c>
      <c r="H280" t="s">
        <v>151</v>
      </c>
      <c r="I280" t="s">
        <v>5</v>
      </c>
      <c r="J280" t="s">
        <v>152</v>
      </c>
      <c r="K280" t="s">
        <v>153</v>
      </c>
      <c r="L280">
        <v>251200276</v>
      </c>
      <c r="M280" s="84">
        <v>46001</v>
      </c>
      <c r="N280" s="84">
        <v>46001</v>
      </c>
      <c r="O280" t="s">
        <v>196</v>
      </c>
      <c r="P280" t="s">
        <v>197</v>
      </c>
      <c r="Q280">
        <v>4500</v>
      </c>
      <c r="R280">
        <v>8</v>
      </c>
      <c r="S280">
        <v>36000</v>
      </c>
      <c r="T280">
        <v>0</v>
      </c>
      <c r="U280">
        <v>0</v>
      </c>
      <c r="V280">
        <v>8</v>
      </c>
      <c r="W280">
        <v>36000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>
        <v>562</v>
      </c>
      <c r="B281" t="s">
        <v>149</v>
      </c>
      <c r="C281">
        <v>1522</v>
      </c>
      <c r="D281" t="s">
        <v>370</v>
      </c>
      <c r="F281" t="s">
        <v>73</v>
      </c>
      <c r="G281" t="s">
        <v>185</v>
      </c>
      <c r="H281" t="s">
        <v>151</v>
      </c>
      <c r="I281" t="s">
        <v>4</v>
      </c>
      <c r="J281" t="s">
        <v>152</v>
      </c>
      <c r="K281" t="s">
        <v>153</v>
      </c>
      <c r="L281">
        <v>251200277</v>
      </c>
      <c r="M281" s="84">
        <v>46001</v>
      </c>
      <c r="N281" s="84">
        <v>46001</v>
      </c>
      <c r="O281" t="s">
        <v>168</v>
      </c>
      <c r="P281" t="s">
        <v>169</v>
      </c>
      <c r="Q281">
        <v>5500</v>
      </c>
      <c r="R281">
        <v>10</v>
      </c>
      <c r="S281">
        <v>55000</v>
      </c>
      <c r="T281">
        <v>0</v>
      </c>
      <c r="U281">
        <v>0</v>
      </c>
      <c r="V281">
        <v>10</v>
      </c>
      <c r="W281">
        <v>55000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>
      <c r="A282">
        <v>563</v>
      </c>
      <c r="B282" t="s">
        <v>149</v>
      </c>
      <c r="C282">
        <v>1444</v>
      </c>
      <c r="D282" t="s">
        <v>341</v>
      </c>
      <c r="F282" t="s">
        <v>28</v>
      </c>
      <c r="G282" t="s">
        <v>164</v>
      </c>
      <c r="H282" t="s">
        <v>151</v>
      </c>
      <c r="I282" t="s">
        <v>4</v>
      </c>
      <c r="J282" t="s">
        <v>152</v>
      </c>
      <c r="K282" t="s">
        <v>153</v>
      </c>
      <c r="L282">
        <v>251200278</v>
      </c>
      <c r="M282" s="84">
        <v>46001</v>
      </c>
      <c r="N282" s="84">
        <v>46001</v>
      </c>
      <c r="O282" t="s">
        <v>160</v>
      </c>
      <c r="P282" t="s">
        <v>161</v>
      </c>
      <c r="Q282">
        <v>5500</v>
      </c>
      <c r="R282">
        <v>12</v>
      </c>
      <c r="S282">
        <v>66000</v>
      </c>
      <c r="T282">
        <v>0</v>
      </c>
      <c r="U282">
        <v>0</v>
      </c>
      <c r="V282">
        <v>12</v>
      </c>
      <c r="W282">
        <v>66000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564</v>
      </c>
      <c r="B283" t="s">
        <v>149</v>
      </c>
      <c r="C283">
        <v>1305</v>
      </c>
      <c r="D283" t="s">
        <v>383</v>
      </c>
      <c r="F283" t="s">
        <v>28</v>
      </c>
      <c r="G283" t="s">
        <v>164</v>
      </c>
      <c r="H283" t="s">
        <v>151</v>
      </c>
      <c r="I283" t="s">
        <v>5</v>
      </c>
      <c r="J283" t="s">
        <v>152</v>
      </c>
      <c r="K283" t="s">
        <v>153</v>
      </c>
      <c r="L283">
        <v>251200279</v>
      </c>
      <c r="M283" s="84">
        <v>46001</v>
      </c>
      <c r="N283" s="84">
        <v>46001</v>
      </c>
      <c r="O283" t="s">
        <v>191</v>
      </c>
      <c r="P283" t="s">
        <v>192</v>
      </c>
      <c r="Q283">
        <v>4500</v>
      </c>
      <c r="R283">
        <v>20</v>
      </c>
      <c r="S283">
        <v>90000</v>
      </c>
      <c r="T283">
        <v>0</v>
      </c>
      <c r="U283">
        <v>0</v>
      </c>
      <c r="V283">
        <v>20</v>
      </c>
      <c r="W283">
        <v>90000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567</v>
      </c>
      <c r="B284" t="s">
        <v>149</v>
      </c>
      <c r="C284">
        <v>1599</v>
      </c>
      <c r="D284" t="s">
        <v>388</v>
      </c>
      <c r="F284" t="s">
        <v>65</v>
      </c>
      <c r="G284" t="s">
        <v>208</v>
      </c>
      <c r="H284" t="s">
        <v>157</v>
      </c>
      <c r="I284" t="s">
        <v>4</v>
      </c>
      <c r="J284" t="s">
        <v>152</v>
      </c>
      <c r="K284" t="s">
        <v>174</v>
      </c>
      <c r="L284">
        <v>251200281</v>
      </c>
      <c r="M284" s="84">
        <v>46001</v>
      </c>
      <c r="N284" s="84">
        <v>46001</v>
      </c>
      <c r="O284" t="s">
        <v>225</v>
      </c>
      <c r="P284" t="s">
        <v>226</v>
      </c>
      <c r="Q284">
        <v>5500</v>
      </c>
      <c r="R284">
        <v>50</v>
      </c>
      <c r="S284">
        <v>275000</v>
      </c>
      <c r="T284">
        <v>0</v>
      </c>
      <c r="U284">
        <v>0</v>
      </c>
      <c r="V284">
        <v>50</v>
      </c>
      <c r="W284">
        <v>275000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569</v>
      </c>
      <c r="B285" t="s">
        <v>149</v>
      </c>
      <c r="C285">
        <v>1566</v>
      </c>
      <c r="D285" t="s">
        <v>376</v>
      </c>
      <c r="F285" t="s">
        <v>91</v>
      </c>
      <c r="G285" t="s">
        <v>202</v>
      </c>
      <c r="H285" t="s">
        <v>157</v>
      </c>
      <c r="I285" t="s">
        <v>4</v>
      </c>
      <c r="J285" t="s">
        <v>152</v>
      </c>
      <c r="K285" t="s">
        <v>159</v>
      </c>
      <c r="L285">
        <v>251200283</v>
      </c>
      <c r="M285" s="84">
        <v>46001</v>
      </c>
      <c r="N285" s="84">
        <v>46001</v>
      </c>
      <c r="O285" t="s">
        <v>290</v>
      </c>
      <c r="P285" t="s">
        <v>291</v>
      </c>
      <c r="Q285">
        <v>5500</v>
      </c>
      <c r="R285">
        <v>10</v>
      </c>
      <c r="S285">
        <v>55000</v>
      </c>
      <c r="T285">
        <v>0</v>
      </c>
      <c r="U285">
        <v>0</v>
      </c>
      <c r="V285">
        <v>10</v>
      </c>
      <c r="W285">
        <v>55000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570</v>
      </c>
      <c r="B286" t="s">
        <v>149</v>
      </c>
      <c r="C286">
        <v>1566</v>
      </c>
      <c r="D286" t="s">
        <v>376</v>
      </c>
      <c r="F286" t="s">
        <v>91</v>
      </c>
      <c r="G286" t="s">
        <v>202</v>
      </c>
      <c r="H286" t="s">
        <v>157</v>
      </c>
      <c r="I286" t="s">
        <v>4</v>
      </c>
      <c r="J286" t="s">
        <v>152</v>
      </c>
      <c r="K286" t="s">
        <v>159</v>
      </c>
      <c r="L286">
        <v>251200283</v>
      </c>
      <c r="M286" s="84">
        <v>46001</v>
      </c>
      <c r="N286" s="84">
        <v>46001</v>
      </c>
      <c r="O286" t="s">
        <v>256</v>
      </c>
      <c r="P286" t="s">
        <v>257</v>
      </c>
      <c r="Q286">
        <v>5500</v>
      </c>
      <c r="R286">
        <v>40</v>
      </c>
      <c r="S286">
        <v>220000</v>
      </c>
      <c r="T286">
        <v>0</v>
      </c>
      <c r="U286">
        <v>0</v>
      </c>
      <c r="V286">
        <v>40</v>
      </c>
      <c r="W286">
        <v>220000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571</v>
      </c>
      <c r="B287" t="s">
        <v>149</v>
      </c>
      <c r="C287">
        <v>1563</v>
      </c>
      <c r="D287" t="s">
        <v>348</v>
      </c>
      <c r="F287" t="s">
        <v>91</v>
      </c>
      <c r="G287" t="s">
        <v>202</v>
      </c>
      <c r="H287" t="s">
        <v>157</v>
      </c>
      <c r="I287" t="s">
        <v>5</v>
      </c>
      <c r="J287" t="s">
        <v>152</v>
      </c>
      <c r="K287" t="s">
        <v>159</v>
      </c>
      <c r="L287">
        <v>251200284</v>
      </c>
      <c r="M287" s="84">
        <v>46001</v>
      </c>
      <c r="N287" s="84">
        <v>46001</v>
      </c>
      <c r="O287" t="s">
        <v>191</v>
      </c>
      <c r="P287" t="s">
        <v>192</v>
      </c>
      <c r="Q287">
        <v>4500</v>
      </c>
      <c r="R287">
        <v>30</v>
      </c>
      <c r="S287">
        <v>135000</v>
      </c>
      <c r="T287">
        <v>0</v>
      </c>
      <c r="U287">
        <v>0</v>
      </c>
      <c r="V287">
        <v>30</v>
      </c>
      <c r="W287">
        <v>135000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>
        <v>572</v>
      </c>
      <c r="B288" t="s">
        <v>149</v>
      </c>
      <c r="C288">
        <v>1530</v>
      </c>
      <c r="D288" t="s">
        <v>379</v>
      </c>
      <c r="F288" t="s">
        <v>111</v>
      </c>
      <c r="G288" t="s">
        <v>150</v>
      </c>
      <c r="H288" t="s">
        <v>151</v>
      </c>
      <c r="I288" t="s">
        <v>4</v>
      </c>
      <c r="J288" t="s">
        <v>152</v>
      </c>
      <c r="K288" t="s">
        <v>153</v>
      </c>
      <c r="L288">
        <v>251200285</v>
      </c>
      <c r="M288" s="84">
        <v>46002</v>
      </c>
      <c r="N288" s="84">
        <v>46002</v>
      </c>
      <c r="O288" t="s">
        <v>380</v>
      </c>
      <c r="P288" t="s">
        <v>381</v>
      </c>
      <c r="Q288">
        <v>5500</v>
      </c>
      <c r="R288">
        <v>5</v>
      </c>
      <c r="S288">
        <v>27500</v>
      </c>
      <c r="T288">
        <v>0</v>
      </c>
      <c r="U288">
        <v>0</v>
      </c>
      <c r="V288">
        <v>5</v>
      </c>
      <c r="W288">
        <v>27500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>
      <c r="A289">
        <v>573</v>
      </c>
      <c r="B289" t="s">
        <v>149</v>
      </c>
      <c r="C289">
        <v>1478</v>
      </c>
      <c r="D289" t="s">
        <v>314</v>
      </c>
      <c r="F289" t="s">
        <v>111</v>
      </c>
      <c r="G289" t="s">
        <v>150</v>
      </c>
      <c r="H289" t="s">
        <v>151</v>
      </c>
      <c r="I289" t="s">
        <v>5</v>
      </c>
      <c r="J289" t="s">
        <v>152</v>
      </c>
      <c r="K289" t="s">
        <v>153</v>
      </c>
      <c r="L289">
        <v>251200286</v>
      </c>
      <c r="M289" s="84">
        <v>46002</v>
      </c>
      <c r="N289" s="84">
        <v>46002</v>
      </c>
      <c r="O289" t="s">
        <v>191</v>
      </c>
      <c r="P289" t="s">
        <v>192</v>
      </c>
      <c r="Q289">
        <v>4500</v>
      </c>
      <c r="R289">
        <v>20</v>
      </c>
      <c r="S289">
        <v>90000</v>
      </c>
      <c r="T289">
        <v>0</v>
      </c>
      <c r="U289">
        <v>0</v>
      </c>
      <c r="V289">
        <v>20</v>
      </c>
      <c r="W289">
        <v>90000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>
      <c r="A290">
        <v>574</v>
      </c>
      <c r="B290" t="s">
        <v>149</v>
      </c>
      <c r="C290">
        <v>1519</v>
      </c>
      <c r="D290" t="s">
        <v>353</v>
      </c>
      <c r="F290" t="s">
        <v>111</v>
      </c>
      <c r="G290" t="s">
        <v>150</v>
      </c>
      <c r="H290" t="s">
        <v>151</v>
      </c>
      <c r="I290" t="s">
        <v>4</v>
      </c>
      <c r="J290" t="s">
        <v>152</v>
      </c>
      <c r="K290" t="s">
        <v>153</v>
      </c>
      <c r="L290">
        <v>251200287</v>
      </c>
      <c r="M290" s="84">
        <v>46002</v>
      </c>
      <c r="N290" s="84">
        <v>46002</v>
      </c>
      <c r="O290" t="s">
        <v>160</v>
      </c>
      <c r="P290" t="s">
        <v>161</v>
      </c>
      <c r="Q290">
        <v>5500</v>
      </c>
      <c r="R290">
        <v>12</v>
      </c>
      <c r="S290">
        <v>66000</v>
      </c>
      <c r="T290">
        <v>0</v>
      </c>
      <c r="U290">
        <v>0</v>
      </c>
      <c r="V290">
        <v>12</v>
      </c>
      <c r="W290">
        <v>66000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>
      <c r="A291">
        <v>576</v>
      </c>
      <c r="B291" t="s">
        <v>149</v>
      </c>
      <c r="C291">
        <v>1553</v>
      </c>
      <c r="D291" t="s">
        <v>317</v>
      </c>
      <c r="F291" t="s">
        <v>43</v>
      </c>
      <c r="G291" t="s">
        <v>150</v>
      </c>
      <c r="H291" t="s">
        <v>151</v>
      </c>
      <c r="I291" t="s">
        <v>5</v>
      </c>
      <c r="J291" t="s">
        <v>152</v>
      </c>
      <c r="K291" t="s">
        <v>153</v>
      </c>
      <c r="L291">
        <v>251200289</v>
      </c>
      <c r="M291" s="84">
        <v>46002</v>
      </c>
      <c r="N291" s="84">
        <v>46002</v>
      </c>
      <c r="O291" t="s">
        <v>191</v>
      </c>
      <c r="P291" t="s">
        <v>192</v>
      </c>
      <c r="Q291">
        <v>4500</v>
      </c>
      <c r="R291">
        <v>8</v>
      </c>
      <c r="S291">
        <v>36000</v>
      </c>
      <c r="T291">
        <v>0</v>
      </c>
      <c r="U291">
        <v>0</v>
      </c>
      <c r="V291">
        <v>8</v>
      </c>
      <c r="W291">
        <v>36000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>
        <v>577</v>
      </c>
      <c r="B292" t="s">
        <v>149</v>
      </c>
      <c r="C292">
        <v>1553</v>
      </c>
      <c r="D292" t="s">
        <v>317</v>
      </c>
      <c r="F292" t="s">
        <v>43</v>
      </c>
      <c r="G292" t="s">
        <v>150</v>
      </c>
      <c r="H292" t="s">
        <v>151</v>
      </c>
      <c r="I292" t="s">
        <v>4</v>
      </c>
      <c r="J292" t="s">
        <v>152</v>
      </c>
      <c r="K292" t="s">
        <v>153</v>
      </c>
      <c r="L292">
        <v>251200289</v>
      </c>
      <c r="M292" s="84">
        <v>46002</v>
      </c>
      <c r="N292" s="84">
        <v>46002</v>
      </c>
      <c r="O292" t="s">
        <v>219</v>
      </c>
      <c r="P292" t="s">
        <v>220</v>
      </c>
      <c r="Q292">
        <v>5500</v>
      </c>
      <c r="R292">
        <v>10</v>
      </c>
      <c r="S292">
        <v>55000</v>
      </c>
      <c r="T292">
        <v>0</v>
      </c>
      <c r="U292">
        <v>0</v>
      </c>
      <c r="V292">
        <v>10</v>
      </c>
      <c r="W292">
        <v>55000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>
      <c r="A293">
        <v>578</v>
      </c>
      <c r="B293" t="s">
        <v>149</v>
      </c>
      <c r="C293">
        <v>1553</v>
      </c>
      <c r="D293" t="s">
        <v>317</v>
      </c>
      <c r="F293" t="s">
        <v>43</v>
      </c>
      <c r="G293" t="s">
        <v>150</v>
      </c>
      <c r="H293" t="s">
        <v>151</v>
      </c>
      <c r="I293" t="s">
        <v>4</v>
      </c>
      <c r="J293" t="s">
        <v>152</v>
      </c>
      <c r="K293" t="s">
        <v>153</v>
      </c>
      <c r="L293">
        <v>251200289</v>
      </c>
      <c r="M293" s="84">
        <v>46002</v>
      </c>
      <c r="N293" s="84">
        <v>46002</v>
      </c>
      <c r="O293" t="s">
        <v>160</v>
      </c>
      <c r="P293" t="s">
        <v>161</v>
      </c>
      <c r="Q293">
        <v>5500</v>
      </c>
      <c r="R293">
        <v>10</v>
      </c>
      <c r="S293">
        <v>55000</v>
      </c>
      <c r="T293">
        <v>0</v>
      </c>
      <c r="U293">
        <v>0</v>
      </c>
      <c r="V293">
        <v>10</v>
      </c>
      <c r="W293">
        <v>55000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579</v>
      </c>
      <c r="B294" t="s">
        <v>149</v>
      </c>
      <c r="C294">
        <v>1288</v>
      </c>
      <c r="D294" t="s">
        <v>367</v>
      </c>
      <c r="F294" t="s">
        <v>43</v>
      </c>
      <c r="G294" t="s">
        <v>150</v>
      </c>
      <c r="H294" t="s">
        <v>151</v>
      </c>
      <c r="I294" t="s">
        <v>4</v>
      </c>
      <c r="J294" t="s">
        <v>152</v>
      </c>
      <c r="K294" t="s">
        <v>153</v>
      </c>
      <c r="L294">
        <v>251200290</v>
      </c>
      <c r="M294" s="84">
        <v>46002</v>
      </c>
      <c r="N294" s="84">
        <v>46002</v>
      </c>
      <c r="O294" t="s">
        <v>219</v>
      </c>
      <c r="P294" t="s">
        <v>220</v>
      </c>
      <c r="Q294">
        <v>5500</v>
      </c>
      <c r="R294">
        <v>10</v>
      </c>
      <c r="S294">
        <v>55000</v>
      </c>
      <c r="T294">
        <v>0</v>
      </c>
      <c r="U294">
        <v>0</v>
      </c>
      <c r="V294">
        <v>10</v>
      </c>
      <c r="W294">
        <v>55000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>
      <c r="A295">
        <v>580</v>
      </c>
      <c r="B295" t="s">
        <v>149</v>
      </c>
      <c r="C295">
        <v>1288</v>
      </c>
      <c r="D295" t="s">
        <v>367</v>
      </c>
      <c r="F295" t="s">
        <v>43</v>
      </c>
      <c r="G295" t="s">
        <v>150</v>
      </c>
      <c r="H295" t="s">
        <v>151</v>
      </c>
      <c r="I295" t="s">
        <v>4</v>
      </c>
      <c r="J295" t="s">
        <v>152</v>
      </c>
      <c r="K295" t="s">
        <v>153</v>
      </c>
      <c r="L295">
        <v>251200291</v>
      </c>
      <c r="M295" s="84">
        <v>46002</v>
      </c>
      <c r="N295" s="84">
        <v>46002</v>
      </c>
      <c r="O295" t="s">
        <v>160</v>
      </c>
      <c r="P295" t="s">
        <v>161</v>
      </c>
      <c r="Q295">
        <v>5500</v>
      </c>
      <c r="R295">
        <v>10</v>
      </c>
      <c r="S295">
        <v>55000</v>
      </c>
      <c r="T295">
        <v>0</v>
      </c>
      <c r="U295">
        <v>0</v>
      </c>
      <c r="V295">
        <v>10</v>
      </c>
      <c r="W295">
        <v>55000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>
      <c r="A296">
        <v>581</v>
      </c>
      <c r="B296" t="s">
        <v>149</v>
      </c>
      <c r="C296">
        <v>1288</v>
      </c>
      <c r="D296" t="s">
        <v>367</v>
      </c>
      <c r="F296" t="s">
        <v>43</v>
      </c>
      <c r="G296" t="s">
        <v>150</v>
      </c>
      <c r="H296" t="s">
        <v>151</v>
      </c>
      <c r="I296" t="s">
        <v>4</v>
      </c>
      <c r="J296" t="s">
        <v>152</v>
      </c>
      <c r="K296" t="s">
        <v>153</v>
      </c>
      <c r="L296">
        <v>251200291</v>
      </c>
      <c r="M296" s="84">
        <v>46002</v>
      </c>
      <c r="N296" s="84">
        <v>46002</v>
      </c>
      <c r="O296" t="s">
        <v>206</v>
      </c>
      <c r="P296" t="s">
        <v>207</v>
      </c>
      <c r="Q296">
        <v>5500</v>
      </c>
      <c r="R296">
        <v>5</v>
      </c>
      <c r="S296">
        <v>27500</v>
      </c>
      <c r="T296">
        <v>0</v>
      </c>
      <c r="U296">
        <v>0</v>
      </c>
      <c r="V296">
        <v>5</v>
      </c>
      <c r="W296">
        <v>27500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>
      <c r="A297">
        <v>582</v>
      </c>
      <c r="B297" t="s">
        <v>149</v>
      </c>
      <c r="C297">
        <v>1298</v>
      </c>
      <c r="D297" t="s">
        <v>389</v>
      </c>
      <c r="F297" t="s">
        <v>83</v>
      </c>
      <c r="G297" t="s">
        <v>164</v>
      </c>
      <c r="H297" t="s">
        <v>151</v>
      </c>
      <c r="I297" t="s">
        <v>5</v>
      </c>
      <c r="J297" t="s">
        <v>152</v>
      </c>
      <c r="K297" t="s">
        <v>153</v>
      </c>
      <c r="L297">
        <v>251200292</v>
      </c>
      <c r="M297" s="84">
        <v>46002</v>
      </c>
      <c r="N297" s="84">
        <v>46002</v>
      </c>
      <c r="O297" t="s">
        <v>191</v>
      </c>
      <c r="P297" t="s">
        <v>192</v>
      </c>
      <c r="Q297">
        <v>4500</v>
      </c>
      <c r="R297">
        <v>120</v>
      </c>
      <c r="S297">
        <v>540000</v>
      </c>
      <c r="T297">
        <v>0</v>
      </c>
      <c r="U297">
        <v>0</v>
      </c>
      <c r="V297">
        <v>120</v>
      </c>
      <c r="W297">
        <v>540000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>
        <v>583</v>
      </c>
      <c r="B298" t="s">
        <v>149</v>
      </c>
      <c r="C298">
        <v>1298</v>
      </c>
      <c r="D298" t="s">
        <v>389</v>
      </c>
      <c r="F298" t="s">
        <v>83</v>
      </c>
      <c r="G298" t="s">
        <v>164</v>
      </c>
      <c r="H298" t="s">
        <v>151</v>
      </c>
      <c r="I298" t="s">
        <v>4</v>
      </c>
      <c r="J298" t="s">
        <v>152</v>
      </c>
      <c r="K298" t="s">
        <v>153</v>
      </c>
      <c r="L298">
        <v>251200292</v>
      </c>
      <c r="M298" s="84">
        <v>46002</v>
      </c>
      <c r="N298" s="84">
        <v>46002</v>
      </c>
      <c r="O298" t="s">
        <v>162</v>
      </c>
      <c r="P298" t="s">
        <v>163</v>
      </c>
      <c r="Q298">
        <v>5500</v>
      </c>
      <c r="R298">
        <v>30</v>
      </c>
      <c r="S298">
        <v>165000</v>
      </c>
      <c r="T298">
        <v>0</v>
      </c>
      <c r="U298">
        <v>0</v>
      </c>
      <c r="V298">
        <v>30</v>
      </c>
      <c r="W298">
        <v>165000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584</v>
      </c>
      <c r="B299" t="s">
        <v>149</v>
      </c>
      <c r="C299">
        <v>1298</v>
      </c>
      <c r="D299" t="s">
        <v>389</v>
      </c>
      <c r="F299" t="s">
        <v>83</v>
      </c>
      <c r="G299" t="s">
        <v>164</v>
      </c>
      <c r="H299" t="s">
        <v>151</v>
      </c>
      <c r="I299" t="s">
        <v>5</v>
      </c>
      <c r="J299" t="s">
        <v>152</v>
      </c>
      <c r="K299" t="s">
        <v>153</v>
      </c>
      <c r="L299">
        <v>251200292</v>
      </c>
      <c r="M299" s="84">
        <v>46002</v>
      </c>
      <c r="N299" s="84">
        <v>46002</v>
      </c>
      <c r="O299" t="s">
        <v>253</v>
      </c>
      <c r="P299" t="s">
        <v>254</v>
      </c>
      <c r="Q299">
        <v>4500</v>
      </c>
      <c r="R299">
        <v>40</v>
      </c>
      <c r="S299">
        <v>180000</v>
      </c>
      <c r="T299">
        <v>0</v>
      </c>
      <c r="U299">
        <v>0</v>
      </c>
      <c r="V299">
        <v>40</v>
      </c>
      <c r="W299">
        <v>180000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>
      <c r="A300">
        <v>585</v>
      </c>
      <c r="B300" t="s">
        <v>149</v>
      </c>
      <c r="C300">
        <v>1298</v>
      </c>
      <c r="D300" t="s">
        <v>389</v>
      </c>
      <c r="F300" t="s">
        <v>83</v>
      </c>
      <c r="G300" t="s">
        <v>164</v>
      </c>
      <c r="H300" t="s">
        <v>151</v>
      </c>
      <c r="I300" t="s">
        <v>4</v>
      </c>
      <c r="J300" t="s">
        <v>152</v>
      </c>
      <c r="K300" t="s">
        <v>153</v>
      </c>
      <c r="L300">
        <v>251200292</v>
      </c>
      <c r="M300" s="84">
        <v>46002</v>
      </c>
      <c r="N300" s="84">
        <v>46002</v>
      </c>
      <c r="O300" t="s">
        <v>160</v>
      </c>
      <c r="P300" t="s">
        <v>161</v>
      </c>
      <c r="Q300">
        <v>5500</v>
      </c>
      <c r="R300">
        <v>50</v>
      </c>
      <c r="S300">
        <v>275000</v>
      </c>
      <c r="T300">
        <v>0</v>
      </c>
      <c r="U300">
        <v>0</v>
      </c>
      <c r="V300">
        <v>50</v>
      </c>
      <c r="W300">
        <v>275000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>
      <c r="A301">
        <v>598</v>
      </c>
      <c r="B301" t="s">
        <v>149</v>
      </c>
      <c r="C301">
        <v>1551</v>
      </c>
      <c r="D301" t="s">
        <v>316</v>
      </c>
      <c r="F301" t="s">
        <v>111</v>
      </c>
      <c r="G301" t="s">
        <v>150</v>
      </c>
      <c r="H301" t="s">
        <v>151</v>
      </c>
      <c r="I301" t="s">
        <v>4</v>
      </c>
      <c r="J301" t="s">
        <v>152</v>
      </c>
      <c r="K301" t="s">
        <v>153</v>
      </c>
      <c r="L301">
        <v>251200298</v>
      </c>
      <c r="M301" s="84">
        <v>46002</v>
      </c>
      <c r="N301" s="84">
        <v>46002</v>
      </c>
      <c r="O301" t="s">
        <v>219</v>
      </c>
      <c r="P301" t="s">
        <v>220</v>
      </c>
      <c r="Q301">
        <v>5500</v>
      </c>
      <c r="R301">
        <v>13</v>
      </c>
      <c r="S301">
        <v>71500</v>
      </c>
      <c r="T301">
        <v>0</v>
      </c>
      <c r="U301">
        <v>0</v>
      </c>
      <c r="V301">
        <v>13</v>
      </c>
      <c r="W301">
        <v>71500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 spans="1:29">
      <c r="A302">
        <v>605</v>
      </c>
      <c r="B302" t="s">
        <v>149</v>
      </c>
      <c r="C302">
        <v>1305</v>
      </c>
      <c r="D302" t="s">
        <v>383</v>
      </c>
      <c r="F302" t="s">
        <v>28</v>
      </c>
      <c r="G302" t="s">
        <v>164</v>
      </c>
      <c r="H302" t="s">
        <v>151</v>
      </c>
      <c r="I302" t="s">
        <v>5</v>
      </c>
      <c r="J302" t="s">
        <v>152</v>
      </c>
      <c r="K302" t="s">
        <v>153</v>
      </c>
      <c r="L302">
        <v>251200302</v>
      </c>
      <c r="M302" s="84">
        <v>46002</v>
      </c>
      <c r="N302" s="84">
        <v>46002</v>
      </c>
      <c r="O302" t="s">
        <v>191</v>
      </c>
      <c r="P302" t="s">
        <v>192</v>
      </c>
      <c r="Q302">
        <v>4500</v>
      </c>
      <c r="R302">
        <v>32</v>
      </c>
      <c r="S302">
        <v>144000</v>
      </c>
      <c r="T302">
        <v>0</v>
      </c>
      <c r="U302">
        <v>0</v>
      </c>
      <c r="V302">
        <v>32</v>
      </c>
      <c r="W302">
        <v>144000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>
      <c r="A303">
        <v>609</v>
      </c>
      <c r="B303" t="s">
        <v>149</v>
      </c>
      <c r="C303">
        <v>1326</v>
      </c>
      <c r="D303" t="s">
        <v>338</v>
      </c>
      <c r="F303" t="s">
        <v>15</v>
      </c>
      <c r="G303" t="s">
        <v>193</v>
      </c>
      <c r="H303" t="s">
        <v>151</v>
      </c>
      <c r="I303" t="s">
        <v>5</v>
      </c>
      <c r="J303" t="s">
        <v>152</v>
      </c>
      <c r="K303" t="s">
        <v>153</v>
      </c>
      <c r="L303">
        <v>251200305</v>
      </c>
      <c r="M303" s="84">
        <v>46002</v>
      </c>
      <c r="N303" s="84">
        <v>46002</v>
      </c>
      <c r="O303" t="s">
        <v>191</v>
      </c>
      <c r="P303" t="s">
        <v>192</v>
      </c>
      <c r="Q303">
        <v>4500</v>
      </c>
      <c r="R303">
        <v>12</v>
      </c>
      <c r="S303">
        <v>54000</v>
      </c>
      <c r="T303">
        <v>0</v>
      </c>
      <c r="U303">
        <v>0</v>
      </c>
      <c r="V303">
        <v>12</v>
      </c>
      <c r="W303">
        <v>54000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>
      <c r="A304">
        <v>610</v>
      </c>
      <c r="B304" t="s">
        <v>149</v>
      </c>
      <c r="C304">
        <v>1326</v>
      </c>
      <c r="D304" t="s">
        <v>338</v>
      </c>
      <c r="F304" t="s">
        <v>15</v>
      </c>
      <c r="G304" t="s">
        <v>193</v>
      </c>
      <c r="H304" t="s">
        <v>151</v>
      </c>
      <c r="I304" t="s">
        <v>4</v>
      </c>
      <c r="J304" t="s">
        <v>152</v>
      </c>
      <c r="K304" t="s">
        <v>153</v>
      </c>
      <c r="L304">
        <v>251200305</v>
      </c>
      <c r="M304" s="84">
        <v>46002</v>
      </c>
      <c r="N304" s="84">
        <v>46002</v>
      </c>
      <c r="O304" t="s">
        <v>160</v>
      </c>
      <c r="P304" t="s">
        <v>161</v>
      </c>
      <c r="Q304">
        <v>5500</v>
      </c>
      <c r="R304">
        <v>15</v>
      </c>
      <c r="S304">
        <v>82500</v>
      </c>
      <c r="T304">
        <v>0</v>
      </c>
      <c r="U304">
        <v>0</v>
      </c>
      <c r="V304">
        <v>15</v>
      </c>
      <c r="W304">
        <v>82500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>
        <v>611</v>
      </c>
      <c r="B305" t="s">
        <v>149</v>
      </c>
      <c r="C305">
        <v>1550</v>
      </c>
      <c r="D305" t="s">
        <v>337</v>
      </c>
      <c r="F305" t="s">
        <v>15</v>
      </c>
      <c r="G305" t="s">
        <v>193</v>
      </c>
      <c r="H305" t="s">
        <v>151</v>
      </c>
      <c r="I305" t="s">
        <v>5</v>
      </c>
      <c r="J305" t="s">
        <v>152</v>
      </c>
      <c r="K305" t="s">
        <v>153</v>
      </c>
      <c r="L305">
        <v>251200306</v>
      </c>
      <c r="M305" s="84">
        <v>46002</v>
      </c>
      <c r="N305" s="84">
        <v>46002</v>
      </c>
      <c r="O305" t="s">
        <v>191</v>
      </c>
      <c r="P305" t="s">
        <v>192</v>
      </c>
      <c r="Q305">
        <v>4500</v>
      </c>
      <c r="R305">
        <v>28</v>
      </c>
      <c r="S305">
        <v>126000</v>
      </c>
      <c r="T305">
        <v>0</v>
      </c>
      <c r="U305">
        <v>0</v>
      </c>
      <c r="V305">
        <v>28</v>
      </c>
      <c r="W305">
        <v>126000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>
      <c r="A306">
        <v>614</v>
      </c>
      <c r="B306" t="s">
        <v>149</v>
      </c>
      <c r="C306">
        <v>1312</v>
      </c>
      <c r="D306" t="s">
        <v>359</v>
      </c>
      <c r="F306" t="s">
        <v>15</v>
      </c>
      <c r="G306" t="s">
        <v>193</v>
      </c>
      <c r="H306" t="s">
        <v>151</v>
      </c>
      <c r="I306" t="s">
        <v>5</v>
      </c>
      <c r="J306" t="s">
        <v>152</v>
      </c>
      <c r="K306" t="s">
        <v>153</v>
      </c>
      <c r="L306">
        <v>251200308</v>
      </c>
      <c r="M306" s="84">
        <v>46002</v>
      </c>
      <c r="N306" s="84">
        <v>46002</v>
      </c>
      <c r="O306" t="s">
        <v>360</v>
      </c>
      <c r="P306" t="s">
        <v>361</v>
      </c>
      <c r="Q306">
        <v>4500</v>
      </c>
      <c r="R306">
        <v>20</v>
      </c>
      <c r="S306">
        <v>90000</v>
      </c>
      <c r="T306">
        <v>0</v>
      </c>
      <c r="U306">
        <v>0</v>
      </c>
      <c r="V306">
        <v>20</v>
      </c>
      <c r="W306">
        <v>90000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615</v>
      </c>
      <c r="B307" t="s">
        <v>149</v>
      </c>
      <c r="C307">
        <v>1312</v>
      </c>
      <c r="D307" t="s">
        <v>359</v>
      </c>
      <c r="F307" t="s">
        <v>15</v>
      </c>
      <c r="G307" t="s">
        <v>193</v>
      </c>
      <c r="H307" t="s">
        <v>151</v>
      </c>
      <c r="I307" t="s">
        <v>5</v>
      </c>
      <c r="J307" t="s">
        <v>152</v>
      </c>
      <c r="K307" t="s">
        <v>153</v>
      </c>
      <c r="L307">
        <v>251200308</v>
      </c>
      <c r="M307" s="84">
        <v>46002</v>
      </c>
      <c r="N307" s="84">
        <v>46002</v>
      </c>
      <c r="O307" t="s">
        <v>196</v>
      </c>
      <c r="P307" t="s">
        <v>197</v>
      </c>
      <c r="Q307">
        <v>4500</v>
      </c>
      <c r="R307">
        <v>8</v>
      </c>
      <c r="S307">
        <v>36000</v>
      </c>
      <c r="T307">
        <v>0</v>
      </c>
      <c r="U307">
        <v>0</v>
      </c>
      <c r="V307">
        <v>8</v>
      </c>
      <c r="W307">
        <v>36000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>
      <c r="A308">
        <v>616</v>
      </c>
      <c r="B308" t="s">
        <v>149</v>
      </c>
      <c r="C308">
        <v>1320</v>
      </c>
      <c r="D308" t="s">
        <v>319</v>
      </c>
      <c r="F308" t="s">
        <v>171</v>
      </c>
      <c r="G308" t="s">
        <v>172</v>
      </c>
      <c r="H308" t="s">
        <v>157</v>
      </c>
      <c r="I308" t="s">
        <v>4</v>
      </c>
      <c r="J308" t="s">
        <v>152</v>
      </c>
      <c r="K308" t="s">
        <v>174</v>
      </c>
      <c r="L308">
        <v>251200309</v>
      </c>
      <c r="M308" s="84">
        <v>46002</v>
      </c>
      <c r="N308" s="84">
        <v>46002</v>
      </c>
      <c r="O308" t="s">
        <v>390</v>
      </c>
      <c r="P308" t="s">
        <v>391</v>
      </c>
      <c r="Q308">
        <v>5500</v>
      </c>
      <c r="R308">
        <v>10</v>
      </c>
      <c r="S308">
        <v>55000</v>
      </c>
      <c r="T308">
        <v>0</v>
      </c>
      <c r="U308">
        <v>0</v>
      </c>
      <c r="V308">
        <v>10</v>
      </c>
      <c r="W308">
        <v>55000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>
      <c r="A309">
        <v>617</v>
      </c>
      <c r="B309" t="s">
        <v>149</v>
      </c>
      <c r="C309">
        <v>1438</v>
      </c>
      <c r="D309" t="s">
        <v>320</v>
      </c>
      <c r="F309" t="s">
        <v>171</v>
      </c>
      <c r="G309" t="s">
        <v>172</v>
      </c>
      <c r="H309" t="s">
        <v>157</v>
      </c>
      <c r="I309" t="s">
        <v>4</v>
      </c>
      <c r="J309" t="s">
        <v>152</v>
      </c>
      <c r="K309" t="s">
        <v>174</v>
      </c>
      <c r="L309">
        <v>251200310</v>
      </c>
      <c r="M309" s="84">
        <v>46002</v>
      </c>
      <c r="N309" s="84">
        <v>46002</v>
      </c>
      <c r="O309" t="s">
        <v>248</v>
      </c>
      <c r="P309" t="s">
        <v>249</v>
      </c>
      <c r="Q309">
        <v>5500</v>
      </c>
      <c r="R309">
        <v>10</v>
      </c>
      <c r="S309">
        <v>55000</v>
      </c>
      <c r="T309">
        <v>0</v>
      </c>
      <c r="U309">
        <v>0</v>
      </c>
      <c r="V309">
        <v>10</v>
      </c>
      <c r="W309">
        <v>55000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>
      <c r="A310">
        <v>622</v>
      </c>
      <c r="B310" t="s">
        <v>149</v>
      </c>
      <c r="C310">
        <v>1533</v>
      </c>
      <c r="D310" t="s">
        <v>330</v>
      </c>
      <c r="F310" t="s">
        <v>65</v>
      </c>
      <c r="G310" t="s">
        <v>208</v>
      </c>
      <c r="H310" t="s">
        <v>157</v>
      </c>
      <c r="I310" t="s">
        <v>4</v>
      </c>
      <c r="J310" t="s">
        <v>152</v>
      </c>
      <c r="K310" t="s">
        <v>174</v>
      </c>
      <c r="L310">
        <v>251200314</v>
      </c>
      <c r="M310" s="84">
        <v>46002</v>
      </c>
      <c r="N310" s="84">
        <v>46002</v>
      </c>
      <c r="O310" t="s">
        <v>256</v>
      </c>
      <c r="P310" t="s">
        <v>257</v>
      </c>
      <c r="Q310">
        <v>5500</v>
      </c>
      <c r="R310">
        <v>5</v>
      </c>
      <c r="S310">
        <v>27500</v>
      </c>
      <c r="T310">
        <v>0</v>
      </c>
      <c r="U310">
        <v>0</v>
      </c>
      <c r="V310">
        <v>5</v>
      </c>
      <c r="W310">
        <v>27500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>
        <v>623</v>
      </c>
      <c r="B311" t="s">
        <v>149</v>
      </c>
      <c r="C311">
        <v>1533</v>
      </c>
      <c r="D311" t="s">
        <v>330</v>
      </c>
      <c r="F311" t="s">
        <v>65</v>
      </c>
      <c r="G311" t="s">
        <v>208</v>
      </c>
      <c r="H311" t="s">
        <v>157</v>
      </c>
      <c r="I311" t="s">
        <v>4</v>
      </c>
      <c r="J311" t="s">
        <v>152</v>
      </c>
      <c r="K311" t="s">
        <v>174</v>
      </c>
      <c r="L311">
        <v>251200314</v>
      </c>
      <c r="M311" s="84">
        <v>46002</v>
      </c>
      <c r="N311" s="84">
        <v>46002</v>
      </c>
      <c r="O311" t="s">
        <v>160</v>
      </c>
      <c r="P311" t="s">
        <v>161</v>
      </c>
      <c r="Q311">
        <v>5500</v>
      </c>
      <c r="R311">
        <v>5</v>
      </c>
      <c r="S311">
        <v>27500</v>
      </c>
      <c r="T311">
        <v>0</v>
      </c>
      <c r="U311">
        <v>0</v>
      </c>
      <c r="V311">
        <v>5</v>
      </c>
      <c r="W311">
        <v>27500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628</v>
      </c>
      <c r="B312" t="s">
        <v>149</v>
      </c>
      <c r="C312">
        <v>1553</v>
      </c>
      <c r="D312" t="s">
        <v>317</v>
      </c>
      <c r="F312" t="s">
        <v>43</v>
      </c>
      <c r="G312" t="s">
        <v>150</v>
      </c>
      <c r="H312" t="s">
        <v>151</v>
      </c>
      <c r="I312" t="s">
        <v>5</v>
      </c>
      <c r="J312" t="s">
        <v>152</v>
      </c>
      <c r="K312" t="s">
        <v>153</v>
      </c>
      <c r="L312">
        <v>251200319</v>
      </c>
      <c r="M312" s="84">
        <v>46002</v>
      </c>
      <c r="N312" s="84">
        <v>46002</v>
      </c>
      <c r="O312" t="s">
        <v>191</v>
      </c>
      <c r="P312" t="s">
        <v>192</v>
      </c>
      <c r="Q312">
        <v>4500</v>
      </c>
      <c r="R312">
        <v>12</v>
      </c>
      <c r="S312">
        <v>54000</v>
      </c>
      <c r="T312">
        <v>0</v>
      </c>
      <c r="U312">
        <v>0</v>
      </c>
      <c r="V312">
        <v>12</v>
      </c>
      <c r="W312">
        <v>54000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>
      <c r="A313">
        <v>629</v>
      </c>
      <c r="B313" t="s">
        <v>149</v>
      </c>
      <c r="C313">
        <v>1553</v>
      </c>
      <c r="D313" t="s">
        <v>317</v>
      </c>
      <c r="F313" t="s">
        <v>43</v>
      </c>
      <c r="G313" t="s">
        <v>150</v>
      </c>
      <c r="H313" t="s">
        <v>151</v>
      </c>
      <c r="I313" t="s">
        <v>4</v>
      </c>
      <c r="J313" t="s">
        <v>152</v>
      </c>
      <c r="K313" t="s">
        <v>153</v>
      </c>
      <c r="L313">
        <v>251200319</v>
      </c>
      <c r="M313" s="84">
        <v>46002</v>
      </c>
      <c r="N313" s="84">
        <v>46002</v>
      </c>
      <c r="O313" t="s">
        <v>160</v>
      </c>
      <c r="P313" t="s">
        <v>161</v>
      </c>
      <c r="Q313">
        <v>5500</v>
      </c>
      <c r="R313">
        <v>20</v>
      </c>
      <c r="S313">
        <v>110000</v>
      </c>
      <c r="T313">
        <v>0</v>
      </c>
      <c r="U313">
        <v>0</v>
      </c>
      <c r="V313">
        <v>20</v>
      </c>
      <c r="W313">
        <v>110000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>
      <c r="A314">
        <v>630</v>
      </c>
      <c r="B314" t="s">
        <v>149</v>
      </c>
      <c r="C314">
        <v>1290</v>
      </c>
      <c r="D314" t="s">
        <v>375</v>
      </c>
      <c r="F314" t="s">
        <v>43</v>
      </c>
      <c r="G314" t="s">
        <v>150</v>
      </c>
      <c r="H314" t="s">
        <v>151</v>
      </c>
      <c r="I314" t="s">
        <v>4</v>
      </c>
      <c r="J314" t="s">
        <v>152</v>
      </c>
      <c r="K314" t="s">
        <v>153</v>
      </c>
      <c r="L314">
        <v>251200320</v>
      </c>
      <c r="M314" s="84">
        <v>46002</v>
      </c>
      <c r="N314" s="84">
        <v>46002</v>
      </c>
      <c r="O314" t="s">
        <v>154</v>
      </c>
      <c r="P314" t="s">
        <v>155</v>
      </c>
      <c r="Q314">
        <v>5500</v>
      </c>
      <c r="R314">
        <v>3</v>
      </c>
      <c r="S314">
        <v>16500</v>
      </c>
      <c r="T314">
        <v>0</v>
      </c>
      <c r="U314">
        <v>0</v>
      </c>
      <c r="V314">
        <v>3</v>
      </c>
      <c r="W314">
        <v>16500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>
      <c r="A315">
        <v>631</v>
      </c>
      <c r="B315" t="s">
        <v>149</v>
      </c>
      <c r="C315">
        <v>1517</v>
      </c>
      <c r="D315" t="s">
        <v>352</v>
      </c>
      <c r="F315" t="s">
        <v>80</v>
      </c>
      <c r="G315" t="s">
        <v>164</v>
      </c>
      <c r="H315" t="s">
        <v>151</v>
      </c>
      <c r="I315" t="s">
        <v>4</v>
      </c>
      <c r="J315" t="s">
        <v>152</v>
      </c>
      <c r="K315" t="s">
        <v>153</v>
      </c>
      <c r="L315">
        <v>251200321</v>
      </c>
      <c r="M315" s="84">
        <v>46002</v>
      </c>
      <c r="N315" s="84">
        <v>46002</v>
      </c>
      <c r="O315" t="s">
        <v>160</v>
      </c>
      <c r="P315" t="s">
        <v>161</v>
      </c>
      <c r="Q315">
        <v>5500</v>
      </c>
      <c r="R315">
        <v>24</v>
      </c>
      <c r="S315">
        <v>132000</v>
      </c>
      <c r="T315">
        <v>0</v>
      </c>
      <c r="U315">
        <v>0</v>
      </c>
      <c r="V315">
        <v>24</v>
      </c>
      <c r="W315">
        <v>132000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>
        <v>633</v>
      </c>
      <c r="B316" t="s">
        <v>149</v>
      </c>
      <c r="C316">
        <v>1491</v>
      </c>
      <c r="D316" t="s">
        <v>354</v>
      </c>
      <c r="F316" t="s">
        <v>111</v>
      </c>
      <c r="G316" t="s">
        <v>150</v>
      </c>
      <c r="H316" t="s">
        <v>151</v>
      </c>
      <c r="I316" t="s">
        <v>4</v>
      </c>
      <c r="J316" t="s">
        <v>152</v>
      </c>
      <c r="K316" t="s">
        <v>153</v>
      </c>
      <c r="L316">
        <v>251200323</v>
      </c>
      <c r="M316" s="84">
        <v>46002</v>
      </c>
      <c r="N316" s="84">
        <v>46002</v>
      </c>
      <c r="O316" t="s">
        <v>162</v>
      </c>
      <c r="P316" t="s">
        <v>163</v>
      </c>
      <c r="Q316">
        <v>5500</v>
      </c>
      <c r="R316">
        <v>4</v>
      </c>
      <c r="S316">
        <v>22000</v>
      </c>
      <c r="T316">
        <v>0</v>
      </c>
      <c r="U316">
        <v>0</v>
      </c>
      <c r="V316">
        <v>4</v>
      </c>
      <c r="W316">
        <v>22000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>
      <c r="A317">
        <v>634</v>
      </c>
      <c r="B317" t="s">
        <v>149</v>
      </c>
      <c r="C317">
        <v>1491</v>
      </c>
      <c r="D317" t="s">
        <v>354</v>
      </c>
      <c r="F317" t="s">
        <v>111</v>
      </c>
      <c r="G317" t="s">
        <v>150</v>
      </c>
      <c r="H317" t="s">
        <v>151</v>
      </c>
      <c r="I317" t="s">
        <v>4</v>
      </c>
      <c r="J317" t="s">
        <v>152</v>
      </c>
      <c r="K317" t="s">
        <v>153</v>
      </c>
      <c r="L317">
        <v>251200323</v>
      </c>
      <c r="M317" s="84">
        <v>46002</v>
      </c>
      <c r="N317" s="84">
        <v>46002</v>
      </c>
      <c r="O317" t="s">
        <v>179</v>
      </c>
      <c r="P317" t="s">
        <v>180</v>
      </c>
      <c r="Q317">
        <v>5500</v>
      </c>
      <c r="R317">
        <v>8</v>
      </c>
      <c r="S317">
        <v>44000</v>
      </c>
      <c r="T317">
        <v>0</v>
      </c>
      <c r="U317">
        <v>0</v>
      </c>
      <c r="V317">
        <v>8</v>
      </c>
      <c r="W317">
        <v>44000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>
      <c r="A318">
        <v>635</v>
      </c>
      <c r="B318" t="s">
        <v>149</v>
      </c>
      <c r="C318">
        <v>1491</v>
      </c>
      <c r="D318" t="s">
        <v>354</v>
      </c>
      <c r="F318" t="s">
        <v>111</v>
      </c>
      <c r="G318" t="s">
        <v>150</v>
      </c>
      <c r="H318" t="s">
        <v>151</v>
      </c>
      <c r="I318" t="s">
        <v>4</v>
      </c>
      <c r="J318" t="s">
        <v>152</v>
      </c>
      <c r="K318" t="s">
        <v>153</v>
      </c>
      <c r="L318">
        <v>251200323</v>
      </c>
      <c r="M318" s="84">
        <v>46002</v>
      </c>
      <c r="N318" s="84">
        <v>46002</v>
      </c>
      <c r="O318" t="s">
        <v>160</v>
      </c>
      <c r="P318" t="s">
        <v>161</v>
      </c>
      <c r="Q318">
        <v>5500</v>
      </c>
      <c r="R318">
        <v>13</v>
      </c>
      <c r="S318">
        <v>71500</v>
      </c>
      <c r="T318">
        <v>0</v>
      </c>
      <c r="U318">
        <v>0</v>
      </c>
      <c r="V318">
        <v>13</v>
      </c>
      <c r="W318">
        <v>71500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637</v>
      </c>
      <c r="B319" t="s">
        <v>149</v>
      </c>
      <c r="C319">
        <v>1335</v>
      </c>
      <c r="D319" t="s">
        <v>318</v>
      </c>
      <c r="F319" t="s">
        <v>43</v>
      </c>
      <c r="G319" t="s">
        <v>150</v>
      </c>
      <c r="H319" t="s">
        <v>151</v>
      </c>
      <c r="I319" t="s">
        <v>5</v>
      </c>
      <c r="J319" t="s">
        <v>152</v>
      </c>
      <c r="K319" t="s">
        <v>153</v>
      </c>
      <c r="L319">
        <v>251200325</v>
      </c>
      <c r="M319" s="84">
        <v>46004</v>
      </c>
      <c r="N319" s="84">
        <v>46004</v>
      </c>
      <c r="O319" t="s">
        <v>191</v>
      </c>
      <c r="P319" t="s">
        <v>192</v>
      </c>
      <c r="Q319">
        <v>4500</v>
      </c>
      <c r="R319">
        <v>20</v>
      </c>
      <c r="S319">
        <v>90000</v>
      </c>
      <c r="T319">
        <v>0</v>
      </c>
      <c r="U319">
        <v>0</v>
      </c>
      <c r="V319">
        <v>20</v>
      </c>
      <c r="W319">
        <v>90000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>
        <v>638</v>
      </c>
      <c r="B320" t="s">
        <v>149</v>
      </c>
      <c r="C320">
        <v>1530</v>
      </c>
      <c r="D320" t="s">
        <v>379</v>
      </c>
      <c r="F320" t="s">
        <v>111</v>
      </c>
      <c r="G320" t="s">
        <v>150</v>
      </c>
      <c r="H320" t="s">
        <v>151</v>
      </c>
      <c r="I320" t="s">
        <v>4</v>
      </c>
      <c r="J320" t="s">
        <v>152</v>
      </c>
      <c r="K320" t="s">
        <v>153</v>
      </c>
      <c r="L320">
        <v>251200326</v>
      </c>
      <c r="M320" s="84">
        <v>46004</v>
      </c>
      <c r="N320" s="84">
        <v>46004</v>
      </c>
      <c r="O320" t="s">
        <v>321</v>
      </c>
      <c r="P320" t="s">
        <v>322</v>
      </c>
      <c r="Q320">
        <v>5500</v>
      </c>
      <c r="R320">
        <v>20</v>
      </c>
      <c r="S320">
        <v>110000</v>
      </c>
      <c r="T320">
        <v>0</v>
      </c>
      <c r="U320">
        <v>0</v>
      </c>
      <c r="V320">
        <v>20</v>
      </c>
      <c r="W320">
        <v>110000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639</v>
      </c>
      <c r="B321" t="s">
        <v>149</v>
      </c>
      <c r="C321">
        <v>1530</v>
      </c>
      <c r="D321" t="s">
        <v>379</v>
      </c>
      <c r="F321" t="s">
        <v>111</v>
      </c>
      <c r="G321" t="s">
        <v>150</v>
      </c>
      <c r="H321" t="s">
        <v>151</v>
      </c>
      <c r="I321" t="s">
        <v>4</v>
      </c>
      <c r="J321" t="s">
        <v>152</v>
      </c>
      <c r="K321" t="s">
        <v>153</v>
      </c>
      <c r="L321">
        <v>251200326</v>
      </c>
      <c r="M321" s="84">
        <v>46004</v>
      </c>
      <c r="N321" s="84">
        <v>46004</v>
      </c>
      <c r="O321" t="s">
        <v>380</v>
      </c>
      <c r="P321" t="s">
        <v>381</v>
      </c>
      <c r="Q321">
        <v>5500</v>
      </c>
      <c r="R321">
        <v>20</v>
      </c>
      <c r="S321">
        <v>110000</v>
      </c>
      <c r="T321">
        <v>0</v>
      </c>
      <c r="U321">
        <v>0</v>
      </c>
      <c r="V321">
        <v>20</v>
      </c>
      <c r="W321">
        <v>110000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>
        <v>640</v>
      </c>
      <c r="B322" t="s">
        <v>149</v>
      </c>
      <c r="C322">
        <v>1551</v>
      </c>
      <c r="D322" t="s">
        <v>316</v>
      </c>
      <c r="F322" t="s">
        <v>111</v>
      </c>
      <c r="G322" t="s">
        <v>150</v>
      </c>
      <c r="H322" t="s">
        <v>151</v>
      </c>
      <c r="I322" t="s">
        <v>4</v>
      </c>
      <c r="J322" t="s">
        <v>152</v>
      </c>
      <c r="K322" t="s">
        <v>153</v>
      </c>
      <c r="L322">
        <v>251200327</v>
      </c>
      <c r="M322" s="84">
        <v>46004</v>
      </c>
      <c r="N322" s="84">
        <v>46004</v>
      </c>
      <c r="O322" t="s">
        <v>168</v>
      </c>
      <c r="P322" t="s">
        <v>169</v>
      </c>
      <c r="Q322">
        <v>5500</v>
      </c>
      <c r="R322">
        <v>8</v>
      </c>
      <c r="S322">
        <v>44000</v>
      </c>
      <c r="T322">
        <v>0</v>
      </c>
      <c r="U322">
        <v>0</v>
      </c>
      <c r="V322">
        <v>8</v>
      </c>
      <c r="W322">
        <v>44000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641</v>
      </c>
      <c r="B323" t="s">
        <v>149</v>
      </c>
      <c r="C323">
        <v>1551</v>
      </c>
      <c r="D323" t="s">
        <v>316</v>
      </c>
      <c r="F323" t="s">
        <v>111</v>
      </c>
      <c r="G323" t="s">
        <v>150</v>
      </c>
      <c r="H323" t="s">
        <v>151</v>
      </c>
      <c r="I323" t="s">
        <v>5</v>
      </c>
      <c r="J323" t="s">
        <v>152</v>
      </c>
      <c r="K323" t="s">
        <v>153</v>
      </c>
      <c r="L323">
        <v>251200327</v>
      </c>
      <c r="M323" s="84">
        <v>46004</v>
      </c>
      <c r="N323" s="84">
        <v>46004</v>
      </c>
      <c r="O323" t="s">
        <v>191</v>
      </c>
      <c r="P323" t="s">
        <v>192</v>
      </c>
      <c r="Q323">
        <v>4500</v>
      </c>
      <c r="R323">
        <v>12</v>
      </c>
      <c r="S323">
        <v>54000</v>
      </c>
      <c r="T323">
        <v>0</v>
      </c>
      <c r="U323">
        <v>0</v>
      </c>
      <c r="V323">
        <v>12</v>
      </c>
      <c r="W323">
        <v>54000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>
        <v>642</v>
      </c>
      <c r="B324" t="s">
        <v>149</v>
      </c>
      <c r="C324">
        <v>1551</v>
      </c>
      <c r="D324" t="s">
        <v>316</v>
      </c>
      <c r="F324" t="s">
        <v>111</v>
      </c>
      <c r="G324" t="s">
        <v>150</v>
      </c>
      <c r="H324" t="s">
        <v>151</v>
      </c>
      <c r="I324" t="s">
        <v>4</v>
      </c>
      <c r="J324" t="s">
        <v>152</v>
      </c>
      <c r="K324" t="s">
        <v>153</v>
      </c>
      <c r="L324">
        <v>251200327</v>
      </c>
      <c r="M324" s="84">
        <v>46004</v>
      </c>
      <c r="N324" s="84">
        <v>46004</v>
      </c>
      <c r="O324" t="s">
        <v>267</v>
      </c>
      <c r="P324" t="s">
        <v>268</v>
      </c>
      <c r="Q324">
        <v>5500</v>
      </c>
      <c r="R324">
        <v>12</v>
      </c>
      <c r="S324">
        <v>66000</v>
      </c>
      <c r="T324">
        <v>0</v>
      </c>
      <c r="U324">
        <v>0</v>
      </c>
      <c r="V324">
        <v>12</v>
      </c>
      <c r="W324">
        <v>66000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>
        <v>644</v>
      </c>
      <c r="B325" t="s">
        <v>149</v>
      </c>
      <c r="C325">
        <v>1596</v>
      </c>
      <c r="D325" t="s">
        <v>315</v>
      </c>
      <c r="F325" t="s">
        <v>111</v>
      </c>
      <c r="G325" t="s">
        <v>150</v>
      </c>
      <c r="H325" t="s">
        <v>151</v>
      </c>
      <c r="I325" t="s">
        <v>4</v>
      </c>
      <c r="J325" t="s">
        <v>152</v>
      </c>
      <c r="K325" t="s">
        <v>153</v>
      </c>
      <c r="L325">
        <v>251200329</v>
      </c>
      <c r="M325" s="84">
        <v>46004</v>
      </c>
      <c r="N325" s="84">
        <v>46004</v>
      </c>
      <c r="O325" t="s">
        <v>168</v>
      </c>
      <c r="P325" t="s">
        <v>169</v>
      </c>
      <c r="Q325">
        <v>5500</v>
      </c>
      <c r="R325">
        <v>2</v>
      </c>
      <c r="S325">
        <v>11000</v>
      </c>
      <c r="T325">
        <v>0</v>
      </c>
      <c r="U325">
        <v>0</v>
      </c>
      <c r="V325">
        <v>2</v>
      </c>
      <c r="W325">
        <v>11000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645</v>
      </c>
      <c r="B326" t="s">
        <v>149</v>
      </c>
      <c r="C326">
        <v>1596</v>
      </c>
      <c r="D326" t="s">
        <v>315</v>
      </c>
      <c r="F326" t="s">
        <v>111</v>
      </c>
      <c r="G326" t="s">
        <v>150</v>
      </c>
      <c r="H326" t="s">
        <v>151</v>
      </c>
      <c r="I326" t="s">
        <v>4</v>
      </c>
      <c r="J326" t="s">
        <v>152</v>
      </c>
      <c r="K326" t="s">
        <v>153</v>
      </c>
      <c r="L326">
        <v>251200329</v>
      </c>
      <c r="M326" s="84">
        <v>46004</v>
      </c>
      <c r="N326" s="84">
        <v>46004</v>
      </c>
      <c r="O326" t="s">
        <v>248</v>
      </c>
      <c r="P326" t="s">
        <v>249</v>
      </c>
      <c r="Q326">
        <v>5500</v>
      </c>
      <c r="R326">
        <v>10</v>
      </c>
      <c r="S326">
        <v>55000</v>
      </c>
      <c r="T326">
        <v>0</v>
      </c>
      <c r="U326">
        <v>0</v>
      </c>
      <c r="V326">
        <v>10</v>
      </c>
      <c r="W326">
        <v>55000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646</v>
      </c>
      <c r="B327" t="s">
        <v>149</v>
      </c>
      <c r="C327">
        <v>1593</v>
      </c>
      <c r="D327" t="s">
        <v>343</v>
      </c>
      <c r="F327" t="s">
        <v>111</v>
      </c>
      <c r="G327" t="s">
        <v>150</v>
      </c>
      <c r="H327" t="s">
        <v>151</v>
      </c>
      <c r="I327" t="s">
        <v>4</v>
      </c>
      <c r="J327" t="s">
        <v>152</v>
      </c>
      <c r="K327" t="s">
        <v>153</v>
      </c>
      <c r="L327">
        <v>251200330</v>
      </c>
      <c r="M327" s="84">
        <v>46004</v>
      </c>
      <c r="N327" s="84">
        <v>46004</v>
      </c>
      <c r="O327" t="s">
        <v>160</v>
      </c>
      <c r="P327" t="s">
        <v>161</v>
      </c>
      <c r="Q327">
        <v>5500</v>
      </c>
      <c r="R327">
        <v>10</v>
      </c>
      <c r="S327">
        <v>55000</v>
      </c>
      <c r="T327">
        <v>0</v>
      </c>
      <c r="U327">
        <v>0</v>
      </c>
      <c r="V327">
        <v>10</v>
      </c>
      <c r="W327">
        <v>55000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647</v>
      </c>
      <c r="B328" t="s">
        <v>149</v>
      </c>
      <c r="C328">
        <v>1593</v>
      </c>
      <c r="D328" t="s">
        <v>343</v>
      </c>
      <c r="F328" t="s">
        <v>111</v>
      </c>
      <c r="G328" t="s">
        <v>150</v>
      </c>
      <c r="H328" t="s">
        <v>151</v>
      </c>
      <c r="I328" t="s">
        <v>4</v>
      </c>
      <c r="J328" t="s">
        <v>152</v>
      </c>
      <c r="K328" t="s">
        <v>153</v>
      </c>
      <c r="L328">
        <v>251200330</v>
      </c>
      <c r="M328" s="84">
        <v>46004</v>
      </c>
      <c r="N328" s="84">
        <v>46004</v>
      </c>
      <c r="O328" t="s">
        <v>206</v>
      </c>
      <c r="P328" t="s">
        <v>207</v>
      </c>
      <c r="Q328">
        <v>5500</v>
      </c>
      <c r="R328">
        <v>10</v>
      </c>
      <c r="S328">
        <v>55000</v>
      </c>
      <c r="T328">
        <v>0</v>
      </c>
      <c r="U328">
        <v>0</v>
      </c>
      <c r="V328">
        <v>10</v>
      </c>
      <c r="W328">
        <v>55000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648</v>
      </c>
      <c r="B329" t="s">
        <v>149</v>
      </c>
      <c r="C329">
        <v>1593</v>
      </c>
      <c r="D329" t="s">
        <v>343</v>
      </c>
      <c r="F329" t="s">
        <v>111</v>
      </c>
      <c r="G329" t="s">
        <v>150</v>
      </c>
      <c r="H329" t="s">
        <v>151</v>
      </c>
      <c r="I329" t="s">
        <v>4</v>
      </c>
      <c r="J329" t="s">
        <v>152</v>
      </c>
      <c r="K329" t="s">
        <v>153</v>
      </c>
      <c r="L329">
        <v>251200330</v>
      </c>
      <c r="M329" s="84">
        <v>46004</v>
      </c>
      <c r="N329" s="84">
        <v>46004</v>
      </c>
      <c r="O329" t="s">
        <v>154</v>
      </c>
      <c r="P329" t="s">
        <v>155</v>
      </c>
      <c r="Q329">
        <v>5500</v>
      </c>
      <c r="R329">
        <v>10</v>
      </c>
      <c r="S329">
        <v>55000</v>
      </c>
      <c r="T329">
        <v>0</v>
      </c>
      <c r="U329">
        <v>0</v>
      </c>
      <c r="V329">
        <v>10</v>
      </c>
      <c r="W329">
        <v>55000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649</v>
      </c>
      <c r="B330" t="s">
        <v>149</v>
      </c>
      <c r="C330">
        <v>1557</v>
      </c>
      <c r="D330" t="s">
        <v>344</v>
      </c>
      <c r="F330" t="s">
        <v>111</v>
      </c>
      <c r="G330" t="s">
        <v>150</v>
      </c>
      <c r="H330" t="s">
        <v>151</v>
      </c>
      <c r="I330" t="s">
        <v>4</v>
      </c>
      <c r="J330" t="s">
        <v>152</v>
      </c>
      <c r="K330" t="s">
        <v>153</v>
      </c>
      <c r="L330">
        <v>251200331</v>
      </c>
      <c r="M330" s="84">
        <v>46004</v>
      </c>
      <c r="N330" s="84">
        <v>46004</v>
      </c>
      <c r="O330" t="s">
        <v>160</v>
      </c>
      <c r="P330" t="s">
        <v>161</v>
      </c>
      <c r="Q330">
        <v>5500</v>
      </c>
      <c r="R330">
        <v>15</v>
      </c>
      <c r="S330">
        <v>82500</v>
      </c>
      <c r="T330">
        <v>0</v>
      </c>
      <c r="U330">
        <v>0</v>
      </c>
      <c r="V330">
        <v>15</v>
      </c>
      <c r="W330">
        <v>82500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680</v>
      </c>
      <c r="B331" t="s">
        <v>149</v>
      </c>
      <c r="C331">
        <v>1444</v>
      </c>
      <c r="D331" t="s">
        <v>341</v>
      </c>
      <c r="F331" t="s">
        <v>28</v>
      </c>
      <c r="G331" t="s">
        <v>164</v>
      </c>
      <c r="H331" t="s">
        <v>151</v>
      </c>
      <c r="I331" t="s">
        <v>4</v>
      </c>
      <c r="J331" t="s">
        <v>152</v>
      </c>
      <c r="K331" t="s">
        <v>153</v>
      </c>
      <c r="L331">
        <v>251200344</v>
      </c>
      <c r="M331" s="84">
        <v>46004</v>
      </c>
      <c r="N331" s="84">
        <v>46004</v>
      </c>
      <c r="O331" t="s">
        <v>219</v>
      </c>
      <c r="P331" t="s">
        <v>220</v>
      </c>
      <c r="Q331">
        <v>5500</v>
      </c>
      <c r="R331">
        <v>4</v>
      </c>
      <c r="S331">
        <v>22000</v>
      </c>
      <c r="T331">
        <v>0</v>
      </c>
      <c r="U331">
        <v>0</v>
      </c>
      <c r="V331">
        <v>4</v>
      </c>
      <c r="W331">
        <v>22000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681</v>
      </c>
      <c r="B332" t="s">
        <v>149</v>
      </c>
      <c r="C332">
        <v>1305</v>
      </c>
      <c r="D332" t="s">
        <v>383</v>
      </c>
      <c r="F332" t="s">
        <v>28</v>
      </c>
      <c r="G332" t="s">
        <v>164</v>
      </c>
      <c r="H332" t="s">
        <v>151</v>
      </c>
      <c r="I332" t="s">
        <v>5</v>
      </c>
      <c r="J332" t="s">
        <v>152</v>
      </c>
      <c r="K332" t="s">
        <v>153</v>
      </c>
      <c r="L332">
        <v>251200345</v>
      </c>
      <c r="M332" s="84">
        <v>46004</v>
      </c>
      <c r="N332" s="84">
        <v>46004</v>
      </c>
      <c r="O332" t="s">
        <v>191</v>
      </c>
      <c r="P332" t="s">
        <v>192</v>
      </c>
      <c r="Q332">
        <v>4500</v>
      </c>
      <c r="R332">
        <v>20</v>
      </c>
      <c r="S332">
        <v>90000</v>
      </c>
      <c r="T332">
        <v>0</v>
      </c>
      <c r="U332">
        <v>0</v>
      </c>
      <c r="V332">
        <v>20</v>
      </c>
      <c r="W332">
        <v>90000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682</v>
      </c>
      <c r="B333" t="s">
        <v>149</v>
      </c>
      <c r="C333">
        <v>1306</v>
      </c>
      <c r="D333" t="s">
        <v>377</v>
      </c>
      <c r="F333" t="s">
        <v>28</v>
      </c>
      <c r="G333" t="s">
        <v>164</v>
      </c>
      <c r="H333" t="s">
        <v>151</v>
      </c>
      <c r="I333" t="s">
        <v>5</v>
      </c>
      <c r="J333" t="s">
        <v>152</v>
      </c>
      <c r="K333" t="s">
        <v>153</v>
      </c>
      <c r="L333">
        <v>251200346</v>
      </c>
      <c r="M333" s="84">
        <v>46004</v>
      </c>
      <c r="N333" s="84">
        <v>46004</v>
      </c>
      <c r="O333" t="s">
        <v>260</v>
      </c>
      <c r="P333" t="s">
        <v>261</v>
      </c>
      <c r="Q333">
        <v>4500</v>
      </c>
      <c r="R333">
        <v>20</v>
      </c>
      <c r="S333">
        <v>90000</v>
      </c>
      <c r="T333">
        <v>0</v>
      </c>
      <c r="U333">
        <v>0</v>
      </c>
      <c r="V333">
        <v>20</v>
      </c>
      <c r="W333">
        <v>90000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685</v>
      </c>
      <c r="B334" t="s">
        <v>149</v>
      </c>
      <c r="C334">
        <v>1326</v>
      </c>
      <c r="D334" t="s">
        <v>338</v>
      </c>
      <c r="F334" t="s">
        <v>15</v>
      </c>
      <c r="G334" t="s">
        <v>193</v>
      </c>
      <c r="H334" t="s">
        <v>151</v>
      </c>
      <c r="I334" t="s">
        <v>4</v>
      </c>
      <c r="J334" t="s">
        <v>152</v>
      </c>
      <c r="K334" t="s">
        <v>153</v>
      </c>
      <c r="L334">
        <v>251200349</v>
      </c>
      <c r="M334" s="84">
        <v>46004</v>
      </c>
      <c r="N334" s="84">
        <v>46004</v>
      </c>
      <c r="O334" t="s">
        <v>160</v>
      </c>
      <c r="P334" t="s">
        <v>161</v>
      </c>
      <c r="Q334">
        <v>5500</v>
      </c>
      <c r="R334">
        <v>15</v>
      </c>
      <c r="S334">
        <v>82500</v>
      </c>
      <c r="T334">
        <v>0</v>
      </c>
      <c r="U334">
        <v>0</v>
      </c>
      <c r="V334">
        <v>15</v>
      </c>
      <c r="W334">
        <v>82500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693</v>
      </c>
      <c r="B335" t="s">
        <v>149</v>
      </c>
      <c r="C335">
        <v>1550</v>
      </c>
      <c r="D335" t="s">
        <v>337</v>
      </c>
      <c r="F335" t="s">
        <v>15</v>
      </c>
      <c r="G335" t="s">
        <v>193</v>
      </c>
      <c r="H335" t="s">
        <v>151</v>
      </c>
      <c r="I335" t="s">
        <v>5</v>
      </c>
      <c r="J335" t="s">
        <v>152</v>
      </c>
      <c r="K335" t="s">
        <v>153</v>
      </c>
      <c r="L335">
        <v>251200352</v>
      </c>
      <c r="M335" s="84">
        <v>46004</v>
      </c>
      <c r="N335" s="84">
        <v>46004</v>
      </c>
      <c r="O335" t="s">
        <v>191</v>
      </c>
      <c r="P335" t="s">
        <v>192</v>
      </c>
      <c r="Q335">
        <v>4500</v>
      </c>
      <c r="R335">
        <v>12</v>
      </c>
      <c r="S335">
        <v>54000</v>
      </c>
      <c r="T335">
        <v>0</v>
      </c>
      <c r="U335">
        <v>0</v>
      </c>
      <c r="V335">
        <v>12</v>
      </c>
      <c r="W335">
        <v>54000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694</v>
      </c>
      <c r="B336" t="s">
        <v>149</v>
      </c>
      <c r="C336">
        <v>1550</v>
      </c>
      <c r="D336" t="s">
        <v>337</v>
      </c>
      <c r="F336" t="s">
        <v>15</v>
      </c>
      <c r="G336" t="s">
        <v>193</v>
      </c>
      <c r="H336" t="s">
        <v>151</v>
      </c>
      <c r="I336" t="s">
        <v>5</v>
      </c>
      <c r="J336" t="s">
        <v>152</v>
      </c>
      <c r="K336" t="s">
        <v>153</v>
      </c>
      <c r="L336">
        <v>251200352</v>
      </c>
      <c r="M336" s="84">
        <v>46004</v>
      </c>
      <c r="N336" s="84">
        <v>46004</v>
      </c>
      <c r="O336" t="s">
        <v>253</v>
      </c>
      <c r="P336" t="s">
        <v>254</v>
      </c>
      <c r="Q336">
        <v>4500</v>
      </c>
      <c r="R336">
        <v>8</v>
      </c>
      <c r="S336">
        <v>36000</v>
      </c>
      <c r="T336">
        <v>0</v>
      </c>
      <c r="U336">
        <v>0</v>
      </c>
      <c r="V336">
        <v>8</v>
      </c>
      <c r="W336">
        <v>36000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696</v>
      </c>
      <c r="B337" t="s">
        <v>149</v>
      </c>
      <c r="C337">
        <v>1550</v>
      </c>
      <c r="D337" t="s">
        <v>337</v>
      </c>
      <c r="F337" t="s">
        <v>15</v>
      </c>
      <c r="G337" t="s">
        <v>193</v>
      </c>
      <c r="H337" t="s">
        <v>151</v>
      </c>
      <c r="I337" t="s">
        <v>5</v>
      </c>
      <c r="J337" t="s">
        <v>152</v>
      </c>
      <c r="K337" t="s">
        <v>153</v>
      </c>
      <c r="L337">
        <v>251200354</v>
      </c>
      <c r="M337" s="84">
        <v>46004</v>
      </c>
      <c r="N337" s="84">
        <v>46004</v>
      </c>
      <c r="O337" t="s">
        <v>260</v>
      </c>
      <c r="P337" t="s">
        <v>261</v>
      </c>
      <c r="Q337">
        <v>4500</v>
      </c>
      <c r="R337">
        <v>12</v>
      </c>
      <c r="S337">
        <v>54000</v>
      </c>
      <c r="T337">
        <v>0</v>
      </c>
      <c r="U337">
        <v>0</v>
      </c>
      <c r="V337">
        <v>12</v>
      </c>
      <c r="W337">
        <v>54000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697</v>
      </c>
      <c r="B338" t="s">
        <v>149</v>
      </c>
      <c r="C338">
        <v>1282</v>
      </c>
      <c r="D338" t="s">
        <v>374</v>
      </c>
      <c r="F338" t="s">
        <v>111</v>
      </c>
      <c r="G338" t="s">
        <v>150</v>
      </c>
      <c r="H338" t="s">
        <v>151</v>
      </c>
      <c r="I338" t="s">
        <v>4</v>
      </c>
      <c r="J338" t="s">
        <v>152</v>
      </c>
      <c r="K338" t="s">
        <v>153</v>
      </c>
      <c r="L338">
        <v>251200355</v>
      </c>
      <c r="M338" s="84">
        <v>46004</v>
      </c>
      <c r="N338" s="84">
        <v>46004</v>
      </c>
      <c r="O338" t="s">
        <v>248</v>
      </c>
      <c r="P338" t="s">
        <v>249</v>
      </c>
      <c r="Q338">
        <v>5500</v>
      </c>
      <c r="R338">
        <v>10</v>
      </c>
      <c r="S338">
        <v>55000</v>
      </c>
      <c r="T338">
        <v>0</v>
      </c>
      <c r="U338">
        <v>0</v>
      </c>
      <c r="V338">
        <v>10</v>
      </c>
      <c r="W338">
        <v>55000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>
      <c r="A339">
        <v>698</v>
      </c>
      <c r="B339" t="s">
        <v>149</v>
      </c>
      <c r="C339">
        <v>1551</v>
      </c>
      <c r="D339" t="s">
        <v>316</v>
      </c>
      <c r="F339" t="s">
        <v>111</v>
      </c>
      <c r="G339" t="s">
        <v>150</v>
      </c>
      <c r="H339" t="s">
        <v>151</v>
      </c>
      <c r="I339" t="s">
        <v>4</v>
      </c>
      <c r="J339" t="s">
        <v>152</v>
      </c>
      <c r="K339" t="s">
        <v>153</v>
      </c>
      <c r="L339">
        <v>251200356</v>
      </c>
      <c r="M339" s="84">
        <v>46004</v>
      </c>
      <c r="N339" s="84">
        <v>46004</v>
      </c>
      <c r="O339" t="s">
        <v>219</v>
      </c>
      <c r="P339" t="s">
        <v>220</v>
      </c>
      <c r="Q339">
        <v>5500</v>
      </c>
      <c r="R339">
        <v>10</v>
      </c>
      <c r="S339">
        <v>55000</v>
      </c>
      <c r="T339">
        <v>0</v>
      </c>
      <c r="U339">
        <v>0</v>
      </c>
      <c r="V339">
        <v>10</v>
      </c>
      <c r="W339">
        <v>55000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>
      <c r="A340">
        <v>699</v>
      </c>
      <c r="B340" t="s">
        <v>149</v>
      </c>
      <c r="C340">
        <v>1551</v>
      </c>
      <c r="D340" t="s">
        <v>316</v>
      </c>
      <c r="F340" t="s">
        <v>111</v>
      </c>
      <c r="G340" t="s">
        <v>150</v>
      </c>
      <c r="H340" t="s">
        <v>151</v>
      </c>
      <c r="I340" t="s">
        <v>4</v>
      </c>
      <c r="J340" t="s">
        <v>152</v>
      </c>
      <c r="K340" t="s">
        <v>153</v>
      </c>
      <c r="L340">
        <v>251200356</v>
      </c>
      <c r="M340" s="84">
        <v>46004</v>
      </c>
      <c r="N340" s="84">
        <v>46004</v>
      </c>
      <c r="O340" t="s">
        <v>262</v>
      </c>
      <c r="P340" t="s">
        <v>263</v>
      </c>
      <c r="Q340">
        <v>5500</v>
      </c>
      <c r="R340">
        <v>5</v>
      </c>
      <c r="S340">
        <v>27500</v>
      </c>
      <c r="T340">
        <v>0</v>
      </c>
      <c r="U340">
        <v>0</v>
      </c>
      <c r="V340">
        <v>5</v>
      </c>
      <c r="W340">
        <v>27500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>
      <c r="A341">
        <v>701</v>
      </c>
      <c r="B341" t="s">
        <v>149</v>
      </c>
      <c r="C341">
        <v>1534</v>
      </c>
      <c r="D341" t="s">
        <v>371</v>
      </c>
      <c r="F341" t="s">
        <v>65</v>
      </c>
      <c r="G341" t="s">
        <v>208</v>
      </c>
      <c r="H341" t="s">
        <v>157</v>
      </c>
      <c r="I341" t="s">
        <v>4</v>
      </c>
      <c r="J341" t="s">
        <v>152</v>
      </c>
      <c r="K341" t="s">
        <v>174</v>
      </c>
      <c r="L341">
        <v>251200358</v>
      </c>
      <c r="M341" s="84">
        <v>46004</v>
      </c>
      <c r="N341" s="84">
        <v>46004</v>
      </c>
      <c r="O341" t="s">
        <v>221</v>
      </c>
      <c r="P341" t="s">
        <v>222</v>
      </c>
      <c r="Q341">
        <v>5500</v>
      </c>
      <c r="R341">
        <v>5</v>
      </c>
      <c r="S341">
        <v>27500</v>
      </c>
      <c r="T341">
        <v>0</v>
      </c>
      <c r="U341">
        <v>0</v>
      </c>
      <c r="V341">
        <v>5</v>
      </c>
      <c r="W341">
        <v>27500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>
      <c r="A342">
        <v>702</v>
      </c>
      <c r="B342" t="s">
        <v>149</v>
      </c>
      <c r="C342">
        <v>1454</v>
      </c>
      <c r="D342" t="s">
        <v>362</v>
      </c>
      <c r="F342" t="s">
        <v>10</v>
      </c>
      <c r="G342" t="s">
        <v>172</v>
      </c>
      <c r="H342" t="s">
        <v>157</v>
      </c>
      <c r="I342" t="s">
        <v>4</v>
      </c>
      <c r="J342" t="s">
        <v>152</v>
      </c>
      <c r="K342" t="s">
        <v>174</v>
      </c>
      <c r="L342">
        <v>251200359</v>
      </c>
      <c r="M342" s="84">
        <v>46004</v>
      </c>
      <c r="N342" s="84">
        <v>46004</v>
      </c>
      <c r="O342" t="s">
        <v>267</v>
      </c>
      <c r="P342" t="s">
        <v>268</v>
      </c>
      <c r="Q342">
        <v>5500</v>
      </c>
      <c r="R342">
        <v>10</v>
      </c>
      <c r="S342">
        <v>55000</v>
      </c>
      <c r="T342">
        <v>0</v>
      </c>
      <c r="U342">
        <v>0</v>
      </c>
      <c r="V342">
        <v>10</v>
      </c>
      <c r="W342">
        <v>55000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>
      <c r="A343">
        <v>703</v>
      </c>
      <c r="B343" t="s">
        <v>149</v>
      </c>
      <c r="C343">
        <v>1439</v>
      </c>
      <c r="D343" t="s">
        <v>363</v>
      </c>
      <c r="F343" t="s">
        <v>171</v>
      </c>
      <c r="G343" t="s">
        <v>172</v>
      </c>
      <c r="H343" t="s">
        <v>157</v>
      </c>
      <c r="I343" t="s">
        <v>4</v>
      </c>
      <c r="J343" t="s">
        <v>152</v>
      </c>
      <c r="K343" t="s">
        <v>174</v>
      </c>
      <c r="L343">
        <v>251200360</v>
      </c>
      <c r="M343" s="84">
        <v>46004</v>
      </c>
      <c r="N343" s="84">
        <v>46004</v>
      </c>
      <c r="O343" t="s">
        <v>225</v>
      </c>
      <c r="P343" t="s">
        <v>226</v>
      </c>
      <c r="Q343">
        <v>5500</v>
      </c>
      <c r="R343">
        <v>5</v>
      </c>
      <c r="S343">
        <v>27500</v>
      </c>
      <c r="T343">
        <v>0</v>
      </c>
      <c r="U343">
        <v>0</v>
      </c>
      <c r="V343">
        <v>5</v>
      </c>
      <c r="W343">
        <v>27500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>
      <c r="A344">
        <v>704</v>
      </c>
      <c r="B344" t="s">
        <v>149</v>
      </c>
      <c r="C344">
        <v>1484</v>
      </c>
      <c r="D344" t="s">
        <v>331</v>
      </c>
      <c r="F344" t="s">
        <v>71</v>
      </c>
      <c r="G344" t="s">
        <v>305</v>
      </c>
      <c r="H344" t="s">
        <v>157</v>
      </c>
      <c r="I344" t="s">
        <v>4</v>
      </c>
      <c r="J344" t="s">
        <v>152</v>
      </c>
      <c r="K344" t="s">
        <v>174</v>
      </c>
      <c r="L344">
        <v>251200361</v>
      </c>
      <c r="M344" s="84">
        <v>46004</v>
      </c>
      <c r="N344" s="84">
        <v>46004</v>
      </c>
      <c r="O344" t="s">
        <v>160</v>
      </c>
      <c r="P344" t="s">
        <v>161</v>
      </c>
      <c r="Q344">
        <v>5500</v>
      </c>
      <c r="R344">
        <v>5</v>
      </c>
      <c r="S344">
        <v>27500</v>
      </c>
      <c r="T344">
        <v>0</v>
      </c>
      <c r="U344">
        <v>0</v>
      </c>
      <c r="V344">
        <v>5</v>
      </c>
      <c r="W344">
        <v>27500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>
      <c r="A345">
        <v>705</v>
      </c>
      <c r="B345" t="s">
        <v>149</v>
      </c>
      <c r="C345">
        <v>1484</v>
      </c>
      <c r="D345" t="s">
        <v>331</v>
      </c>
      <c r="F345" t="s">
        <v>71</v>
      </c>
      <c r="G345" t="s">
        <v>305</v>
      </c>
      <c r="H345" t="s">
        <v>157</v>
      </c>
      <c r="I345" t="s">
        <v>4</v>
      </c>
      <c r="J345" t="s">
        <v>152</v>
      </c>
      <c r="K345" t="s">
        <v>174</v>
      </c>
      <c r="L345">
        <v>251200361</v>
      </c>
      <c r="M345" s="84">
        <v>46004</v>
      </c>
      <c r="N345" s="84">
        <v>46004</v>
      </c>
      <c r="O345" t="s">
        <v>204</v>
      </c>
      <c r="P345" t="s">
        <v>205</v>
      </c>
      <c r="Q345">
        <v>5500</v>
      </c>
      <c r="R345">
        <v>10</v>
      </c>
      <c r="S345">
        <v>55000</v>
      </c>
      <c r="T345">
        <v>0</v>
      </c>
      <c r="U345">
        <v>0</v>
      </c>
      <c r="V345">
        <v>10</v>
      </c>
      <c r="W345">
        <v>55000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>
      <c r="A346">
        <v>706</v>
      </c>
      <c r="B346" t="s">
        <v>149</v>
      </c>
      <c r="C346">
        <v>1315</v>
      </c>
      <c r="D346" t="s">
        <v>392</v>
      </c>
      <c r="F346" t="s">
        <v>86</v>
      </c>
      <c r="G346" t="s">
        <v>156</v>
      </c>
      <c r="H346" t="s">
        <v>157</v>
      </c>
      <c r="I346" t="s">
        <v>4</v>
      </c>
      <c r="J346" t="s">
        <v>152</v>
      </c>
      <c r="K346" t="s">
        <v>159</v>
      </c>
      <c r="L346">
        <v>251200362</v>
      </c>
      <c r="M346" s="84">
        <v>46004</v>
      </c>
      <c r="N346" s="84">
        <v>46004</v>
      </c>
      <c r="O346" t="s">
        <v>160</v>
      </c>
      <c r="P346" t="s">
        <v>161</v>
      </c>
      <c r="Q346">
        <v>5500</v>
      </c>
      <c r="R346">
        <v>15</v>
      </c>
      <c r="S346">
        <v>82500</v>
      </c>
      <c r="T346">
        <v>0</v>
      </c>
      <c r="U346">
        <v>0</v>
      </c>
      <c r="V346">
        <v>15</v>
      </c>
      <c r="W346">
        <v>82500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>
      <c r="A347">
        <v>708</v>
      </c>
      <c r="B347" t="s">
        <v>149</v>
      </c>
      <c r="C347">
        <v>1536</v>
      </c>
      <c r="D347" t="s">
        <v>393</v>
      </c>
      <c r="F347" t="s">
        <v>65</v>
      </c>
      <c r="G347" t="s">
        <v>208</v>
      </c>
      <c r="H347" t="s">
        <v>157</v>
      </c>
      <c r="I347" t="s">
        <v>4</v>
      </c>
      <c r="J347" t="s">
        <v>152</v>
      </c>
      <c r="K347" t="s">
        <v>174</v>
      </c>
      <c r="L347">
        <v>251200364</v>
      </c>
      <c r="M347" s="84">
        <v>46004</v>
      </c>
      <c r="N347" s="84">
        <v>46004</v>
      </c>
      <c r="O347" t="s">
        <v>294</v>
      </c>
      <c r="P347" t="s">
        <v>295</v>
      </c>
      <c r="Q347">
        <v>5500</v>
      </c>
      <c r="R347">
        <v>15</v>
      </c>
      <c r="S347">
        <v>82500</v>
      </c>
      <c r="T347">
        <v>0</v>
      </c>
      <c r="U347">
        <v>0</v>
      </c>
      <c r="V347">
        <v>15</v>
      </c>
      <c r="W347">
        <v>82500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 spans="1:29">
      <c r="A348">
        <v>709</v>
      </c>
      <c r="B348" t="s">
        <v>149</v>
      </c>
      <c r="C348">
        <v>1308</v>
      </c>
      <c r="D348" t="s">
        <v>368</v>
      </c>
      <c r="F348" t="s">
        <v>49</v>
      </c>
      <c r="G348" t="s">
        <v>167</v>
      </c>
      <c r="H348" t="s">
        <v>151</v>
      </c>
      <c r="I348" t="s">
        <v>5</v>
      </c>
      <c r="J348" t="s">
        <v>152</v>
      </c>
      <c r="K348" t="s">
        <v>153</v>
      </c>
      <c r="L348">
        <v>251200365</v>
      </c>
      <c r="M348" s="84">
        <v>46004</v>
      </c>
      <c r="N348" s="84">
        <v>46004</v>
      </c>
      <c r="O348" t="s">
        <v>271</v>
      </c>
      <c r="P348" t="s">
        <v>272</v>
      </c>
      <c r="Q348">
        <v>4500</v>
      </c>
      <c r="R348">
        <v>12</v>
      </c>
      <c r="S348">
        <v>54000</v>
      </c>
      <c r="T348">
        <v>0</v>
      </c>
      <c r="U348">
        <v>0</v>
      </c>
      <c r="V348">
        <v>12</v>
      </c>
      <c r="W348">
        <v>54000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>
      <c r="A349">
        <v>710</v>
      </c>
      <c r="B349" t="s">
        <v>149</v>
      </c>
      <c r="C349">
        <v>1308</v>
      </c>
      <c r="D349" t="s">
        <v>368</v>
      </c>
      <c r="F349" t="s">
        <v>49</v>
      </c>
      <c r="G349" t="s">
        <v>167</v>
      </c>
      <c r="H349" t="s">
        <v>151</v>
      </c>
      <c r="I349" t="s">
        <v>5</v>
      </c>
      <c r="J349" t="s">
        <v>152</v>
      </c>
      <c r="K349" t="s">
        <v>153</v>
      </c>
      <c r="L349">
        <v>251200365</v>
      </c>
      <c r="M349" s="84">
        <v>46004</v>
      </c>
      <c r="N349" s="84">
        <v>46004</v>
      </c>
      <c r="O349" t="s">
        <v>191</v>
      </c>
      <c r="P349" t="s">
        <v>192</v>
      </c>
      <c r="Q349">
        <v>4500</v>
      </c>
      <c r="R349">
        <v>120</v>
      </c>
      <c r="S349">
        <v>540000</v>
      </c>
      <c r="T349">
        <v>0</v>
      </c>
      <c r="U349">
        <v>0</v>
      </c>
      <c r="V349">
        <v>120</v>
      </c>
      <c r="W349">
        <v>540000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>
      <c r="A350">
        <v>711</v>
      </c>
      <c r="B350" t="s">
        <v>149</v>
      </c>
      <c r="C350">
        <v>1308</v>
      </c>
      <c r="D350" t="s">
        <v>368</v>
      </c>
      <c r="F350" t="s">
        <v>49</v>
      </c>
      <c r="G350" t="s">
        <v>167</v>
      </c>
      <c r="H350" t="s">
        <v>151</v>
      </c>
      <c r="I350" t="s">
        <v>5</v>
      </c>
      <c r="J350" t="s">
        <v>152</v>
      </c>
      <c r="K350" t="s">
        <v>153</v>
      </c>
      <c r="L350">
        <v>251200365</v>
      </c>
      <c r="M350" s="84">
        <v>46004</v>
      </c>
      <c r="N350" s="84">
        <v>46004</v>
      </c>
      <c r="O350" t="s">
        <v>260</v>
      </c>
      <c r="P350" t="s">
        <v>261</v>
      </c>
      <c r="Q350">
        <v>4500</v>
      </c>
      <c r="R350">
        <v>12</v>
      </c>
      <c r="S350">
        <v>54000</v>
      </c>
      <c r="T350">
        <v>0</v>
      </c>
      <c r="U350">
        <v>0</v>
      </c>
      <c r="V350">
        <v>12</v>
      </c>
      <c r="W350">
        <v>54000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>
      <c r="A351">
        <v>712</v>
      </c>
      <c r="B351" t="s">
        <v>149</v>
      </c>
      <c r="C351">
        <v>1308</v>
      </c>
      <c r="D351" t="s">
        <v>368</v>
      </c>
      <c r="F351" t="s">
        <v>49</v>
      </c>
      <c r="G351" t="s">
        <v>167</v>
      </c>
      <c r="H351" t="s">
        <v>151</v>
      </c>
      <c r="I351" t="s">
        <v>5</v>
      </c>
      <c r="J351" t="s">
        <v>152</v>
      </c>
      <c r="K351" t="s">
        <v>153</v>
      </c>
      <c r="L351">
        <v>251200366</v>
      </c>
      <c r="M351" s="84">
        <v>46004</v>
      </c>
      <c r="N351" s="84">
        <v>46004</v>
      </c>
      <c r="O351" t="s">
        <v>260</v>
      </c>
      <c r="P351" t="s">
        <v>261</v>
      </c>
      <c r="Q351">
        <v>4500</v>
      </c>
      <c r="R351">
        <v>4</v>
      </c>
      <c r="S351">
        <v>18000</v>
      </c>
      <c r="T351">
        <v>0</v>
      </c>
      <c r="U351">
        <v>0</v>
      </c>
      <c r="V351">
        <v>4</v>
      </c>
      <c r="W351">
        <v>18000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>
      <c r="A352">
        <v>714</v>
      </c>
      <c r="B352" t="s">
        <v>149</v>
      </c>
      <c r="C352">
        <v>1335</v>
      </c>
      <c r="D352" t="s">
        <v>318</v>
      </c>
      <c r="F352" t="s">
        <v>43</v>
      </c>
      <c r="G352" t="s">
        <v>150</v>
      </c>
      <c r="H352" t="s">
        <v>151</v>
      </c>
      <c r="I352" t="s">
        <v>5</v>
      </c>
      <c r="J352" t="s">
        <v>152</v>
      </c>
      <c r="K352" t="s">
        <v>153</v>
      </c>
      <c r="L352">
        <v>251200368</v>
      </c>
      <c r="M352" s="84">
        <v>46004</v>
      </c>
      <c r="N352" s="84">
        <v>46004</v>
      </c>
      <c r="O352" t="s">
        <v>191</v>
      </c>
      <c r="P352" t="s">
        <v>192</v>
      </c>
      <c r="Q352">
        <v>4500</v>
      </c>
      <c r="R352">
        <v>8</v>
      </c>
      <c r="S352">
        <v>36000</v>
      </c>
      <c r="T352">
        <v>0</v>
      </c>
      <c r="U352">
        <v>0</v>
      </c>
      <c r="V352">
        <v>8</v>
      </c>
      <c r="W352">
        <v>36000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>
      <c r="A353">
        <v>715</v>
      </c>
      <c r="B353" t="s">
        <v>149</v>
      </c>
      <c r="C353">
        <v>1282</v>
      </c>
      <c r="D353" t="s">
        <v>374</v>
      </c>
      <c r="F353" t="s">
        <v>111</v>
      </c>
      <c r="G353" t="s">
        <v>150</v>
      </c>
      <c r="H353" t="s">
        <v>151</v>
      </c>
      <c r="I353" t="s">
        <v>4</v>
      </c>
      <c r="J353" t="s">
        <v>152</v>
      </c>
      <c r="K353" t="s">
        <v>153</v>
      </c>
      <c r="L353">
        <v>251200369</v>
      </c>
      <c r="M353" s="84">
        <v>46005</v>
      </c>
      <c r="N353" s="84">
        <v>46005</v>
      </c>
      <c r="O353" t="s">
        <v>262</v>
      </c>
      <c r="P353" t="s">
        <v>263</v>
      </c>
      <c r="Q353">
        <v>5500</v>
      </c>
      <c r="R353">
        <v>20</v>
      </c>
      <c r="S353">
        <v>110000</v>
      </c>
      <c r="T353">
        <v>0</v>
      </c>
      <c r="U353">
        <v>0</v>
      </c>
      <c r="V353">
        <v>20</v>
      </c>
      <c r="W353">
        <v>110000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>
      <c r="A354">
        <v>716</v>
      </c>
      <c r="B354" t="s">
        <v>149</v>
      </c>
      <c r="C354">
        <v>1282</v>
      </c>
      <c r="D354" t="s">
        <v>374</v>
      </c>
      <c r="F354" t="s">
        <v>111</v>
      </c>
      <c r="G354" t="s">
        <v>150</v>
      </c>
      <c r="H354" t="s">
        <v>151</v>
      </c>
      <c r="I354" t="s">
        <v>4</v>
      </c>
      <c r="J354" t="s">
        <v>152</v>
      </c>
      <c r="K354" t="s">
        <v>153</v>
      </c>
      <c r="L354">
        <v>251200369</v>
      </c>
      <c r="M354" s="84">
        <v>46005</v>
      </c>
      <c r="N354" s="84">
        <v>46005</v>
      </c>
      <c r="O354" t="s">
        <v>321</v>
      </c>
      <c r="P354" t="s">
        <v>322</v>
      </c>
      <c r="Q354">
        <v>5500</v>
      </c>
      <c r="R354">
        <v>10</v>
      </c>
      <c r="S354">
        <v>55000</v>
      </c>
      <c r="T354">
        <v>0</v>
      </c>
      <c r="U354">
        <v>0</v>
      </c>
      <c r="V354">
        <v>10</v>
      </c>
      <c r="W354">
        <v>55000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>
      <c r="A355">
        <v>717</v>
      </c>
      <c r="B355" t="s">
        <v>149</v>
      </c>
      <c r="C355">
        <v>1519</v>
      </c>
      <c r="D355" t="s">
        <v>353</v>
      </c>
      <c r="F355" t="s">
        <v>111</v>
      </c>
      <c r="G355" t="s">
        <v>150</v>
      </c>
      <c r="H355" t="s">
        <v>151</v>
      </c>
      <c r="I355" t="s">
        <v>4</v>
      </c>
      <c r="J355" t="s">
        <v>152</v>
      </c>
      <c r="K355" t="s">
        <v>153</v>
      </c>
      <c r="L355">
        <v>251200370</v>
      </c>
      <c r="M355" s="84">
        <v>46005</v>
      </c>
      <c r="N355" s="84">
        <v>46005</v>
      </c>
      <c r="O355" t="s">
        <v>219</v>
      </c>
      <c r="P355" t="s">
        <v>220</v>
      </c>
      <c r="Q355">
        <v>5500</v>
      </c>
      <c r="R355">
        <v>15</v>
      </c>
      <c r="S355">
        <v>82500</v>
      </c>
      <c r="T355">
        <v>0</v>
      </c>
      <c r="U355">
        <v>0</v>
      </c>
      <c r="V355">
        <v>15</v>
      </c>
      <c r="W355">
        <v>82500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>
      <c r="A356">
        <v>718</v>
      </c>
      <c r="B356" t="s">
        <v>149</v>
      </c>
      <c r="C356">
        <v>1551</v>
      </c>
      <c r="D356" t="s">
        <v>316</v>
      </c>
      <c r="F356" t="s">
        <v>111</v>
      </c>
      <c r="G356" t="s">
        <v>150</v>
      </c>
      <c r="H356" t="s">
        <v>151</v>
      </c>
      <c r="I356" t="s">
        <v>4</v>
      </c>
      <c r="J356" t="s">
        <v>152</v>
      </c>
      <c r="K356" t="s">
        <v>153</v>
      </c>
      <c r="L356">
        <v>251200371</v>
      </c>
      <c r="M356" s="84">
        <v>46005</v>
      </c>
      <c r="N356" s="84">
        <v>46005</v>
      </c>
      <c r="O356" t="s">
        <v>160</v>
      </c>
      <c r="P356" t="s">
        <v>161</v>
      </c>
      <c r="Q356">
        <v>5500</v>
      </c>
      <c r="R356">
        <v>28</v>
      </c>
      <c r="S356">
        <v>154000</v>
      </c>
      <c r="T356">
        <v>0</v>
      </c>
      <c r="U356">
        <v>0</v>
      </c>
      <c r="V356">
        <v>28</v>
      </c>
      <c r="W356">
        <v>154000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>
      <c r="A357">
        <v>719</v>
      </c>
      <c r="B357" t="s">
        <v>149</v>
      </c>
      <c r="C357">
        <v>1551</v>
      </c>
      <c r="D357" t="s">
        <v>316</v>
      </c>
      <c r="F357" t="s">
        <v>111</v>
      </c>
      <c r="G357" t="s">
        <v>150</v>
      </c>
      <c r="H357" t="s">
        <v>151</v>
      </c>
      <c r="I357" t="s">
        <v>5</v>
      </c>
      <c r="J357" t="s">
        <v>152</v>
      </c>
      <c r="K357" t="s">
        <v>153</v>
      </c>
      <c r="L357">
        <v>251200371</v>
      </c>
      <c r="M357" s="84">
        <v>46005</v>
      </c>
      <c r="N357" s="84">
        <v>46005</v>
      </c>
      <c r="O357" t="s">
        <v>191</v>
      </c>
      <c r="P357" t="s">
        <v>192</v>
      </c>
      <c r="Q357">
        <v>4500</v>
      </c>
      <c r="R357">
        <v>12</v>
      </c>
      <c r="S357">
        <v>54000</v>
      </c>
      <c r="T357">
        <v>0</v>
      </c>
      <c r="U357">
        <v>0</v>
      </c>
      <c r="V357">
        <v>12</v>
      </c>
      <c r="W357">
        <v>54000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>
      <c r="A358">
        <v>720</v>
      </c>
      <c r="B358" t="s">
        <v>149</v>
      </c>
      <c r="C358">
        <v>1557</v>
      </c>
      <c r="D358" t="s">
        <v>344</v>
      </c>
      <c r="F358" t="s">
        <v>111</v>
      </c>
      <c r="G358" t="s">
        <v>150</v>
      </c>
      <c r="H358" t="s">
        <v>151</v>
      </c>
      <c r="I358" t="s">
        <v>4</v>
      </c>
      <c r="J358" t="s">
        <v>152</v>
      </c>
      <c r="K358" t="s">
        <v>153</v>
      </c>
      <c r="L358">
        <v>251200372</v>
      </c>
      <c r="M358" s="84">
        <v>46005</v>
      </c>
      <c r="N358" s="84">
        <v>46005</v>
      </c>
      <c r="O358" t="s">
        <v>160</v>
      </c>
      <c r="P358" t="s">
        <v>161</v>
      </c>
      <c r="Q358">
        <v>5500</v>
      </c>
      <c r="R358">
        <v>20</v>
      </c>
      <c r="S358">
        <v>110000</v>
      </c>
      <c r="T358">
        <v>0</v>
      </c>
      <c r="U358">
        <v>0</v>
      </c>
      <c r="V358">
        <v>20</v>
      </c>
      <c r="W358">
        <v>110000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>
      <c r="A359">
        <v>721</v>
      </c>
      <c r="B359" t="s">
        <v>149</v>
      </c>
      <c r="C359">
        <v>1557</v>
      </c>
      <c r="D359" t="s">
        <v>344</v>
      </c>
      <c r="F359" t="s">
        <v>111</v>
      </c>
      <c r="G359" t="s">
        <v>150</v>
      </c>
      <c r="H359" t="s">
        <v>151</v>
      </c>
      <c r="I359" t="s">
        <v>4</v>
      </c>
      <c r="J359" t="s">
        <v>152</v>
      </c>
      <c r="K359" t="s">
        <v>153</v>
      </c>
      <c r="L359">
        <v>251200372</v>
      </c>
      <c r="M359" s="84">
        <v>46005</v>
      </c>
      <c r="N359" s="84">
        <v>46005</v>
      </c>
      <c r="O359" t="s">
        <v>206</v>
      </c>
      <c r="P359" t="s">
        <v>207</v>
      </c>
      <c r="Q359">
        <v>5500</v>
      </c>
      <c r="R359">
        <v>5</v>
      </c>
      <c r="S359">
        <v>27500</v>
      </c>
      <c r="T359">
        <v>0</v>
      </c>
      <c r="U359">
        <v>0</v>
      </c>
      <c r="V359">
        <v>5</v>
      </c>
      <c r="W359">
        <v>27500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>
      <c r="A360">
        <v>722</v>
      </c>
      <c r="B360" t="s">
        <v>149</v>
      </c>
      <c r="C360">
        <v>1557</v>
      </c>
      <c r="D360" t="s">
        <v>344</v>
      </c>
      <c r="F360" t="s">
        <v>111</v>
      </c>
      <c r="G360" t="s">
        <v>150</v>
      </c>
      <c r="H360" t="s">
        <v>151</v>
      </c>
      <c r="I360" t="s">
        <v>4</v>
      </c>
      <c r="J360" t="s">
        <v>152</v>
      </c>
      <c r="K360" t="s">
        <v>153</v>
      </c>
      <c r="L360">
        <v>251200372</v>
      </c>
      <c r="M360" s="84">
        <v>46005</v>
      </c>
      <c r="N360" s="84">
        <v>46005</v>
      </c>
      <c r="O360" t="s">
        <v>179</v>
      </c>
      <c r="P360" t="s">
        <v>180</v>
      </c>
      <c r="Q360">
        <v>5500</v>
      </c>
      <c r="R360">
        <v>5</v>
      </c>
      <c r="S360">
        <v>27500</v>
      </c>
      <c r="T360">
        <v>0</v>
      </c>
      <c r="U360">
        <v>0</v>
      </c>
      <c r="V360">
        <v>5</v>
      </c>
      <c r="W360">
        <v>27500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>
      <c r="A361">
        <v>723</v>
      </c>
      <c r="B361" t="s">
        <v>149</v>
      </c>
      <c r="C361">
        <v>1557</v>
      </c>
      <c r="D361" t="s">
        <v>344</v>
      </c>
      <c r="F361" t="s">
        <v>111</v>
      </c>
      <c r="G361" t="s">
        <v>150</v>
      </c>
      <c r="H361" t="s">
        <v>151</v>
      </c>
      <c r="I361" t="s">
        <v>5</v>
      </c>
      <c r="J361" t="s">
        <v>152</v>
      </c>
      <c r="K361" t="s">
        <v>153</v>
      </c>
      <c r="L361">
        <v>251200372</v>
      </c>
      <c r="M361" s="84">
        <v>46005</v>
      </c>
      <c r="N361" s="84">
        <v>46005</v>
      </c>
      <c r="O361" t="s">
        <v>273</v>
      </c>
      <c r="P361" t="s">
        <v>274</v>
      </c>
      <c r="Q361">
        <v>4500</v>
      </c>
      <c r="R361">
        <v>16</v>
      </c>
      <c r="S361">
        <v>72000</v>
      </c>
      <c r="T361">
        <v>0</v>
      </c>
      <c r="U361">
        <v>0</v>
      </c>
      <c r="V361">
        <v>16</v>
      </c>
      <c r="W361">
        <v>72000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>
      <c r="A362">
        <v>724</v>
      </c>
      <c r="B362" t="s">
        <v>149</v>
      </c>
      <c r="C362">
        <v>1557</v>
      </c>
      <c r="D362" t="s">
        <v>344</v>
      </c>
      <c r="F362" t="s">
        <v>111</v>
      </c>
      <c r="G362" t="s">
        <v>150</v>
      </c>
      <c r="H362" t="s">
        <v>151</v>
      </c>
      <c r="I362" t="s">
        <v>4</v>
      </c>
      <c r="J362" t="s">
        <v>152</v>
      </c>
      <c r="K362" t="s">
        <v>153</v>
      </c>
      <c r="L362">
        <v>251200372</v>
      </c>
      <c r="M362" s="84">
        <v>46005</v>
      </c>
      <c r="N362" s="84">
        <v>46005</v>
      </c>
      <c r="O362" t="s">
        <v>154</v>
      </c>
      <c r="P362" t="s">
        <v>155</v>
      </c>
      <c r="Q362">
        <v>5500</v>
      </c>
      <c r="R362">
        <v>10</v>
      </c>
      <c r="S362">
        <v>55000</v>
      </c>
      <c r="T362">
        <v>0</v>
      </c>
      <c r="U362">
        <v>0</v>
      </c>
      <c r="V362">
        <v>10</v>
      </c>
      <c r="W362">
        <v>55000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>
      <c r="A363">
        <v>725</v>
      </c>
      <c r="B363" t="s">
        <v>149</v>
      </c>
      <c r="C363">
        <v>1557</v>
      </c>
      <c r="D363" t="s">
        <v>344</v>
      </c>
      <c r="F363" t="s">
        <v>111</v>
      </c>
      <c r="G363" t="s">
        <v>150</v>
      </c>
      <c r="H363" t="s">
        <v>151</v>
      </c>
      <c r="I363" t="s">
        <v>4</v>
      </c>
      <c r="J363" t="s">
        <v>152</v>
      </c>
      <c r="K363" t="s">
        <v>153</v>
      </c>
      <c r="L363">
        <v>251200373</v>
      </c>
      <c r="M363" s="84">
        <v>46005</v>
      </c>
      <c r="N363" s="84">
        <v>46005</v>
      </c>
      <c r="O363" t="s">
        <v>179</v>
      </c>
      <c r="P363" t="s">
        <v>180</v>
      </c>
      <c r="Q363">
        <v>5500</v>
      </c>
      <c r="R363">
        <v>5</v>
      </c>
      <c r="S363">
        <v>27500</v>
      </c>
      <c r="T363">
        <v>0</v>
      </c>
      <c r="U363">
        <v>0</v>
      </c>
      <c r="V363">
        <v>5</v>
      </c>
      <c r="W363">
        <v>27500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>
      <c r="A364">
        <v>727</v>
      </c>
      <c r="B364" t="s">
        <v>149</v>
      </c>
      <c r="C364">
        <v>1292</v>
      </c>
      <c r="D364" t="s">
        <v>336</v>
      </c>
      <c r="F364" t="s">
        <v>73</v>
      </c>
      <c r="G364" t="s">
        <v>185</v>
      </c>
      <c r="H364" t="s">
        <v>151</v>
      </c>
      <c r="I364" t="s">
        <v>4</v>
      </c>
      <c r="J364" t="s">
        <v>152</v>
      </c>
      <c r="K364" t="s">
        <v>153</v>
      </c>
      <c r="L364">
        <v>251200375</v>
      </c>
      <c r="M364" s="84">
        <v>46005</v>
      </c>
      <c r="N364" s="84">
        <v>46005</v>
      </c>
      <c r="O364" t="s">
        <v>243</v>
      </c>
      <c r="P364" t="s">
        <v>244</v>
      </c>
      <c r="Q364">
        <v>5700</v>
      </c>
      <c r="R364">
        <v>15</v>
      </c>
      <c r="S364">
        <v>85500</v>
      </c>
      <c r="T364">
        <v>0</v>
      </c>
      <c r="U364">
        <v>0</v>
      </c>
      <c r="V364">
        <v>15</v>
      </c>
      <c r="W364">
        <v>85500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>
      <c r="A365">
        <v>732</v>
      </c>
      <c r="B365" t="s">
        <v>149</v>
      </c>
      <c r="C365">
        <v>1326</v>
      </c>
      <c r="D365" t="s">
        <v>338</v>
      </c>
      <c r="F365" t="s">
        <v>15</v>
      </c>
      <c r="G365" t="s">
        <v>193</v>
      </c>
      <c r="H365" t="s">
        <v>151</v>
      </c>
      <c r="I365" t="s">
        <v>4</v>
      </c>
      <c r="J365" t="s">
        <v>152</v>
      </c>
      <c r="K365" t="s">
        <v>153</v>
      </c>
      <c r="L365">
        <v>251200379</v>
      </c>
      <c r="M365" s="84">
        <v>46005</v>
      </c>
      <c r="N365" s="84">
        <v>46005</v>
      </c>
      <c r="O365" t="s">
        <v>160</v>
      </c>
      <c r="P365" t="s">
        <v>161</v>
      </c>
      <c r="Q365">
        <v>5500</v>
      </c>
      <c r="R365">
        <v>20</v>
      </c>
      <c r="S365">
        <v>110000</v>
      </c>
      <c r="T365">
        <v>0</v>
      </c>
      <c r="U365">
        <v>0</v>
      </c>
      <c r="V365">
        <v>20</v>
      </c>
      <c r="W365">
        <v>110000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>
      <c r="A366">
        <v>733</v>
      </c>
      <c r="B366" t="s">
        <v>149</v>
      </c>
      <c r="C366">
        <v>1326</v>
      </c>
      <c r="D366" t="s">
        <v>338</v>
      </c>
      <c r="F366" t="s">
        <v>15</v>
      </c>
      <c r="G366" t="s">
        <v>193</v>
      </c>
      <c r="H366" t="s">
        <v>151</v>
      </c>
      <c r="I366" t="s">
        <v>5</v>
      </c>
      <c r="J366" t="s">
        <v>152</v>
      </c>
      <c r="K366" t="s">
        <v>153</v>
      </c>
      <c r="L366">
        <v>251200379</v>
      </c>
      <c r="M366" s="84">
        <v>46005</v>
      </c>
      <c r="N366" s="84">
        <v>46005</v>
      </c>
      <c r="O366" t="s">
        <v>339</v>
      </c>
      <c r="P366" t="s">
        <v>340</v>
      </c>
      <c r="Q366">
        <v>4500</v>
      </c>
      <c r="R366">
        <v>20</v>
      </c>
      <c r="S366">
        <v>90000</v>
      </c>
      <c r="T366">
        <v>0</v>
      </c>
      <c r="U366">
        <v>0</v>
      </c>
      <c r="V366">
        <v>20</v>
      </c>
      <c r="W366">
        <v>90000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>
      <c r="A367">
        <v>734</v>
      </c>
      <c r="B367" t="s">
        <v>149</v>
      </c>
      <c r="C367">
        <v>1550</v>
      </c>
      <c r="D367" t="s">
        <v>337</v>
      </c>
      <c r="F367" t="s">
        <v>15</v>
      </c>
      <c r="G367" t="s">
        <v>193</v>
      </c>
      <c r="H367" t="s">
        <v>151</v>
      </c>
      <c r="I367" t="s">
        <v>5</v>
      </c>
      <c r="J367" t="s">
        <v>152</v>
      </c>
      <c r="K367" t="s">
        <v>153</v>
      </c>
      <c r="L367">
        <v>251200380</v>
      </c>
      <c r="M367" s="84">
        <v>46005</v>
      </c>
      <c r="N367" s="84">
        <v>46005</v>
      </c>
      <c r="O367" t="s">
        <v>194</v>
      </c>
      <c r="P367" t="s">
        <v>195</v>
      </c>
      <c r="Q367">
        <v>4500</v>
      </c>
      <c r="R367">
        <v>4</v>
      </c>
      <c r="S367">
        <v>18000</v>
      </c>
      <c r="T367">
        <v>0</v>
      </c>
      <c r="U367">
        <v>0</v>
      </c>
      <c r="V367">
        <v>4</v>
      </c>
      <c r="W367">
        <v>18000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>
      <c r="A368">
        <v>735</v>
      </c>
      <c r="B368" t="s">
        <v>149</v>
      </c>
      <c r="C368">
        <v>1550</v>
      </c>
      <c r="D368" t="s">
        <v>337</v>
      </c>
      <c r="F368" t="s">
        <v>15</v>
      </c>
      <c r="G368" t="s">
        <v>193</v>
      </c>
      <c r="H368" t="s">
        <v>151</v>
      </c>
      <c r="I368" t="s">
        <v>5</v>
      </c>
      <c r="J368" t="s">
        <v>152</v>
      </c>
      <c r="K368" t="s">
        <v>153</v>
      </c>
      <c r="L368">
        <v>251200380</v>
      </c>
      <c r="M368" s="84">
        <v>46005</v>
      </c>
      <c r="N368" s="84">
        <v>46005</v>
      </c>
      <c r="O368" t="s">
        <v>191</v>
      </c>
      <c r="P368" t="s">
        <v>192</v>
      </c>
      <c r="Q368">
        <v>4500</v>
      </c>
      <c r="R368">
        <v>7</v>
      </c>
      <c r="S368">
        <v>31500</v>
      </c>
      <c r="T368">
        <v>0</v>
      </c>
      <c r="U368">
        <v>0</v>
      </c>
      <c r="V368">
        <v>7</v>
      </c>
      <c r="W368">
        <v>31500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>
      <c r="A369">
        <v>736</v>
      </c>
      <c r="B369" t="s">
        <v>149</v>
      </c>
      <c r="C369">
        <v>1550</v>
      </c>
      <c r="D369" t="s">
        <v>337</v>
      </c>
      <c r="F369" t="s">
        <v>15</v>
      </c>
      <c r="G369" t="s">
        <v>193</v>
      </c>
      <c r="H369" t="s">
        <v>151</v>
      </c>
      <c r="I369" t="s">
        <v>5</v>
      </c>
      <c r="J369" t="s">
        <v>152</v>
      </c>
      <c r="K369" t="s">
        <v>153</v>
      </c>
      <c r="L369">
        <v>251200381</v>
      </c>
      <c r="M369" s="84">
        <v>46005</v>
      </c>
      <c r="N369" s="84">
        <v>46005</v>
      </c>
      <c r="O369" t="s">
        <v>191</v>
      </c>
      <c r="P369" t="s">
        <v>192</v>
      </c>
      <c r="Q369">
        <v>4500</v>
      </c>
      <c r="R369">
        <v>24</v>
      </c>
      <c r="S369">
        <v>108000</v>
      </c>
      <c r="T369">
        <v>0</v>
      </c>
      <c r="U369">
        <v>0</v>
      </c>
      <c r="V369">
        <v>24</v>
      </c>
      <c r="W369">
        <v>108000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>
      <c r="A370">
        <v>737</v>
      </c>
      <c r="B370" t="s">
        <v>149</v>
      </c>
      <c r="C370">
        <v>1550</v>
      </c>
      <c r="D370" t="s">
        <v>337</v>
      </c>
      <c r="F370" t="s">
        <v>15</v>
      </c>
      <c r="G370" t="s">
        <v>193</v>
      </c>
      <c r="H370" t="s">
        <v>151</v>
      </c>
      <c r="I370" t="s">
        <v>5</v>
      </c>
      <c r="J370" t="s">
        <v>152</v>
      </c>
      <c r="K370" t="s">
        <v>153</v>
      </c>
      <c r="L370">
        <v>251200381</v>
      </c>
      <c r="M370" s="84">
        <v>46005</v>
      </c>
      <c r="N370" s="84">
        <v>46005</v>
      </c>
      <c r="O370" t="s">
        <v>260</v>
      </c>
      <c r="P370" t="s">
        <v>261</v>
      </c>
      <c r="Q370">
        <v>4500</v>
      </c>
      <c r="R370">
        <v>4</v>
      </c>
      <c r="S370">
        <v>18000</v>
      </c>
      <c r="T370">
        <v>0</v>
      </c>
      <c r="U370">
        <v>0</v>
      </c>
      <c r="V370">
        <v>4</v>
      </c>
      <c r="W370">
        <v>18000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>
      <c r="A371">
        <v>738</v>
      </c>
      <c r="B371" t="s">
        <v>149</v>
      </c>
      <c r="C371">
        <v>1550</v>
      </c>
      <c r="D371" t="s">
        <v>337</v>
      </c>
      <c r="F371" t="s">
        <v>15</v>
      </c>
      <c r="G371" t="s">
        <v>193</v>
      </c>
      <c r="H371" t="s">
        <v>151</v>
      </c>
      <c r="I371" t="s">
        <v>5</v>
      </c>
      <c r="J371" t="s">
        <v>152</v>
      </c>
      <c r="K371" t="s">
        <v>153</v>
      </c>
      <c r="L371">
        <v>251200381</v>
      </c>
      <c r="M371" s="84">
        <v>46005</v>
      </c>
      <c r="N371" s="84">
        <v>46005</v>
      </c>
      <c r="O371" t="s">
        <v>253</v>
      </c>
      <c r="P371" t="s">
        <v>254</v>
      </c>
      <c r="Q371">
        <v>4500</v>
      </c>
      <c r="R371">
        <v>4</v>
      </c>
      <c r="S371">
        <v>18000</v>
      </c>
      <c r="T371">
        <v>0</v>
      </c>
      <c r="U371">
        <v>0</v>
      </c>
      <c r="V371">
        <v>4</v>
      </c>
      <c r="W371">
        <v>18000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>
      <c r="A372">
        <v>739</v>
      </c>
      <c r="B372" t="s">
        <v>149</v>
      </c>
      <c r="C372">
        <v>1326</v>
      </c>
      <c r="D372" t="s">
        <v>338</v>
      </c>
      <c r="F372" t="s">
        <v>15</v>
      </c>
      <c r="G372" t="s">
        <v>193</v>
      </c>
      <c r="H372" t="s">
        <v>151</v>
      </c>
      <c r="I372" t="s">
        <v>5</v>
      </c>
      <c r="J372" t="s">
        <v>152</v>
      </c>
      <c r="K372" t="s">
        <v>153</v>
      </c>
      <c r="L372">
        <v>251200382</v>
      </c>
      <c r="M372" s="84">
        <v>46005</v>
      </c>
      <c r="N372" s="84">
        <v>46005</v>
      </c>
      <c r="O372" t="s">
        <v>191</v>
      </c>
      <c r="P372" t="s">
        <v>192</v>
      </c>
      <c r="Q372">
        <v>4500</v>
      </c>
      <c r="R372">
        <v>16</v>
      </c>
      <c r="S372">
        <v>72000</v>
      </c>
      <c r="T372">
        <v>0</v>
      </c>
      <c r="U372">
        <v>0</v>
      </c>
      <c r="V372">
        <v>16</v>
      </c>
      <c r="W372">
        <v>72000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>
      <c r="A373">
        <v>740</v>
      </c>
      <c r="B373" t="s">
        <v>149</v>
      </c>
      <c r="C373">
        <v>1326</v>
      </c>
      <c r="D373" t="s">
        <v>338</v>
      </c>
      <c r="F373" t="s">
        <v>15</v>
      </c>
      <c r="G373" t="s">
        <v>193</v>
      </c>
      <c r="H373" t="s">
        <v>151</v>
      </c>
      <c r="I373" t="s">
        <v>5</v>
      </c>
      <c r="J373" t="s">
        <v>152</v>
      </c>
      <c r="K373" t="s">
        <v>153</v>
      </c>
      <c r="L373">
        <v>251200382</v>
      </c>
      <c r="M373" s="84">
        <v>46005</v>
      </c>
      <c r="N373" s="84">
        <v>46005</v>
      </c>
      <c r="O373" t="s">
        <v>260</v>
      </c>
      <c r="P373" t="s">
        <v>261</v>
      </c>
      <c r="Q373">
        <v>4500</v>
      </c>
      <c r="R373">
        <v>4</v>
      </c>
      <c r="S373">
        <v>18000</v>
      </c>
      <c r="T373">
        <v>0</v>
      </c>
      <c r="U373">
        <v>0</v>
      </c>
      <c r="V373">
        <v>4</v>
      </c>
      <c r="W373">
        <v>18000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>
      <c r="A374">
        <v>741</v>
      </c>
      <c r="B374" t="s">
        <v>149</v>
      </c>
      <c r="C374">
        <v>1326</v>
      </c>
      <c r="D374" t="s">
        <v>338</v>
      </c>
      <c r="F374" t="s">
        <v>15</v>
      </c>
      <c r="G374" t="s">
        <v>193</v>
      </c>
      <c r="H374" t="s">
        <v>151</v>
      </c>
      <c r="I374" t="s">
        <v>5</v>
      </c>
      <c r="J374" t="s">
        <v>152</v>
      </c>
      <c r="K374" t="s">
        <v>153</v>
      </c>
      <c r="L374">
        <v>251200382</v>
      </c>
      <c r="M374" s="84">
        <v>46005</v>
      </c>
      <c r="N374" s="84">
        <v>46005</v>
      </c>
      <c r="O374" t="s">
        <v>253</v>
      </c>
      <c r="P374" t="s">
        <v>254</v>
      </c>
      <c r="Q374">
        <v>4500</v>
      </c>
      <c r="R374">
        <v>4</v>
      </c>
      <c r="S374">
        <v>18000</v>
      </c>
      <c r="T374">
        <v>0</v>
      </c>
      <c r="U374">
        <v>0</v>
      </c>
      <c r="V374">
        <v>4</v>
      </c>
      <c r="W374">
        <v>18000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 spans="1:29">
      <c r="A375">
        <v>742</v>
      </c>
      <c r="B375" t="s">
        <v>149</v>
      </c>
      <c r="C375">
        <v>1326</v>
      </c>
      <c r="D375" t="s">
        <v>338</v>
      </c>
      <c r="F375" t="s">
        <v>15</v>
      </c>
      <c r="G375" t="s">
        <v>193</v>
      </c>
      <c r="H375" t="s">
        <v>151</v>
      </c>
      <c r="I375" t="s">
        <v>5</v>
      </c>
      <c r="J375" t="s">
        <v>152</v>
      </c>
      <c r="K375" t="s">
        <v>153</v>
      </c>
      <c r="L375">
        <v>251200382</v>
      </c>
      <c r="M375" s="84">
        <v>46005</v>
      </c>
      <c r="N375" s="84">
        <v>46005</v>
      </c>
      <c r="O375" t="s">
        <v>339</v>
      </c>
      <c r="P375" t="s">
        <v>340</v>
      </c>
      <c r="Q375">
        <v>4500</v>
      </c>
      <c r="R375">
        <v>24</v>
      </c>
      <c r="S375">
        <v>108000</v>
      </c>
      <c r="T375">
        <v>0</v>
      </c>
      <c r="U375">
        <v>0</v>
      </c>
      <c r="V375">
        <v>24</v>
      </c>
      <c r="W375">
        <v>108000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>
      <c r="A376">
        <v>743</v>
      </c>
      <c r="B376" t="s">
        <v>149</v>
      </c>
      <c r="C376">
        <v>1326</v>
      </c>
      <c r="D376" t="s">
        <v>338</v>
      </c>
      <c r="F376" t="s">
        <v>15</v>
      </c>
      <c r="G376" t="s">
        <v>193</v>
      </c>
      <c r="H376" t="s">
        <v>151</v>
      </c>
      <c r="I376" t="s">
        <v>4</v>
      </c>
      <c r="J376" t="s">
        <v>152</v>
      </c>
      <c r="K376" t="s">
        <v>153</v>
      </c>
      <c r="L376">
        <v>251200382</v>
      </c>
      <c r="M376" s="84">
        <v>46005</v>
      </c>
      <c r="N376" s="84">
        <v>46005</v>
      </c>
      <c r="O376" t="s">
        <v>160</v>
      </c>
      <c r="P376" t="s">
        <v>161</v>
      </c>
      <c r="Q376">
        <v>5500</v>
      </c>
      <c r="R376">
        <v>10</v>
      </c>
      <c r="S376">
        <v>55000</v>
      </c>
      <c r="T376">
        <v>0</v>
      </c>
      <c r="U376">
        <v>0</v>
      </c>
      <c r="V376">
        <v>10</v>
      </c>
      <c r="W376">
        <v>55000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>
      <c r="A377">
        <v>744</v>
      </c>
      <c r="B377" t="s">
        <v>149</v>
      </c>
      <c r="C377">
        <v>1312</v>
      </c>
      <c r="D377" t="s">
        <v>359</v>
      </c>
      <c r="F377" t="s">
        <v>15</v>
      </c>
      <c r="G377" t="s">
        <v>193</v>
      </c>
      <c r="H377" t="s">
        <v>151</v>
      </c>
      <c r="I377" t="s">
        <v>5</v>
      </c>
      <c r="J377" t="s">
        <v>152</v>
      </c>
      <c r="K377" t="s">
        <v>153</v>
      </c>
      <c r="L377">
        <v>251200383</v>
      </c>
      <c r="M377" s="84">
        <v>46005</v>
      </c>
      <c r="N377" s="84">
        <v>46005</v>
      </c>
      <c r="O377" t="s">
        <v>360</v>
      </c>
      <c r="P377" t="s">
        <v>361</v>
      </c>
      <c r="Q377">
        <v>4500</v>
      </c>
      <c r="R377">
        <v>20</v>
      </c>
      <c r="S377">
        <v>90000</v>
      </c>
      <c r="T377">
        <v>0</v>
      </c>
      <c r="U377">
        <v>0</v>
      </c>
      <c r="V377">
        <v>20</v>
      </c>
      <c r="W377">
        <v>90000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>
      <c r="A378">
        <v>763</v>
      </c>
      <c r="B378" t="s">
        <v>149</v>
      </c>
      <c r="C378">
        <v>1306</v>
      </c>
      <c r="D378" t="s">
        <v>377</v>
      </c>
      <c r="F378" t="s">
        <v>28</v>
      </c>
      <c r="G378" t="s">
        <v>164</v>
      </c>
      <c r="H378" t="s">
        <v>151</v>
      </c>
      <c r="I378" t="s">
        <v>5</v>
      </c>
      <c r="J378" t="s">
        <v>152</v>
      </c>
      <c r="K378" t="s">
        <v>153</v>
      </c>
      <c r="L378">
        <v>251200393</v>
      </c>
      <c r="M378" s="84">
        <v>46005</v>
      </c>
      <c r="N378" s="84">
        <v>46005</v>
      </c>
      <c r="O378" t="s">
        <v>191</v>
      </c>
      <c r="P378" t="s">
        <v>192</v>
      </c>
      <c r="Q378">
        <v>4500</v>
      </c>
      <c r="R378">
        <v>32</v>
      </c>
      <c r="S378">
        <v>144000</v>
      </c>
      <c r="T378">
        <v>0</v>
      </c>
      <c r="U378">
        <v>0</v>
      </c>
      <c r="V378">
        <v>32</v>
      </c>
      <c r="W378">
        <v>144000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>
      <c r="A379">
        <v>764</v>
      </c>
      <c r="B379" t="s">
        <v>149</v>
      </c>
      <c r="C379">
        <v>1306</v>
      </c>
      <c r="D379" t="s">
        <v>377</v>
      </c>
      <c r="F379" t="s">
        <v>28</v>
      </c>
      <c r="G379" t="s">
        <v>164</v>
      </c>
      <c r="H379" t="s">
        <v>151</v>
      </c>
      <c r="I379" t="s">
        <v>5</v>
      </c>
      <c r="J379" t="s">
        <v>152</v>
      </c>
      <c r="K379" t="s">
        <v>153</v>
      </c>
      <c r="L379">
        <v>251200393</v>
      </c>
      <c r="M379" s="84">
        <v>46005</v>
      </c>
      <c r="N379" s="84">
        <v>46005</v>
      </c>
      <c r="O379" t="s">
        <v>260</v>
      </c>
      <c r="P379" t="s">
        <v>261</v>
      </c>
      <c r="Q379">
        <v>4500</v>
      </c>
      <c r="R379">
        <v>8</v>
      </c>
      <c r="S379">
        <v>36000</v>
      </c>
      <c r="T379">
        <v>0</v>
      </c>
      <c r="U379">
        <v>0</v>
      </c>
      <c r="V379">
        <v>8</v>
      </c>
      <c r="W379">
        <v>36000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>
      <c r="A380">
        <v>765</v>
      </c>
      <c r="B380" t="s">
        <v>149</v>
      </c>
      <c r="C380">
        <v>1331</v>
      </c>
      <c r="D380" t="s">
        <v>366</v>
      </c>
      <c r="F380" t="s">
        <v>28</v>
      </c>
      <c r="G380" t="s">
        <v>164</v>
      </c>
      <c r="H380" t="s">
        <v>151</v>
      </c>
      <c r="I380" t="s">
        <v>5</v>
      </c>
      <c r="J380" t="s">
        <v>152</v>
      </c>
      <c r="K380" t="s">
        <v>153</v>
      </c>
      <c r="L380">
        <v>251200394</v>
      </c>
      <c r="M380" s="84">
        <v>46005</v>
      </c>
      <c r="N380" s="84">
        <v>46005</v>
      </c>
      <c r="O380" t="s">
        <v>279</v>
      </c>
      <c r="P380" t="s">
        <v>280</v>
      </c>
      <c r="Q380">
        <v>4500</v>
      </c>
      <c r="R380">
        <v>52</v>
      </c>
      <c r="S380">
        <v>234000</v>
      </c>
      <c r="T380">
        <v>0</v>
      </c>
      <c r="U380">
        <v>0</v>
      </c>
      <c r="V380">
        <v>52</v>
      </c>
      <c r="W380">
        <v>234000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>
      <c r="A381">
        <v>766</v>
      </c>
      <c r="B381" t="s">
        <v>149</v>
      </c>
      <c r="C381">
        <v>1331</v>
      </c>
      <c r="D381" t="s">
        <v>366</v>
      </c>
      <c r="F381" t="s">
        <v>28</v>
      </c>
      <c r="G381" t="s">
        <v>164</v>
      </c>
      <c r="H381" t="s">
        <v>151</v>
      </c>
      <c r="I381" t="s">
        <v>5</v>
      </c>
      <c r="J381" t="s">
        <v>152</v>
      </c>
      <c r="K381" t="s">
        <v>153</v>
      </c>
      <c r="L381">
        <v>251200394</v>
      </c>
      <c r="M381" s="84">
        <v>46005</v>
      </c>
      <c r="N381" s="84">
        <v>46005</v>
      </c>
      <c r="O381" t="s">
        <v>297</v>
      </c>
      <c r="P381" t="s">
        <v>298</v>
      </c>
      <c r="Q381">
        <v>4500</v>
      </c>
      <c r="R381">
        <v>52</v>
      </c>
      <c r="S381">
        <v>234000</v>
      </c>
      <c r="T381">
        <v>0</v>
      </c>
      <c r="U381">
        <v>0</v>
      </c>
      <c r="V381">
        <v>52</v>
      </c>
      <c r="W381">
        <v>234000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>
      <c r="A382">
        <v>767</v>
      </c>
      <c r="B382" t="s">
        <v>149</v>
      </c>
      <c r="C382">
        <v>1331</v>
      </c>
      <c r="D382" t="s">
        <v>366</v>
      </c>
      <c r="F382" t="s">
        <v>28</v>
      </c>
      <c r="G382" t="s">
        <v>164</v>
      </c>
      <c r="H382" t="s">
        <v>151</v>
      </c>
      <c r="I382" t="s">
        <v>5</v>
      </c>
      <c r="J382" t="s">
        <v>152</v>
      </c>
      <c r="K382" t="s">
        <v>153</v>
      </c>
      <c r="L382">
        <v>251200394</v>
      </c>
      <c r="M382" s="84">
        <v>46005</v>
      </c>
      <c r="N382" s="84">
        <v>46005</v>
      </c>
      <c r="O382" t="s">
        <v>191</v>
      </c>
      <c r="P382" t="s">
        <v>192</v>
      </c>
      <c r="Q382">
        <v>4500</v>
      </c>
      <c r="R382">
        <v>48</v>
      </c>
      <c r="S382">
        <v>216000</v>
      </c>
      <c r="T382">
        <v>0</v>
      </c>
      <c r="U382">
        <v>0</v>
      </c>
      <c r="V382">
        <v>48</v>
      </c>
      <c r="W382">
        <v>216000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>
      <c r="A383">
        <v>768</v>
      </c>
      <c r="B383" t="s">
        <v>149</v>
      </c>
      <c r="C383">
        <v>1282</v>
      </c>
      <c r="D383" t="s">
        <v>374</v>
      </c>
      <c r="F383" t="s">
        <v>111</v>
      </c>
      <c r="G383" t="s">
        <v>150</v>
      </c>
      <c r="H383" t="s">
        <v>151</v>
      </c>
      <c r="I383" t="s">
        <v>4</v>
      </c>
      <c r="J383" t="s">
        <v>152</v>
      </c>
      <c r="K383" t="s">
        <v>153</v>
      </c>
      <c r="L383">
        <v>251200395</v>
      </c>
      <c r="M383" s="84">
        <v>46005</v>
      </c>
      <c r="N383" s="84">
        <v>46005</v>
      </c>
      <c r="O383" t="s">
        <v>248</v>
      </c>
      <c r="P383" t="s">
        <v>249</v>
      </c>
      <c r="Q383">
        <v>5500</v>
      </c>
      <c r="R383">
        <v>10</v>
      </c>
      <c r="S383">
        <v>55000</v>
      </c>
      <c r="T383">
        <v>0</v>
      </c>
      <c r="U383">
        <v>0</v>
      </c>
      <c r="V383">
        <v>10</v>
      </c>
      <c r="W383">
        <v>55000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>
      <c r="A384">
        <v>769</v>
      </c>
      <c r="B384" t="s">
        <v>149</v>
      </c>
      <c r="C384">
        <v>1308</v>
      </c>
      <c r="D384" t="s">
        <v>368</v>
      </c>
      <c r="F384" t="s">
        <v>49</v>
      </c>
      <c r="G384" t="s">
        <v>167</v>
      </c>
      <c r="H384" t="s">
        <v>151</v>
      </c>
      <c r="I384" t="s">
        <v>5</v>
      </c>
      <c r="J384" t="s">
        <v>152</v>
      </c>
      <c r="K384" t="s">
        <v>153</v>
      </c>
      <c r="L384">
        <v>251200396</v>
      </c>
      <c r="M384" s="84">
        <v>46005</v>
      </c>
      <c r="N384" s="84">
        <v>46005</v>
      </c>
      <c r="O384" t="s">
        <v>271</v>
      </c>
      <c r="P384" t="s">
        <v>272</v>
      </c>
      <c r="Q384">
        <v>4500</v>
      </c>
      <c r="R384">
        <v>12</v>
      </c>
      <c r="S384">
        <v>54000</v>
      </c>
      <c r="T384">
        <v>0</v>
      </c>
      <c r="U384">
        <v>0</v>
      </c>
      <c r="V384">
        <v>12</v>
      </c>
      <c r="W384">
        <v>54000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>
      <c r="A385">
        <v>770</v>
      </c>
      <c r="B385" t="s">
        <v>149</v>
      </c>
      <c r="C385">
        <v>1534</v>
      </c>
      <c r="D385" t="s">
        <v>371</v>
      </c>
      <c r="F385" t="s">
        <v>65</v>
      </c>
      <c r="G385" t="s">
        <v>208</v>
      </c>
      <c r="H385" t="s">
        <v>157</v>
      </c>
      <c r="I385" t="s">
        <v>4</v>
      </c>
      <c r="J385" t="s">
        <v>152</v>
      </c>
      <c r="K385" t="s">
        <v>174</v>
      </c>
      <c r="L385">
        <v>251200397</v>
      </c>
      <c r="M385" s="84">
        <v>46005</v>
      </c>
      <c r="N385" s="84">
        <v>46005</v>
      </c>
      <c r="O385" t="s">
        <v>294</v>
      </c>
      <c r="P385" t="s">
        <v>295</v>
      </c>
      <c r="Q385">
        <v>5500</v>
      </c>
      <c r="R385">
        <v>10</v>
      </c>
      <c r="S385">
        <v>55000</v>
      </c>
      <c r="T385">
        <v>0</v>
      </c>
      <c r="U385">
        <v>0</v>
      </c>
      <c r="V385">
        <v>10</v>
      </c>
      <c r="W385">
        <v>55000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>
      <c r="A386">
        <v>771</v>
      </c>
      <c r="B386" t="s">
        <v>149</v>
      </c>
      <c r="C386">
        <v>1534</v>
      </c>
      <c r="D386" t="s">
        <v>371</v>
      </c>
      <c r="F386" t="s">
        <v>65</v>
      </c>
      <c r="G386" t="s">
        <v>208</v>
      </c>
      <c r="H386" t="s">
        <v>157</v>
      </c>
      <c r="I386" t="s">
        <v>4</v>
      </c>
      <c r="J386" t="s">
        <v>152</v>
      </c>
      <c r="K386" t="s">
        <v>174</v>
      </c>
      <c r="L386">
        <v>251200397</v>
      </c>
      <c r="M386" s="84">
        <v>46005</v>
      </c>
      <c r="N386" s="84">
        <v>46005</v>
      </c>
      <c r="O386" t="s">
        <v>321</v>
      </c>
      <c r="P386" t="s">
        <v>322</v>
      </c>
      <c r="Q386">
        <v>5500</v>
      </c>
      <c r="R386">
        <v>10</v>
      </c>
      <c r="S386">
        <v>55000</v>
      </c>
      <c r="T386">
        <v>0</v>
      </c>
      <c r="U386">
        <v>0</v>
      </c>
      <c r="V386">
        <v>10</v>
      </c>
      <c r="W386">
        <v>55000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 spans="1:29">
      <c r="A387">
        <v>772</v>
      </c>
      <c r="B387" t="s">
        <v>149</v>
      </c>
      <c r="C387">
        <v>1515</v>
      </c>
      <c r="D387" t="s">
        <v>347</v>
      </c>
      <c r="F387" t="s">
        <v>65</v>
      </c>
      <c r="G387" t="s">
        <v>208</v>
      </c>
      <c r="H387" t="s">
        <v>157</v>
      </c>
      <c r="I387" t="s">
        <v>4</v>
      </c>
      <c r="J387" t="s">
        <v>152</v>
      </c>
      <c r="K387" t="s">
        <v>174</v>
      </c>
      <c r="L387">
        <v>251200398</v>
      </c>
      <c r="M387" s="84">
        <v>46005</v>
      </c>
      <c r="N387" s="84">
        <v>46005</v>
      </c>
      <c r="O387" t="s">
        <v>189</v>
      </c>
      <c r="P387" t="s">
        <v>190</v>
      </c>
      <c r="Q387">
        <v>5500</v>
      </c>
      <c r="R387">
        <v>5</v>
      </c>
      <c r="S387">
        <v>27500</v>
      </c>
      <c r="T387">
        <v>0</v>
      </c>
      <c r="U387">
        <v>0</v>
      </c>
      <c r="V387">
        <v>5</v>
      </c>
      <c r="W387">
        <v>27500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>
      <c r="A388">
        <v>773</v>
      </c>
      <c r="B388" t="s">
        <v>149</v>
      </c>
      <c r="C388">
        <v>1540</v>
      </c>
      <c r="D388" t="s">
        <v>394</v>
      </c>
      <c r="F388" t="s">
        <v>65</v>
      </c>
      <c r="G388" t="s">
        <v>208</v>
      </c>
      <c r="H388" t="s">
        <v>157</v>
      </c>
      <c r="I388" t="s">
        <v>4</v>
      </c>
      <c r="J388" t="s">
        <v>152</v>
      </c>
      <c r="K388" t="s">
        <v>174</v>
      </c>
      <c r="L388">
        <v>251200399</v>
      </c>
      <c r="M388" s="84">
        <v>46005</v>
      </c>
      <c r="N388" s="84">
        <v>46005</v>
      </c>
      <c r="O388" t="s">
        <v>256</v>
      </c>
      <c r="P388" t="s">
        <v>257</v>
      </c>
      <c r="Q388">
        <v>5500</v>
      </c>
      <c r="R388">
        <v>10</v>
      </c>
      <c r="S388">
        <v>55000</v>
      </c>
      <c r="T388">
        <v>0</v>
      </c>
      <c r="U388">
        <v>0</v>
      </c>
      <c r="V388">
        <v>10</v>
      </c>
      <c r="W388">
        <v>55000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>
      <c r="A389">
        <v>775</v>
      </c>
      <c r="B389" t="s">
        <v>149</v>
      </c>
      <c r="C389">
        <v>1562</v>
      </c>
      <c r="D389" t="s">
        <v>325</v>
      </c>
      <c r="F389" t="s">
        <v>10</v>
      </c>
      <c r="G389" t="s">
        <v>172</v>
      </c>
      <c r="H389" t="s">
        <v>157</v>
      </c>
      <c r="I389" t="s">
        <v>4</v>
      </c>
      <c r="J389" t="s">
        <v>152</v>
      </c>
      <c r="K389" t="s">
        <v>174</v>
      </c>
      <c r="L389">
        <v>251200401</v>
      </c>
      <c r="M389" s="84">
        <v>46005</v>
      </c>
      <c r="N389" s="84">
        <v>46005</v>
      </c>
      <c r="O389" t="s">
        <v>294</v>
      </c>
      <c r="P389" t="s">
        <v>295</v>
      </c>
      <c r="Q389">
        <v>5500</v>
      </c>
      <c r="R389">
        <v>5</v>
      </c>
      <c r="S389">
        <v>27500</v>
      </c>
      <c r="T389">
        <v>0</v>
      </c>
      <c r="U389">
        <v>0</v>
      </c>
      <c r="V389">
        <v>5</v>
      </c>
      <c r="W389">
        <v>27500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>
      <c r="A390">
        <v>777</v>
      </c>
      <c r="B390" t="s">
        <v>149</v>
      </c>
      <c r="C390">
        <v>1428</v>
      </c>
      <c r="D390" t="s">
        <v>351</v>
      </c>
      <c r="F390" t="s">
        <v>171</v>
      </c>
      <c r="G390" t="s">
        <v>172</v>
      </c>
      <c r="H390" t="s">
        <v>157</v>
      </c>
      <c r="I390" t="s">
        <v>4</v>
      </c>
      <c r="J390" t="s">
        <v>152</v>
      </c>
      <c r="K390" t="s">
        <v>174</v>
      </c>
      <c r="L390">
        <v>251200403</v>
      </c>
      <c r="M390" s="84">
        <v>46005</v>
      </c>
      <c r="N390" s="84">
        <v>46005</v>
      </c>
      <c r="O390" t="s">
        <v>204</v>
      </c>
      <c r="P390" t="s">
        <v>205</v>
      </c>
      <c r="Q390">
        <v>5500</v>
      </c>
      <c r="R390">
        <v>5</v>
      </c>
      <c r="S390">
        <v>27500</v>
      </c>
      <c r="T390">
        <v>0</v>
      </c>
      <c r="U390">
        <v>0</v>
      </c>
      <c r="V390">
        <v>5</v>
      </c>
      <c r="W390">
        <v>27500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 spans="1:29">
      <c r="A391">
        <v>778</v>
      </c>
      <c r="B391" t="s">
        <v>149</v>
      </c>
      <c r="C391">
        <v>1537</v>
      </c>
      <c r="D391" t="s">
        <v>395</v>
      </c>
      <c r="F391" t="s">
        <v>91</v>
      </c>
      <c r="G391" t="s">
        <v>202</v>
      </c>
      <c r="H391" t="s">
        <v>157</v>
      </c>
      <c r="I391" t="s">
        <v>4</v>
      </c>
      <c r="J391" t="s">
        <v>152</v>
      </c>
      <c r="K391" t="s">
        <v>159</v>
      </c>
      <c r="L391">
        <v>251200404</v>
      </c>
      <c r="M391" s="84">
        <v>46005</v>
      </c>
      <c r="N391" s="84">
        <v>46005</v>
      </c>
      <c r="O391" t="s">
        <v>357</v>
      </c>
      <c r="P391" t="s">
        <v>358</v>
      </c>
      <c r="Q391">
        <v>5500</v>
      </c>
      <c r="R391">
        <v>15</v>
      </c>
      <c r="S391">
        <v>82500</v>
      </c>
      <c r="T391">
        <v>0</v>
      </c>
      <c r="U391">
        <v>0</v>
      </c>
      <c r="V391">
        <v>15</v>
      </c>
      <c r="W391">
        <v>82500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>
      <c r="A392">
        <v>779</v>
      </c>
      <c r="B392" t="s">
        <v>149</v>
      </c>
      <c r="C392">
        <v>1520</v>
      </c>
      <c r="D392" t="s">
        <v>333</v>
      </c>
      <c r="F392" t="s">
        <v>38</v>
      </c>
      <c r="G392" t="s">
        <v>202</v>
      </c>
      <c r="H392" t="s">
        <v>157</v>
      </c>
      <c r="I392" t="s">
        <v>4</v>
      </c>
      <c r="J392" t="s">
        <v>152</v>
      </c>
      <c r="K392" t="s">
        <v>203</v>
      </c>
      <c r="L392">
        <v>251200405</v>
      </c>
      <c r="M392" s="84">
        <v>46005</v>
      </c>
      <c r="N392" s="84">
        <v>46005</v>
      </c>
      <c r="O392" t="s">
        <v>177</v>
      </c>
      <c r="P392" t="s">
        <v>178</v>
      </c>
      <c r="Q392">
        <v>5500</v>
      </c>
      <c r="R392">
        <v>10</v>
      </c>
      <c r="S392">
        <v>55000</v>
      </c>
      <c r="T392">
        <v>0</v>
      </c>
      <c r="U392">
        <v>0</v>
      </c>
      <c r="V392">
        <v>10</v>
      </c>
      <c r="W392">
        <v>55000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>
      <c r="A393">
        <v>780</v>
      </c>
      <c r="B393" t="s">
        <v>149</v>
      </c>
      <c r="C393">
        <v>1545</v>
      </c>
      <c r="D393" t="s">
        <v>387</v>
      </c>
      <c r="F393" t="s">
        <v>7</v>
      </c>
      <c r="G393" t="s">
        <v>156</v>
      </c>
      <c r="H393" t="s">
        <v>157</v>
      </c>
      <c r="I393" t="s">
        <v>4</v>
      </c>
      <c r="J393" t="s">
        <v>152</v>
      </c>
      <c r="K393" t="s">
        <v>159</v>
      </c>
      <c r="L393">
        <v>251200406</v>
      </c>
      <c r="M393" s="84">
        <v>46005</v>
      </c>
      <c r="N393" s="84">
        <v>46005</v>
      </c>
      <c r="O393" t="s">
        <v>262</v>
      </c>
      <c r="P393" t="s">
        <v>263</v>
      </c>
      <c r="Q393">
        <v>5500</v>
      </c>
      <c r="R393">
        <v>8</v>
      </c>
      <c r="S393">
        <v>44000</v>
      </c>
      <c r="T393">
        <v>0</v>
      </c>
      <c r="U393">
        <v>0</v>
      </c>
      <c r="V393">
        <v>8</v>
      </c>
      <c r="W393">
        <v>44000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>
      <c r="A394">
        <v>790</v>
      </c>
      <c r="B394" t="s">
        <v>149</v>
      </c>
      <c r="C394">
        <v>1551</v>
      </c>
      <c r="D394" t="s">
        <v>316</v>
      </c>
      <c r="F394" t="s">
        <v>111</v>
      </c>
      <c r="G394" t="s">
        <v>150</v>
      </c>
      <c r="H394" t="s">
        <v>151</v>
      </c>
      <c r="I394" t="s">
        <v>4</v>
      </c>
      <c r="J394" t="s">
        <v>152</v>
      </c>
      <c r="K394" t="s">
        <v>153</v>
      </c>
      <c r="L394">
        <v>251200410</v>
      </c>
      <c r="M394" s="84">
        <v>46005</v>
      </c>
      <c r="N394" s="84">
        <v>46005</v>
      </c>
      <c r="O394" t="s">
        <v>243</v>
      </c>
      <c r="P394" t="s">
        <v>244</v>
      </c>
      <c r="Q394">
        <v>5700</v>
      </c>
      <c r="R394">
        <v>10</v>
      </c>
      <c r="S394">
        <v>57000</v>
      </c>
      <c r="T394">
        <v>0</v>
      </c>
      <c r="U394">
        <v>0</v>
      </c>
      <c r="V394">
        <v>10</v>
      </c>
      <c r="W394">
        <v>57000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>
      <c r="A395">
        <v>791</v>
      </c>
      <c r="B395" t="s">
        <v>149</v>
      </c>
      <c r="C395">
        <v>1551</v>
      </c>
      <c r="D395" t="s">
        <v>316</v>
      </c>
      <c r="F395" t="s">
        <v>111</v>
      </c>
      <c r="G395" t="s">
        <v>150</v>
      </c>
      <c r="H395" t="s">
        <v>151</v>
      </c>
      <c r="I395" t="s">
        <v>4</v>
      </c>
      <c r="J395" t="s">
        <v>152</v>
      </c>
      <c r="K395" t="s">
        <v>153</v>
      </c>
      <c r="L395">
        <v>251200411</v>
      </c>
      <c r="M395" s="84">
        <v>46005</v>
      </c>
      <c r="N395" s="84">
        <v>46005</v>
      </c>
      <c r="O395" t="s">
        <v>243</v>
      </c>
      <c r="P395" t="s">
        <v>244</v>
      </c>
      <c r="Q395">
        <v>5700</v>
      </c>
      <c r="R395">
        <v>5</v>
      </c>
      <c r="S395">
        <v>28500</v>
      </c>
      <c r="T395">
        <v>0</v>
      </c>
      <c r="U395">
        <v>0</v>
      </c>
      <c r="V395">
        <v>5</v>
      </c>
      <c r="W395">
        <v>28500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>
      <c r="A396">
        <v>792</v>
      </c>
      <c r="B396" t="s">
        <v>149</v>
      </c>
      <c r="C396">
        <v>1551</v>
      </c>
      <c r="D396" t="s">
        <v>316</v>
      </c>
      <c r="F396" t="s">
        <v>111</v>
      </c>
      <c r="G396" t="s">
        <v>150</v>
      </c>
      <c r="H396" t="s">
        <v>151</v>
      </c>
      <c r="I396" t="s">
        <v>4</v>
      </c>
      <c r="J396" t="s">
        <v>152</v>
      </c>
      <c r="K396" t="s">
        <v>153</v>
      </c>
      <c r="L396">
        <v>251200412</v>
      </c>
      <c r="M396" s="84">
        <v>46005</v>
      </c>
      <c r="N396" s="84">
        <v>46005</v>
      </c>
      <c r="O396" t="s">
        <v>243</v>
      </c>
      <c r="P396" t="s">
        <v>244</v>
      </c>
      <c r="Q396">
        <v>5700</v>
      </c>
      <c r="R396">
        <v>5</v>
      </c>
      <c r="S396">
        <v>28500</v>
      </c>
      <c r="T396">
        <v>0</v>
      </c>
      <c r="U396">
        <v>0</v>
      </c>
      <c r="V396">
        <v>5</v>
      </c>
      <c r="W396">
        <v>28500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>
      <c r="A397">
        <v>794</v>
      </c>
      <c r="B397" t="s">
        <v>149</v>
      </c>
      <c r="C397">
        <v>1288</v>
      </c>
      <c r="D397" t="s">
        <v>367</v>
      </c>
      <c r="F397" t="s">
        <v>43</v>
      </c>
      <c r="G397" t="s">
        <v>150</v>
      </c>
      <c r="H397" t="s">
        <v>151</v>
      </c>
      <c r="I397" t="s">
        <v>4</v>
      </c>
      <c r="J397" t="s">
        <v>152</v>
      </c>
      <c r="K397" t="s">
        <v>153</v>
      </c>
      <c r="L397">
        <v>251200414</v>
      </c>
      <c r="M397" s="84">
        <v>46006</v>
      </c>
      <c r="N397" s="84">
        <v>46006</v>
      </c>
      <c r="O397" t="s">
        <v>160</v>
      </c>
      <c r="P397" t="s">
        <v>161</v>
      </c>
      <c r="Q397">
        <v>5500</v>
      </c>
      <c r="R397">
        <v>10</v>
      </c>
      <c r="S397">
        <v>55000</v>
      </c>
      <c r="T397">
        <v>0</v>
      </c>
      <c r="U397">
        <v>0</v>
      </c>
      <c r="V397">
        <v>10</v>
      </c>
      <c r="W397">
        <v>55000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 spans="1:29">
      <c r="A398">
        <v>795</v>
      </c>
      <c r="B398" t="s">
        <v>149</v>
      </c>
      <c r="C398">
        <v>1288</v>
      </c>
      <c r="D398" t="s">
        <v>367</v>
      </c>
      <c r="F398" t="s">
        <v>43</v>
      </c>
      <c r="G398" t="s">
        <v>150</v>
      </c>
      <c r="H398" t="s">
        <v>151</v>
      </c>
      <c r="I398" t="s">
        <v>4</v>
      </c>
      <c r="J398" t="s">
        <v>152</v>
      </c>
      <c r="K398" t="s">
        <v>153</v>
      </c>
      <c r="L398">
        <v>251200414</v>
      </c>
      <c r="M398" s="84">
        <v>46006</v>
      </c>
      <c r="N398" s="84">
        <v>46006</v>
      </c>
      <c r="O398" t="s">
        <v>219</v>
      </c>
      <c r="P398" t="s">
        <v>220</v>
      </c>
      <c r="Q398">
        <v>5500</v>
      </c>
      <c r="R398">
        <v>10</v>
      </c>
      <c r="S398">
        <v>55000</v>
      </c>
      <c r="T398">
        <v>0</v>
      </c>
      <c r="U398">
        <v>0</v>
      </c>
      <c r="V398">
        <v>10</v>
      </c>
      <c r="W398">
        <v>55000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>
      <c r="A399">
        <v>796</v>
      </c>
      <c r="B399" t="s">
        <v>149</v>
      </c>
      <c r="C399">
        <v>1593</v>
      </c>
      <c r="D399" t="s">
        <v>343</v>
      </c>
      <c r="F399" t="s">
        <v>111</v>
      </c>
      <c r="G399" t="s">
        <v>150</v>
      </c>
      <c r="H399" t="s">
        <v>151</v>
      </c>
      <c r="I399" t="s">
        <v>4</v>
      </c>
      <c r="J399" t="s">
        <v>152</v>
      </c>
      <c r="K399" t="s">
        <v>153</v>
      </c>
      <c r="L399">
        <v>251200415</v>
      </c>
      <c r="M399" s="84">
        <v>46006</v>
      </c>
      <c r="N399" s="84">
        <v>46006</v>
      </c>
      <c r="O399" t="s">
        <v>160</v>
      </c>
      <c r="P399" t="s">
        <v>161</v>
      </c>
      <c r="Q399">
        <v>5500</v>
      </c>
      <c r="R399">
        <v>10</v>
      </c>
      <c r="S399">
        <v>55000</v>
      </c>
      <c r="T399">
        <v>0</v>
      </c>
      <c r="U399">
        <v>0</v>
      </c>
      <c r="V399">
        <v>10</v>
      </c>
      <c r="W399">
        <v>55000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>
      <c r="A400">
        <v>797</v>
      </c>
      <c r="B400" t="s">
        <v>149</v>
      </c>
      <c r="C400">
        <v>1593</v>
      </c>
      <c r="D400" t="s">
        <v>343</v>
      </c>
      <c r="F400" t="s">
        <v>111</v>
      </c>
      <c r="G400" t="s">
        <v>150</v>
      </c>
      <c r="H400" t="s">
        <v>151</v>
      </c>
      <c r="I400" t="s">
        <v>5</v>
      </c>
      <c r="J400" t="s">
        <v>152</v>
      </c>
      <c r="K400" t="s">
        <v>153</v>
      </c>
      <c r="L400">
        <v>251200415</v>
      </c>
      <c r="M400" s="84">
        <v>46006</v>
      </c>
      <c r="N400" s="84">
        <v>46006</v>
      </c>
      <c r="O400" t="s">
        <v>191</v>
      </c>
      <c r="P400" t="s">
        <v>192</v>
      </c>
      <c r="Q400">
        <v>4500</v>
      </c>
      <c r="R400">
        <v>12</v>
      </c>
      <c r="S400">
        <v>54000</v>
      </c>
      <c r="T400">
        <v>0</v>
      </c>
      <c r="U400">
        <v>0</v>
      </c>
      <c r="V400">
        <v>12</v>
      </c>
      <c r="W400">
        <v>54000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>
      <c r="A401">
        <v>798</v>
      </c>
      <c r="B401" t="s">
        <v>149</v>
      </c>
      <c r="C401">
        <v>1593</v>
      </c>
      <c r="D401" t="s">
        <v>343</v>
      </c>
      <c r="F401" t="s">
        <v>111</v>
      </c>
      <c r="G401" t="s">
        <v>150</v>
      </c>
      <c r="H401" t="s">
        <v>151</v>
      </c>
      <c r="I401" t="s">
        <v>4</v>
      </c>
      <c r="J401" t="s">
        <v>152</v>
      </c>
      <c r="K401" t="s">
        <v>153</v>
      </c>
      <c r="L401">
        <v>251200415</v>
      </c>
      <c r="M401" s="84">
        <v>46006</v>
      </c>
      <c r="N401" s="84">
        <v>46006</v>
      </c>
      <c r="O401" t="s">
        <v>177</v>
      </c>
      <c r="P401" t="s">
        <v>178</v>
      </c>
      <c r="Q401">
        <v>5500</v>
      </c>
      <c r="R401">
        <v>10</v>
      </c>
      <c r="S401">
        <v>55000</v>
      </c>
      <c r="T401">
        <v>0</v>
      </c>
      <c r="U401">
        <v>0</v>
      </c>
      <c r="V401">
        <v>10</v>
      </c>
      <c r="W401">
        <v>55000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>
      <c r="A402">
        <v>799</v>
      </c>
      <c r="B402" t="s">
        <v>149</v>
      </c>
      <c r="C402">
        <v>1593</v>
      </c>
      <c r="D402" t="s">
        <v>343</v>
      </c>
      <c r="F402" t="s">
        <v>111</v>
      </c>
      <c r="G402" t="s">
        <v>150</v>
      </c>
      <c r="H402" t="s">
        <v>151</v>
      </c>
      <c r="I402" t="s">
        <v>4</v>
      </c>
      <c r="J402" t="s">
        <v>152</v>
      </c>
      <c r="K402" t="s">
        <v>153</v>
      </c>
      <c r="L402">
        <v>251200415</v>
      </c>
      <c r="M402" s="84">
        <v>46006</v>
      </c>
      <c r="N402" s="84">
        <v>46006</v>
      </c>
      <c r="O402" t="s">
        <v>154</v>
      </c>
      <c r="P402" t="s">
        <v>155</v>
      </c>
      <c r="Q402">
        <v>5500</v>
      </c>
      <c r="R402">
        <v>10</v>
      </c>
      <c r="S402">
        <v>55000</v>
      </c>
      <c r="T402">
        <v>0</v>
      </c>
      <c r="U402">
        <v>0</v>
      </c>
      <c r="V402">
        <v>10</v>
      </c>
      <c r="W402">
        <v>55000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>
      <c r="A403">
        <v>801</v>
      </c>
      <c r="B403" t="s">
        <v>149</v>
      </c>
      <c r="C403">
        <v>1519</v>
      </c>
      <c r="D403" t="s">
        <v>353</v>
      </c>
      <c r="F403" t="s">
        <v>111</v>
      </c>
      <c r="G403" t="s">
        <v>150</v>
      </c>
      <c r="H403" t="s">
        <v>151</v>
      </c>
      <c r="I403" t="s">
        <v>4</v>
      </c>
      <c r="J403" t="s">
        <v>152</v>
      </c>
      <c r="K403" t="s">
        <v>153</v>
      </c>
      <c r="L403">
        <v>251200417</v>
      </c>
      <c r="M403" s="84">
        <v>46006</v>
      </c>
      <c r="N403" s="84">
        <v>46006</v>
      </c>
      <c r="O403" t="s">
        <v>219</v>
      </c>
      <c r="P403" t="s">
        <v>220</v>
      </c>
      <c r="Q403">
        <v>5500</v>
      </c>
      <c r="R403">
        <v>8</v>
      </c>
      <c r="S403">
        <v>44000</v>
      </c>
      <c r="T403">
        <v>0</v>
      </c>
      <c r="U403">
        <v>0</v>
      </c>
      <c r="V403">
        <v>8</v>
      </c>
      <c r="W403">
        <v>44000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>
      <c r="A404">
        <v>802</v>
      </c>
      <c r="B404" t="s">
        <v>149</v>
      </c>
      <c r="C404">
        <v>1551</v>
      </c>
      <c r="D404" t="s">
        <v>316</v>
      </c>
      <c r="F404" t="s">
        <v>111</v>
      </c>
      <c r="G404" t="s">
        <v>150</v>
      </c>
      <c r="H404" t="s">
        <v>151</v>
      </c>
      <c r="I404" t="s">
        <v>4</v>
      </c>
      <c r="J404" t="s">
        <v>152</v>
      </c>
      <c r="K404" t="s">
        <v>153</v>
      </c>
      <c r="L404">
        <v>251200418</v>
      </c>
      <c r="M404" s="84">
        <v>46006</v>
      </c>
      <c r="N404" s="84">
        <v>46006</v>
      </c>
      <c r="O404" t="s">
        <v>267</v>
      </c>
      <c r="P404" t="s">
        <v>268</v>
      </c>
      <c r="Q404">
        <v>5500</v>
      </c>
      <c r="R404">
        <v>8</v>
      </c>
      <c r="S404">
        <v>44000</v>
      </c>
      <c r="T404">
        <v>0</v>
      </c>
      <c r="U404">
        <v>0</v>
      </c>
      <c r="V404">
        <v>8</v>
      </c>
      <c r="W404">
        <v>44000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>
      <c r="A405">
        <v>814</v>
      </c>
      <c r="B405" t="s">
        <v>149</v>
      </c>
      <c r="C405">
        <v>1594</v>
      </c>
      <c r="D405" t="s">
        <v>346</v>
      </c>
      <c r="F405" t="s">
        <v>73</v>
      </c>
      <c r="G405" t="s">
        <v>185</v>
      </c>
      <c r="H405" t="s">
        <v>151</v>
      </c>
      <c r="I405" t="s">
        <v>4</v>
      </c>
      <c r="J405" t="s">
        <v>152</v>
      </c>
      <c r="K405" t="s">
        <v>153</v>
      </c>
      <c r="L405">
        <v>251200423</v>
      </c>
      <c r="M405" s="84">
        <v>46006</v>
      </c>
      <c r="N405" s="84">
        <v>46006</v>
      </c>
      <c r="O405" t="s">
        <v>262</v>
      </c>
      <c r="P405" t="s">
        <v>263</v>
      </c>
      <c r="Q405">
        <v>5500</v>
      </c>
      <c r="R405">
        <v>5</v>
      </c>
      <c r="S405">
        <v>27500</v>
      </c>
      <c r="T405">
        <v>0</v>
      </c>
      <c r="U405">
        <v>0</v>
      </c>
      <c r="V405">
        <v>5</v>
      </c>
      <c r="W405">
        <v>27500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>
      <c r="A406">
        <v>815</v>
      </c>
      <c r="B406" t="s">
        <v>149</v>
      </c>
      <c r="C406">
        <v>1594</v>
      </c>
      <c r="D406" t="s">
        <v>346</v>
      </c>
      <c r="F406" t="s">
        <v>73</v>
      </c>
      <c r="G406" t="s">
        <v>185</v>
      </c>
      <c r="H406" t="s">
        <v>151</v>
      </c>
      <c r="I406" t="s">
        <v>4</v>
      </c>
      <c r="J406" t="s">
        <v>152</v>
      </c>
      <c r="K406" t="s">
        <v>153</v>
      </c>
      <c r="L406">
        <v>251200423</v>
      </c>
      <c r="M406" s="84">
        <v>46006</v>
      </c>
      <c r="N406" s="84">
        <v>46006</v>
      </c>
      <c r="O406" t="s">
        <v>154</v>
      </c>
      <c r="P406" t="s">
        <v>155</v>
      </c>
      <c r="Q406">
        <v>5500</v>
      </c>
      <c r="R406">
        <v>11</v>
      </c>
      <c r="S406">
        <v>60500</v>
      </c>
      <c r="T406">
        <v>0</v>
      </c>
      <c r="U406">
        <v>0</v>
      </c>
      <c r="V406">
        <v>11</v>
      </c>
      <c r="W406">
        <v>60500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>
      <c r="A407">
        <v>816</v>
      </c>
      <c r="B407" t="s">
        <v>149</v>
      </c>
      <c r="C407">
        <v>1594</v>
      </c>
      <c r="D407" t="s">
        <v>346</v>
      </c>
      <c r="F407" t="s">
        <v>73</v>
      </c>
      <c r="G407" t="s">
        <v>185</v>
      </c>
      <c r="H407" t="s">
        <v>151</v>
      </c>
      <c r="I407" t="s">
        <v>4</v>
      </c>
      <c r="J407" t="s">
        <v>152</v>
      </c>
      <c r="K407" t="s">
        <v>153</v>
      </c>
      <c r="L407">
        <v>251200423</v>
      </c>
      <c r="M407" s="84">
        <v>46006</v>
      </c>
      <c r="N407" s="84">
        <v>46006</v>
      </c>
      <c r="O407" t="s">
        <v>221</v>
      </c>
      <c r="P407" t="s">
        <v>222</v>
      </c>
      <c r="Q407">
        <v>5500</v>
      </c>
      <c r="R407">
        <v>15</v>
      </c>
      <c r="S407">
        <v>82500</v>
      </c>
      <c r="T407">
        <v>0</v>
      </c>
      <c r="U407">
        <v>0</v>
      </c>
      <c r="V407">
        <v>15</v>
      </c>
      <c r="W407">
        <v>82500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>
      <c r="A408">
        <v>817</v>
      </c>
      <c r="B408" t="s">
        <v>149</v>
      </c>
      <c r="C408">
        <v>1594</v>
      </c>
      <c r="D408" t="s">
        <v>346</v>
      </c>
      <c r="F408" t="s">
        <v>73</v>
      </c>
      <c r="G408" t="s">
        <v>185</v>
      </c>
      <c r="H408" t="s">
        <v>151</v>
      </c>
      <c r="I408" t="s">
        <v>4</v>
      </c>
      <c r="J408" t="s">
        <v>152</v>
      </c>
      <c r="K408" t="s">
        <v>153</v>
      </c>
      <c r="L408">
        <v>251200423</v>
      </c>
      <c r="M408" s="84">
        <v>46006</v>
      </c>
      <c r="N408" s="84">
        <v>46006</v>
      </c>
      <c r="O408" t="s">
        <v>160</v>
      </c>
      <c r="P408" t="s">
        <v>161</v>
      </c>
      <c r="Q408">
        <v>5500</v>
      </c>
      <c r="R408">
        <v>7</v>
      </c>
      <c r="S408">
        <v>38500</v>
      </c>
      <c r="T408">
        <v>0</v>
      </c>
      <c r="U408">
        <v>0</v>
      </c>
      <c r="V408">
        <v>7</v>
      </c>
      <c r="W408">
        <v>38500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>
      <c r="A409">
        <v>818</v>
      </c>
      <c r="B409" t="s">
        <v>149</v>
      </c>
      <c r="C409">
        <v>1594</v>
      </c>
      <c r="D409" t="s">
        <v>346</v>
      </c>
      <c r="F409" t="s">
        <v>73</v>
      </c>
      <c r="G409" t="s">
        <v>185</v>
      </c>
      <c r="H409" t="s">
        <v>151</v>
      </c>
      <c r="I409" t="s">
        <v>4</v>
      </c>
      <c r="J409" t="s">
        <v>152</v>
      </c>
      <c r="K409" t="s">
        <v>153</v>
      </c>
      <c r="L409">
        <v>251200423</v>
      </c>
      <c r="M409" s="84">
        <v>46006</v>
      </c>
      <c r="N409" s="84">
        <v>46006</v>
      </c>
      <c r="O409" t="s">
        <v>243</v>
      </c>
      <c r="P409" t="s">
        <v>244</v>
      </c>
      <c r="Q409">
        <v>5700</v>
      </c>
      <c r="R409">
        <v>8</v>
      </c>
      <c r="S409">
        <v>45600</v>
      </c>
      <c r="T409">
        <v>0</v>
      </c>
      <c r="U409">
        <v>0</v>
      </c>
      <c r="V409">
        <v>8</v>
      </c>
      <c r="W409">
        <v>45600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>
      <c r="A410">
        <v>819</v>
      </c>
      <c r="B410" t="s">
        <v>149</v>
      </c>
      <c r="C410">
        <v>1471</v>
      </c>
      <c r="D410" t="s">
        <v>369</v>
      </c>
      <c r="F410" t="s">
        <v>73</v>
      </c>
      <c r="G410" t="s">
        <v>185</v>
      </c>
      <c r="H410" t="s">
        <v>151</v>
      </c>
      <c r="I410" t="s">
        <v>4</v>
      </c>
      <c r="J410" t="s">
        <v>152</v>
      </c>
      <c r="K410" t="s">
        <v>153</v>
      </c>
      <c r="L410">
        <v>251200424</v>
      </c>
      <c r="M410" s="84">
        <v>46006</v>
      </c>
      <c r="N410" s="84">
        <v>46006</v>
      </c>
      <c r="O410" t="s">
        <v>168</v>
      </c>
      <c r="P410" t="s">
        <v>169</v>
      </c>
      <c r="Q410">
        <v>5500</v>
      </c>
      <c r="R410">
        <v>10</v>
      </c>
      <c r="S410">
        <v>55000</v>
      </c>
      <c r="T410">
        <v>0</v>
      </c>
      <c r="U410">
        <v>0</v>
      </c>
      <c r="V410">
        <v>10</v>
      </c>
      <c r="W410">
        <v>55000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>
      <c r="A411">
        <v>820</v>
      </c>
      <c r="B411" t="s">
        <v>149</v>
      </c>
      <c r="C411">
        <v>1292</v>
      </c>
      <c r="D411" t="s">
        <v>336</v>
      </c>
      <c r="F411" t="s">
        <v>73</v>
      </c>
      <c r="G411" t="s">
        <v>185</v>
      </c>
      <c r="H411" t="s">
        <v>151</v>
      </c>
      <c r="I411" t="s">
        <v>4</v>
      </c>
      <c r="J411" t="s">
        <v>152</v>
      </c>
      <c r="K411" t="s">
        <v>153</v>
      </c>
      <c r="L411">
        <v>251200425</v>
      </c>
      <c r="M411" s="84">
        <v>46006</v>
      </c>
      <c r="N411" s="84">
        <v>46006</v>
      </c>
      <c r="O411" t="s">
        <v>243</v>
      </c>
      <c r="P411" t="s">
        <v>244</v>
      </c>
      <c r="Q411">
        <v>5700</v>
      </c>
      <c r="R411">
        <v>17</v>
      </c>
      <c r="S411">
        <v>96900</v>
      </c>
      <c r="T411">
        <v>0</v>
      </c>
      <c r="U411">
        <v>0</v>
      </c>
      <c r="V411">
        <v>17</v>
      </c>
      <c r="W411">
        <v>96900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>
      <c r="A412">
        <v>830</v>
      </c>
      <c r="B412" t="s">
        <v>149</v>
      </c>
      <c r="C412">
        <v>1313</v>
      </c>
      <c r="D412" t="s">
        <v>396</v>
      </c>
      <c r="F412" t="s">
        <v>20</v>
      </c>
      <c r="G412" t="s">
        <v>193</v>
      </c>
      <c r="H412" t="s">
        <v>151</v>
      </c>
      <c r="I412" t="s">
        <v>4</v>
      </c>
      <c r="J412" t="s">
        <v>152</v>
      </c>
      <c r="K412" t="s">
        <v>236</v>
      </c>
      <c r="L412">
        <v>251200430</v>
      </c>
      <c r="M412" s="84">
        <v>46006</v>
      </c>
      <c r="N412" s="84">
        <v>46006</v>
      </c>
      <c r="O412" t="s">
        <v>219</v>
      </c>
      <c r="P412" t="s">
        <v>220</v>
      </c>
      <c r="Q412">
        <v>5500</v>
      </c>
      <c r="R412">
        <v>5</v>
      </c>
      <c r="S412">
        <v>27500</v>
      </c>
      <c r="T412">
        <v>0</v>
      </c>
      <c r="U412">
        <v>0</v>
      </c>
      <c r="V412">
        <v>5</v>
      </c>
      <c r="W412">
        <v>27500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>
      <c r="A413">
        <v>831</v>
      </c>
      <c r="B413" t="s">
        <v>149</v>
      </c>
      <c r="C413">
        <v>1298</v>
      </c>
      <c r="D413" t="s">
        <v>389</v>
      </c>
      <c r="F413" t="s">
        <v>83</v>
      </c>
      <c r="G413" t="s">
        <v>164</v>
      </c>
      <c r="H413" t="s">
        <v>151</v>
      </c>
      <c r="I413" t="s">
        <v>4</v>
      </c>
      <c r="J413" t="s">
        <v>152</v>
      </c>
      <c r="K413" t="s">
        <v>153</v>
      </c>
      <c r="L413">
        <v>251200431</v>
      </c>
      <c r="M413" s="84">
        <v>46006</v>
      </c>
      <c r="N413" s="84">
        <v>46006</v>
      </c>
      <c r="O413" t="s">
        <v>160</v>
      </c>
      <c r="P413" t="s">
        <v>161</v>
      </c>
      <c r="Q413">
        <v>5500</v>
      </c>
      <c r="R413">
        <v>50</v>
      </c>
      <c r="S413">
        <v>275000</v>
      </c>
      <c r="T413">
        <v>0</v>
      </c>
      <c r="U413">
        <v>0</v>
      </c>
      <c r="V413">
        <v>50</v>
      </c>
      <c r="W413">
        <v>275000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>
      <c r="A414">
        <v>832</v>
      </c>
      <c r="B414" t="s">
        <v>149</v>
      </c>
      <c r="C414">
        <v>1298</v>
      </c>
      <c r="D414" t="s">
        <v>389</v>
      </c>
      <c r="F414" t="s">
        <v>83</v>
      </c>
      <c r="G414" t="s">
        <v>164</v>
      </c>
      <c r="H414" t="s">
        <v>151</v>
      </c>
      <c r="I414" t="s">
        <v>5</v>
      </c>
      <c r="J414" t="s">
        <v>152</v>
      </c>
      <c r="K414" t="s">
        <v>153</v>
      </c>
      <c r="L414">
        <v>251200431</v>
      </c>
      <c r="M414" s="84">
        <v>46006</v>
      </c>
      <c r="N414" s="84">
        <v>46006</v>
      </c>
      <c r="O414" t="s">
        <v>191</v>
      </c>
      <c r="P414" t="s">
        <v>192</v>
      </c>
      <c r="Q414">
        <v>4500</v>
      </c>
      <c r="R414">
        <v>150</v>
      </c>
      <c r="S414">
        <v>675000</v>
      </c>
      <c r="T414">
        <v>0</v>
      </c>
      <c r="U414">
        <v>0</v>
      </c>
      <c r="V414">
        <v>150</v>
      </c>
      <c r="W414">
        <v>675000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 spans="1:29">
      <c r="A415">
        <v>834</v>
      </c>
      <c r="B415" t="s">
        <v>149</v>
      </c>
      <c r="C415">
        <v>1554</v>
      </c>
      <c r="D415" t="s">
        <v>382</v>
      </c>
      <c r="F415" t="s">
        <v>111</v>
      </c>
      <c r="G415" t="s">
        <v>150</v>
      </c>
      <c r="H415" t="s">
        <v>151</v>
      </c>
      <c r="I415" t="s">
        <v>4</v>
      </c>
      <c r="J415" t="s">
        <v>152</v>
      </c>
      <c r="K415" t="s">
        <v>153</v>
      </c>
      <c r="L415">
        <v>251200433</v>
      </c>
      <c r="M415" s="84">
        <v>46006</v>
      </c>
      <c r="N415" s="84">
        <v>46006</v>
      </c>
      <c r="O415" t="s">
        <v>160</v>
      </c>
      <c r="P415" t="s">
        <v>161</v>
      </c>
      <c r="Q415">
        <v>5500</v>
      </c>
      <c r="R415">
        <v>10</v>
      </c>
      <c r="S415">
        <v>55000</v>
      </c>
      <c r="T415">
        <v>0</v>
      </c>
      <c r="U415">
        <v>0</v>
      </c>
      <c r="V415">
        <v>10</v>
      </c>
      <c r="W415">
        <v>55000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 spans="1:29">
      <c r="A416">
        <v>835</v>
      </c>
      <c r="B416" t="s">
        <v>149</v>
      </c>
      <c r="C416">
        <v>1551</v>
      </c>
      <c r="D416" t="s">
        <v>316</v>
      </c>
      <c r="F416" t="s">
        <v>111</v>
      </c>
      <c r="G416" t="s">
        <v>150</v>
      </c>
      <c r="H416" t="s">
        <v>151</v>
      </c>
      <c r="I416" t="s">
        <v>4</v>
      </c>
      <c r="J416" t="s">
        <v>152</v>
      </c>
      <c r="K416" t="s">
        <v>153</v>
      </c>
      <c r="L416">
        <v>251200434</v>
      </c>
      <c r="M416" s="84">
        <v>46006</v>
      </c>
      <c r="N416" s="84">
        <v>46006</v>
      </c>
      <c r="O416" t="s">
        <v>262</v>
      </c>
      <c r="P416" t="s">
        <v>263</v>
      </c>
      <c r="Q416">
        <v>5500</v>
      </c>
      <c r="R416">
        <v>10</v>
      </c>
      <c r="S416">
        <v>55000</v>
      </c>
      <c r="T416">
        <v>0</v>
      </c>
      <c r="U416">
        <v>0</v>
      </c>
      <c r="V416">
        <v>10</v>
      </c>
      <c r="W416">
        <v>55000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 spans="1:29">
      <c r="A417">
        <v>836</v>
      </c>
      <c r="B417" t="s">
        <v>149</v>
      </c>
      <c r="C417">
        <v>1282</v>
      </c>
      <c r="D417" t="s">
        <v>374</v>
      </c>
      <c r="F417" t="s">
        <v>111</v>
      </c>
      <c r="G417" t="s">
        <v>150</v>
      </c>
      <c r="H417" t="s">
        <v>151</v>
      </c>
      <c r="I417" t="s">
        <v>4</v>
      </c>
      <c r="J417" t="s">
        <v>152</v>
      </c>
      <c r="K417" t="s">
        <v>153</v>
      </c>
      <c r="L417">
        <v>251200435</v>
      </c>
      <c r="M417" s="84">
        <v>46006</v>
      </c>
      <c r="N417" s="84">
        <v>46006</v>
      </c>
      <c r="O417" t="s">
        <v>262</v>
      </c>
      <c r="P417" t="s">
        <v>263</v>
      </c>
      <c r="Q417">
        <v>5500</v>
      </c>
      <c r="R417">
        <v>10</v>
      </c>
      <c r="S417">
        <v>55000</v>
      </c>
      <c r="T417">
        <v>0</v>
      </c>
      <c r="U417">
        <v>0</v>
      </c>
      <c r="V417">
        <v>10</v>
      </c>
      <c r="W417">
        <v>55000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 spans="1:29">
      <c r="A418">
        <v>844</v>
      </c>
      <c r="B418" t="s">
        <v>149</v>
      </c>
      <c r="C418">
        <v>1326</v>
      </c>
      <c r="D418" t="s">
        <v>338</v>
      </c>
      <c r="F418" t="s">
        <v>15</v>
      </c>
      <c r="G418" t="s">
        <v>193</v>
      </c>
      <c r="H418" t="s">
        <v>151</v>
      </c>
      <c r="I418" t="s">
        <v>4</v>
      </c>
      <c r="J418" t="s">
        <v>152</v>
      </c>
      <c r="K418" t="s">
        <v>153</v>
      </c>
      <c r="L418">
        <v>251200440</v>
      </c>
      <c r="M418" s="84">
        <v>46006</v>
      </c>
      <c r="N418" s="84">
        <v>46006</v>
      </c>
      <c r="O418" t="s">
        <v>160</v>
      </c>
      <c r="P418" t="s">
        <v>161</v>
      </c>
      <c r="Q418">
        <v>5500</v>
      </c>
      <c r="R418">
        <v>20</v>
      </c>
      <c r="S418">
        <v>110000</v>
      </c>
      <c r="T418">
        <v>0</v>
      </c>
      <c r="U418">
        <v>0</v>
      </c>
      <c r="V418">
        <v>20</v>
      </c>
      <c r="W418">
        <v>110000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>
      <c r="A419">
        <v>845</v>
      </c>
      <c r="B419" t="s">
        <v>149</v>
      </c>
      <c r="C419">
        <v>1326</v>
      </c>
      <c r="D419" t="s">
        <v>338</v>
      </c>
      <c r="F419" t="s">
        <v>15</v>
      </c>
      <c r="G419" t="s">
        <v>193</v>
      </c>
      <c r="H419" t="s">
        <v>151</v>
      </c>
      <c r="I419" t="s">
        <v>5</v>
      </c>
      <c r="J419" t="s">
        <v>152</v>
      </c>
      <c r="K419" t="s">
        <v>153</v>
      </c>
      <c r="L419">
        <v>251200440</v>
      </c>
      <c r="M419" s="84">
        <v>46006</v>
      </c>
      <c r="N419" s="84">
        <v>46006</v>
      </c>
      <c r="O419" t="s">
        <v>191</v>
      </c>
      <c r="P419" t="s">
        <v>192</v>
      </c>
      <c r="Q419">
        <v>4500</v>
      </c>
      <c r="R419">
        <v>12</v>
      </c>
      <c r="S419">
        <v>54000</v>
      </c>
      <c r="T419">
        <v>0</v>
      </c>
      <c r="U419">
        <v>0</v>
      </c>
      <c r="V419">
        <v>12</v>
      </c>
      <c r="W419">
        <v>54000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>
      <c r="A420">
        <v>846</v>
      </c>
      <c r="B420" t="s">
        <v>149</v>
      </c>
      <c r="C420">
        <v>1550</v>
      </c>
      <c r="D420" t="s">
        <v>337</v>
      </c>
      <c r="F420" t="s">
        <v>15</v>
      </c>
      <c r="G420" t="s">
        <v>193</v>
      </c>
      <c r="H420" t="s">
        <v>151</v>
      </c>
      <c r="I420" t="s">
        <v>5</v>
      </c>
      <c r="J420" t="s">
        <v>152</v>
      </c>
      <c r="K420" t="s">
        <v>153</v>
      </c>
      <c r="L420">
        <v>251200441</v>
      </c>
      <c r="M420" s="84">
        <v>46006</v>
      </c>
      <c r="N420" s="84">
        <v>46006</v>
      </c>
      <c r="O420" t="s">
        <v>194</v>
      </c>
      <c r="P420" t="s">
        <v>195</v>
      </c>
      <c r="Q420">
        <v>4500</v>
      </c>
      <c r="R420">
        <v>8</v>
      </c>
      <c r="S420">
        <v>36000</v>
      </c>
      <c r="T420">
        <v>0</v>
      </c>
      <c r="U420">
        <v>0</v>
      </c>
      <c r="V420">
        <v>8</v>
      </c>
      <c r="W420">
        <v>36000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>
      <c r="A421">
        <v>847</v>
      </c>
      <c r="B421" t="s">
        <v>149</v>
      </c>
      <c r="C421">
        <v>1550</v>
      </c>
      <c r="D421" t="s">
        <v>337</v>
      </c>
      <c r="F421" t="s">
        <v>15</v>
      </c>
      <c r="G421" t="s">
        <v>193</v>
      </c>
      <c r="H421" t="s">
        <v>151</v>
      </c>
      <c r="I421" t="s">
        <v>5</v>
      </c>
      <c r="J421" t="s">
        <v>152</v>
      </c>
      <c r="K421" t="s">
        <v>153</v>
      </c>
      <c r="L421">
        <v>251200442</v>
      </c>
      <c r="M421" s="84">
        <v>46006</v>
      </c>
      <c r="N421" s="84">
        <v>46006</v>
      </c>
      <c r="O421" t="s">
        <v>191</v>
      </c>
      <c r="P421" t="s">
        <v>192</v>
      </c>
      <c r="Q421">
        <v>4500</v>
      </c>
      <c r="R421">
        <v>20</v>
      </c>
      <c r="S421">
        <v>90000</v>
      </c>
      <c r="T421">
        <v>0</v>
      </c>
      <c r="U421">
        <v>0</v>
      </c>
      <c r="V421">
        <v>20</v>
      </c>
      <c r="W421">
        <v>90000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>
      <c r="A422">
        <v>848</v>
      </c>
      <c r="B422" t="s">
        <v>149</v>
      </c>
      <c r="C422">
        <v>1326</v>
      </c>
      <c r="D422" t="s">
        <v>338</v>
      </c>
      <c r="F422" t="s">
        <v>15</v>
      </c>
      <c r="G422" t="s">
        <v>193</v>
      </c>
      <c r="H422" t="s">
        <v>151</v>
      </c>
      <c r="I422" t="s">
        <v>5</v>
      </c>
      <c r="J422" t="s">
        <v>152</v>
      </c>
      <c r="K422" t="s">
        <v>153</v>
      </c>
      <c r="L422">
        <v>251200443</v>
      </c>
      <c r="M422" s="84">
        <v>46006</v>
      </c>
      <c r="N422" s="84">
        <v>46006</v>
      </c>
      <c r="O422" t="s">
        <v>191</v>
      </c>
      <c r="P422" t="s">
        <v>192</v>
      </c>
      <c r="Q422">
        <v>4500</v>
      </c>
      <c r="R422">
        <v>8</v>
      </c>
      <c r="S422">
        <v>36000</v>
      </c>
      <c r="T422">
        <v>0</v>
      </c>
      <c r="U422">
        <v>0</v>
      </c>
      <c r="V422">
        <v>8</v>
      </c>
      <c r="W422">
        <v>36000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>
      <c r="A423">
        <v>849</v>
      </c>
      <c r="B423" t="s">
        <v>149</v>
      </c>
      <c r="C423">
        <v>1326</v>
      </c>
      <c r="D423" t="s">
        <v>338</v>
      </c>
      <c r="F423" t="s">
        <v>15</v>
      </c>
      <c r="G423" t="s">
        <v>193</v>
      </c>
      <c r="H423" t="s">
        <v>151</v>
      </c>
      <c r="I423" t="s">
        <v>5</v>
      </c>
      <c r="J423" t="s">
        <v>152</v>
      </c>
      <c r="K423" t="s">
        <v>153</v>
      </c>
      <c r="L423">
        <v>251200443</v>
      </c>
      <c r="M423" s="84">
        <v>46006</v>
      </c>
      <c r="N423" s="84">
        <v>46006</v>
      </c>
      <c r="O423" t="s">
        <v>253</v>
      </c>
      <c r="P423" t="s">
        <v>254</v>
      </c>
      <c r="Q423">
        <v>4500</v>
      </c>
      <c r="R423">
        <v>4</v>
      </c>
      <c r="S423">
        <v>18000</v>
      </c>
      <c r="T423">
        <v>0</v>
      </c>
      <c r="U423">
        <v>0</v>
      </c>
      <c r="V423">
        <v>4</v>
      </c>
      <c r="W423">
        <v>18000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1:29">
      <c r="A424">
        <v>850</v>
      </c>
      <c r="B424" t="s">
        <v>149</v>
      </c>
      <c r="C424">
        <v>1312</v>
      </c>
      <c r="D424" t="s">
        <v>359</v>
      </c>
      <c r="F424" t="s">
        <v>15</v>
      </c>
      <c r="G424" t="s">
        <v>193</v>
      </c>
      <c r="H424" t="s">
        <v>151</v>
      </c>
      <c r="I424" t="s">
        <v>4</v>
      </c>
      <c r="J424" t="s">
        <v>152</v>
      </c>
      <c r="K424" t="s">
        <v>153</v>
      </c>
      <c r="L424">
        <v>251200444</v>
      </c>
      <c r="M424" s="84">
        <v>46006</v>
      </c>
      <c r="N424" s="84">
        <v>46006</v>
      </c>
      <c r="O424" t="s">
        <v>327</v>
      </c>
      <c r="P424" t="s">
        <v>328</v>
      </c>
      <c r="Q424">
        <v>5500</v>
      </c>
      <c r="R424">
        <v>20</v>
      </c>
      <c r="S424">
        <v>110000</v>
      </c>
      <c r="T424">
        <v>0</v>
      </c>
      <c r="U424">
        <v>0</v>
      </c>
      <c r="V424">
        <v>20</v>
      </c>
      <c r="W424">
        <v>110000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 spans="1:29">
      <c r="A425">
        <v>853</v>
      </c>
      <c r="B425" t="s">
        <v>149</v>
      </c>
      <c r="C425">
        <v>1320</v>
      </c>
      <c r="D425" t="s">
        <v>319</v>
      </c>
      <c r="F425" t="s">
        <v>171</v>
      </c>
      <c r="G425" t="s">
        <v>172</v>
      </c>
      <c r="H425" t="s">
        <v>157</v>
      </c>
      <c r="I425" t="s">
        <v>4</v>
      </c>
      <c r="J425" t="s">
        <v>152</v>
      </c>
      <c r="K425" t="s">
        <v>174</v>
      </c>
      <c r="L425">
        <v>251200446</v>
      </c>
      <c r="M425" s="84">
        <v>46006</v>
      </c>
      <c r="N425" s="84">
        <v>46006</v>
      </c>
      <c r="O425" t="s">
        <v>390</v>
      </c>
      <c r="P425" t="s">
        <v>391</v>
      </c>
      <c r="Q425">
        <v>5500</v>
      </c>
      <c r="R425">
        <v>5</v>
      </c>
      <c r="S425">
        <v>27500</v>
      </c>
      <c r="T425">
        <v>0</v>
      </c>
      <c r="U425">
        <v>0</v>
      </c>
      <c r="V425">
        <v>5</v>
      </c>
      <c r="W425">
        <v>27500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>
      <c r="A426">
        <v>854</v>
      </c>
      <c r="B426" t="s">
        <v>149</v>
      </c>
      <c r="C426">
        <v>1315</v>
      </c>
      <c r="D426" t="s">
        <v>392</v>
      </c>
      <c r="F426" t="s">
        <v>86</v>
      </c>
      <c r="G426" t="s">
        <v>156</v>
      </c>
      <c r="H426" t="s">
        <v>157</v>
      </c>
      <c r="I426" t="s">
        <v>4</v>
      </c>
      <c r="J426" t="s">
        <v>152</v>
      </c>
      <c r="K426" t="s">
        <v>159</v>
      </c>
      <c r="L426">
        <v>251200447</v>
      </c>
      <c r="M426" s="84">
        <v>46006</v>
      </c>
      <c r="N426" s="84">
        <v>46006</v>
      </c>
      <c r="O426" t="s">
        <v>294</v>
      </c>
      <c r="P426" t="s">
        <v>295</v>
      </c>
      <c r="Q426">
        <v>5500</v>
      </c>
      <c r="R426">
        <v>5</v>
      </c>
      <c r="S426">
        <v>27500</v>
      </c>
      <c r="T426">
        <v>0</v>
      </c>
      <c r="U426">
        <v>0</v>
      </c>
      <c r="V426">
        <v>5</v>
      </c>
      <c r="W426">
        <v>27500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>
      <c r="A427">
        <v>855</v>
      </c>
      <c r="B427" t="s">
        <v>149</v>
      </c>
      <c r="C427">
        <v>1536</v>
      </c>
      <c r="D427" t="s">
        <v>393</v>
      </c>
      <c r="F427" t="s">
        <v>65</v>
      </c>
      <c r="G427" t="s">
        <v>208</v>
      </c>
      <c r="H427" t="s">
        <v>157</v>
      </c>
      <c r="I427" t="s">
        <v>4</v>
      </c>
      <c r="J427" t="s">
        <v>152</v>
      </c>
      <c r="K427" t="s">
        <v>174</v>
      </c>
      <c r="L427">
        <v>251200448</v>
      </c>
      <c r="M427" s="84">
        <v>46006</v>
      </c>
      <c r="N427" s="84">
        <v>46006</v>
      </c>
      <c r="O427" t="s">
        <v>294</v>
      </c>
      <c r="P427" t="s">
        <v>295</v>
      </c>
      <c r="Q427">
        <v>5500</v>
      </c>
      <c r="R427">
        <v>15</v>
      </c>
      <c r="S427">
        <v>82500</v>
      </c>
      <c r="T427">
        <v>0</v>
      </c>
      <c r="U427">
        <v>0</v>
      </c>
      <c r="V427">
        <v>15</v>
      </c>
      <c r="W427">
        <v>82500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 spans="1:29">
      <c r="A428">
        <v>856</v>
      </c>
      <c r="B428" t="s">
        <v>149</v>
      </c>
      <c r="C428">
        <v>1484</v>
      </c>
      <c r="D428" t="s">
        <v>331</v>
      </c>
      <c r="F428" t="s">
        <v>71</v>
      </c>
      <c r="G428" t="s">
        <v>305</v>
      </c>
      <c r="H428" t="s">
        <v>157</v>
      </c>
      <c r="I428" t="s">
        <v>4</v>
      </c>
      <c r="J428" t="s">
        <v>152</v>
      </c>
      <c r="K428" t="s">
        <v>174</v>
      </c>
      <c r="L428">
        <v>251200449</v>
      </c>
      <c r="M428" s="84">
        <v>46006</v>
      </c>
      <c r="N428" s="84">
        <v>46006</v>
      </c>
      <c r="O428" t="s">
        <v>243</v>
      </c>
      <c r="P428" t="s">
        <v>244</v>
      </c>
      <c r="Q428">
        <v>5700</v>
      </c>
      <c r="R428">
        <v>15</v>
      </c>
      <c r="S428">
        <v>85500</v>
      </c>
      <c r="T428">
        <v>0</v>
      </c>
      <c r="U428">
        <v>0</v>
      </c>
      <c r="V428">
        <v>15</v>
      </c>
      <c r="W428">
        <v>85500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>
      <c r="A429">
        <v>857</v>
      </c>
      <c r="B429" t="s">
        <v>149</v>
      </c>
      <c r="C429">
        <v>1484</v>
      </c>
      <c r="D429" t="s">
        <v>331</v>
      </c>
      <c r="F429" t="s">
        <v>71</v>
      </c>
      <c r="G429" t="s">
        <v>305</v>
      </c>
      <c r="H429" t="s">
        <v>157</v>
      </c>
      <c r="I429" t="s">
        <v>4</v>
      </c>
      <c r="J429" t="s">
        <v>152</v>
      </c>
      <c r="K429" t="s">
        <v>174</v>
      </c>
      <c r="L429">
        <v>251200450</v>
      </c>
      <c r="M429" s="84">
        <v>46006</v>
      </c>
      <c r="N429" s="84">
        <v>46006</v>
      </c>
      <c r="O429" t="s">
        <v>160</v>
      </c>
      <c r="P429" t="s">
        <v>161</v>
      </c>
      <c r="Q429">
        <v>5500</v>
      </c>
      <c r="R429">
        <v>5</v>
      </c>
      <c r="S429">
        <v>27500</v>
      </c>
      <c r="T429">
        <v>0</v>
      </c>
      <c r="U429">
        <v>0</v>
      </c>
      <c r="V429">
        <v>5</v>
      </c>
      <c r="W429">
        <v>27500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 spans="1:29">
      <c r="A430">
        <v>858</v>
      </c>
      <c r="B430" t="s">
        <v>149</v>
      </c>
      <c r="C430">
        <v>1484</v>
      </c>
      <c r="D430" t="s">
        <v>331</v>
      </c>
      <c r="F430" t="s">
        <v>71</v>
      </c>
      <c r="G430" t="s">
        <v>305</v>
      </c>
      <c r="H430" t="s">
        <v>157</v>
      </c>
      <c r="I430" t="s">
        <v>4</v>
      </c>
      <c r="J430" t="s">
        <v>152</v>
      </c>
      <c r="K430" t="s">
        <v>174</v>
      </c>
      <c r="L430">
        <v>251200451</v>
      </c>
      <c r="M430" s="84">
        <v>46006</v>
      </c>
      <c r="N430" s="84">
        <v>46006</v>
      </c>
      <c r="O430" t="s">
        <v>160</v>
      </c>
      <c r="P430" t="s">
        <v>161</v>
      </c>
      <c r="Q430">
        <v>5500</v>
      </c>
      <c r="R430">
        <v>5</v>
      </c>
      <c r="S430">
        <v>27500</v>
      </c>
      <c r="T430">
        <v>0</v>
      </c>
      <c r="U430">
        <v>0</v>
      </c>
      <c r="V430">
        <v>5</v>
      </c>
      <c r="W430">
        <v>27500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 spans="1:29">
      <c r="A431">
        <v>859</v>
      </c>
      <c r="B431" t="s">
        <v>149</v>
      </c>
      <c r="C431">
        <v>1468</v>
      </c>
      <c r="D431" t="s">
        <v>342</v>
      </c>
      <c r="F431" t="s">
        <v>7</v>
      </c>
      <c r="G431" t="s">
        <v>156</v>
      </c>
      <c r="H431" t="s">
        <v>157</v>
      </c>
      <c r="I431" t="s">
        <v>5</v>
      </c>
      <c r="J431" t="s">
        <v>152</v>
      </c>
      <c r="K431" t="s">
        <v>159</v>
      </c>
      <c r="L431">
        <v>251200452</v>
      </c>
      <c r="M431" s="84">
        <v>46006</v>
      </c>
      <c r="N431" s="84">
        <v>46006</v>
      </c>
      <c r="O431" t="s">
        <v>397</v>
      </c>
      <c r="P431" t="s">
        <v>398</v>
      </c>
      <c r="Q431">
        <v>3000</v>
      </c>
      <c r="R431">
        <v>34</v>
      </c>
      <c r="S431">
        <v>102000</v>
      </c>
      <c r="T431">
        <v>0</v>
      </c>
      <c r="U431">
        <v>0</v>
      </c>
      <c r="V431">
        <v>34</v>
      </c>
      <c r="W431">
        <v>102000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 spans="1:29">
      <c r="A432">
        <v>860</v>
      </c>
      <c r="B432" t="s">
        <v>149</v>
      </c>
      <c r="C432">
        <v>1600</v>
      </c>
      <c r="D432" t="s">
        <v>399</v>
      </c>
      <c r="F432" t="s">
        <v>7</v>
      </c>
      <c r="G432" t="s">
        <v>156</v>
      </c>
      <c r="H432" t="s">
        <v>157</v>
      </c>
      <c r="I432" t="s">
        <v>4</v>
      </c>
      <c r="J432" t="s">
        <v>152</v>
      </c>
      <c r="K432" t="s">
        <v>159</v>
      </c>
      <c r="L432">
        <v>251200453</v>
      </c>
      <c r="M432" s="84">
        <v>46006</v>
      </c>
      <c r="N432" s="84">
        <v>46006</v>
      </c>
      <c r="O432" t="s">
        <v>243</v>
      </c>
      <c r="P432" t="s">
        <v>244</v>
      </c>
      <c r="Q432">
        <v>5700</v>
      </c>
      <c r="R432">
        <v>5</v>
      </c>
      <c r="S432">
        <v>28500</v>
      </c>
      <c r="T432">
        <v>0</v>
      </c>
      <c r="U432">
        <v>0</v>
      </c>
      <c r="V432">
        <v>5</v>
      </c>
      <c r="W432">
        <v>28500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>
      <c r="A433">
        <v>861</v>
      </c>
      <c r="B433" t="s">
        <v>149</v>
      </c>
      <c r="C433">
        <v>1600</v>
      </c>
      <c r="D433" t="s">
        <v>399</v>
      </c>
      <c r="F433" t="s">
        <v>7</v>
      </c>
      <c r="G433" t="s">
        <v>156</v>
      </c>
      <c r="H433" t="s">
        <v>157</v>
      </c>
      <c r="I433" t="s">
        <v>4</v>
      </c>
      <c r="J433" t="s">
        <v>152</v>
      </c>
      <c r="K433" t="s">
        <v>159</v>
      </c>
      <c r="L433">
        <v>251200454</v>
      </c>
      <c r="M433" s="84">
        <v>46006</v>
      </c>
      <c r="N433" s="84">
        <v>46006</v>
      </c>
      <c r="O433" t="s">
        <v>243</v>
      </c>
      <c r="P433" t="s">
        <v>244</v>
      </c>
      <c r="Q433">
        <v>5700</v>
      </c>
      <c r="R433">
        <v>3</v>
      </c>
      <c r="S433">
        <v>17100</v>
      </c>
      <c r="T433">
        <v>0</v>
      </c>
      <c r="U433">
        <v>0</v>
      </c>
      <c r="V433">
        <v>3</v>
      </c>
      <c r="W433">
        <v>17100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>
      <c r="A434">
        <v>864</v>
      </c>
      <c r="B434" t="s">
        <v>400</v>
      </c>
      <c r="C434">
        <v>1603</v>
      </c>
      <c r="D434" t="s">
        <v>401</v>
      </c>
      <c r="F434" t="s">
        <v>91</v>
      </c>
      <c r="G434" t="s">
        <v>202</v>
      </c>
      <c r="H434" t="s">
        <v>157</v>
      </c>
      <c r="I434" t="s">
        <v>4</v>
      </c>
      <c r="J434" t="s">
        <v>152</v>
      </c>
      <c r="K434" t="s">
        <v>159</v>
      </c>
      <c r="L434">
        <v>251200456</v>
      </c>
      <c r="M434" s="84">
        <v>46006</v>
      </c>
      <c r="N434" s="84">
        <v>46006</v>
      </c>
      <c r="O434" t="s">
        <v>402</v>
      </c>
      <c r="P434" t="s">
        <v>403</v>
      </c>
      <c r="Q434">
        <v>5500</v>
      </c>
      <c r="R434">
        <v>10</v>
      </c>
      <c r="S434">
        <v>55000</v>
      </c>
      <c r="T434">
        <v>0</v>
      </c>
      <c r="U434">
        <v>0</v>
      </c>
      <c r="V434">
        <v>10</v>
      </c>
      <c r="W434">
        <v>55000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>
      <c r="A435">
        <v>865</v>
      </c>
      <c r="B435" t="s">
        <v>400</v>
      </c>
      <c r="C435">
        <v>1603</v>
      </c>
      <c r="D435" t="s">
        <v>401</v>
      </c>
      <c r="F435" t="s">
        <v>91</v>
      </c>
      <c r="G435" t="s">
        <v>202</v>
      </c>
      <c r="H435" t="s">
        <v>157</v>
      </c>
      <c r="I435" t="s">
        <v>4</v>
      </c>
      <c r="J435" t="s">
        <v>152</v>
      </c>
      <c r="K435" t="s">
        <v>159</v>
      </c>
      <c r="L435">
        <v>251200457</v>
      </c>
      <c r="M435" s="84">
        <v>46006</v>
      </c>
      <c r="N435" s="84">
        <v>46006</v>
      </c>
      <c r="O435" t="s">
        <v>402</v>
      </c>
      <c r="P435" t="s">
        <v>403</v>
      </c>
      <c r="Q435">
        <v>5500</v>
      </c>
      <c r="R435">
        <v>10</v>
      </c>
      <c r="S435">
        <v>55000</v>
      </c>
      <c r="T435">
        <v>0</v>
      </c>
      <c r="U435">
        <v>0</v>
      </c>
      <c r="V435">
        <v>10</v>
      </c>
      <c r="W435">
        <v>55000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>
      <c r="A436">
        <v>866</v>
      </c>
      <c r="B436" t="s">
        <v>400</v>
      </c>
      <c r="C436">
        <v>1603</v>
      </c>
      <c r="D436" t="s">
        <v>401</v>
      </c>
      <c r="F436" t="s">
        <v>91</v>
      </c>
      <c r="G436" t="s">
        <v>202</v>
      </c>
      <c r="H436" t="s">
        <v>157</v>
      </c>
      <c r="I436" t="s">
        <v>4</v>
      </c>
      <c r="J436" t="s">
        <v>152</v>
      </c>
      <c r="K436" t="s">
        <v>159</v>
      </c>
      <c r="L436">
        <v>251200458</v>
      </c>
      <c r="M436" s="84">
        <v>46006</v>
      </c>
      <c r="N436" s="84">
        <v>46006</v>
      </c>
      <c r="O436" t="s">
        <v>404</v>
      </c>
      <c r="P436" t="s">
        <v>405</v>
      </c>
      <c r="Q436">
        <v>5500</v>
      </c>
      <c r="R436">
        <v>40</v>
      </c>
      <c r="S436">
        <v>220000</v>
      </c>
      <c r="T436">
        <v>0</v>
      </c>
      <c r="U436">
        <v>0</v>
      </c>
      <c r="V436">
        <v>40</v>
      </c>
      <c r="W436">
        <v>220000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>
      <c r="A437">
        <v>867</v>
      </c>
      <c r="B437" t="s">
        <v>400</v>
      </c>
      <c r="C437">
        <v>1603</v>
      </c>
      <c r="D437" t="s">
        <v>401</v>
      </c>
      <c r="F437" t="s">
        <v>91</v>
      </c>
      <c r="G437" t="s">
        <v>202</v>
      </c>
      <c r="H437" t="s">
        <v>157</v>
      </c>
      <c r="I437" t="s">
        <v>4</v>
      </c>
      <c r="J437" t="s">
        <v>152</v>
      </c>
      <c r="K437" t="s">
        <v>159</v>
      </c>
      <c r="L437">
        <v>251200459</v>
      </c>
      <c r="M437" s="84">
        <v>46006</v>
      </c>
      <c r="N437" s="84">
        <v>46006</v>
      </c>
      <c r="O437" t="s">
        <v>402</v>
      </c>
      <c r="P437" t="s">
        <v>403</v>
      </c>
      <c r="Q437">
        <v>5500</v>
      </c>
      <c r="R437">
        <v>20</v>
      </c>
      <c r="S437">
        <v>110000</v>
      </c>
      <c r="T437">
        <v>0</v>
      </c>
      <c r="U437">
        <v>0</v>
      </c>
      <c r="V437">
        <v>20</v>
      </c>
      <c r="W437">
        <v>110000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 spans="1:29">
      <c r="A438">
        <v>868</v>
      </c>
      <c r="B438" t="s">
        <v>400</v>
      </c>
      <c r="C438">
        <v>1603</v>
      </c>
      <c r="D438" t="s">
        <v>401</v>
      </c>
      <c r="F438" t="s">
        <v>91</v>
      </c>
      <c r="G438" t="s">
        <v>202</v>
      </c>
      <c r="H438" t="s">
        <v>157</v>
      </c>
      <c r="I438" t="s">
        <v>4</v>
      </c>
      <c r="J438" t="s">
        <v>152</v>
      </c>
      <c r="K438" t="s">
        <v>159</v>
      </c>
      <c r="L438">
        <v>251200460</v>
      </c>
      <c r="M438" s="84">
        <v>46006</v>
      </c>
      <c r="N438" s="84">
        <v>46006</v>
      </c>
      <c r="O438" t="s">
        <v>402</v>
      </c>
      <c r="P438" t="s">
        <v>403</v>
      </c>
      <c r="Q438">
        <v>5500</v>
      </c>
      <c r="R438">
        <v>10</v>
      </c>
      <c r="S438">
        <v>55000</v>
      </c>
      <c r="T438">
        <v>0</v>
      </c>
      <c r="U438">
        <v>0</v>
      </c>
      <c r="V438">
        <v>10</v>
      </c>
      <c r="W438">
        <v>55000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29">
      <c r="A439">
        <v>869</v>
      </c>
      <c r="B439" t="s">
        <v>400</v>
      </c>
      <c r="C439">
        <v>1603</v>
      </c>
      <c r="D439" t="s">
        <v>401</v>
      </c>
      <c r="F439" t="s">
        <v>91</v>
      </c>
      <c r="G439" t="s">
        <v>202</v>
      </c>
      <c r="H439" t="s">
        <v>157</v>
      </c>
      <c r="I439" t="s">
        <v>4</v>
      </c>
      <c r="J439" t="s">
        <v>152</v>
      </c>
      <c r="K439" t="s">
        <v>159</v>
      </c>
      <c r="L439">
        <v>251200461</v>
      </c>
      <c r="M439" s="84">
        <v>46006</v>
      </c>
      <c r="N439" s="84">
        <v>46006</v>
      </c>
      <c r="O439" t="s">
        <v>404</v>
      </c>
      <c r="P439" t="s">
        <v>405</v>
      </c>
      <c r="Q439">
        <v>5500</v>
      </c>
      <c r="R439">
        <v>10</v>
      </c>
      <c r="S439">
        <v>55000</v>
      </c>
      <c r="T439">
        <v>0</v>
      </c>
      <c r="U439">
        <v>0</v>
      </c>
      <c r="V439">
        <v>10</v>
      </c>
      <c r="W439">
        <v>55000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>
      <c r="A440">
        <v>871</v>
      </c>
      <c r="B440" t="s">
        <v>149</v>
      </c>
      <c r="C440">
        <v>1530</v>
      </c>
      <c r="D440" t="s">
        <v>379</v>
      </c>
      <c r="F440" t="s">
        <v>111</v>
      </c>
      <c r="G440" t="s">
        <v>150</v>
      </c>
      <c r="H440" t="s">
        <v>151</v>
      </c>
      <c r="I440" t="s">
        <v>4</v>
      </c>
      <c r="J440" t="s">
        <v>152</v>
      </c>
      <c r="K440" t="s">
        <v>153</v>
      </c>
      <c r="L440">
        <v>251200463</v>
      </c>
      <c r="M440" s="84">
        <v>46006</v>
      </c>
      <c r="N440" s="84">
        <v>46006</v>
      </c>
      <c r="O440" t="s">
        <v>380</v>
      </c>
      <c r="P440" t="s">
        <v>381</v>
      </c>
      <c r="Q440">
        <v>5500</v>
      </c>
      <c r="R440">
        <v>10</v>
      </c>
      <c r="S440">
        <v>55000</v>
      </c>
      <c r="T440">
        <v>0</v>
      </c>
      <c r="U440">
        <v>0</v>
      </c>
      <c r="V440">
        <v>10</v>
      </c>
      <c r="W440">
        <v>55000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>
      <c r="A441">
        <v>872</v>
      </c>
      <c r="B441" t="s">
        <v>149</v>
      </c>
      <c r="C441">
        <v>1530</v>
      </c>
      <c r="D441" t="s">
        <v>379</v>
      </c>
      <c r="F441" t="s">
        <v>111</v>
      </c>
      <c r="G441" t="s">
        <v>150</v>
      </c>
      <c r="H441" t="s">
        <v>151</v>
      </c>
      <c r="I441" t="s">
        <v>4</v>
      </c>
      <c r="J441" t="s">
        <v>152</v>
      </c>
      <c r="K441" t="s">
        <v>153</v>
      </c>
      <c r="L441">
        <v>251200463</v>
      </c>
      <c r="M441" s="84">
        <v>46006</v>
      </c>
      <c r="N441" s="84">
        <v>46006</v>
      </c>
      <c r="O441" t="s">
        <v>321</v>
      </c>
      <c r="P441" t="s">
        <v>322</v>
      </c>
      <c r="Q441">
        <v>5500</v>
      </c>
      <c r="R441">
        <v>30</v>
      </c>
      <c r="S441">
        <v>165000</v>
      </c>
      <c r="T441">
        <v>0</v>
      </c>
      <c r="U441">
        <v>0</v>
      </c>
      <c r="V441">
        <v>30</v>
      </c>
      <c r="W441">
        <v>165000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>
      <c r="A442">
        <v>876</v>
      </c>
      <c r="B442" t="s">
        <v>149</v>
      </c>
      <c r="C442">
        <v>1596</v>
      </c>
      <c r="D442" t="s">
        <v>315</v>
      </c>
      <c r="F442" t="s">
        <v>111</v>
      </c>
      <c r="G442" t="s">
        <v>150</v>
      </c>
      <c r="H442" t="s">
        <v>151</v>
      </c>
      <c r="I442" t="s">
        <v>4</v>
      </c>
      <c r="J442" t="s">
        <v>152</v>
      </c>
      <c r="K442" t="s">
        <v>153</v>
      </c>
      <c r="L442">
        <v>251200466</v>
      </c>
      <c r="M442" s="84">
        <v>46007</v>
      </c>
      <c r="N442" s="84">
        <v>46007</v>
      </c>
      <c r="O442" t="s">
        <v>294</v>
      </c>
      <c r="P442" t="s">
        <v>295</v>
      </c>
      <c r="Q442">
        <v>5500</v>
      </c>
      <c r="R442">
        <v>20</v>
      </c>
      <c r="S442">
        <v>110000</v>
      </c>
      <c r="T442">
        <v>0</v>
      </c>
      <c r="U442">
        <v>0</v>
      </c>
      <c r="V442">
        <v>20</v>
      </c>
      <c r="W442">
        <v>110000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>
      <c r="A443">
        <v>877</v>
      </c>
      <c r="B443" t="s">
        <v>149</v>
      </c>
      <c r="C443">
        <v>1596</v>
      </c>
      <c r="D443" t="s">
        <v>315</v>
      </c>
      <c r="F443" t="s">
        <v>111</v>
      </c>
      <c r="G443" t="s">
        <v>150</v>
      </c>
      <c r="H443" t="s">
        <v>151</v>
      </c>
      <c r="I443" t="s">
        <v>5</v>
      </c>
      <c r="J443" t="s">
        <v>152</v>
      </c>
      <c r="K443" t="s">
        <v>153</v>
      </c>
      <c r="L443">
        <v>251200466</v>
      </c>
      <c r="M443" s="84">
        <v>46007</v>
      </c>
      <c r="N443" s="84">
        <v>46007</v>
      </c>
      <c r="O443" t="s">
        <v>191</v>
      </c>
      <c r="P443" t="s">
        <v>192</v>
      </c>
      <c r="Q443">
        <v>4500</v>
      </c>
      <c r="R443">
        <v>4</v>
      </c>
      <c r="S443">
        <v>18000</v>
      </c>
      <c r="T443">
        <v>0</v>
      </c>
      <c r="U443">
        <v>0</v>
      </c>
      <c r="V443">
        <v>4</v>
      </c>
      <c r="W443">
        <v>18000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 spans="1:29">
      <c r="A444">
        <v>878</v>
      </c>
      <c r="B444" t="s">
        <v>149</v>
      </c>
      <c r="C444">
        <v>1557</v>
      </c>
      <c r="D444" t="s">
        <v>344</v>
      </c>
      <c r="F444" t="s">
        <v>111</v>
      </c>
      <c r="G444" t="s">
        <v>150</v>
      </c>
      <c r="H444" t="s">
        <v>151</v>
      </c>
      <c r="I444" t="s">
        <v>4</v>
      </c>
      <c r="J444" t="s">
        <v>152</v>
      </c>
      <c r="K444" t="s">
        <v>153</v>
      </c>
      <c r="L444">
        <v>251200467</v>
      </c>
      <c r="M444" s="84">
        <v>46007</v>
      </c>
      <c r="N444" s="84">
        <v>46007</v>
      </c>
      <c r="O444" t="s">
        <v>179</v>
      </c>
      <c r="P444" t="s">
        <v>180</v>
      </c>
      <c r="Q444">
        <v>5500</v>
      </c>
      <c r="R444">
        <v>5</v>
      </c>
      <c r="S444">
        <v>27500</v>
      </c>
      <c r="T444">
        <v>0</v>
      </c>
      <c r="U444">
        <v>0</v>
      </c>
      <c r="V444">
        <v>5</v>
      </c>
      <c r="W444">
        <v>27500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>
      <c r="A445">
        <v>879</v>
      </c>
      <c r="B445" t="s">
        <v>149</v>
      </c>
      <c r="C445">
        <v>1557</v>
      </c>
      <c r="D445" t="s">
        <v>344</v>
      </c>
      <c r="F445" t="s">
        <v>111</v>
      </c>
      <c r="G445" t="s">
        <v>150</v>
      </c>
      <c r="H445" t="s">
        <v>151</v>
      </c>
      <c r="I445" t="s">
        <v>5</v>
      </c>
      <c r="J445" t="s">
        <v>152</v>
      </c>
      <c r="K445" t="s">
        <v>153</v>
      </c>
      <c r="L445">
        <v>251200467</v>
      </c>
      <c r="M445" s="84">
        <v>46007</v>
      </c>
      <c r="N445" s="84">
        <v>46007</v>
      </c>
      <c r="O445" t="s">
        <v>273</v>
      </c>
      <c r="P445" t="s">
        <v>274</v>
      </c>
      <c r="Q445">
        <v>4500</v>
      </c>
      <c r="R445">
        <v>12</v>
      </c>
      <c r="S445">
        <v>54000</v>
      </c>
      <c r="T445">
        <v>0</v>
      </c>
      <c r="U445">
        <v>0</v>
      </c>
      <c r="V445">
        <v>12</v>
      </c>
      <c r="W445">
        <v>54000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>
      <c r="A446">
        <v>880</v>
      </c>
      <c r="B446" t="s">
        <v>149</v>
      </c>
      <c r="C446">
        <v>1593</v>
      </c>
      <c r="D446" t="s">
        <v>343</v>
      </c>
      <c r="F446" t="s">
        <v>111</v>
      </c>
      <c r="G446" t="s">
        <v>150</v>
      </c>
      <c r="H446" t="s">
        <v>151</v>
      </c>
      <c r="I446" t="s">
        <v>5</v>
      </c>
      <c r="J446" t="s">
        <v>152</v>
      </c>
      <c r="K446" t="s">
        <v>153</v>
      </c>
      <c r="L446">
        <v>251200468</v>
      </c>
      <c r="M446" s="84">
        <v>46007</v>
      </c>
      <c r="N446" s="84">
        <v>46007</v>
      </c>
      <c r="O446" t="s">
        <v>273</v>
      </c>
      <c r="P446" t="s">
        <v>274</v>
      </c>
      <c r="Q446">
        <v>4500</v>
      </c>
      <c r="R446">
        <v>8</v>
      </c>
      <c r="S446">
        <v>36000</v>
      </c>
      <c r="T446">
        <v>0</v>
      </c>
      <c r="U446">
        <v>0</v>
      </c>
      <c r="V446">
        <v>8</v>
      </c>
      <c r="W446">
        <v>36000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>
      <c r="A447">
        <v>881</v>
      </c>
      <c r="B447" t="s">
        <v>149</v>
      </c>
      <c r="C447">
        <v>1478</v>
      </c>
      <c r="D447" t="s">
        <v>314</v>
      </c>
      <c r="F447" t="s">
        <v>111</v>
      </c>
      <c r="G447" t="s">
        <v>150</v>
      </c>
      <c r="H447" t="s">
        <v>151</v>
      </c>
      <c r="I447" t="s">
        <v>5</v>
      </c>
      <c r="J447" t="s">
        <v>152</v>
      </c>
      <c r="K447" t="s">
        <v>153</v>
      </c>
      <c r="L447">
        <v>251200469</v>
      </c>
      <c r="M447" s="84">
        <v>46007</v>
      </c>
      <c r="N447" s="84">
        <v>46007</v>
      </c>
      <c r="O447" t="s">
        <v>191</v>
      </c>
      <c r="P447" t="s">
        <v>192</v>
      </c>
      <c r="Q447">
        <v>4500</v>
      </c>
      <c r="R447">
        <v>8</v>
      </c>
      <c r="S447">
        <v>36000</v>
      </c>
      <c r="T447">
        <v>0</v>
      </c>
      <c r="U447">
        <v>0</v>
      </c>
      <c r="V447">
        <v>8</v>
      </c>
      <c r="W447">
        <v>36000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>
      <c r="A448">
        <v>882</v>
      </c>
      <c r="B448" t="s">
        <v>149</v>
      </c>
      <c r="C448">
        <v>1478</v>
      </c>
      <c r="D448" t="s">
        <v>314</v>
      </c>
      <c r="F448" t="s">
        <v>111</v>
      </c>
      <c r="G448" t="s">
        <v>150</v>
      </c>
      <c r="H448" t="s">
        <v>151</v>
      </c>
      <c r="I448" t="s">
        <v>4</v>
      </c>
      <c r="J448" t="s">
        <v>152</v>
      </c>
      <c r="K448" t="s">
        <v>153</v>
      </c>
      <c r="L448">
        <v>251200469</v>
      </c>
      <c r="M448" s="84">
        <v>46007</v>
      </c>
      <c r="N448" s="84">
        <v>46007</v>
      </c>
      <c r="O448" t="s">
        <v>160</v>
      </c>
      <c r="P448" t="s">
        <v>161</v>
      </c>
      <c r="Q448">
        <v>5500</v>
      </c>
      <c r="R448">
        <v>16</v>
      </c>
      <c r="S448">
        <v>88000</v>
      </c>
      <c r="T448">
        <v>0</v>
      </c>
      <c r="U448">
        <v>0</v>
      </c>
      <c r="V448">
        <v>16</v>
      </c>
      <c r="W448">
        <v>88000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>
      <c r="A449">
        <v>883</v>
      </c>
      <c r="B449" t="s">
        <v>149</v>
      </c>
      <c r="C449">
        <v>1551</v>
      </c>
      <c r="D449" t="s">
        <v>316</v>
      </c>
      <c r="F449" t="s">
        <v>111</v>
      </c>
      <c r="G449" t="s">
        <v>150</v>
      </c>
      <c r="H449" t="s">
        <v>151</v>
      </c>
      <c r="I449" t="s">
        <v>4</v>
      </c>
      <c r="J449" t="s">
        <v>152</v>
      </c>
      <c r="K449" t="s">
        <v>153</v>
      </c>
      <c r="L449">
        <v>251200470</v>
      </c>
      <c r="M449" s="84">
        <v>46007</v>
      </c>
      <c r="N449" s="84">
        <v>46007</v>
      </c>
      <c r="O449" t="s">
        <v>160</v>
      </c>
      <c r="P449" t="s">
        <v>161</v>
      </c>
      <c r="Q449">
        <v>5500</v>
      </c>
      <c r="R449">
        <v>12</v>
      </c>
      <c r="S449">
        <v>66000</v>
      </c>
      <c r="T449">
        <v>0</v>
      </c>
      <c r="U449">
        <v>0</v>
      </c>
      <c r="V449">
        <v>12</v>
      </c>
      <c r="W449">
        <v>66000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>
      <c r="A450">
        <v>885</v>
      </c>
      <c r="B450" t="s">
        <v>149</v>
      </c>
      <c r="C450">
        <v>1553</v>
      </c>
      <c r="D450" t="s">
        <v>317</v>
      </c>
      <c r="F450" t="s">
        <v>43</v>
      </c>
      <c r="G450" t="s">
        <v>150</v>
      </c>
      <c r="H450" t="s">
        <v>151</v>
      </c>
      <c r="I450" t="s">
        <v>4</v>
      </c>
      <c r="J450" t="s">
        <v>152</v>
      </c>
      <c r="K450" t="s">
        <v>153</v>
      </c>
      <c r="L450">
        <v>251200472</v>
      </c>
      <c r="M450" s="84">
        <v>46007</v>
      </c>
      <c r="N450" s="84">
        <v>46007</v>
      </c>
      <c r="O450" t="s">
        <v>160</v>
      </c>
      <c r="P450" t="s">
        <v>161</v>
      </c>
      <c r="Q450">
        <v>5500</v>
      </c>
      <c r="R450">
        <v>10</v>
      </c>
      <c r="S450">
        <v>55000</v>
      </c>
      <c r="T450">
        <v>0</v>
      </c>
      <c r="U450">
        <v>0</v>
      </c>
      <c r="V450">
        <v>10</v>
      </c>
      <c r="W450">
        <v>55000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>
      <c r="A451">
        <v>886</v>
      </c>
      <c r="B451" t="s">
        <v>149</v>
      </c>
      <c r="C451">
        <v>1553</v>
      </c>
      <c r="D451" t="s">
        <v>317</v>
      </c>
      <c r="F451" t="s">
        <v>43</v>
      </c>
      <c r="G451" t="s">
        <v>150</v>
      </c>
      <c r="H451" t="s">
        <v>151</v>
      </c>
      <c r="I451" t="s">
        <v>4</v>
      </c>
      <c r="J451" t="s">
        <v>152</v>
      </c>
      <c r="K451" t="s">
        <v>153</v>
      </c>
      <c r="L451">
        <v>251200472</v>
      </c>
      <c r="M451" s="84">
        <v>46007</v>
      </c>
      <c r="N451" s="84">
        <v>46007</v>
      </c>
      <c r="O451" t="s">
        <v>243</v>
      </c>
      <c r="P451" t="s">
        <v>244</v>
      </c>
      <c r="Q451">
        <v>5700</v>
      </c>
      <c r="R451">
        <v>1</v>
      </c>
      <c r="S451">
        <v>5700</v>
      </c>
      <c r="T451">
        <v>0</v>
      </c>
      <c r="U451">
        <v>0</v>
      </c>
      <c r="V451">
        <v>1</v>
      </c>
      <c r="W451">
        <v>5700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 spans="1:29">
      <c r="A452">
        <v>887</v>
      </c>
      <c r="B452" t="s">
        <v>149</v>
      </c>
      <c r="C452">
        <v>1553</v>
      </c>
      <c r="D452" t="s">
        <v>317</v>
      </c>
      <c r="F452" t="s">
        <v>43</v>
      </c>
      <c r="G452" t="s">
        <v>150</v>
      </c>
      <c r="H452" t="s">
        <v>151</v>
      </c>
      <c r="I452" t="s">
        <v>4</v>
      </c>
      <c r="J452" t="s">
        <v>152</v>
      </c>
      <c r="K452" t="s">
        <v>153</v>
      </c>
      <c r="L452">
        <v>251200472</v>
      </c>
      <c r="M452" s="84">
        <v>46007</v>
      </c>
      <c r="N452" s="84">
        <v>46007</v>
      </c>
      <c r="O452" t="s">
        <v>219</v>
      </c>
      <c r="P452" t="s">
        <v>220</v>
      </c>
      <c r="Q452">
        <v>5500</v>
      </c>
      <c r="R452">
        <v>5</v>
      </c>
      <c r="S452">
        <v>27500</v>
      </c>
      <c r="T452">
        <v>0</v>
      </c>
      <c r="U452">
        <v>0</v>
      </c>
      <c r="V452">
        <v>5</v>
      </c>
      <c r="W452">
        <v>27500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1:29">
      <c r="A453">
        <v>888</v>
      </c>
      <c r="B453" t="s">
        <v>149</v>
      </c>
      <c r="C453">
        <v>1288</v>
      </c>
      <c r="D453" t="s">
        <v>367</v>
      </c>
      <c r="F453" t="s">
        <v>43</v>
      </c>
      <c r="G453" t="s">
        <v>150</v>
      </c>
      <c r="H453" t="s">
        <v>151</v>
      </c>
      <c r="I453" t="s">
        <v>4</v>
      </c>
      <c r="J453" t="s">
        <v>152</v>
      </c>
      <c r="K453" t="s">
        <v>153</v>
      </c>
      <c r="L453">
        <v>251200473</v>
      </c>
      <c r="M453" s="84">
        <v>46007</v>
      </c>
      <c r="N453" s="84">
        <v>46007</v>
      </c>
      <c r="O453" t="s">
        <v>160</v>
      </c>
      <c r="P453" t="s">
        <v>161</v>
      </c>
      <c r="Q453">
        <v>5500</v>
      </c>
      <c r="R453">
        <v>20</v>
      </c>
      <c r="S453">
        <v>110000</v>
      </c>
      <c r="T453">
        <v>0</v>
      </c>
      <c r="U453">
        <v>0</v>
      </c>
      <c r="V453">
        <v>20</v>
      </c>
      <c r="W453">
        <v>110000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 spans="1:29">
      <c r="A454">
        <v>889</v>
      </c>
      <c r="B454" t="s">
        <v>149</v>
      </c>
      <c r="C454">
        <v>1308</v>
      </c>
      <c r="D454" t="s">
        <v>368</v>
      </c>
      <c r="F454" t="s">
        <v>49</v>
      </c>
      <c r="G454" t="s">
        <v>167</v>
      </c>
      <c r="H454" t="s">
        <v>151</v>
      </c>
      <c r="I454" t="s">
        <v>5</v>
      </c>
      <c r="J454" t="s">
        <v>152</v>
      </c>
      <c r="K454" t="s">
        <v>153</v>
      </c>
      <c r="L454">
        <v>251200474</v>
      </c>
      <c r="M454" s="84">
        <v>46007</v>
      </c>
      <c r="N454" s="84">
        <v>46007</v>
      </c>
      <c r="O454" t="s">
        <v>271</v>
      </c>
      <c r="P454" t="s">
        <v>272</v>
      </c>
      <c r="Q454">
        <v>4500</v>
      </c>
      <c r="R454">
        <v>8</v>
      </c>
      <c r="S454">
        <v>36000</v>
      </c>
      <c r="T454">
        <v>0</v>
      </c>
      <c r="U454">
        <v>0</v>
      </c>
      <c r="V454">
        <v>8</v>
      </c>
      <c r="W454">
        <v>36000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 spans="1:29">
      <c r="A455">
        <v>890</v>
      </c>
      <c r="B455" t="s">
        <v>149</v>
      </c>
      <c r="C455">
        <v>1308</v>
      </c>
      <c r="D455" t="s">
        <v>368</v>
      </c>
      <c r="F455" t="s">
        <v>49</v>
      </c>
      <c r="G455" t="s">
        <v>167</v>
      </c>
      <c r="H455" t="s">
        <v>151</v>
      </c>
      <c r="I455" t="s">
        <v>5</v>
      </c>
      <c r="J455" t="s">
        <v>152</v>
      </c>
      <c r="K455" t="s">
        <v>153</v>
      </c>
      <c r="L455">
        <v>251200474</v>
      </c>
      <c r="M455" s="84">
        <v>46007</v>
      </c>
      <c r="N455" s="84">
        <v>46007</v>
      </c>
      <c r="O455" t="s">
        <v>260</v>
      </c>
      <c r="P455" t="s">
        <v>261</v>
      </c>
      <c r="Q455">
        <v>4500</v>
      </c>
      <c r="R455">
        <v>12</v>
      </c>
      <c r="S455">
        <v>54000</v>
      </c>
      <c r="T455">
        <v>0</v>
      </c>
      <c r="U455">
        <v>0</v>
      </c>
      <c r="V455">
        <v>12</v>
      </c>
      <c r="W455">
        <v>54000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 spans="1:29">
      <c r="A456">
        <v>891</v>
      </c>
      <c r="B456" t="s">
        <v>149</v>
      </c>
      <c r="C456">
        <v>1308</v>
      </c>
      <c r="D456" t="s">
        <v>368</v>
      </c>
      <c r="F456" t="s">
        <v>49</v>
      </c>
      <c r="G456" t="s">
        <v>167</v>
      </c>
      <c r="H456" t="s">
        <v>151</v>
      </c>
      <c r="I456" t="s">
        <v>5</v>
      </c>
      <c r="J456" t="s">
        <v>152</v>
      </c>
      <c r="K456" t="s">
        <v>153</v>
      </c>
      <c r="L456">
        <v>251200474</v>
      </c>
      <c r="M456" s="84">
        <v>46007</v>
      </c>
      <c r="N456" s="84">
        <v>46007</v>
      </c>
      <c r="O456" t="s">
        <v>198</v>
      </c>
      <c r="P456" t="s">
        <v>199</v>
      </c>
      <c r="Q456">
        <v>4500</v>
      </c>
      <c r="R456">
        <v>2</v>
      </c>
      <c r="S456">
        <v>9000</v>
      </c>
      <c r="T456">
        <v>0</v>
      </c>
      <c r="U456">
        <v>0</v>
      </c>
      <c r="V456">
        <v>2</v>
      </c>
      <c r="W456">
        <v>9000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</row>
    <row r="457" spans="1:29">
      <c r="A457">
        <v>892</v>
      </c>
      <c r="B457" t="s">
        <v>149</v>
      </c>
      <c r="C457">
        <v>1308</v>
      </c>
      <c r="D457" t="s">
        <v>368</v>
      </c>
      <c r="F457" t="s">
        <v>49</v>
      </c>
      <c r="G457" t="s">
        <v>167</v>
      </c>
      <c r="H457" t="s">
        <v>151</v>
      </c>
      <c r="I457" t="s">
        <v>5</v>
      </c>
      <c r="J457" t="s">
        <v>152</v>
      </c>
      <c r="K457" t="s">
        <v>153</v>
      </c>
      <c r="L457">
        <v>251200474</v>
      </c>
      <c r="M457" s="84">
        <v>46007</v>
      </c>
      <c r="N457" s="84">
        <v>46007</v>
      </c>
      <c r="O457" t="s">
        <v>191</v>
      </c>
      <c r="P457" t="s">
        <v>192</v>
      </c>
      <c r="Q457">
        <v>4500</v>
      </c>
      <c r="R457">
        <v>210</v>
      </c>
      <c r="S457">
        <v>945000</v>
      </c>
      <c r="T457">
        <v>0</v>
      </c>
      <c r="U457">
        <v>0</v>
      </c>
      <c r="V457">
        <v>210</v>
      </c>
      <c r="W457">
        <v>945000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</row>
    <row r="458" spans="1:29">
      <c r="A458">
        <v>900</v>
      </c>
      <c r="B458" t="s">
        <v>149</v>
      </c>
      <c r="C458">
        <v>1313</v>
      </c>
      <c r="D458" t="s">
        <v>396</v>
      </c>
      <c r="F458" t="s">
        <v>20</v>
      </c>
      <c r="G458" t="s">
        <v>193</v>
      </c>
      <c r="H458" t="s">
        <v>151</v>
      </c>
      <c r="I458" t="s">
        <v>4</v>
      </c>
      <c r="J458" t="s">
        <v>152</v>
      </c>
      <c r="K458" t="s">
        <v>236</v>
      </c>
      <c r="L458">
        <v>251200478</v>
      </c>
      <c r="M458" s="84">
        <v>46007</v>
      </c>
      <c r="N458" s="84">
        <v>46007</v>
      </c>
      <c r="O458" t="s">
        <v>168</v>
      </c>
      <c r="P458" t="s">
        <v>169</v>
      </c>
      <c r="Q458">
        <v>5500</v>
      </c>
      <c r="R458">
        <v>7</v>
      </c>
      <c r="S458">
        <v>38500</v>
      </c>
      <c r="T458">
        <v>0</v>
      </c>
      <c r="U458">
        <v>0</v>
      </c>
      <c r="V458">
        <v>7</v>
      </c>
      <c r="W458">
        <v>38500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</row>
    <row r="459" spans="1:29">
      <c r="A459">
        <v>901</v>
      </c>
      <c r="B459" t="s">
        <v>149</v>
      </c>
      <c r="C459">
        <v>1313</v>
      </c>
      <c r="D459" t="s">
        <v>396</v>
      </c>
      <c r="F459" t="s">
        <v>20</v>
      </c>
      <c r="G459" t="s">
        <v>193</v>
      </c>
      <c r="H459" t="s">
        <v>151</v>
      </c>
      <c r="I459" t="s">
        <v>4</v>
      </c>
      <c r="J459" t="s">
        <v>152</v>
      </c>
      <c r="K459" t="s">
        <v>236</v>
      </c>
      <c r="L459">
        <v>251200478</v>
      </c>
      <c r="M459" s="84">
        <v>46007</v>
      </c>
      <c r="N459" s="84">
        <v>46007</v>
      </c>
      <c r="O459" t="s">
        <v>219</v>
      </c>
      <c r="P459" t="s">
        <v>220</v>
      </c>
      <c r="Q459">
        <v>5500</v>
      </c>
      <c r="R459">
        <v>30</v>
      </c>
      <c r="S459">
        <v>165000</v>
      </c>
      <c r="T459">
        <v>0</v>
      </c>
      <c r="U459">
        <v>0</v>
      </c>
      <c r="V459">
        <v>30</v>
      </c>
      <c r="W459">
        <v>165000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</row>
    <row r="460" spans="1:29">
      <c r="A460">
        <v>909</v>
      </c>
      <c r="B460" t="s">
        <v>149</v>
      </c>
      <c r="C460">
        <v>1550</v>
      </c>
      <c r="D460" t="s">
        <v>337</v>
      </c>
      <c r="F460" t="s">
        <v>15</v>
      </c>
      <c r="G460" t="s">
        <v>193</v>
      </c>
      <c r="H460" t="s">
        <v>151</v>
      </c>
      <c r="I460" t="s">
        <v>5</v>
      </c>
      <c r="J460" t="s">
        <v>152</v>
      </c>
      <c r="K460" t="s">
        <v>153</v>
      </c>
      <c r="L460">
        <v>251200484</v>
      </c>
      <c r="M460" s="84">
        <v>46007</v>
      </c>
      <c r="N460" s="84">
        <v>46007</v>
      </c>
      <c r="O460" t="s">
        <v>191</v>
      </c>
      <c r="P460" t="s">
        <v>192</v>
      </c>
      <c r="Q460">
        <v>4500</v>
      </c>
      <c r="R460">
        <v>24</v>
      </c>
      <c r="S460">
        <v>108000</v>
      </c>
      <c r="T460">
        <v>0</v>
      </c>
      <c r="U460">
        <v>0</v>
      </c>
      <c r="V460">
        <v>24</v>
      </c>
      <c r="W460">
        <v>108000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</row>
    <row r="461" spans="1:29">
      <c r="A461">
        <v>910</v>
      </c>
      <c r="B461" t="s">
        <v>149</v>
      </c>
      <c r="C461">
        <v>1550</v>
      </c>
      <c r="D461" t="s">
        <v>337</v>
      </c>
      <c r="F461" t="s">
        <v>15</v>
      </c>
      <c r="G461" t="s">
        <v>193</v>
      </c>
      <c r="H461" t="s">
        <v>151</v>
      </c>
      <c r="I461" t="s">
        <v>5</v>
      </c>
      <c r="J461" t="s">
        <v>152</v>
      </c>
      <c r="K461" t="s">
        <v>153</v>
      </c>
      <c r="L461">
        <v>251200484</v>
      </c>
      <c r="M461" s="84">
        <v>46007</v>
      </c>
      <c r="N461" s="84">
        <v>46007</v>
      </c>
      <c r="O461" t="s">
        <v>253</v>
      </c>
      <c r="P461" t="s">
        <v>254</v>
      </c>
      <c r="Q461">
        <v>4500</v>
      </c>
      <c r="R461">
        <v>8</v>
      </c>
      <c r="S461">
        <v>36000</v>
      </c>
      <c r="T461">
        <v>0</v>
      </c>
      <c r="U461">
        <v>0</v>
      </c>
      <c r="V461">
        <v>8</v>
      </c>
      <c r="W461">
        <v>36000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>
      <c r="A462">
        <v>911</v>
      </c>
      <c r="B462" t="s">
        <v>149</v>
      </c>
      <c r="C462">
        <v>1550</v>
      </c>
      <c r="D462" t="s">
        <v>337</v>
      </c>
      <c r="F462" t="s">
        <v>15</v>
      </c>
      <c r="G462" t="s">
        <v>193</v>
      </c>
      <c r="H462" t="s">
        <v>151</v>
      </c>
      <c r="I462" t="s">
        <v>5</v>
      </c>
      <c r="J462" t="s">
        <v>152</v>
      </c>
      <c r="K462" t="s">
        <v>153</v>
      </c>
      <c r="L462">
        <v>251200484</v>
      </c>
      <c r="M462" s="84">
        <v>46007</v>
      </c>
      <c r="N462" s="84">
        <v>46007</v>
      </c>
      <c r="O462" t="s">
        <v>260</v>
      </c>
      <c r="P462" t="s">
        <v>261</v>
      </c>
      <c r="Q462">
        <v>4500</v>
      </c>
      <c r="R462">
        <v>8</v>
      </c>
      <c r="S462">
        <v>36000</v>
      </c>
      <c r="T462">
        <v>0</v>
      </c>
      <c r="U462">
        <v>0</v>
      </c>
      <c r="V462">
        <v>8</v>
      </c>
      <c r="W462">
        <v>36000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>
      <c r="A463">
        <v>912</v>
      </c>
      <c r="B463" t="s">
        <v>149</v>
      </c>
      <c r="C463">
        <v>1326</v>
      </c>
      <c r="D463" t="s">
        <v>338</v>
      </c>
      <c r="F463" t="s">
        <v>15</v>
      </c>
      <c r="G463" t="s">
        <v>193</v>
      </c>
      <c r="H463" t="s">
        <v>151</v>
      </c>
      <c r="I463" t="s">
        <v>5</v>
      </c>
      <c r="J463" t="s">
        <v>152</v>
      </c>
      <c r="K463" t="s">
        <v>153</v>
      </c>
      <c r="L463">
        <v>251200485</v>
      </c>
      <c r="M463" s="84">
        <v>46007</v>
      </c>
      <c r="N463" s="84">
        <v>46007</v>
      </c>
      <c r="O463" t="s">
        <v>191</v>
      </c>
      <c r="P463" t="s">
        <v>192</v>
      </c>
      <c r="Q463">
        <v>4500</v>
      </c>
      <c r="R463">
        <v>48</v>
      </c>
      <c r="S463">
        <v>216000</v>
      </c>
      <c r="T463">
        <v>0</v>
      </c>
      <c r="U463">
        <v>0</v>
      </c>
      <c r="V463">
        <v>48</v>
      </c>
      <c r="W463">
        <v>216000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</row>
    <row r="464" spans="1:29">
      <c r="A464">
        <v>913</v>
      </c>
      <c r="B464" t="s">
        <v>149</v>
      </c>
      <c r="C464">
        <v>1326</v>
      </c>
      <c r="D464" t="s">
        <v>338</v>
      </c>
      <c r="F464" t="s">
        <v>15</v>
      </c>
      <c r="G464" t="s">
        <v>193</v>
      </c>
      <c r="H464" t="s">
        <v>151</v>
      </c>
      <c r="I464" t="s">
        <v>5</v>
      </c>
      <c r="J464" t="s">
        <v>152</v>
      </c>
      <c r="K464" t="s">
        <v>153</v>
      </c>
      <c r="L464">
        <v>251200485</v>
      </c>
      <c r="M464" s="84">
        <v>46007</v>
      </c>
      <c r="N464" s="84">
        <v>46007</v>
      </c>
      <c r="O464" t="s">
        <v>339</v>
      </c>
      <c r="P464" t="s">
        <v>340</v>
      </c>
      <c r="Q464">
        <v>4500</v>
      </c>
      <c r="R464">
        <v>12</v>
      </c>
      <c r="S464">
        <v>54000</v>
      </c>
      <c r="T464">
        <v>0</v>
      </c>
      <c r="U464">
        <v>0</v>
      </c>
      <c r="V464">
        <v>12</v>
      </c>
      <c r="W464">
        <v>54000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</row>
    <row r="465" spans="1:29">
      <c r="A465">
        <v>914</v>
      </c>
      <c r="B465" t="s">
        <v>149</v>
      </c>
      <c r="C465">
        <v>1326</v>
      </c>
      <c r="D465" t="s">
        <v>338</v>
      </c>
      <c r="F465" t="s">
        <v>15</v>
      </c>
      <c r="G465" t="s">
        <v>193</v>
      </c>
      <c r="H465" t="s">
        <v>151</v>
      </c>
      <c r="I465" t="s">
        <v>5</v>
      </c>
      <c r="J465" t="s">
        <v>152</v>
      </c>
      <c r="K465" t="s">
        <v>153</v>
      </c>
      <c r="L465">
        <v>251200485</v>
      </c>
      <c r="M465" s="84">
        <v>46007</v>
      </c>
      <c r="N465" s="84">
        <v>46007</v>
      </c>
      <c r="O465" t="s">
        <v>260</v>
      </c>
      <c r="P465" t="s">
        <v>261</v>
      </c>
      <c r="Q465">
        <v>4500</v>
      </c>
      <c r="R465">
        <v>4</v>
      </c>
      <c r="S465">
        <v>18000</v>
      </c>
      <c r="T465">
        <v>0</v>
      </c>
      <c r="U465">
        <v>0</v>
      </c>
      <c r="V465">
        <v>4</v>
      </c>
      <c r="W465">
        <v>18000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</row>
    <row r="466" spans="1:29">
      <c r="A466">
        <v>915</v>
      </c>
      <c r="B466" t="s">
        <v>149</v>
      </c>
      <c r="C466">
        <v>1326</v>
      </c>
      <c r="D466" t="s">
        <v>338</v>
      </c>
      <c r="F466" t="s">
        <v>15</v>
      </c>
      <c r="G466" t="s">
        <v>193</v>
      </c>
      <c r="H466" t="s">
        <v>151</v>
      </c>
      <c r="I466" t="s">
        <v>4</v>
      </c>
      <c r="J466" t="s">
        <v>152</v>
      </c>
      <c r="K466" t="s">
        <v>153</v>
      </c>
      <c r="L466">
        <v>251200485</v>
      </c>
      <c r="M466" s="84">
        <v>46007</v>
      </c>
      <c r="N466" s="84">
        <v>46007</v>
      </c>
      <c r="O466" t="s">
        <v>160</v>
      </c>
      <c r="P466" t="s">
        <v>161</v>
      </c>
      <c r="Q466">
        <v>5500</v>
      </c>
      <c r="R466">
        <v>20</v>
      </c>
      <c r="S466">
        <v>110000</v>
      </c>
      <c r="T466">
        <v>0</v>
      </c>
      <c r="U466">
        <v>0</v>
      </c>
      <c r="V466">
        <v>20</v>
      </c>
      <c r="W466">
        <v>110000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</row>
    <row r="467" spans="1:29">
      <c r="A467">
        <v>916</v>
      </c>
      <c r="B467" t="s">
        <v>149</v>
      </c>
      <c r="C467">
        <v>1550</v>
      </c>
      <c r="D467" t="s">
        <v>337</v>
      </c>
      <c r="F467" t="s">
        <v>15</v>
      </c>
      <c r="G467" t="s">
        <v>193</v>
      </c>
      <c r="H467" t="s">
        <v>151</v>
      </c>
      <c r="I467" t="s">
        <v>5</v>
      </c>
      <c r="J467" t="s">
        <v>152</v>
      </c>
      <c r="K467" t="s">
        <v>153</v>
      </c>
      <c r="L467">
        <v>251200486</v>
      </c>
      <c r="M467" s="84">
        <v>46007</v>
      </c>
      <c r="N467" s="84">
        <v>46007</v>
      </c>
      <c r="O467" t="s">
        <v>191</v>
      </c>
      <c r="P467" t="s">
        <v>192</v>
      </c>
      <c r="Q467">
        <v>4500</v>
      </c>
      <c r="R467">
        <v>16</v>
      </c>
      <c r="S467">
        <v>72000</v>
      </c>
      <c r="T467">
        <v>0</v>
      </c>
      <c r="U467">
        <v>0</v>
      </c>
      <c r="V467">
        <v>16</v>
      </c>
      <c r="W467">
        <v>72000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>
      <c r="A468">
        <v>917</v>
      </c>
      <c r="B468" t="s">
        <v>149</v>
      </c>
      <c r="C468">
        <v>1594</v>
      </c>
      <c r="D468" t="s">
        <v>346</v>
      </c>
      <c r="F468" t="s">
        <v>73</v>
      </c>
      <c r="G468" t="s">
        <v>185</v>
      </c>
      <c r="H468" t="s">
        <v>151</v>
      </c>
      <c r="I468" t="s">
        <v>4</v>
      </c>
      <c r="J468" t="s">
        <v>152</v>
      </c>
      <c r="K468" t="s">
        <v>153</v>
      </c>
      <c r="L468">
        <v>251200487</v>
      </c>
      <c r="M468" s="84">
        <v>46007</v>
      </c>
      <c r="N468" s="84">
        <v>46007</v>
      </c>
      <c r="O468" t="s">
        <v>215</v>
      </c>
      <c r="P468" t="s">
        <v>216</v>
      </c>
      <c r="Q468">
        <v>5500</v>
      </c>
      <c r="R468">
        <v>5</v>
      </c>
      <c r="S468">
        <v>27500</v>
      </c>
      <c r="T468">
        <v>0</v>
      </c>
      <c r="U468">
        <v>0</v>
      </c>
      <c r="V468">
        <v>5</v>
      </c>
      <c r="W468">
        <v>27500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1:29">
      <c r="A469">
        <v>918</v>
      </c>
      <c r="B469" t="s">
        <v>149</v>
      </c>
      <c r="C469">
        <v>1522</v>
      </c>
      <c r="D469" t="s">
        <v>370</v>
      </c>
      <c r="F469" t="s">
        <v>73</v>
      </c>
      <c r="G469" t="s">
        <v>185</v>
      </c>
      <c r="H469" t="s">
        <v>151</v>
      </c>
      <c r="I469" t="s">
        <v>4</v>
      </c>
      <c r="J469" t="s">
        <v>152</v>
      </c>
      <c r="K469" t="s">
        <v>153</v>
      </c>
      <c r="L469">
        <v>251200488</v>
      </c>
      <c r="M469" s="84">
        <v>46007</v>
      </c>
      <c r="N469" s="84">
        <v>46007</v>
      </c>
      <c r="O469" t="s">
        <v>168</v>
      </c>
      <c r="P469" t="s">
        <v>169</v>
      </c>
      <c r="Q469">
        <v>5500</v>
      </c>
      <c r="R469">
        <v>10</v>
      </c>
      <c r="S469">
        <v>55000</v>
      </c>
      <c r="T469">
        <v>0</v>
      </c>
      <c r="U469">
        <v>0</v>
      </c>
      <c r="V469">
        <v>10</v>
      </c>
      <c r="W469">
        <v>55000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>
      <c r="A470">
        <v>919</v>
      </c>
      <c r="B470" t="s">
        <v>149</v>
      </c>
      <c r="C470">
        <v>1522</v>
      </c>
      <c r="D470" t="s">
        <v>370</v>
      </c>
      <c r="F470" t="s">
        <v>73</v>
      </c>
      <c r="G470" t="s">
        <v>185</v>
      </c>
      <c r="H470" t="s">
        <v>151</v>
      </c>
      <c r="I470" t="s">
        <v>4</v>
      </c>
      <c r="J470" t="s">
        <v>152</v>
      </c>
      <c r="K470" t="s">
        <v>153</v>
      </c>
      <c r="L470">
        <v>251200488</v>
      </c>
      <c r="M470" s="84">
        <v>46007</v>
      </c>
      <c r="N470" s="84">
        <v>46007</v>
      </c>
      <c r="O470" t="s">
        <v>154</v>
      </c>
      <c r="P470" t="s">
        <v>155</v>
      </c>
      <c r="Q470">
        <v>5500</v>
      </c>
      <c r="R470">
        <v>10</v>
      </c>
      <c r="S470">
        <v>55000</v>
      </c>
      <c r="T470">
        <v>0</v>
      </c>
      <c r="U470">
        <v>0</v>
      </c>
      <c r="V470">
        <v>10</v>
      </c>
      <c r="W470">
        <v>55000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</row>
    <row r="471" spans="1:29">
      <c r="A471">
        <v>922</v>
      </c>
      <c r="B471" t="s">
        <v>149</v>
      </c>
      <c r="C471">
        <v>1468</v>
      </c>
      <c r="D471" t="s">
        <v>342</v>
      </c>
      <c r="F471" t="s">
        <v>7</v>
      </c>
      <c r="G471" t="s">
        <v>156</v>
      </c>
      <c r="H471" t="s">
        <v>157</v>
      </c>
      <c r="I471" t="s">
        <v>4</v>
      </c>
      <c r="J471" t="s">
        <v>152</v>
      </c>
      <c r="K471" t="s">
        <v>159</v>
      </c>
      <c r="L471">
        <v>251200491</v>
      </c>
      <c r="M471" s="84">
        <v>46007</v>
      </c>
      <c r="N471" s="84">
        <v>46007</v>
      </c>
      <c r="O471" t="s">
        <v>160</v>
      </c>
      <c r="P471" t="s">
        <v>161</v>
      </c>
      <c r="Q471">
        <v>5500</v>
      </c>
      <c r="R471">
        <v>60</v>
      </c>
      <c r="S471">
        <v>330000</v>
      </c>
      <c r="T471">
        <v>0</v>
      </c>
      <c r="U471">
        <v>0</v>
      </c>
      <c r="V471">
        <v>60</v>
      </c>
      <c r="W471">
        <v>330000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1:29">
      <c r="A472">
        <v>923</v>
      </c>
      <c r="B472" t="s">
        <v>149</v>
      </c>
      <c r="C472">
        <v>1537</v>
      </c>
      <c r="D472" t="s">
        <v>395</v>
      </c>
      <c r="F472" t="s">
        <v>91</v>
      </c>
      <c r="G472" t="s">
        <v>202</v>
      </c>
      <c r="H472" t="s">
        <v>157</v>
      </c>
      <c r="I472" t="s">
        <v>4</v>
      </c>
      <c r="J472" t="s">
        <v>152</v>
      </c>
      <c r="K472" t="s">
        <v>159</v>
      </c>
      <c r="L472">
        <v>251200492</v>
      </c>
      <c r="M472" s="84">
        <v>46007</v>
      </c>
      <c r="N472" s="84">
        <v>46007</v>
      </c>
      <c r="O472" t="s">
        <v>357</v>
      </c>
      <c r="P472" t="s">
        <v>358</v>
      </c>
      <c r="Q472">
        <v>5500</v>
      </c>
      <c r="R472">
        <v>10</v>
      </c>
      <c r="S472">
        <v>55000</v>
      </c>
      <c r="T472">
        <v>0</v>
      </c>
      <c r="U472">
        <v>0</v>
      </c>
      <c r="V472">
        <v>10</v>
      </c>
      <c r="W472">
        <v>55000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>
      <c r="A473">
        <v>924</v>
      </c>
      <c r="B473" t="s">
        <v>149</v>
      </c>
      <c r="C473">
        <v>1566</v>
      </c>
      <c r="D473" t="s">
        <v>376</v>
      </c>
      <c r="F473" t="s">
        <v>91</v>
      </c>
      <c r="G473" t="s">
        <v>202</v>
      </c>
      <c r="H473" t="s">
        <v>157</v>
      </c>
      <c r="I473" t="s">
        <v>4</v>
      </c>
      <c r="J473" t="s">
        <v>152</v>
      </c>
      <c r="K473" t="s">
        <v>159</v>
      </c>
      <c r="L473">
        <v>251200493</v>
      </c>
      <c r="M473" s="84">
        <v>46007</v>
      </c>
      <c r="N473" s="84">
        <v>46007</v>
      </c>
      <c r="O473" t="s">
        <v>248</v>
      </c>
      <c r="P473" t="s">
        <v>249</v>
      </c>
      <c r="Q473">
        <v>5500</v>
      </c>
      <c r="R473">
        <v>15</v>
      </c>
      <c r="S473">
        <v>82500</v>
      </c>
      <c r="T473">
        <v>0</v>
      </c>
      <c r="U473">
        <v>0</v>
      </c>
      <c r="V473">
        <v>15</v>
      </c>
      <c r="W473">
        <v>82500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 spans="1:29">
      <c r="A474">
        <v>927</v>
      </c>
      <c r="B474" t="s">
        <v>149</v>
      </c>
      <c r="C474">
        <v>1602</v>
      </c>
      <c r="D474" t="s">
        <v>378</v>
      </c>
      <c r="F474" t="s">
        <v>10</v>
      </c>
      <c r="G474" t="s">
        <v>172</v>
      </c>
      <c r="H474" t="s">
        <v>157</v>
      </c>
      <c r="I474" t="s">
        <v>4</v>
      </c>
      <c r="J474" t="s">
        <v>152</v>
      </c>
      <c r="K474" t="s">
        <v>174</v>
      </c>
      <c r="L474">
        <v>251200496</v>
      </c>
      <c r="M474" s="84">
        <v>46007</v>
      </c>
      <c r="N474" s="84">
        <v>46007</v>
      </c>
      <c r="O474" t="s">
        <v>189</v>
      </c>
      <c r="P474" t="s">
        <v>190</v>
      </c>
      <c r="Q474">
        <v>5500</v>
      </c>
      <c r="R474">
        <v>8</v>
      </c>
      <c r="S474">
        <v>44000</v>
      </c>
      <c r="T474">
        <v>0</v>
      </c>
      <c r="U474">
        <v>0</v>
      </c>
      <c r="V474">
        <v>8</v>
      </c>
      <c r="W474">
        <v>44000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 spans="1:29">
      <c r="A475">
        <v>928</v>
      </c>
      <c r="B475" t="s">
        <v>149</v>
      </c>
      <c r="C475">
        <v>1602</v>
      </c>
      <c r="D475" t="s">
        <v>378</v>
      </c>
      <c r="F475" t="s">
        <v>10</v>
      </c>
      <c r="G475" t="s">
        <v>172</v>
      </c>
      <c r="H475" t="s">
        <v>157</v>
      </c>
      <c r="I475" t="s">
        <v>4</v>
      </c>
      <c r="J475" t="s">
        <v>152</v>
      </c>
      <c r="K475" t="s">
        <v>174</v>
      </c>
      <c r="L475">
        <v>251200496</v>
      </c>
      <c r="M475" s="84">
        <v>46007</v>
      </c>
      <c r="N475" s="84">
        <v>46007</v>
      </c>
      <c r="O475" t="s">
        <v>406</v>
      </c>
      <c r="P475" t="s">
        <v>407</v>
      </c>
      <c r="Q475">
        <v>5500</v>
      </c>
      <c r="R475">
        <v>4</v>
      </c>
      <c r="S475">
        <v>22000</v>
      </c>
      <c r="T475">
        <v>0</v>
      </c>
      <c r="U475">
        <v>0</v>
      </c>
      <c r="V475">
        <v>4</v>
      </c>
      <c r="W475">
        <v>22000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</row>
    <row r="476" spans="1:29">
      <c r="A476">
        <v>929</v>
      </c>
      <c r="B476" t="s">
        <v>149</v>
      </c>
      <c r="C476">
        <v>1562</v>
      </c>
      <c r="D476" t="s">
        <v>325</v>
      </c>
      <c r="F476" t="s">
        <v>10</v>
      </c>
      <c r="G476" t="s">
        <v>172</v>
      </c>
      <c r="H476" t="s">
        <v>157</v>
      </c>
      <c r="I476" t="s">
        <v>4</v>
      </c>
      <c r="J476" t="s">
        <v>152</v>
      </c>
      <c r="K476" t="s">
        <v>174</v>
      </c>
      <c r="L476">
        <v>251200497</v>
      </c>
      <c r="M476" s="84">
        <v>46007</v>
      </c>
      <c r="N476" s="84">
        <v>46007</v>
      </c>
      <c r="O476" t="s">
        <v>160</v>
      </c>
      <c r="P476" t="s">
        <v>161</v>
      </c>
      <c r="Q476">
        <v>5500</v>
      </c>
      <c r="R476">
        <v>5</v>
      </c>
      <c r="S476">
        <v>27500</v>
      </c>
      <c r="T476">
        <v>0</v>
      </c>
      <c r="U476">
        <v>0</v>
      </c>
      <c r="V476">
        <v>5</v>
      </c>
      <c r="W476">
        <v>27500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</row>
    <row r="477" spans="1:29">
      <c r="A477">
        <v>930</v>
      </c>
      <c r="B477" t="s">
        <v>149</v>
      </c>
      <c r="C477">
        <v>1320</v>
      </c>
      <c r="D477" t="s">
        <v>319</v>
      </c>
      <c r="F477" t="s">
        <v>171</v>
      </c>
      <c r="G477" t="s">
        <v>172</v>
      </c>
      <c r="H477" t="s">
        <v>157</v>
      </c>
      <c r="I477" t="s">
        <v>4</v>
      </c>
      <c r="J477" t="s">
        <v>152</v>
      </c>
      <c r="K477" t="s">
        <v>174</v>
      </c>
      <c r="L477">
        <v>251200498</v>
      </c>
      <c r="M477" s="84">
        <v>46007</v>
      </c>
      <c r="N477" s="84">
        <v>46007</v>
      </c>
      <c r="O477" t="s">
        <v>390</v>
      </c>
      <c r="P477" t="s">
        <v>391</v>
      </c>
      <c r="Q477">
        <v>5500</v>
      </c>
      <c r="R477">
        <v>5</v>
      </c>
      <c r="S477">
        <v>27500</v>
      </c>
      <c r="T477">
        <v>0</v>
      </c>
      <c r="U477">
        <v>0</v>
      </c>
      <c r="V477">
        <v>5</v>
      </c>
      <c r="W477">
        <v>27500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>
      <c r="A478">
        <v>931</v>
      </c>
      <c r="B478" t="s">
        <v>149</v>
      </c>
      <c r="C478">
        <v>1428</v>
      </c>
      <c r="D478" t="s">
        <v>351</v>
      </c>
      <c r="F478" t="s">
        <v>171</v>
      </c>
      <c r="G478" t="s">
        <v>172</v>
      </c>
      <c r="H478" t="s">
        <v>157</v>
      </c>
      <c r="I478" t="s">
        <v>4</v>
      </c>
      <c r="J478" t="s">
        <v>152</v>
      </c>
      <c r="K478" t="s">
        <v>174</v>
      </c>
      <c r="L478">
        <v>251200499</v>
      </c>
      <c r="M478" s="84">
        <v>46007</v>
      </c>
      <c r="N478" s="84">
        <v>46007</v>
      </c>
      <c r="O478" t="s">
        <v>248</v>
      </c>
      <c r="P478" t="s">
        <v>249</v>
      </c>
      <c r="Q478">
        <v>5500</v>
      </c>
      <c r="R478">
        <v>5</v>
      </c>
      <c r="S478">
        <v>27500</v>
      </c>
      <c r="T478">
        <v>0</v>
      </c>
      <c r="U478">
        <v>0</v>
      </c>
      <c r="V478">
        <v>5</v>
      </c>
      <c r="W478">
        <v>27500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 spans="1:29">
      <c r="A479">
        <v>932</v>
      </c>
      <c r="B479" t="s">
        <v>149</v>
      </c>
      <c r="C479">
        <v>1428</v>
      </c>
      <c r="D479" t="s">
        <v>351</v>
      </c>
      <c r="F479" t="s">
        <v>171</v>
      </c>
      <c r="G479" t="s">
        <v>172</v>
      </c>
      <c r="H479" t="s">
        <v>157</v>
      </c>
      <c r="I479" t="s">
        <v>4</v>
      </c>
      <c r="J479" t="s">
        <v>152</v>
      </c>
      <c r="K479" t="s">
        <v>174</v>
      </c>
      <c r="L479">
        <v>251200500</v>
      </c>
      <c r="M479" s="84">
        <v>46007</v>
      </c>
      <c r="N479" s="84">
        <v>46007</v>
      </c>
      <c r="O479" t="s">
        <v>225</v>
      </c>
      <c r="P479" t="s">
        <v>226</v>
      </c>
      <c r="Q479">
        <v>5500</v>
      </c>
      <c r="R479">
        <v>5</v>
      </c>
      <c r="S479">
        <v>27500</v>
      </c>
      <c r="T479">
        <v>0</v>
      </c>
      <c r="U479">
        <v>0</v>
      </c>
      <c r="V479">
        <v>5</v>
      </c>
      <c r="W479">
        <v>27500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>
      <c r="A480">
        <v>933</v>
      </c>
      <c r="B480" t="s">
        <v>149</v>
      </c>
      <c r="C480">
        <v>1439</v>
      </c>
      <c r="D480" t="s">
        <v>363</v>
      </c>
      <c r="F480" t="s">
        <v>171</v>
      </c>
      <c r="G480" t="s">
        <v>172</v>
      </c>
      <c r="H480" t="s">
        <v>157</v>
      </c>
      <c r="I480" t="s">
        <v>4</v>
      </c>
      <c r="J480" t="s">
        <v>152</v>
      </c>
      <c r="K480" t="s">
        <v>174</v>
      </c>
      <c r="L480">
        <v>251200501</v>
      </c>
      <c r="M480" s="84">
        <v>46007</v>
      </c>
      <c r="N480" s="84">
        <v>46007</v>
      </c>
      <c r="O480" t="s">
        <v>256</v>
      </c>
      <c r="P480" t="s">
        <v>257</v>
      </c>
      <c r="Q480">
        <v>5500</v>
      </c>
      <c r="R480">
        <v>5</v>
      </c>
      <c r="S480">
        <v>27500</v>
      </c>
      <c r="T480">
        <v>0</v>
      </c>
      <c r="U480">
        <v>0</v>
      </c>
      <c r="V480">
        <v>5</v>
      </c>
      <c r="W480">
        <v>27500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</row>
    <row r="481" spans="1:29">
      <c r="A481">
        <v>939</v>
      </c>
      <c r="B481" t="s">
        <v>149</v>
      </c>
      <c r="C481">
        <v>1536</v>
      </c>
      <c r="D481" t="s">
        <v>393</v>
      </c>
      <c r="F481" t="s">
        <v>65</v>
      </c>
      <c r="G481" t="s">
        <v>208</v>
      </c>
      <c r="H481" t="s">
        <v>157</v>
      </c>
      <c r="I481" t="s">
        <v>4</v>
      </c>
      <c r="J481" t="s">
        <v>152</v>
      </c>
      <c r="K481" t="s">
        <v>174</v>
      </c>
      <c r="L481">
        <v>251200507</v>
      </c>
      <c r="M481" s="84">
        <v>46007</v>
      </c>
      <c r="N481" s="84">
        <v>46007</v>
      </c>
      <c r="O481" t="s">
        <v>294</v>
      </c>
      <c r="P481" t="s">
        <v>295</v>
      </c>
      <c r="Q481">
        <v>5500</v>
      </c>
      <c r="R481">
        <v>22</v>
      </c>
      <c r="S481">
        <v>121000</v>
      </c>
      <c r="T481">
        <v>0</v>
      </c>
      <c r="U481">
        <v>0</v>
      </c>
      <c r="V481">
        <v>22</v>
      </c>
      <c r="W481">
        <v>121000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</row>
    <row r="482" spans="1:29">
      <c r="A482">
        <v>940</v>
      </c>
      <c r="B482" t="s">
        <v>149</v>
      </c>
      <c r="C482">
        <v>1484</v>
      </c>
      <c r="D482" t="s">
        <v>331</v>
      </c>
      <c r="F482" t="s">
        <v>71</v>
      </c>
      <c r="G482" t="s">
        <v>305</v>
      </c>
      <c r="H482" t="s">
        <v>157</v>
      </c>
      <c r="I482" t="s">
        <v>4</v>
      </c>
      <c r="J482" t="s">
        <v>152</v>
      </c>
      <c r="K482" t="s">
        <v>174</v>
      </c>
      <c r="L482">
        <v>251200508</v>
      </c>
      <c r="M482" s="84">
        <v>46007</v>
      </c>
      <c r="N482" s="84">
        <v>46007</v>
      </c>
      <c r="O482" t="s">
        <v>357</v>
      </c>
      <c r="P482" t="s">
        <v>358</v>
      </c>
      <c r="Q482">
        <v>5500</v>
      </c>
      <c r="R482">
        <v>13</v>
      </c>
      <c r="S482">
        <v>71500</v>
      </c>
      <c r="T482">
        <v>0</v>
      </c>
      <c r="U482">
        <v>0</v>
      </c>
      <c r="V482">
        <v>13</v>
      </c>
      <c r="W482">
        <v>71500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</row>
    <row r="483" spans="1:29">
      <c r="A483">
        <v>941</v>
      </c>
      <c r="B483" t="s">
        <v>149</v>
      </c>
      <c r="C483">
        <v>1530</v>
      </c>
      <c r="D483" t="s">
        <v>379</v>
      </c>
      <c r="F483" t="s">
        <v>111</v>
      </c>
      <c r="G483" t="s">
        <v>150</v>
      </c>
      <c r="H483" t="s">
        <v>151</v>
      </c>
      <c r="I483" t="s">
        <v>4</v>
      </c>
      <c r="J483" t="s">
        <v>152</v>
      </c>
      <c r="K483" t="s">
        <v>153</v>
      </c>
      <c r="L483">
        <v>251200509</v>
      </c>
      <c r="M483" s="84">
        <v>46007</v>
      </c>
      <c r="N483" s="84">
        <v>46007</v>
      </c>
      <c r="O483" t="s">
        <v>321</v>
      </c>
      <c r="P483" t="s">
        <v>322</v>
      </c>
      <c r="Q483">
        <v>5500</v>
      </c>
      <c r="R483">
        <v>36</v>
      </c>
      <c r="S483">
        <v>198000</v>
      </c>
      <c r="T483">
        <v>0</v>
      </c>
      <c r="U483">
        <v>0</v>
      </c>
      <c r="V483">
        <v>36</v>
      </c>
      <c r="W483">
        <v>198000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>
      <c r="A484">
        <v>942</v>
      </c>
      <c r="B484" t="s">
        <v>149</v>
      </c>
      <c r="C484">
        <v>1530</v>
      </c>
      <c r="D484" t="s">
        <v>379</v>
      </c>
      <c r="F484" t="s">
        <v>111</v>
      </c>
      <c r="G484" t="s">
        <v>150</v>
      </c>
      <c r="H484" t="s">
        <v>151</v>
      </c>
      <c r="I484" t="s">
        <v>4</v>
      </c>
      <c r="J484" t="s">
        <v>152</v>
      </c>
      <c r="K484" t="s">
        <v>153</v>
      </c>
      <c r="L484">
        <v>251200510</v>
      </c>
      <c r="M484" s="84">
        <v>46007</v>
      </c>
      <c r="N484" s="84">
        <v>46007</v>
      </c>
      <c r="O484" t="s">
        <v>321</v>
      </c>
      <c r="P484" t="s">
        <v>322</v>
      </c>
      <c r="Q484">
        <v>5500</v>
      </c>
      <c r="R484">
        <v>14</v>
      </c>
      <c r="S484">
        <v>77000</v>
      </c>
      <c r="T484">
        <v>0</v>
      </c>
      <c r="U484">
        <v>0</v>
      </c>
      <c r="V484">
        <v>14</v>
      </c>
      <c r="W484">
        <v>77000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1:29">
      <c r="A485">
        <v>943</v>
      </c>
      <c r="B485" t="s">
        <v>149</v>
      </c>
      <c r="C485">
        <v>1428</v>
      </c>
      <c r="D485" t="s">
        <v>351</v>
      </c>
      <c r="F485" t="s">
        <v>171</v>
      </c>
      <c r="G485" t="s">
        <v>172</v>
      </c>
      <c r="H485" t="s">
        <v>157</v>
      </c>
      <c r="I485" t="s">
        <v>4</v>
      </c>
      <c r="J485" t="s">
        <v>152</v>
      </c>
      <c r="K485" t="s">
        <v>174</v>
      </c>
      <c r="L485">
        <v>251200511</v>
      </c>
      <c r="M485" s="84">
        <v>46007</v>
      </c>
      <c r="N485" s="84">
        <v>46007</v>
      </c>
      <c r="O485" t="s">
        <v>248</v>
      </c>
      <c r="P485" t="s">
        <v>249</v>
      </c>
      <c r="Q485">
        <v>5500</v>
      </c>
      <c r="R485">
        <v>5</v>
      </c>
      <c r="S485">
        <v>27500</v>
      </c>
      <c r="T485">
        <v>0</v>
      </c>
      <c r="U485">
        <v>0</v>
      </c>
      <c r="V485">
        <v>5</v>
      </c>
      <c r="W485">
        <v>27500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</row>
    <row r="486" spans="1:29">
      <c r="A486">
        <v>954</v>
      </c>
      <c r="B486" t="s">
        <v>149</v>
      </c>
      <c r="C486">
        <v>1320</v>
      </c>
      <c r="D486" t="s">
        <v>319</v>
      </c>
      <c r="F486" t="s">
        <v>171</v>
      </c>
      <c r="G486" t="s">
        <v>172</v>
      </c>
      <c r="H486" t="s">
        <v>157</v>
      </c>
      <c r="I486" t="s">
        <v>4</v>
      </c>
      <c r="J486" t="s">
        <v>152</v>
      </c>
      <c r="K486" t="s">
        <v>174</v>
      </c>
      <c r="L486">
        <v>251200518</v>
      </c>
      <c r="M486" s="84">
        <v>46007</v>
      </c>
      <c r="N486" s="84">
        <v>46007</v>
      </c>
      <c r="O486" t="s">
        <v>408</v>
      </c>
      <c r="P486" t="s">
        <v>409</v>
      </c>
      <c r="Q486">
        <v>5500</v>
      </c>
      <c r="R486">
        <v>14</v>
      </c>
      <c r="S486">
        <v>77000</v>
      </c>
      <c r="T486">
        <v>0</v>
      </c>
      <c r="U486">
        <v>0</v>
      </c>
      <c r="V486">
        <v>14</v>
      </c>
      <c r="W486">
        <v>77000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 spans="1:29">
      <c r="A487">
        <v>955</v>
      </c>
      <c r="B487" t="s">
        <v>149</v>
      </c>
      <c r="C487">
        <v>1553</v>
      </c>
      <c r="D487" t="s">
        <v>317</v>
      </c>
      <c r="F487" t="s">
        <v>43</v>
      </c>
      <c r="G487" t="s">
        <v>150</v>
      </c>
      <c r="H487" t="s">
        <v>151</v>
      </c>
      <c r="I487" t="s">
        <v>4</v>
      </c>
      <c r="J487" t="s">
        <v>152</v>
      </c>
      <c r="K487" t="s">
        <v>153</v>
      </c>
      <c r="L487">
        <v>251200519</v>
      </c>
      <c r="M487" s="84">
        <v>46009</v>
      </c>
      <c r="N487" s="84">
        <v>46009</v>
      </c>
      <c r="O487" t="s">
        <v>219</v>
      </c>
      <c r="P487" t="s">
        <v>220</v>
      </c>
      <c r="Q487">
        <v>5500</v>
      </c>
      <c r="R487">
        <v>12</v>
      </c>
      <c r="S487">
        <v>66000</v>
      </c>
      <c r="T487">
        <v>0</v>
      </c>
      <c r="U487">
        <v>0</v>
      </c>
      <c r="V487">
        <v>12</v>
      </c>
      <c r="W487">
        <v>66000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1:29">
      <c r="A488">
        <v>956</v>
      </c>
      <c r="B488" t="s">
        <v>149</v>
      </c>
      <c r="C488">
        <v>1288</v>
      </c>
      <c r="D488" t="s">
        <v>367</v>
      </c>
      <c r="F488" t="s">
        <v>43</v>
      </c>
      <c r="G488" t="s">
        <v>150</v>
      </c>
      <c r="H488" t="s">
        <v>151</v>
      </c>
      <c r="I488" t="s">
        <v>4</v>
      </c>
      <c r="J488" t="s">
        <v>152</v>
      </c>
      <c r="K488" t="s">
        <v>153</v>
      </c>
      <c r="L488">
        <v>251200520</v>
      </c>
      <c r="M488" s="84">
        <v>46009</v>
      </c>
      <c r="N488" s="84">
        <v>46009</v>
      </c>
      <c r="O488" t="s">
        <v>160</v>
      </c>
      <c r="P488" t="s">
        <v>161</v>
      </c>
      <c r="Q488">
        <v>5500</v>
      </c>
      <c r="R488">
        <v>10</v>
      </c>
      <c r="S488">
        <v>55000</v>
      </c>
      <c r="T488">
        <v>0</v>
      </c>
      <c r="U488">
        <v>0</v>
      </c>
      <c r="V488">
        <v>10</v>
      </c>
      <c r="W488">
        <v>55000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>
      <c r="A489">
        <v>957</v>
      </c>
      <c r="B489" t="s">
        <v>149</v>
      </c>
      <c r="C489">
        <v>1288</v>
      </c>
      <c r="D489" t="s">
        <v>367</v>
      </c>
      <c r="F489" t="s">
        <v>43</v>
      </c>
      <c r="G489" t="s">
        <v>150</v>
      </c>
      <c r="H489" t="s">
        <v>151</v>
      </c>
      <c r="I489" t="s">
        <v>4</v>
      </c>
      <c r="J489" t="s">
        <v>152</v>
      </c>
      <c r="K489" t="s">
        <v>153</v>
      </c>
      <c r="L489">
        <v>251200520</v>
      </c>
      <c r="M489" s="84">
        <v>46009</v>
      </c>
      <c r="N489" s="84">
        <v>46009</v>
      </c>
      <c r="O489" t="s">
        <v>262</v>
      </c>
      <c r="P489" t="s">
        <v>263</v>
      </c>
      <c r="Q489">
        <v>5500</v>
      </c>
      <c r="R489">
        <v>10</v>
      </c>
      <c r="S489">
        <v>55000</v>
      </c>
      <c r="T489">
        <v>0</v>
      </c>
      <c r="U489">
        <v>0</v>
      </c>
      <c r="V489">
        <v>10</v>
      </c>
      <c r="W489">
        <v>55000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 spans="1:29">
      <c r="A490">
        <v>958</v>
      </c>
      <c r="B490" t="s">
        <v>149</v>
      </c>
      <c r="C490">
        <v>1554</v>
      </c>
      <c r="D490" t="s">
        <v>382</v>
      </c>
      <c r="F490" t="s">
        <v>111</v>
      </c>
      <c r="G490" t="s">
        <v>150</v>
      </c>
      <c r="H490" t="s">
        <v>151</v>
      </c>
      <c r="I490" t="s">
        <v>4</v>
      </c>
      <c r="J490" t="s">
        <v>152</v>
      </c>
      <c r="K490" t="s">
        <v>153</v>
      </c>
      <c r="L490">
        <v>251200521</v>
      </c>
      <c r="M490" s="84">
        <v>46009</v>
      </c>
      <c r="N490" s="84">
        <v>46009</v>
      </c>
      <c r="O490" t="s">
        <v>221</v>
      </c>
      <c r="P490" t="s">
        <v>222</v>
      </c>
      <c r="Q490">
        <v>5500</v>
      </c>
      <c r="R490">
        <v>3</v>
      </c>
      <c r="S490">
        <v>16500</v>
      </c>
      <c r="T490">
        <v>0</v>
      </c>
      <c r="U490">
        <v>0</v>
      </c>
      <c r="V490">
        <v>3</v>
      </c>
      <c r="W490">
        <v>16500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</row>
    <row r="491" spans="1:29">
      <c r="A491">
        <v>959</v>
      </c>
      <c r="B491" t="s">
        <v>149</v>
      </c>
      <c r="C491">
        <v>1554</v>
      </c>
      <c r="D491" t="s">
        <v>382</v>
      </c>
      <c r="F491" t="s">
        <v>111</v>
      </c>
      <c r="G491" t="s">
        <v>150</v>
      </c>
      <c r="H491" t="s">
        <v>151</v>
      </c>
      <c r="I491" t="s">
        <v>4</v>
      </c>
      <c r="J491" t="s">
        <v>152</v>
      </c>
      <c r="K491" t="s">
        <v>153</v>
      </c>
      <c r="L491">
        <v>251200522</v>
      </c>
      <c r="M491" s="84">
        <v>46009</v>
      </c>
      <c r="N491" s="84">
        <v>46009</v>
      </c>
      <c r="O491" t="s">
        <v>219</v>
      </c>
      <c r="P491" t="s">
        <v>220</v>
      </c>
      <c r="Q491">
        <v>5500</v>
      </c>
      <c r="R491">
        <v>2</v>
      </c>
      <c r="S491">
        <v>11000</v>
      </c>
      <c r="T491">
        <v>0</v>
      </c>
      <c r="U491">
        <v>0</v>
      </c>
      <c r="V491">
        <v>2</v>
      </c>
      <c r="W491">
        <v>11000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</row>
    <row r="492" spans="1:29">
      <c r="A492">
        <v>960</v>
      </c>
      <c r="B492" t="s">
        <v>149</v>
      </c>
      <c r="C492">
        <v>1554</v>
      </c>
      <c r="D492" t="s">
        <v>382</v>
      </c>
      <c r="F492" t="s">
        <v>111</v>
      </c>
      <c r="G492" t="s">
        <v>150</v>
      </c>
      <c r="H492" t="s">
        <v>151</v>
      </c>
      <c r="I492" t="s">
        <v>4</v>
      </c>
      <c r="J492" t="s">
        <v>152</v>
      </c>
      <c r="K492" t="s">
        <v>153</v>
      </c>
      <c r="L492">
        <v>251200522</v>
      </c>
      <c r="M492" s="84">
        <v>46009</v>
      </c>
      <c r="N492" s="84">
        <v>46009</v>
      </c>
      <c r="O492" t="s">
        <v>160</v>
      </c>
      <c r="P492" t="s">
        <v>161</v>
      </c>
      <c r="Q492">
        <v>5500</v>
      </c>
      <c r="R492">
        <v>10</v>
      </c>
      <c r="S492">
        <v>55000</v>
      </c>
      <c r="T492">
        <v>0</v>
      </c>
      <c r="U492">
        <v>0</v>
      </c>
      <c r="V492">
        <v>10</v>
      </c>
      <c r="W492">
        <v>55000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</row>
    <row r="493" spans="1:29">
      <c r="A493">
        <v>961</v>
      </c>
      <c r="B493" t="s">
        <v>149</v>
      </c>
      <c r="C493">
        <v>1478</v>
      </c>
      <c r="D493" t="s">
        <v>314</v>
      </c>
      <c r="F493" t="s">
        <v>111</v>
      </c>
      <c r="G493" t="s">
        <v>150</v>
      </c>
      <c r="H493" t="s">
        <v>151</v>
      </c>
      <c r="I493" t="s">
        <v>5</v>
      </c>
      <c r="J493" t="s">
        <v>152</v>
      </c>
      <c r="K493" t="s">
        <v>153</v>
      </c>
      <c r="L493">
        <v>251200523</v>
      </c>
      <c r="M493" s="84">
        <v>46009</v>
      </c>
      <c r="N493" s="84">
        <v>46009</v>
      </c>
      <c r="O493" t="s">
        <v>191</v>
      </c>
      <c r="P493" t="s">
        <v>192</v>
      </c>
      <c r="Q493">
        <v>4500</v>
      </c>
      <c r="R493">
        <v>40</v>
      </c>
      <c r="S493">
        <v>180000</v>
      </c>
      <c r="T493">
        <v>0</v>
      </c>
      <c r="U493">
        <v>0</v>
      </c>
      <c r="V493">
        <v>40</v>
      </c>
      <c r="W493">
        <v>180000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</row>
    <row r="494" spans="1:29">
      <c r="A494">
        <v>962</v>
      </c>
      <c r="B494" t="s">
        <v>149</v>
      </c>
      <c r="C494">
        <v>1444</v>
      </c>
      <c r="D494" t="s">
        <v>341</v>
      </c>
      <c r="F494" t="s">
        <v>28</v>
      </c>
      <c r="G494" t="s">
        <v>164</v>
      </c>
      <c r="H494" t="s">
        <v>151</v>
      </c>
      <c r="I494" t="s">
        <v>4</v>
      </c>
      <c r="J494" t="s">
        <v>152</v>
      </c>
      <c r="K494" t="s">
        <v>153</v>
      </c>
      <c r="L494">
        <v>251200524</v>
      </c>
      <c r="M494" s="84">
        <v>46009</v>
      </c>
      <c r="N494" s="84">
        <v>46009</v>
      </c>
      <c r="O494" t="s">
        <v>160</v>
      </c>
      <c r="P494" t="s">
        <v>161</v>
      </c>
      <c r="Q494">
        <v>5500</v>
      </c>
      <c r="R494">
        <v>20</v>
      </c>
      <c r="S494">
        <v>110000</v>
      </c>
      <c r="T494">
        <v>0</v>
      </c>
      <c r="U494">
        <v>0</v>
      </c>
      <c r="V494">
        <v>20</v>
      </c>
      <c r="W494">
        <v>110000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>
      <c r="A495">
        <v>963</v>
      </c>
      <c r="B495" t="s">
        <v>149</v>
      </c>
      <c r="C495">
        <v>1444</v>
      </c>
      <c r="D495" t="s">
        <v>341</v>
      </c>
      <c r="F495" t="s">
        <v>28</v>
      </c>
      <c r="G495" t="s">
        <v>164</v>
      </c>
      <c r="H495" t="s">
        <v>151</v>
      </c>
      <c r="I495" t="s">
        <v>5</v>
      </c>
      <c r="J495" t="s">
        <v>152</v>
      </c>
      <c r="K495" t="s">
        <v>153</v>
      </c>
      <c r="L495">
        <v>251200524</v>
      </c>
      <c r="M495" s="84">
        <v>46009</v>
      </c>
      <c r="N495" s="84">
        <v>46009</v>
      </c>
      <c r="O495" t="s">
        <v>191</v>
      </c>
      <c r="P495" t="s">
        <v>192</v>
      </c>
      <c r="Q495">
        <v>4500</v>
      </c>
      <c r="R495">
        <v>8</v>
      </c>
      <c r="S495">
        <v>36000</v>
      </c>
      <c r="T495">
        <v>0</v>
      </c>
      <c r="U495">
        <v>0</v>
      </c>
      <c r="V495">
        <v>8</v>
      </c>
      <c r="W495">
        <v>36000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6" spans="1:29">
      <c r="A496">
        <v>966</v>
      </c>
      <c r="B496" t="s">
        <v>149</v>
      </c>
      <c r="C496">
        <v>1481</v>
      </c>
      <c r="D496" t="s">
        <v>410</v>
      </c>
      <c r="F496" t="s">
        <v>28</v>
      </c>
      <c r="G496" t="s">
        <v>164</v>
      </c>
      <c r="H496" t="s">
        <v>151</v>
      </c>
      <c r="I496" t="s">
        <v>5</v>
      </c>
      <c r="J496" t="s">
        <v>152</v>
      </c>
      <c r="K496" t="s">
        <v>153</v>
      </c>
      <c r="L496">
        <v>251200526</v>
      </c>
      <c r="M496" s="84">
        <v>46009</v>
      </c>
      <c r="N496" s="84">
        <v>46009</v>
      </c>
      <c r="O496" t="s">
        <v>191</v>
      </c>
      <c r="P496" t="s">
        <v>192</v>
      </c>
      <c r="Q496">
        <v>4500</v>
      </c>
      <c r="R496">
        <v>80</v>
      </c>
      <c r="S496">
        <v>360000</v>
      </c>
      <c r="T496">
        <v>0</v>
      </c>
      <c r="U496">
        <v>0</v>
      </c>
      <c r="V496">
        <v>80</v>
      </c>
      <c r="W496">
        <v>360000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</row>
    <row r="497" spans="1:29">
      <c r="A497">
        <v>967</v>
      </c>
      <c r="B497" t="s">
        <v>149</v>
      </c>
      <c r="C497">
        <v>1299</v>
      </c>
      <c r="D497" t="s">
        <v>334</v>
      </c>
      <c r="F497" t="s">
        <v>83</v>
      </c>
      <c r="G497" t="s">
        <v>164</v>
      </c>
      <c r="H497" t="s">
        <v>151</v>
      </c>
      <c r="I497" t="s">
        <v>5</v>
      </c>
      <c r="J497" t="s">
        <v>152</v>
      </c>
      <c r="K497" t="s">
        <v>153</v>
      </c>
      <c r="L497">
        <v>251200527</v>
      </c>
      <c r="M497" s="84">
        <v>46009</v>
      </c>
      <c r="N497" s="84">
        <v>46009</v>
      </c>
      <c r="O497" t="s">
        <v>191</v>
      </c>
      <c r="P497" t="s">
        <v>192</v>
      </c>
      <c r="Q497">
        <v>4500</v>
      </c>
      <c r="R497">
        <v>100</v>
      </c>
      <c r="S497">
        <v>450000</v>
      </c>
      <c r="T497">
        <v>0</v>
      </c>
      <c r="U497">
        <v>0</v>
      </c>
      <c r="V497">
        <v>100</v>
      </c>
      <c r="W497">
        <v>450000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 spans="1:29">
      <c r="A498">
        <v>968</v>
      </c>
      <c r="B498" t="s">
        <v>149</v>
      </c>
      <c r="C498">
        <v>1299</v>
      </c>
      <c r="D498" t="s">
        <v>334</v>
      </c>
      <c r="F498" t="s">
        <v>83</v>
      </c>
      <c r="G498" t="s">
        <v>164</v>
      </c>
      <c r="H498" t="s">
        <v>151</v>
      </c>
      <c r="I498" t="s">
        <v>4</v>
      </c>
      <c r="J498" t="s">
        <v>152</v>
      </c>
      <c r="K498" t="s">
        <v>153</v>
      </c>
      <c r="L498">
        <v>251200527</v>
      </c>
      <c r="M498" s="84">
        <v>46009</v>
      </c>
      <c r="N498" s="84">
        <v>46009</v>
      </c>
      <c r="O498" t="s">
        <v>160</v>
      </c>
      <c r="P498" t="s">
        <v>161</v>
      </c>
      <c r="Q498">
        <v>5500</v>
      </c>
      <c r="R498">
        <v>80</v>
      </c>
      <c r="S498">
        <v>440000</v>
      </c>
      <c r="T498">
        <v>0</v>
      </c>
      <c r="U498">
        <v>0</v>
      </c>
      <c r="V498">
        <v>80</v>
      </c>
      <c r="W498">
        <v>440000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 spans="1:29">
      <c r="A499">
        <v>975</v>
      </c>
      <c r="B499" t="s">
        <v>149</v>
      </c>
      <c r="C499">
        <v>1313</v>
      </c>
      <c r="D499" t="s">
        <v>396</v>
      </c>
      <c r="F499" t="s">
        <v>20</v>
      </c>
      <c r="G499" t="s">
        <v>193</v>
      </c>
      <c r="H499" t="s">
        <v>151</v>
      </c>
      <c r="I499" t="s">
        <v>4</v>
      </c>
      <c r="J499" t="s">
        <v>152</v>
      </c>
      <c r="K499" t="s">
        <v>236</v>
      </c>
      <c r="L499">
        <v>251200533</v>
      </c>
      <c r="M499" s="84">
        <v>46009</v>
      </c>
      <c r="N499" s="84">
        <v>46009</v>
      </c>
      <c r="O499" t="s">
        <v>168</v>
      </c>
      <c r="P499" t="s">
        <v>169</v>
      </c>
      <c r="Q499">
        <v>5500</v>
      </c>
      <c r="R499">
        <v>10</v>
      </c>
      <c r="S499">
        <v>55000</v>
      </c>
      <c r="T499">
        <v>0</v>
      </c>
      <c r="U499">
        <v>0</v>
      </c>
      <c r="V499">
        <v>10</v>
      </c>
      <c r="W499">
        <v>55000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1:29">
      <c r="A500">
        <v>976</v>
      </c>
      <c r="B500" t="s">
        <v>149</v>
      </c>
      <c r="C500">
        <v>1313</v>
      </c>
      <c r="D500" t="s">
        <v>396</v>
      </c>
      <c r="F500" t="s">
        <v>20</v>
      </c>
      <c r="G500" t="s">
        <v>193</v>
      </c>
      <c r="H500" t="s">
        <v>151</v>
      </c>
      <c r="I500" t="s">
        <v>4</v>
      </c>
      <c r="J500" t="s">
        <v>152</v>
      </c>
      <c r="K500" t="s">
        <v>236</v>
      </c>
      <c r="L500">
        <v>251200533</v>
      </c>
      <c r="M500" s="84">
        <v>46009</v>
      </c>
      <c r="N500" s="84">
        <v>46009</v>
      </c>
      <c r="O500" t="s">
        <v>219</v>
      </c>
      <c r="P500" t="s">
        <v>220</v>
      </c>
      <c r="Q500">
        <v>5500</v>
      </c>
      <c r="R500">
        <v>58</v>
      </c>
      <c r="S500">
        <v>319000</v>
      </c>
      <c r="T500">
        <v>0</v>
      </c>
      <c r="U500">
        <v>0</v>
      </c>
      <c r="V500">
        <v>58</v>
      </c>
      <c r="W500">
        <v>319000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 spans="1:29">
      <c r="A501">
        <v>988</v>
      </c>
      <c r="B501" t="s">
        <v>149</v>
      </c>
      <c r="C501">
        <v>1522</v>
      </c>
      <c r="D501" t="s">
        <v>370</v>
      </c>
      <c r="F501" t="s">
        <v>73</v>
      </c>
      <c r="G501" t="s">
        <v>185</v>
      </c>
      <c r="H501" t="s">
        <v>151</v>
      </c>
      <c r="I501" t="s">
        <v>4</v>
      </c>
      <c r="J501" t="s">
        <v>152</v>
      </c>
      <c r="K501" t="s">
        <v>153</v>
      </c>
      <c r="L501">
        <v>251200542</v>
      </c>
      <c r="M501" s="84">
        <v>46009</v>
      </c>
      <c r="N501" s="84">
        <v>46009</v>
      </c>
      <c r="O501" t="s">
        <v>168</v>
      </c>
      <c r="P501" t="s">
        <v>169</v>
      </c>
      <c r="Q501">
        <v>5500</v>
      </c>
      <c r="R501">
        <v>20</v>
      </c>
      <c r="S501">
        <v>110000</v>
      </c>
      <c r="T501">
        <v>0</v>
      </c>
      <c r="U501">
        <v>0</v>
      </c>
      <c r="V501">
        <v>20</v>
      </c>
      <c r="W501">
        <v>110000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</row>
    <row r="502" spans="1:29">
      <c r="A502">
        <v>989</v>
      </c>
      <c r="B502" t="s">
        <v>149</v>
      </c>
      <c r="C502">
        <v>1522</v>
      </c>
      <c r="D502" t="s">
        <v>370</v>
      </c>
      <c r="F502" t="s">
        <v>73</v>
      </c>
      <c r="G502" t="s">
        <v>185</v>
      </c>
      <c r="H502" t="s">
        <v>151</v>
      </c>
      <c r="I502" t="s">
        <v>4</v>
      </c>
      <c r="J502" t="s">
        <v>152</v>
      </c>
      <c r="K502" t="s">
        <v>153</v>
      </c>
      <c r="L502">
        <v>251200542</v>
      </c>
      <c r="M502" s="84">
        <v>46009</v>
      </c>
      <c r="N502" s="84">
        <v>46009</v>
      </c>
      <c r="O502" t="s">
        <v>154</v>
      </c>
      <c r="P502" t="s">
        <v>155</v>
      </c>
      <c r="Q502">
        <v>5500</v>
      </c>
      <c r="R502">
        <v>5</v>
      </c>
      <c r="S502">
        <v>27500</v>
      </c>
      <c r="T502">
        <v>0</v>
      </c>
      <c r="U502">
        <v>0</v>
      </c>
      <c r="V502">
        <v>5</v>
      </c>
      <c r="W502">
        <v>27500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 spans="1:29">
      <c r="A503">
        <v>990</v>
      </c>
      <c r="B503" t="s">
        <v>149</v>
      </c>
      <c r="C503">
        <v>1292</v>
      </c>
      <c r="D503" t="s">
        <v>336</v>
      </c>
      <c r="F503" t="s">
        <v>73</v>
      </c>
      <c r="G503" t="s">
        <v>185</v>
      </c>
      <c r="H503" t="s">
        <v>151</v>
      </c>
      <c r="I503" t="s">
        <v>4</v>
      </c>
      <c r="J503" t="s">
        <v>152</v>
      </c>
      <c r="K503" t="s">
        <v>153</v>
      </c>
      <c r="L503">
        <v>251200543</v>
      </c>
      <c r="M503" s="84">
        <v>46009</v>
      </c>
      <c r="N503" s="84">
        <v>46009</v>
      </c>
      <c r="O503" t="s">
        <v>243</v>
      </c>
      <c r="P503" t="s">
        <v>244</v>
      </c>
      <c r="Q503">
        <v>5700</v>
      </c>
      <c r="R503">
        <v>10</v>
      </c>
      <c r="S503">
        <v>57000</v>
      </c>
      <c r="T503">
        <v>0</v>
      </c>
      <c r="U503">
        <v>0</v>
      </c>
      <c r="V503">
        <v>10</v>
      </c>
      <c r="W503">
        <v>57000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>
      <c r="A504">
        <v>991</v>
      </c>
      <c r="B504" t="s">
        <v>149</v>
      </c>
      <c r="C504">
        <v>1292</v>
      </c>
      <c r="D504" t="s">
        <v>336</v>
      </c>
      <c r="F504" t="s">
        <v>73</v>
      </c>
      <c r="G504" t="s">
        <v>185</v>
      </c>
      <c r="H504" t="s">
        <v>151</v>
      </c>
      <c r="I504" t="s">
        <v>4</v>
      </c>
      <c r="J504" t="s">
        <v>152</v>
      </c>
      <c r="K504" t="s">
        <v>153</v>
      </c>
      <c r="L504">
        <v>251200544</v>
      </c>
      <c r="M504" s="84">
        <v>46009</v>
      </c>
      <c r="N504" s="84">
        <v>46009</v>
      </c>
      <c r="O504" t="s">
        <v>256</v>
      </c>
      <c r="P504" t="s">
        <v>257</v>
      </c>
      <c r="Q504">
        <v>5500</v>
      </c>
      <c r="R504">
        <v>15</v>
      </c>
      <c r="S504">
        <v>82500</v>
      </c>
      <c r="T504">
        <v>0</v>
      </c>
      <c r="U504">
        <v>0</v>
      </c>
      <c r="V504">
        <v>15</v>
      </c>
      <c r="W504">
        <v>82500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>
      <c r="A505">
        <v>993</v>
      </c>
      <c r="B505" t="s">
        <v>149</v>
      </c>
      <c r="C505">
        <v>1594</v>
      </c>
      <c r="D505" t="s">
        <v>346</v>
      </c>
      <c r="F505" t="s">
        <v>73</v>
      </c>
      <c r="G505" t="s">
        <v>185</v>
      </c>
      <c r="H505" t="s">
        <v>151</v>
      </c>
      <c r="I505" t="s">
        <v>4</v>
      </c>
      <c r="J505" t="s">
        <v>152</v>
      </c>
      <c r="K505" t="s">
        <v>153</v>
      </c>
      <c r="L505">
        <v>251200546</v>
      </c>
      <c r="M505" s="84">
        <v>46009</v>
      </c>
      <c r="N505" s="84">
        <v>46009</v>
      </c>
      <c r="O505" t="s">
        <v>154</v>
      </c>
      <c r="P505" t="s">
        <v>155</v>
      </c>
      <c r="Q505">
        <v>5500</v>
      </c>
      <c r="R505">
        <v>14</v>
      </c>
      <c r="S505">
        <v>77000</v>
      </c>
      <c r="T505">
        <v>0</v>
      </c>
      <c r="U505">
        <v>0</v>
      </c>
      <c r="V505">
        <v>14</v>
      </c>
      <c r="W505">
        <v>77000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 spans="1:29">
      <c r="A506">
        <v>994</v>
      </c>
      <c r="B506" t="s">
        <v>149</v>
      </c>
      <c r="C506">
        <v>1326</v>
      </c>
      <c r="D506" t="s">
        <v>338</v>
      </c>
      <c r="F506" t="s">
        <v>15</v>
      </c>
      <c r="G506" t="s">
        <v>193</v>
      </c>
      <c r="H506" t="s">
        <v>151</v>
      </c>
      <c r="I506" t="s">
        <v>5</v>
      </c>
      <c r="J506" t="s">
        <v>152</v>
      </c>
      <c r="K506" t="s">
        <v>153</v>
      </c>
      <c r="L506">
        <v>251200547</v>
      </c>
      <c r="M506" s="84">
        <v>46009</v>
      </c>
      <c r="N506" s="84">
        <v>46009</v>
      </c>
      <c r="O506" t="s">
        <v>253</v>
      </c>
      <c r="P506" t="s">
        <v>254</v>
      </c>
      <c r="Q506">
        <v>4500</v>
      </c>
      <c r="R506">
        <v>4</v>
      </c>
      <c r="S506">
        <v>18000</v>
      </c>
      <c r="T506">
        <v>0</v>
      </c>
      <c r="U506">
        <v>0</v>
      </c>
      <c r="V506">
        <v>4</v>
      </c>
      <c r="W506">
        <v>18000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</row>
    <row r="507" spans="1:29">
      <c r="A507">
        <v>995</v>
      </c>
      <c r="B507" t="s">
        <v>149</v>
      </c>
      <c r="C507">
        <v>1326</v>
      </c>
      <c r="D507" t="s">
        <v>338</v>
      </c>
      <c r="F507" t="s">
        <v>15</v>
      </c>
      <c r="G507" t="s">
        <v>193</v>
      </c>
      <c r="H507" t="s">
        <v>151</v>
      </c>
      <c r="I507" t="s">
        <v>5</v>
      </c>
      <c r="J507" t="s">
        <v>152</v>
      </c>
      <c r="K507" t="s">
        <v>153</v>
      </c>
      <c r="L507">
        <v>251200547</v>
      </c>
      <c r="M507" s="84">
        <v>46009</v>
      </c>
      <c r="N507" s="84">
        <v>46009</v>
      </c>
      <c r="O507" t="s">
        <v>191</v>
      </c>
      <c r="P507" t="s">
        <v>192</v>
      </c>
      <c r="Q507">
        <v>4500</v>
      </c>
      <c r="R507">
        <v>40</v>
      </c>
      <c r="S507">
        <v>180000</v>
      </c>
      <c r="T507">
        <v>0</v>
      </c>
      <c r="U507">
        <v>0</v>
      </c>
      <c r="V507">
        <v>40</v>
      </c>
      <c r="W507">
        <v>180000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>
      <c r="A508">
        <v>996</v>
      </c>
      <c r="B508" t="s">
        <v>149</v>
      </c>
      <c r="C508">
        <v>1326</v>
      </c>
      <c r="D508" t="s">
        <v>338</v>
      </c>
      <c r="F508" t="s">
        <v>15</v>
      </c>
      <c r="G508" t="s">
        <v>193</v>
      </c>
      <c r="H508" t="s">
        <v>151</v>
      </c>
      <c r="I508" t="s">
        <v>5</v>
      </c>
      <c r="J508" t="s">
        <v>152</v>
      </c>
      <c r="K508" t="s">
        <v>153</v>
      </c>
      <c r="L508">
        <v>251200547</v>
      </c>
      <c r="M508" s="84">
        <v>46009</v>
      </c>
      <c r="N508" s="84">
        <v>46009</v>
      </c>
      <c r="O508" t="s">
        <v>260</v>
      </c>
      <c r="P508" t="s">
        <v>261</v>
      </c>
      <c r="Q508">
        <v>4500</v>
      </c>
      <c r="R508">
        <v>8</v>
      </c>
      <c r="S508">
        <v>36000</v>
      </c>
      <c r="T508">
        <v>0</v>
      </c>
      <c r="U508">
        <v>0</v>
      </c>
      <c r="V508">
        <v>8</v>
      </c>
      <c r="W508">
        <v>36000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>
      <c r="A509">
        <v>997</v>
      </c>
      <c r="B509" t="s">
        <v>149</v>
      </c>
      <c r="C509">
        <v>1326</v>
      </c>
      <c r="D509" t="s">
        <v>338</v>
      </c>
      <c r="F509" t="s">
        <v>15</v>
      </c>
      <c r="G509" t="s">
        <v>193</v>
      </c>
      <c r="H509" t="s">
        <v>151</v>
      </c>
      <c r="I509" t="s">
        <v>5</v>
      </c>
      <c r="J509" t="s">
        <v>152</v>
      </c>
      <c r="K509" t="s">
        <v>153</v>
      </c>
      <c r="L509">
        <v>251200548</v>
      </c>
      <c r="M509" s="84">
        <v>46009</v>
      </c>
      <c r="N509" s="84">
        <v>46009</v>
      </c>
      <c r="O509" t="s">
        <v>260</v>
      </c>
      <c r="P509" t="s">
        <v>261</v>
      </c>
      <c r="Q509">
        <v>4500</v>
      </c>
      <c r="R509">
        <v>4</v>
      </c>
      <c r="S509">
        <v>18000</v>
      </c>
      <c r="T509">
        <v>0</v>
      </c>
      <c r="U509">
        <v>0</v>
      </c>
      <c r="V509">
        <v>4</v>
      </c>
      <c r="W509">
        <v>18000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 spans="1:29">
      <c r="A510">
        <v>998</v>
      </c>
      <c r="B510" t="s">
        <v>149</v>
      </c>
      <c r="C510">
        <v>1326</v>
      </c>
      <c r="D510" t="s">
        <v>338</v>
      </c>
      <c r="F510" t="s">
        <v>15</v>
      </c>
      <c r="G510" t="s">
        <v>193</v>
      </c>
      <c r="H510" t="s">
        <v>151</v>
      </c>
      <c r="I510" t="s">
        <v>5</v>
      </c>
      <c r="J510" t="s">
        <v>152</v>
      </c>
      <c r="K510" t="s">
        <v>153</v>
      </c>
      <c r="L510">
        <v>251200548</v>
      </c>
      <c r="M510" s="84">
        <v>46009</v>
      </c>
      <c r="N510" s="84">
        <v>46009</v>
      </c>
      <c r="O510" t="s">
        <v>191</v>
      </c>
      <c r="P510" t="s">
        <v>192</v>
      </c>
      <c r="Q510">
        <v>4500</v>
      </c>
      <c r="R510">
        <v>40</v>
      </c>
      <c r="S510">
        <v>180000</v>
      </c>
      <c r="T510">
        <v>0</v>
      </c>
      <c r="U510">
        <v>0</v>
      </c>
      <c r="V510">
        <v>40</v>
      </c>
      <c r="W510">
        <v>180000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1:29">
      <c r="A511">
        <v>999</v>
      </c>
      <c r="B511" t="s">
        <v>149</v>
      </c>
      <c r="C511">
        <v>1326</v>
      </c>
      <c r="D511" t="s">
        <v>338</v>
      </c>
      <c r="F511" t="s">
        <v>15</v>
      </c>
      <c r="G511" t="s">
        <v>193</v>
      </c>
      <c r="H511" t="s">
        <v>151</v>
      </c>
      <c r="I511" t="s">
        <v>5</v>
      </c>
      <c r="J511" t="s">
        <v>152</v>
      </c>
      <c r="K511" t="s">
        <v>153</v>
      </c>
      <c r="L511">
        <v>251200548</v>
      </c>
      <c r="M511" s="84">
        <v>46009</v>
      </c>
      <c r="N511" s="84">
        <v>46009</v>
      </c>
      <c r="O511" t="s">
        <v>253</v>
      </c>
      <c r="P511" t="s">
        <v>254</v>
      </c>
      <c r="Q511">
        <v>4500</v>
      </c>
      <c r="R511">
        <v>4</v>
      </c>
      <c r="S511">
        <v>18000</v>
      </c>
      <c r="T511">
        <v>0</v>
      </c>
      <c r="U511">
        <v>0</v>
      </c>
      <c r="V511">
        <v>4</v>
      </c>
      <c r="W511">
        <v>18000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</row>
    <row r="512" spans="1:29">
      <c r="A512">
        <v>1001</v>
      </c>
      <c r="B512" t="s">
        <v>149</v>
      </c>
      <c r="C512">
        <v>1312</v>
      </c>
      <c r="D512" t="s">
        <v>359</v>
      </c>
      <c r="F512" t="s">
        <v>15</v>
      </c>
      <c r="G512" t="s">
        <v>193</v>
      </c>
      <c r="H512" t="s">
        <v>151</v>
      </c>
      <c r="I512" t="s">
        <v>4</v>
      </c>
      <c r="J512" t="s">
        <v>152</v>
      </c>
      <c r="K512" t="s">
        <v>153</v>
      </c>
      <c r="L512">
        <v>251200550</v>
      </c>
      <c r="M512" s="84">
        <v>46009</v>
      </c>
      <c r="N512" s="84">
        <v>46009</v>
      </c>
      <c r="O512" t="s">
        <v>327</v>
      </c>
      <c r="P512" t="s">
        <v>328</v>
      </c>
      <c r="Q512">
        <v>5500</v>
      </c>
      <c r="R512">
        <v>20</v>
      </c>
      <c r="S512">
        <v>110000</v>
      </c>
      <c r="T512">
        <v>0</v>
      </c>
      <c r="U512">
        <v>0</v>
      </c>
      <c r="V512">
        <v>20</v>
      </c>
      <c r="W512">
        <v>110000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</row>
    <row r="513" spans="1:29">
      <c r="A513">
        <v>1002</v>
      </c>
      <c r="B513" t="s">
        <v>149</v>
      </c>
      <c r="C513">
        <v>1312</v>
      </c>
      <c r="D513" t="s">
        <v>359</v>
      </c>
      <c r="F513" t="s">
        <v>15</v>
      </c>
      <c r="G513" t="s">
        <v>193</v>
      </c>
      <c r="H513" t="s">
        <v>151</v>
      </c>
      <c r="I513" t="s">
        <v>5</v>
      </c>
      <c r="J513" t="s">
        <v>152</v>
      </c>
      <c r="K513" t="s">
        <v>153</v>
      </c>
      <c r="L513">
        <v>251200550</v>
      </c>
      <c r="M513" s="84">
        <v>46009</v>
      </c>
      <c r="N513" s="84">
        <v>46009</v>
      </c>
      <c r="O513" t="s">
        <v>196</v>
      </c>
      <c r="P513" t="s">
        <v>197</v>
      </c>
      <c r="Q513">
        <v>4500</v>
      </c>
      <c r="R513">
        <v>4</v>
      </c>
      <c r="S513">
        <v>18000</v>
      </c>
      <c r="T513">
        <v>0</v>
      </c>
      <c r="U513">
        <v>0</v>
      </c>
      <c r="V513">
        <v>4</v>
      </c>
      <c r="W513">
        <v>18000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 spans="1:29">
      <c r="A514">
        <v>1004</v>
      </c>
      <c r="B514" t="s">
        <v>149</v>
      </c>
      <c r="C514">
        <v>1562</v>
      </c>
      <c r="D514" t="s">
        <v>325</v>
      </c>
      <c r="F514" t="s">
        <v>10</v>
      </c>
      <c r="G514" t="s">
        <v>172</v>
      </c>
      <c r="H514" t="s">
        <v>157</v>
      </c>
      <c r="I514" t="s">
        <v>4</v>
      </c>
      <c r="J514" t="s">
        <v>152</v>
      </c>
      <c r="K514" t="s">
        <v>174</v>
      </c>
      <c r="L514">
        <v>251200552</v>
      </c>
      <c r="M514" s="84">
        <v>46009</v>
      </c>
      <c r="N514" s="84">
        <v>46009</v>
      </c>
      <c r="O514" t="s">
        <v>294</v>
      </c>
      <c r="P514" t="s">
        <v>295</v>
      </c>
      <c r="Q514">
        <v>5500</v>
      </c>
      <c r="R514">
        <v>5</v>
      </c>
      <c r="S514">
        <v>27500</v>
      </c>
      <c r="T514">
        <v>0</v>
      </c>
      <c r="U514">
        <v>0</v>
      </c>
      <c r="V514">
        <v>5</v>
      </c>
      <c r="W514">
        <v>27500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</row>
    <row r="515" spans="1:29">
      <c r="A515">
        <v>1005</v>
      </c>
      <c r="B515" t="s">
        <v>149</v>
      </c>
      <c r="C515">
        <v>1455</v>
      </c>
      <c r="D515" t="s">
        <v>323</v>
      </c>
      <c r="F515" t="s">
        <v>171</v>
      </c>
      <c r="G515" t="s">
        <v>172</v>
      </c>
      <c r="H515" t="s">
        <v>157</v>
      </c>
      <c r="I515" t="s">
        <v>4</v>
      </c>
      <c r="J515" t="s">
        <v>152</v>
      </c>
      <c r="K515" t="s">
        <v>174</v>
      </c>
      <c r="L515">
        <v>251200553</v>
      </c>
      <c r="M515" s="84">
        <v>46009</v>
      </c>
      <c r="N515" s="84">
        <v>46009</v>
      </c>
      <c r="O515" t="s">
        <v>248</v>
      </c>
      <c r="P515" t="s">
        <v>249</v>
      </c>
      <c r="Q515">
        <v>5500</v>
      </c>
      <c r="R515">
        <v>5</v>
      </c>
      <c r="S515">
        <v>27500</v>
      </c>
      <c r="T515">
        <v>0</v>
      </c>
      <c r="U515">
        <v>0</v>
      </c>
      <c r="V515">
        <v>5</v>
      </c>
      <c r="W515">
        <v>27500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 spans="1:29">
      <c r="A516">
        <v>1006</v>
      </c>
      <c r="B516" t="s">
        <v>149</v>
      </c>
      <c r="C516">
        <v>1484</v>
      </c>
      <c r="D516" t="s">
        <v>331</v>
      </c>
      <c r="F516" t="s">
        <v>71</v>
      </c>
      <c r="G516" t="s">
        <v>305</v>
      </c>
      <c r="H516" t="s">
        <v>157</v>
      </c>
      <c r="I516" t="s">
        <v>4</v>
      </c>
      <c r="J516" t="s">
        <v>152</v>
      </c>
      <c r="K516" t="s">
        <v>174</v>
      </c>
      <c r="L516">
        <v>251200554</v>
      </c>
      <c r="M516" s="84">
        <v>46009</v>
      </c>
      <c r="N516" s="84">
        <v>46009</v>
      </c>
      <c r="O516" t="s">
        <v>206</v>
      </c>
      <c r="P516" t="s">
        <v>207</v>
      </c>
      <c r="Q516">
        <v>5500</v>
      </c>
      <c r="R516">
        <v>5</v>
      </c>
      <c r="S516">
        <v>27500</v>
      </c>
      <c r="T516">
        <v>0</v>
      </c>
      <c r="U516">
        <v>0</v>
      </c>
      <c r="V516">
        <v>5</v>
      </c>
      <c r="W516">
        <v>27500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 spans="1:29">
      <c r="A517">
        <v>1007</v>
      </c>
      <c r="B517" t="s">
        <v>149</v>
      </c>
      <c r="C517">
        <v>1468</v>
      </c>
      <c r="D517" t="s">
        <v>342</v>
      </c>
      <c r="F517" t="s">
        <v>7</v>
      </c>
      <c r="G517" t="s">
        <v>156</v>
      </c>
      <c r="H517" t="s">
        <v>157</v>
      </c>
      <c r="I517" t="s">
        <v>4</v>
      </c>
      <c r="J517" t="s">
        <v>152</v>
      </c>
      <c r="K517" t="s">
        <v>159</v>
      </c>
      <c r="L517">
        <v>251200555</v>
      </c>
      <c r="M517" s="84">
        <v>46009</v>
      </c>
      <c r="N517" s="84">
        <v>46009</v>
      </c>
      <c r="O517" t="s">
        <v>206</v>
      </c>
      <c r="P517" t="s">
        <v>207</v>
      </c>
      <c r="Q517">
        <v>5500</v>
      </c>
      <c r="R517">
        <v>40</v>
      </c>
      <c r="S517">
        <v>220000</v>
      </c>
      <c r="T517">
        <v>0</v>
      </c>
      <c r="U517">
        <v>0</v>
      </c>
      <c r="V517">
        <v>40</v>
      </c>
      <c r="W517">
        <v>220000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>
      <c r="A518">
        <v>1008</v>
      </c>
      <c r="B518" t="s">
        <v>149</v>
      </c>
      <c r="C518">
        <v>1468</v>
      </c>
      <c r="D518" t="s">
        <v>342</v>
      </c>
      <c r="F518" t="s">
        <v>7</v>
      </c>
      <c r="G518" t="s">
        <v>156</v>
      </c>
      <c r="H518" t="s">
        <v>157</v>
      </c>
      <c r="I518" t="s">
        <v>5</v>
      </c>
      <c r="J518" t="s">
        <v>152</v>
      </c>
      <c r="K518" t="s">
        <v>159</v>
      </c>
      <c r="L518">
        <v>251200555</v>
      </c>
      <c r="M518" s="84">
        <v>46009</v>
      </c>
      <c r="N518" s="84">
        <v>46009</v>
      </c>
      <c r="O518" t="s">
        <v>217</v>
      </c>
      <c r="P518" t="s">
        <v>218</v>
      </c>
      <c r="Q518">
        <v>4500</v>
      </c>
      <c r="R518">
        <v>12</v>
      </c>
      <c r="S518">
        <v>54000</v>
      </c>
      <c r="T518">
        <v>0</v>
      </c>
      <c r="U518">
        <v>0</v>
      </c>
      <c r="V518">
        <v>12</v>
      </c>
      <c r="W518">
        <v>54000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 spans="1:29">
      <c r="A519">
        <v>1010</v>
      </c>
      <c r="B519" t="s">
        <v>149</v>
      </c>
      <c r="C519">
        <v>1335</v>
      </c>
      <c r="D519" t="s">
        <v>318</v>
      </c>
      <c r="F519" t="s">
        <v>43</v>
      </c>
      <c r="G519" t="s">
        <v>150</v>
      </c>
      <c r="H519" t="s">
        <v>151</v>
      </c>
      <c r="I519" t="s">
        <v>5</v>
      </c>
      <c r="J519" t="s">
        <v>152</v>
      </c>
      <c r="K519" t="s">
        <v>153</v>
      </c>
      <c r="L519">
        <v>251200557</v>
      </c>
      <c r="M519" s="84">
        <v>46009</v>
      </c>
      <c r="N519" s="84">
        <v>46009</v>
      </c>
      <c r="O519" t="s">
        <v>196</v>
      </c>
      <c r="P519" t="s">
        <v>197</v>
      </c>
      <c r="Q519">
        <v>4500</v>
      </c>
      <c r="R519">
        <v>20</v>
      </c>
      <c r="S519">
        <v>90000</v>
      </c>
      <c r="T519">
        <v>0</v>
      </c>
      <c r="U519">
        <v>0</v>
      </c>
      <c r="V519">
        <v>20</v>
      </c>
      <c r="W519">
        <v>90000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 spans="1:29">
      <c r="A520">
        <v>1011</v>
      </c>
      <c r="B520" t="s">
        <v>149</v>
      </c>
      <c r="C520">
        <v>1517</v>
      </c>
      <c r="D520" t="s">
        <v>352</v>
      </c>
      <c r="F520" t="s">
        <v>80</v>
      </c>
      <c r="G520" t="s">
        <v>164</v>
      </c>
      <c r="H520" t="s">
        <v>151</v>
      </c>
      <c r="I520" t="s">
        <v>4</v>
      </c>
      <c r="J520" t="s">
        <v>152</v>
      </c>
      <c r="K520" t="s">
        <v>153</v>
      </c>
      <c r="L520">
        <v>251200558</v>
      </c>
      <c r="M520" s="84">
        <v>46009</v>
      </c>
      <c r="N520" s="84">
        <v>46009</v>
      </c>
      <c r="O520" t="s">
        <v>160</v>
      </c>
      <c r="P520" t="s">
        <v>161</v>
      </c>
      <c r="Q520">
        <v>5500</v>
      </c>
      <c r="R520">
        <v>20</v>
      </c>
      <c r="S520">
        <v>110000</v>
      </c>
      <c r="T520">
        <v>0</v>
      </c>
      <c r="U520">
        <v>0</v>
      </c>
      <c r="V520">
        <v>20</v>
      </c>
      <c r="W520">
        <v>110000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>
      <c r="A521">
        <v>1012</v>
      </c>
      <c r="B521" t="s">
        <v>149</v>
      </c>
      <c r="C521">
        <v>1481</v>
      </c>
      <c r="D521" t="s">
        <v>410</v>
      </c>
      <c r="F521" t="s">
        <v>28</v>
      </c>
      <c r="G521" t="s">
        <v>164</v>
      </c>
      <c r="H521" t="s">
        <v>151</v>
      </c>
      <c r="I521" t="s">
        <v>5</v>
      </c>
      <c r="J521" t="s">
        <v>152</v>
      </c>
      <c r="K521" t="s">
        <v>153</v>
      </c>
      <c r="L521">
        <v>251200559</v>
      </c>
      <c r="M521" s="84">
        <v>46009</v>
      </c>
      <c r="N521" s="84">
        <v>46009</v>
      </c>
      <c r="O521" t="s">
        <v>191</v>
      </c>
      <c r="P521" t="s">
        <v>192</v>
      </c>
      <c r="Q521">
        <v>4500</v>
      </c>
      <c r="R521">
        <v>68</v>
      </c>
      <c r="S521">
        <v>306000</v>
      </c>
      <c r="T521">
        <v>0</v>
      </c>
      <c r="U521">
        <v>0</v>
      </c>
      <c r="V521">
        <v>68</v>
      </c>
      <c r="W521">
        <v>306000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 spans="1:29">
      <c r="A522">
        <v>1013</v>
      </c>
      <c r="B522" t="s">
        <v>149</v>
      </c>
      <c r="C522">
        <v>1299</v>
      </c>
      <c r="D522" t="s">
        <v>334</v>
      </c>
      <c r="F522" t="s">
        <v>83</v>
      </c>
      <c r="G522" t="s">
        <v>164</v>
      </c>
      <c r="H522" t="s">
        <v>151</v>
      </c>
      <c r="I522" t="s">
        <v>5</v>
      </c>
      <c r="J522" t="s">
        <v>152</v>
      </c>
      <c r="K522" t="s">
        <v>153</v>
      </c>
      <c r="L522">
        <v>251200560</v>
      </c>
      <c r="M522" s="84">
        <v>46009</v>
      </c>
      <c r="N522" s="84">
        <v>46009</v>
      </c>
      <c r="O522" t="s">
        <v>198</v>
      </c>
      <c r="P522" t="s">
        <v>199</v>
      </c>
      <c r="Q522">
        <v>4500</v>
      </c>
      <c r="R522">
        <v>9</v>
      </c>
      <c r="S522">
        <v>40500</v>
      </c>
      <c r="T522">
        <v>0</v>
      </c>
      <c r="U522">
        <v>0</v>
      </c>
      <c r="V522">
        <v>9</v>
      </c>
      <c r="W522">
        <v>40500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</row>
    <row r="523" spans="1:29">
      <c r="A523">
        <v>1015</v>
      </c>
      <c r="B523" t="s">
        <v>149</v>
      </c>
      <c r="C523">
        <v>1549</v>
      </c>
      <c r="D523" t="s">
        <v>345</v>
      </c>
      <c r="F523" t="s">
        <v>43</v>
      </c>
      <c r="G523" t="s">
        <v>150</v>
      </c>
      <c r="H523" t="s">
        <v>151</v>
      </c>
      <c r="I523" t="s">
        <v>4</v>
      </c>
      <c r="J523" t="s">
        <v>152</v>
      </c>
      <c r="K523" t="s">
        <v>153</v>
      </c>
      <c r="L523">
        <v>251200562</v>
      </c>
      <c r="M523" s="84">
        <v>46011</v>
      </c>
      <c r="N523" s="84">
        <v>46011</v>
      </c>
      <c r="O523" t="s">
        <v>206</v>
      </c>
      <c r="P523" t="s">
        <v>207</v>
      </c>
      <c r="Q523">
        <v>5500</v>
      </c>
      <c r="R523">
        <v>5</v>
      </c>
      <c r="S523">
        <v>27500</v>
      </c>
      <c r="T523">
        <v>0</v>
      </c>
      <c r="U523">
        <v>0</v>
      </c>
      <c r="V523">
        <v>5</v>
      </c>
      <c r="W523">
        <v>27500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 spans="1:29">
      <c r="A524">
        <v>1016</v>
      </c>
      <c r="B524" t="s">
        <v>149</v>
      </c>
      <c r="C524">
        <v>1282</v>
      </c>
      <c r="D524" t="s">
        <v>374</v>
      </c>
      <c r="F524" t="s">
        <v>111</v>
      </c>
      <c r="G524" t="s">
        <v>150</v>
      </c>
      <c r="H524" t="s">
        <v>151</v>
      </c>
      <c r="I524" t="s">
        <v>4</v>
      </c>
      <c r="J524" t="s">
        <v>152</v>
      </c>
      <c r="K524" t="s">
        <v>153</v>
      </c>
      <c r="L524">
        <v>251200563</v>
      </c>
      <c r="M524" s="84">
        <v>46011</v>
      </c>
      <c r="N524" s="84">
        <v>46011</v>
      </c>
      <c r="O524" t="s">
        <v>262</v>
      </c>
      <c r="P524" t="s">
        <v>263</v>
      </c>
      <c r="Q524">
        <v>5500</v>
      </c>
      <c r="R524">
        <v>25</v>
      </c>
      <c r="S524">
        <v>137500</v>
      </c>
      <c r="T524">
        <v>0</v>
      </c>
      <c r="U524">
        <v>0</v>
      </c>
      <c r="V524">
        <v>25</v>
      </c>
      <c r="W524">
        <v>137500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 spans="1:29">
      <c r="A525">
        <v>1017</v>
      </c>
      <c r="B525" t="s">
        <v>149</v>
      </c>
      <c r="C525">
        <v>1282</v>
      </c>
      <c r="D525" t="s">
        <v>374</v>
      </c>
      <c r="F525" t="s">
        <v>111</v>
      </c>
      <c r="G525" t="s">
        <v>150</v>
      </c>
      <c r="H525" t="s">
        <v>151</v>
      </c>
      <c r="I525" t="s">
        <v>4</v>
      </c>
      <c r="J525" t="s">
        <v>152</v>
      </c>
      <c r="K525" t="s">
        <v>153</v>
      </c>
      <c r="L525">
        <v>251200563</v>
      </c>
      <c r="M525" s="84">
        <v>46011</v>
      </c>
      <c r="N525" s="84">
        <v>46011</v>
      </c>
      <c r="O525" t="s">
        <v>160</v>
      </c>
      <c r="P525" t="s">
        <v>161</v>
      </c>
      <c r="Q525">
        <v>5500</v>
      </c>
      <c r="R525">
        <v>20</v>
      </c>
      <c r="S525">
        <v>110000</v>
      </c>
      <c r="T525">
        <v>0</v>
      </c>
      <c r="U525">
        <v>0</v>
      </c>
      <c r="V525">
        <v>20</v>
      </c>
      <c r="W525">
        <v>110000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</row>
    <row r="526" spans="1:29">
      <c r="A526">
        <v>1018</v>
      </c>
      <c r="B526" t="s">
        <v>149</v>
      </c>
      <c r="C526">
        <v>1282</v>
      </c>
      <c r="D526" t="s">
        <v>374</v>
      </c>
      <c r="F526" t="s">
        <v>111</v>
      </c>
      <c r="G526" t="s">
        <v>150</v>
      </c>
      <c r="H526" t="s">
        <v>151</v>
      </c>
      <c r="I526" t="s">
        <v>5</v>
      </c>
      <c r="J526" t="s">
        <v>152</v>
      </c>
      <c r="K526" t="s">
        <v>153</v>
      </c>
      <c r="L526">
        <v>251200563</v>
      </c>
      <c r="M526" s="84">
        <v>46011</v>
      </c>
      <c r="N526" s="84">
        <v>46011</v>
      </c>
      <c r="O526" t="s">
        <v>191</v>
      </c>
      <c r="P526" t="s">
        <v>192</v>
      </c>
      <c r="Q526">
        <v>4500</v>
      </c>
      <c r="R526">
        <v>40</v>
      </c>
      <c r="S526">
        <v>180000</v>
      </c>
      <c r="T526">
        <v>0</v>
      </c>
      <c r="U526">
        <v>0</v>
      </c>
      <c r="V526">
        <v>40</v>
      </c>
      <c r="W526">
        <v>180000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 spans="1:29">
      <c r="A527">
        <v>1019</v>
      </c>
      <c r="B527" t="s">
        <v>149</v>
      </c>
      <c r="C527">
        <v>1551</v>
      </c>
      <c r="D527" t="s">
        <v>316</v>
      </c>
      <c r="F527" t="s">
        <v>111</v>
      </c>
      <c r="G527" t="s">
        <v>150</v>
      </c>
      <c r="H527" t="s">
        <v>151</v>
      </c>
      <c r="I527" t="s">
        <v>5</v>
      </c>
      <c r="J527" t="s">
        <v>152</v>
      </c>
      <c r="K527" t="s">
        <v>153</v>
      </c>
      <c r="L527">
        <v>251200564</v>
      </c>
      <c r="M527" s="84">
        <v>46011</v>
      </c>
      <c r="N527" s="84">
        <v>46011</v>
      </c>
      <c r="O527" t="s">
        <v>191</v>
      </c>
      <c r="P527" t="s">
        <v>192</v>
      </c>
      <c r="Q527">
        <v>4500</v>
      </c>
      <c r="R527">
        <v>20</v>
      </c>
      <c r="S527">
        <v>90000</v>
      </c>
      <c r="T527">
        <v>0</v>
      </c>
      <c r="U527">
        <v>0</v>
      </c>
      <c r="V527">
        <v>20</v>
      </c>
      <c r="W527">
        <v>90000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 spans="1:29">
      <c r="A528">
        <v>1020</v>
      </c>
      <c r="B528" t="s">
        <v>149</v>
      </c>
      <c r="C528">
        <v>1478</v>
      </c>
      <c r="D528" t="s">
        <v>314</v>
      </c>
      <c r="F528" t="s">
        <v>111</v>
      </c>
      <c r="G528" t="s">
        <v>150</v>
      </c>
      <c r="H528" t="s">
        <v>151</v>
      </c>
      <c r="I528" t="s">
        <v>5</v>
      </c>
      <c r="J528" t="s">
        <v>152</v>
      </c>
      <c r="K528" t="s">
        <v>153</v>
      </c>
      <c r="L528">
        <v>251200565</v>
      </c>
      <c r="M528" s="84">
        <v>46011</v>
      </c>
      <c r="N528" s="84">
        <v>46011</v>
      </c>
      <c r="O528" t="s">
        <v>191</v>
      </c>
      <c r="P528" t="s">
        <v>192</v>
      </c>
      <c r="Q528">
        <v>4500</v>
      </c>
      <c r="R528">
        <v>20</v>
      </c>
      <c r="S528">
        <v>90000</v>
      </c>
      <c r="T528">
        <v>0</v>
      </c>
      <c r="U528">
        <v>0</v>
      </c>
      <c r="V528">
        <v>20</v>
      </c>
      <c r="W528">
        <v>90000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 spans="1:29">
      <c r="A529">
        <v>1021</v>
      </c>
      <c r="B529" t="s">
        <v>149</v>
      </c>
      <c r="C529">
        <v>1478</v>
      </c>
      <c r="D529" t="s">
        <v>314</v>
      </c>
      <c r="F529" t="s">
        <v>111</v>
      </c>
      <c r="G529" t="s">
        <v>150</v>
      </c>
      <c r="H529" t="s">
        <v>151</v>
      </c>
      <c r="I529" t="s">
        <v>4</v>
      </c>
      <c r="J529" t="s">
        <v>152</v>
      </c>
      <c r="K529" t="s">
        <v>153</v>
      </c>
      <c r="L529">
        <v>251200565</v>
      </c>
      <c r="M529" s="84">
        <v>46011</v>
      </c>
      <c r="N529" s="84">
        <v>46011</v>
      </c>
      <c r="O529" t="s">
        <v>219</v>
      </c>
      <c r="P529" t="s">
        <v>220</v>
      </c>
      <c r="Q529">
        <v>5500</v>
      </c>
      <c r="R529">
        <v>20</v>
      </c>
      <c r="S529">
        <v>110000</v>
      </c>
      <c r="T529">
        <v>0</v>
      </c>
      <c r="U529">
        <v>0</v>
      </c>
      <c r="V529">
        <v>20</v>
      </c>
      <c r="W529">
        <v>110000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1:29">
      <c r="A530">
        <v>1023</v>
      </c>
      <c r="B530" t="s">
        <v>149</v>
      </c>
      <c r="C530">
        <v>1320</v>
      </c>
      <c r="D530" t="s">
        <v>319</v>
      </c>
      <c r="F530" t="s">
        <v>171</v>
      </c>
      <c r="G530" t="s">
        <v>172</v>
      </c>
      <c r="H530" t="s">
        <v>157</v>
      </c>
      <c r="I530" t="s">
        <v>4</v>
      </c>
      <c r="J530" t="s">
        <v>152</v>
      </c>
      <c r="K530" t="s">
        <v>174</v>
      </c>
      <c r="L530">
        <v>251200567</v>
      </c>
      <c r="M530" s="84">
        <v>46011</v>
      </c>
      <c r="N530" s="84">
        <v>46011</v>
      </c>
      <c r="O530" t="s">
        <v>408</v>
      </c>
      <c r="P530" t="s">
        <v>409</v>
      </c>
      <c r="Q530">
        <v>5500</v>
      </c>
      <c r="R530">
        <v>10</v>
      </c>
      <c r="S530">
        <v>55000</v>
      </c>
      <c r="T530">
        <v>0</v>
      </c>
      <c r="U530">
        <v>0</v>
      </c>
      <c r="V530">
        <v>10</v>
      </c>
      <c r="W530">
        <v>55000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 spans="1:29">
      <c r="A531">
        <v>1024</v>
      </c>
      <c r="B531" t="s">
        <v>149</v>
      </c>
      <c r="C531">
        <v>1320</v>
      </c>
      <c r="D531" t="s">
        <v>319</v>
      </c>
      <c r="F531" t="s">
        <v>171</v>
      </c>
      <c r="G531" t="s">
        <v>172</v>
      </c>
      <c r="H531" t="s">
        <v>157</v>
      </c>
      <c r="I531" t="s">
        <v>4</v>
      </c>
      <c r="J531" t="s">
        <v>152</v>
      </c>
      <c r="K531" t="s">
        <v>174</v>
      </c>
      <c r="L531">
        <v>251200568</v>
      </c>
      <c r="M531" s="84">
        <v>46011</v>
      </c>
      <c r="N531" s="84">
        <v>46011</v>
      </c>
      <c r="O531" t="s">
        <v>168</v>
      </c>
      <c r="P531" t="s">
        <v>169</v>
      </c>
      <c r="Q531">
        <v>5500</v>
      </c>
      <c r="R531">
        <v>10</v>
      </c>
      <c r="S531">
        <v>55000</v>
      </c>
      <c r="T531">
        <v>0</v>
      </c>
      <c r="U531">
        <v>0</v>
      </c>
      <c r="V531">
        <v>10</v>
      </c>
      <c r="W531">
        <v>55000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 spans="1:29">
      <c r="A532">
        <v>1025</v>
      </c>
      <c r="B532" t="s">
        <v>149</v>
      </c>
      <c r="C532">
        <v>1438</v>
      </c>
      <c r="D532" t="s">
        <v>320</v>
      </c>
      <c r="F532" t="s">
        <v>171</v>
      </c>
      <c r="G532" t="s">
        <v>172</v>
      </c>
      <c r="H532" t="s">
        <v>157</v>
      </c>
      <c r="I532" t="s">
        <v>4</v>
      </c>
      <c r="J532" t="s">
        <v>152</v>
      </c>
      <c r="K532" t="s">
        <v>174</v>
      </c>
      <c r="L532">
        <v>251200569</v>
      </c>
      <c r="M532" s="84">
        <v>46011</v>
      </c>
      <c r="N532" s="84">
        <v>46011</v>
      </c>
      <c r="O532" t="s">
        <v>321</v>
      </c>
      <c r="P532" t="s">
        <v>322</v>
      </c>
      <c r="Q532">
        <v>5500</v>
      </c>
      <c r="R532">
        <v>10</v>
      </c>
      <c r="S532">
        <v>55000</v>
      </c>
      <c r="T532">
        <v>0</v>
      </c>
      <c r="U532">
        <v>0</v>
      </c>
      <c r="V532">
        <v>10</v>
      </c>
      <c r="W532">
        <v>55000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 spans="1:29">
      <c r="A533">
        <v>1026</v>
      </c>
      <c r="B533" t="s">
        <v>149</v>
      </c>
      <c r="C533">
        <v>1428</v>
      </c>
      <c r="D533" t="s">
        <v>351</v>
      </c>
      <c r="F533" t="s">
        <v>171</v>
      </c>
      <c r="G533" t="s">
        <v>172</v>
      </c>
      <c r="H533" t="s">
        <v>157</v>
      </c>
      <c r="I533" t="s">
        <v>4</v>
      </c>
      <c r="J533" t="s">
        <v>152</v>
      </c>
      <c r="K533" t="s">
        <v>174</v>
      </c>
      <c r="L533">
        <v>251200570</v>
      </c>
      <c r="M533" s="84">
        <v>46011</v>
      </c>
      <c r="N533" s="84">
        <v>46011</v>
      </c>
      <c r="O533" t="s">
        <v>248</v>
      </c>
      <c r="P533" t="s">
        <v>249</v>
      </c>
      <c r="Q533">
        <v>5500</v>
      </c>
      <c r="R533">
        <v>5</v>
      </c>
      <c r="S533">
        <v>27500</v>
      </c>
      <c r="T533">
        <v>0</v>
      </c>
      <c r="U533">
        <v>0</v>
      </c>
      <c r="V533">
        <v>5</v>
      </c>
      <c r="W533">
        <v>27500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</row>
    <row r="534" spans="1:29">
      <c r="A534">
        <v>1027</v>
      </c>
      <c r="B534" t="s">
        <v>149</v>
      </c>
      <c r="C534">
        <v>1428</v>
      </c>
      <c r="D534" t="s">
        <v>351</v>
      </c>
      <c r="F534" t="s">
        <v>171</v>
      </c>
      <c r="G534" t="s">
        <v>172</v>
      </c>
      <c r="H534" t="s">
        <v>157</v>
      </c>
      <c r="I534" t="s">
        <v>4</v>
      </c>
      <c r="J534" t="s">
        <v>152</v>
      </c>
      <c r="K534" t="s">
        <v>174</v>
      </c>
      <c r="L534">
        <v>251200571</v>
      </c>
      <c r="M534" s="84">
        <v>46011</v>
      </c>
      <c r="N534" s="84">
        <v>46011</v>
      </c>
      <c r="O534" t="s">
        <v>154</v>
      </c>
      <c r="P534" t="s">
        <v>155</v>
      </c>
      <c r="Q534">
        <v>5500</v>
      </c>
      <c r="R534">
        <v>1</v>
      </c>
      <c r="S534">
        <v>5500</v>
      </c>
      <c r="T534">
        <v>0</v>
      </c>
      <c r="U534">
        <v>0</v>
      </c>
      <c r="V534">
        <v>1</v>
      </c>
      <c r="W534">
        <v>5500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</row>
    <row r="535" spans="1:29">
      <c r="A535">
        <v>1030</v>
      </c>
      <c r="B535" t="s">
        <v>149</v>
      </c>
      <c r="C535">
        <v>1533</v>
      </c>
      <c r="D535" t="s">
        <v>330</v>
      </c>
      <c r="F535" t="s">
        <v>65</v>
      </c>
      <c r="G535" t="s">
        <v>208</v>
      </c>
      <c r="H535" t="s">
        <v>157</v>
      </c>
      <c r="I535" t="s">
        <v>4</v>
      </c>
      <c r="J535" t="s">
        <v>152</v>
      </c>
      <c r="K535" t="s">
        <v>174</v>
      </c>
      <c r="L535">
        <v>251200574</v>
      </c>
      <c r="M535" s="84">
        <v>46011</v>
      </c>
      <c r="N535" s="84">
        <v>46011</v>
      </c>
      <c r="O535" t="s">
        <v>256</v>
      </c>
      <c r="P535" t="s">
        <v>257</v>
      </c>
      <c r="Q535">
        <v>5500</v>
      </c>
      <c r="R535">
        <v>10</v>
      </c>
      <c r="S535">
        <v>55000</v>
      </c>
      <c r="T535">
        <v>0</v>
      </c>
      <c r="U535">
        <v>0</v>
      </c>
      <c r="V535">
        <v>10</v>
      </c>
      <c r="W535">
        <v>55000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 spans="1:29">
      <c r="A536">
        <v>1031</v>
      </c>
      <c r="B536" t="s">
        <v>149</v>
      </c>
      <c r="C536">
        <v>1454</v>
      </c>
      <c r="D536" t="s">
        <v>362</v>
      </c>
      <c r="F536" t="s">
        <v>10</v>
      </c>
      <c r="G536" t="s">
        <v>172</v>
      </c>
      <c r="H536" t="s">
        <v>157</v>
      </c>
      <c r="I536" t="s">
        <v>4</v>
      </c>
      <c r="J536" t="s">
        <v>152</v>
      </c>
      <c r="K536" t="s">
        <v>174</v>
      </c>
      <c r="L536">
        <v>251200575</v>
      </c>
      <c r="M536" s="84">
        <v>46011</v>
      </c>
      <c r="N536" s="84">
        <v>46011</v>
      </c>
      <c r="O536" t="s">
        <v>179</v>
      </c>
      <c r="P536" t="s">
        <v>180</v>
      </c>
      <c r="Q536">
        <v>5500</v>
      </c>
      <c r="R536">
        <v>2</v>
      </c>
      <c r="S536">
        <v>11000</v>
      </c>
      <c r="T536">
        <v>0</v>
      </c>
      <c r="U536">
        <v>0</v>
      </c>
      <c r="V536">
        <v>2</v>
      </c>
      <c r="W536">
        <v>11000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 spans="1:29">
      <c r="A537">
        <v>1032</v>
      </c>
      <c r="B537" t="s">
        <v>149</v>
      </c>
      <c r="C537">
        <v>1454</v>
      </c>
      <c r="D537" t="s">
        <v>362</v>
      </c>
      <c r="F537" t="s">
        <v>10</v>
      </c>
      <c r="G537" t="s">
        <v>172</v>
      </c>
      <c r="H537" t="s">
        <v>157</v>
      </c>
      <c r="I537" t="s">
        <v>4</v>
      </c>
      <c r="J537" t="s">
        <v>152</v>
      </c>
      <c r="K537" t="s">
        <v>174</v>
      </c>
      <c r="L537">
        <v>251200575</v>
      </c>
      <c r="M537" s="84">
        <v>46011</v>
      </c>
      <c r="N537" s="84">
        <v>46011</v>
      </c>
      <c r="O537" t="s">
        <v>160</v>
      </c>
      <c r="P537" t="s">
        <v>161</v>
      </c>
      <c r="Q537">
        <v>5500</v>
      </c>
      <c r="R537">
        <v>1</v>
      </c>
      <c r="S537">
        <v>5500</v>
      </c>
      <c r="T537">
        <v>0</v>
      </c>
      <c r="U537">
        <v>0</v>
      </c>
      <c r="V537">
        <v>1</v>
      </c>
      <c r="W537">
        <v>5500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</row>
    <row r="538" spans="1:29">
      <c r="A538">
        <v>1033</v>
      </c>
      <c r="B538" t="s">
        <v>149</v>
      </c>
      <c r="C538">
        <v>1454</v>
      </c>
      <c r="D538" t="s">
        <v>362</v>
      </c>
      <c r="F538" t="s">
        <v>10</v>
      </c>
      <c r="G538" t="s">
        <v>172</v>
      </c>
      <c r="H538" t="s">
        <v>157</v>
      </c>
      <c r="I538" t="s">
        <v>4</v>
      </c>
      <c r="J538" t="s">
        <v>152</v>
      </c>
      <c r="K538" t="s">
        <v>174</v>
      </c>
      <c r="L538">
        <v>251200575</v>
      </c>
      <c r="M538" s="84">
        <v>46011</v>
      </c>
      <c r="N538" s="84">
        <v>46011</v>
      </c>
      <c r="O538" t="s">
        <v>168</v>
      </c>
      <c r="P538" t="s">
        <v>169</v>
      </c>
      <c r="Q538">
        <v>5500</v>
      </c>
      <c r="R538">
        <v>3</v>
      </c>
      <c r="S538">
        <v>16500</v>
      </c>
      <c r="T538">
        <v>0</v>
      </c>
      <c r="U538">
        <v>0</v>
      </c>
      <c r="V538">
        <v>3</v>
      </c>
      <c r="W538">
        <v>16500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</row>
    <row r="539" spans="1:29">
      <c r="A539">
        <v>1034</v>
      </c>
      <c r="B539" t="s">
        <v>149</v>
      </c>
      <c r="C539">
        <v>1606</v>
      </c>
      <c r="D539" t="s">
        <v>411</v>
      </c>
      <c r="F539" t="s">
        <v>86</v>
      </c>
      <c r="G539" t="s">
        <v>156</v>
      </c>
      <c r="H539" t="s">
        <v>157</v>
      </c>
      <c r="I539" t="s">
        <v>4</v>
      </c>
      <c r="J539" t="s">
        <v>152</v>
      </c>
      <c r="K539" t="s">
        <v>159</v>
      </c>
      <c r="L539">
        <v>251200576</v>
      </c>
      <c r="M539" s="84">
        <v>46011</v>
      </c>
      <c r="N539" s="84">
        <v>46011</v>
      </c>
      <c r="O539" t="s">
        <v>160</v>
      </c>
      <c r="P539" t="s">
        <v>161</v>
      </c>
      <c r="Q539">
        <v>5500</v>
      </c>
      <c r="R539">
        <v>10</v>
      </c>
      <c r="S539">
        <v>55000</v>
      </c>
      <c r="T539">
        <v>0</v>
      </c>
      <c r="U539">
        <v>0</v>
      </c>
      <c r="V539">
        <v>10</v>
      </c>
      <c r="W539">
        <v>55000</v>
      </c>
      <c r="X539">
        <v>1500</v>
      </c>
      <c r="Y539">
        <v>2000</v>
      </c>
      <c r="Z539">
        <v>0</v>
      </c>
      <c r="AA539">
        <v>0</v>
      </c>
      <c r="AB539">
        <v>0</v>
      </c>
      <c r="AC539">
        <v>3500</v>
      </c>
    </row>
    <row r="540" spans="1:29">
      <c r="A540">
        <v>1035</v>
      </c>
      <c r="B540" t="s">
        <v>149</v>
      </c>
      <c r="C540">
        <v>1606</v>
      </c>
      <c r="D540" t="s">
        <v>411</v>
      </c>
      <c r="F540" t="s">
        <v>86</v>
      </c>
      <c r="G540" t="s">
        <v>156</v>
      </c>
      <c r="H540" t="s">
        <v>157</v>
      </c>
      <c r="I540" t="s">
        <v>4</v>
      </c>
      <c r="J540" t="s">
        <v>152</v>
      </c>
      <c r="K540" t="s">
        <v>159</v>
      </c>
      <c r="L540">
        <v>251200576</v>
      </c>
      <c r="M540" s="84">
        <v>46011</v>
      </c>
      <c r="N540" s="84">
        <v>46011</v>
      </c>
      <c r="O540" t="s">
        <v>290</v>
      </c>
      <c r="P540" t="s">
        <v>291</v>
      </c>
      <c r="Q540">
        <v>5500</v>
      </c>
      <c r="R540">
        <v>10</v>
      </c>
      <c r="S540">
        <v>55000</v>
      </c>
      <c r="T540">
        <v>0</v>
      </c>
      <c r="U540">
        <v>0</v>
      </c>
      <c r="V540">
        <v>10</v>
      </c>
      <c r="W540">
        <v>55000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</row>
    <row r="541" spans="1:29">
      <c r="A541">
        <v>1037</v>
      </c>
      <c r="B541" t="s">
        <v>149</v>
      </c>
      <c r="C541">
        <v>1545</v>
      </c>
      <c r="D541" t="s">
        <v>387</v>
      </c>
      <c r="F541" t="s">
        <v>7</v>
      </c>
      <c r="G541" t="s">
        <v>156</v>
      </c>
      <c r="H541" t="s">
        <v>157</v>
      </c>
      <c r="I541" t="s">
        <v>4</v>
      </c>
      <c r="J541" t="s">
        <v>152</v>
      </c>
      <c r="K541" t="s">
        <v>159</v>
      </c>
      <c r="L541">
        <v>251200578</v>
      </c>
      <c r="M541" s="84">
        <v>46011</v>
      </c>
      <c r="N541" s="84">
        <v>46011</v>
      </c>
      <c r="O541" t="s">
        <v>262</v>
      </c>
      <c r="P541" t="s">
        <v>263</v>
      </c>
      <c r="Q541">
        <v>5500</v>
      </c>
      <c r="R541">
        <v>20</v>
      </c>
      <c r="S541">
        <v>110000</v>
      </c>
      <c r="T541">
        <v>0</v>
      </c>
      <c r="U541">
        <v>0</v>
      </c>
      <c r="V541">
        <v>20</v>
      </c>
      <c r="W541">
        <v>110000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</row>
    <row r="542" spans="1:29">
      <c r="A542">
        <v>1038</v>
      </c>
      <c r="B542" t="s">
        <v>149</v>
      </c>
      <c r="C542">
        <v>1566</v>
      </c>
      <c r="D542" t="s">
        <v>376</v>
      </c>
      <c r="F542" t="s">
        <v>91</v>
      </c>
      <c r="G542" t="s">
        <v>202</v>
      </c>
      <c r="H542" t="s">
        <v>157</v>
      </c>
      <c r="I542" t="s">
        <v>4</v>
      </c>
      <c r="J542" t="s">
        <v>152</v>
      </c>
      <c r="K542" t="s">
        <v>159</v>
      </c>
      <c r="L542">
        <v>251200579</v>
      </c>
      <c r="M542" s="84">
        <v>46011</v>
      </c>
      <c r="N542" s="84">
        <v>46011</v>
      </c>
      <c r="O542" t="s">
        <v>256</v>
      </c>
      <c r="P542" t="s">
        <v>257</v>
      </c>
      <c r="Q542">
        <v>5500</v>
      </c>
      <c r="R542">
        <v>50</v>
      </c>
      <c r="S542">
        <v>275000</v>
      </c>
      <c r="T542">
        <v>0</v>
      </c>
      <c r="U542">
        <v>0</v>
      </c>
      <c r="V542">
        <v>50</v>
      </c>
      <c r="W542">
        <v>275000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 spans="1:29">
      <c r="A543">
        <v>1039</v>
      </c>
      <c r="B543" t="s">
        <v>149</v>
      </c>
      <c r="C543">
        <v>1566</v>
      </c>
      <c r="D543" t="s">
        <v>376</v>
      </c>
      <c r="F543" t="s">
        <v>91</v>
      </c>
      <c r="G543" t="s">
        <v>202</v>
      </c>
      <c r="H543" t="s">
        <v>157</v>
      </c>
      <c r="I543" t="s">
        <v>4</v>
      </c>
      <c r="J543" t="s">
        <v>152</v>
      </c>
      <c r="K543" t="s">
        <v>159</v>
      </c>
      <c r="L543">
        <v>251200579</v>
      </c>
      <c r="M543" s="84">
        <v>46011</v>
      </c>
      <c r="N543" s="84">
        <v>46011</v>
      </c>
      <c r="O543" t="s">
        <v>290</v>
      </c>
      <c r="P543" t="s">
        <v>291</v>
      </c>
      <c r="Q543">
        <v>5500</v>
      </c>
      <c r="R543">
        <v>30</v>
      </c>
      <c r="S543">
        <v>165000</v>
      </c>
      <c r="T543">
        <v>0</v>
      </c>
      <c r="U543">
        <v>0</v>
      </c>
      <c r="V543">
        <v>30</v>
      </c>
      <c r="W543">
        <v>165000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</row>
    <row r="544" spans="1:29">
      <c r="A544">
        <v>1040</v>
      </c>
      <c r="B544" t="s">
        <v>149</v>
      </c>
      <c r="C544">
        <v>1484</v>
      </c>
      <c r="D544" t="s">
        <v>331</v>
      </c>
      <c r="F544" t="s">
        <v>71</v>
      </c>
      <c r="G544" t="s">
        <v>305</v>
      </c>
      <c r="H544" t="s">
        <v>157</v>
      </c>
      <c r="I544" t="s">
        <v>4</v>
      </c>
      <c r="J544" t="s">
        <v>152</v>
      </c>
      <c r="K544" t="s">
        <v>174</v>
      </c>
      <c r="L544">
        <v>251200580</v>
      </c>
      <c r="M544" s="84">
        <v>46011</v>
      </c>
      <c r="N544" s="84">
        <v>46011</v>
      </c>
      <c r="O544" t="s">
        <v>215</v>
      </c>
      <c r="P544" t="s">
        <v>216</v>
      </c>
      <c r="Q544">
        <v>5500</v>
      </c>
      <c r="R544">
        <v>5</v>
      </c>
      <c r="S544">
        <v>27500</v>
      </c>
      <c r="T544">
        <v>0</v>
      </c>
      <c r="U544">
        <v>0</v>
      </c>
      <c r="V544">
        <v>5</v>
      </c>
      <c r="W544">
        <v>27500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</row>
    <row r="545" spans="1:29">
      <c r="A545">
        <v>1041</v>
      </c>
      <c r="B545" t="s">
        <v>400</v>
      </c>
      <c r="C545">
        <v>1603</v>
      </c>
      <c r="D545" t="s">
        <v>401</v>
      </c>
      <c r="F545" t="s">
        <v>91</v>
      </c>
      <c r="G545" t="s">
        <v>202</v>
      </c>
      <c r="H545" t="s">
        <v>157</v>
      </c>
      <c r="I545" t="s">
        <v>4</v>
      </c>
      <c r="J545" t="s">
        <v>152</v>
      </c>
      <c r="K545" t="s">
        <v>159</v>
      </c>
      <c r="L545">
        <v>251200581</v>
      </c>
      <c r="M545" s="84">
        <v>46011</v>
      </c>
      <c r="N545" s="84">
        <v>46011</v>
      </c>
      <c r="O545" t="s">
        <v>402</v>
      </c>
      <c r="P545" t="s">
        <v>403</v>
      </c>
      <c r="Q545">
        <v>5500</v>
      </c>
      <c r="R545">
        <v>10</v>
      </c>
      <c r="S545">
        <v>55000</v>
      </c>
      <c r="T545">
        <v>0</v>
      </c>
      <c r="U545">
        <v>0</v>
      </c>
      <c r="V545">
        <v>10</v>
      </c>
      <c r="W545">
        <v>55000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 spans="1:29">
      <c r="A546">
        <v>1042</v>
      </c>
      <c r="B546" t="s">
        <v>400</v>
      </c>
      <c r="C546">
        <v>1603</v>
      </c>
      <c r="D546" t="s">
        <v>401</v>
      </c>
      <c r="F546" t="s">
        <v>91</v>
      </c>
      <c r="G546" t="s">
        <v>202</v>
      </c>
      <c r="H546" t="s">
        <v>157</v>
      </c>
      <c r="I546" t="s">
        <v>4</v>
      </c>
      <c r="J546" t="s">
        <v>152</v>
      </c>
      <c r="K546" t="s">
        <v>159</v>
      </c>
      <c r="L546">
        <v>251200582</v>
      </c>
      <c r="M546" s="84">
        <v>46011</v>
      </c>
      <c r="N546" s="84">
        <v>46011</v>
      </c>
      <c r="O546" t="s">
        <v>404</v>
      </c>
      <c r="P546" t="s">
        <v>405</v>
      </c>
      <c r="Q546">
        <v>5500</v>
      </c>
      <c r="R546">
        <v>10</v>
      </c>
      <c r="S546">
        <v>55000</v>
      </c>
      <c r="T546">
        <v>0</v>
      </c>
      <c r="U546">
        <v>0</v>
      </c>
      <c r="V546">
        <v>10</v>
      </c>
      <c r="W546">
        <v>55000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</row>
    <row r="547" spans="1:29">
      <c r="A547">
        <v>1043</v>
      </c>
      <c r="B547" t="s">
        <v>149</v>
      </c>
      <c r="C547">
        <v>1484</v>
      </c>
      <c r="D547" t="s">
        <v>331</v>
      </c>
      <c r="F547" t="s">
        <v>71</v>
      </c>
      <c r="G547" t="s">
        <v>305</v>
      </c>
      <c r="H547" t="s">
        <v>157</v>
      </c>
      <c r="I547" t="s">
        <v>4</v>
      </c>
      <c r="J547" t="s">
        <v>152</v>
      </c>
      <c r="K547" t="s">
        <v>174</v>
      </c>
      <c r="L547">
        <v>251200583</v>
      </c>
      <c r="M547" s="84">
        <v>46011</v>
      </c>
      <c r="N547" s="84">
        <v>46011</v>
      </c>
      <c r="O547" t="s">
        <v>160</v>
      </c>
      <c r="P547" t="s">
        <v>161</v>
      </c>
      <c r="Q547">
        <v>5500</v>
      </c>
      <c r="R547">
        <v>5</v>
      </c>
      <c r="S547">
        <v>27500</v>
      </c>
      <c r="T547">
        <v>0</v>
      </c>
      <c r="U547">
        <v>0</v>
      </c>
      <c r="V547">
        <v>5</v>
      </c>
      <c r="W547">
        <v>27500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 spans="1:29">
      <c r="A548">
        <v>1052</v>
      </c>
      <c r="B548" t="s">
        <v>149</v>
      </c>
      <c r="C548">
        <v>1444</v>
      </c>
      <c r="D548" t="s">
        <v>341</v>
      </c>
      <c r="F548" t="s">
        <v>28</v>
      </c>
      <c r="G548" t="s">
        <v>164</v>
      </c>
      <c r="H548" t="s">
        <v>151</v>
      </c>
      <c r="I548" t="s">
        <v>4</v>
      </c>
      <c r="J548" t="s">
        <v>152</v>
      </c>
      <c r="K548" t="s">
        <v>153</v>
      </c>
      <c r="L548">
        <v>251200590</v>
      </c>
      <c r="M548" s="84">
        <v>46011</v>
      </c>
      <c r="N548" s="84">
        <v>46011</v>
      </c>
      <c r="O548" t="s">
        <v>160</v>
      </c>
      <c r="P548" t="s">
        <v>161</v>
      </c>
      <c r="Q548">
        <v>5500</v>
      </c>
      <c r="R548">
        <v>125</v>
      </c>
      <c r="S548">
        <v>687500</v>
      </c>
      <c r="T548">
        <v>0</v>
      </c>
      <c r="U548">
        <v>0</v>
      </c>
      <c r="V548">
        <v>125</v>
      </c>
      <c r="W548">
        <v>687500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 spans="1:29">
      <c r="A549">
        <v>1053</v>
      </c>
      <c r="B549" t="s">
        <v>149</v>
      </c>
      <c r="C549">
        <v>1444</v>
      </c>
      <c r="D549" t="s">
        <v>341</v>
      </c>
      <c r="F549" t="s">
        <v>28</v>
      </c>
      <c r="G549" t="s">
        <v>164</v>
      </c>
      <c r="H549" t="s">
        <v>151</v>
      </c>
      <c r="I549" t="s">
        <v>4</v>
      </c>
      <c r="J549" t="s">
        <v>152</v>
      </c>
      <c r="K549" t="s">
        <v>153</v>
      </c>
      <c r="L549">
        <v>251200590</v>
      </c>
      <c r="M549" s="84">
        <v>46011</v>
      </c>
      <c r="N549" s="84">
        <v>46011</v>
      </c>
      <c r="O549" t="s">
        <v>154</v>
      </c>
      <c r="P549" t="s">
        <v>155</v>
      </c>
      <c r="Q549">
        <v>5500</v>
      </c>
      <c r="R549">
        <v>10</v>
      </c>
      <c r="S549">
        <v>55000</v>
      </c>
      <c r="T549">
        <v>0</v>
      </c>
      <c r="U549">
        <v>0</v>
      </c>
      <c r="V549">
        <v>10</v>
      </c>
      <c r="W549">
        <v>55000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</row>
    <row r="550" spans="1:29">
      <c r="A550">
        <v>1054</v>
      </c>
      <c r="B550" t="s">
        <v>149</v>
      </c>
      <c r="C550">
        <v>1444</v>
      </c>
      <c r="D550" t="s">
        <v>341</v>
      </c>
      <c r="F550" t="s">
        <v>28</v>
      </c>
      <c r="G550" t="s">
        <v>164</v>
      </c>
      <c r="H550" t="s">
        <v>151</v>
      </c>
      <c r="I550" t="s">
        <v>4</v>
      </c>
      <c r="J550" t="s">
        <v>152</v>
      </c>
      <c r="K550" t="s">
        <v>153</v>
      </c>
      <c r="L550">
        <v>251200590</v>
      </c>
      <c r="M550" s="84">
        <v>46011</v>
      </c>
      <c r="N550" s="84">
        <v>46011</v>
      </c>
      <c r="O550" t="s">
        <v>177</v>
      </c>
      <c r="P550" t="s">
        <v>178</v>
      </c>
      <c r="Q550">
        <v>5500</v>
      </c>
      <c r="R550">
        <v>15</v>
      </c>
      <c r="S550">
        <v>82500</v>
      </c>
      <c r="T550">
        <v>0</v>
      </c>
      <c r="U550">
        <v>0</v>
      </c>
      <c r="V550">
        <v>15</v>
      </c>
      <c r="W550">
        <v>82500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</row>
    <row r="551" spans="1:29">
      <c r="A551">
        <v>1056</v>
      </c>
      <c r="B551" t="s">
        <v>149</v>
      </c>
      <c r="C551">
        <v>1331</v>
      </c>
      <c r="D551" t="s">
        <v>366</v>
      </c>
      <c r="F551" t="s">
        <v>28</v>
      </c>
      <c r="G551" t="s">
        <v>164</v>
      </c>
      <c r="H551" t="s">
        <v>151</v>
      </c>
      <c r="I551" t="s">
        <v>5</v>
      </c>
      <c r="J551" t="s">
        <v>152</v>
      </c>
      <c r="K551" t="s">
        <v>153</v>
      </c>
      <c r="L551">
        <v>251200592</v>
      </c>
      <c r="M551" s="84">
        <v>46011</v>
      </c>
      <c r="N551" s="84">
        <v>46011</v>
      </c>
      <c r="O551" t="s">
        <v>191</v>
      </c>
      <c r="P551" t="s">
        <v>192</v>
      </c>
      <c r="Q551">
        <v>4500</v>
      </c>
      <c r="R551">
        <v>16</v>
      </c>
      <c r="S551">
        <v>72000</v>
      </c>
      <c r="T551">
        <v>0</v>
      </c>
      <c r="U551">
        <v>0</v>
      </c>
      <c r="V551">
        <v>16</v>
      </c>
      <c r="W551">
        <v>72000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 spans="1:29">
      <c r="A552">
        <v>1057</v>
      </c>
      <c r="B552" t="s">
        <v>149</v>
      </c>
      <c r="C552">
        <v>1326</v>
      </c>
      <c r="D552" t="s">
        <v>338</v>
      </c>
      <c r="F552" t="s">
        <v>15</v>
      </c>
      <c r="G552" t="s">
        <v>193</v>
      </c>
      <c r="H552" t="s">
        <v>151</v>
      </c>
      <c r="I552" t="s">
        <v>5</v>
      </c>
      <c r="J552" t="s">
        <v>152</v>
      </c>
      <c r="K552" t="s">
        <v>153</v>
      </c>
      <c r="L552">
        <v>251200593</v>
      </c>
      <c r="M552" s="84">
        <v>46011</v>
      </c>
      <c r="N552" s="84">
        <v>46011</v>
      </c>
      <c r="O552" t="s">
        <v>260</v>
      </c>
      <c r="P552" t="s">
        <v>261</v>
      </c>
      <c r="Q552">
        <v>4500</v>
      </c>
      <c r="R552">
        <v>8</v>
      </c>
      <c r="S552">
        <v>36000</v>
      </c>
      <c r="T552">
        <v>0</v>
      </c>
      <c r="U552">
        <v>0</v>
      </c>
      <c r="V552">
        <v>8</v>
      </c>
      <c r="W552">
        <v>36000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 spans="1:29">
      <c r="A553">
        <v>1058</v>
      </c>
      <c r="B553" t="s">
        <v>149</v>
      </c>
      <c r="C553">
        <v>1326</v>
      </c>
      <c r="D553" t="s">
        <v>338</v>
      </c>
      <c r="F553" t="s">
        <v>15</v>
      </c>
      <c r="G553" t="s">
        <v>193</v>
      </c>
      <c r="H553" t="s">
        <v>151</v>
      </c>
      <c r="I553" t="s">
        <v>5</v>
      </c>
      <c r="J553" t="s">
        <v>152</v>
      </c>
      <c r="K553" t="s">
        <v>153</v>
      </c>
      <c r="L553">
        <v>251200593</v>
      </c>
      <c r="M553" s="84">
        <v>46011</v>
      </c>
      <c r="N553" s="84">
        <v>46011</v>
      </c>
      <c r="O553" t="s">
        <v>191</v>
      </c>
      <c r="P553" t="s">
        <v>192</v>
      </c>
      <c r="Q553">
        <v>4500</v>
      </c>
      <c r="R553">
        <v>72</v>
      </c>
      <c r="S553">
        <v>324000</v>
      </c>
      <c r="T553">
        <v>0</v>
      </c>
      <c r="U553">
        <v>0</v>
      </c>
      <c r="V553">
        <v>72</v>
      </c>
      <c r="W553">
        <v>324000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>
      <c r="A554">
        <v>1059</v>
      </c>
      <c r="B554" t="s">
        <v>149</v>
      </c>
      <c r="C554">
        <v>1326</v>
      </c>
      <c r="D554" t="s">
        <v>338</v>
      </c>
      <c r="F554" t="s">
        <v>15</v>
      </c>
      <c r="G554" t="s">
        <v>193</v>
      </c>
      <c r="H554" t="s">
        <v>151</v>
      </c>
      <c r="I554" t="s">
        <v>5</v>
      </c>
      <c r="J554" t="s">
        <v>152</v>
      </c>
      <c r="K554" t="s">
        <v>153</v>
      </c>
      <c r="L554">
        <v>251200594</v>
      </c>
      <c r="M554" s="84">
        <v>46011</v>
      </c>
      <c r="N554" s="84">
        <v>46011</v>
      </c>
      <c r="O554" t="s">
        <v>191</v>
      </c>
      <c r="P554" t="s">
        <v>192</v>
      </c>
      <c r="Q554">
        <v>4500</v>
      </c>
      <c r="R554">
        <v>20</v>
      </c>
      <c r="S554">
        <v>90000</v>
      </c>
      <c r="T554">
        <v>0</v>
      </c>
      <c r="U554">
        <v>0</v>
      </c>
      <c r="V554">
        <v>20</v>
      </c>
      <c r="W554">
        <v>90000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</row>
    <row r="555" spans="1:29">
      <c r="A555">
        <v>1060</v>
      </c>
      <c r="B555" t="s">
        <v>149</v>
      </c>
      <c r="C555">
        <v>1326</v>
      </c>
      <c r="D555" t="s">
        <v>338</v>
      </c>
      <c r="F555" t="s">
        <v>15</v>
      </c>
      <c r="G555" t="s">
        <v>193</v>
      </c>
      <c r="H555" t="s">
        <v>151</v>
      </c>
      <c r="I555" t="s">
        <v>5</v>
      </c>
      <c r="J555" t="s">
        <v>152</v>
      </c>
      <c r="K555" t="s">
        <v>153</v>
      </c>
      <c r="L555">
        <v>251200594</v>
      </c>
      <c r="M555" s="84">
        <v>46011</v>
      </c>
      <c r="N555" s="84">
        <v>46011</v>
      </c>
      <c r="O555" t="s">
        <v>260</v>
      </c>
      <c r="P555" t="s">
        <v>261</v>
      </c>
      <c r="Q555">
        <v>4500</v>
      </c>
      <c r="R555">
        <v>8</v>
      </c>
      <c r="S555">
        <v>36000</v>
      </c>
      <c r="T555">
        <v>0</v>
      </c>
      <c r="U555">
        <v>0</v>
      </c>
      <c r="V555">
        <v>8</v>
      </c>
      <c r="W555">
        <v>36000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>
      <c r="A556">
        <v>1067</v>
      </c>
      <c r="B556" t="s">
        <v>149</v>
      </c>
      <c r="C556">
        <v>1550</v>
      </c>
      <c r="D556" t="s">
        <v>337</v>
      </c>
      <c r="F556" t="s">
        <v>15</v>
      </c>
      <c r="G556" t="s">
        <v>193</v>
      </c>
      <c r="H556" t="s">
        <v>151</v>
      </c>
      <c r="I556" t="s">
        <v>5</v>
      </c>
      <c r="J556" t="s">
        <v>152</v>
      </c>
      <c r="K556" t="s">
        <v>153</v>
      </c>
      <c r="L556">
        <v>251200596</v>
      </c>
      <c r="M556" s="84">
        <v>46011</v>
      </c>
      <c r="N556" s="84">
        <v>46011</v>
      </c>
      <c r="O556" t="s">
        <v>194</v>
      </c>
      <c r="P556" t="s">
        <v>195</v>
      </c>
      <c r="Q556">
        <v>4500</v>
      </c>
      <c r="R556">
        <v>4</v>
      </c>
      <c r="S556">
        <v>18000</v>
      </c>
      <c r="T556">
        <v>0</v>
      </c>
      <c r="U556">
        <v>0</v>
      </c>
      <c r="V556">
        <v>4</v>
      </c>
      <c r="W556">
        <v>18000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</row>
    <row r="557" spans="1:29">
      <c r="A557">
        <v>1068</v>
      </c>
      <c r="B557" t="s">
        <v>149</v>
      </c>
      <c r="C557">
        <v>1550</v>
      </c>
      <c r="D557" t="s">
        <v>337</v>
      </c>
      <c r="F557" t="s">
        <v>15</v>
      </c>
      <c r="G557" t="s">
        <v>193</v>
      </c>
      <c r="H557" t="s">
        <v>151</v>
      </c>
      <c r="I557" t="s">
        <v>5</v>
      </c>
      <c r="J557" t="s">
        <v>152</v>
      </c>
      <c r="K557" t="s">
        <v>153</v>
      </c>
      <c r="L557">
        <v>251200596</v>
      </c>
      <c r="M557" s="84">
        <v>46011</v>
      </c>
      <c r="N557" s="84">
        <v>46011</v>
      </c>
      <c r="O557" t="s">
        <v>191</v>
      </c>
      <c r="P557" t="s">
        <v>192</v>
      </c>
      <c r="Q557">
        <v>4500</v>
      </c>
      <c r="R557">
        <v>8</v>
      </c>
      <c r="S557">
        <v>36000</v>
      </c>
      <c r="T557">
        <v>0</v>
      </c>
      <c r="U557">
        <v>0</v>
      </c>
      <c r="V557">
        <v>8</v>
      </c>
      <c r="W557">
        <v>36000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</row>
    <row r="558" spans="1:29">
      <c r="A558">
        <v>1072</v>
      </c>
      <c r="B558" t="s">
        <v>149</v>
      </c>
      <c r="C558">
        <v>1553</v>
      </c>
      <c r="D558" t="s">
        <v>317</v>
      </c>
      <c r="F558" t="s">
        <v>43</v>
      </c>
      <c r="G558" t="s">
        <v>150</v>
      </c>
      <c r="H558" t="s">
        <v>151</v>
      </c>
      <c r="I558" t="s">
        <v>4</v>
      </c>
      <c r="J558" t="s">
        <v>152</v>
      </c>
      <c r="K558" t="s">
        <v>153</v>
      </c>
      <c r="L558">
        <v>251200600</v>
      </c>
      <c r="M558" s="84">
        <v>46012</v>
      </c>
      <c r="N558" s="84">
        <v>46012</v>
      </c>
      <c r="O558" t="s">
        <v>243</v>
      </c>
      <c r="P558" t="s">
        <v>244</v>
      </c>
      <c r="Q558">
        <v>5700</v>
      </c>
      <c r="R558">
        <v>5</v>
      </c>
      <c r="S558">
        <v>28500</v>
      </c>
      <c r="T558">
        <v>0</v>
      </c>
      <c r="U558">
        <v>0</v>
      </c>
      <c r="V558">
        <v>5</v>
      </c>
      <c r="W558">
        <v>28500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>
      <c r="A559">
        <v>1073</v>
      </c>
      <c r="B559" t="s">
        <v>149</v>
      </c>
      <c r="C559">
        <v>1553</v>
      </c>
      <c r="D559" t="s">
        <v>317</v>
      </c>
      <c r="F559" t="s">
        <v>43</v>
      </c>
      <c r="G559" t="s">
        <v>150</v>
      </c>
      <c r="H559" t="s">
        <v>151</v>
      </c>
      <c r="I559" t="s">
        <v>4</v>
      </c>
      <c r="J559" t="s">
        <v>152</v>
      </c>
      <c r="K559" t="s">
        <v>153</v>
      </c>
      <c r="L559">
        <v>251200600</v>
      </c>
      <c r="M559" s="84">
        <v>46012</v>
      </c>
      <c r="N559" s="84">
        <v>46012</v>
      </c>
      <c r="O559" t="s">
        <v>179</v>
      </c>
      <c r="P559" t="s">
        <v>180</v>
      </c>
      <c r="Q559">
        <v>5500</v>
      </c>
      <c r="R559">
        <v>5</v>
      </c>
      <c r="S559">
        <v>27500</v>
      </c>
      <c r="T559">
        <v>0</v>
      </c>
      <c r="U559">
        <v>0</v>
      </c>
      <c r="V559">
        <v>5</v>
      </c>
      <c r="W559">
        <v>27500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0" spans="1:29">
      <c r="A560">
        <v>1074</v>
      </c>
      <c r="B560" t="s">
        <v>149</v>
      </c>
      <c r="C560">
        <v>1553</v>
      </c>
      <c r="D560" t="s">
        <v>317</v>
      </c>
      <c r="F560" t="s">
        <v>43</v>
      </c>
      <c r="G560" t="s">
        <v>150</v>
      </c>
      <c r="H560" t="s">
        <v>151</v>
      </c>
      <c r="I560" t="s">
        <v>4</v>
      </c>
      <c r="J560" t="s">
        <v>152</v>
      </c>
      <c r="K560" t="s">
        <v>153</v>
      </c>
      <c r="L560">
        <v>251200600</v>
      </c>
      <c r="M560" s="84">
        <v>46012</v>
      </c>
      <c r="N560" s="84">
        <v>46012</v>
      </c>
      <c r="O560" t="s">
        <v>160</v>
      </c>
      <c r="P560" t="s">
        <v>161</v>
      </c>
      <c r="Q560">
        <v>5500</v>
      </c>
      <c r="R560">
        <v>10</v>
      </c>
      <c r="S560">
        <v>55000</v>
      </c>
      <c r="T560">
        <v>0</v>
      </c>
      <c r="U560">
        <v>0</v>
      </c>
      <c r="V560">
        <v>10</v>
      </c>
      <c r="W560">
        <v>55000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</row>
    <row r="561" spans="1:29">
      <c r="A561">
        <v>1075</v>
      </c>
      <c r="B561" t="s">
        <v>149</v>
      </c>
      <c r="C561">
        <v>1289</v>
      </c>
      <c r="D561" t="s">
        <v>412</v>
      </c>
      <c r="F561" t="s">
        <v>43</v>
      </c>
      <c r="G561" t="s">
        <v>150</v>
      </c>
      <c r="H561" t="s">
        <v>151</v>
      </c>
      <c r="I561" t="s">
        <v>4</v>
      </c>
      <c r="J561" t="s">
        <v>152</v>
      </c>
      <c r="K561" t="s">
        <v>153</v>
      </c>
      <c r="L561">
        <v>251200601</v>
      </c>
      <c r="M561" s="84">
        <v>46012</v>
      </c>
      <c r="N561" s="84">
        <v>46012</v>
      </c>
      <c r="O561" t="s">
        <v>357</v>
      </c>
      <c r="P561" t="s">
        <v>358</v>
      </c>
      <c r="Q561">
        <v>5500</v>
      </c>
      <c r="R561">
        <v>30</v>
      </c>
      <c r="S561">
        <v>165000</v>
      </c>
      <c r="T561">
        <v>0</v>
      </c>
      <c r="U561">
        <v>0</v>
      </c>
      <c r="V561">
        <v>30</v>
      </c>
      <c r="W561">
        <v>165000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>
      <c r="A562">
        <v>1076</v>
      </c>
      <c r="B562" t="s">
        <v>149</v>
      </c>
      <c r="C562">
        <v>1596</v>
      </c>
      <c r="D562" t="s">
        <v>315</v>
      </c>
      <c r="F562" t="s">
        <v>111</v>
      </c>
      <c r="G562" t="s">
        <v>150</v>
      </c>
      <c r="H562" t="s">
        <v>151</v>
      </c>
      <c r="I562" t="s">
        <v>5</v>
      </c>
      <c r="J562" t="s">
        <v>152</v>
      </c>
      <c r="K562" t="s">
        <v>153</v>
      </c>
      <c r="L562">
        <v>251200602</v>
      </c>
      <c r="M562" s="84">
        <v>46012</v>
      </c>
      <c r="N562" s="84">
        <v>46012</v>
      </c>
      <c r="O562" t="s">
        <v>191</v>
      </c>
      <c r="P562" t="s">
        <v>192</v>
      </c>
      <c r="Q562">
        <v>4500</v>
      </c>
      <c r="R562">
        <v>4</v>
      </c>
      <c r="S562">
        <v>18000</v>
      </c>
      <c r="T562">
        <v>0</v>
      </c>
      <c r="U562">
        <v>0</v>
      </c>
      <c r="V562">
        <v>4</v>
      </c>
      <c r="W562">
        <v>18000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</row>
    <row r="563" spans="1:29">
      <c r="A563">
        <v>1077</v>
      </c>
      <c r="B563" t="s">
        <v>149</v>
      </c>
      <c r="C563">
        <v>1478</v>
      </c>
      <c r="D563" t="s">
        <v>314</v>
      </c>
      <c r="F563" t="s">
        <v>111</v>
      </c>
      <c r="G563" t="s">
        <v>150</v>
      </c>
      <c r="H563" t="s">
        <v>151</v>
      </c>
      <c r="I563" t="s">
        <v>5</v>
      </c>
      <c r="J563" t="s">
        <v>152</v>
      </c>
      <c r="K563" t="s">
        <v>153</v>
      </c>
      <c r="L563">
        <v>251200603</v>
      </c>
      <c r="M563" s="84">
        <v>46012</v>
      </c>
      <c r="N563" s="84">
        <v>46012</v>
      </c>
      <c r="O563" t="s">
        <v>191</v>
      </c>
      <c r="P563" t="s">
        <v>192</v>
      </c>
      <c r="Q563">
        <v>4500</v>
      </c>
      <c r="R563">
        <v>40</v>
      </c>
      <c r="S563">
        <v>180000</v>
      </c>
      <c r="T563">
        <v>0</v>
      </c>
      <c r="U563">
        <v>0</v>
      </c>
      <c r="V563">
        <v>40</v>
      </c>
      <c r="W563">
        <v>180000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 spans="1:29">
      <c r="A564">
        <v>1078</v>
      </c>
      <c r="B564" t="s">
        <v>149</v>
      </c>
      <c r="C564">
        <v>1519</v>
      </c>
      <c r="D564" t="s">
        <v>353</v>
      </c>
      <c r="F564" t="s">
        <v>111</v>
      </c>
      <c r="G564" t="s">
        <v>150</v>
      </c>
      <c r="H564" t="s">
        <v>151</v>
      </c>
      <c r="I564" t="s">
        <v>4</v>
      </c>
      <c r="J564" t="s">
        <v>152</v>
      </c>
      <c r="K564" t="s">
        <v>153</v>
      </c>
      <c r="L564">
        <v>251200604</v>
      </c>
      <c r="M564" s="84">
        <v>46012</v>
      </c>
      <c r="N564" s="84">
        <v>46012</v>
      </c>
      <c r="O564" t="s">
        <v>160</v>
      </c>
      <c r="P564" t="s">
        <v>161</v>
      </c>
      <c r="Q564">
        <v>5500</v>
      </c>
      <c r="R564">
        <v>28</v>
      </c>
      <c r="S564">
        <v>154000</v>
      </c>
      <c r="T564">
        <v>0</v>
      </c>
      <c r="U564">
        <v>0</v>
      </c>
      <c r="V564">
        <v>28</v>
      </c>
      <c r="W564">
        <v>154000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 spans="1:29">
      <c r="A565">
        <v>1079</v>
      </c>
      <c r="B565" t="s">
        <v>149</v>
      </c>
      <c r="C565">
        <v>1300</v>
      </c>
      <c r="D565" t="s">
        <v>335</v>
      </c>
      <c r="F565" t="s">
        <v>83</v>
      </c>
      <c r="G565" t="s">
        <v>164</v>
      </c>
      <c r="H565" t="s">
        <v>151</v>
      </c>
      <c r="I565" t="s">
        <v>5</v>
      </c>
      <c r="J565" t="s">
        <v>152</v>
      </c>
      <c r="K565" t="s">
        <v>153</v>
      </c>
      <c r="L565">
        <v>251200605</v>
      </c>
      <c r="M565" s="84">
        <v>46012</v>
      </c>
      <c r="N565" s="84">
        <v>46012</v>
      </c>
      <c r="O565" t="s">
        <v>191</v>
      </c>
      <c r="P565" t="s">
        <v>192</v>
      </c>
      <c r="Q565">
        <v>4500</v>
      </c>
      <c r="R565">
        <v>16</v>
      </c>
      <c r="S565">
        <v>72000</v>
      </c>
      <c r="T565">
        <v>0</v>
      </c>
      <c r="U565">
        <v>0</v>
      </c>
      <c r="V565">
        <v>16</v>
      </c>
      <c r="W565">
        <v>72000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 spans="1:29">
      <c r="A566">
        <v>1084</v>
      </c>
      <c r="B566" t="s">
        <v>149</v>
      </c>
      <c r="C566">
        <v>1550</v>
      </c>
      <c r="D566" t="s">
        <v>337</v>
      </c>
      <c r="F566" t="s">
        <v>15</v>
      </c>
      <c r="G566" t="s">
        <v>193</v>
      </c>
      <c r="H566" t="s">
        <v>151</v>
      </c>
      <c r="I566" t="s">
        <v>5</v>
      </c>
      <c r="J566" t="s">
        <v>152</v>
      </c>
      <c r="K566" t="s">
        <v>153</v>
      </c>
      <c r="L566">
        <v>251200609</v>
      </c>
      <c r="M566" s="84">
        <v>46012</v>
      </c>
      <c r="N566" s="84">
        <v>46012</v>
      </c>
      <c r="O566" t="s">
        <v>260</v>
      </c>
      <c r="P566" t="s">
        <v>261</v>
      </c>
      <c r="Q566">
        <v>4500</v>
      </c>
      <c r="R566">
        <v>8</v>
      </c>
      <c r="S566">
        <v>36000</v>
      </c>
      <c r="T566">
        <v>0</v>
      </c>
      <c r="U566">
        <v>0</v>
      </c>
      <c r="V566">
        <v>8</v>
      </c>
      <c r="W566">
        <v>36000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 spans="1:29">
      <c r="A567">
        <v>1085</v>
      </c>
      <c r="B567" t="s">
        <v>149</v>
      </c>
      <c r="C567">
        <v>1550</v>
      </c>
      <c r="D567" t="s">
        <v>337</v>
      </c>
      <c r="F567" t="s">
        <v>15</v>
      </c>
      <c r="G567" t="s">
        <v>193</v>
      </c>
      <c r="H567" t="s">
        <v>151</v>
      </c>
      <c r="I567" t="s">
        <v>5</v>
      </c>
      <c r="J567" t="s">
        <v>152</v>
      </c>
      <c r="K567" t="s">
        <v>153</v>
      </c>
      <c r="L567">
        <v>251200609</v>
      </c>
      <c r="M567" s="84">
        <v>46012</v>
      </c>
      <c r="N567" s="84">
        <v>46012</v>
      </c>
      <c r="O567" t="s">
        <v>191</v>
      </c>
      <c r="P567" t="s">
        <v>192</v>
      </c>
      <c r="Q567">
        <v>4500</v>
      </c>
      <c r="R567">
        <v>24</v>
      </c>
      <c r="S567">
        <v>108000</v>
      </c>
      <c r="T567">
        <v>0</v>
      </c>
      <c r="U567">
        <v>0</v>
      </c>
      <c r="V567">
        <v>24</v>
      </c>
      <c r="W567">
        <v>108000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 spans="1:29">
      <c r="A568">
        <v>1086</v>
      </c>
      <c r="B568" t="s">
        <v>149</v>
      </c>
      <c r="C568">
        <v>1326</v>
      </c>
      <c r="D568" t="s">
        <v>338</v>
      </c>
      <c r="F568" t="s">
        <v>15</v>
      </c>
      <c r="G568" t="s">
        <v>193</v>
      </c>
      <c r="H568" t="s">
        <v>151</v>
      </c>
      <c r="I568" t="s">
        <v>5</v>
      </c>
      <c r="J568" t="s">
        <v>152</v>
      </c>
      <c r="K568" t="s">
        <v>153</v>
      </c>
      <c r="L568">
        <v>251200610</v>
      </c>
      <c r="M568" s="84">
        <v>46012</v>
      </c>
      <c r="N568" s="84">
        <v>46012</v>
      </c>
      <c r="O568" t="s">
        <v>191</v>
      </c>
      <c r="P568" t="s">
        <v>192</v>
      </c>
      <c r="Q568">
        <v>4500</v>
      </c>
      <c r="R568">
        <v>120</v>
      </c>
      <c r="S568">
        <v>540000</v>
      </c>
      <c r="T568">
        <v>0</v>
      </c>
      <c r="U568">
        <v>0</v>
      </c>
      <c r="V568">
        <v>120</v>
      </c>
      <c r="W568">
        <v>540000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 spans="1:29">
      <c r="A569">
        <v>1087</v>
      </c>
      <c r="B569" t="s">
        <v>149</v>
      </c>
      <c r="C569">
        <v>1312</v>
      </c>
      <c r="D569" t="s">
        <v>359</v>
      </c>
      <c r="F569" t="s">
        <v>15</v>
      </c>
      <c r="G569" t="s">
        <v>193</v>
      </c>
      <c r="H569" t="s">
        <v>151</v>
      </c>
      <c r="I569" t="s">
        <v>5</v>
      </c>
      <c r="J569" t="s">
        <v>152</v>
      </c>
      <c r="K569" t="s">
        <v>153</v>
      </c>
      <c r="L569">
        <v>251200611</v>
      </c>
      <c r="M569" s="84">
        <v>46012</v>
      </c>
      <c r="N569" s="84">
        <v>46012</v>
      </c>
      <c r="O569" t="s">
        <v>360</v>
      </c>
      <c r="P569" t="s">
        <v>361</v>
      </c>
      <c r="Q569">
        <v>4500</v>
      </c>
      <c r="R569">
        <v>20</v>
      </c>
      <c r="S569">
        <v>90000</v>
      </c>
      <c r="T569">
        <v>0</v>
      </c>
      <c r="U569">
        <v>0</v>
      </c>
      <c r="V569">
        <v>20</v>
      </c>
      <c r="W569">
        <v>90000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</row>
    <row r="570" spans="1:29">
      <c r="A570">
        <v>1088</v>
      </c>
      <c r="B570" t="s">
        <v>149</v>
      </c>
      <c r="C570">
        <v>1550</v>
      </c>
      <c r="D570" t="s">
        <v>337</v>
      </c>
      <c r="F570" t="s">
        <v>15</v>
      </c>
      <c r="G570" t="s">
        <v>193</v>
      </c>
      <c r="H570" t="s">
        <v>151</v>
      </c>
      <c r="I570" t="s">
        <v>4</v>
      </c>
      <c r="J570" t="s">
        <v>152</v>
      </c>
      <c r="K570" t="s">
        <v>153</v>
      </c>
      <c r="L570">
        <v>251200612</v>
      </c>
      <c r="M570" s="84">
        <v>46012</v>
      </c>
      <c r="N570" s="84">
        <v>46012</v>
      </c>
      <c r="O570" t="s">
        <v>206</v>
      </c>
      <c r="P570" t="s">
        <v>207</v>
      </c>
      <c r="Q570">
        <v>5500</v>
      </c>
      <c r="R570">
        <v>5</v>
      </c>
      <c r="S570">
        <v>27500</v>
      </c>
      <c r="T570">
        <v>0</v>
      </c>
      <c r="U570">
        <v>0</v>
      </c>
      <c r="V570">
        <v>5</v>
      </c>
      <c r="W570">
        <v>27500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</row>
    <row r="571" spans="1:29">
      <c r="A571">
        <v>1089</v>
      </c>
      <c r="B571" t="s">
        <v>149</v>
      </c>
      <c r="C571">
        <v>1550</v>
      </c>
      <c r="D571" t="s">
        <v>337</v>
      </c>
      <c r="F571" t="s">
        <v>15</v>
      </c>
      <c r="G571" t="s">
        <v>193</v>
      </c>
      <c r="H571" t="s">
        <v>151</v>
      </c>
      <c r="I571" t="s">
        <v>5</v>
      </c>
      <c r="J571" t="s">
        <v>152</v>
      </c>
      <c r="K571" t="s">
        <v>153</v>
      </c>
      <c r="L571">
        <v>251200612</v>
      </c>
      <c r="M571" s="84">
        <v>46012</v>
      </c>
      <c r="N571" s="84">
        <v>46012</v>
      </c>
      <c r="O571" t="s">
        <v>194</v>
      </c>
      <c r="P571" t="s">
        <v>195</v>
      </c>
      <c r="Q571">
        <v>4500</v>
      </c>
      <c r="R571">
        <v>4</v>
      </c>
      <c r="S571">
        <v>18000</v>
      </c>
      <c r="T571">
        <v>0</v>
      </c>
      <c r="U571">
        <v>0</v>
      </c>
      <c r="V571">
        <v>4</v>
      </c>
      <c r="W571">
        <v>18000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</row>
    <row r="572" spans="1:29">
      <c r="A572">
        <v>1090</v>
      </c>
      <c r="B572" t="s">
        <v>149</v>
      </c>
      <c r="C572">
        <v>1550</v>
      </c>
      <c r="D572" t="s">
        <v>337</v>
      </c>
      <c r="F572" t="s">
        <v>15</v>
      </c>
      <c r="G572" t="s">
        <v>193</v>
      </c>
      <c r="H572" t="s">
        <v>151</v>
      </c>
      <c r="I572" t="s">
        <v>5</v>
      </c>
      <c r="J572" t="s">
        <v>152</v>
      </c>
      <c r="K572" t="s">
        <v>153</v>
      </c>
      <c r="L572">
        <v>251200612</v>
      </c>
      <c r="M572" s="84">
        <v>46012</v>
      </c>
      <c r="N572" s="84">
        <v>46012</v>
      </c>
      <c r="O572" t="s">
        <v>260</v>
      </c>
      <c r="P572" t="s">
        <v>261</v>
      </c>
      <c r="Q572">
        <v>4500</v>
      </c>
      <c r="R572">
        <v>8</v>
      </c>
      <c r="S572">
        <v>36000</v>
      </c>
      <c r="T572">
        <v>0</v>
      </c>
      <c r="U572">
        <v>0</v>
      </c>
      <c r="V572">
        <v>8</v>
      </c>
      <c r="W572">
        <v>36000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</row>
    <row r="573" spans="1:29">
      <c r="A573">
        <v>1091</v>
      </c>
      <c r="B573" t="s">
        <v>149</v>
      </c>
      <c r="C573">
        <v>1550</v>
      </c>
      <c r="D573" t="s">
        <v>337</v>
      </c>
      <c r="F573" t="s">
        <v>15</v>
      </c>
      <c r="G573" t="s">
        <v>193</v>
      </c>
      <c r="H573" t="s">
        <v>151</v>
      </c>
      <c r="I573" t="s">
        <v>5</v>
      </c>
      <c r="J573" t="s">
        <v>152</v>
      </c>
      <c r="K573" t="s">
        <v>153</v>
      </c>
      <c r="L573">
        <v>251200612</v>
      </c>
      <c r="M573" s="84">
        <v>46012</v>
      </c>
      <c r="N573" s="84">
        <v>46012</v>
      </c>
      <c r="O573" t="s">
        <v>191</v>
      </c>
      <c r="P573" t="s">
        <v>192</v>
      </c>
      <c r="Q573">
        <v>4500</v>
      </c>
      <c r="R573">
        <v>23</v>
      </c>
      <c r="S573">
        <v>103500</v>
      </c>
      <c r="T573">
        <v>0</v>
      </c>
      <c r="U573">
        <v>0</v>
      </c>
      <c r="V573">
        <v>23</v>
      </c>
      <c r="W573">
        <v>103500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</row>
    <row r="574" spans="1:29">
      <c r="A574">
        <v>1094</v>
      </c>
      <c r="B574" t="s">
        <v>149</v>
      </c>
      <c r="C574">
        <v>1292</v>
      </c>
      <c r="D574" t="s">
        <v>336</v>
      </c>
      <c r="F574" t="s">
        <v>73</v>
      </c>
      <c r="G574" t="s">
        <v>185</v>
      </c>
      <c r="H574" t="s">
        <v>151</v>
      </c>
      <c r="I574" t="s">
        <v>4</v>
      </c>
      <c r="J574" t="s">
        <v>152</v>
      </c>
      <c r="K574" t="s">
        <v>153</v>
      </c>
      <c r="L574">
        <v>251200614</v>
      </c>
      <c r="M574" s="84">
        <v>46012</v>
      </c>
      <c r="N574" s="84">
        <v>46012</v>
      </c>
      <c r="O574" t="s">
        <v>243</v>
      </c>
      <c r="P574" t="s">
        <v>244</v>
      </c>
      <c r="Q574">
        <v>5700</v>
      </c>
      <c r="R574">
        <v>10</v>
      </c>
      <c r="S574">
        <v>57000</v>
      </c>
      <c r="T574">
        <v>0</v>
      </c>
      <c r="U574">
        <v>0</v>
      </c>
      <c r="V574">
        <v>10</v>
      </c>
      <c r="W574">
        <v>57000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 spans="1:29">
      <c r="A575">
        <v>1099</v>
      </c>
      <c r="B575" t="s">
        <v>149</v>
      </c>
      <c r="C575">
        <v>1331</v>
      </c>
      <c r="D575" t="s">
        <v>366</v>
      </c>
      <c r="F575" t="s">
        <v>28</v>
      </c>
      <c r="G575" t="s">
        <v>164</v>
      </c>
      <c r="H575" t="s">
        <v>151</v>
      </c>
      <c r="I575" t="s">
        <v>5</v>
      </c>
      <c r="J575" t="s">
        <v>152</v>
      </c>
      <c r="K575" t="s">
        <v>153</v>
      </c>
      <c r="L575">
        <v>251200618</v>
      </c>
      <c r="M575" s="84">
        <v>46012</v>
      </c>
      <c r="N575" s="84">
        <v>46012</v>
      </c>
      <c r="O575" t="s">
        <v>279</v>
      </c>
      <c r="P575" t="s">
        <v>280</v>
      </c>
      <c r="Q575">
        <v>4500</v>
      </c>
      <c r="R575">
        <v>100</v>
      </c>
      <c r="S575">
        <v>450000</v>
      </c>
      <c r="T575">
        <v>0</v>
      </c>
      <c r="U575">
        <v>0</v>
      </c>
      <c r="V575">
        <v>100</v>
      </c>
      <c r="W575">
        <v>450000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 spans="1:29">
      <c r="A576">
        <v>1100</v>
      </c>
      <c r="B576" t="s">
        <v>149</v>
      </c>
      <c r="C576">
        <v>1331</v>
      </c>
      <c r="D576" t="s">
        <v>366</v>
      </c>
      <c r="F576" t="s">
        <v>28</v>
      </c>
      <c r="G576" t="s">
        <v>164</v>
      </c>
      <c r="H576" t="s">
        <v>151</v>
      </c>
      <c r="I576" t="s">
        <v>5</v>
      </c>
      <c r="J576" t="s">
        <v>152</v>
      </c>
      <c r="K576" t="s">
        <v>153</v>
      </c>
      <c r="L576">
        <v>251200619</v>
      </c>
      <c r="M576" s="84">
        <v>46012</v>
      </c>
      <c r="N576" s="84">
        <v>46012</v>
      </c>
      <c r="O576" t="s">
        <v>260</v>
      </c>
      <c r="P576" t="s">
        <v>261</v>
      </c>
      <c r="Q576">
        <v>4500</v>
      </c>
      <c r="R576">
        <v>12</v>
      </c>
      <c r="S576">
        <v>54000</v>
      </c>
      <c r="T576">
        <v>0</v>
      </c>
      <c r="U576">
        <v>0</v>
      </c>
      <c r="V576">
        <v>12</v>
      </c>
      <c r="W576">
        <v>54000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</row>
    <row r="577" spans="1:29">
      <c r="A577">
        <v>1102</v>
      </c>
      <c r="B577" t="s">
        <v>149</v>
      </c>
      <c r="C577">
        <v>1562</v>
      </c>
      <c r="D577" t="s">
        <v>325</v>
      </c>
      <c r="F577" t="s">
        <v>10</v>
      </c>
      <c r="G577" t="s">
        <v>172</v>
      </c>
      <c r="H577" t="s">
        <v>157</v>
      </c>
      <c r="I577" t="s">
        <v>4</v>
      </c>
      <c r="J577" t="s">
        <v>152</v>
      </c>
      <c r="K577" t="s">
        <v>174</v>
      </c>
      <c r="L577">
        <v>251200621</v>
      </c>
      <c r="M577" s="84">
        <v>46012</v>
      </c>
      <c r="N577" s="84">
        <v>46012</v>
      </c>
      <c r="O577" t="s">
        <v>321</v>
      </c>
      <c r="P577" t="s">
        <v>322</v>
      </c>
      <c r="Q577">
        <v>5500</v>
      </c>
      <c r="R577">
        <v>5</v>
      </c>
      <c r="S577">
        <v>27500</v>
      </c>
      <c r="T577">
        <v>0</v>
      </c>
      <c r="U577">
        <v>0</v>
      </c>
      <c r="V577">
        <v>5</v>
      </c>
      <c r="W577">
        <v>27500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 spans="1:29">
      <c r="A578">
        <v>1103</v>
      </c>
      <c r="B578" t="s">
        <v>149</v>
      </c>
      <c r="C578">
        <v>1575</v>
      </c>
      <c r="D578" t="s">
        <v>372</v>
      </c>
      <c r="F578" t="s">
        <v>10</v>
      </c>
      <c r="G578" t="s">
        <v>172</v>
      </c>
      <c r="H578" t="s">
        <v>157</v>
      </c>
      <c r="I578" t="s">
        <v>4</v>
      </c>
      <c r="J578" t="s">
        <v>152</v>
      </c>
      <c r="K578" t="s">
        <v>174</v>
      </c>
      <c r="L578">
        <v>251200622</v>
      </c>
      <c r="M578" s="84">
        <v>46012</v>
      </c>
      <c r="N578" s="84">
        <v>46012</v>
      </c>
      <c r="O578" t="s">
        <v>168</v>
      </c>
      <c r="P578" t="s">
        <v>169</v>
      </c>
      <c r="Q578">
        <v>5500</v>
      </c>
      <c r="R578">
        <v>5</v>
      </c>
      <c r="S578">
        <v>27500</v>
      </c>
      <c r="T578">
        <v>0</v>
      </c>
      <c r="U578">
        <v>0</v>
      </c>
      <c r="V578">
        <v>5</v>
      </c>
      <c r="W578">
        <v>27500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</row>
    <row r="579" spans="1:29">
      <c r="A579">
        <v>1104</v>
      </c>
      <c r="B579" t="s">
        <v>149</v>
      </c>
      <c r="C579">
        <v>1575</v>
      </c>
      <c r="D579" t="s">
        <v>372</v>
      </c>
      <c r="F579" t="s">
        <v>10</v>
      </c>
      <c r="G579" t="s">
        <v>172</v>
      </c>
      <c r="H579" t="s">
        <v>157</v>
      </c>
      <c r="I579" t="s">
        <v>4</v>
      </c>
      <c r="J579" t="s">
        <v>152</v>
      </c>
      <c r="K579" t="s">
        <v>174</v>
      </c>
      <c r="L579">
        <v>251200622</v>
      </c>
      <c r="M579" s="84">
        <v>46012</v>
      </c>
      <c r="N579" s="84">
        <v>46012</v>
      </c>
      <c r="O579" t="s">
        <v>262</v>
      </c>
      <c r="P579" t="s">
        <v>263</v>
      </c>
      <c r="Q579">
        <v>5500</v>
      </c>
      <c r="R579">
        <v>1</v>
      </c>
      <c r="S579">
        <v>5500</v>
      </c>
      <c r="T579">
        <v>0</v>
      </c>
      <c r="U579">
        <v>0</v>
      </c>
      <c r="V579">
        <v>1</v>
      </c>
      <c r="W579">
        <v>5500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 spans="1:29">
      <c r="A580">
        <v>1105</v>
      </c>
      <c r="B580" t="s">
        <v>149</v>
      </c>
      <c r="C580">
        <v>1438</v>
      </c>
      <c r="D580" t="s">
        <v>320</v>
      </c>
      <c r="F580" t="s">
        <v>171</v>
      </c>
      <c r="G580" t="s">
        <v>172</v>
      </c>
      <c r="H580" t="s">
        <v>157</v>
      </c>
      <c r="I580" t="s">
        <v>4</v>
      </c>
      <c r="J580" t="s">
        <v>152</v>
      </c>
      <c r="K580" t="s">
        <v>174</v>
      </c>
      <c r="L580">
        <v>251200623</v>
      </c>
      <c r="M580" s="84">
        <v>46012</v>
      </c>
      <c r="N580" s="84">
        <v>46012</v>
      </c>
      <c r="O580" t="s">
        <v>321</v>
      </c>
      <c r="P580" t="s">
        <v>322</v>
      </c>
      <c r="Q580">
        <v>5500</v>
      </c>
      <c r="R580">
        <v>10</v>
      </c>
      <c r="S580">
        <v>55000</v>
      </c>
      <c r="T580">
        <v>0</v>
      </c>
      <c r="U580">
        <v>0</v>
      </c>
      <c r="V580">
        <v>10</v>
      </c>
      <c r="W580">
        <v>55000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1:29">
      <c r="A581">
        <v>1106</v>
      </c>
      <c r="B581" t="s">
        <v>149</v>
      </c>
      <c r="C581">
        <v>1315</v>
      </c>
      <c r="D581" t="s">
        <v>392</v>
      </c>
      <c r="F581" t="s">
        <v>86</v>
      </c>
      <c r="G581" t="s">
        <v>156</v>
      </c>
      <c r="H581" t="s">
        <v>157</v>
      </c>
      <c r="I581" t="s">
        <v>4</v>
      </c>
      <c r="J581" t="s">
        <v>152</v>
      </c>
      <c r="K581" t="s">
        <v>159</v>
      </c>
      <c r="L581">
        <v>251200624</v>
      </c>
      <c r="M581" s="84">
        <v>46012</v>
      </c>
      <c r="N581" s="84">
        <v>46012</v>
      </c>
      <c r="O581" t="s">
        <v>294</v>
      </c>
      <c r="P581" t="s">
        <v>295</v>
      </c>
      <c r="Q581">
        <v>5500</v>
      </c>
      <c r="R581">
        <v>10</v>
      </c>
      <c r="S581">
        <v>55000</v>
      </c>
      <c r="T581">
        <v>0</v>
      </c>
      <c r="U581">
        <v>0</v>
      </c>
      <c r="V581">
        <v>10</v>
      </c>
      <c r="W581">
        <v>55000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</row>
    <row r="582" spans="1:29">
      <c r="A582">
        <v>1107</v>
      </c>
      <c r="B582" t="s">
        <v>149</v>
      </c>
      <c r="C582">
        <v>1484</v>
      </c>
      <c r="D582" t="s">
        <v>331</v>
      </c>
      <c r="F582" t="s">
        <v>71</v>
      </c>
      <c r="G582" t="s">
        <v>305</v>
      </c>
      <c r="H582" t="s">
        <v>157</v>
      </c>
      <c r="I582" t="s">
        <v>4</v>
      </c>
      <c r="J582" t="s">
        <v>152</v>
      </c>
      <c r="K582" t="s">
        <v>174</v>
      </c>
      <c r="L582">
        <v>251200625</v>
      </c>
      <c r="M582" s="84">
        <v>46012</v>
      </c>
      <c r="N582" s="84">
        <v>46012</v>
      </c>
      <c r="O582" t="s">
        <v>243</v>
      </c>
      <c r="P582" t="s">
        <v>244</v>
      </c>
      <c r="Q582">
        <v>5700</v>
      </c>
      <c r="R582">
        <v>2</v>
      </c>
      <c r="S582">
        <v>11400</v>
      </c>
      <c r="T582">
        <v>0</v>
      </c>
      <c r="U582">
        <v>0</v>
      </c>
      <c r="V582">
        <v>2</v>
      </c>
      <c r="W582">
        <v>11400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</row>
    <row r="583" spans="1:29">
      <c r="A583">
        <v>1109</v>
      </c>
      <c r="B583" t="s">
        <v>149</v>
      </c>
      <c r="C583">
        <v>1520</v>
      </c>
      <c r="D583" t="s">
        <v>333</v>
      </c>
      <c r="F583" t="s">
        <v>38</v>
      </c>
      <c r="G583" t="s">
        <v>202</v>
      </c>
      <c r="H583" t="s">
        <v>157</v>
      </c>
      <c r="I583" t="s">
        <v>4</v>
      </c>
      <c r="J583" t="s">
        <v>152</v>
      </c>
      <c r="K583" t="s">
        <v>203</v>
      </c>
      <c r="L583">
        <v>251200627</v>
      </c>
      <c r="M583" s="84">
        <v>46012</v>
      </c>
      <c r="N583" s="84">
        <v>46012</v>
      </c>
      <c r="O583" t="s">
        <v>290</v>
      </c>
      <c r="P583" t="s">
        <v>291</v>
      </c>
      <c r="Q583">
        <v>5500</v>
      </c>
      <c r="R583">
        <v>10</v>
      </c>
      <c r="S583">
        <v>55000</v>
      </c>
      <c r="T583">
        <v>0</v>
      </c>
      <c r="U583">
        <v>0</v>
      </c>
      <c r="V583">
        <v>10</v>
      </c>
      <c r="W583">
        <v>55000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 spans="1:29">
      <c r="A584">
        <v>1110</v>
      </c>
      <c r="B584" t="s">
        <v>149</v>
      </c>
      <c r="C584">
        <v>1520</v>
      </c>
      <c r="D584" t="s">
        <v>333</v>
      </c>
      <c r="F584" t="s">
        <v>38</v>
      </c>
      <c r="G584" t="s">
        <v>202</v>
      </c>
      <c r="H584" t="s">
        <v>157</v>
      </c>
      <c r="I584" t="s">
        <v>4</v>
      </c>
      <c r="J584" t="s">
        <v>152</v>
      </c>
      <c r="K584" t="s">
        <v>203</v>
      </c>
      <c r="L584">
        <v>251200627</v>
      </c>
      <c r="M584" s="84">
        <v>46012</v>
      </c>
      <c r="N584" s="84">
        <v>46012</v>
      </c>
      <c r="O584" t="s">
        <v>177</v>
      </c>
      <c r="P584" t="s">
        <v>178</v>
      </c>
      <c r="Q584">
        <v>5500</v>
      </c>
      <c r="R584">
        <v>10</v>
      </c>
      <c r="S584">
        <v>55000</v>
      </c>
      <c r="T584">
        <v>0</v>
      </c>
      <c r="U584">
        <v>0</v>
      </c>
      <c r="V584">
        <v>10</v>
      </c>
      <c r="W584">
        <v>55000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</row>
    <row r="585" spans="1:29">
      <c r="A585">
        <v>1112</v>
      </c>
      <c r="B585" t="s">
        <v>149</v>
      </c>
      <c r="C585">
        <v>1468</v>
      </c>
      <c r="D585" t="s">
        <v>342</v>
      </c>
      <c r="F585" t="s">
        <v>7</v>
      </c>
      <c r="G585" t="s">
        <v>156</v>
      </c>
      <c r="H585" t="s">
        <v>157</v>
      </c>
      <c r="I585" t="s">
        <v>5</v>
      </c>
      <c r="J585" t="s">
        <v>152</v>
      </c>
      <c r="K585" t="s">
        <v>159</v>
      </c>
      <c r="L585">
        <v>251200629</v>
      </c>
      <c r="M585" s="84">
        <v>46012</v>
      </c>
      <c r="N585" s="84">
        <v>46012</v>
      </c>
      <c r="O585" t="s">
        <v>397</v>
      </c>
      <c r="P585" t="s">
        <v>398</v>
      </c>
      <c r="Q585">
        <v>3000</v>
      </c>
      <c r="R585">
        <v>5</v>
      </c>
      <c r="S585">
        <v>15000</v>
      </c>
      <c r="T585">
        <v>0</v>
      </c>
      <c r="U585">
        <v>0</v>
      </c>
      <c r="V585">
        <v>5</v>
      </c>
      <c r="W585">
        <v>15000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 spans="1:29">
      <c r="A586">
        <v>1113</v>
      </c>
      <c r="B586" t="s">
        <v>149</v>
      </c>
      <c r="C586">
        <v>1468</v>
      </c>
      <c r="D586" t="s">
        <v>342</v>
      </c>
      <c r="F586" t="s">
        <v>7</v>
      </c>
      <c r="G586" t="s">
        <v>156</v>
      </c>
      <c r="H586" t="s">
        <v>157</v>
      </c>
      <c r="I586" t="s">
        <v>5</v>
      </c>
      <c r="J586" t="s">
        <v>152</v>
      </c>
      <c r="K586" t="s">
        <v>159</v>
      </c>
      <c r="L586">
        <v>251200629</v>
      </c>
      <c r="M586" s="84">
        <v>46012</v>
      </c>
      <c r="N586" s="84">
        <v>46012</v>
      </c>
      <c r="O586" t="s">
        <v>269</v>
      </c>
      <c r="P586" t="s">
        <v>270</v>
      </c>
      <c r="Q586">
        <v>3000</v>
      </c>
      <c r="R586">
        <v>20</v>
      </c>
      <c r="S586">
        <v>60000</v>
      </c>
      <c r="T586">
        <v>0</v>
      </c>
      <c r="U586">
        <v>0</v>
      </c>
      <c r="V586">
        <v>20</v>
      </c>
      <c r="W586">
        <v>60000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</row>
    <row r="587" spans="1:29">
      <c r="A587">
        <v>1114</v>
      </c>
      <c r="B587" t="s">
        <v>149</v>
      </c>
      <c r="C587">
        <v>1566</v>
      </c>
      <c r="D587" t="s">
        <v>376</v>
      </c>
      <c r="F587" t="s">
        <v>91</v>
      </c>
      <c r="G587" t="s">
        <v>202</v>
      </c>
      <c r="H587" t="s">
        <v>157</v>
      </c>
      <c r="I587" t="s">
        <v>4</v>
      </c>
      <c r="J587" t="s">
        <v>152</v>
      </c>
      <c r="K587" t="s">
        <v>159</v>
      </c>
      <c r="L587">
        <v>251200630</v>
      </c>
      <c r="M587" s="84">
        <v>46012</v>
      </c>
      <c r="N587" s="84">
        <v>46012</v>
      </c>
      <c r="O587" t="s">
        <v>256</v>
      </c>
      <c r="P587" t="s">
        <v>257</v>
      </c>
      <c r="Q587">
        <v>5500</v>
      </c>
      <c r="R587">
        <v>10</v>
      </c>
      <c r="S587">
        <v>55000</v>
      </c>
      <c r="T587">
        <v>0</v>
      </c>
      <c r="U587">
        <v>0</v>
      </c>
      <c r="V587">
        <v>10</v>
      </c>
      <c r="W587">
        <v>55000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</row>
    <row r="588" spans="1:29">
      <c r="A588">
        <v>1115</v>
      </c>
      <c r="B588" t="s">
        <v>149</v>
      </c>
      <c r="C588">
        <v>1566</v>
      </c>
      <c r="D588" t="s">
        <v>376</v>
      </c>
      <c r="F588" t="s">
        <v>91</v>
      </c>
      <c r="G588" t="s">
        <v>202</v>
      </c>
      <c r="H588" t="s">
        <v>157</v>
      </c>
      <c r="I588" t="s">
        <v>4</v>
      </c>
      <c r="J588" t="s">
        <v>152</v>
      </c>
      <c r="K588" t="s">
        <v>159</v>
      </c>
      <c r="L588">
        <v>251200630</v>
      </c>
      <c r="M588" s="84">
        <v>46012</v>
      </c>
      <c r="N588" s="84">
        <v>46012</v>
      </c>
      <c r="O588" t="s">
        <v>248</v>
      </c>
      <c r="P588" t="s">
        <v>249</v>
      </c>
      <c r="Q588">
        <v>5500</v>
      </c>
      <c r="R588">
        <v>30</v>
      </c>
      <c r="S588">
        <v>165000</v>
      </c>
      <c r="T588">
        <v>0</v>
      </c>
      <c r="U588">
        <v>0</v>
      </c>
      <c r="V588">
        <v>30</v>
      </c>
      <c r="W588">
        <v>165000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</row>
    <row r="589" spans="1:29">
      <c r="A589">
        <v>1116</v>
      </c>
      <c r="B589" t="s">
        <v>149</v>
      </c>
      <c r="C589">
        <v>1563</v>
      </c>
      <c r="D589" t="s">
        <v>348</v>
      </c>
      <c r="F589" t="s">
        <v>91</v>
      </c>
      <c r="G589" t="s">
        <v>202</v>
      </c>
      <c r="H589" t="s">
        <v>157</v>
      </c>
      <c r="I589" t="s">
        <v>4</v>
      </c>
      <c r="J589" t="s">
        <v>152</v>
      </c>
      <c r="K589" t="s">
        <v>159</v>
      </c>
      <c r="L589">
        <v>251200631</v>
      </c>
      <c r="M589" s="84">
        <v>46012</v>
      </c>
      <c r="N589" s="84">
        <v>46012</v>
      </c>
      <c r="O589" t="s">
        <v>223</v>
      </c>
      <c r="P589" t="s">
        <v>224</v>
      </c>
      <c r="Q589">
        <v>5500</v>
      </c>
      <c r="R589">
        <v>10</v>
      </c>
      <c r="S589">
        <v>55000</v>
      </c>
      <c r="T589">
        <v>0</v>
      </c>
      <c r="U589">
        <v>0</v>
      </c>
      <c r="V589">
        <v>10</v>
      </c>
      <c r="W589">
        <v>55000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 spans="1:29">
      <c r="A590">
        <v>1117</v>
      </c>
      <c r="B590" t="s">
        <v>149</v>
      </c>
      <c r="C590">
        <v>1300</v>
      </c>
      <c r="D590" t="s">
        <v>335</v>
      </c>
      <c r="F590" t="s">
        <v>83</v>
      </c>
      <c r="G590" t="s">
        <v>164</v>
      </c>
      <c r="H590" t="s">
        <v>151</v>
      </c>
      <c r="I590" t="s">
        <v>5</v>
      </c>
      <c r="J590" t="s">
        <v>152</v>
      </c>
      <c r="K590" t="s">
        <v>153</v>
      </c>
      <c r="L590">
        <v>251200632</v>
      </c>
      <c r="M590" s="84">
        <v>46012</v>
      </c>
      <c r="N590" s="84">
        <v>46012</v>
      </c>
      <c r="O590" t="s">
        <v>191</v>
      </c>
      <c r="P590" t="s">
        <v>192</v>
      </c>
      <c r="Q590">
        <v>4500</v>
      </c>
      <c r="R590">
        <v>16</v>
      </c>
      <c r="S590">
        <v>72000</v>
      </c>
      <c r="T590">
        <v>0</v>
      </c>
      <c r="U590">
        <v>0</v>
      </c>
      <c r="V590">
        <v>16</v>
      </c>
      <c r="W590">
        <v>72000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 spans="1:29">
      <c r="A591">
        <v>1118</v>
      </c>
      <c r="B591" t="s">
        <v>149</v>
      </c>
      <c r="C591">
        <v>1553</v>
      </c>
      <c r="D591" t="s">
        <v>317</v>
      </c>
      <c r="F591" t="s">
        <v>43</v>
      </c>
      <c r="G591" t="s">
        <v>150</v>
      </c>
      <c r="H591" t="s">
        <v>151</v>
      </c>
      <c r="I591" t="s">
        <v>4</v>
      </c>
      <c r="J591" t="s">
        <v>152</v>
      </c>
      <c r="K591" t="s">
        <v>153</v>
      </c>
      <c r="L591">
        <v>251200641</v>
      </c>
      <c r="M591" s="84">
        <v>46013</v>
      </c>
      <c r="N591" s="84">
        <v>46013</v>
      </c>
      <c r="O591" t="s">
        <v>219</v>
      </c>
      <c r="P591" t="s">
        <v>220</v>
      </c>
      <c r="Q591">
        <v>5500</v>
      </c>
      <c r="R591">
        <v>20</v>
      </c>
      <c r="S591">
        <v>110000</v>
      </c>
      <c r="T591">
        <v>0</v>
      </c>
      <c r="U591">
        <v>0</v>
      </c>
      <c r="V591">
        <v>20</v>
      </c>
      <c r="W591">
        <v>110000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 spans="1:29">
      <c r="A592">
        <v>1122</v>
      </c>
      <c r="B592" t="s">
        <v>149</v>
      </c>
      <c r="C592">
        <v>1298</v>
      </c>
      <c r="D592" t="s">
        <v>389</v>
      </c>
      <c r="F592" t="s">
        <v>83</v>
      </c>
      <c r="G592" t="s">
        <v>164</v>
      </c>
      <c r="H592" t="s">
        <v>151</v>
      </c>
      <c r="I592" t="s">
        <v>5</v>
      </c>
      <c r="J592" t="s">
        <v>152</v>
      </c>
      <c r="K592" t="s">
        <v>153</v>
      </c>
      <c r="L592">
        <v>251200643</v>
      </c>
      <c r="M592" s="84">
        <v>46013</v>
      </c>
      <c r="N592" s="84">
        <v>46013</v>
      </c>
      <c r="O592" t="s">
        <v>253</v>
      </c>
      <c r="P592" t="s">
        <v>254</v>
      </c>
      <c r="Q592">
        <v>4500</v>
      </c>
      <c r="R592">
        <v>12</v>
      </c>
      <c r="S592">
        <v>54000</v>
      </c>
      <c r="T592">
        <v>0</v>
      </c>
      <c r="U592">
        <v>0</v>
      </c>
      <c r="V592">
        <v>12</v>
      </c>
      <c r="W592">
        <v>54000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 spans="1:29">
      <c r="A593">
        <v>1123</v>
      </c>
      <c r="B593" t="s">
        <v>149</v>
      </c>
      <c r="C593">
        <v>1298</v>
      </c>
      <c r="D593" t="s">
        <v>389</v>
      </c>
      <c r="F593" t="s">
        <v>83</v>
      </c>
      <c r="G593" t="s">
        <v>164</v>
      </c>
      <c r="H593" t="s">
        <v>151</v>
      </c>
      <c r="I593" t="s">
        <v>4</v>
      </c>
      <c r="J593" t="s">
        <v>152</v>
      </c>
      <c r="K593" t="s">
        <v>153</v>
      </c>
      <c r="L593">
        <v>251200643</v>
      </c>
      <c r="M593" s="84">
        <v>46013</v>
      </c>
      <c r="N593" s="84">
        <v>46013</v>
      </c>
      <c r="O593" t="s">
        <v>162</v>
      </c>
      <c r="P593" t="s">
        <v>163</v>
      </c>
      <c r="Q593">
        <v>5500</v>
      </c>
      <c r="R593">
        <v>15</v>
      </c>
      <c r="S593">
        <v>82500</v>
      </c>
      <c r="T593">
        <v>0</v>
      </c>
      <c r="U593">
        <v>0</v>
      </c>
      <c r="V593">
        <v>15</v>
      </c>
      <c r="W593">
        <v>82500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 spans="1:29">
      <c r="A594">
        <v>1124</v>
      </c>
      <c r="B594" t="s">
        <v>400</v>
      </c>
      <c r="C594">
        <v>1603</v>
      </c>
      <c r="D594" t="s">
        <v>401</v>
      </c>
      <c r="F594" t="s">
        <v>91</v>
      </c>
      <c r="G594" t="s">
        <v>202</v>
      </c>
      <c r="H594" t="s">
        <v>157</v>
      </c>
      <c r="I594" t="s">
        <v>4</v>
      </c>
      <c r="J594" t="s">
        <v>152</v>
      </c>
      <c r="K594" t="s">
        <v>159</v>
      </c>
      <c r="L594">
        <v>251200644</v>
      </c>
      <c r="M594" s="84">
        <v>46013</v>
      </c>
      <c r="N594" s="84">
        <v>46013</v>
      </c>
      <c r="O594" t="s">
        <v>402</v>
      </c>
      <c r="P594" t="s">
        <v>403</v>
      </c>
      <c r="Q594">
        <v>5500</v>
      </c>
      <c r="R594">
        <v>2</v>
      </c>
      <c r="S594">
        <v>11000</v>
      </c>
      <c r="T594">
        <v>0</v>
      </c>
      <c r="U594">
        <v>0</v>
      </c>
      <c r="V594">
        <v>2</v>
      </c>
      <c r="W594">
        <v>11000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 spans="1:29">
      <c r="A595">
        <v>1125</v>
      </c>
      <c r="B595" t="s">
        <v>149</v>
      </c>
      <c r="C595">
        <v>1569</v>
      </c>
      <c r="D595" t="s">
        <v>329</v>
      </c>
      <c r="F595" t="s">
        <v>10</v>
      </c>
      <c r="G595" t="s">
        <v>172</v>
      </c>
      <c r="H595" t="s">
        <v>157</v>
      </c>
      <c r="I595" t="s">
        <v>4</v>
      </c>
      <c r="J595" t="s">
        <v>152</v>
      </c>
      <c r="K595" t="s">
        <v>174</v>
      </c>
      <c r="L595">
        <v>251200645</v>
      </c>
      <c r="M595" s="84">
        <v>46013</v>
      </c>
      <c r="N595" s="84">
        <v>46013</v>
      </c>
      <c r="O595" t="s">
        <v>206</v>
      </c>
      <c r="P595" t="s">
        <v>207</v>
      </c>
      <c r="Q595">
        <v>5500</v>
      </c>
      <c r="R595">
        <v>50</v>
      </c>
      <c r="S595">
        <v>275000</v>
      </c>
      <c r="T595">
        <v>0</v>
      </c>
      <c r="U595">
        <v>0</v>
      </c>
      <c r="V595">
        <v>50</v>
      </c>
      <c r="W595">
        <v>275000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 spans="1:29">
      <c r="A596">
        <v>1126</v>
      </c>
      <c r="B596" t="s">
        <v>149</v>
      </c>
      <c r="C596">
        <v>1438</v>
      </c>
      <c r="D596" t="s">
        <v>320</v>
      </c>
      <c r="F596" t="s">
        <v>171</v>
      </c>
      <c r="G596" t="s">
        <v>172</v>
      </c>
      <c r="H596" t="s">
        <v>157</v>
      </c>
      <c r="I596" t="s">
        <v>4</v>
      </c>
      <c r="J596" t="s">
        <v>152</v>
      </c>
      <c r="K596" t="s">
        <v>174</v>
      </c>
      <c r="L596">
        <v>251200646</v>
      </c>
      <c r="M596" s="84">
        <v>46013</v>
      </c>
      <c r="N596" s="84">
        <v>46013</v>
      </c>
      <c r="O596" t="s">
        <v>321</v>
      </c>
      <c r="P596" t="s">
        <v>322</v>
      </c>
      <c r="Q596">
        <v>5500</v>
      </c>
      <c r="R596">
        <v>20</v>
      </c>
      <c r="S596">
        <v>110000</v>
      </c>
      <c r="T596">
        <v>0</v>
      </c>
      <c r="U596">
        <v>0</v>
      </c>
      <c r="V596">
        <v>20</v>
      </c>
      <c r="W596">
        <v>110000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</row>
    <row r="597" spans="1:29">
      <c r="A597">
        <v>1127</v>
      </c>
      <c r="B597" t="s">
        <v>149</v>
      </c>
      <c r="C597">
        <v>1534</v>
      </c>
      <c r="D597" t="s">
        <v>371</v>
      </c>
      <c r="F597" t="s">
        <v>65</v>
      </c>
      <c r="G597" t="s">
        <v>208</v>
      </c>
      <c r="H597" t="s">
        <v>157</v>
      </c>
      <c r="I597" t="s">
        <v>4</v>
      </c>
      <c r="J597" t="s">
        <v>152</v>
      </c>
      <c r="K597" t="s">
        <v>174</v>
      </c>
      <c r="L597">
        <v>251200647</v>
      </c>
      <c r="M597" s="84">
        <v>46013</v>
      </c>
      <c r="N597" s="84">
        <v>46013</v>
      </c>
      <c r="O597" t="s">
        <v>221</v>
      </c>
      <c r="P597" t="s">
        <v>222</v>
      </c>
      <c r="Q597">
        <v>5500</v>
      </c>
      <c r="R597">
        <v>5</v>
      </c>
      <c r="S597">
        <v>27500</v>
      </c>
      <c r="T597">
        <v>0</v>
      </c>
      <c r="U597">
        <v>0</v>
      </c>
      <c r="V597">
        <v>5</v>
      </c>
      <c r="W597">
        <v>27500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</row>
    <row r="598" spans="1:29">
      <c r="A598">
        <v>1132</v>
      </c>
      <c r="B598" t="s">
        <v>149</v>
      </c>
      <c r="C598">
        <v>1596</v>
      </c>
      <c r="D598" t="s">
        <v>315</v>
      </c>
      <c r="F598" t="s">
        <v>111</v>
      </c>
      <c r="G598" t="s">
        <v>150</v>
      </c>
      <c r="H598" t="s">
        <v>151</v>
      </c>
      <c r="I598" t="s">
        <v>4</v>
      </c>
      <c r="J598" t="s">
        <v>152</v>
      </c>
      <c r="K598" t="s">
        <v>153</v>
      </c>
      <c r="L598">
        <v>251200650</v>
      </c>
      <c r="M598" s="84">
        <v>46013</v>
      </c>
      <c r="N598" s="84">
        <v>46013</v>
      </c>
      <c r="O598" t="s">
        <v>294</v>
      </c>
      <c r="P598" t="s">
        <v>295</v>
      </c>
      <c r="Q598">
        <v>5500</v>
      </c>
      <c r="R598">
        <v>20</v>
      </c>
      <c r="S598">
        <v>110000</v>
      </c>
      <c r="T598">
        <v>0</v>
      </c>
      <c r="U598">
        <v>0</v>
      </c>
      <c r="V598">
        <v>20</v>
      </c>
      <c r="W598">
        <v>110000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</row>
    <row r="599" spans="1:29">
      <c r="A599">
        <v>1133</v>
      </c>
      <c r="B599" t="s">
        <v>149</v>
      </c>
      <c r="C599">
        <v>1596</v>
      </c>
      <c r="D599" t="s">
        <v>315</v>
      </c>
      <c r="F599" t="s">
        <v>111</v>
      </c>
      <c r="G599" t="s">
        <v>150</v>
      </c>
      <c r="H599" t="s">
        <v>151</v>
      </c>
      <c r="I599" t="s">
        <v>4</v>
      </c>
      <c r="J599" t="s">
        <v>152</v>
      </c>
      <c r="K599" t="s">
        <v>153</v>
      </c>
      <c r="L599">
        <v>251200650</v>
      </c>
      <c r="M599" s="84">
        <v>46013</v>
      </c>
      <c r="N599" s="84">
        <v>46013</v>
      </c>
      <c r="O599" t="s">
        <v>248</v>
      </c>
      <c r="P599" t="s">
        <v>249</v>
      </c>
      <c r="Q599">
        <v>5500</v>
      </c>
      <c r="R599">
        <v>5</v>
      </c>
      <c r="S599">
        <v>27500</v>
      </c>
      <c r="T599">
        <v>0</v>
      </c>
      <c r="U599">
        <v>0</v>
      </c>
      <c r="V599">
        <v>5</v>
      </c>
      <c r="W599">
        <v>27500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 spans="1:29">
      <c r="A600">
        <v>1134</v>
      </c>
      <c r="B600" t="s">
        <v>149</v>
      </c>
      <c r="C600">
        <v>1596</v>
      </c>
      <c r="D600" t="s">
        <v>315</v>
      </c>
      <c r="F600" t="s">
        <v>111</v>
      </c>
      <c r="G600" t="s">
        <v>150</v>
      </c>
      <c r="H600" t="s">
        <v>151</v>
      </c>
      <c r="I600" t="s">
        <v>4</v>
      </c>
      <c r="J600" t="s">
        <v>152</v>
      </c>
      <c r="K600" t="s">
        <v>153</v>
      </c>
      <c r="L600">
        <v>251200651</v>
      </c>
      <c r="M600" s="84">
        <v>46013</v>
      </c>
      <c r="N600" s="84">
        <v>46013</v>
      </c>
      <c r="O600" t="s">
        <v>160</v>
      </c>
      <c r="P600" t="s">
        <v>161</v>
      </c>
      <c r="Q600">
        <v>5500</v>
      </c>
      <c r="R600">
        <v>15</v>
      </c>
      <c r="S600">
        <v>82500</v>
      </c>
      <c r="T600">
        <v>0</v>
      </c>
      <c r="U600">
        <v>0</v>
      </c>
      <c r="V600">
        <v>15</v>
      </c>
      <c r="W600">
        <v>82500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 spans="1:29">
      <c r="A601">
        <v>1135</v>
      </c>
      <c r="B601" t="s">
        <v>149</v>
      </c>
      <c r="C601">
        <v>1326</v>
      </c>
      <c r="D601" t="s">
        <v>338</v>
      </c>
      <c r="F601" t="s">
        <v>15</v>
      </c>
      <c r="G601" t="s">
        <v>193</v>
      </c>
      <c r="H601" t="s">
        <v>151</v>
      </c>
      <c r="I601" t="s">
        <v>5</v>
      </c>
      <c r="J601" t="s">
        <v>152</v>
      </c>
      <c r="K601" t="s">
        <v>153</v>
      </c>
      <c r="L601">
        <v>251200652</v>
      </c>
      <c r="M601" s="84">
        <v>46013</v>
      </c>
      <c r="N601" s="84">
        <v>46013</v>
      </c>
      <c r="O601" t="s">
        <v>339</v>
      </c>
      <c r="P601" t="s">
        <v>340</v>
      </c>
      <c r="Q601">
        <v>4500</v>
      </c>
      <c r="R601">
        <v>28</v>
      </c>
      <c r="S601">
        <v>126000</v>
      </c>
      <c r="T601">
        <v>0</v>
      </c>
      <c r="U601">
        <v>0</v>
      </c>
      <c r="V601">
        <v>28</v>
      </c>
      <c r="W601">
        <v>126000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</row>
    <row r="602" spans="1:29">
      <c r="A602">
        <v>1136</v>
      </c>
      <c r="B602" t="s">
        <v>149</v>
      </c>
      <c r="C602">
        <v>1312</v>
      </c>
      <c r="D602" t="s">
        <v>359</v>
      </c>
      <c r="F602" t="s">
        <v>15</v>
      </c>
      <c r="G602" t="s">
        <v>193</v>
      </c>
      <c r="H602" t="s">
        <v>151</v>
      </c>
      <c r="I602" t="s">
        <v>5</v>
      </c>
      <c r="J602" t="s">
        <v>152</v>
      </c>
      <c r="K602" t="s">
        <v>153</v>
      </c>
      <c r="L602">
        <v>251200653</v>
      </c>
      <c r="M602" s="84">
        <v>46013</v>
      </c>
      <c r="N602" s="84">
        <v>46013</v>
      </c>
      <c r="O602" t="s">
        <v>360</v>
      </c>
      <c r="P602" t="s">
        <v>361</v>
      </c>
      <c r="Q602">
        <v>4500</v>
      </c>
      <c r="R602">
        <v>40</v>
      </c>
      <c r="S602">
        <v>180000</v>
      </c>
      <c r="T602">
        <v>0</v>
      </c>
      <c r="U602">
        <v>0</v>
      </c>
      <c r="V602">
        <v>40</v>
      </c>
      <c r="W602">
        <v>180000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 spans="1:29">
      <c r="A603">
        <v>1137</v>
      </c>
      <c r="B603" t="s">
        <v>149</v>
      </c>
      <c r="C603">
        <v>1326</v>
      </c>
      <c r="D603" t="s">
        <v>338</v>
      </c>
      <c r="F603" t="s">
        <v>15</v>
      </c>
      <c r="G603" t="s">
        <v>193</v>
      </c>
      <c r="H603" t="s">
        <v>151</v>
      </c>
      <c r="I603" t="s">
        <v>5</v>
      </c>
      <c r="J603" t="s">
        <v>152</v>
      </c>
      <c r="K603" t="s">
        <v>153</v>
      </c>
      <c r="L603">
        <v>251200654</v>
      </c>
      <c r="M603" s="84">
        <v>46013</v>
      </c>
      <c r="N603" s="84">
        <v>46013</v>
      </c>
      <c r="O603" t="s">
        <v>339</v>
      </c>
      <c r="P603" t="s">
        <v>340</v>
      </c>
      <c r="Q603">
        <v>4500</v>
      </c>
      <c r="R603">
        <v>24</v>
      </c>
      <c r="S603">
        <v>108000</v>
      </c>
      <c r="T603">
        <v>0</v>
      </c>
      <c r="U603">
        <v>0</v>
      </c>
      <c r="V603">
        <v>24</v>
      </c>
      <c r="W603">
        <v>108000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</row>
    <row r="604" spans="1:29">
      <c r="A604">
        <v>1138</v>
      </c>
      <c r="B604" t="s">
        <v>149</v>
      </c>
      <c r="C604">
        <v>1550</v>
      </c>
      <c r="D604" t="s">
        <v>337</v>
      </c>
      <c r="F604" t="s">
        <v>15</v>
      </c>
      <c r="G604" t="s">
        <v>193</v>
      </c>
      <c r="H604" t="s">
        <v>151</v>
      </c>
      <c r="I604" t="s">
        <v>5</v>
      </c>
      <c r="J604" t="s">
        <v>152</v>
      </c>
      <c r="K604" t="s">
        <v>153</v>
      </c>
      <c r="L604">
        <v>251200655</v>
      </c>
      <c r="M604" s="84">
        <v>46013</v>
      </c>
      <c r="N604" s="84">
        <v>46013</v>
      </c>
      <c r="O604" t="s">
        <v>191</v>
      </c>
      <c r="P604" t="s">
        <v>192</v>
      </c>
      <c r="Q604">
        <v>4500</v>
      </c>
      <c r="R604">
        <v>1</v>
      </c>
      <c r="S604">
        <v>4500</v>
      </c>
      <c r="T604">
        <v>0</v>
      </c>
      <c r="U604">
        <v>0</v>
      </c>
      <c r="V604">
        <v>1</v>
      </c>
      <c r="W604">
        <v>4500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 spans="1:29">
      <c r="A605">
        <v>1139</v>
      </c>
      <c r="B605" t="s">
        <v>149</v>
      </c>
      <c r="C605">
        <v>1550</v>
      </c>
      <c r="D605" t="s">
        <v>337</v>
      </c>
      <c r="F605" t="s">
        <v>15</v>
      </c>
      <c r="G605" t="s">
        <v>193</v>
      </c>
      <c r="H605" t="s">
        <v>151</v>
      </c>
      <c r="I605" t="s">
        <v>4</v>
      </c>
      <c r="J605" t="s">
        <v>152</v>
      </c>
      <c r="K605" t="s">
        <v>153</v>
      </c>
      <c r="L605">
        <v>251200655</v>
      </c>
      <c r="M605" s="84">
        <v>46013</v>
      </c>
      <c r="N605" s="84">
        <v>46013</v>
      </c>
      <c r="O605" t="s">
        <v>179</v>
      </c>
      <c r="P605" t="s">
        <v>180</v>
      </c>
      <c r="Q605">
        <v>5500</v>
      </c>
      <c r="R605">
        <v>7</v>
      </c>
      <c r="S605">
        <v>38500</v>
      </c>
      <c r="T605">
        <v>0</v>
      </c>
      <c r="U605">
        <v>0</v>
      </c>
      <c r="V605">
        <v>7</v>
      </c>
      <c r="W605">
        <v>38500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29">
      <c r="A606">
        <v>1140</v>
      </c>
      <c r="B606" t="s">
        <v>149</v>
      </c>
      <c r="C606">
        <v>1594</v>
      </c>
      <c r="D606" t="s">
        <v>346</v>
      </c>
      <c r="F606" t="s">
        <v>73</v>
      </c>
      <c r="G606" t="s">
        <v>185</v>
      </c>
      <c r="H606" t="s">
        <v>151</v>
      </c>
      <c r="I606" t="s">
        <v>4</v>
      </c>
      <c r="J606" t="s">
        <v>152</v>
      </c>
      <c r="K606" t="s">
        <v>153</v>
      </c>
      <c r="L606">
        <v>251200656</v>
      </c>
      <c r="M606" s="84">
        <v>46013</v>
      </c>
      <c r="N606" s="84">
        <v>46013</v>
      </c>
      <c r="O606" t="s">
        <v>160</v>
      </c>
      <c r="P606" t="s">
        <v>161</v>
      </c>
      <c r="Q606">
        <v>5500</v>
      </c>
      <c r="R606">
        <v>4</v>
      </c>
      <c r="S606">
        <v>22000</v>
      </c>
      <c r="T606">
        <v>0</v>
      </c>
      <c r="U606">
        <v>0</v>
      </c>
      <c r="V606">
        <v>4</v>
      </c>
      <c r="W606">
        <v>22000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>
      <c r="A607">
        <v>1141</v>
      </c>
      <c r="B607" t="s">
        <v>149</v>
      </c>
      <c r="C607">
        <v>1594</v>
      </c>
      <c r="D607" t="s">
        <v>346</v>
      </c>
      <c r="F607" t="s">
        <v>73</v>
      </c>
      <c r="G607" t="s">
        <v>185</v>
      </c>
      <c r="H607" t="s">
        <v>151</v>
      </c>
      <c r="I607" t="s">
        <v>4</v>
      </c>
      <c r="J607" t="s">
        <v>152</v>
      </c>
      <c r="K607" t="s">
        <v>153</v>
      </c>
      <c r="L607">
        <v>251200656</v>
      </c>
      <c r="M607" s="84">
        <v>46013</v>
      </c>
      <c r="N607" s="84">
        <v>46013</v>
      </c>
      <c r="O607" t="s">
        <v>154</v>
      </c>
      <c r="P607" t="s">
        <v>155</v>
      </c>
      <c r="Q607">
        <v>5500</v>
      </c>
      <c r="R607">
        <v>5</v>
      </c>
      <c r="S607">
        <v>27500</v>
      </c>
      <c r="T607">
        <v>0</v>
      </c>
      <c r="U607">
        <v>0</v>
      </c>
      <c r="V607">
        <v>5</v>
      </c>
      <c r="W607">
        <v>27500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>
      <c r="A608">
        <v>1142</v>
      </c>
      <c r="B608" t="s">
        <v>149</v>
      </c>
      <c r="C608">
        <v>1471</v>
      </c>
      <c r="D608" t="s">
        <v>369</v>
      </c>
      <c r="F608" t="s">
        <v>73</v>
      </c>
      <c r="G608" t="s">
        <v>185</v>
      </c>
      <c r="H608" t="s">
        <v>151</v>
      </c>
      <c r="I608" t="s">
        <v>4</v>
      </c>
      <c r="J608" t="s">
        <v>152</v>
      </c>
      <c r="K608" t="s">
        <v>153</v>
      </c>
      <c r="L608">
        <v>251200657</v>
      </c>
      <c r="M608" s="84">
        <v>46013</v>
      </c>
      <c r="N608" s="84">
        <v>46013</v>
      </c>
      <c r="O608" t="s">
        <v>168</v>
      </c>
      <c r="P608" t="s">
        <v>169</v>
      </c>
      <c r="Q608">
        <v>5500</v>
      </c>
      <c r="R608">
        <v>8</v>
      </c>
      <c r="S608">
        <v>44000</v>
      </c>
      <c r="T608">
        <v>0</v>
      </c>
      <c r="U608">
        <v>0</v>
      </c>
      <c r="V608">
        <v>8</v>
      </c>
      <c r="W608">
        <v>44000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</row>
    <row r="609" spans="1:29">
      <c r="A609">
        <v>1143</v>
      </c>
      <c r="B609" t="s">
        <v>149</v>
      </c>
      <c r="C609">
        <v>1522</v>
      </c>
      <c r="D609" t="s">
        <v>370</v>
      </c>
      <c r="F609" t="s">
        <v>73</v>
      </c>
      <c r="G609" t="s">
        <v>185</v>
      </c>
      <c r="H609" t="s">
        <v>151</v>
      </c>
      <c r="I609" t="s">
        <v>4</v>
      </c>
      <c r="J609" t="s">
        <v>152</v>
      </c>
      <c r="K609" t="s">
        <v>153</v>
      </c>
      <c r="L609">
        <v>251200658</v>
      </c>
      <c r="M609" s="84">
        <v>46013</v>
      </c>
      <c r="N609" s="84">
        <v>46013</v>
      </c>
      <c r="O609" t="s">
        <v>168</v>
      </c>
      <c r="P609" t="s">
        <v>169</v>
      </c>
      <c r="Q609">
        <v>5500</v>
      </c>
      <c r="R609">
        <v>20</v>
      </c>
      <c r="S609">
        <v>110000</v>
      </c>
      <c r="T609">
        <v>0</v>
      </c>
      <c r="U609">
        <v>0</v>
      </c>
      <c r="V609">
        <v>20</v>
      </c>
      <c r="W609">
        <v>110000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1:29">
      <c r="A610">
        <v>1147</v>
      </c>
      <c r="B610" t="s">
        <v>149</v>
      </c>
      <c r="C610">
        <v>1468</v>
      </c>
      <c r="D610" t="s">
        <v>342</v>
      </c>
      <c r="F610" t="s">
        <v>7</v>
      </c>
      <c r="G610" t="s">
        <v>156</v>
      </c>
      <c r="H610" t="s">
        <v>157</v>
      </c>
      <c r="I610" t="s">
        <v>4</v>
      </c>
      <c r="J610" t="s">
        <v>152</v>
      </c>
      <c r="K610" t="s">
        <v>159</v>
      </c>
      <c r="L610">
        <v>251200662</v>
      </c>
      <c r="M610" s="84">
        <v>46013</v>
      </c>
      <c r="N610" s="84">
        <v>46013</v>
      </c>
      <c r="O610" t="s">
        <v>160</v>
      </c>
      <c r="P610" t="s">
        <v>161</v>
      </c>
      <c r="Q610">
        <v>5500</v>
      </c>
      <c r="R610">
        <v>40</v>
      </c>
      <c r="S610">
        <v>220000</v>
      </c>
      <c r="T610">
        <v>0</v>
      </c>
      <c r="U610">
        <v>0</v>
      </c>
      <c r="V610">
        <v>40</v>
      </c>
      <c r="W610">
        <v>220000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 spans="1:29">
      <c r="A611">
        <v>1148</v>
      </c>
      <c r="B611" t="s">
        <v>149</v>
      </c>
      <c r="C611">
        <v>1497</v>
      </c>
      <c r="D611" t="s">
        <v>364</v>
      </c>
      <c r="F611" t="s">
        <v>7</v>
      </c>
      <c r="G611" t="s">
        <v>156</v>
      </c>
      <c r="H611" t="s">
        <v>157</v>
      </c>
      <c r="I611" t="s">
        <v>4</v>
      </c>
      <c r="J611" t="s">
        <v>152</v>
      </c>
      <c r="K611" t="s">
        <v>159</v>
      </c>
      <c r="L611">
        <v>251200663</v>
      </c>
      <c r="M611" s="84">
        <v>46013</v>
      </c>
      <c r="N611" s="84">
        <v>46013</v>
      </c>
      <c r="O611" t="s">
        <v>248</v>
      </c>
      <c r="P611" t="s">
        <v>249</v>
      </c>
      <c r="Q611">
        <v>5500</v>
      </c>
      <c r="R611">
        <v>30</v>
      </c>
      <c r="S611">
        <v>165000</v>
      </c>
      <c r="T611">
        <v>0</v>
      </c>
      <c r="U611">
        <v>0</v>
      </c>
      <c r="V611">
        <v>30</v>
      </c>
      <c r="W611">
        <v>165000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 spans="1:29">
      <c r="A612">
        <v>1149</v>
      </c>
      <c r="B612" t="s">
        <v>149</v>
      </c>
      <c r="C612">
        <v>1497</v>
      </c>
      <c r="D612" t="s">
        <v>364</v>
      </c>
      <c r="F612" t="s">
        <v>7</v>
      </c>
      <c r="G612" t="s">
        <v>156</v>
      </c>
      <c r="H612" t="s">
        <v>157</v>
      </c>
      <c r="I612" t="s">
        <v>4</v>
      </c>
      <c r="J612" t="s">
        <v>152</v>
      </c>
      <c r="K612" t="s">
        <v>159</v>
      </c>
      <c r="L612">
        <v>251200664</v>
      </c>
      <c r="M612" s="84">
        <v>46013</v>
      </c>
      <c r="N612" s="84">
        <v>46013</v>
      </c>
      <c r="O612" t="s">
        <v>256</v>
      </c>
      <c r="P612" t="s">
        <v>257</v>
      </c>
      <c r="Q612">
        <v>5500</v>
      </c>
      <c r="R612">
        <v>30</v>
      </c>
      <c r="S612">
        <v>165000</v>
      </c>
      <c r="T612">
        <v>0</v>
      </c>
      <c r="U612">
        <v>0</v>
      </c>
      <c r="V612">
        <v>30</v>
      </c>
      <c r="W612">
        <v>165000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 spans="1:29">
      <c r="A613">
        <v>1150</v>
      </c>
      <c r="B613" t="s">
        <v>149</v>
      </c>
      <c r="C613">
        <v>1519</v>
      </c>
      <c r="D613" t="s">
        <v>353</v>
      </c>
      <c r="F613" t="s">
        <v>111</v>
      </c>
      <c r="G613" t="s">
        <v>150</v>
      </c>
      <c r="H613" t="s">
        <v>151</v>
      </c>
      <c r="I613" t="s">
        <v>4</v>
      </c>
      <c r="J613" t="s">
        <v>152</v>
      </c>
      <c r="K613" t="s">
        <v>153</v>
      </c>
      <c r="L613">
        <v>251200665</v>
      </c>
      <c r="M613" s="84">
        <v>46013</v>
      </c>
      <c r="N613" s="84">
        <v>46013</v>
      </c>
      <c r="O613" t="s">
        <v>219</v>
      </c>
      <c r="P613" t="s">
        <v>220</v>
      </c>
      <c r="Q613">
        <v>5500</v>
      </c>
      <c r="R613">
        <v>8</v>
      </c>
      <c r="S613">
        <v>44000</v>
      </c>
      <c r="T613">
        <v>0</v>
      </c>
      <c r="U613">
        <v>0</v>
      </c>
      <c r="V613">
        <v>8</v>
      </c>
      <c r="W613">
        <v>44000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</row>
    <row r="614" spans="1:29">
      <c r="A614">
        <v>1151</v>
      </c>
      <c r="B614" t="s">
        <v>149</v>
      </c>
      <c r="C614">
        <v>1557</v>
      </c>
      <c r="D614" t="s">
        <v>344</v>
      </c>
      <c r="F614" t="s">
        <v>111</v>
      </c>
      <c r="G614" t="s">
        <v>150</v>
      </c>
      <c r="H614" t="s">
        <v>151</v>
      </c>
      <c r="I614" t="s">
        <v>4</v>
      </c>
      <c r="J614" t="s">
        <v>152</v>
      </c>
      <c r="K614" t="s">
        <v>153</v>
      </c>
      <c r="L614">
        <v>251200666</v>
      </c>
      <c r="M614" s="84">
        <v>46013</v>
      </c>
      <c r="N614" s="84">
        <v>46013</v>
      </c>
      <c r="O614" t="s">
        <v>160</v>
      </c>
      <c r="P614" t="s">
        <v>161</v>
      </c>
      <c r="Q614">
        <v>5500</v>
      </c>
      <c r="R614">
        <v>20</v>
      </c>
      <c r="S614">
        <v>110000</v>
      </c>
      <c r="T614">
        <v>0</v>
      </c>
      <c r="U614">
        <v>0</v>
      </c>
      <c r="V614">
        <v>20</v>
      </c>
      <c r="W614">
        <v>110000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</row>
    <row r="615" spans="1:29">
      <c r="A615">
        <v>1155</v>
      </c>
      <c r="B615" t="s">
        <v>149</v>
      </c>
      <c r="C615">
        <v>1551</v>
      </c>
      <c r="D615" t="s">
        <v>316</v>
      </c>
      <c r="F615" t="s">
        <v>111</v>
      </c>
      <c r="G615" t="s">
        <v>150</v>
      </c>
      <c r="H615" t="s">
        <v>151</v>
      </c>
      <c r="I615" t="s">
        <v>5</v>
      </c>
      <c r="J615" t="s">
        <v>152</v>
      </c>
      <c r="K615" t="s">
        <v>153</v>
      </c>
      <c r="L615">
        <v>251200670</v>
      </c>
      <c r="M615" s="84">
        <v>46014</v>
      </c>
      <c r="N615" s="84">
        <v>46014</v>
      </c>
      <c r="O615" t="s">
        <v>191</v>
      </c>
      <c r="P615" t="s">
        <v>192</v>
      </c>
      <c r="Q615">
        <v>4500</v>
      </c>
      <c r="R615">
        <v>28</v>
      </c>
      <c r="S615">
        <v>126000</v>
      </c>
      <c r="T615">
        <v>0</v>
      </c>
      <c r="U615">
        <v>0</v>
      </c>
      <c r="V615">
        <v>28</v>
      </c>
      <c r="W615">
        <v>126000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 spans="1:29">
      <c r="A616">
        <v>1156</v>
      </c>
      <c r="B616" t="s">
        <v>149</v>
      </c>
      <c r="C616">
        <v>1491</v>
      </c>
      <c r="D616" t="s">
        <v>354</v>
      </c>
      <c r="F616" t="s">
        <v>111</v>
      </c>
      <c r="G616" t="s">
        <v>150</v>
      </c>
      <c r="H616" t="s">
        <v>151</v>
      </c>
      <c r="I616" t="s">
        <v>4</v>
      </c>
      <c r="J616" t="s">
        <v>152</v>
      </c>
      <c r="K616" t="s">
        <v>153</v>
      </c>
      <c r="L616">
        <v>251200671</v>
      </c>
      <c r="M616" s="84">
        <v>46014</v>
      </c>
      <c r="N616" s="84">
        <v>46014</v>
      </c>
      <c r="O616" t="s">
        <v>262</v>
      </c>
      <c r="P616" t="s">
        <v>263</v>
      </c>
      <c r="Q616">
        <v>5500</v>
      </c>
      <c r="R616">
        <v>12</v>
      </c>
      <c r="S616">
        <v>66000</v>
      </c>
      <c r="T616">
        <v>0</v>
      </c>
      <c r="U616">
        <v>0</v>
      </c>
      <c r="V616">
        <v>12</v>
      </c>
      <c r="W616">
        <v>66000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 spans="1:29">
      <c r="A617">
        <v>1157</v>
      </c>
      <c r="B617" t="s">
        <v>149</v>
      </c>
      <c r="C617">
        <v>1491</v>
      </c>
      <c r="D617" t="s">
        <v>354</v>
      </c>
      <c r="F617" t="s">
        <v>111</v>
      </c>
      <c r="G617" t="s">
        <v>150</v>
      </c>
      <c r="H617" t="s">
        <v>151</v>
      </c>
      <c r="I617" t="s">
        <v>4</v>
      </c>
      <c r="J617" t="s">
        <v>152</v>
      </c>
      <c r="K617" t="s">
        <v>153</v>
      </c>
      <c r="L617">
        <v>251200671</v>
      </c>
      <c r="M617" s="84">
        <v>46014</v>
      </c>
      <c r="N617" s="84">
        <v>46014</v>
      </c>
      <c r="O617" t="s">
        <v>160</v>
      </c>
      <c r="P617" t="s">
        <v>161</v>
      </c>
      <c r="Q617">
        <v>5500</v>
      </c>
      <c r="R617">
        <v>13</v>
      </c>
      <c r="S617">
        <v>71500</v>
      </c>
      <c r="T617">
        <v>0</v>
      </c>
      <c r="U617">
        <v>0</v>
      </c>
      <c r="V617">
        <v>13</v>
      </c>
      <c r="W617">
        <v>71500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 spans="1:29">
      <c r="A618">
        <v>1158</v>
      </c>
      <c r="B618" t="s">
        <v>149</v>
      </c>
      <c r="C618">
        <v>1553</v>
      </c>
      <c r="D618" t="s">
        <v>317</v>
      </c>
      <c r="F618" t="s">
        <v>43</v>
      </c>
      <c r="G618" t="s">
        <v>150</v>
      </c>
      <c r="H618" t="s">
        <v>151</v>
      </c>
      <c r="I618" t="s">
        <v>4</v>
      </c>
      <c r="J618" t="s">
        <v>152</v>
      </c>
      <c r="K618" t="s">
        <v>153</v>
      </c>
      <c r="L618">
        <v>251200672</v>
      </c>
      <c r="M618" s="84">
        <v>46014</v>
      </c>
      <c r="N618" s="84">
        <v>46014</v>
      </c>
      <c r="O618" t="s">
        <v>160</v>
      </c>
      <c r="P618" t="s">
        <v>161</v>
      </c>
      <c r="Q618">
        <v>5500</v>
      </c>
      <c r="R618">
        <v>25</v>
      </c>
      <c r="S618">
        <v>137500</v>
      </c>
      <c r="T618">
        <v>0</v>
      </c>
      <c r="U618">
        <v>0</v>
      </c>
      <c r="V618">
        <v>25</v>
      </c>
      <c r="W618">
        <v>137500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</row>
    <row r="619" spans="1:29">
      <c r="A619">
        <v>1159</v>
      </c>
      <c r="B619" t="s">
        <v>149</v>
      </c>
      <c r="C619">
        <v>1553</v>
      </c>
      <c r="D619" t="s">
        <v>317</v>
      </c>
      <c r="F619" t="s">
        <v>43</v>
      </c>
      <c r="G619" t="s">
        <v>150</v>
      </c>
      <c r="H619" t="s">
        <v>151</v>
      </c>
      <c r="I619" t="s">
        <v>4</v>
      </c>
      <c r="J619" t="s">
        <v>152</v>
      </c>
      <c r="K619" t="s">
        <v>153</v>
      </c>
      <c r="L619">
        <v>251200672</v>
      </c>
      <c r="M619" s="84">
        <v>46014</v>
      </c>
      <c r="N619" s="84">
        <v>46014</v>
      </c>
      <c r="O619" t="s">
        <v>243</v>
      </c>
      <c r="P619" t="s">
        <v>244</v>
      </c>
      <c r="Q619">
        <v>5700</v>
      </c>
      <c r="R619">
        <v>5</v>
      </c>
      <c r="S619">
        <v>28500</v>
      </c>
      <c r="T619">
        <v>0</v>
      </c>
      <c r="U619">
        <v>0</v>
      </c>
      <c r="V619">
        <v>5</v>
      </c>
      <c r="W619">
        <v>28500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</row>
    <row r="620" spans="1:29">
      <c r="A620">
        <v>1160</v>
      </c>
      <c r="B620" t="s">
        <v>149</v>
      </c>
      <c r="C620">
        <v>1553</v>
      </c>
      <c r="D620" t="s">
        <v>317</v>
      </c>
      <c r="F620" t="s">
        <v>43</v>
      </c>
      <c r="G620" t="s">
        <v>150</v>
      </c>
      <c r="H620" t="s">
        <v>151</v>
      </c>
      <c r="I620" t="s">
        <v>4</v>
      </c>
      <c r="J620" t="s">
        <v>152</v>
      </c>
      <c r="K620" t="s">
        <v>153</v>
      </c>
      <c r="L620">
        <v>251200672</v>
      </c>
      <c r="M620" s="84">
        <v>46014</v>
      </c>
      <c r="N620" s="84">
        <v>46014</v>
      </c>
      <c r="O620" t="s">
        <v>219</v>
      </c>
      <c r="P620" t="s">
        <v>220</v>
      </c>
      <c r="Q620">
        <v>5500</v>
      </c>
      <c r="R620">
        <v>10</v>
      </c>
      <c r="S620">
        <v>55000</v>
      </c>
      <c r="T620">
        <v>0</v>
      </c>
      <c r="U620">
        <v>0</v>
      </c>
      <c r="V620">
        <v>10</v>
      </c>
      <c r="W620">
        <v>55000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</row>
    <row r="621" spans="1:29">
      <c r="A621">
        <v>1162</v>
      </c>
      <c r="B621" t="s">
        <v>149</v>
      </c>
      <c r="C621">
        <v>1298</v>
      </c>
      <c r="D621" t="s">
        <v>389</v>
      </c>
      <c r="F621" t="s">
        <v>83</v>
      </c>
      <c r="G621" t="s">
        <v>164</v>
      </c>
      <c r="H621" t="s">
        <v>151</v>
      </c>
      <c r="I621" t="s">
        <v>4</v>
      </c>
      <c r="J621" t="s">
        <v>152</v>
      </c>
      <c r="K621" t="s">
        <v>153</v>
      </c>
      <c r="L621">
        <v>251200674</v>
      </c>
      <c r="M621" s="84">
        <v>46014</v>
      </c>
      <c r="N621" s="84">
        <v>46014</v>
      </c>
      <c r="O621" t="s">
        <v>160</v>
      </c>
      <c r="P621" t="s">
        <v>161</v>
      </c>
      <c r="Q621">
        <v>5500</v>
      </c>
      <c r="R621">
        <v>50</v>
      </c>
      <c r="S621">
        <v>275000</v>
      </c>
      <c r="T621">
        <v>0</v>
      </c>
      <c r="U621">
        <v>0</v>
      </c>
      <c r="V621">
        <v>50</v>
      </c>
      <c r="W621">
        <v>275000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 spans="1:29">
      <c r="A622">
        <v>1163</v>
      </c>
      <c r="B622" t="s">
        <v>149</v>
      </c>
      <c r="C622">
        <v>1298</v>
      </c>
      <c r="D622" t="s">
        <v>389</v>
      </c>
      <c r="F622" t="s">
        <v>83</v>
      </c>
      <c r="G622" t="s">
        <v>164</v>
      </c>
      <c r="H622" t="s">
        <v>151</v>
      </c>
      <c r="I622" t="s">
        <v>5</v>
      </c>
      <c r="J622" t="s">
        <v>152</v>
      </c>
      <c r="K622" t="s">
        <v>153</v>
      </c>
      <c r="L622">
        <v>251200674</v>
      </c>
      <c r="M622" s="84">
        <v>46014</v>
      </c>
      <c r="N622" s="84">
        <v>46014</v>
      </c>
      <c r="O622" t="s">
        <v>253</v>
      </c>
      <c r="P622" t="s">
        <v>254</v>
      </c>
      <c r="Q622">
        <v>4500</v>
      </c>
      <c r="R622">
        <v>30</v>
      </c>
      <c r="S622">
        <v>135000</v>
      </c>
      <c r="T622">
        <v>0</v>
      </c>
      <c r="U622">
        <v>0</v>
      </c>
      <c r="V622">
        <v>30</v>
      </c>
      <c r="W622">
        <v>135000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 spans="1:29">
      <c r="A623">
        <v>1164</v>
      </c>
      <c r="B623" t="s">
        <v>149</v>
      </c>
      <c r="C623">
        <v>1298</v>
      </c>
      <c r="D623" t="s">
        <v>389</v>
      </c>
      <c r="F623" t="s">
        <v>83</v>
      </c>
      <c r="G623" t="s">
        <v>164</v>
      </c>
      <c r="H623" t="s">
        <v>151</v>
      </c>
      <c r="I623" t="s">
        <v>4</v>
      </c>
      <c r="J623" t="s">
        <v>152</v>
      </c>
      <c r="K623" t="s">
        <v>153</v>
      </c>
      <c r="L623">
        <v>251200674</v>
      </c>
      <c r="M623" s="84">
        <v>46014</v>
      </c>
      <c r="N623" s="84">
        <v>46014</v>
      </c>
      <c r="O623" t="s">
        <v>162</v>
      </c>
      <c r="P623" t="s">
        <v>163</v>
      </c>
      <c r="Q623">
        <v>5500</v>
      </c>
      <c r="R623">
        <v>50</v>
      </c>
      <c r="S623">
        <v>275000</v>
      </c>
      <c r="T623">
        <v>0</v>
      </c>
      <c r="U623">
        <v>0</v>
      </c>
      <c r="V623">
        <v>50</v>
      </c>
      <c r="W623">
        <v>275000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</row>
    <row r="624" spans="1:29">
      <c r="A624">
        <v>1165</v>
      </c>
      <c r="B624" t="s">
        <v>149</v>
      </c>
      <c r="C624">
        <v>1298</v>
      </c>
      <c r="D624" t="s">
        <v>389</v>
      </c>
      <c r="F624" t="s">
        <v>83</v>
      </c>
      <c r="G624" t="s">
        <v>164</v>
      </c>
      <c r="H624" t="s">
        <v>151</v>
      </c>
      <c r="I624" t="s">
        <v>5</v>
      </c>
      <c r="J624" t="s">
        <v>152</v>
      </c>
      <c r="K624" t="s">
        <v>153</v>
      </c>
      <c r="L624">
        <v>251200674</v>
      </c>
      <c r="M624" s="84">
        <v>46014</v>
      </c>
      <c r="N624" s="84">
        <v>46014</v>
      </c>
      <c r="O624" t="s">
        <v>191</v>
      </c>
      <c r="P624" t="s">
        <v>192</v>
      </c>
      <c r="Q624">
        <v>4500</v>
      </c>
      <c r="R624">
        <v>150</v>
      </c>
      <c r="S624">
        <v>675000</v>
      </c>
      <c r="T624">
        <v>0</v>
      </c>
      <c r="U624">
        <v>0</v>
      </c>
      <c r="V624">
        <v>150</v>
      </c>
      <c r="W624">
        <v>675000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</row>
    <row r="625" spans="1:29">
      <c r="A625">
        <v>1168</v>
      </c>
      <c r="B625" t="s">
        <v>149</v>
      </c>
      <c r="C625">
        <v>1444</v>
      </c>
      <c r="D625" t="s">
        <v>341</v>
      </c>
      <c r="F625" t="s">
        <v>28</v>
      </c>
      <c r="G625" t="s">
        <v>164</v>
      </c>
      <c r="H625" t="s">
        <v>151</v>
      </c>
      <c r="I625" t="s">
        <v>5</v>
      </c>
      <c r="J625" t="s">
        <v>152</v>
      </c>
      <c r="K625" t="s">
        <v>153</v>
      </c>
      <c r="L625">
        <v>251200676</v>
      </c>
      <c r="M625" s="84">
        <v>46014</v>
      </c>
      <c r="N625" s="84">
        <v>46014</v>
      </c>
      <c r="O625" t="s">
        <v>191</v>
      </c>
      <c r="P625" t="s">
        <v>192</v>
      </c>
      <c r="Q625">
        <v>4500</v>
      </c>
      <c r="R625">
        <v>56</v>
      </c>
      <c r="S625">
        <v>252000</v>
      </c>
      <c r="T625">
        <v>0</v>
      </c>
      <c r="U625">
        <v>0</v>
      </c>
      <c r="V625">
        <v>56</v>
      </c>
      <c r="W625">
        <v>252000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 spans="1:29">
      <c r="A626">
        <v>1170</v>
      </c>
      <c r="B626" t="s">
        <v>149</v>
      </c>
      <c r="C626">
        <v>1306</v>
      </c>
      <c r="D626" t="s">
        <v>377</v>
      </c>
      <c r="F626" t="s">
        <v>28</v>
      </c>
      <c r="G626" t="s">
        <v>164</v>
      </c>
      <c r="H626" t="s">
        <v>151</v>
      </c>
      <c r="I626" t="s">
        <v>4</v>
      </c>
      <c r="J626" t="s">
        <v>152</v>
      </c>
      <c r="K626" t="s">
        <v>153</v>
      </c>
      <c r="L626">
        <v>251200678</v>
      </c>
      <c r="M626" s="84">
        <v>46014</v>
      </c>
      <c r="N626" s="84">
        <v>46014</v>
      </c>
      <c r="O626" t="s">
        <v>179</v>
      </c>
      <c r="P626" t="s">
        <v>180</v>
      </c>
      <c r="Q626">
        <v>5500</v>
      </c>
      <c r="R626">
        <v>8</v>
      </c>
      <c r="S626">
        <v>44000</v>
      </c>
      <c r="T626">
        <v>0</v>
      </c>
      <c r="U626">
        <v>0</v>
      </c>
      <c r="V626">
        <v>8</v>
      </c>
      <c r="W626">
        <v>44000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</row>
    <row r="627" spans="1:29">
      <c r="A627">
        <v>1171</v>
      </c>
      <c r="B627" t="s">
        <v>149</v>
      </c>
      <c r="C627">
        <v>1306</v>
      </c>
      <c r="D627" t="s">
        <v>377</v>
      </c>
      <c r="F627" t="s">
        <v>28</v>
      </c>
      <c r="G627" t="s">
        <v>164</v>
      </c>
      <c r="H627" t="s">
        <v>151</v>
      </c>
      <c r="I627" t="s">
        <v>5</v>
      </c>
      <c r="J627" t="s">
        <v>152</v>
      </c>
      <c r="K627" t="s">
        <v>153</v>
      </c>
      <c r="L627">
        <v>251200678</v>
      </c>
      <c r="M627" s="84">
        <v>46014</v>
      </c>
      <c r="N627" s="84">
        <v>46014</v>
      </c>
      <c r="O627" t="s">
        <v>191</v>
      </c>
      <c r="P627" t="s">
        <v>192</v>
      </c>
      <c r="Q627">
        <v>4500</v>
      </c>
      <c r="R627">
        <v>48</v>
      </c>
      <c r="S627">
        <v>216000</v>
      </c>
      <c r="T627">
        <v>0</v>
      </c>
      <c r="U627">
        <v>0</v>
      </c>
      <c r="V627">
        <v>48</v>
      </c>
      <c r="W627">
        <v>216000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 spans="1:29">
      <c r="A628">
        <v>1174</v>
      </c>
      <c r="B628" t="s">
        <v>149</v>
      </c>
      <c r="C628">
        <v>1550</v>
      </c>
      <c r="D628" t="s">
        <v>337</v>
      </c>
      <c r="F628" t="s">
        <v>15</v>
      </c>
      <c r="G628" t="s">
        <v>193</v>
      </c>
      <c r="H628" t="s">
        <v>151</v>
      </c>
      <c r="I628" t="s">
        <v>4</v>
      </c>
      <c r="J628" t="s">
        <v>152</v>
      </c>
      <c r="K628" t="s">
        <v>153</v>
      </c>
      <c r="L628">
        <v>251200681</v>
      </c>
      <c r="M628" s="84">
        <v>46014</v>
      </c>
      <c r="N628" s="84">
        <v>46014</v>
      </c>
      <c r="O628" t="s">
        <v>177</v>
      </c>
      <c r="P628" t="s">
        <v>178</v>
      </c>
      <c r="Q628">
        <v>5500</v>
      </c>
      <c r="R628">
        <v>7</v>
      </c>
      <c r="S628">
        <v>38500</v>
      </c>
      <c r="T628">
        <v>0</v>
      </c>
      <c r="U628">
        <v>0</v>
      </c>
      <c r="V628">
        <v>7</v>
      </c>
      <c r="W628">
        <v>38500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 spans="1:29">
      <c r="A629">
        <v>1183</v>
      </c>
      <c r="B629" t="s">
        <v>149</v>
      </c>
      <c r="C629">
        <v>1292</v>
      </c>
      <c r="D629" t="s">
        <v>336</v>
      </c>
      <c r="F629" t="s">
        <v>73</v>
      </c>
      <c r="G629" t="s">
        <v>185</v>
      </c>
      <c r="H629" t="s">
        <v>151</v>
      </c>
      <c r="I629" t="s">
        <v>4</v>
      </c>
      <c r="J629" t="s">
        <v>152</v>
      </c>
      <c r="K629" t="s">
        <v>153</v>
      </c>
      <c r="L629">
        <v>251200687</v>
      </c>
      <c r="M629" s="84">
        <v>46014</v>
      </c>
      <c r="N629" s="84">
        <v>46014</v>
      </c>
      <c r="O629" t="s">
        <v>243</v>
      </c>
      <c r="P629" t="s">
        <v>244</v>
      </c>
      <c r="Q629">
        <v>5700</v>
      </c>
      <c r="R629">
        <v>19</v>
      </c>
      <c r="S629">
        <v>108300</v>
      </c>
      <c r="T629">
        <v>0</v>
      </c>
      <c r="U629">
        <v>0</v>
      </c>
      <c r="V629">
        <v>19</v>
      </c>
      <c r="W629">
        <v>108300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</row>
    <row r="630" spans="1:29">
      <c r="A630">
        <v>1185</v>
      </c>
      <c r="B630" t="s">
        <v>149</v>
      </c>
      <c r="C630">
        <v>1471</v>
      </c>
      <c r="D630" t="s">
        <v>369</v>
      </c>
      <c r="F630" t="s">
        <v>73</v>
      </c>
      <c r="G630" t="s">
        <v>185</v>
      </c>
      <c r="H630" t="s">
        <v>151</v>
      </c>
      <c r="I630" t="s">
        <v>4</v>
      </c>
      <c r="J630" t="s">
        <v>152</v>
      </c>
      <c r="K630" t="s">
        <v>153</v>
      </c>
      <c r="L630">
        <v>251200689</v>
      </c>
      <c r="M630" s="84">
        <v>46014</v>
      </c>
      <c r="N630" s="84">
        <v>46014</v>
      </c>
      <c r="O630" t="s">
        <v>168</v>
      </c>
      <c r="P630" t="s">
        <v>169</v>
      </c>
      <c r="Q630">
        <v>5500</v>
      </c>
      <c r="R630">
        <v>4</v>
      </c>
      <c r="S630">
        <v>22000</v>
      </c>
      <c r="T630">
        <v>0</v>
      </c>
      <c r="U630">
        <v>0</v>
      </c>
      <c r="V630">
        <v>4</v>
      </c>
      <c r="W630">
        <v>22000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 spans="1:29">
      <c r="A631">
        <v>1191</v>
      </c>
      <c r="B631" t="s">
        <v>149</v>
      </c>
      <c r="C631">
        <v>1484</v>
      </c>
      <c r="D631" t="s">
        <v>331</v>
      </c>
      <c r="F631" t="s">
        <v>71</v>
      </c>
      <c r="G631" t="s">
        <v>305</v>
      </c>
      <c r="H631" t="s">
        <v>157</v>
      </c>
      <c r="I631" t="s">
        <v>4</v>
      </c>
      <c r="J631" t="s">
        <v>152</v>
      </c>
      <c r="K631" t="s">
        <v>174</v>
      </c>
      <c r="L631">
        <v>251200693</v>
      </c>
      <c r="M631" s="84">
        <v>46014</v>
      </c>
      <c r="N631" s="84">
        <v>46014</v>
      </c>
      <c r="O631" t="s">
        <v>243</v>
      </c>
      <c r="P631" t="s">
        <v>244</v>
      </c>
      <c r="Q631">
        <v>5700</v>
      </c>
      <c r="R631">
        <v>5</v>
      </c>
      <c r="S631">
        <v>28500</v>
      </c>
      <c r="T631">
        <v>0</v>
      </c>
      <c r="U631">
        <v>0</v>
      </c>
      <c r="V631">
        <v>5</v>
      </c>
      <c r="W631">
        <v>28500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</row>
    <row r="632" spans="1:29">
      <c r="A632">
        <v>1194</v>
      </c>
      <c r="B632" t="s">
        <v>149</v>
      </c>
      <c r="C632">
        <v>1289</v>
      </c>
      <c r="D632" t="s">
        <v>412</v>
      </c>
      <c r="F632" t="s">
        <v>43</v>
      </c>
      <c r="G632" t="s">
        <v>150</v>
      </c>
      <c r="H632" t="s">
        <v>151</v>
      </c>
      <c r="I632" t="s">
        <v>4</v>
      </c>
      <c r="J632" t="s">
        <v>152</v>
      </c>
      <c r="K632" t="s">
        <v>153</v>
      </c>
      <c r="L632">
        <v>251200696</v>
      </c>
      <c r="M632" s="84">
        <v>46014</v>
      </c>
      <c r="N632" s="84">
        <v>46014</v>
      </c>
      <c r="O632" t="s">
        <v>357</v>
      </c>
      <c r="P632" t="s">
        <v>358</v>
      </c>
      <c r="Q632">
        <v>5500</v>
      </c>
      <c r="R632">
        <v>10</v>
      </c>
      <c r="S632">
        <v>55000</v>
      </c>
      <c r="T632">
        <v>0</v>
      </c>
      <c r="U632">
        <v>0</v>
      </c>
      <c r="V632">
        <v>10</v>
      </c>
      <c r="W632">
        <v>55000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</row>
    <row r="633" spans="1:29">
      <c r="A633">
        <v>1195</v>
      </c>
      <c r="B633" t="s">
        <v>149</v>
      </c>
      <c r="C633">
        <v>1289</v>
      </c>
      <c r="D633" t="s">
        <v>412</v>
      </c>
      <c r="F633" t="s">
        <v>43</v>
      </c>
      <c r="G633" t="s">
        <v>150</v>
      </c>
      <c r="H633" t="s">
        <v>151</v>
      </c>
      <c r="I633" t="s">
        <v>4</v>
      </c>
      <c r="J633" t="s">
        <v>152</v>
      </c>
      <c r="K633" t="s">
        <v>153</v>
      </c>
      <c r="L633">
        <v>251200697</v>
      </c>
      <c r="M633" s="84">
        <v>46014</v>
      </c>
      <c r="N633" s="84">
        <v>46014</v>
      </c>
      <c r="O633" t="s">
        <v>357</v>
      </c>
      <c r="P633" t="s">
        <v>358</v>
      </c>
      <c r="Q633">
        <v>5500</v>
      </c>
      <c r="R633">
        <v>10</v>
      </c>
      <c r="S633">
        <v>55000</v>
      </c>
      <c r="T633">
        <v>0</v>
      </c>
      <c r="U633">
        <v>0</v>
      </c>
      <c r="V633">
        <v>10</v>
      </c>
      <c r="W633">
        <v>55000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</row>
    <row r="634" spans="1:29">
      <c r="A634">
        <v>1197</v>
      </c>
      <c r="B634" t="s">
        <v>149</v>
      </c>
      <c r="C634">
        <v>1554</v>
      </c>
      <c r="D634" t="s">
        <v>382</v>
      </c>
      <c r="F634" t="s">
        <v>111</v>
      </c>
      <c r="G634" t="s">
        <v>150</v>
      </c>
      <c r="H634" t="s">
        <v>151</v>
      </c>
      <c r="I634" t="s">
        <v>4</v>
      </c>
      <c r="J634" t="s">
        <v>152</v>
      </c>
      <c r="K634" t="s">
        <v>153</v>
      </c>
      <c r="L634">
        <v>251200718</v>
      </c>
      <c r="M634" s="84">
        <v>46015</v>
      </c>
      <c r="N634" s="84">
        <v>46015</v>
      </c>
      <c r="O634" t="s">
        <v>248</v>
      </c>
      <c r="P634" t="s">
        <v>249</v>
      </c>
      <c r="Q634">
        <v>5500</v>
      </c>
      <c r="R634">
        <v>10</v>
      </c>
      <c r="S634">
        <v>55000</v>
      </c>
      <c r="T634">
        <v>0</v>
      </c>
      <c r="U634">
        <v>0</v>
      </c>
      <c r="V634">
        <v>10</v>
      </c>
      <c r="W634">
        <v>55000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 spans="1:29">
      <c r="A635">
        <v>1198</v>
      </c>
      <c r="B635" t="s">
        <v>149</v>
      </c>
      <c r="C635">
        <v>1554</v>
      </c>
      <c r="D635" t="s">
        <v>382</v>
      </c>
      <c r="F635" t="s">
        <v>111</v>
      </c>
      <c r="G635" t="s">
        <v>150</v>
      </c>
      <c r="H635" t="s">
        <v>151</v>
      </c>
      <c r="I635" t="s">
        <v>4</v>
      </c>
      <c r="J635" t="s">
        <v>152</v>
      </c>
      <c r="K635" t="s">
        <v>153</v>
      </c>
      <c r="L635">
        <v>251200718</v>
      </c>
      <c r="M635" s="84">
        <v>46015</v>
      </c>
      <c r="N635" s="84">
        <v>46015</v>
      </c>
      <c r="O635" t="s">
        <v>321</v>
      </c>
      <c r="P635" t="s">
        <v>322</v>
      </c>
      <c r="Q635">
        <v>5500</v>
      </c>
      <c r="R635">
        <v>10</v>
      </c>
      <c r="S635">
        <v>55000</v>
      </c>
      <c r="T635">
        <v>0</v>
      </c>
      <c r="U635">
        <v>0</v>
      </c>
      <c r="V635">
        <v>10</v>
      </c>
      <c r="W635">
        <v>55000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 spans="1:29">
      <c r="A636">
        <v>1199</v>
      </c>
      <c r="B636" t="s">
        <v>149</v>
      </c>
      <c r="C636">
        <v>1478</v>
      </c>
      <c r="D636" t="s">
        <v>314</v>
      </c>
      <c r="F636" t="s">
        <v>111</v>
      </c>
      <c r="G636" t="s">
        <v>150</v>
      </c>
      <c r="H636" t="s">
        <v>151</v>
      </c>
      <c r="I636" t="s">
        <v>5</v>
      </c>
      <c r="J636" t="s">
        <v>152</v>
      </c>
      <c r="K636" t="s">
        <v>153</v>
      </c>
      <c r="L636">
        <v>251200719</v>
      </c>
      <c r="M636" s="84">
        <v>46015</v>
      </c>
      <c r="N636" s="84">
        <v>46015</v>
      </c>
      <c r="O636" t="s">
        <v>191</v>
      </c>
      <c r="P636" t="s">
        <v>192</v>
      </c>
      <c r="Q636">
        <v>4500</v>
      </c>
      <c r="R636">
        <v>32</v>
      </c>
      <c r="S636">
        <v>144000</v>
      </c>
      <c r="T636">
        <v>0</v>
      </c>
      <c r="U636">
        <v>0</v>
      </c>
      <c r="V636">
        <v>32</v>
      </c>
      <c r="W636">
        <v>144000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</row>
    <row r="637" spans="1:29">
      <c r="A637">
        <v>1200</v>
      </c>
      <c r="B637" t="s">
        <v>149</v>
      </c>
      <c r="C637">
        <v>1593</v>
      </c>
      <c r="D637" t="s">
        <v>343</v>
      </c>
      <c r="F637" t="s">
        <v>111</v>
      </c>
      <c r="G637" t="s">
        <v>150</v>
      </c>
      <c r="H637" t="s">
        <v>151</v>
      </c>
      <c r="I637" t="s">
        <v>5</v>
      </c>
      <c r="J637" t="s">
        <v>152</v>
      </c>
      <c r="K637" t="s">
        <v>153</v>
      </c>
      <c r="L637">
        <v>251200720</v>
      </c>
      <c r="M637" s="84">
        <v>46015</v>
      </c>
      <c r="N637" s="84">
        <v>46015</v>
      </c>
      <c r="O637" t="s">
        <v>260</v>
      </c>
      <c r="P637" t="s">
        <v>261</v>
      </c>
      <c r="Q637">
        <v>4500</v>
      </c>
      <c r="R637">
        <v>12</v>
      </c>
      <c r="S637">
        <v>54000</v>
      </c>
      <c r="T637">
        <v>0</v>
      </c>
      <c r="U637">
        <v>0</v>
      </c>
      <c r="V637">
        <v>12</v>
      </c>
      <c r="W637">
        <v>54000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</row>
    <row r="638" spans="1:29">
      <c r="A638">
        <v>1201</v>
      </c>
      <c r="B638" t="s">
        <v>149</v>
      </c>
      <c r="C638">
        <v>1593</v>
      </c>
      <c r="D638" t="s">
        <v>343</v>
      </c>
      <c r="F638" t="s">
        <v>111</v>
      </c>
      <c r="G638" t="s">
        <v>150</v>
      </c>
      <c r="H638" t="s">
        <v>151</v>
      </c>
      <c r="I638" t="s">
        <v>5</v>
      </c>
      <c r="J638" t="s">
        <v>152</v>
      </c>
      <c r="K638" t="s">
        <v>153</v>
      </c>
      <c r="L638">
        <v>251200720</v>
      </c>
      <c r="M638" s="84">
        <v>46015</v>
      </c>
      <c r="N638" s="84">
        <v>46015</v>
      </c>
      <c r="O638" t="s">
        <v>191</v>
      </c>
      <c r="P638" t="s">
        <v>192</v>
      </c>
      <c r="Q638">
        <v>4500</v>
      </c>
      <c r="R638">
        <v>8</v>
      </c>
      <c r="S638">
        <v>36000</v>
      </c>
      <c r="T638">
        <v>0</v>
      </c>
      <c r="U638">
        <v>0</v>
      </c>
      <c r="V638">
        <v>8</v>
      </c>
      <c r="W638">
        <v>36000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 spans="1:29">
      <c r="A639">
        <v>1204</v>
      </c>
      <c r="B639" t="s">
        <v>149</v>
      </c>
      <c r="C639">
        <v>1557</v>
      </c>
      <c r="D639" t="s">
        <v>344</v>
      </c>
      <c r="F639" t="s">
        <v>111</v>
      </c>
      <c r="G639" t="s">
        <v>150</v>
      </c>
      <c r="H639" t="s">
        <v>151</v>
      </c>
      <c r="I639" t="s">
        <v>4</v>
      </c>
      <c r="J639" t="s">
        <v>152</v>
      </c>
      <c r="K639" t="s">
        <v>153</v>
      </c>
      <c r="L639">
        <v>251200722</v>
      </c>
      <c r="M639" s="84">
        <v>46015</v>
      </c>
      <c r="N639" s="84">
        <v>46015</v>
      </c>
      <c r="O639" t="s">
        <v>160</v>
      </c>
      <c r="P639" t="s">
        <v>161</v>
      </c>
      <c r="Q639">
        <v>5500</v>
      </c>
      <c r="R639">
        <v>40</v>
      </c>
      <c r="S639">
        <v>220000</v>
      </c>
      <c r="T639">
        <v>0</v>
      </c>
      <c r="U639">
        <v>0</v>
      </c>
      <c r="V639">
        <v>40</v>
      </c>
      <c r="W639">
        <v>220000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0" spans="1:29">
      <c r="A640">
        <v>1205</v>
      </c>
      <c r="B640" t="s">
        <v>149</v>
      </c>
      <c r="C640">
        <v>1551</v>
      </c>
      <c r="D640" t="s">
        <v>316</v>
      </c>
      <c r="F640" t="s">
        <v>111</v>
      </c>
      <c r="G640" t="s">
        <v>150</v>
      </c>
      <c r="H640" t="s">
        <v>151</v>
      </c>
      <c r="I640" t="s">
        <v>4</v>
      </c>
      <c r="J640" t="s">
        <v>152</v>
      </c>
      <c r="K640" t="s">
        <v>153</v>
      </c>
      <c r="L640">
        <v>251200723</v>
      </c>
      <c r="M640" s="84">
        <v>46015</v>
      </c>
      <c r="N640" s="84">
        <v>46015</v>
      </c>
      <c r="O640" t="s">
        <v>262</v>
      </c>
      <c r="P640" t="s">
        <v>263</v>
      </c>
      <c r="Q640">
        <v>5500</v>
      </c>
      <c r="R640">
        <v>5</v>
      </c>
      <c r="S640">
        <v>27500</v>
      </c>
      <c r="T640">
        <v>0</v>
      </c>
      <c r="U640">
        <v>0</v>
      </c>
      <c r="V640">
        <v>5</v>
      </c>
      <c r="W640">
        <v>27500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 spans="1:29">
      <c r="A641">
        <v>1206</v>
      </c>
      <c r="B641" t="s">
        <v>149</v>
      </c>
      <c r="C641">
        <v>1551</v>
      </c>
      <c r="D641" t="s">
        <v>316</v>
      </c>
      <c r="F641" t="s">
        <v>111</v>
      </c>
      <c r="G641" t="s">
        <v>150</v>
      </c>
      <c r="H641" t="s">
        <v>151</v>
      </c>
      <c r="I641" t="s">
        <v>4</v>
      </c>
      <c r="J641" t="s">
        <v>152</v>
      </c>
      <c r="K641" t="s">
        <v>153</v>
      </c>
      <c r="L641">
        <v>251200723</v>
      </c>
      <c r="M641" s="84">
        <v>46015</v>
      </c>
      <c r="N641" s="84">
        <v>46015</v>
      </c>
      <c r="O641" t="s">
        <v>219</v>
      </c>
      <c r="P641" t="s">
        <v>220</v>
      </c>
      <c r="Q641">
        <v>5500</v>
      </c>
      <c r="R641">
        <v>15</v>
      </c>
      <c r="S641">
        <v>82500</v>
      </c>
      <c r="T641">
        <v>0</v>
      </c>
      <c r="U641">
        <v>0</v>
      </c>
      <c r="V641">
        <v>15</v>
      </c>
      <c r="W641">
        <v>82500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 spans="1:29">
      <c r="A642">
        <v>1208</v>
      </c>
      <c r="B642" t="s">
        <v>149</v>
      </c>
      <c r="C642">
        <v>1522</v>
      </c>
      <c r="D642" t="s">
        <v>370</v>
      </c>
      <c r="F642" t="s">
        <v>73</v>
      </c>
      <c r="G642" t="s">
        <v>185</v>
      </c>
      <c r="H642" t="s">
        <v>151</v>
      </c>
      <c r="I642" t="s">
        <v>4</v>
      </c>
      <c r="J642" t="s">
        <v>152</v>
      </c>
      <c r="K642" t="s">
        <v>153</v>
      </c>
      <c r="L642">
        <v>251200725</v>
      </c>
      <c r="M642" s="84">
        <v>46015</v>
      </c>
      <c r="N642" s="84">
        <v>46015</v>
      </c>
      <c r="O642" t="s">
        <v>154</v>
      </c>
      <c r="P642" t="s">
        <v>155</v>
      </c>
      <c r="Q642">
        <v>5500</v>
      </c>
      <c r="R642">
        <v>10</v>
      </c>
      <c r="S642">
        <v>55000</v>
      </c>
      <c r="T642">
        <v>0</v>
      </c>
      <c r="U642">
        <v>0</v>
      </c>
      <c r="V642">
        <v>10</v>
      </c>
      <c r="W642">
        <v>55000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>
      <c r="A643">
        <v>1209</v>
      </c>
      <c r="B643" t="s">
        <v>149</v>
      </c>
      <c r="C643">
        <v>1522</v>
      </c>
      <c r="D643" t="s">
        <v>370</v>
      </c>
      <c r="F643" t="s">
        <v>73</v>
      </c>
      <c r="G643" t="s">
        <v>185</v>
      </c>
      <c r="H643" t="s">
        <v>151</v>
      </c>
      <c r="I643" t="s">
        <v>4</v>
      </c>
      <c r="J643" t="s">
        <v>152</v>
      </c>
      <c r="K643" t="s">
        <v>153</v>
      </c>
      <c r="L643">
        <v>251200725</v>
      </c>
      <c r="M643" s="84">
        <v>46015</v>
      </c>
      <c r="N643" s="84">
        <v>46015</v>
      </c>
      <c r="O643" t="s">
        <v>168</v>
      </c>
      <c r="P643" t="s">
        <v>169</v>
      </c>
      <c r="Q643">
        <v>5500</v>
      </c>
      <c r="R643">
        <v>10</v>
      </c>
      <c r="S643">
        <v>55000</v>
      </c>
      <c r="T643">
        <v>0</v>
      </c>
      <c r="U643">
        <v>0</v>
      </c>
      <c r="V643">
        <v>10</v>
      </c>
      <c r="W643">
        <v>55000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</row>
    <row r="644" spans="1:29">
      <c r="A644">
        <v>1220</v>
      </c>
      <c r="B644" t="s">
        <v>149</v>
      </c>
      <c r="C644">
        <v>1550</v>
      </c>
      <c r="D644" t="s">
        <v>337</v>
      </c>
      <c r="F644" t="s">
        <v>15</v>
      </c>
      <c r="G644" t="s">
        <v>193</v>
      </c>
      <c r="H644" t="s">
        <v>151</v>
      </c>
      <c r="I644" t="s">
        <v>5</v>
      </c>
      <c r="J644" t="s">
        <v>152</v>
      </c>
      <c r="K644" t="s">
        <v>153</v>
      </c>
      <c r="L644">
        <v>251200732</v>
      </c>
      <c r="M644" s="84">
        <v>46015</v>
      </c>
      <c r="N644" s="84">
        <v>46015</v>
      </c>
      <c r="O644" t="s">
        <v>260</v>
      </c>
      <c r="P644" t="s">
        <v>261</v>
      </c>
      <c r="Q644">
        <v>4500</v>
      </c>
      <c r="R644">
        <v>4</v>
      </c>
      <c r="S644">
        <v>18000</v>
      </c>
      <c r="T644">
        <v>0</v>
      </c>
      <c r="U644">
        <v>0</v>
      </c>
      <c r="V644">
        <v>4</v>
      </c>
      <c r="W644">
        <v>18000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</row>
    <row r="645" spans="1:29">
      <c r="A645">
        <v>1221</v>
      </c>
      <c r="B645" t="s">
        <v>149</v>
      </c>
      <c r="C645">
        <v>1550</v>
      </c>
      <c r="D645" t="s">
        <v>337</v>
      </c>
      <c r="F645" t="s">
        <v>15</v>
      </c>
      <c r="G645" t="s">
        <v>193</v>
      </c>
      <c r="H645" t="s">
        <v>151</v>
      </c>
      <c r="I645" t="s">
        <v>5</v>
      </c>
      <c r="J645" t="s">
        <v>152</v>
      </c>
      <c r="K645" t="s">
        <v>153</v>
      </c>
      <c r="L645">
        <v>251200732</v>
      </c>
      <c r="M645" s="84">
        <v>46015</v>
      </c>
      <c r="N645" s="84">
        <v>46015</v>
      </c>
      <c r="O645" t="s">
        <v>191</v>
      </c>
      <c r="P645" t="s">
        <v>192</v>
      </c>
      <c r="Q645">
        <v>4500</v>
      </c>
      <c r="R645">
        <v>36</v>
      </c>
      <c r="S645">
        <v>162000</v>
      </c>
      <c r="T645">
        <v>0</v>
      </c>
      <c r="U645">
        <v>0</v>
      </c>
      <c r="V645">
        <v>36</v>
      </c>
      <c r="W645">
        <v>162000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</row>
    <row r="646" spans="1:29">
      <c r="A646">
        <v>1222</v>
      </c>
      <c r="B646" t="s">
        <v>149</v>
      </c>
      <c r="C646">
        <v>1312</v>
      </c>
      <c r="D646" t="s">
        <v>359</v>
      </c>
      <c r="F646" t="s">
        <v>15</v>
      </c>
      <c r="G646" t="s">
        <v>193</v>
      </c>
      <c r="H646" t="s">
        <v>151</v>
      </c>
      <c r="I646" t="s">
        <v>5</v>
      </c>
      <c r="J646" t="s">
        <v>152</v>
      </c>
      <c r="K646" t="s">
        <v>153</v>
      </c>
      <c r="L646">
        <v>251200733</v>
      </c>
      <c r="M646" s="84">
        <v>46015</v>
      </c>
      <c r="N646" s="84">
        <v>46015</v>
      </c>
      <c r="O646" t="s">
        <v>196</v>
      </c>
      <c r="P646" t="s">
        <v>197</v>
      </c>
      <c r="Q646">
        <v>4500</v>
      </c>
      <c r="R646">
        <v>12</v>
      </c>
      <c r="S646">
        <v>54000</v>
      </c>
      <c r="T646">
        <v>0</v>
      </c>
      <c r="U646">
        <v>0</v>
      </c>
      <c r="V646">
        <v>12</v>
      </c>
      <c r="W646">
        <v>54000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</row>
    <row r="647" spans="1:29">
      <c r="A647">
        <v>1223</v>
      </c>
      <c r="B647" t="s">
        <v>149</v>
      </c>
      <c r="C647">
        <v>1326</v>
      </c>
      <c r="D647" t="s">
        <v>338</v>
      </c>
      <c r="F647" t="s">
        <v>15</v>
      </c>
      <c r="G647" t="s">
        <v>193</v>
      </c>
      <c r="H647" t="s">
        <v>151</v>
      </c>
      <c r="I647" t="s">
        <v>5</v>
      </c>
      <c r="J647" t="s">
        <v>152</v>
      </c>
      <c r="K647" t="s">
        <v>153</v>
      </c>
      <c r="L647">
        <v>251200734</v>
      </c>
      <c r="M647" s="84">
        <v>46015</v>
      </c>
      <c r="N647" s="84">
        <v>46015</v>
      </c>
      <c r="O647" t="s">
        <v>191</v>
      </c>
      <c r="P647" t="s">
        <v>192</v>
      </c>
      <c r="Q647">
        <v>4500</v>
      </c>
      <c r="R647">
        <v>44</v>
      </c>
      <c r="S647">
        <v>198000</v>
      </c>
      <c r="T647">
        <v>0</v>
      </c>
      <c r="U647">
        <v>0</v>
      </c>
      <c r="V647">
        <v>44</v>
      </c>
      <c r="W647">
        <v>198000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>
      <c r="A648">
        <v>1227</v>
      </c>
      <c r="B648" t="s">
        <v>149</v>
      </c>
      <c r="C648">
        <v>1569</v>
      </c>
      <c r="D648" t="s">
        <v>329</v>
      </c>
      <c r="F648" t="s">
        <v>10</v>
      </c>
      <c r="G648" t="s">
        <v>172</v>
      </c>
      <c r="H648" t="s">
        <v>157</v>
      </c>
      <c r="I648" t="s">
        <v>4</v>
      </c>
      <c r="J648" t="s">
        <v>152</v>
      </c>
      <c r="K648" t="s">
        <v>174</v>
      </c>
      <c r="L648">
        <v>251200737</v>
      </c>
      <c r="M648" s="84">
        <v>46015</v>
      </c>
      <c r="N648" s="84">
        <v>46015</v>
      </c>
      <c r="O648" t="s">
        <v>221</v>
      </c>
      <c r="P648" t="s">
        <v>222</v>
      </c>
      <c r="Q648">
        <v>5500</v>
      </c>
      <c r="R648">
        <v>1</v>
      </c>
      <c r="S648">
        <v>5500</v>
      </c>
      <c r="T648">
        <v>0</v>
      </c>
      <c r="U648">
        <v>0</v>
      </c>
      <c r="V648">
        <v>1</v>
      </c>
      <c r="W648">
        <v>5500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</row>
    <row r="649" spans="1:29">
      <c r="A649">
        <v>1228</v>
      </c>
      <c r="B649" t="s">
        <v>149</v>
      </c>
      <c r="C649">
        <v>1534</v>
      </c>
      <c r="D649" t="s">
        <v>371</v>
      </c>
      <c r="F649" t="s">
        <v>65</v>
      </c>
      <c r="G649" t="s">
        <v>208</v>
      </c>
      <c r="H649" t="s">
        <v>157</v>
      </c>
      <c r="I649" t="s">
        <v>4</v>
      </c>
      <c r="J649" t="s">
        <v>152</v>
      </c>
      <c r="K649" t="s">
        <v>174</v>
      </c>
      <c r="L649">
        <v>251200738</v>
      </c>
      <c r="M649" s="84">
        <v>46015</v>
      </c>
      <c r="N649" s="84">
        <v>46015</v>
      </c>
      <c r="O649" t="s">
        <v>294</v>
      </c>
      <c r="P649" t="s">
        <v>295</v>
      </c>
      <c r="Q649">
        <v>5500</v>
      </c>
      <c r="R649">
        <v>10</v>
      </c>
      <c r="S649">
        <v>55000</v>
      </c>
      <c r="T649">
        <v>0</v>
      </c>
      <c r="U649">
        <v>0</v>
      </c>
      <c r="V649">
        <v>10</v>
      </c>
      <c r="W649">
        <v>55000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</row>
    <row r="650" spans="1:29">
      <c r="A650">
        <v>1229</v>
      </c>
      <c r="B650" t="s">
        <v>149</v>
      </c>
      <c r="C650">
        <v>1534</v>
      </c>
      <c r="D650" t="s">
        <v>371</v>
      </c>
      <c r="F650" t="s">
        <v>65</v>
      </c>
      <c r="G650" t="s">
        <v>208</v>
      </c>
      <c r="H650" t="s">
        <v>157</v>
      </c>
      <c r="I650" t="s">
        <v>4</v>
      </c>
      <c r="J650" t="s">
        <v>152</v>
      </c>
      <c r="K650" t="s">
        <v>174</v>
      </c>
      <c r="L650">
        <v>251200738</v>
      </c>
      <c r="M650" s="84">
        <v>46015</v>
      </c>
      <c r="N650" s="84">
        <v>46015</v>
      </c>
      <c r="O650" t="s">
        <v>321</v>
      </c>
      <c r="P650" t="s">
        <v>322</v>
      </c>
      <c r="Q650">
        <v>5500</v>
      </c>
      <c r="R650">
        <v>5</v>
      </c>
      <c r="S650">
        <v>27500</v>
      </c>
      <c r="T650">
        <v>0</v>
      </c>
      <c r="U650">
        <v>0</v>
      </c>
      <c r="V650">
        <v>5</v>
      </c>
      <c r="W650">
        <v>27500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</row>
    <row r="651" spans="1:29">
      <c r="A651">
        <v>1231</v>
      </c>
      <c r="B651" t="s">
        <v>149</v>
      </c>
      <c r="C651">
        <v>1562</v>
      </c>
      <c r="D651" t="s">
        <v>325</v>
      </c>
      <c r="F651" t="s">
        <v>10</v>
      </c>
      <c r="G651" t="s">
        <v>172</v>
      </c>
      <c r="H651" t="s">
        <v>157</v>
      </c>
      <c r="I651" t="s">
        <v>4</v>
      </c>
      <c r="J651" t="s">
        <v>152</v>
      </c>
      <c r="K651" t="s">
        <v>174</v>
      </c>
      <c r="L651">
        <v>251200740</v>
      </c>
      <c r="M651" s="84">
        <v>46015</v>
      </c>
      <c r="N651" s="84">
        <v>46015</v>
      </c>
      <c r="O651" t="s">
        <v>160</v>
      </c>
      <c r="P651" t="s">
        <v>161</v>
      </c>
      <c r="Q651">
        <v>5500</v>
      </c>
      <c r="R651">
        <v>5</v>
      </c>
      <c r="S651">
        <v>27500</v>
      </c>
      <c r="T651">
        <v>0</v>
      </c>
      <c r="U651">
        <v>0</v>
      </c>
      <c r="V651">
        <v>5</v>
      </c>
      <c r="W651">
        <v>27500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 spans="1:29">
      <c r="A652">
        <v>1232</v>
      </c>
      <c r="B652" t="s">
        <v>149</v>
      </c>
      <c r="C652">
        <v>1547</v>
      </c>
      <c r="D652" t="s">
        <v>413</v>
      </c>
      <c r="F652" t="s">
        <v>10</v>
      </c>
      <c r="G652" t="s">
        <v>172</v>
      </c>
      <c r="H652" t="s">
        <v>157</v>
      </c>
      <c r="I652" t="s">
        <v>4</v>
      </c>
      <c r="J652" t="s">
        <v>152</v>
      </c>
      <c r="K652" t="s">
        <v>174</v>
      </c>
      <c r="L652">
        <v>251200741</v>
      </c>
      <c r="M652" s="84">
        <v>46015</v>
      </c>
      <c r="N652" s="84">
        <v>46015</v>
      </c>
      <c r="O652" t="s">
        <v>160</v>
      </c>
      <c r="P652" t="s">
        <v>161</v>
      </c>
      <c r="Q652">
        <v>5500</v>
      </c>
      <c r="R652">
        <v>10</v>
      </c>
      <c r="S652">
        <v>55000</v>
      </c>
      <c r="T652">
        <v>0</v>
      </c>
      <c r="U652">
        <v>0</v>
      </c>
      <c r="V652">
        <v>10</v>
      </c>
      <c r="W652">
        <v>55000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</row>
    <row r="653" spans="1:29">
      <c r="A653">
        <v>1233</v>
      </c>
      <c r="B653" t="s">
        <v>149</v>
      </c>
      <c r="C653">
        <v>1547</v>
      </c>
      <c r="D653" t="s">
        <v>413</v>
      </c>
      <c r="F653" t="s">
        <v>10</v>
      </c>
      <c r="G653" t="s">
        <v>172</v>
      </c>
      <c r="H653" t="s">
        <v>157</v>
      </c>
      <c r="I653" t="s">
        <v>4</v>
      </c>
      <c r="J653" t="s">
        <v>152</v>
      </c>
      <c r="K653" t="s">
        <v>174</v>
      </c>
      <c r="L653">
        <v>251200741</v>
      </c>
      <c r="M653" s="84">
        <v>46015</v>
      </c>
      <c r="N653" s="84">
        <v>46015</v>
      </c>
      <c r="O653" t="s">
        <v>206</v>
      </c>
      <c r="P653" t="s">
        <v>207</v>
      </c>
      <c r="Q653">
        <v>5500</v>
      </c>
      <c r="R653">
        <v>5</v>
      </c>
      <c r="S653">
        <v>27500</v>
      </c>
      <c r="T653">
        <v>0</v>
      </c>
      <c r="U653">
        <v>0</v>
      </c>
      <c r="V653">
        <v>5</v>
      </c>
      <c r="W653">
        <v>27500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</row>
    <row r="654" spans="1:29">
      <c r="A654">
        <v>1234</v>
      </c>
      <c r="B654" t="s">
        <v>149</v>
      </c>
      <c r="C654">
        <v>1511</v>
      </c>
      <c r="D654" t="s">
        <v>414</v>
      </c>
      <c r="F654" t="s">
        <v>10</v>
      </c>
      <c r="G654" t="s">
        <v>172</v>
      </c>
      <c r="H654" t="s">
        <v>157</v>
      </c>
      <c r="I654" t="s">
        <v>4</v>
      </c>
      <c r="J654" t="s">
        <v>152</v>
      </c>
      <c r="K654" t="s">
        <v>174</v>
      </c>
      <c r="L654">
        <v>251200742</v>
      </c>
      <c r="M654" s="84">
        <v>46015</v>
      </c>
      <c r="N654" s="84">
        <v>46015</v>
      </c>
      <c r="O654" t="s">
        <v>160</v>
      </c>
      <c r="P654" t="s">
        <v>161</v>
      </c>
      <c r="Q654">
        <v>5500</v>
      </c>
      <c r="R654">
        <v>10</v>
      </c>
      <c r="S654">
        <v>55000</v>
      </c>
      <c r="T654">
        <v>0</v>
      </c>
      <c r="U654">
        <v>0</v>
      </c>
      <c r="V654">
        <v>10</v>
      </c>
      <c r="W654">
        <v>55000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 spans="1:29">
      <c r="A655">
        <v>1235</v>
      </c>
      <c r="B655" t="s">
        <v>149</v>
      </c>
      <c r="C655">
        <v>1511</v>
      </c>
      <c r="D655" t="s">
        <v>414</v>
      </c>
      <c r="F655" t="s">
        <v>10</v>
      </c>
      <c r="G655" t="s">
        <v>172</v>
      </c>
      <c r="H655" t="s">
        <v>157</v>
      </c>
      <c r="I655" t="s">
        <v>4</v>
      </c>
      <c r="J655" t="s">
        <v>152</v>
      </c>
      <c r="K655" t="s">
        <v>174</v>
      </c>
      <c r="L655">
        <v>251200742</v>
      </c>
      <c r="M655" s="84">
        <v>46015</v>
      </c>
      <c r="N655" s="84">
        <v>46015</v>
      </c>
      <c r="O655" t="s">
        <v>290</v>
      </c>
      <c r="P655" t="s">
        <v>291</v>
      </c>
      <c r="Q655">
        <v>5500</v>
      </c>
      <c r="R655">
        <v>10</v>
      </c>
      <c r="S655">
        <v>55000</v>
      </c>
      <c r="T655">
        <v>0</v>
      </c>
      <c r="U655">
        <v>0</v>
      </c>
      <c r="V655">
        <v>10</v>
      </c>
      <c r="W655">
        <v>55000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29">
      <c r="A656">
        <v>1236</v>
      </c>
      <c r="B656" t="s">
        <v>149</v>
      </c>
      <c r="C656">
        <v>1592</v>
      </c>
      <c r="D656" t="s">
        <v>415</v>
      </c>
      <c r="F656" t="s">
        <v>91</v>
      </c>
      <c r="G656" t="s">
        <v>202</v>
      </c>
      <c r="H656" t="s">
        <v>157</v>
      </c>
      <c r="I656" t="s">
        <v>4</v>
      </c>
      <c r="J656" t="s">
        <v>152</v>
      </c>
      <c r="K656" t="s">
        <v>159</v>
      </c>
      <c r="L656">
        <v>251200743</v>
      </c>
      <c r="M656" s="84">
        <v>46015</v>
      </c>
      <c r="N656" s="84">
        <v>46015</v>
      </c>
      <c r="O656" t="s">
        <v>248</v>
      </c>
      <c r="P656" t="s">
        <v>249</v>
      </c>
      <c r="Q656">
        <v>5500</v>
      </c>
      <c r="R656">
        <v>10</v>
      </c>
      <c r="S656">
        <v>55000</v>
      </c>
      <c r="T656">
        <v>0</v>
      </c>
      <c r="U656">
        <v>0</v>
      </c>
      <c r="V656">
        <v>10</v>
      </c>
      <c r="W656">
        <v>55000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</row>
    <row r="657" spans="1:29">
      <c r="A657">
        <v>1237</v>
      </c>
      <c r="B657" t="s">
        <v>149</v>
      </c>
      <c r="C657">
        <v>1592</v>
      </c>
      <c r="D657" t="s">
        <v>415</v>
      </c>
      <c r="F657" t="s">
        <v>91</v>
      </c>
      <c r="G657" t="s">
        <v>202</v>
      </c>
      <c r="H657" t="s">
        <v>157</v>
      </c>
      <c r="I657" t="s">
        <v>5</v>
      </c>
      <c r="J657" t="s">
        <v>152</v>
      </c>
      <c r="K657" t="s">
        <v>159</v>
      </c>
      <c r="L657">
        <v>251200743</v>
      </c>
      <c r="M657" s="84">
        <v>46015</v>
      </c>
      <c r="N657" s="84">
        <v>46015</v>
      </c>
      <c r="O657" t="s">
        <v>279</v>
      </c>
      <c r="P657" t="s">
        <v>280</v>
      </c>
      <c r="Q657">
        <v>4500</v>
      </c>
      <c r="R657">
        <v>20</v>
      </c>
      <c r="S657">
        <v>90000</v>
      </c>
      <c r="T657">
        <v>0</v>
      </c>
      <c r="U657">
        <v>0</v>
      </c>
      <c r="V657">
        <v>20</v>
      </c>
      <c r="W657">
        <v>90000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>
      <c r="A658">
        <v>1238</v>
      </c>
      <c r="B658" t="s">
        <v>149</v>
      </c>
      <c r="C658">
        <v>1592</v>
      </c>
      <c r="D658" t="s">
        <v>415</v>
      </c>
      <c r="F658" t="s">
        <v>91</v>
      </c>
      <c r="G658" t="s">
        <v>202</v>
      </c>
      <c r="H658" t="s">
        <v>157</v>
      </c>
      <c r="I658" t="s">
        <v>5</v>
      </c>
      <c r="J658" t="s">
        <v>152</v>
      </c>
      <c r="K658" t="s">
        <v>159</v>
      </c>
      <c r="L658">
        <v>251200743</v>
      </c>
      <c r="M658" s="84">
        <v>46015</v>
      </c>
      <c r="N658" s="84">
        <v>46015</v>
      </c>
      <c r="O658" t="s">
        <v>297</v>
      </c>
      <c r="P658" t="s">
        <v>298</v>
      </c>
      <c r="Q658">
        <v>4500</v>
      </c>
      <c r="R658">
        <v>12</v>
      </c>
      <c r="S658">
        <v>54000</v>
      </c>
      <c r="T658">
        <v>0</v>
      </c>
      <c r="U658">
        <v>0</v>
      </c>
      <c r="V658">
        <v>12</v>
      </c>
      <c r="W658">
        <v>54000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</row>
    <row r="659" spans="1:29">
      <c r="A659">
        <v>1239</v>
      </c>
      <c r="B659" t="s">
        <v>149</v>
      </c>
      <c r="C659">
        <v>1468</v>
      </c>
      <c r="D659" t="s">
        <v>342</v>
      </c>
      <c r="F659" t="s">
        <v>7</v>
      </c>
      <c r="G659" t="s">
        <v>156</v>
      </c>
      <c r="H659" t="s">
        <v>157</v>
      </c>
      <c r="I659" t="s">
        <v>5</v>
      </c>
      <c r="J659" t="s">
        <v>152</v>
      </c>
      <c r="K659" t="s">
        <v>159</v>
      </c>
      <c r="L659">
        <v>251200744</v>
      </c>
      <c r="M659" s="84">
        <v>46015</v>
      </c>
      <c r="N659" s="84">
        <v>46015</v>
      </c>
      <c r="O659" t="s">
        <v>191</v>
      </c>
      <c r="P659" t="s">
        <v>192</v>
      </c>
      <c r="Q659">
        <v>4500</v>
      </c>
      <c r="R659">
        <v>1</v>
      </c>
      <c r="S659">
        <v>4500</v>
      </c>
      <c r="T659">
        <v>0</v>
      </c>
      <c r="U659">
        <v>0</v>
      </c>
      <c r="V659">
        <v>1</v>
      </c>
      <c r="W659">
        <v>4500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 spans="1:29">
      <c r="A660">
        <v>1244</v>
      </c>
      <c r="B660" t="s">
        <v>149</v>
      </c>
      <c r="C660">
        <v>1288</v>
      </c>
      <c r="D660" t="s">
        <v>367</v>
      </c>
      <c r="F660" t="s">
        <v>43</v>
      </c>
      <c r="G660" t="s">
        <v>150</v>
      </c>
      <c r="H660" t="s">
        <v>151</v>
      </c>
      <c r="I660" t="s">
        <v>4</v>
      </c>
      <c r="J660" t="s">
        <v>152</v>
      </c>
      <c r="K660" t="s">
        <v>153</v>
      </c>
      <c r="L660">
        <v>251200746</v>
      </c>
      <c r="M660" s="84">
        <v>46015</v>
      </c>
      <c r="N660" s="84">
        <v>46015</v>
      </c>
      <c r="O660" t="s">
        <v>154</v>
      </c>
      <c r="P660" t="s">
        <v>155</v>
      </c>
      <c r="Q660">
        <v>5500</v>
      </c>
      <c r="R660">
        <v>5</v>
      </c>
      <c r="S660">
        <v>27500</v>
      </c>
      <c r="T660">
        <v>0</v>
      </c>
      <c r="U660">
        <v>0</v>
      </c>
      <c r="V660">
        <v>5</v>
      </c>
      <c r="W660">
        <v>27500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1:29">
      <c r="A661">
        <v>1245</v>
      </c>
      <c r="B661" t="s">
        <v>149</v>
      </c>
      <c r="C661">
        <v>1288</v>
      </c>
      <c r="D661" t="s">
        <v>367</v>
      </c>
      <c r="F661" t="s">
        <v>43</v>
      </c>
      <c r="G661" t="s">
        <v>150</v>
      </c>
      <c r="H661" t="s">
        <v>151</v>
      </c>
      <c r="I661" t="s">
        <v>4</v>
      </c>
      <c r="J661" t="s">
        <v>152</v>
      </c>
      <c r="K661" t="s">
        <v>153</v>
      </c>
      <c r="L661">
        <v>251200746</v>
      </c>
      <c r="M661" s="84">
        <v>46015</v>
      </c>
      <c r="N661" s="84">
        <v>46015</v>
      </c>
      <c r="O661" t="s">
        <v>160</v>
      </c>
      <c r="P661" t="s">
        <v>161</v>
      </c>
      <c r="Q661">
        <v>5500</v>
      </c>
      <c r="R661">
        <v>25</v>
      </c>
      <c r="S661">
        <v>137500</v>
      </c>
      <c r="T661">
        <v>0</v>
      </c>
      <c r="U661">
        <v>0</v>
      </c>
      <c r="V661">
        <v>25</v>
      </c>
      <c r="W661">
        <v>137500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</row>
    <row r="662" spans="1:29">
      <c r="A662">
        <v>1247</v>
      </c>
      <c r="B662" t="s">
        <v>149</v>
      </c>
      <c r="C662">
        <v>1478</v>
      </c>
      <c r="D662" t="s">
        <v>314</v>
      </c>
      <c r="F662" t="s">
        <v>111</v>
      </c>
      <c r="G662" t="s">
        <v>150</v>
      </c>
      <c r="H662" t="s">
        <v>151</v>
      </c>
      <c r="I662" t="s">
        <v>4</v>
      </c>
      <c r="J662" t="s">
        <v>152</v>
      </c>
      <c r="K662" t="s">
        <v>153</v>
      </c>
      <c r="L662">
        <v>251200748</v>
      </c>
      <c r="M662" s="84">
        <v>46019</v>
      </c>
      <c r="N662" s="84">
        <v>46019</v>
      </c>
      <c r="O662" t="s">
        <v>219</v>
      </c>
      <c r="P662" t="s">
        <v>220</v>
      </c>
      <c r="Q662">
        <v>5500</v>
      </c>
      <c r="R662">
        <v>20</v>
      </c>
      <c r="S662">
        <v>110000</v>
      </c>
      <c r="T662">
        <v>0</v>
      </c>
      <c r="U662">
        <v>0</v>
      </c>
      <c r="V662">
        <v>20</v>
      </c>
      <c r="W662">
        <v>110000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</row>
    <row r="663" spans="1:29">
      <c r="A663">
        <v>1248</v>
      </c>
      <c r="B663" t="s">
        <v>149</v>
      </c>
      <c r="C663">
        <v>1478</v>
      </c>
      <c r="D663" t="s">
        <v>314</v>
      </c>
      <c r="F663" t="s">
        <v>111</v>
      </c>
      <c r="G663" t="s">
        <v>150</v>
      </c>
      <c r="H663" t="s">
        <v>151</v>
      </c>
      <c r="I663" t="s">
        <v>5</v>
      </c>
      <c r="J663" t="s">
        <v>152</v>
      </c>
      <c r="K663" t="s">
        <v>153</v>
      </c>
      <c r="L663">
        <v>251200748</v>
      </c>
      <c r="M663" s="84">
        <v>46019</v>
      </c>
      <c r="N663" s="84">
        <v>46019</v>
      </c>
      <c r="O663" t="s">
        <v>191</v>
      </c>
      <c r="P663" t="s">
        <v>192</v>
      </c>
      <c r="Q663">
        <v>4500</v>
      </c>
      <c r="R663">
        <v>12</v>
      </c>
      <c r="S663">
        <v>54000</v>
      </c>
      <c r="T663">
        <v>0</v>
      </c>
      <c r="U663">
        <v>0</v>
      </c>
      <c r="V663">
        <v>12</v>
      </c>
      <c r="W663">
        <v>54000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</row>
    <row r="664" spans="1:29">
      <c r="A664">
        <v>1249</v>
      </c>
      <c r="B664" t="s">
        <v>149</v>
      </c>
      <c r="C664">
        <v>1551</v>
      </c>
      <c r="D664" t="s">
        <v>316</v>
      </c>
      <c r="F664" t="s">
        <v>111</v>
      </c>
      <c r="G664" t="s">
        <v>150</v>
      </c>
      <c r="H664" t="s">
        <v>151</v>
      </c>
      <c r="I664" t="s">
        <v>4</v>
      </c>
      <c r="J664" t="s">
        <v>152</v>
      </c>
      <c r="K664" t="s">
        <v>153</v>
      </c>
      <c r="L664">
        <v>251200749</v>
      </c>
      <c r="M664" s="84">
        <v>46019</v>
      </c>
      <c r="N664" s="84">
        <v>46019</v>
      </c>
      <c r="O664" t="s">
        <v>160</v>
      </c>
      <c r="P664" t="s">
        <v>161</v>
      </c>
      <c r="Q664">
        <v>5500</v>
      </c>
      <c r="R664">
        <v>20</v>
      </c>
      <c r="S664">
        <v>110000</v>
      </c>
      <c r="T664">
        <v>0</v>
      </c>
      <c r="U664">
        <v>0</v>
      </c>
      <c r="V664">
        <v>20</v>
      </c>
      <c r="W664">
        <v>110000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</row>
    <row r="665" spans="1:29">
      <c r="A665">
        <v>1250</v>
      </c>
      <c r="B665" t="s">
        <v>149</v>
      </c>
      <c r="C665">
        <v>1551</v>
      </c>
      <c r="D665" t="s">
        <v>316</v>
      </c>
      <c r="F665" t="s">
        <v>111</v>
      </c>
      <c r="G665" t="s">
        <v>150</v>
      </c>
      <c r="H665" t="s">
        <v>151</v>
      </c>
      <c r="I665" t="s">
        <v>5</v>
      </c>
      <c r="J665" t="s">
        <v>152</v>
      </c>
      <c r="K665" t="s">
        <v>153</v>
      </c>
      <c r="L665">
        <v>251200749</v>
      </c>
      <c r="M665" s="84">
        <v>46019</v>
      </c>
      <c r="N665" s="84">
        <v>46019</v>
      </c>
      <c r="O665" t="s">
        <v>191</v>
      </c>
      <c r="P665" t="s">
        <v>192</v>
      </c>
      <c r="Q665">
        <v>4500</v>
      </c>
      <c r="R665">
        <v>12</v>
      </c>
      <c r="S665">
        <v>54000</v>
      </c>
      <c r="T665">
        <v>0</v>
      </c>
      <c r="U665">
        <v>0</v>
      </c>
      <c r="V665">
        <v>12</v>
      </c>
      <c r="W665">
        <v>54000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</row>
    <row r="666" spans="1:29">
      <c r="A666">
        <v>1251</v>
      </c>
      <c r="B666" t="s">
        <v>149</v>
      </c>
      <c r="C666">
        <v>1593</v>
      </c>
      <c r="D666" t="s">
        <v>343</v>
      </c>
      <c r="F666" t="s">
        <v>111</v>
      </c>
      <c r="G666" t="s">
        <v>150</v>
      </c>
      <c r="H666" t="s">
        <v>151</v>
      </c>
      <c r="I666" t="s">
        <v>4</v>
      </c>
      <c r="J666" t="s">
        <v>152</v>
      </c>
      <c r="K666" t="s">
        <v>153</v>
      </c>
      <c r="L666">
        <v>251200750</v>
      </c>
      <c r="M666" s="84">
        <v>46019</v>
      </c>
      <c r="N666" s="84">
        <v>46019</v>
      </c>
      <c r="O666" t="s">
        <v>267</v>
      </c>
      <c r="P666" t="s">
        <v>268</v>
      </c>
      <c r="Q666">
        <v>5500</v>
      </c>
      <c r="R666">
        <v>5</v>
      </c>
      <c r="S666">
        <v>27500</v>
      </c>
      <c r="T666">
        <v>0</v>
      </c>
      <c r="U666">
        <v>0</v>
      </c>
      <c r="V666">
        <v>5</v>
      </c>
      <c r="W666">
        <v>27500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</row>
    <row r="667" spans="1:29">
      <c r="A667">
        <v>1252</v>
      </c>
      <c r="B667" t="s">
        <v>149</v>
      </c>
      <c r="C667">
        <v>1593</v>
      </c>
      <c r="D667" t="s">
        <v>343</v>
      </c>
      <c r="F667" t="s">
        <v>111</v>
      </c>
      <c r="G667" t="s">
        <v>150</v>
      </c>
      <c r="H667" t="s">
        <v>151</v>
      </c>
      <c r="I667" t="s">
        <v>4</v>
      </c>
      <c r="J667" t="s">
        <v>152</v>
      </c>
      <c r="K667" t="s">
        <v>153</v>
      </c>
      <c r="L667">
        <v>251200750</v>
      </c>
      <c r="M667" s="84">
        <v>46019</v>
      </c>
      <c r="N667" s="84">
        <v>46019</v>
      </c>
      <c r="O667" t="s">
        <v>154</v>
      </c>
      <c r="P667" t="s">
        <v>155</v>
      </c>
      <c r="Q667">
        <v>5500</v>
      </c>
      <c r="R667">
        <v>5</v>
      </c>
      <c r="S667">
        <v>27500</v>
      </c>
      <c r="T667">
        <v>0</v>
      </c>
      <c r="U667">
        <v>0</v>
      </c>
      <c r="V667">
        <v>5</v>
      </c>
      <c r="W667">
        <v>27500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</row>
    <row r="668" spans="1:29">
      <c r="A668">
        <v>1254</v>
      </c>
      <c r="B668" t="s">
        <v>149</v>
      </c>
      <c r="C668">
        <v>1308</v>
      </c>
      <c r="D668" t="s">
        <v>368</v>
      </c>
      <c r="F668" t="s">
        <v>49</v>
      </c>
      <c r="G668" t="s">
        <v>167</v>
      </c>
      <c r="H668" t="s">
        <v>151</v>
      </c>
      <c r="I668" t="s">
        <v>5</v>
      </c>
      <c r="J668" t="s">
        <v>152</v>
      </c>
      <c r="K668" t="s">
        <v>153</v>
      </c>
      <c r="L668">
        <v>251200752</v>
      </c>
      <c r="M668" s="84">
        <v>46019</v>
      </c>
      <c r="N668" s="84">
        <v>46019</v>
      </c>
      <c r="O668" t="s">
        <v>191</v>
      </c>
      <c r="P668" t="s">
        <v>192</v>
      </c>
      <c r="Q668">
        <v>4500</v>
      </c>
      <c r="R668">
        <v>200</v>
      </c>
      <c r="S668">
        <v>900000</v>
      </c>
      <c r="T668">
        <v>0</v>
      </c>
      <c r="U668">
        <v>0</v>
      </c>
      <c r="V668">
        <v>200</v>
      </c>
      <c r="W668">
        <v>900000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</row>
    <row r="669" spans="1:29">
      <c r="A669">
        <v>1258</v>
      </c>
      <c r="B669" t="s">
        <v>149</v>
      </c>
      <c r="C669">
        <v>1471</v>
      </c>
      <c r="D669" t="s">
        <v>369</v>
      </c>
      <c r="F669" t="s">
        <v>73</v>
      </c>
      <c r="G669" t="s">
        <v>185</v>
      </c>
      <c r="H669" t="s">
        <v>151</v>
      </c>
      <c r="I669" t="s">
        <v>4</v>
      </c>
      <c r="J669" t="s">
        <v>152</v>
      </c>
      <c r="K669" t="s">
        <v>153</v>
      </c>
      <c r="L669">
        <v>251200755</v>
      </c>
      <c r="M669" s="84">
        <v>46019</v>
      </c>
      <c r="N669" s="84">
        <v>46019</v>
      </c>
      <c r="O669" t="s">
        <v>168</v>
      </c>
      <c r="P669" t="s">
        <v>169</v>
      </c>
      <c r="Q669">
        <v>5500</v>
      </c>
      <c r="R669">
        <v>8</v>
      </c>
      <c r="S669">
        <v>44000</v>
      </c>
      <c r="T669">
        <v>0</v>
      </c>
      <c r="U669">
        <v>0</v>
      </c>
      <c r="V669">
        <v>8</v>
      </c>
      <c r="W669">
        <v>44000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</row>
    <row r="670" spans="1:29">
      <c r="A670">
        <v>1260</v>
      </c>
      <c r="B670" t="s">
        <v>149</v>
      </c>
      <c r="C670">
        <v>1298</v>
      </c>
      <c r="D670" t="s">
        <v>389</v>
      </c>
      <c r="F670" t="s">
        <v>83</v>
      </c>
      <c r="G670" t="s">
        <v>164</v>
      </c>
      <c r="H670" t="s">
        <v>151</v>
      </c>
      <c r="I670" t="s">
        <v>5</v>
      </c>
      <c r="J670" t="s">
        <v>152</v>
      </c>
      <c r="K670" t="s">
        <v>153</v>
      </c>
      <c r="L670">
        <v>251200757</v>
      </c>
      <c r="M670" s="84">
        <v>46019</v>
      </c>
      <c r="N670" s="84">
        <v>46019</v>
      </c>
      <c r="O670" t="s">
        <v>191</v>
      </c>
      <c r="P670" t="s">
        <v>192</v>
      </c>
      <c r="Q670">
        <v>4500</v>
      </c>
      <c r="R670">
        <v>70</v>
      </c>
      <c r="S670">
        <v>315000</v>
      </c>
      <c r="T670">
        <v>0</v>
      </c>
      <c r="U670">
        <v>0</v>
      </c>
      <c r="V670">
        <v>70</v>
      </c>
      <c r="W670">
        <v>315000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</row>
    <row r="671" spans="1:29">
      <c r="A671">
        <v>1261</v>
      </c>
      <c r="B671" t="s">
        <v>149</v>
      </c>
      <c r="C671">
        <v>1298</v>
      </c>
      <c r="D671" t="s">
        <v>389</v>
      </c>
      <c r="F671" t="s">
        <v>83</v>
      </c>
      <c r="G671" t="s">
        <v>164</v>
      </c>
      <c r="H671" t="s">
        <v>151</v>
      </c>
      <c r="I671" t="s">
        <v>4</v>
      </c>
      <c r="J671" t="s">
        <v>152</v>
      </c>
      <c r="K671" t="s">
        <v>153</v>
      </c>
      <c r="L671">
        <v>251200757</v>
      </c>
      <c r="M671" s="84">
        <v>46019</v>
      </c>
      <c r="N671" s="84">
        <v>46019</v>
      </c>
      <c r="O671" t="s">
        <v>160</v>
      </c>
      <c r="P671" t="s">
        <v>161</v>
      </c>
      <c r="Q671">
        <v>5500</v>
      </c>
      <c r="R671">
        <v>30</v>
      </c>
      <c r="S671">
        <v>165000</v>
      </c>
      <c r="T671">
        <v>0</v>
      </c>
      <c r="U671">
        <v>0</v>
      </c>
      <c r="V671">
        <v>30</v>
      </c>
      <c r="W671">
        <v>165000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</row>
    <row r="672" spans="1:29">
      <c r="A672">
        <v>1263</v>
      </c>
      <c r="B672" t="s">
        <v>149</v>
      </c>
      <c r="C672">
        <v>1444</v>
      </c>
      <c r="D672" t="s">
        <v>341</v>
      </c>
      <c r="F672" t="s">
        <v>28</v>
      </c>
      <c r="G672" t="s">
        <v>164</v>
      </c>
      <c r="H672" t="s">
        <v>151</v>
      </c>
      <c r="I672" t="s">
        <v>4</v>
      </c>
      <c r="J672" t="s">
        <v>152</v>
      </c>
      <c r="K672" t="s">
        <v>153</v>
      </c>
      <c r="L672">
        <v>251200759</v>
      </c>
      <c r="M672" s="84">
        <v>46019</v>
      </c>
      <c r="N672" s="84">
        <v>46019</v>
      </c>
      <c r="O672" t="s">
        <v>160</v>
      </c>
      <c r="P672" t="s">
        <v>161</v>
      </c>
      <c r="Q672">
        <v>5500</v>
      </c>
      <c r="R672">
        <v>12</v>
      </c>
      <c r="S672">
        <v>66000</v>
      </c>
      <c r="T672">
        <v>0</v>
      </c>
      <c r="U672">
        <v>0</v>
      </c>
      <c r="V672">
        <v>12</v>
      </c>
      <c r="W672">
        <v>66000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</row>
    <row r="673" spans="1:29">
      <c r="A673">
        <v>1264</v>
      </c>
      <c r="B673" t="s">
        <v>149</v>
      </c>
      <c r="C673">
        <v>1331</v>
      </c>
      <c r="D673" t="s">
        <v>366</v>
      </c>
      <c r="F673" t="s">
        <v>28</v>
      </c>
      <c r="G673" t="s">
        <v>164</v>
      </c>
      <c r="H673" t="s">
        <v>151</v>
      </c>
      <c r="I673" t="s">
        <v>5</v>
      </c>
      <c r="J673" t="s">
        <v>152</v>
      </c>
      <c r="K673" t="s">
        <v>153</v>
      </c>
      <c r="L673">
        <v>251200760</v>
      </c>
      <c r="M673" s="84">
        <v>46019</v>
      </c>
      <c r="N673" s="84">
        <v>46019</v>
      </c>
      <c r="O673" t="s">
        <v>191</v>
      </c>
      <c r="P673" t="s">
        <v>192</v>
      </c>
      <c r="Q673">
        <v>4500</v>
      </c>
      <c r="R673">
        <v>32</v>
      </c>
      <c r="S673">
        <v>144000</v>
      </c>
      <c r="T673">
        <v>0</v>
      </c>
      <c r="U673">
        <v>0</v>
      </c>
      <c r="V673">
        <v>32</v>
      </c>
      <c r="W673">
        <v>144000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>
      <c r="A674">
        <v>1265</v>
      </c>
      <c r="B674" t="s">
        <v>149</v>
      </c>
      <c r="C674">
        <v>1331</v>
      </c>
      <c r="D674" t="s">
        <v>366</v>
      </c>
      <c r="F674" t="s">
        <v>28</v>
      </c>
      <c r="G674" t="s">
        <v>164</v>
      </c>
      <c r="H674" t="s">
        <v>151</v>
      </c>
      <c r="I674" t="s">
        <v>5</v>
      </c>
      <c r="J674" t="s">
        <v>152</v>
      </c>
      <c r="K674" t="s">
        <v>153</v>
      </c>
      <c r="L674">
        <v>251200760</v>
      </c>
      <c r="M674" s="84">
        <v>46019</v>
      </c>
      <c r="N674" s="84">
        <v>46019</v>
      </c>
      <c r="O674" t="s">
        <v>297</v>
      </c>
      <c r="P674" t="s">
        <v>298</v>
      </c>
      <c r="Q674">
        <v>4500</v>
      </c>
      <c r="R674">
        <v>40</v>
      </c>
      <c r="S674">
        <v>180000</v>
      </c>
      <c r="T674">
        <v>0</v>
      </c>
      <c r="U674">
        <v>0</v>
      </c>
      <c r="V674">
        <v>40</v>
      </c>
      <c r="W674">
        <v>180000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 spans="1:29">
      <c r="A675">
        <v>1266</v>
      </c>
      <c r="B675" t="s">
        <v>149</v>
      </c>
      <c r="C675">
        <v>1331</v>
      </c>
      <c r="D675" t="s">
        <v>366</v>
      </c>
      <c r="F675" t="s">
        <v>28</v>
      </c>
      <c r="G675" t="s">
        <v>164</v>
      </c>
      <c r="H675" t="s">
        <v>151</v>
      </c>
      <c r="I675" t="s">
        <v>5</v>
      </c>
      <c r="J675" t="s">
        <v>152</v>
      </c>
      <c r="K675" t="s">
        <v>153</v>
      </c>
      <c r="L675">
        <v>251200760</v>
      </c>
      <c r="M675" s="84">
        <v>46019</v>
      </c>
      <c r="N675" s="84">
        <v>46019</v>
      </c>
      <c r="O675" t="s">
        <v>194</v>
      </c>
      <c r="P675" t="s">
        <v>195</v>
      </c>
      <c r="Q675">
        <v>4500</v>
      </c>
      <c r="R675">
        <v>8</v>
      </c>
      <c r="S675">
        <v>36000</v>
      </c>
      <c r="T675">
        <v>0</v>
      </c>
      <c r="U675">
        <v>0</v>
      </c>
      <c r="V675">
        <v>8</v>
      </c>
      <c r="W675">
        <v>36000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>
      <c r="A676">
        <v>1267</v>
      </c>
      <c r="B676" t="s">
        <v>149</v>
      </c>
      <c r="C676">
        <v>1331</v>
      </c>
      <c r="D676" t="s">
        <v>366</v>
      </c>
      <c r="F676" t="s">
        <v>28</v>
      </c>
      <c r="G676" t="s">
        <v>164</v>
      </c>
      <c r="H676" t="s">
        <v>151</v>
      </c>
      <c r="I676" t="s">
        <v>5</v>
      </c>
      <c r="J676" t="s">
        <v>152</v>
      </c>
      <c r="K676" t="s">
        <v>153</v>
      </c>
      <c r="L676">
        <v>251200761</v>
      </c>
      <c r="M676" s="84">
        <v>46019</v>
      </c>
      <c r="N676" s="84">
        <v>46019</v>
      </c>
      <c r="O676" t="s">
        <v>191</v>
      </c>
      <c r="P676" t="s">
        <v>192</v>
      </c>
      <c r="Q676">
        <v>4500</v>
      </c>
      <c r="R676">
        <v>40</v>
      </c>
      <c r="S676">
        <v>180000</v>
      </c>
      <c r="T676">
        <v>0</v>
      </c>
      <c r="U676">
        <v>0</v>
      </c>
      <c r="V676">
        <v>40</v>
      </c>
      <c r="W676">
        <v>180000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 spans="1:29">
      <c r="A677">
        <v>1269</v>
      </c>
      <c r="B677" t="s">
        <v>149</v>
      </c>
      <c r="C677">
        <v>1557</v>
      </c>
      <c r="D677" t="s">
        <v>344</v>
      </c>
      <c r="F677" t="s">
        <v>111</v>
      </c>
      <c r="G677" t="s">
        <v>150</v>
      </c>
      <c r="H677" t="s">
        <v>151</v>
      </c>
      <c r="I677" t="s">
        <v>4</v>
      </c>
      <c r="J677" t="s">
        <v>152</v>
      </c>
      <c r="K677" t="s">
        <v>153</v>
      </c>
      <c r="L677">
        <v>251200763</v>
      </c>
      <c r="M677" s="84">
        <v>46019</v>
      </c>
      <c r="N677" s="84">
        <v>46019</v>
      </c>
      <c r="O677" t="s">
        <v>243</v>
      </c>
      <c r="P677" t="s">
        <v>244</v>
      </c>
      <c r="Q677">
        <v>5700</v>
      </c>
      <c r="R677">
        <v>10</v>
      </c>
      <c r="S677">
        <v>57000</v>
      </c>
      <c r="T677">
        <v>0</v>
      </c>
      <c r="U677">
        <v>0</v>
      </c>
      <c r="V677">
        <v>10</v>
      </c>
      <c r="W677">
        <v>57000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</row>
    <row r="678" spans="1:29">
      <c r="A678">
        <v>1271</v>
      </c>
      <c r="B678" t="s">
        <v>149</v>
      </c>
      <c r="C678">
        <v>1557</v>
      </c>
      <c r="D678" t="s">
        <v>344</v>
      </c>
      <c r="F678" t="s">
        <v>111</v>
      </c>
      <c r="G678" t="s">
        <v>150</v>
      </c>
      <c r="H678" t="s">
        <v>151</v>
      </c>
      <c r="I678" t="s">
        <v>4</v>
      </c>
      <c r="J678" t="s">
        <v>152</v>
      </c>
      <c r="K678" t="s">
        <v>153</v>
      </c>
      <c r="L678">
        <v>251200765</v>
      </c>
      <c r="M678" s="84">
        <v>46019</v>
      </c>
      <c r="N678" s="84">
        <v>46019</v>
      </c>
      <c r="O678" t="s">
        <v>179</v>
      </c>
      <c r="P678" t="s">
        <v>180</v>
      </c>
      <c r="Q678">
        <v>5500</v>
      </c>
      <c r="R678">
        <v>5</v>
      </c>
      <c r="S678">
        <v>27500</v>
      </c>
      <c r="T678">
        <v>0</v>
      </c>
      <c r="U678">
        <v>0</v>
      </c>
      <c r="V678">
        <v>5</v>
      </c>
      <c r="W678">
        <v>27500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</row>
    <row r="679" spans="1:29">
      <c r="A679">
        <v>1273</v>
      </c>
      <c r="B679" t="s">
        <v>149</v>
      </c>
      <c r="C679">
        <v>1550</v>
      </c>
      <c r="D679" t="s">
        <v>337</v>
      </c>
      <c r="F679" t="s">
        <v>15</v>
      </c>
      <c r="G679" t="s">
        <v>193</v>
      </c>
      <c r="H679" t="s">
        <v>151</v>
      </c>
      <c r="I679" t="s">
        <v>5</v>
      </c>
      <c r="J679" t="s">
        <v>152</v>
      </c>
      <c r="K679" t="s">
        <v>153</v>
      </c>
      <c r="L679">
        <v>251200767</v>
      </c>
      <c r="M679" s="84">
        <v>46019</v>
      </c>
      <c r="N679" s="84">
        <v>46019</v>
      </c>
      <c r="O679" t="s">
        <v>191</v>
      </c>
      <c r="P679" t="s">
        <v>192</v>
      </c>
      <c r="Q679">
        <v>4500</v>
      </c>
      <c r="R679">
        <v>20</v>
      </c>
      <c r="S679">
        <v>90000</v>
      </c>
      <c r="T679">
        <v>0</v>
      </c>
      <c r="U679">
        <v>0</v>
      </c>
      <c r="V679">
        <v>20</v>
      </c>
      <c r="W679">
        <v>90000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</row>
    <row r="680" spans="1:29">
      <c r="A680">
        <v>1274</v>
      </c>
      <c r="B680" t="s">
        <v>149</v>
      </c>
      <c r="C680">
        <v>1550</v>
      </c>
      <c r="D680" t="s">
        <v>337</v>
      </c>
      <c r="F680" t="s">
        <v>15</v>
      </c>
      <c r="G680" t="s">
        <v>193</v>
      </c>
      <c r="H680" t="s">
        <v>151</v>
      </c>
      <c r="I680" t="s">
        <v>5</v>
      </c>
      <c r="J680" t="s">
        <v>152</v>
      </c>
      <c r="K680" t="s">
        <v>153</v>
      </c>
      <c r="L680">
        <v>251200767</v>
      </c>
      <c r="M680" s="84">
        <v>46019</v>
      </c>
      <c r="N680" s="84">
        <v>46019</v>
      </c>
      <c r="O680" t="s">
        <v>260</v>
      </c>
      <c r="P680" t="s">
        <v>261</v>
      </c>
      <c r="Q680">
        <v>4500</v>
      </c>
      <c r="R680">
        <v>12</v>
      </c>
      <c r="S680">
        <v>54000</v>
      </c>
      <c r="T680">
        <v>0</v>
      </c>
      <c r="U680">
        <v>0</v>
      </c>
      <c r="V680">
        <v>12</v>
      </c>
      <c r="W680">
        <v>54000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</row>
    <row r="681" spans="1:29">
      <c r="A681">
        <v>1275</v>
      </c>
      <c r="B681" t="s">
        <v>149</v>
      </c>
      <c r="C681">
        <v>1312</v>
      </c>
      <c r="D681" t="s">
        <v>359</v>
      </c>
      <c r="F681" t="s">
        <v>15</v>
      </c>
      <c r="G681" t="s">
        <v>193</v>
      </c>
      <c r="H681" t="s">
        <v>151</v>
      </c>
      <c r="I681" t="s">
        <v>5</v>
      </c>
      <c r="J681" t="s">
        <v>152</v>
      </c>
      <c r="K681" t="s">
        <v>153</v>
      </c>
      <c r="L681">
        <v>251200768</v>
      </c>
      <c r="M681" s="84">
        <v>46019</v>
      </c>
      <c r="N681" s="84">
        <v>46019</v>
      </c>
      <c r="O681" t="s">
        <v>196</v>
      </c>
      <c r="P681" t="s">
        <v>197</v>
      </c>
      <c r="Q681">
        <v>4500</v>
      </c>
      <c r="R681">
        <v>12</v>
      </c>
      <c r="S681">
        <v>54000</v>
      </c>
      <c r="T681">
        <v>0</v>
      </c>
      <c r="U681">
        <v>0</v>
      </c>
      <c r="V681">
        <v>12</v>
      </c>
      <c r="W681">
        <v>54000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</row>
    <row r="682" spans="1:29">
      <c r="A682">
        <v>1276</v>
      </c>
      <c r="B682" t="s">
        <v>149</v>
      </c>
      <c r="C682">
        <v>1550</v>
      </c>
      <c r="D682" t="s">
        <v>337</v>
      </c>
      <c r="F682" t="s">
        <v>15</v>
      </c>
      <c r="G682" t="s">
        <v>193</v>
      </c>
      <c r="H682" t="s">
        <v>151</v>
      </c>
      <c r="I682" t="s">
        <v>5</v>
      </c>
      <c r="J682" t="s">
        <v>152</v>
      </c>
      <c r="K682" t="s">
        <v>153</v>
      </c>
      <c r="L682">
        <v>251200769</v>
      </c>
      <c r="M682" s="84">
        <v>46019</v>
      </c>
      <c r="N682" s="84">
        <v>46019</v>
      </c>
      <c r="O682" t="s">
        <v>194</v>
      </c>
      <c r="P682" t="s">
        <v>195</v>
      </c>
      <c r="Q682">
        <v>4500</v>
      </c>
      <c r="R682">
        <v>8</v>
      </c>
      <c r="S682">
        <v>36000</v>
      </c>
      <c r="T682">
        <v>0</v>
      </c>
      <c r="U682">
        <v>0</v>
      </c>
      <c r="V682">
        <v>8</v>
      </c>
      <c r="W682">
        <v>36000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</row>
    <row r="683" spans="1:29">
      <c r="A683">
        <v>1277</v>
      </c>
      <c r="B683" t="s">
        <v>149</v>
      </c>
      <c r="C683">
        <v>1326</v>
      </c>
      <c r="D683" t="s">
        <v>338</v>
      </c>
      <c r="F683" t="s">
        <v>15</v>
      </c>
      <c r="G683" t="s">
        <v>193</v>
      </c>
      <c r="H683" t="s">
        <v>151</v>
      </c>
      <c r="I683" t="s">
        <v>5</v>
      </c>
      <c r="J683" t="s">
        <v>152</v>
      </c>
      <c r="K683" t="s">
        <v>153</v>
      </c>
      <c r="L683">
        <v>251200770</v>
      </c>
      <c r="M683" s="84">
        <v>46019</v>
      </c>
      <c r="N683" s="84">
        <v>46019</v>
      </c>
      <c r="O683" t="s">
        <v>191</v>
      </c>
      <c r="P683" t="s">
        <v>192</v>
      </c>
      <c r="Q683">
        <v>4500</v>
      </c>
      <c r="R683">
        <v>60</v>
      </c>
      <c r="S683">
        <v>270000</v>
      </c>
      <c r="T683">
        <v>0</v>
      </c>
      <c r="U683">
        <v>0</v>
      </c>
      <c r="V683">
        <v>60</v>
      </c>
      <c r="W683">
        <v>270000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</row>
    <row r="684" spans="1:29">
      <c r="A684">
        <v>1278</v>
      </c>
      <c r="B684" t="s">
        <v>149</v>
      </c>
      <c r="C684">
        <v>1455</v>
      </c>
      <c r="D684" t="s">
        <v>323</v>
      </c>
      <c r="F684" t="s">
        <v>171</v>
      </c>
      <c r="G684" t="s">
        <v>172</v>
      </c>
      <c r="H684" t="s">
        <v>157</v>
      </c>
      <c r="I684" t="s">
        <v>4</v>
      </c>
      <c r="J684" t="s">
        <v>152</v>
      </c>
      <c r="K684" t="s">
        <v>174</v>
      </c>
      <c r="L684">
        <v>251200771</v>
      </c>
      <c r="M684" s="84">
        <v>46019</v>
      </c>
      <c r="N684" s="84">
        <v>46019</v>
      </c>
      <c r="O684" t="s">
        <v>248</v>
      </c>
      <c r="P684" t="s">
        <v>249</v>
      </c>
      <c r="Q684">
        <v>5500</v>
      </c>
      <c r="R684">
        <v>10</v>
      </c>
      <c r="S684">
        <v>55000</v>
      </c>
      <c r="T684">
        <v>0</v>
      </c>
      <c r="U684">
        <v>0</v>
      </c>
      <c r="V684">
        <v>10</v>
      </c>
      <c r="W684">
        <v>55000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</row>
    <row r="685" spans="1:29">
      <c r="A685">
        <v>1287</v>
      </c>
      <c r="B685" t="s">
        <v>149</v>
      </c>
      <c r="C685">
        <v>1563</v>
      </c>
      <c r="D685" t="s">
        <v>348</v>
      </c>
      <c r="F685" t="s">
        <v>91</v>
      </c>
      <c r="G685" t="s">
        <v>202</v>
      </c>
      <c r="H685" t="s">
        <v>157</v>
      </c>
      <c r="I685" t="s">
        <v>5</v>
      </c>
      <c r="J685" t="s">
        <v>152</v>
      </c>
      <c r="K685" t="s">
        <v>159</v>
      </c>
      <c r="L685">
        <v>251200774</v>
      </c>
      <c r="M685" s="84">
        <v>46019</v>
      </c>
      <c r="N685" s="84">
        <v>46019</v>
      </c>
      <c r="O685" t="s">
        <v>191</v>
      </c>
      <c r="P685" t="s">
        <v>192</v>
      </c>
      <c r="Q685">
        <v>4500</v>
      </c>
      <c r="R685">
        <v>50</v>
      </c>
      <c r="S685">
        <v>225000</v>
      </c>
      <c r="T685">
        <v>0</v>
      </c>
      <c r="U685">
        <v>0</v>
      </c>
      <c r="V685">
        <v>50</v>
      </c>
      <c r="W685">
        <v>225000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</row>
    <row r="686" spans="1:29">
      <c r="A686">
        <v>1288</v>
      </c>
      <c r="B686" t="s">
        <v>149</v>
      </c>
      <c r="C686">
        <v>1606</v>
      </c>
      <c r="D686" t="s">
        <v>411</v>
      </c>
      <c r="F686" t="s">
        <v>86</v>
      </c>
      <c r="G686" t="s">
        <v>156</v>
      </c>
      <c r="H686" t="s">
        <v>157</v>
      </c>
      <c r="I686" t="s">
        <v>4</v>
      </c>
      <c r="J686" t="s">
        <v>152</v>
      </c>
      <c r="K686" t="s">
        <v>159</v>
      </c>
      <c r="L686">
        <v>251200775</v>
      </c>
      <c r="M686" s="84">
        <v>46019</v>
      </c>
      <c r="N686" s="84">
        <v>46019</v>
      </c>
      <c r="O686" t="s">
        <v>177</v>
      </c>
      <c r="P686" t="s">
        <v>178</v>
      </c>
      <c r="Q686">
        <v>5500</v>
      </c>
      <c r="R686">
        <v>10</v>
      </c>
      <c r="S686">
        <v>55000</v>
      </c>
      <c r="T686">
        <v>0</v>
      </c>
      <c r="U686">
        <v>0</v>
      </c>
      <c r="V686">
        <v>10</v>
      </c>
      <c r="W686">
        <v>55000</v>
      </c>
      <c r="X686">
        <v>1500</v>
      </c>
      <c r="Y686">
        <v>2000</v>
      </c>
      <c r="Z686">
        <v>0</v>
      </c>
      <c r="AA686">
        <v>0</v>
      </c>
      <c r="AB686">
        <v>0</v>
      </c>
      <c r="AC686">
        <v>3500</v>
      </c>
    </row>
    <row r="687" spans="1:29">
      <c r="A687">
        <v>1289</v>
      </c>
      <c r="B687" t="s">
        <v>149</v>
      </c>
      <c r="C687">
        <v>1606</v>
      </c>
      <c r="D687" t="s">
        <v>411</v>
      </c>
      <c r="F687" t="s">
        <v>86</v>
      </c>
      <c r="G687" t="s">
        <v>156</v>
      </c>
      <c r="H687" t="s">
        <v>157</v>
      </c>
      <c r="I687" t="s">
        <v>4</v>
      </c>
      <c r="J687" t="s">
        <v>152</v>
      </c>
      <c r="K687" t="s">
        <v>159</v>
      </c>
      <c r="L687">
        <v>251200775</v>
      </c>
      <c r="M687" s="84">
        <v>46019</v>
      </c>
      <c r="N687" s="84">
        <v>46019</v>
      </c>
      <c r="O687" t="s">
        <v>160</v>
      </c>
      <c r="P687" t="s">
        <v>161</v>
      </c>
      <c r="Q687">
        <v>5500</v>
      </c>
      <c r="R687">
        <v>10</v>
      </c>
      <c r="S687">
        <v>55000</v>
      </c>
      <c r="T687">
        <v>0</v>
      </c>
      <c r="U687">
        <v>0</v>
      </c>
      <c r="V687">
        <v>10</v>
      </c>
      <c r="W687">
        <v>55000</v>
      </c>
      <c r="X687">
        <v>1500</v>
      </c>
      <c r="Y687">
        <v>2000</v>
      </c>
      <c r="Z687">
        <v>0</v>
      </c>
      <c r="AA687">
        <v>0</v>
      </c>
      <c r="AB687">
        <v>0</v>
      </c>
      <c r="AC687">
        <v>3500</v>
      </c>
    </row>
    <row r="688" spans="1:29">
      <c r="A688">
        <v>1293</v>
      </c>
      <c r="B688" t="s">
        <v>149</v>
      </c>
      <c r="C688">
        <v>1553</v>
      </c>
      <c r="D688" t="s">
        <v>317</v>
      </c>
      <c r="F688" t="s">
        <v>43</v>
      </c>
      <c r="G688" t="s">
        <v>150</v>
      </c>
      <c r="H688" t="s">
        <v>151</v>
      </c>
      <c r="I688" t="s">
        <v>4</v>
      </c>
      <c r="J688" t="s">
        <v>152</v>
      </c>
      <c r="K688" t="s">
        <v>153</v>
      </c>
      <c r="L688">
        <v>251200778</v>
      </c>
      <c r="M688" s="84">
        <v>46019</v>
      </c>
      <c r="N688" s="84">
        <v>46019</v>
      </c>
      <c r="O688" t="s">
        <v>160</v>
      </c>
      <c r="P688" t="s">
        <v>161</v>
      </c>
      <c r="Q688">
        <v>5500</v>
      </c>
      <c r="R688">
        <v>10</v>
      </c>
      <c r="S688">
        <v>55000</v>
      </c>
      <c r="T688">
        <v>0</v>
      </c>
      <c r="U688">
        <v>0</v>
      </c>
      <c r="V688">
        <v>10</v>
      </c>
      <c r="W688">
        <v>55000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</row>
    <row r="689" spans="1:29">
      <c r="A689">
        <v>1294</v>
      </c>
      <c r="B689" t="s">
        <v>149</v>
      </c>
      <c r="C689">
        <v>1454</v>
      </c>
      <c r="D689" t="s">
        <v>362</v>
      </c>
      <c r="F689" t="s">
        <v>10</v>
      </c>
      <c r="G689" t="s">
        <v>172</v>
      </c>
      <c r="H689" t="s">
        <v>157</v>
      </c>
      <c r="I689" t="s">
        <v>4</v>
      </c>
      <c r="J689" t="s">
        <v>152</v>
      </c>
      <c r="K689" t="s">
        <v>174</v>
      </c>
      <c r="L689">
        <v>251200779</v>
      </c>
      <c r="M689" s="84">
        <v>46019</v>
      </c>
      <c r="N689" s="84">
        <v>46019</v>
      </c>
      <c r="O689" t="s">
        <v>204</v>
      </c>
      <c r="P689" t="s">
        <v>205</v>
      </c>
      <c r="Q689">
        <v>5500</v>
      </c>
      <c r="R689">
        <v>5</v>
      </c>
      <c r="S689">
        <v>27500</v>
      </c>
      <c r="T689">
        <v>0</v>
      </c>
      <c r="U689">
        <v>0</v>
      </c>
      <c r="V689">
        <v>5</v>
      </c>
      <c r="W689">
        <v>27500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 spans="1:29">
      <c r="A690">
        <v>1295</v>
      </c>
      <c r="B690" t="s">
        <v>149</v>
      </c>
      <c r="C690">
        <v>1428</v>
      </c>
      <c r="D690" t="s">
        <v>351</v>
      </c>
      <c r="F690" t="s">
        <v>171</v>
      </c>
      <c r="G690" t="s">
        <v>172</v>
      </c>
      <c r="H690" t="s">
        <v>157</v>
      </c>
      <c r="I690" t="s">
        <v>4</v>
      </c>
      <c r="J690" t="s">
        <v>152</v>
      </c>
      <c r="K690" t="s">
        <v>174</v>
      </c>
      <c r="L690">
        <v>251200780</v>
      </c>
      <c r="M690" s="84">
        <v>46019</v>
      </c>
      <c r="N690" s="84">
        <v>46019</v>
      </c>
      <c r="O690" t="s">
        <v>248</v>
      </c>
      <c r="P690" t="s">
        <v>249</v>
      </c>
      <c r="Q690">
        <v>5500</v>
      </c>
      <c r="R690">
        <v>5</v>
      </c>
      <c r="S690">
        <v>27500</v>
      </c>
      <c r="T690">
        <v>0</v>
      </c>
      <c r="U690">
        <v>0</v>
      </c>
      <c r="V690">
        <v>5</v>
      </c>
      <c r="W690">
        <v>27500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</row>
    <row r="691" spans="1:29">
      <c r="A691">
        <v>1296</v>
      </c>
      <c r="B691" t="s">
        <v>149</v>
      </c>
      <c r="C691">
        <v>1484</v>
      </c>
      <c r="D691" t="s">
        <v>331</v>
      </c>
      <c r="F691" t="s">
        <v>71</v>
      </c>
      <c r="G691" t="s">
        <v>305</v>
      </c>
      <c r="H691" t="s">
        <v>157</v>
      </c>
      <c r="I691" t="s">
        <v>4</v>
      </c>
      <c r="J691" t="s">
        <v>152</v>
      </c>
      <c r="K691" t="s">
        <v>174</v>
      </c>
      <c r="L691">
        <v>251200781</v>
      </c>
      <c r="M691" s="84">
        <v>46019</v>
      </c>
      <c r="N691" s="84">
        <v>46019</v>
      </c>
      <c r="O691" t="s">
        <v>243</v>
      </c>
      <c r="P691" t="s">
        <v>244</v>
      </c>
      <c r="Q691">
        <v>5700</v>
      </c>
      <c r="R691">
        <v>4</v>
      </c>
      <c r="S691">
        <v>22800</v>
      </c>
      <c r="T691">
        <v>0</v>
      </c>
      <c r="U691">
        <v>0</v>
      </c>
      <c r="V691">
        <v>4</v>
      </c>
      <c r="W691">
        <v>22800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1:29">
      <c r="A692">
        <v>1299</v>
      </c>
      <c r="B692" t="s">
        <v>149</v>
      </c>
      <c r="C692">
        <v>1353</v>
      </c>
      <c r="D692" t="s">
        <v>356</v>
      </c>
      <c r="F692" t="s">
        <v>28</v>
      </c>
      <c r="G692" t="s">
        <v>164</v>
      </c>
      <c r="H692" t="s">
        <v>151</v>
      </c>
      <c r="I692" t="s">
        <v>5</v>
      </c>
      <c r="J692" t="s">
        <v>152</v>
      </c>
      <c r="K692" t="s">
        <v>153</v>
      </c>
      <c r="L692">
        <v>251200784</v>
      </c>
      <c r="M692" s="84">
        <v>46019</v>
      </c>
      <c r="N692" s="84">
        <v>46019</v>
      </c>
      <c r="O692" t="s">
        <v>196</v>
      </c>
      <c r="P692" t="s">
        <v>197</v>
      </c>
      <c r="Q692">
        <v>4500</v>
      </c>
      <c r="R692">
        <v>28</v>
      </c>
      <c r="S692">
        <v>126000</v>
      </c>
      <c r="T692">
        <v>0</v>
      </c>
      <c r="U692">
        <v>0</v>
      </c>
      <c r="V692">
        <v>28</v>
      </c>
      <c r="W692">
        <v>126000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 spans="1:29">
      <c r="A693">
        <v>1300</v>
      </c>
      <c r="B693" t="s">
        <v>149</v>
      </c>
      <c r="C693">
        <v>1353</v>
      </c>
      <c r="D693" t="s">
        <v>356</v>
      </c>
      <c r="F693" t="s">
        <v>28</v>
      </c>
      <c r="G693" t="s">
        <v>164</v>
      </c>
      <c r="H693" t="s">
        <v>151</v>
      </c>
      <c r="I693" t="s">
        <v>5</v>
      </c>
      <c r="J693" t="s">
        <v>152</v>
      </c>
      <c r="K693" t="s">
        <v>153</v>
      </c>
      <c r="L693">
        <v>251200784</v>
      </c>
      <c r="M693" s="84">
        <v>46019</v>
      </c>
      <c r="N693" s="84">
        <v>46019</v>
      </c>
      <c r="O693" t="s">
        <v>217</v>
      </c>
      <c r="P693" t="s">
        <v>218</v>
      </c>
      <c r="Q693">
        <v>4500</v>
      </c>
      <c r="R693">
        <v>52</v>
      </c>
      <c r="S693">
        <v>234000</v>
      </c>
      <c r="T693">
        <v>0</v>
      </c>
      <c r="U693">
        <v>0</v>
      </c>
      <c r="V693">
        <v>52</v>
      </c>
      <c r="W693">
        <v>234000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</row>
    <row r="694" spans="1:29">
      <c r="A694">
        <v>1301</v>
      </c>
      <c r="B694" t="s">
        <v>149</v>
      </c>
      <c r="C694">
        <v>1353</v>
      </c>
      <c r="D694" t="s">
        <v>356</v>
      </c>
      <c r="F694" t="s">
        <v>28</v>
      </c>
      <c r="G694" t="s">
        <v>164</v>
      </c>
      <c r="H694" t="s">
        <v>151</v>
      </c>
      <c r="I694" t="s">
        <v>5</v>
      </c>
      <c r="J694" t="s">
        <v>152</v>
      </c>
      <c r="K694" t="s">
        <v>153</v>
      </c>
      <c r="L694">
        <v>251200784</v>
      </c>
      <c r="M694" s="84">
        <v>46019</v>
      </c>
      <c r="N694" s="84">
        <v>46019</v>
      </c>
      <c r="O694" t="s">
        <v>253</v>
      </c>
      <c r="P694" t="s">
        <v>254</v>
      </c>
      <c r="Q694">
        <v>4500</v>
      </c>
      <c r="R694">
        <v>30</v>
      </c>
      <c r="S694">
        <v>135000</v>
      </c>
      <c r="T694">
        <v>0</v>
      </c>
      <c r="U694">
        <v>0</v>
      </c>
      <c r="V694">
        <v>30</v>
      </c>
      <c r="W694">
        <v>135000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</row>
    <row r="695" spans="1:29">
      <c r="A695">
        <v>1302</v>
      </c>
      <c r="B695" t="s">
        <v>149</v>
      </c>
      <c r="C695">
        <v>1353</v>
      </c>
      <c r="D695" t="s">
        <v>356</v>
      </c>
      <c r="F695" t="s">
        <v>28</v>
      </c>
      <c r="G695" t="s">
        <v>164</v>
      </c>
      <c r="H695" t="s">
        <v>151</v>
      </c>
      <c r="I695" t="s">
        <v>5</v>
      </c>
      <c r="J695" t="s">
        <v>152</v>
      </c>
      <c r="K695" t="s">
        <v>153</v>
      </c>
      <c r="L695">
        <v>251200785</v>
      </c>
      <c r="M695" s="84">
        <v>46019</v>
      </c>
      <c r="N695" s="84">
        <v>46019</v>
      </c>
      <c r="O695" t="s">
        <v>217</v>
      </c>
      <c r="P695" t="s">
        <v>218</v>
      </c>
      <c r="Q695">
        <v>4500</v>
      </c>
      <c r="R695">
        <v>4</v>
      </c>
      <c r="S695">
        <v>18000</v>
      </c>
      <c r="T695">
        <v>0</v>
      </c>
      <c r="U695">
        <v>0</v>
      </c>
      <c r="V695">
        <v>4</v>
      </c>
      <c r="W695">
        <v>18000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</row>
    <row r="696" spans="1:29">
      <c r="A696">
        <v>1303</v>
      </c>
      <c r="B696" t="s">
        <v>149</v>
      </c>
      <c r="C696">
        <v>1298</v>
      </c>
      <c r="D696" t="s">
        <v>389</v>
      </c>
      <c r="F696" t="s">
        <v>83</v>
      </c>
      <c r="G696" t="s">
        <v>164</v>
      </c>
      <c r="H696" t="s">
        <v>151</v>
      </c>
      <c r="I696" t="s">
        <v>5</v>
      </c>
      <c r="J696" t="s">
        <v>152</v>
      </c>
      <c r="K696" t="s">
        <v>153</v>
      </c>
      <c r="L696">
        <v>251200786</v>
      </c>
      <c r="M696" s="84">
        <v>46019</v>
      </c>
      <c r="N696" s="84">
        <v>46019</v>
      </c>
      <c r="O696" t="s">
        <v>260</v>
      </c>
      <c r="P696" t="s">
        <v>261</v>
      </c>
      <c r="Q696">
        <v>4500</v>
      </c>
      <c r="R696">
        <v>25</v>
      </c>
      <c r="S696">
        <v>112500</v>
      </c>
      <c r="T696">
        <v>0</v>
      </c>
      <c r="U696">
        <v>0</v>
      </c>
      <c r="V696">
        <v>25</v>
      </c>
      <c r="W696">
        <v>112500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</row>
    <row r="697" spans="1:29">
      <c r="A697">
        <v>1304</v>
      </c>
      <c r="B697" t="s">
        <v>149</v>
      </c>
      <c r="C697">
        <v>1298</v>
      </c>
      <c r="D697" t="s">
        <v>389</v>
      </c>
      <c r="F697" t="s">
        <v>83</v>
      </c>
      <c r="G697" t="s">
        <v>164</v>
      </c>
      <c r="H697" t="s">
        <v>151</v>
      </c>
      <c r="I697" t="s">
        <v>4</v>
      </c>
      <c r="J697" t="s">
        <v>152</v>
      </c>
      <c r="K697" t="s">
        <v>153</v>
      </c>
      <c r="L697">
        <v>251200786</v>
      </c>
      <c r="M697" s="84">
        <v>46019</v>
      </c>
      <c r="N697" s="84">
        <v>46019</v>
      </c>
      <c r="O697" t="s">
        <v>162</v>
      </c>
      <c r="P697" t="s">
        <v>163</v>
      </c>
      <c r="Q697">
        <v>5500</v>
      </c>
      <c r="R697">
        <v>25</v>
      </c>
      <c r="S697">
        <v>137500</v>
      </c>
      <c r="T697">
        <v>0</v>
      </c>
      <c r="U697">
        <v>0</v>
      </c>
      <c r="V697">
        <v>25</v>
      </c>
      <c r="W697">
        <v>137500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</row>
    <row r="698" spans="1:29">
      <c r="A698">
        <v>1305</v>
      </c>
      <c r="B698" t="s">
        <v>149</v>
      </c>
      <c r="C698">
        <v>1298</v>
      </c>
      <c r="D698" t="s">
        <v>389</v>
      </c>
      <c r="F698" t="s">
        <v>83</v>
      </c>
      <c r="G698" t="s">
        <v>164</v>
      </c>
      <c r="H698" t="s">
        <v>151</v>
      </c>
      <c r="I698" t="s">
        <v>5</v>
      </c>
      <c r="J698" t="s">
        <v>152</v>
      </c>
      <c r="K698" t="s">
        <v>153</v>
      </c>
      <c r="L698">
        <v>251200786</v>
      </c>
      <c r="M698" s="84">
        <v>46019</v>
      </c>
      <c r="N698" s="84">
        <v>46019</v>
      </c>
      <c r="O698" t="s">
        <v>253</v>
      </c>
      <c r="P698" t="s">
        <v>254</v>
      </c>
      <c r="Q698">
        <v>4500</v>
      </c>
      <c r="R698">
        <v>24</v>
      </c>
      <c r="S698">
        <v>108000</v>
      </c>
      <c r="T698">
        <v>0</v>
      </c>
      <c r="U698">
        <v>0</v>
      </c>
      <c r="V698">
        <v>24</v>
      </c>
      <c r="W698">
        <v>108000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</row>
    <row r="699" spans="1:29">
      <c r="A699">
        <v>1306</v>
      </c>
      <c r="B699" t="s">
        <v>149</v>
      </c>
      <c r="C699">
        <v>1298</v>
      </c>
      <c r="D699" t="s">
        <v>389</v>
      </c>
      <c r="F699" t="s">
        <v>83</v>
      </c>
      <c r="G699" t="s">
        <v>164</v>
      </c>
      <c r="H699" t="s">
        <v>151</v>
      </c>
      <c r="I699" t="s">
        <v>4</v>
      </c>
      <c r="J699" t="s">
        <v>152</v>
      </c>
      <c r="K699" t="s">
        <v>153</v>
      </c>
      <c r="L699">
        <v>251200786</v>
      </c>
      <c r="M699" s="84">
        <v>46019</v>
      </c>
      <c r="N699" s="84">
        <v>46019</v>
      </c>
      <c r="O699" t="s">
        <v>154</v>
      </c>
      <c r="P699" t="s">
        <v>155</v>
      </c>
      <c r="Q699">
        <v>5500</v>
      </c>
      <c r="R699">
        <v>25</v>
      </c>
      <c r="S699">
        <v>137500</v>
      </c>
      <c r="T699">
        <v>0</v>
      </c>
      <c r="U699">
        <v>0</v>
      </c>
      <c r="V699">
        <v>25</v>
      </c>
      <c r="W699">
        <v>137500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</row>
    <row r="700" spans="1:29">
      <c r="A700">
        <v>1308</v>
      </c>
      <c r="B700" t="s">
        <v>149</v>
      </c>
      <c r="C700">
        <v>1471</v>
      </c>
      <c r="D700" t="s">
        <v>369</v>
      </c>
      <c r="F700" t="s">
        <v>73</v>
      </c>
      <c r="G700" t="s">
        <v>185</v>
      </c>
      <c r="H700" t="s">
        <v>151</v>
      </c>
      <c r="I700" t="s">
        <v>4</v>
      </c>
      <c r="J700" t="s">
        <v>152</v>
      </c>
      <c r="K700" t="s">
        <v>153</v>
      </c>
      <c r="L700">
        <v>251200788</v>
      </c>
      <c r="M700" s="84">
        <v>46019</v>
      </c>
      <c r="N700" s="84">
        <v>46019</v>
      </c>
      <c r="O700" t="s">
        <v>168</v>
      </c>
      <c r="P700" t="s">
        <v>169</v>
      </c>
      <c r="Q700">
        <v>5500</v>
      </c>
      <c r="R700">
        <v>8</v>
      </c>
      <c r="S700">
        <v>44000</v>
      </c>
      <c r="T700">
        <v>0</v>
      </c>
      <c r="U700">
        <v>0</v>
      </c>
      <c r="V700">
        <v>8</v>
      </c>
      <c r="W700">
        <v>44000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</row>
    <row r="701" spans="1:29">
      <c r="A701">
        <v>1310</v>
      </c>
      <c r="B701" t="s">
        <v>149</v>
      </c>
      <c r="C701">
        <v>1306</v>
      </c>
      <c r="D701" t="s">
        <v>377</v>
      </c>
      <c r="F701" t="s">
        <v>28</v>
      </c>
      <c r="G701" t="s">
        <v>164</v>
      </c>
      <c r="H701" t="s">
        <v>151</v>
      </c>
      <c r="I701" t="s">
        <v>4</v>
      </c>
      <c r="J701" t="s">
        <v>152</v>
      </c>
      <c r="K701" t="s">
        <v>153</v>
      </c>
      <c r="L701">
        <v>251200790</v>
      </c>
      <c r="M701" s="84">
        <v>46019</v>
      </c>
      <c r="N701" s="84">
        <v>46019</v>
      </c>
      <c r="O701" t="s">
        <v>179</v>
      </c>
      <c r="P701" t="s">
        <v>180</v>
      </c>
      <c r="Q701">
        <v>5500</v>
      </c>
      <c r="R701">
        <v>7</v>
      </c>
      <c r="S701">
        <v>38500</v>
      </c>
      <c r="T701">
        <v>0</v>
      </c>
      <c r="U701">
        <v>0</v>
      </c>
      <c r="V701">
        <v>7</v>
      </c>
      <c r="W701">
        <v>38500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</row>
    <row r="702" spans="1:29">
      <c r="A702">
        <v>1316</v>
      </c>
      <c r="B702" t="s">
        <v>149</v>
      </c>
      <c r="C702">
        <v>1326</v>
      </c>
      <c r="D702" t="s">
        <v>338</v>
      </c>
      <c r="F702" t="s">
        <v>15</v>
      </c>
      <c r="G702" t="s">
        <v>193</v>
      </c>
      <c r="H702" t="s">
        <v>151</v>
      </c>
      <c r="I702" t="s">
        <v>5</v>
      </c>
      <c r="J702" t="s">
        <v>152</v>
      </c>
      <c r="K702" t="s">
        <v>153</v>
      </c>
      <c r="L702">
        <v>251200795</v>
      </c>
      <c r="M702" s="84">
        <v>46019</v>
      </c>
      <c r="N702" s="84">
        <v>46019</v>
      </c>
      <c r="O702" t="s">
        <v>260</v>
      </c>
      <c r="P702" t="s">
        <v>261</v>
      </c>
      <c r="Q702">
        <v>4500</v>
      </c>
      <c r="R702">
        <v>12</v>
      </c>
      <c r="S702">
        <v>54000</v>
      </c>
      <c r="T702">
        <v>0</v>
      </c>
      <c r="U702">
        <v>0</v>
      </c>
      <c r="V702">
        <v>12</v>
      </c>
      <c r="W702">
        <v>54000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</row>
    <row r="703" spans="1:29">
      <c r="A703">
        <v>1317</v>
      </c>
      <c r="B703" t="s">
        <v>149</v>
      </c>
      <c r="C703">
        <v>1326</v>
      </c>
      <c r="D703" t="s">
        <v>338</v>
      </c>
      <c r="F703" t="s">
        <v>15</v>
      </c>
      <c r="G703" t="s">
        <v>193</v>
      </c>
      <c r="H703" t="s">
        <v>151</v>
      </c>
      <c r="I703" t="s">
        <v>5</v>
      </c>
      <c r="J703" t="s">
        <v>152</v>
      </c>
      <c r="K703" t="s">
        <v>153</v>
      </c>
      <c r="L703">
        <v>251200795</v>
      </c>
      <c r="M703" s="84">
        <v>46019</v>
      </c>
      <c r="N703" s="84">
        <v>46019</v>
      </c>
      <c r="O703" t="s">
        <v>253</v>
      </c>
      <c r="P703" t="s">
        <v>254</v>
      </c>
      <c r="Q703">
        <v>4500</v>
      </c>
      <c r="R703">
        <v>12</v>
      </c>
      <c r="S703">
        <v>54000</v>
      </c>
      <c r="T703">
        <v>0</v>
      </c>
      <c r="U703">
        <v>0</v>
      </c>
      <c r="V703">
        <v>12</v>
      </c>
      <c r="W703">
        <v>54000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4" spans="1:29">
      <c r="A704">
        <v>1318</v>
      </c>
      <c r="B704" t="s">
        <v>149</v>
      </c>
      <c r="C704">
        <v>1326</v>
      </c>
      <c r="D704" t="s">
        <v>338</v>
      </c>
      <c r="F704" t="s">
        <v>15</v>
      </c>
      <c r="G704" t="s">
        <v>193</v>
      </c>
      <c r="H704" t="s">
        <v>151</v>
      </c>
      <c r="I704" t="s">
        <v>4</v>
      </c>
      <c r="J704" t="s">
        <v>152</v>
      </c>
      <c r="K704" t="s">
        <v>153</v>
      </c>
      <c r="L704">
        <v>251200795</v>
      </c>
      <c r="M704" s="84">
        <v>46019</v>
      </c>
      <c r="N704" s="84">
        <v>46019</v>
      </c>
      <c r="O704" t="s">
        <v>160</v>
      </c>
      <c r="P704" t="s">
        <v>161</v>
      </c>
      <c r="Q704">
        <v>5500</v>
      </c>
      <c r="R704">
        <v>30</v>
      </c>
      <c r="S704">
        <v>165000</v>
      </c>
      <c r="T704">
        <v>0</v>
      </c>
      <c r="U704">
        <v>0</v>
      </c>
      <c r="V704">
        <v>30</v>
      </c>
      <c r="W704">
        <v>165000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</row>
    <row r="705" spans="1:29">
      <c r="A705">
        <v>1319</v>
      </c>
      <c r="B705" t="s">
        <v>149</v>
      </c>
      <c r="C705">
        <v>1326</v>
      </c>
      <c r="D705" t="s">
        <v>338</v>
      </c>
      <c r="F705" t="s">
        <v>15</v>
      </c>
      <c r="G705" t="s">
        <v>193</v>
      </c>
      <c r="H705" t="s">
        <v>151</v>
      </c>
      <c r="I705" t="s">
        <v>5</v>
      </c>
      <c r="J705" t="s">
        <v>152</v>
      </c>
      <c r="K705" t="s">
        <v>153</v>
      </c>
      <c r="L705">
        <v>251200795</v>
      </c>
      <c r="M705" s="84">
        <v>46019</v>
      </c>
      <c r="N705" s="84">
        <v>46019</v>
      </c>
      <c r="O705" t="s">
        <v>191</v>
      </c>
      <c r="P705" t="s">
        <v>192</v>
      </c>
      <c r="Q705">
        <v>4500</v>
      </c>
      <c r="R705">
        <v>60</v>
      </c>
      <c r="S705">
        <v>270000</v>
      </c>
      <c r="T705">
        <v>0</v>
      </c>
      <c r="U705">
        <v>0</v>
      </c>
      <c r="V705">
        <v>60</v>
      </c>
      <c r="W705">
        <v>270000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</row>
    <row r="706" spans="1:29">
      <c r="A706">
        <v>1325</v>
      </c>
      <c r="B706" t="s">
        <v>149</v>
      </c>
      <c r="C706">
        <v>1312</v>
      </c>
      <c r="D706" t="s">
        <v>359</v>
      </c>
      <c r="F706" t="s">
        <v>15</v>
      </c>
      <c r="G706" t="s">
        <v>193</v>
      </c>
      <c r="H706" t="s">
        <v>151</v>
      </c>
      <c r="I706" t="s">
        <v>5</v>
      </c>
      <c r="J706" t="s">
        <v>152</v>
      </c>
      <c r="K706" t="s">
        <v>153</v>
      </c>
      <c r="L706">
        <v>251200798</v>
      </c>
      <c r="M706" s="84">
        <v>46019</v>
      </c>
      <c r="N706" s="84">
        <v>46019</v>
      </c>
      <c r="O706" t="s">
        <v>196</v>
      </c>
      <c r="P706" t="s">
        <v>197</v>
      </c>
      <c r="Q706">
        <v>4500</v>
      </c>
      <c r="R706">
        <v>20</v>
      </c>
      <c r="S706">
        <v>90000</v>
      </c>
      <c r="T706">
        <v>0</v>
      </c>
      <c r="U706">
        <v>0</v>
      </c>
      <c r="V706">
        <v>20</v>
      </c>
      <c r="W706">
        <v>90000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</row>
    <row r="707" spans="1:29">
      <c r="A707">
        <v>1327</v>
      </c>
      <c r="B707" t="s">
        <v>149</v>
      </c>
      <c r="C707">
        <v>1308</v>
      </c>
      <c r="D707" t="s">
        <v>368</v>
      </c>
      <c r="F707" t="s">
        <v>49</v>
      </c>
      <c r="G707" t="s">
        <v>167</v>
      </c>
      <c r="H707" t="s">
        <v>151</v>
      </c>
      <c r="I707" t="s">
        <v>5</v>
      </c>
      <c r="J707" t="s">
        <v>152</v>
      </c>
      <c r="K707" t="s">
        <v>153</v>
      </c>
      <c r="L707">
        <v>251200800</v>
      </c>
      <c r="M707" s="84">
        <v>46019</v>
      </c>
      <c r="N707" s="84">
        <v>46019</v>
      </c>
      <c r="O707" t="s">
        <v>260</v>
      </c>
      <c r="P707" t="s">
        <v>261</v>
      </c>
      <c r="Q707">
        <v>4500</v>
      </c>
      <c r="R707">
        <v>20</v>
      </c>
      <c r="S707">
        <v>90000</v>
      </c>
      <c r="T707">
        <v>0</v>
      </c>
      <c r="U707">
        <v>0</v>
      </c>
      <c r="V707">
        <v>20</v>
      </c>
      <c r="W707">
        <v>90000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</row>
    <row r="708" spans="1:29">
      <c r="A708">
        <v>1328</v>
      </c>
      <c r="B708" t="s">
        <v>149</v>
      </c>
      <c r="C708">
        <v>1549</v>
      </c>
      <c r="D708" t="s">
        <v>345</v>
      </c>
      <c r="F708" t="s">
        <v>43</v>
      </c>
      <c r="G708" t="s">
        <v>150</v>
      </c>
      <c r="H708" t="s">
        <v>151</v>
      </c>
      <c r="I708" t="s">
        <v>4</v>
      </c>
      <c r="J708" t="s">
        <v>152</v>
      </c>
      <c r="K708" t="s">
        <v>153</v>
      </c>
      <c r="L708">
        <v>251200801</v>
      </c>
      <c r="M708" s="84">
        <v>46019</v>
      </c>
      <c r="N708" s="84">
        <v>46019</v>
      </c>
      <c r="O708" t="s">
        <v>160</v>
      </c>
      <c r="P708" t="s">
        <v>161</v>
      </c>
      <c r="Q708">
        <v>5500</v>
      </c>
      <c r="R708">
        <v>4</v>
      </c>
      <c r="S708">
        <v>22000</v>
      </c>
      <c r="T708">
        <v>0</v>
      </c>
      <c r="U708">
        <v>0</v>
      </c>
      <c r="V708">
        <v>4</v>
      </c>
      <c r="W708">
        <v>22000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 spans="1:29">
      <c r="A709">
        <v>1329</v>
      </c>
      <c r="B709" t="s">
        <v>149</v>
      </c>
      <c r="C709">
        <v>1549</v>
      </c>
      <c r="D709" t="s">
        <v>345</v>
      </c>
      <c r="F709" t="s">
        <v>43</v>
      </c>
      <c r="G709" t="s">
        <v>150</v>
      </c>
      <c r="H709" t="s">
        <v>151</v>
      </c>
      <c r="I709" t="s">
        <v>4</v>
      </c>
      <c r="J709" t="s">
        <v>152</v>
      </c>
      <c r="K709" t="s">
        <v>153</v>
      </c>
      <c r="L709">
        <v>251200801</v>
      </c>
      <c r="M709" s="84">
        <v>46019</v>
      </c>
      <c r="N709" s="84">
        <v>46019</v>
      </c>
      <c r="O709" t="s">
        <v>168</v>
      </c>
      <c r="P709" t="s">
        <v>169</v>
      </c>
      <c r="Q709">
        <v>5500</v>
      </c>
      <c r="R709">
        <v>2</v>
      </c>
      <c r="S709">
        <v>11000</v>
      </c>
      <c r="T709">
        <v>0</v>
      </c>
      <c r="U709">
        <v>0</v>
      </c>
      <c r="V709">
        <v>2</v>
      </c>
      <c r="W709">
        <v>11000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</row>
    <row r="710" spans="1:29">
      <c r="A710">
        <v>1330</v>
      </c>
      <c r="B710" t="s">
        <v>149</v>
      </c>
      <c r="C710">
        <v>1549</v>
      </c>
      <c r="D710" t="s">
        <v>345</v>
      </c>
      <c r="F710" t="s">
        <v>43</v>
      </c>
      <c r="G710" t="s">
        <v>150</v>
      </c>
      <c r="H710" t="s">
        <v>151</v>
      </c>
      <c r="I710" t="s">
        <v>4</v>
      </c>
      <c r="J710" t="s">
        <v>152</v>
      </c>
      <c r="K710" t="s">
        <v>153</v>
      </c>
      <c r="L710">
        <v>251200801</v>
      </c>
      <c r="M710" s="84">
        <v>46019</v>
      </c>
      <c r="N710" s="84">
        <v>46019</v>
      </c>
      <c r="O710" t="s">
        <v>262</v>
      </c>
      <c r="P710" t="s">
        <v>263</v>
      </c>
      <c r="Q710">
        <v>5500</v>
      </c>
      <c r="R710">
        <v>3</v>
      </c>
      <c r="S710">
        <v>16500</v>
      </c>
      <c r="T710">
        <v>0</v>
      </c>
      <c r="U710">
        <v>0</v>
      </c>
      <c r="V710">
        <v>3</v>
      </c>
      <c r="W710">
        <v>16500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</row>
    <row r="711" spans="1:29">
      <c r="A711">
        <v>1331</v>
      </c>
      <c r="B711" t="s">
        <v>149</v>
      </c>
      <c r="C711">
        <v>1288</v>
      </c>
      <c r="D711" t="s">
        <v>367</v>
      </c>
      <c r="F711" t="s">
        <v>43</v>
      </c>
      <c r="G711" t="s">
        <v>150</v>
      </c>
      <c r="H711" t="s">
        <v>151</v>
      </c>
      <c r="I711" t="s">
        <v>4</v>
      </c>
      <c r="J711" t="s">
        <v>152</v>
      </c>
      <c r="K711" t="s">
        <v>153</v>
      </c>
      <c r="L711">
        <v>251200802</v>
      </c>
      <c r="M711" s="84">
        <v>46019</v>
      </c>
      <c r="N711" s="84">
        <v>46019</v>
      </c>
      <c r="O711" t="s">
        <v>179</v>
      </c>
      <c r="P711" t="s">
        <v>180</v>
      </c>
      <c r="Q711">
        <v>5500</v>
      </c>
      <c r="R711">
        <v>5</v>
      </c>
      <c r="S711">
        <v>27500</v>
      </c>
      <c r="T711">
        <v>0</v>
      </c>
      <c r="U711">
        <v>0</v>
      </c>
      <c r="V711">
        <v>5</v>
      </c>
      <c r="W711">
        <v>27500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</row>
    <row r="712" spans="1:29">
      <c r="A712">
        <v>1332</v>
      </c>
      <c r="B712" t="s">
        <v>149</v>
      </c>
      <c r="C712">
        <v>1288</v>
      </c>
      <c r="D712" t="s">
        <v>367</v>
      </c>
      <c r="F712" t="s">
        <v>43</v>
      </c>
      <c r="G712" t="s">
        <v>150</v>
      </c>
      <c r="H712" t="s">
        <v>151</v>
      </c>
      <c r="I712" t="s">
        <v>4</v>
      </c>
      <c r="J712" t="s">
        <v>152</v>
      </c>
      <c r="K712" t="s">
        <v>153</v>
      </c>
      <c r="L712">
        <v>251200802</v>
      </c>
      <c r="M712" s="84">
        <v>46019</v>
      </c>
      <c r="N712" s="84">
        <v>46019</v>
      </c>
      <c r="O712" t="s">
        <v>154</v>
      </c>
      <c r="P712" t="s">
        <v>155</v>
      </c>
      <c r="Q712">
        <v>5500</v>
      </c>
      <c r="R712">
        <v>5</v>
      </c>
      <c r="S712">
        <v>27500</v>
      </c>
      <c r="T712">
        <v>0</v>
      </c>
      <c r="U712">
        <v>0</v>
      </c>
      <c r="V712">
        <v>5</v>
      </c>
      <c r="W712">
        <v>27500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 spans="1:29">
      <c r="A713">
        <v>1333</v>
      </c>
      <c r="B713" t="s">
        <v>149</v>
      </c>
      <c r="C713">
        <v>1550</v>
      </c>
      <c r="D713" t="s">
        <v>337</v>
      </c>
      <c r="F713" t="s">
        <v>15</v>
      </c>
      <c r="G713" t="s">
        <v>193</v>
      </c>
      <c r="H713" t="s">
        <v>151</v>
      </c>
      <c r="I713" t="s">
        <v>4</v>
      </c>
      <c r="J713" t="s">
        <v>152</v>
      </c>
      <c r="K713" t="s">
        <v>153</v>
      </c>
      <c r="L713">
        <v>251200803</v>
      </c>
      <c r="M713" s="84">
        <v>46019</v>
      </c>
      <c r="N713" s="84">
        <v>46019</v>
      </c>
      <c r="O713" t="s">
        <v>177</v>
      </c>
      <c r="P713" t="s">
        <v>178</v>
      </c>
      <c r="Q713">
        <v>5500</v>
      </c>
      <c r="R713">
        <v>10</v>
      </c>
      <c r="S713">
        <v>55000</v>
      </c>
      <c r="T713">
        <v>0</v>
      </c>
      <c r="U713">
        <v>0</v>
      </c>
      <c r="V713">
        <v>10</v>
      </c>
      <c r="W713">
        <v>55000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</row>
    <row r="714" spans="1:29">
      <c r="A714">
        <v>1334</v>
      </c>
      <c r="B714" t="s">
        <v>149</v>
      </c>
      <c r="C714">
        <v>1596</v>
      </c>
      <c r="D714" t="s">
        <v>315</v>
      </c>
      <c r="F714" t="s">
        <v>111</v>
      </c>
      <c r="G714" t="s">
        <v>150</v>
      </c>
      <c r="H714" t="s">
        <v>151</v>
      </c>
      <c r="I714" t="s">
        <v>4</v>
      </c>
      <c r="J714" t="s">
        <v>152</v>
      </c>
      <c r="K714" t="s">
        <v>153</v>
      </c>
      <c r="L714">
        <v>251200804</v>
      </c>
      <c r="M714" s="84">
        <v>46019</v>
      </c>
      <c r="N714" s="84">
        <v>46019</v>
      </c>
      <c r="O714" t="s">
        <v>177</v>
      </c>
      <c r="P714" t="s">
        <v>178</v>
      </c>
      <c r="Q714">
        <v>5500</v>
      </c>
      <c r="R714">
        <v>5</v>
      </c>
      <c r="S714">
        <v>27500</v>
      </c>
      <c r="T714">
        <v>0</v>
      </c>
      <c r="U714">
        <v>0</v>
      </c>
      <c r="V714">
        <v>5</v>
      </c>
      <c r="W714">
        <v>27500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</row>
    <row r="715" spans="1:29">
      <c r="A715">
        <v>1335</v>
      </c>
      <c r="B715" t="s">
        <v>149</v>
      </c>
      <c r="C715">
        <v>1596</v>
      </c>
      <c r="D715" t="s">
        <v>315</v>
      </c>
      <c r="F715" t="s">
        <v>111</v>
      </c>
      <c r="G715" t="s">
        <v>150</v>
      </c>
      <c r="H715" t="s">
        <v>151</v>
      </c>
      <c r="I715" t="s">
        <v>4</v>
      </c>
      <c r="J715" t="s">
        <v>152</v>
      </c>
      <c r="K715" t="s">
        <v>153</v>
      </c>
      <c r="L715">
        <v>251200804</v>
      </c>
      <c r="M715" s="84">
        <v>46019</v>
      </c>
      <c r="N715" s="84">
        <v>46019</v>
      </c>
      <c r="O715" t="s">
        <v>160</v>
      </c>
      <c r="P715" t="s">
        <v>161</v>
      </c>
      <c r="Q715">
        <v>5500</v>
      </c>
      <c r="R715">
        <v>15</v>
      </c>
      <c r="S715">
        <v>82500</v>
      </c>
      <c r="T715">
        <v>0</v>
      </c>
      <c r="U715">
        <v>0</v>
      </c>
      <c r="V715">
        <v>15</v>
      </c>
      <c r="W715">
        <v>82500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</row>
    <row r="716" spans="1:29">
      <c r="A716">
        <v>1336</v>
      </c>
      <c r="B716" t="s">
        <v>149</v>
      </c>
      <c r="C716">
        <v>1596</v>
      </c>
      <c r="D716" t="s">
        <v>315</v>
      </c>
      <c r="F716" t="s">
        <v>111</v>
      </c>
      <c r="G716" t="s">
        <v>150</v>
      </c>
      <c r="H716" t="s">
        <v>151</v>
      </c>
      <c r="I716" t="s">
        <v>4</v>
      </c>
      <c r="J716" t="s">
        <v>152</v>
      </c>
      <c r="K716" t="s">
        <v>153</v>
      </c>
      <c r="L716">
        <v>251200804</v>
      </c>
      <c r="M716" s="84">
        <v>46019</v>
      </c>
      <c r="N716" s="84">
        <v>46019</v>
      </c>
      <c r="O716" t="s">
        <v>248</v>
      </c>
      <c r="P716" t="s">
        <v>249</v>
      </c>
      <c r="Q716">
        <v>5500</v>
      </c>
      <c r="R716">
        <v>10</v>
      </c>
      <c r="S716">
        <v>55000</v>
      </c>
      <c r="T716">
        <v>0</v>
      </c>
      <c r="U716">
        <v>0</v>
      </c>
      <c r="V716">
        <v>10</v>
      </c>
      <c r="W716">
        <v>55000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</row>
    <row r="717" spans="1:29">
      <c r="A717">
        <v>1337</v>
      </c>
      <c r="B717" t="s">
        <v>149</v>
      </c>
      <c r="C717">
        <v>1551</v>
      </c>
      <c r="D717" t="s">
        <v>316</v>
      </c>
      <c r="F717" t="s">
        <v>111</v>
      </c>
      <c r="G717" t="s">
        <v>150</v>
      </c>
      <c r="H717" t="s">
        <v>151</v>
      </c>
      <c r="I717" t="s">
        <v>4</v>
      </c>
      <c r="J717" t="s">
        <v>152</v>
      </c>
      <c r="K717" t="s">
        <v>153</v>
      </c>
      <c r="L717">
        <v>251200805</v>
      </c>
      <c r="M717" s="84">
        <v>46019</v>
      </c>
      <c r="N717" s="84">
        <v>46019</v>
      </c>
      <c r="O717" t="s">
        <v>160</v>
      </c>
      <c r="P717" t="s">
        <v>161</v>
      </c>
      <c r="Q717">
        <v>5500</v>
      </c>
      <c r="R717">
        <v>12</v>
      </c>
      <c r="S717">
        <v>66000</v>
      </c>
      <c r="T717">
        <v>0</v>
      </c>
      <c r="U717">
        <v>0</v>
      </c>
      <c r="V717">
        <v>12</v>
      </c>
      <c r="W717">
        <v>66000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</row>
    <row r="718" spans="1:29">
      <c r="A718">
        <v>1338</v>
      </c>
      <c r="B718" t="s">
        <v>149</v>
      </c>
      <c r="C718">
        <v>1454</v>
      </c>
      <c r="D718" t="s">
        <v>362</v>
      </c>
      <c r="F718" t="s">
        <v>10</v>
      </c>
      <c r="G718" t="s">
        <v>172</v>
      </c>
      <c r="H718" t="s">
        <v>157</v>
      </c>
      <c r="I718" t="s">
        <v>4</v>
      </c>
      <c r="J718" t="s">
        <v>152</v>
      </c>
      <c r="K718" t="s">
        <v>174</v>
      </c>
      <c r="L718">
        <v>251200806</v>
      </c>
      <c r="M718" s="84">
        <v>46019</v>
      </c>
      <c r="N718" s="84">
        <v>46019</v>
      </c>
      <c r="O718" t="s">
        <v>267</v>
      </c>
      <c r="P718" t="s">
        <v>268</v>
      </c>
      <c r="Q718">
        <v>5500</v>
      </c>
      <c r="R718">
        <v>5</v>
      </c>
      <c r="S718">
        <v>27500</v>
      </c>
      <c r="T718">
        <v>0</v>
      </c>
      <c r="U718">
        <v>0</v>
      </c>
      <c r="V718">
        <v>5</v>
      </c>
      <c r="W718">
        <v>27500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 spans="1:29">
      <c r="A719">
        <v>1339</v>
      </c>
      <c r="B719" t="s">
        <v>149</v>
      </c>
      <c r="C719">
        <v>1454</v>
      </c>
      <c r="D719" t="s">
        <v>362</v>
      </c>
      <c r="F719" t="s">
        <v>10</v>
      </c>
      <c r="G719" t="s">
        <v>172</v>
      </c>
      <c r="H719" t="s">
        <v>157</v>
      </c>
      <c r="I719" t="s">
        <v>4</v>
      </c>
      <c r="J719" t="s">
        <v>152</v>
      </c>
      <c r="K719" t="s">
        <v>174</v>
      </c>
      <c r="L719">
        <v>251200806</v>
      </c>
      <c r="M719" s="84">
        <v>46019</v>
      </c>
      <c r="N719" s="84">
        <v>46019</v>
      </c>
      <c r="O719" t="s">
        <v>179</v>
      </c>
      <c r="P719" t="s">
        <v>180</v>
      </c>
      <c r="Q719">
        <v>5500</v>
      </c>
      <c r="R719">
        <v>5</v>
      </c>
      <c r="S719">
        <v>27500</v>
      </c>
      <c r="T719">
        <v>0</v>
      </c>
      <c r="U719">
        <v>0</v>
      </c>
      <c r="V719">
        <v>5</v>
      </c>
      <c r="W719">
        <v>27500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0" spans="1:29">
      <c r="A720">
        <v>1340</v>
      </c>
      <c r="B720" t="s">
        <v>149</v>
      </c>
      <c r="C720">
        <v>1599</v>
      </c>
      <c r="D720" t="s">
        <v>388</v>
      </c>
      <c r="F720" t="s">
        <v>65</v>
      </c>
      <c r="G720" t="s">
        <v>208</v>
      </c>
      <c r="H720" t="s">
        <v>157</v>
      </c>
      <c r="I720" t="s">
        <v>4</v>
      </c>
      <c r="J720" t="s">
        <v>152</v>
      </c>
      <c r="K720" t="s">
        <v>174</v>
      </c>
      <c r="L720">
        <v>251200807</v>
      </c>
      <c r="M720" s="84">
        <v>46019</v>
      </c>
      <c r="N720" s="84">
        <v>46019</v>
      </c>
      <c r="O720" t="s">
        <v>225</v>
      </c>
      <c r="P720" t="s">
        <v>226</v>
      </c>
      <c r="Q720">
        <v>5500</v>
      </c>
      <c r="R720">
        <v>30</v>
      </c>
      <c r="S720">
        <v>165000</v>
      </c>
      <c r="T720">
        <v>0</v>
      </c>
      <c r="U720">
        <v>0</v>
      </c>
      <c r="V720">
        <v>30</v>
      </c>
      <c r="W720">
        <v>165000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</row>
    <row r="721" spans="1:29">
      <c r="A721">
        <v>1341</v>
      </c>
      <c r="B721" t="s">
        <v>149</v>
      </c>
      <c r="C721">
        <v>1438</v>
      </c>
      <c r="D721" t="s">
        <v>320</v>
      </c>
      <c r="F721" t="s">
        <v>171</v>
      </c>
      <c r="G721" t="s">
        <v>172</v>
      </c>
      <c r="H721" t="s">
        <v>157</v>
      </c>
      <c r="I721" t="s">
        <v>4</v>
      </c>
      <c r="J721" t="s">
        <v>152</v>
      </c>
      <c r="K721" t="s">
        <v>174</v>
      </c>
      <c r="L721">
        <v>251200808</v>
      </c>
      <c r="M721" s="84">
        <v>46019</v>
      </c>
      <c r="N721" s="84">
        <v>46019</v>
      </c>
      <c r="O721" t="s">
        <v>321</v>
      </c>
      <c r="P721" t="s">
        <v>322</v>
      </c>
      <c r="Q721">
        <v>5500</v>
      </c>
      <c r="R721">
        <v>10</v>
      </c>
      <c r="S721">
        <v>55000</v>
      </c>
      <c r="T721">
        <v>0</v>
      </c>
      <c r="U721">
        <v>0</v>
      </c>
      <c r="V721">
        <v>10</v>
      </c>
      <c r="W721">
        <v>55000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</row>
    <row r="722" spans="1:29">
      <c r="A722">
        <v>1347</v>
      </c>
      <c r="B722" t="s">
        <v>149</v>
      </c>
      <c r="C722">
        <v>1592</v>
      </c>
      <c r="D722" t="s">
        <v>415</v>
      </c>
      <c r="F722" t="s">
        <v>91</v>
      </c>
      <c r="G722" t="s">
        <v>202</v>
      </c>
      <c r="H722" t="s">
        <v>157</v>
      </c>
      <c r="I722" t="s">
        <v>5</v>
      </c>
      <c r="J722" t="s">
        <v>152</v>
      </c>
      <c r="K722" t="s">
        <v>159</v>
      </c>
      <c r="L722">
        <v>251200811</v>
      </c>
      <c r="M722" s="84">
        <v>46019</v>
      </c>
      <c r="N722" s="84">
        <v>46019</v>
      </c>
      <c r="O722" t="s">
        <v>217</v>
      </c>
      <c r="P722" t="s">
        <v>218</v>
      </c>
      <c r="Q722">
        <v>4500</v>
      </c>
      <c r="R722">
        <v>24</v>
      </c>
      <c r="S722">
        <v>108000</v>
      </c>
      <c r="T722">
        <v>0</v>
      </c>
      <c r="U722">
        <v>0</v>
      </c>
      <c r="V722">
        <v>24</v>
      </c>
      <c r="W722">
        <v>108000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 spans="1:29">
      <c r="A723">
        <v>1348</v>
      </c>
      <c r="B723" t="s">
        <v>149</v>
      </c>
      <c r="C723">
        <v>1468</v>
      </c>
      <c r="D723" t="s">
        <v>342</v>
      </c>
      <c r="F723" t="s">
        <v>7</v>
      </c>
      <c r="G723" t="s">
        <v>156</v>
      </c>
      <c r="H723" t="s">
        <v>157</v>
      </c>
      <c r="I723" t="s">
        <v>5</v>
      </c>
      <c r="J723" t="s">
        <v>152</v>
      </c>
      <c r="K723" t="s">
        <v>159</v>
      </c>
      <c r="L723">
        <v>251200812</v>
      </c>
      <c r="M723" s="84">
        <v>46019</v>
      </c>
      <c r="N723" s="84">
        <v>46019</v>
      </c>
      <c r="O723" t="s">
        <v>397</v>
      </c>
      <c r="P723" t="s">
        <v>398</v>
      </c>
      <c r="Q723">
        <v>3000</v>
      </c>
      <c r="R723">
        <v>32</v>
      </c>
      <c r="S723">
        <v>96000</v>
      </c>
      <c r="T723">
        <v>0</v>
      </c>
      <c r="U723">
        <v>0</v>
      </c>
      <c r="V723">
        <v>32</v>
      </c>
      <c r="W723">
        <v>96000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</row>
    <row r="724" spans="1:29">
      <c r="A724">
        <v>1349</v>
      </c>
      <c r="B724" t="s">
        <v>149</v>
      </c>
      <c r="C724">
        <v>1468</v>
      </c>
      <c r="D724" t="s">
        <v>342</v>
      </c>
      <c r="F724" t="s">
        <v>7</v>
      </c>
      <c r="G724" t="s">
        <v>156</v>
      </c>
      <c r="H724" t="s">
        <v>157</v>
      </c>
      <c r="I724" t="s">
        <v>5</v>
      </c>
      <c r="J724" t="s">
        <v>152</v>
      </c>
      <c r="K724" t="s">
        <v>159</v>
      </c>
      <c r="L724">
        <v>251200812</v>
      </c>
      <c r="M724" s="84">
        <v>46019</v>
      </c>
      <c r="N724" s="84">
        <v>46019</v>
      </c>
      <c r="O724" t="s">
        <v>217</v>
      </c>
      <c r="P724" t="s">
        <v>218</v>
      </c>
      <c r="Q724">
        <v>4500</v>
      </c>
      <c r="R724">
        <v>12</v>
      </c>
      <c r="S724">
        <v>54000</v>
      </c>
      <c r="T724">
        <v>0</v>
      </c>
      <c r="U724">
        <v>0</v>
      </c>
      <c r="V724">
        <v>12</v>
      </c>
      <c r="W724">
        <v>54000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</row>
    <row r="725" spans="1:29">
      <c r="A725">
        <v>1350</v>
      </c>
      <c r="B725" t="s">
        <v>149</v>
      </c>
      <c r="C725">
        <v>1468</v>
      </c>
      <c r="D725" t="s">
        <v>342</v>
      </c>
      <c r="F725" t="s">
        <v>7</v>
      </c>
      <c r="G725" t="s">
        <v>156</v>
      </c>
      <c r="H725" t="s">
        <v>157</v>
      </c>
      <c r="I725" t="s">
        <v>5</v>
      </c>
      <c r="J725" t="s">
        <v>152</v>
      </c>
      <c r="K725" t="s">
        <v>159</v>
      </c>
      <c r="L725">
        <v>251200812</v>
      </c>
      <c r="M725" s="84">
        <v>46019</v>
      </c>
      <c r="N725" s="84">
        <v>46019</v>
      </c>
      <c r="O725" t="s">
        <v>269</v>
      </c>
      <c r="P725" t="s">
        <v>270</v>
      </c>
      <c r="Q725">
        <v>3000</v>
      </c>
      <c r="R725">
        <v>20</v>
      </c>
      <c r="S725">
        <v>60000</v>
      </c>
      <c r="T725">
        <v>0</v>
      </c>
      <c r="U725">
        <v>0</v>
      </c>
      <c r="V725">
        <v>20</v>
      </c>
      <c r="W725">
        <v>60000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</row>
    <row r="726" spans="1:29">
      <c r="A726">
        <v>1351</v>
      </c>
      <c r="B726" t="s">
        <v>149</v>
      </c>
      <c r="C726">
        <v>1520</v>
      </c>
      <c r="D726" t="s">
        <v>333</v>
      </c>
      <c r="F726" t="s">
        <v>38</v>
      </c>
      <c r="G726" t="s">
        <v>202</v>
      </c>
      <c r="H726" t="s">
        <v>157</v>
      </c>
      <c r="I726" t="s">
        <v>4</v>
      </c>
      <c r="J726" t="s">
        <v>152</v>
      </c>
      <c r="K726" t="s">
        <v>203</v>
      </c>
      <c r="L726">
        <v>251200813</v>
      </c>
      <c r="M726" s="84">
        <v>46019</v>
      </c>
      <c r="N726" s="84">
        <v>46019</v>
      </c>
      <c r="O726" t="s">
        <v>290</v>
      </c>
      <c r="P726" t="s">
        <v>291</v>
      </c>
      <c r="Q726">
        <v>5500</v>
      </c>
      <c r="R726">
        <v>10</v>
      </c>
      <c r="S726">
        <v>55000</v>
      </c>
      <c r="T726">
        <v>0</v>
      </c>
      <c r="U726">
        <v>0</v>
      </c>
      <c r="V726">
        <v>10</v>
      </c>
      <c r="W726">
        <v>55000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</row>
    <row r="727" spans="1:29">
      <c r="A727">
        <v>1357</v>
      </c>
      <c r="B727" t="s">
        <v>149</v>
      </c>
      <c r="C727">
        <v>1519</v>
      </c>
      <c r="D727" t="s">
        <v>353</v>
      </c>
      <c r="F727" t="s">
        <v>111</v>
      </c>
      <c r="G727" t="s">
        <v>150</v>
      </c>
      <c r="H727" t="s">
        <v>151</v>
      </c>
      <c r="I727" t="s">
        <v>4</v>
      </c>
      <c r="J727" t="s">
        <v>152</v>
      </c>
      <c r="K727" t="s">
        <v>153</v>
      </c>
      <c r="L727">
        <v>251200838</v>
      </c>
      <c r="M727" s="84">
        <v>46020</v>
      </c>
      <c r="N727" s="84">
        <v>46020</v>
      </c>
      <c r="O727" t="s">
        <v>219</v>
      </c>
      <c r="P727" t="s">
        <v>220</v>
      </c>
      <c r="Q727">
        <v>5500</v>
      </c>
      <c r="R727">
        <v>10</v>
      </c>
      <c r="S727">
        <v>55000</v>
      </c>
      <c r="T727">
        <v>0</v>
      </c>
      <c r="U727">
        <v>0</v>
      </c>
      <c r="V727">
        <v>10</v>
      </c>
      <c r="W727">
        <v>55000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>
      <c r="A728">
        <v>1358</v>
      </c>
      <c r="B728" t="s">
        <v>149</v>
      </c>
      <c r="C728">
        <v>1519</v>
      </c>
      <c r="D728" t="s">
        <v>353</v>
      </c>
      <c r="F728" t="s">
        <v>111</v>
      </c>
      <c r="G728" t="s">
        <v>150</v>
      </c>
      <c r="H728" t="s">
        <v>151</v>
      </c>
      <c r="I728" t="s">
        <v>4</v>
      </c>
      <c r="J728" t="s">
        <v>152</v>
      </c>
      <c r="K728" t="s">
        <v>153</v>
      </c>
      <c r="L728">
        <v>251200838</v>
      </c>
      <c r="M728" s="84">
        <v>46020</v>
      </c>
      <c r="N728" s="84">
        <v>46020</v>
      </c>
      <c r="O728" t="s">
        <v>160</v>
      </c>
      <c r="P728" t="s">
        <v>161</v>
      </c>
      <c r="Q728">
        <v>5500</v>
      </c>
      <c r="R728">
        <v>20</v>
      </c>
      <c r="S728">
        <v>110000</v>
      </c>
      <c r="T728">
        <v>0</v>
      </c>
      <c r="U728">
        <v>0</v>
      </c>
      <c r="V728">
        <v>20</v>
      </c>
      <c r="W728">
        <v>110000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</row>
    <row r="729" spans="1:29">
      <c r="A729">
        <v>1359</v>
      </c>
      <c r="B729" t="s">
        <v>149</v>
      </c>
      <c r="C729">
        <v>1551</v>
      </c>
      <c r="D729" t="s">
        <v>316</v>
      </c>
      <c r="F729" t="s">
        <v>111</v>
      </c>
      <c r="G729" t="s">
        <v>150</v>
      </c>
      <c r="H729" t="s">
        <v>151</v>
      </c>
      <c r="I729" t="s">
        <v>4</v>
      </c>
      <c r="J729" t="s">
        <v>152</v>
      </c>
      <c r="K729" t="s">
        <v>153</v>
      </c>
      <c r="L729">
        <v>251200839</v>
      </c>
      <c r="M729" s="84">
        <v>46020</v>
      </c>
      <c r="N729" s="84">
        <v>46020</v>
      </c>
      <c r="O729" t="s">
        <v>160</v>
      </c>
      <c r="P729" t="s">
        <v>161</v>
      </c>
      <c r="Q729">
        <v>5500</v>
      </c>
      <c r="R729">
        <v>12</v>
      </c>
      <c r="S729">
        <v>66000</v>
      </c>
      <c r="T729">
        <v>0</v>
      </c>
      <c r="U729">
        <v>0</v>
      </c>
      <c r="V729">
        <v>12</v>
      </c>
      <c r="W729">
        <v>66000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</row>
    <row r="730" spans="1:29">
      <c r="A730">
        <v>1363</v>
      </c>
      <c r="B730" t="s">
        <v>149</v>
      </c>
      <c r="C730">
        <v>1308</v>
      </c>
      <c r="D730" t="s">
        <v>368</v>
      </c>
      <c r="F730" t="s">
        <v>49</v>
      </c>
      <c r="G730" t="s">
        <v>167</v>
      </c>
      <c r="H730" t="s">
        <v>151</v>
      </c>
      <c r="I730" t="s">
        <v>5</v>
      </c>
      <c r="J730" t="s">
        <v>152</v>
      </c>
      <c r="K730" t="s">
        <v>153</v>
      </c>
      <c r="L730">
        <v>251200842</v>
      </c>
      <c r="M730" s="84">
        <v>46020</v>
      </c>
      <c r="N730" s="84">
        <v>46020</v>
      </c>
      <c r="O730" t="s">
        <v>271</v>
      </c>
      <c r="P730" t="s">
        <v>272</v>
      </c>
      <c r="Q730">
        <v>4500</v>
      </c>
      <c r="R730">
        <v>40</v>
      </c>
      <c r="S730">
        <v>180000</v>
      </c>
      <c r="T730">
        <v>0</v>
      </c>
      <c r="U730">
        <v>0</v>
      </c>
      <c r="V730">
        <v>40</v>
      </c>
      <c r="W730">
        <v>180000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</row>
    <row r="731" spans="1:29">
      <c r="A731">
        <v>1369</v>
      </c>
      <c r="B731" t="s">
        <v>149</v>
      </c>
      <c r="C731">
        <v>1550</v>
      </c>
      <c r="D731" t="s">
        <v>337</v>
      </c>
      <c r="F731" t="s">
        <v>15</v>
      </c>
      <c r="G731" t="s">
        <v>193</v>
      </c>
      <c r="H731" t="s">
        <v>151</v>
      </c>
      <c r="I731" t="s">
        <v>5</v>
      </c>
      <c r="J731" t="s">
        <v>152</v>
      </c>
      <c r="K731" t="s">
        <v>153</v>
      </c>
      <c r="L731">
        <v>251200848</v>
      </c>
      <c r="M731" s="84">
        <v>46020</v>
      </c>
      <c r="N731" s="84">
        <v>46020</v>
      </c>
      <c r="O731" t="s">
        <v>191</v>
      </c>
      <c r="P731" t="s">
        <v>192</v>
      </c>
      <c r="Q731">
        <v>4500</v>
      </c>
      <c r="R731">
        <v>12</v>
      </c>
      <c r="S731">
        <v>54000</v>
      </c>
      <c r="T731">
        <v>0</v>
      </c>
      <c r="U731">
        <v>0</v>
      </c>
      <c r="V731">
        <v>12</v>
      </c>
      <c r="W731">
        <v>54000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</row>
    <row r="732" spans="1:29">
      <c r="A732">
        <v>1370</v>
      </c>
      <c r="B732" t="s">
        <v>149</v>
      </c>
      <c r="C732">
        <v>1594</v>
      </c>
      <c r="D732" t="s">
        <v>346</v>
      </c>
      <c r="F732" t="s">
        <v>73</v>
      </c>
      <c r="G732" t="s">
        <v>185</v>
      </c>
      <c r="H732" t="s">
        <v>151</v>
      </c>
      <c r="I732" t="s">
        <v>4</v>
      </c>
      <c r="J732" t="s">
        <v>152</v>
      </c>
      <c r="K732" t="s">
        <v>153</v>
      </c>
      <c r="L732">
        <v>251200849</v>
      </c>
      <c r="M732" s="84">
        <v>46020</v>
      </c>
      <c r="N732" s="84">
        <v>46020</v>
      </c>
      <c r="O732" t="s">
        <v>160</v>
      </c>
      <c r="P732" t="s">
        <v>161</v>
      </c>
      <c r="Q732">
        <v>5500</v>
      </c>
      <c r="R732">
        <v>15</v>
      </c>
      <c r="S732">
        <v>82500</v>
      </c>
      <c r="T732">
        <v>0</v>
      </c>
      <c r="U732">
        <v>0</v>
      </c>
      <c r="V732">
        <v>15</v>
      </c>
      <c r="W732">
        <v>82500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</row>
    <row r="733" spans="1:29">
      <c r="A733">
        <v>1371</v>
      </c>
      <c r="B733" t="s">
        <v>149</v>
      </c>
      <c r="C733">
        <v>1594</v>
      </c>
      <c r="D733" t="s">
        <v>346</v>
      </c>
      <c r="F733" t="s">
        <v>73</v>
      </c>
      <c r="G733" t="s">
        <v>185</v>
      </c>
      <c r="H733" t="s">
        <v>151</v>
      </c>
      <c r="I733" t="s">
        <v>4</v>
      </c>
      <c r="J733" t="s">
        <v>152</v>
      </c>
      <c r="K733" t="s">
        <v>153</v>
      </c>
      <c r="L733">
        <v>251200849</v>
      </c>
      <c r="M733" s="84">
        <v>46020</v>
      </c>
      <c r="N733" s="84">
        <v>46020</v>
      </c>
      <c r="O733" t="s">
        <v>200</v>
      </c>
      <c r="P733" t="s">
        <v>201</v>
      </c>
      <c r="Q733">
        <v>5500</v>
      </c>
      <c r="R733">
        <v>4</v>
      </c>
      <c r="S733">
        <v>22000</v>
      </c>
      <c r="T733">
        <v>0</v>
      </c>
      <c r="U733">
        <v>0</v>
      </c>
      <c r="V733">
        <v>4</v>
      </c>
      <c r="W733">
        <v>22000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</row>
    <row r="734" spans="1:29">
      <c r="A734">
        <v>1372</v>
      </c>
      <c r="B734" t="s">
        <v>149</v>
      </c>
      <c r="C734">
        <v>1594</v>
      </c>
      <c r="D734" t="s">
        <v>346</v>
      </c>
      <c r="F734" t="s">
        <v>73</v>
      </c>
      <c r="G734" t="s">
        <v>185</v>
      </c>
      <c r="H734" t="s">
        <v>151</v>
      </c>
      <c r="I734" t="s">
        <v>4</v>
      </c>
      <c r="J734" t="s">
        <v>152</v>
      </c>
      <c r="K734" t="s">
        <v>153</v>
      </c>
      <c r="L734">
        <v>251200849</v>
      </c>
      <c r="M734" s="84">
        <v>46020</v>
      </c>
      <c r="N734" s="84">
        <v>46020</v>
      </c>
      <c r="O734" t="s">
        <v>154</v>
      </c>
      <c r="P734" t="s">
        <v>155</v>
      </c>
      <c r="Q734">
        <v>5500</v>
      </c>
      <c r="R734">
        <v>12</v>
      </c>
      <c r="S734">
        <v>66000</v>
      </c>
      <c r="T734">
        <v>0</v>
      </c>
      <c r="U734">
        <v>0</v>
      </c>
      <c r="V734">
        <v>12</v>
      </c>
      <c r="W734">
        <v>66000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</row>
    <row r="735" spans="1:29">
      <c r="A735">
        <v>1373</v>
      </c>
      <c r="B735" t="s">
        <v>149</v>
      </c>
      <c r="C735">
        <v>1594</v>
      </c>
      <c r="D735" t="s">
        <v>346</v>
      </c>
      <c r="F735" t="s">
        <v>73</v>
      </c>
      <c r="G735" t="s">
        <v>185</v>
      </c>
      <c r="H735" t="s">
        <v>151</v>
      </c>
      <c r="I735" t="s">
        <v>4</v>
      </c>
      <c r="J735" t="s">
        <v>152</v>
      </c>
      <c r="K735" t="s">
        <v>153</v>
      </c>
      <c r="L735">
        <v>251200849</v>
      </c>
      <c r="M735" s="84">
        <v>46020</v>
      </c>
      <c r="N735" s="84">
        <v>46020</v>
      </c>
      <c r="O735" t="s">
        <v>221</v>
      </c>
      <c r="P735" t="s">
        <v>222</v>
      </c>
      <c r="Q735">
        <v>5500</v>
      </c>
      <c r="R735">
        <v>4</v>
      </c>
      <c r="S735">
        <v>22000</v>
      </c>
      <c r="T735">
        <v>0</v>
      </c>
      <c r="U735">
        <v>0</v>
      </c>
      <c r="V735">
        <v>4</v>
      </c>
      <c r="W735">
        <v>22000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</row>
    <row r="736" spans="1:29">
      <c r="A736">
        <v>1374</v>
      </c>
      <c r="B736" t="s">
        <v>149</v>
      </c>
      <c r="C736">
        <v>1594</v>
      </c>
      <c r="D736" t="s">
        <v>346</v>
      </c>
      <c r="F736" t="s">
        <v>73</v>
      </c>
      <c r="G736" t="s">
        <v>185</v>
      </c>
      <c r="H736" t="s">
        <v>151</v>
      </c>
      <c r="I736" t="s">
        <v>4</v>
      </c>
      <c r="J736" t="s">
        <v>152</v>
      </c>
      <c r="K736" t="s">
        <v>153</v>
      </c>
      <c r="L736">
        <v>251200849</v>
      </c>
      <c r="M736" s="84">
        <v>46020</v>
      </c>
      <c r="N736" s="84">
        <v>46020</v>
      </c>
      <c r="O736" t="s">
        <v>243</v>
      </c>
      <c r="P736" t="s">
        <v>244</v>
      </c>
      <c r="Q736">
        <v>5700</v>
      </c>
      <c r="R736">
        <v>5</v>
      </c>
      <c r="S736">
        <v>28500</v>
      </c>
      <c r="T736">
        <v>0</v>
      </c>
      <c r="U736">
        <v>0</v>
      </c>
      <c r="V736">
        <v>5</v>
      </c>
      <c r="W736">
        <v>28500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</row>
    <row r="737" spans="1:29">
      <c r="A737">
        <v>1375</v>
      </c>
      <c r="B737" t="s">
        <v>149</v>
      </c>
      <c r="C737">
        <v>1594</v>
      </c>
      <c r="D737" t="s">
        <v>346</v>
      </c>
      <c r="F737" t="s">
        <v>73</v>
      </c>
      <c r="G737" t="s">
        <v>185</v>
      </c>
      <c r="H737" t="s">
        <v>151</v>
      </c>
      <c r="I737" t="s">
        <v>4</v>
      </c>
      <c r="J737" t="s">
        <v>152</v>
      </c>
      <c r="K737" t="s">
        <v>153</v>
      </c>
      <c r="L737">
        <v>251200849</v>
      </c>
      <c r="M737" s="84">
        <v>46020</v>
      </c>
      <c r="N737" s="84">
        <v>46020</v>
      </c>
      <c r="O737" t="s">
        <v>177</v>
      </c>
      <c r="P737" t="s">
        <v>178</v>
      </c>
      <c r="Q737">
        <v>5500</v>
      </c>
      <c r="R737">
        <v>1</v>
      </c>
      <c r="S737">
        <v>5500</v>
      </c>
      <c r="T737">
        <v>0</v>
      </c>
      <c r="U737">
        <v>0</v>
      </c>
      <c r="V737">
        <v>1</v>
      </c>
      <c r="W737">
        <v>5500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</row>
    <row r="738" spans="1:29">
      <c r="A738">
        <v>1378</v>
      </c>
      <c r="B738" t="s">
        <v>149</v>
      </c>
      <c r="C738">
        <v>1497</v>
      </c>
      <c r="D738" t="s">
        <v>364</v>
      </c>
      <c r="F738" t="s">
        <v>7</v>
      </c>
      <c r="G738" t="s">
        <v>156</v>
      </c>
      <c r="H738" t="s">
        <v>157</v>
      </c>
      <c r="I738" t="s">
        <v>4</v>
      </c>
      <c r="J738" t="s">
        <v>152</v>
      </c>
      <c r="K738" t="s">
        <v>159</v>
      </c>
      <c r="L738">
        <v>251200852</v>
      </c>
      <c r="M738" s="84">
        <v>46020</v>
      </c>
      <c r="N738" s="84">
        <v>46020</v>
      </c>
      <c r="O738" t="s">
        <v>248</v>
      </c>
      <c r="P738" t="s">
        <v>249</v>
      </c>
      <c r="Q738">
        <v>5500</v>
      </c>
      <c r="R738">
        <v>18</v>
      </c>
      <c r="S738">
        <v>99000</v>
      </c>
      <c r="T738">
        <v>0</v>
      </c>
      <c r="U738">
        <v>0</v>
      </c>
      <c r="V738">
        <v>18</v>
      </c>
      <c r="W738">
        <v>99000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</row>
    <row r="739" spans="1:29">
      <c r="A739">
        <v>1379</v>
      </c>
      <c r="B739" t="s">
        <v>149</v>
      </c>
      <c r="C739">
        <v>1497</v>
      </c>
      <c r="D739" t="s">
        <v>364</v>
      </c>
      <c r="F739" t="s">
        <v>7</v>
      </c>
      <c r="G739" t="s">
        <v>156</v>
      </c>
      <c r="H739" t="s">
        <v>157</v>
      </c>
      <c r="I739" t="s">
        <v>4</v>
      </c>
      <c r="J739" t="s">
        <v>152</v>
      </c>
      <c r="K739" t="s">
        <v>159</v>
      </c>
      <c r="L739">
        <v>251200852</v>
      </c>
      <c r="M739" s="84">
        <v>46020</v>
      </c>
      <c r="N739" s="84">
        <v>46020</v>
      </c>
      <c r="O739" t="s">
        <v>256</v>
      </c>
      <c r="P739" t="s">
        <v>257</v>
      </c>
      <c r="Q739">
        <v>5500</v>
      </c>
      <c r="R739">
        <v>20</v>
      </c>
      <c r="S739">
        <v>110000</v>
      </c>
      <c r="T739">
        <v>0</v>
      </c>
      <c r="U739">
        <v>0</v>
      </c>
      <c r="V739">
        <v>20</v>
      </c>
      <c r="W739">
        <v>110000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</row>
    <row r="740" spans="1:29">
      <c r="A740">
        <v>1380</v>
      </c>
      <c r="B740" t="s">
        <v>149</v>
      </c>
      <c r="C740">
        <v>1535</v>
      </c>
      <c r="D740" t="s">
        <v>355</v>
      </c>
      <c r="F740" t="s">
        <v>7</v>
      </c>
      <c r="G740" t="s">
        <v>156</v>
      </c>
      <c r="H740" t="s">
        <v>157</v>
      </c>
      <c r="I740" t="s">
        <v>4</v>
      </c>
      <c r="J740" t="s">
        <v>152</v>
      </c>
      <c r="K740" t="s">
        <v>159</v>
      </c>
      <c r="L740">
        <v>251200853</v>
      </c>
      <c r="M740" s="84">
        <v>46020</v>
      </c>
      <c r="N740" s="84">
        <v>46020</v>
      </c>
      <c r="O740" t="s">
        <v>160</v>
      </c>
      <c r="P740" t="s">
        <v>161</v>
      </c>
      <c r="Q740">
        <v>5500</v>
      </c>
      <c r="R740">
        <v>50</v>
      </c>
      <c r="S740">
        <v>275000</v>
      </c>
      <c r="T740">
        <v>0</v>
      </c>
      <c r="U740">
        <v>0</v>
      </c>
      <c r="V740">
        <v>50</v>
      </c>
      <c r="W740">
        <v>275000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</row>
    <row r="741" spans="1:29">
      <c r="A741">
        <v>1381</v>
      </c>
      <c r="B741" t="s">
        <v>149</v>
      </c>
      <c r="C741">
        <v>1577</v>
      </c>
      <c r="D741" t="s">
        <v>386</v>
      </c>
      <c r="F741" t="s">
        <v>38</v>
      </c>
      <c r="G741" t="s">
        <v>202</v>
      </c>
      <c r="H741" t="s">
        <v>157</v>
      </c>
      <c r="I741" t="s">
        <v>4</v>
      </c>
      <c r="J741" t="s">
        <v>152</v>
      </c>
      <c r="K741" t="s">
        <v>203</v>
      </c>
      <c r="L741">
        <v>251200854</v>
      </c>
      <c r="M741" s="84">
        <v>46020</v>
      </c>
      <c r="N741" s="84">
        <v>46020</v>
      </c>
      <c r="O741" t="s">
        <v>357</v>
      </c>
      <c r="P741" t="s">
        <v>358</v>
      </c>
      <c r="Q741">
        <v>5500</v>
      </c>
      <c r="R741">
        <v>25</v>
      </c>
      <c r="S741">
        <v>137500</v>
      </c>
      <c r="T741">
        <v>0</v>
      </c>
      <c r="U741">
        <v>0</v>
      </c>
      <c r="V741">
        <v>25</v>
      </c>
      <c r="W741">
        <v>137500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</row>
    <row r="742" spans="1:29">
      <c r="A742">
        <v>1382</v>
      </c>
      <c r="B742" t="s">
        <v>149</v>
      </c>
      <c r="C742">
        <v>1523</v>
      </c>
      <c r="D742" t="s">
        <v>326</v>
      </c>
      <c r="F742" t="s">
        <v>10</v>
      </c>
      <c r="G742" t="s">
        <v>172</v>
      </c>
      <c r="H742" t="s">
        <v>157</v>
      </c>
      <c r="I742" t="s">
        <v>4</v>
      </c>
      <c r="J742" t="s">
        <v>152</v>
      </c>
      <c r="K742" t="s">
        <v>174</v>
      </c>
      <c r="L742">
        <v>251200855</v>
      </c>
      <c r="M742" s="84">
        <v>46020</v>
      </c>
      <c r="N742" s="84">
        <v>46020</v>
      </c>
      <c r="O742" t="s">
        <v>267</v>
      </c>
      <c r="P742" t="s">
        <v>268</v>
      </c>
      <c r="Q742">
        <v>5500</v>
      </c>
      <c r="R742">
        <v>1</v>
      </c>
      <c r="S742">
        <v>5500</v>
      </c>
      <c r="T742">
        <v>0</v>
      </c>
      <c r="U742">
        <v>0</v>
      </c>
      <c r="V742">
        <v>1</v>
      </c>
      <c r="W742">
        <v>5500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</row>
    <row r="743" spans="1:29">
      <c r="A743">
        <v>1383</v>
      </c>
      <c r="B743" t="s">
        <v>149</v>
      </c>
      <c r="C743">
        <v>1552</v>
      </c>
      <c r="D743" t="s">
        <v>365</v>
      </c>
      <c r="F743" t="s">
        <v>91</v>
      </c>
      <c r="G743" t="s">
        <v>202</v>
      </c>
      <c r="H743" t="s">
        <v>157</v>
      </c>
      <c r="I743" t="s">
        <v>5</v>
      </c>
      <c r="J743" t="s">
        <v>152</v>
      </c>
      <c r="K743" t="s">
        <v>159</v>
      </c>
      <c r="L743">
        <v>251200856</v>
      </c>
      <c r="M743" s="84">
        <v>46020</v>
      </c>
      <c r="N743" s="84">
        <v>46020</v>
      </c>
      <c r="O743" t="s">
        <v>191</v>
      </c>
      <c r="P743" t="s">
        <v>192</v>
      </c>
      <c r="Q743">
        <v>4500</v>
      </c>
      <c r="R743">
        <v>20</v>
      </c>
      <c r="S743">
        <v>90000</v>
      </c>
      <c r="T743">
        <v>0</v>
      </c>
      <c r="U743">
        <v>0</v>
      </c>
      <c r="V743">
        <v>20</v>
      </c>
      <c r="W743">
        <v>90000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 spans="1:29">
      <c r="A744">
        <v>1384</v>
      </c>
      <c r="B744" t="s">
        <v>149</v>
      </c>
      <c r="C744">
        <v>1552</v>
      </c>
      <c r="D744" t="s">
        <v>365</v>
      </c>
      <c r="F744" t="s">
        <v>91</v>
      </c>
      <c r="G744" t="s">
        <v>202</v>
      </c>
      <c r="H744" t="s">
        <v>157</v>
      </c>
      <c r="I744" t="s">
        <v>4</v>
      </c>
      <c r="J744" t="s">
        <v>152</v>
      </c>
      <c r="K744" t="s">
        <v>159</v>
      </c>
      <c r="L744">
        <v>251200857</v>
      </c>
      <c r="M744" s="84">
        <v>46020</v>
      </c>
      <c r="N744" s="84">
        <v>46020</v>
      </c>
      <c r="O744" t="s">
        <v>160</v>
      </c>
      <c r="P744" t="s">
        <v>161</v>
      </c>
      <c r="Q744">
        <v>5500</v>
      </c>
      <c r="R744">
        <v>35</v>
      </c>
      <c r="S744">
        <v>192500</v>
      </c>
      <c r="T744">
        <v>0</v>
      </c>
      <c r="U744">
        <v>0</v>
      </c>
      <c r="V744">
        <v>35</v>
      </c>
      <c r="W744">
        <v>192500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</row>
    <row r="745" spans="1:29">
      <c r="A745">
        <v>1386</v>
      </c>
      <c r="B745" t="s">
        <v>149</v>
      </c>
      <c r="C745">
        <v>1299</v>
      </c>
      <c r="D745" t="s">
        <v>334</v>
      </c>
      <c r="F745" t="s">
        <v>83</v>
      </c>
      <c r="G745" t="s">
        <v>164</v>
      </c>
      <c r="H745" t="s">
        <v>151</v>
      </c>
      <c r="I745" t="s">
        <v>4</v>
      </c>
      <c r="J745" t="s">
        <v>152</v>
      </c>
      <c r="K745" t="s">
        <v>153</v>
      </c>
      <c r="L745">
        <v>251200859</v>
      </c>
      <c r="M745" s="84">
        <v>46020</v>
      </c>
      <c r="N745" s="84">
        <v>46020</v>
      </c>
      <c r="O745" t="s">
        <v>160</v>
      </c>
      <c r="P745" t="s">
        <v>161</v>
      </c>
      <c r="Q745">
        <v>5500</v>
      </c>
      <c r="R745">
        <v>100</v>
      </c>
      <c r="S745">
        <v>550000</v>
      </c>
      <c r="T745">
        <v>0</v>
      </c>
      <c r="U745">
        <v>0</v>
      </c>
      <c r="V745">
        <v>100</v>
      </c>
      <c r="W745">
        <v>550000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</row>
    <row r="746" spans="1:29">
      <c r="A746">
        <v>1387</v>
      </c>
      <c r="B746" t="s">
        <v>149</v>
      </c>
      <c r="C746">
        <v>1299</v>
      </c>
      <c r="D746" t="s">
        <v>334</v>
      </c>
      <c r="F746" t="s">
        <v>83</v>
      </c>
      <c r="G746" t="s">
        <v>164</v>
      </c>
      <c r="H746" t="s">
        <v>151</v>
      </c>
      <c r="I746" t="s">
        <v>5</v>
      </c>
      <c r="J746" t="s">
        <v>152</v>
      </c>
      <c r="K746" t="s">
        <v>153</v>
      </c>
      <c r="L746">
        <v>251200859</v>
      </c>
      <c r="M746" s="84">
        <v>46020</v>
      </c>
      <c r="N746" s="84">
        <v>46020</v>
      </c>
      <c r="O746" t="s">
        <v>191</v>
      </c>
      <c r="P746" t="s">
        <v>192</v>
      </c>
      <c r="Q746">
        <v>4500</v>
      </c>
      <c r="R746">
        <v>107</v>
      </c>
      <c r="S746">
        <v>481500</v>
      </c>
      <c r="T746">
        <v>0</v>
      </c>
      <c r="U746">
        <v>0</v>
      </c>
      <c r="V746">
        <v>107</v>
      </c>
      <c r="W746">
        <v>481500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</row>
    <row r="747" spans="1:29">
      <c r="A747">
        <v>1388</v>
      </c>
      <c r="B747" t="s">
        <v>149</v>
      </c>
      <c r="C747">
        <v>1299</v>
      </c>
      <c r="D747" t="s">
        <v>334</v>
      </c>
      <c r="F747" t="s">
        <v>83</v>
      </c>
      <c r="G747" t="s">
        <v>164</v>
      </c>
      <c r="H747" t="s">
        <v>151</v>
      </c>
      <c r="I747" t="s">
        <v>5</v>
      </c>
      <c r="J747" t="s">
        <v>152</v>
      </c>
      <c r="K747" t="s">
        <v>153</v>
      </c>
      <c r="L747">
        <v>251200860</v>
      </c>
      <c r="M747" s="84">
        <v>46020</v>
      </c>
      <c r="N747" s="84">
        <v>46020</v>
      </c>
      <c r="O747" t="s">
        <v>191</v>
      </c>
      <c r="P747" t="s">
        <v>192</v>
      </c>
      <c r="Q747">
        <v>4500</v>
      </c>
      <c r="R747">
        <v>13</v>
      </c>
      <c r="S747">
        <v>58500</v>
      </c>
      <c r="T747">
        <v>0</v>
      </c>
      <c r="U747">
        <v>0</v>
      </c>
      <c r="V747">
        <v>13</v>
      </c>
      <c r="W747">
        <v>58500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</row>
    <row r="748" spans="1:29">
      <c r="A748">
        <v>1389</v>
      </c>
      <c r="B748" t="s">
        <v>149</v>
      </c>
      <c r="C748">
        <v>1596</v>
      </c>
      <c r="D748" t="s">
        <v>315</v>
      </c>
      <c r="F748" t="s">
        <v>111</v>
      </c>
      <c r="G748" t="s">
        <v>150</v>
      </c>
      <c r="H748" t="s">
        <v>151</v>
      </c>
      <c r="I748" t="s">
        <v>4</v>
      </c>
      <c r="J748" t="s">
        <v>152</v>
      </c>
      <c r="K748" t="s">
        <v>153</v>
      </c>
      <c r="L748">
        <v>251200885</v>
      </c>
      <c r="M748" s="84">
        <v>46021</v>
      </c>
      <c r="N748" s="84">
        <v>46021</v>
      </c>
      <c r="O748" t="s">
        <v>160</v>
      </c>
      <c r="P748" t="s">
        <v>161</v>
      </c>
      <c r="Q748">
        <v>5500</v>
      </c>
      <c r="R748">
        <v>30</v>
      </c>
      <c r="S748">
        <v>165000</v>
      </c>
      <c r="T748">
        <v>0</v>
      </c>
      <c r="U748">
        <v>0</v>
      </c>
      <c r="V748">
        <v>30</v>
      </c>
      <c r="W748">
        <v>165000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</row>
    <row r="749" spans="1:29">
      <c r="A749">
        <v>1390</v>
      </c>
      <c r="B749" t="s">
        <v>149</v>
      </c>
      <c r="C749">
        <v>1596</v>
      </c>
      <c r="D749" t="s">
        <v>315</v>
      </c>
      <c r="F749" t="s">
        <v>111</v>
      </c>
      <c r="G749" t="s">
        <v>150</v>
      </c>
      <c r="H749" t="s">
        <v>151</v>
      </c>
      <c r="I749" t="s">
        <v>4</v>
      </c>
      <c r="J749" t="s">
        <v>152</v>
      </c>
      <c r="K749" t="s">
        <v>153</v>
      </c>
      <c r="L749">
        <v>251200885</v>
      </c>
      <c r="M749" s="84">
        <v>46021</v>
      </c>
      <c r="N749" s="84">
        <v>46021</v>
      </c>
      <c r="O749" t="s">
        <v>294</v>
      </c>
      <c r="P749" t="s">
        <v>295</v>
      </c>
      <c r="Q749">
        <v>5500</v>
      </c>
      <c r="R749">
        <v>20</v>
      </c>
      <c r="S749">
        <v>110000</v>
      </c>
      <c r="T749">
        <v>0</v>
      </c>
      <c r="U749">
        <v>0</v>
      </c>
      <c r="V749">
        <v>20</v>
      </c>
      <c r="W749">
        <v>110000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</row>
    <row r="750" spans="1:29">
      <c r="A750">
        <v>1391</v>
      </c>
      <c r="B750" t="s">
        <v>149</v>
      </c>
      <c r="C750">
        <v>1551</v>
      </c>
      <c r="D750" t="s">
        <v>316</v>
      </c>
      <c r="F750" t="s">
        <v>111</v>
      </c>
      <c r="G750" t="s">
        <v>150</v>
      </c>
      <c r="H750" t="s">
        <v>151</v>
      </c>
      <c r="I750" t="s">
        <v>4</v>
      </c>
      <c r="J750" t="s">
        <v>152</v>
      </c>
      <c r="K750" t="s">
        <v>153</v>
      </c>
      <c r="L750">
        <v>251200886</v>
      </c>
      <c r="M750" s="84">
        <v>46021</v>
      </c>
      <c r="N750" s="84">
        <v>46021</v>
      </c>
      <c r="O750" t="s">
        <v>219</v>
      </c>
      <c r="P750" t="s">
        <v>220</v>
      </c>
      <c r="Q750">
        <v>5500</v>
      </c>
      <c r="R750">
        <v>10</v>
      </c>
      <c r="S750">
        <v>55000</v>
      </c>
      <c r="T750">
        <v>0</v>
      </c>
      <c r="U750">
        <v>0</v>
      </c>
      <c r="V750">
        <v>10</v>
      </c>
      <c r="W750">
        <v>55000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 spans="1:29">
      <c r="A751">
        <v>1392</v>
      </c>
      <c r="B751" t="s">
        <v>149</v>
      </c>
      <c r="C751">
        <v>1353</v>
      </c>
      <c r="D751" t="s">
        <v>356</v>
      </c>
      <c r="F751" t="s">
        <v>28</v>
      </c>
      <c r="G751" t="s">
        <v>164</v>
      </c>
      <c r="H751" t="s">
        <v>151</v>
      </c>
      <c r="I751" t="s">
        <v>5</v>
      </c>
      <c r="J751" t="s">
        <v>152</v>
      </c>
      <c r="K751" t="s">
        <v>153</v>
      </c>
      <c r="L751">
        <v>251200887</v>
      </c>
      <c r="M751" s="84">
        <v>46021</v>
      </c>
      <c r="N751" s="84">
        <v>46021</v>
      </c>
      <c r="O751" t="s">
        <v>196</v>
      </c>
      <c r="P751" t="s">
        <v>197</v>
      </c>
      <c r="Q751">
        <v>4500</v>
      </c>
      <c r="R751">
        <v>32</v>
      </c>
      <c r="S751">
        <v>144000</v>
      </c>
      <c r="T751">
        <v>0</v>
      </c>
      <c r="U751">
        <v>0</v>
      </c>
      <c r="V751">
        <v>32</v>
      </c>
      <c r="W751">
        <v>144000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2" spans="1:29">
      <c r="A752">
        <v>1393</v>
      </c>
      <c r="B752" t="s">
        <v>149</v>
      </c>
      <c r="C752">
        <v>1353</v>
      </c>
      <c r="D752" t="s">
        <v>356</v>
      </c>
      <c r="F752" t="s">
        <v>28</v>
      </c>
      <c r="G752" t="s">
        <v>164</v>
      </c>
      <c r="H752" t="s">
        <v>151</v>
      </c>
      <c r="I752" t="s">
        <v>5</v>
      </c>
      <c r="J752" t="s">
        <v>152</v>
      </c>
      <c r="K752" t="s">
        <v>153</v>
      </c>
      <c r="L752">
        <v>251200887</v>
      </c>
      <c r="M752" s="84">
        <v>46021</v>
      </c>
      <c r="N752" s="84">
        <v>46021</v>
      </c>
      <c r="O752" t="s">
        <v>217</v>
      </c>
      <c r="P752" t="s">
        <v>218</v>
      </c>
      <c r="Q752">
        <v>4500</v>
      </c>
      <c r="R752">
        <v>70</v>
      </c>
      <c r="S752">
        <v>315000</v>
      </c>
      <c r="T752">
        <v>0</v>
      </c>
      <c r="U752">
        <v>0</v>
      </c>
      <c r="V752">
        <v>70</v>
      </c>
      <c r="W752">
        <v>315000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</row>
    <row r="753" spans="1:29">
      <c r="A753">
        <v>1394</v>
      </c>
      <c r="B753" t="s">
        <v>149</v>
      </c>
      <c r="C753">
        <v>1353</v>
      </c>
      <c r="D753" t="s">
        <v>356</v>
      </c>
      <c r="F753" t="s">
        <v>28</v>
      </c>
      <c r="G753" t="s">
        <v>164</v>
      </c>
      <c r="H753" t="s">
        <v>151</v>
      </c>
      <c r="I753" t="s">
        <v>5</v>
      </c>
      <c r="J753" t="s">
        <v>152</v>
      </c>
      <c r="K753" t="s">
        <v>153</v>
      </c>
      <c r="L753">
        <v>251200887</v>
      </c>
      <c r="M753" s="84">
        <v>46021</v>
      </c>
      <c r="N753" s="84">
        <v>46021</v>
      </c>
      <c r="O753" t="s">
        <v>253</v>
      </c>
      <c r="P753" t="s">
        <v>254</v>
      </c>
      <c r="Q753">
        <v>4500</v>
      </c>
      <c r="R753">
        <v>18</v>
      </c>
      <c r="S753">
        <v>81000</v>
      </c>
      <c r="T753">
        <v>0</v>
      </c>
      <c r="U753">
        <v>0</v>
      </c>
      <c r="V753">
        <v>18</v>
      </c>
      <c r="W753">
        <v>81000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</row>
    <row r="754" spans="1:29">
      <c r="A754">
        <v>1399</v>
      </c>
      <c r="B754" t="s">
        <v>149</v>
      </c>
      <c r="C754">
        <v>1594</v>
      </c>
      <c r="D754" t="s">
        <v>346</v>
      </c>
      <c r="F754" t="s">
        <v>73</v>
      </c>
      <c r="G754" t="s">
        <v>185</v>
      </c>
      <c r="H754" t="s">
        <v>151</v>
      </c>
      <c r="I754" t="s">
        <v>4</v>
      </c>
      <c r="J754" t="s">
        <v>152</v>
      </c>
      <c r="K754" t="s">
        <v>153</v>
      </c>
      <c r="L754">
        <v>251200892</v>
      </c>
      <c r="M754" s="84">
        <v>46021</v>
      </c>
      <c r="N754" s="84">
        <v>46021</v>
      </c>
      <c r="O754" t="s">
        <v>243</v>
      </c>
      <c r="P754" t="s">
        <v>244</v>
      </c>
      <c r="Q754">
        <v>5700</v>
      </c>
      <c r="R754">
        <v>10</v>
      </c>
      <c r="S754">
        <v>57000</v>
      </c>
      <c r="T754">
        <v>0</v>
      </c>
      <c r="U754">
        <v>0</v>
      </c>
      <c r="V754">
        <v>10</v>
      </c>
      <c r="W754">
        <v>57000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</row>
    <row r="755" spans="1:29">
      <c r="A755">
        <v>1400</v>
      </c>
      <c r="B755" t="s">
        <v>149</v>
      </c>
      <c r="C755">
        <v>1326</v>
      </c>
      <c r="D755" t="s">
        <v>338</v>
      </c>
      <c r="F755" t="s">
        <v>15</v>
      </c>
      <c r="G755" t="s">
        <v>193</v>
      </c>
      <c r="H755" t="s">
        <v>151</v>
      </c>
      <c r="I755" t="s">
        <v>5</v>
      </c>
      <c r="J755" t="s">
        <v>152</v>
      </c>
      <c r="K755" t="s">
        <v>153</v>
      </c>
      <c r="L755">
        <v>251200893</v>
      </c>
      <c r="M755" s="84">
        <v>46021</v>
      </c>
      <c r="N755" s="84">
        <v>46021</v>
      </c>
      <c r="O755" t="s">
        <v>198</v>
      </c>
      <c r="P755" t="s">
        <v>199</v>
      </c>
      <c r="Q755">
        <v>4500</v>
      </c>
      <c r="R755">
        <v>12</v>
      </c>
      <c r="S755">
        <v>54000</v>
      </c>
      <c r="T755">
        <v>0</v>
      </c>
      <c r="U755">
        <v>0</v>
      </c>
      <c r="V755">
        <v>12</v>
      </c>
      <c r="W755">
        <v>54000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</row>
    <row r="756" spans="1:29">
      <c r="A756">
        <v>1401</v>
      </c>
      <c r="B756" t="s">
        <v>149</v>
      </c>
      <c r="C756">
        <v>1326</v>
      </c>
      <c r="D756" t="s">
        <v>338</v>
      </c>
      <c r="F756" t="s">
        <v>15</v>
      </c>
      <c r="G756" t="s">
        <v>193</v>
      </c>
      <c r="H756" t="s">
        <v>151</v>
      </c>
      <c r="I756" t="s">
        <v>5</v>
      </c>
      <c r="J756" t="s">
        <v>152</v>
      </c>
      <c r="K756" t="s">
        <v>153</v>
      </c>
      <c r="L756">
        <v>251200893</v>
      </c>
      <c r="M756" s="84">
        <v>46021</v>
      </c>
      <c r="N756" s="84">
        <v>46021</v>
      </c>
      <c r="O756" t="s">
        <v>260</v>
      </c>
      <c r="P756" t="s">
        <v>261</v>
      </c>
      <c r="Q756">
        <v>4500</v>
      </c>
      <c r="R756">
        <v>8</v>
      </c>
      <c r="S756">
        <v>36000</v>
      </c>
      <c r="T756">
        <v>0</v>
      </c>
      <c r="U756">
        <v>0</v>
      </c>
      <c r="V756">
        <v>8</v>
      </c>
      <c r="W756">
        <v>36000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</row>
    <row r="757" spans="1:29">
      <c r="A757">
        <v>1402</v>
      </c>
      <c r="B757" t="s">
        <v>149</v>
      </c>
      <c r="C757">
        <v>1326</v>
      </c>
      <c r="D757" t="s">
        <v>338</v>
      </c>
      <c r="F757" t="s">
        <v>15</v>
      </c>
      <c r="G757" t="s">
        <v>193</v>
      </c>
      <c r="H757" t="s">
        <v>151</v>
      </c>
      <c r="I757" t="s">
        <v>5</v>
      </c>
      <c r="J757" t="s">
        <v>152</v>
      </c>
      <c r="K757" t="s">
        <v>153</v>
      </c>
      <c r="L757">
        <v>251200893</v>
      </c>
      <c r="M757" s="84">
        <v>46021</v>
      </c>
      <c r="N757" s="84">
        <v>46021</v>
      </c>
      <c r="O757" t="s">
        <v>339</v>
      </c>
      <c r="P757" t="s">
        <v>340</v>
      </c>
      <c r="Q757">
        <v>4500</v>
      </c>
      <c r="R757">
        <v>22</v>
      </c>
      <c r="S757">
        <v>99000</v>
      </c>
      <c r="T757">
        <v>0</v>
      </c>
      <c r="U757">
        <v>0</v>
      </c>
      <c r="V757">
        <v>22</v>
      </c>
      <c r="W757">
        <v>99000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</row>
    <row r="758" spans="1:29">
      <c r="A758">
        <v>1406</v>
      </c>
      <c r="B758" t="s">
        <v>149</v>
      </c>
      <c r="C758">
        <v>1326</v>
      </c>
      <c r="D758" t="s">
        <v>338</v>
      </c>
      <c r="F758" t="s">
        <v>15</v>
      </c>
      <c r="G758" t="s">
        <v>193</v>
      </c>
      <c r="H758" t="s">
        <v>151</v>
      </c>
      <c r="I758" t="s">
        <v>5</v>
      </c>
      <c r="J758" t="s">
        <v>152</v>
      </c>
      <c r="K758" t="s">
        <v>153</v>
      </c>
      <c r="L758">
        <v>251200895</v>
      </c>
      <c r="M758" s="84">
        <v>46021</v>
      </c>
      <c r="N758" s="84">
        <v>46021</v>
      </c>
      <c r="O758" t="s">
        <v>339</v>
      </c>
      <c r="P758" t="s">
        <v>340</v>
      </c>
      <c r="Q758">
        <v>4500</v>
      </c>
      <c r="R758">
        <v>28</v>
      </c>
      <c r="S758">
        <v>126000</v>
      </c>
      <c r="T758">
        <v>0</v>
      </c>
      <c r="U758">
        <v>0</v>
      </c>
      <c r="V758">
        <v>28</v>
      </c>
      <c r="W758">
        <v>126000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</row>
    <row r="759" spans="1:29">
      <c r="A759">
        <v>1407</v>
      </c>
      <c r="B759" t="s">
        <v>149</v>
      </c>
      <c r="C759">
        <v>1550</v>
      </c>
      <c r="D759" t="s">
        <v>337</v>
      </c>
      <c r="F759" t="s">
        <v>15</v>
      </c>
      <c r="G759" t="s">
        <v>193</v>
      </c>
      <c r="H759" t="s">
        <v>151</v>
      </c>
      <c r="I759" t="s">
        <v>4</v>
      </c>
      <c r="J759" t="s">
        <v>152</v>
      </c>
      <c r="K759" t="s">
        <v>153</v>
      </c>
      <c r="L759">
        <v>251200896</v>
      </c>
      <c r="M759" s="84">
        <v>46021</v>
      </c>
      <c r="N759" s="84">
        <v>46021</v>
      </c>
      <c r="O759" t="s">
        <v>160</v>
      </c>
      <c r="P759" t="s">
        <v>161</v>
      </c>
      <c r="Q759">
        <v>5500</v>
      </c>
      <c r="R759">
        <v>10</v>
      </c>
      <c r="S759">
        <v>55000</v>
      </c>
      <c r="T759">
        <v>0</v>
      </c>
      <c r="U759">
        <v>0</v>
      </c>
      <c r="V759">
        <v>10</v>
      </c>
      <c r="W759">
        <v>55000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</row>
    <row r="760" spans="1:29">
      <c r="A760">
        <v>1408</v>
      </c>
      <c r="B760" t="s">
        <v>149</v>
      </c>
      <c r="C760">
        <v>1550</v>
      </c>
      <c r="D760" t="s">
        <v>337</v>
      </c>
      <c r="F760" t="s">
        <v>15</v>
      </c>
      <c r="G760" t="s">
        <v>193</v>
      </c>
      <c r="H760" t="s">
        <v>151</v>
      </c>
      <c r="I760" t="s">
        <v>4</v>
      </c>
      <c r="J760" t="s">
        <v>152</v>
      </c>
      <c r="K760" t="s">
        <v>153</v>
      </c>
      <c r="L760">
        <v>251200896</v>
      </c>
      <c r="M760" s="84">
        <v>46021</v>
      </c>
      <c r="N760" s="84">
        <v>46021</v>
      </c>
      <c r="O760" t="s">
        <v>179</v>
      </c>
      <c r="P760" t="s">
        <v>180</v>
      </c>
      <c r="Q760">
        <v>5500</v>
      </c>
      <c r="R760">
        <v>8</v>
      </c>
      <c r="S760">
        <v>44000</v>
      </c>
      <c r="T760">
        <v>0</v>
      </c>
      <c r="U760">
        <v>0</v>
      </c>
      <c r="V760">
        <v>8</v>
      </c>
      <c r="W760">
        <v>44000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1:29">
      <c r="A761">
        <v>1409</v>
      </c>
      <c r="B761" t="s">
        <v>149</v>
      </c>
      <c r="C761">
        <v>1331</v>
      </c>
      <c r="D761" t="s">
        <v>366</v>
      </c>
      <c r="F761" t="s">
        <v>28</v>
      </c>
      <c r="G761" t="s">
        <v>164</v>
      </c>
      <c r="H761" t="s">
        <v>151</v>
      </c>
      <c r="I761" t="s">
        <v>5</v>
      </c>
      <c r="J761" t="s">
        <v>152</v>
      </c>
      <c r="K761" t="s">
        <v>153</v>
      </c>
      <c r="L761">
        <v>251200897</v>
      </c>
      <c r="M761" s="84">
        <v>46021</v>
      </c>
      <c r="N761" s="84">
        <v>46021</v>
      </c>
      <c r="O761" t="s">
        <v>260</v>
      </c>
      <c r="P761" t="s">
        <v>261</v>
      </c>
      <c r="Q761">
        <v>4500</v>
      </c>
      <c r="R761">
        <v>12</v>
      </c>
      <c r="S761">
        <v>54000</v>
      </c>
      <c r="T761">
        <v>0</v>
      </c>
      <c r="U761">
        <v>0</v>
      </c>
      <c r="V761">
        <v>12</v>
      </c>
      <c r="W761">
        <v>54000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</row>
    <row r="762" spans="1:29">
      <c r="A762">
        <v>1411</v>
      </c>
      <c r="B762" t="s">
        <v>149</v>
      </c>
      <c r="C762">
        <v>1566</v>
      </c>
      <c r="D762" t="s">
        <v>376</v>
      </c>
      <c r="F762" t="s">
        <v>91</v>
      </c>
      <c r="G762" t="s">
        <v>202</v>
      </c>
      <c r="H762" t="s">
        <v>157</v>
      </c>
      <c r="I762" t="s">
        <v>4</v>
      </c>
      <c r="J762" t="s">
        <v>152</v>
      </c>
      <c r="K762" t="s">
        <v>159</v>
      </c>
      <c r="L762">
        <v>251200899</v>
      </c>
      <c r="M762" s="84">
        <v>46021</v>
      </c>
      <c r="N762" s="84">
        <v>46021</v>
      </c>
      <c r="O762" t="s">
        <v>256</v>
      </c>
      <c r="P762" t="s">
        <v>257</v>
      </c>
      <c r="Q762">
        <v>5500</v>
      </c>
      <c r="R762">
        <v>5</v>
      </c>
      <c r="S762">
        <v>27500</v>
      </c>
      <c r="T762">
        <v>0</v>
      </c>
      <c r="U762">
        <v>0</v>
      </c>
      <c r="V762">
        <v>5</v>
      </c>
      <c r="W762">
        <v>27500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 spans="1:29">
      <c r="A763">
        <v>1412</v>
      </c>
      <c r="B763" t="s">
        <v>149</v>
      </c>
      <c r="C763">
        <v>1592</v>
      </c>
      <c r="D763" t="s">
        <v>415</v>
      </c>
      <c r="F763" t="s">
        <v>91</v>
      </c>
      <c r="G763" t="s">
        <v>202</v>
      </c>
      <c r="H763" t="s">
        <v>157</v>
      </c>
      <c r="I763" t="s">
        <v>4</v>
      </c>
      <c r="J763" t="s">
        <v>152</v>
      </c>
      <c r="K763" t="s">
        <v>159</v>
      </c>
      <c r="L763">
        <v>251200900</v>
      </c>
      <c r="M763" s="84">
        <v>46021</v>
      </c>
      <c r="N763" s="84">
        <v>46021</v>
      </c>
      <c r="O763" t="s">
        <v>390</v>
      </c>
      <c r="P763" t="s">
        <v>391</v>
      </c>
      <c r="Q763">
        <v>5500</v>
      </c>
      <c r="R763">
        <v>10</v>
      </c>
      <c r="S763">
        <v>55000</v>
      </c>
      <c r="T763">
        <v>0</v>
      </c>
      <c r="U763">
        <v>0</v>
      </c>
      <c r="V763">
        <v>10</v>
      </c>
      <c r="W763">
        <v>55000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</row>
    <row r="764" spans="1:29">
      <c r="A764">
        <v>1415</v>
      </c>
      <c r="B764" t="s">
        <v>149</v>
      </c>
      <c r="C764">
        <v>1545</v>
      </c>
      <c r="D764" t="s">
        <v>387</v>
      </c>
      <c r="F764" t="s">
        <v>7</v>
      </c>
      <c r="G764" t="s">
        <v>156</v>
      </c>
      <c r="H764" t="s">
        <v>157</v>
      </c>
      <c r="I764" t="s">
        <v>4</v>
      </c>
      <c r="J764" t="s">
        <v>152</v>
      </c>
      <c r="K764" t="s">
        <v>159</v>
      </c>
      <c r="L764">
        <v>251200902</v>
      </c>
      <c r="M764" s="84">
        <v>46021</v>
      </c>
      <c r="N764" s="84">
        <v>46021</v>
      </c>
      <c r="O764" t="s">
        <v>160</v>
      </c>
      <c r="P764" t="s">
        <v>161</v>
      </c>
      <c r="Q764">
        <v>5500</v>
      </c>
      <c r="R764">
        <v>8</v>
      </c>
      <c r="S764">
        <v>44000</v>
      </c>
      <c r="T764">
        <v>0</v>
      </c>
      <c r="U764">
        <v>0</v>
      </c>
      <c r="V764">
        <v>8</v>
      </c>
      <c r="W764">
        <v>44000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</row>
    <row r="765" spans="1:29">
      <c r="A765">
        <v>1416</v>
      </c>
      <c r="B765" t="s">
        <v>149</v>
      </c>
      <c r="C765">
        <v>1468</v>
      </c>
      <c r="D765" t="s">
        <v>342</v>
      </c>
      <c r="F765" t="s">
        <v>7</v>
      </c>
      <c r="G765" t="s">
        <v>156</v>
      </c>
      <c r="H765" t="s">
        <v>157</v>
      </c>
      <c r="I765" t="s">
        <v>5</v>
      </c>
      <c r="J765" t="s">
        <v>152</v>
      </c>
      <c r="K765" t="s">
        <v>159</v>
      </c>
      <c r="L765">
        <v>251200903</v>
      </c>
      <c r="M765" s="84">
        <v>46021</v>
      </c>
      <c r="N765" s="84">
        <v>46021</v>
      </c>
      <c r="O765" t="s">
        <v>397</v>
      </c>
      <c r="P765" t="s">
        <v>398</v>
      </c>
      <c r="Q765">
        <v>3000</v>
      </c>
      <c r="R765">
        <v>40</v>
      </c>
      <c r="S765">
        <v>120000</v>
      </c>
      <c r="T765">
        <v>0</v>
      </c>
      <c r="U765">
        <v>0</v>
      </c>
      <c r="V765">
        <v>40</v>
      </c>
      <c r="W765">
        <v>120000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</row>
    <row r="766" spans="1:29">
      <c r="A766">
        <v>1418</v>
      </c>
      <c r="B766" t="s">
        <v>149</v>
      </c>
      <c r="C766">
        <v>1523</v>
      </c>
      <c r="D766" t="s">
        <v>326</v>
      </c>
      <c r="F766" t="s">
        <v>10</v>
      </c>
      <c r="G766" t="s">
        <v>172</v>
      </c>
      <c r="H766" t="s">
        <v>157</v>
      </c>
      <c r="I766" t="s">
        <v>4</v>
      </c>
      <c r="J766" t="s">
        <v>152</v>
      </c>
      <c r="K766" t="s">
        <v>174</v>
      </c>
      <c r="L766">
        <v>251200905</v>
      </c>
      <c r="M766" s="84">
        <v>46021</v>
      </c>
      <c r="N766" s="84">
        <v>46021</v>
      </c>
      <c r="O766" t="s">
        <v>267</v>
      </c>
      <c r="P766" t="s">
        <v>268</v>
      </c>
      <c r="Q766">
        <v>5500</v>
      </c>
      <c r="R766">
        <v>10</v>
      </c>
      <c r="S766">
        <v>55000</v>
      </c>
      <c r="T766">
        <v>0</v>
      </c>
      <c r="U766">
        <v>0</v>
      </c>
      <c r="V766">
        <v>10</v>
      </c>
      <c r="W766">
        <v>55000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</row>
    <row r="767" spans="1:29">
      <c r="A767">
        <v>1419</v>
      </c>
      <c r="B767" t="s">
        <v>149</v>
      </c>
      <c r="C767">
        <v>1454</v>
      </c>
      <c r="D767" t="s">
        <v>362</v>
      </c>
      <c r="F767" t="s">
        <v>10</v>
      </c>
      <c r="G767" t="s">
        <v>172</v>
      </c>
      <c r="H767" t="s">
        <v>157</v>
      </c>
      <c r="I767" t="s">
        <v>4</v>
      </c>
      <c r="J767" t="s">
        <v>152</v>
      </c>
      <c r="K767" t="s">
        <v>174</v>
      </c>
      <c r="L767">
        <v>251200906</v>
      </c>
      <c r="M767" s="84">
        <v>46021</v>
      </c>
      <c r="N767" s="84">
        <v>46021</v>
      </c>
      <c r="O767" t="s">
        <v>204</v>
      </c>
      <c r="P767" t="s">
        <v>205</v>
      </c>
      <c r="Q767">
        <v>5500</v>
      </c>
      <c r="R767">
        <v>5</v>
      </c>
      <c r="S767">
        <v>27500</v>
      </c>
      <c r="T767">
        <v>0</v>
      </c>
      <c r="U767">
        <v>0</v>
      </c>
      <c r="V767">
        <v>5</v>
      </c>
      <c r="W767">
        <v>27500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</row>
    <row r="768" spans="1:29">
      <c r="A768">
        <v>1420</v>
      </c>
      <c r="B768" t="s">
        <v>149</v>
      </c>
      <c r="C768">
        <v>1599</v>
      </c>
      <c r="D768" t="s">
        <v>388</v>
      </c>
      <c r="F768" t="s">
        <v>65</v>
      </c>
      <c r="G768" t="s">
        <v>208</v>
      </c>
      <c r="H768" t="s">
        <v>157</v>
      </c>
      <c r="I768" t="s">
        <v>4</v>
      </c>
      <c r="J768" t="s">
        <v>152</v>
      </c>
      <c r="K768" t="s">
        <v>174</v>
      </c>
      <c r="L768">
        <v>251200907</v>
      </c>
      <c r="M768" s="84">
        <v>46021</v>
      </c>
      <c r="N768" s="84">
        <v>46021</v>
      </c>
      <c r="O768" t="s">
        <v>225</v>
      </c>
      <c r="P768" t="s">
        <v>226</v>
      </c>
      <c r="Q768">
        <v>5500</v>
      </c>
      <c r="R768">
        <v>21</v>
      </c>
      <c r="S768">
        <v>115500</v>
      </c>
      <c r="T768">
        <v>0</v>
      </c>
      <c r="U768">
        <v>0</v>
      </c>
      <c r="V768">
        <v>21</v>
      </c>
      <c r="W768">
        <v>115500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</row>
    <row r="769" spans="1:29">
      <c r="A769">
        <v>1421</v>
      </c>
      <c r="B769" t="s">
        <v>149</v>
      </c>
      <c r="C769">
        <v>1484</v>
      </c>
      <c r="D769" t="s">
        <v>331</v>
      </c>
      <c r="F769" t="s">
        <v>71</v>
      </c>
      <c r="G769" t="s">
        <v>305</v>
      </c>
      <c r="H769" t="s">
        <v>157</v>
      </c>
      <c r="I769" t="s">
        <v>4</v>
      </c>
      <c r="J769" t="s">
        <v>152</v>
      </c>
      <c r="K769" t="s">
        <v>174</v>
      </c>
      <c r="L769">
        <v>251200908</v>
      </c>
      <c r="M769" s="84">
        <v>46021</v>
      </c>
      <c r="N769" s="84">
        <v>46021</v>
      </c>
      <c r="O769" t="s">
        <v>243</v>
      </c>
      <c r="P769" t="s">
        <v>244</v>
      </c>
      <c r="Q769">
        <v>5700</v>
      </c>
      <c r="R769">
        <v>4</v>
      </c>
      <c r="S769">
        <v>22800</v>
      </c>
      <c r="T769">
        <v>0</v>
      </c>
      <c r="U769">
        <v>0</v>
      </c>
      <c r="V769">
        <v>4</v>
      </c>
      <c r="W769">
        <v>22800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</row>
    <row r="770" spans="1:29">
      <c r="A770">
        <v>1422</v>
      </c>
      <c r="B770" t="s">
        <v>149</v>
      </c>
      <c r="C770">
        <v>1497</v>
      </c>
      <c r="D770" t="s">
        <v>364</v>
      </c>
      <c r="F770" t="s">
        <v>7</v>
      </c>
      <c r="G770" t="s">
        <v>156</v>
      </c>
      <c r="H770" t="s">
        <v>157</v>
      </c>
      <c r="I770" t="s">
        <v>4</v>
      </c>
      <c r="J770" t="s">
        <v>152</v>
      </c>
      <c r="K770" t="s">
        <v>159</v>
      </c>
      <c r="L770">
        <v>251200909</v>
      </c>
      <c r="M770" s="84">
        <v>46021</v>
      </c>
      <c r="N770" s="84">
        <v>46021</v>
      </c>
      <c r="O770" t="s">
        <v>256</v>
      </c>
      <c r="P770" t="s">
        <v>257</v>
      </c>
      <c r="Q770">
        <v>5500</v>
      </c>
      <c r="R770">
        <v>30</v>
      </c>
      <c r="S770">
        <v>165000</v>
      </c>
      <c r="T770">
        <v>0</v>
      </c>
      <c r="U770">
        <v>0</v>
      </c>
      <c r="V770">
        <v>30</v>
      </c>
      <c r="W770">
        <v>165000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</row>
    <row r="771" spans="1:29">
      <c r="A771">
        <v>1423</v>
      </c>
      <c r="B771" t="s">
        <v>149</v>
      </c>
      <c r="C771">
        <v>1530</v>
      </c>
      <c r="D771" t="s">
        <v>379</v>
      </c>
      <c r="F771" t="s">
        <v>111</v>
      </c>
      <c r="G771" t="s">
        <v>150</v>
      </c>
      <c r="H771" t="s">
        <v>151</v>
      </c>
      <c r="I771" t="s">
        <v>5</v>
      </c>
      <c r="J771" t="s">
        <v>152</v>
      </c>
      <c r="K771" t="s">
        <v>153</v>
      </c>
      <c r="L771">
        <v>251200910</v>
      </c>
      <c r="M771" s="84">
        <v>46021</v>
      </c>
      <c r="N771" s="84">
        <v>46021</v>
      </c>
      <c r="O771" t="s">
        <v>260</v>
      </c>
      <c r="P771" t="s">
        <v>261</v>
      </c>
      <c r="Q771">
        <v>4500</v>
      </c>
      <c r="R771">
        <v>4</v>
      </c>
      <c r="S771">
        <v>18000</v>
      </c>
      <c r="T771">
        <v>0</v>
      </c>
      <c r="U771">
        <v>0</v>
      </c>
      <c r="V771">
        <v>4</v>
      </c>
      <c r="W771">
        <v>18000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 spans="1:29">
      <c r="A772">
        <v>1424</v>
      </c>
      <c r="B772" t="s">
        <v>149</v>
      </c>
      <c r="C772">
        <v>1530</v>
      </c>
      <c r="D772" t="s">
        <v>379</v>
      </c>
      <c r="F772" t="s">
        <v>111</v>
      </c>
      <c r="G772" t="s">
        <v>150</v>
      </c>
      <c r="H772" t="s">
        <v>151</v>
      </c>
      <c r="I772" t="s">
        <v>4</v>
      </c>
      <c r="J772" t="s">
        <v>152</v>
      </c>
      <c r="K772" t="s">
        <v>153</v>
      </c>
      <c r="L772">
        <v>251200910</v>
      </c>
      <c r="M772" s="84">
        <v>46021</v>
      </c>
      <c r="N772" s="84">
        <v>46021</v>
      </c>
      <c r="O772" t="s">
        <v>321</v>
      </c>
      <c r="P772" t="s">
        <v>322</v>
      </c>
      <c r="Q772">
        <v>5500</v>
      </c>
      <c r="R772">
        <v>40</v>
      </c>
      <c r="S772">
        <v>220000</v>
      </c>
      <c r="T772">
        <v>0</v>
      </c>
      <c r="U772">
        <v>0</v>
      </c>
      <c r="V772">
        <v>40</v>
      </c>
      <c r="W772">
        <v>220000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</row>
    <row r="773" spans="1:29">
      <c r="A773">
        <v>1425</v>
      </c>
      <c r="B773" t="s">
        <v>149</v>
      </c>
      <c r="C773">
        <v>1530</v>
      </c>
      <c r="D773" t="s">
        <v>379</v>
      </c>
      <c r="F773" t="s">
        <v>111</v>
      </c>
      <c r="G773" t="s">
        <v>150</v>
      </c>
      <c r="H773" t="s">
        <v>151</v>
      </c>
      <c r="I773" t="s">
        <v>4</v>
      </c>
      <c r="J773" t="s">
        <v>152</v>
      </c>
      <c r="K773" t="s">
        <v>153</v>
      </c>
      <c r="L773">
        <v>251200910</v>
      </c>
      <c r="M773" s="84">
        <v>46021</v>
      </c>
      <c r="N773" s="84">
        <v>46021</v>
      </c>
      <c r="O773" t="s">
        <v>380</v>
      </c>
      <c r="P773" t="s">
        <v>381</v>
      </c>
      <c r="Q773">
        <v>5500</v>
      </c>
      <c r="R773">
        <v>10</v>
      </c>
      <c r="S773">
        <v>55000</v>
      </c>
      <c r="T773">
        <v>0</v>
      </c>
      <c r="U773">
        <v>0</v>
      </c>
      <c r="V773">
        <v>10</v>
      </c>
      <c r="W773">
        <v>55000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</row>
    <row r="774" spans="1:29">
      <c r="A774">
        <v>1441</v>
      </c>
      <c r="B774" t="s">
        <v>149</v>
      </c>
      <c r="C774">
        <v>1289</v>
      </c>
      <c r="D774" t="s">
        <v>412</v>
      </c>
      <c r="F774" t="s">
        <v>43</v>
      </c>
      <c r="G774" t="s">
        <v>150</v>
      </c>
      <c r="H774" t="s">
        <v>151</v>
      </c>
      <c r="I774" t="s">
        <v>4</v>
      </c>
      <c r="J774" t="s">
        <v>152</v>
      </c>
      <c r="K774" t="s">
        <v>153</v>
      </c>
      <c r="L774">
        <v>251200974</v>
      </c>
      <c r="M774" s="84">
        <v>46022</v>
      </c>
      <c r="N774" s="84">
        <v>46022</v>
      </c>
      <c r="O774" t="s">
        <v>357</v>
      </c>
      <c r="P774" t="s">
        <v>358</v>
      </c>
      <c r="Q774">
        <v>5500</v>
      </c>
      <c r="R774">
        <v>50</v>
      </c>
      <c r="S774">
        <v>275000</v>
      </c>
      <c r="T774">
        <v>0</v>
      </c>
      <c r="U774">
        <v>0</v>
      </c>
      <c r="V774">
        <v>50</v>
      </c>
      <c r="W774">
        <v>275000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</row>
    <row r="775" spans="1:29">
      <c r="A775">
        <v>1442</v>
      </c>
      <c r="B775" t="s">
        <v>149</v>
      </c>
      <c r="C775">
        <v>1551</v>
      </c>
      <c r="D775" t="s">
        <v>316</v>
      </c>
      <c r="F775" t="s">
        <v>111</v>
      </c>
      <c r="G775" t="s">
        <v>150</v>
      </c>
      <c r="H775" t="s">
        <v>151</v>
      </c>
      <c r="I775" t="s">
        <v>4</v>
      </c>
      <c r="J775" t="s">
        <v>152</v>
      </c>
      <c r="K775" t="s">
        <v>153</v>
      </c>
      <c r="L775">
        <v>251200975</v>
      </c>
      <c r="M775" s="84">
        <v>46022</v>
      </c>
      <c r="N775" s="84">
        <v>46022</v>
      </c>
      <c r="O775" t="s">
        <v>267</v>
      </c>
      <c r="P775" t="s">
        <v>268</v>
      </c>
      <c r="Q775">
        <v>5500</v>
      </c>
      <c r="R775">
        <v>30</v>
      </c>
      <c r="S775">
        <v>165000</v>
      </c>
      <c r="T775">
        <v>0</v>
      </c>
      <c r="U775">
        <v>0</v>
      </c>
      <c r="V775">
        <v>30</v>
      </c>
      <c r="W775">
        <v>165000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</row>
    <row r="776" spans="1:29">
      <c r="A776">
        <v>1443</v>
      </c>
      <c r="B776" t="s">
        <v>149</v>
      </c>
      <c r="C776">
        <v>1551</v>
      </c>
      <c r="D776" t="s">
        <v>316</v>
      </c>
      <c r="F776" t="s">
        <v>111</v>
      </c>
      <c r="G776" t="s">
        <v>150</v>
      </c>
      <c r="H776" t="s">
        <v>151</v>
      </c>
      <c r="I776" t="s">
        <v>5</v>
      </c>
      <c r="J776" t="s">
        <v>152</v>
      </c>
      <c r="K776" t="s">
        <v>153</v>
      </c>
      <c r="L776">
        <v>251200975</v>
      </c>
      <c r="M776" s="84">
        <v>46022</v>
      </c>
      <c r="N776" s="84">
        <v>46022</v>
      </c>
      <c r="O776" t="s">
        <v>271</v>
      </c>
      <c r="P776" t="s">
        <v>272</v>
      </c>
      <c r="Q776">
        <v>4500</v>
      </c>
      <c r="R776">
        <v>16</v>
      </c>
      <c r="S776">
        <v>72000</v>
      </c>
      <c r="T776">
        <v>0</v>
      </c>
      <c r="U776">
        <v>0</v>
      </c>
      <c r="V776">
        <v>16</v>
      </c>
      <c r="W776">
        <v>72000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1:29">
      <c r="A777">
        <v>1444</v>
      </c>
      <c r="B777" t="s">
        <v>149</v>
      </c>
      <c r="C777">
        <v>1551</v>
      </c>
      <c r="D777" t="s">
        <v>316</v>
      </c>
      <c r="F777" t="s">
        <v>111</v>
      </c>
      <c r="G777" t="s">
        <v>150</v>
      </c>
      <c r="H777" t="s">
        <v>151</v>
      </c>
      <c r="I777" t="s">
        <v>5</v>
      </c>
      <c r="J777" t="s">
        <v>152</v>
      </c>
      <c r="K777" t="s">
        <v>153</v>
      </c>
      <c r="L777">
        <v>251200975</v>
      </c>
      <c r="M777" s="84">
        <v>46022</v>
      </c>
      <c r="N777" s="84">
        <v>46022</v>
      </c>
      <c r="O777" t="s">
        <v>191</v>
      </c>
      <c r="P777" t="s">
        <v>192</v>
      </c>
      <c r="Q777">
        <v>4500</v>
      </c>
      <c r="R777">
        <v>8</v>
      </c>
      <c r="S777">
        <v>36000</v>
      </c>
      <c r="T777">
        <v>0</v>
      </c>
      <c r="U777">
        <v>0</v>
      </c>
      <c r="V777">
        <v>8</v>
      </c>
      <c r="W777">
        <v>36000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</row>
    <row r="778" spans="1:29">
      <c r="A778">
        <v>1445</v>
      </c>
      <c r="B778" t="s">
        <v>149</v>
      </c>
      <c r="C778">
        <v>1551</v>
      </c>
      <c r="D778" t="s">
        <v>316</v>
      </c>
      <c r="F778" t="s">
        <v>111</v>
      </c>
      <c r="G778" t="s">
        <v>150</v>
      </c>
      <c r="H778" t="s">
        <v>151</v>
      </c>
      <c r="I778" t="s">
        <v>4</v>
      </c>
      <c r="J778" t="s">
        <v>152</v>
      </c>
      <c r="K778" t="s">
        <v>153</v>
      </c>
      <c r="L778">
        <v>251200975</v>
      </c>
      <c r="M778" s="84">
        <v>46022</v>
      </c>
      <c r="N778" s="84">
        <v>46022</v>
      </c>
      <c r="O778" t="s">
        <v>160</v>
      </c>
      <c r="P778" t="s">
        <v>161</v>
      </c>
      <c r="Q778">
        <v>5500</v>
      </c>
      <c r="R778">
        <v>39</v>
      </c>
      <c r="S778">
        <v>214500</v>
      </c>
      <c r="T778">
        <v>0</v>
      </c>
      <c r="U778">
        <v>0</v>
      </c>
      <c r="V778">
        <v>39</v>
      </c>
      <c r="W778">
        <v>214500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</row>
    <row r="779" spans="1:29">
      <c r="A779">
        <v>1448</v>
      </c>
      <c r="B779" t="s">
        <v>149</v>
      </c>
      <c r="C779">
        <v>1326</v>
      </c>
      <c r="D779" t="s">
        <v>338</v>
      </c>
      <c r="F779" t="s">
        <v>15</v>
      </c>
      <c r="G779" t="s">
        <v>193</v>
      </c>
      <c r="H779" t="s">
        <v>151</v>
      </c>
      <c r="I779" t="s">
        <v>5</v>
      </c>
      <c r="J779" t="s">
        <v>152</v>
      </c>
      <c r="K779" t="s">
        <v>153</v>
      </c>
      <c r="L779">
        <v>251200978</v>
      </c>
      <c r="M779" s="84">
        <v>46022</v>
      </c>
      <c r="N779" s="84">
        <v>46022</v>
      </c>
      <c r="O779" t="s">
        <v>339</v>
      </c>
      <c r="P779" t="s">
        <v>340</v>
      </c>
      <c r="Q779">
        <v>4500</v>
      </c>
      <c r="R779">
        <v>50</v>
      </c>
      <c r="S779">
        <v>225000</v>
      </c>
      <c r="T779">
        <v>0</v>
      </c>
      <c r="U779">
        <v>0</v>
      </c>
      <c r="V779">
        <v>50</v>
      </c>
      <c r="W779">
        <v>225000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</row>
    <row r="780" spans="1:29">
      <c r="A780">
        <v>1449</v>
      </c>
      <c r="B780" t="s">
        <v>149</v>
      </c>
      <c r="C780">
        <v>1550</v>
      </c>
      <c r="D780" t="s">
        <v>337</v>
      </c>
      <c r="F780" t="s">
        <v>15</v>
      </c>
      <c r="G780" t="s">
        <v>193</v>
      </c>
      <c r="H780" t="s">
        <v>151</v>
      </c>
      <c r="I780" t="s">
        <v>5</v>
      </c>
      <c r="J780" t="s">
        <v>152</v>
      </c>
      <c r="K780" t="s">
        <v>153</v>
      </c>
      <c r="L780">
        <v>251200979</v>
      </c>
      <c r="M780" s="84">
        <v>46022</v>
      </c>
      <c r="N780" s="84">
        <v>46022</v>
      </c>
      <c r="O780" t="s">
        <v>191</v>
      </c>
      <c r="P780" t="s">
        <v>192</v>
      </c>
      <c r="Q780">
        <v>4500</v>
      </c>
      <c r="R780">
        <v>16</v>
      </c>
      <c r="S780">
        <v>72000</v>
      </c>
      <c r="T780">
        <v>0</v>
      </c>
      <c r="U780">
        <v>0</v>
      </c>
      <c r="V780">
        <v>16</v>
      </c>
      <c r="W780">
        <v>72000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</row>
    <row r="781" spans="1:29">
      <c r="A781">
        <v>1454</v>
      </c>
      <c r="B781" t="s">
        <v>149</v>
      </c>
      <c r="C781">
        <v>1498</v>
      </c>
      <c r="D781" t="s">
        <v>416</v>
      </c>
      <c r="F781" t="s">
        <v>65</v>
      </c>
      <c r="G781" t="s">
        <v>208</v>
      </c>
      <c r="H781" t="s">
        <v>157</v>
      </c>
      <c r="I781" t="s">
        <v>4</v>
      </c>
      <c r="J781" t="s">
        <v>152</v>
      </c>
      <c r="K781" t="s">
        <v>174</v>
      </c>
      <c r="L781">
        <v>251200984</v>
      </c>
      <c r="M781" s="84">
        <v>46022</v>
      </c>
      <c r="N781" s="84">
        <v>46022</v>
      </c>
      <c r="O781" t="s">
        <v>327</v>
      </c>
      <c r="P781" t="s">
        <v>328</v>
      </c>
      <c r="Q781">
        <v>5500</v>
      </c>
      <c r="R781">
        <v>1</v>
      </c>
      <c r="S781">
        <v>5500</v>
      </c>
      <c r="T781">
        <v>0</v>
      </c>
      <c r="U781">
        <v>0</v>
      </c>
      <c r="V781">
        <v>1</v>
      </c>
      <c r="W781">
        <v>5500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</row>
    <row r="782" spans="1:29">
      <c r="A782">
        <v>1455</v>
      </c>
      <c r="B782" t="s">
        <v>149</v>
      </c>
      <c r="C782">
        <v>1592</v>
      </c>
      <c r="D782" t="s">
        <v>415</v>
      </c>
      <c r="F782" t="s">
        <v>91</v>
      </c>
      <c r="G782" t="s">
        <v>202</v>
      </c>
      <c r="H782" t="s">
        <v>157</v>
      </c>
      <c r="I782" t="s">
        <v>5</v>
      </c>
      <c r="J782" t="s">
        <v>152</v>
      </c>
      <c r="K782" t="s">
        <v>159</v>
      </c>
      <c r="L782">
        <v>251200985</v>
      </c>
      <c r="M782" s="84">
        <v>46022</v>
      </c>
      <c r="N782" s="84">
        <v>46022</v>
      </c>
      <c r="O782" t="s">
        <v>217</v>
      </c>
      <c r="P782" t="s">
        <v>218</v>
      </c>
      <c r="Q782">
        <v>4500</v>
      </c>
      <c r="R782">
        <v>4</v>
      </c>
      <c r="S782">
        <v>18000</v>
      </c>
      <c r="T782">
        <v>0</v>
      </c>
      <c r="U782">
        <v>0</v>
      </c>
      <c r="V782">
        <v>4</v>
      </c>
      <c r="W782">
        <v>18000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 spans="1:29">
      <c r="A783">
        <v>1456</v>
      </c>
      <c r="B783" t="s">
        <v>149</v>
      </c>
      <c r="C783">
        <v>1468</v>
      </c>
      <c r="D783" t="s">
        <v>342</v>
      </c>
      <c r="F783" t="s">
        <v>7</v>
      </c>
      <c r="G783" t="s">
        <v>156</v>
      </c>
      <c r="H783" t="s">
        <v>157</v>
      </c>
      <c r="I783" t="s">
        <v>4</v>
      </c>
      <c r="J783" t="s">
        <v>152</v>
      </c>
      <c r="K783" t="s">
        <v>159</v>
      </c>
      <c r="L783">
        <v>251200986</v>
      </c>
      <c r="M783" s="84">
        <v>46022</v>
      </c>
      <c r="N783" s="84">
        <v>46022</v>
      </c>
      <c r="O783" t="s">
        <v>160</v>
      </c>
      <c r="P783" t="s">
        <v>161</v>
      </c>
      <c r="Q783">
        <v>5500</v>
      </c>
      <c r="R783">
        <v>40</v>
      </c>
      <c r="S783">
        <v>220000</v>
      </c>
      <c r="T783">
        <v>0</v>
      </c>
      <c r="U783">
        <v>0</v>
      </c>
      <c r="V783">
        <v>40</v>
      </c>
      <c r="W783">
        <v>220000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</row>
    <row r="784" spans="1:29">
      <c r="A784">
        <v>1457</v>
      </c>
      <c r="B784" t="s">
        <v>149</v>
      </c>
      <c r="C784">
        <v>1468</v>
      </c>
      <c r="D784" t="s">
        <v>342</v>
      </c>
      <c r="F784" t="s">
        <v>7</v>
      </c>
      <c r="G784" t="s">
        <v>156</v>
      </c>
      <c r="H784" t="s">
        <v>157</v>
      </c>
      <c r="I784" t="s">
        <v>5</v>
      </c>
      <c r="J784" t="s">
        <v>152</v>
      </c>
      <c r="K784" t="s">
        <v>159</v>
      </c>
      <c r="L784">
        <v>251200986</v>
      </c>
      <c r="M784" s="84">
        <v>46022</v>
      </c>
      <c r="N784" s="84">
        <v>46022</v>
      </c>
      <c r="O784" t="s">
        <v>269</v>
      </c>
      <c r="P784" t="s">
        <v>270</v>
      </c>
      <c r="Q784">
        <v>3000</v>
      </c>
      <c r="R784">
        <v>20</v>
      </c>
      <c r="S784">
        <v>60000</v>
      </c>
      <c r="T784">
        <v>0</v>
      </c>
      <c r="U784">
        <v>0</v>
      </c>
      <c r="V784">
        <v>20</v>
      </c>
      <c r="W784">
        <v>60000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 spans="1:29">
      <c r="A785">
        <v>1458</v>
      </c>
      <c r="B785" t="s">
        <v>149</v>
      </c>
      <c r="C785">
        <v>1552</v>
      </c>
      <c r="D785" t="s">
        <v>365</v>
      </c>
      <c r="F785" t="s">
        <v>91</v>
      </c>
      <c r="G785" t="s">
        <v>202</v>
      </c>
      <c r="H785" t="s">
        <v>157</v>
      </c>
      <c r="I785" t="s">
        <v>5</v>
      </c>
      <c r="J785" t="s">
        <v>152</v>
      </c>
      <c r="K785" t="s">
        <v>159</v>
      </c>
      <c r="L785">
        <v>251200987</v>
      </c>
      <c r="M785" s="84">
        <v>46022</v>
      </c>
      <c r="N785" s="84">
        <v>46022</v>
      </c>
      <c r="O785" t="s">
        <v>191</v>
      </c>
      <c r="P785" t="s">
        <v>192</v>
      </c>
      <c r="Q785">
        <v>4500</v>
      </c>
      <c r="R785">
        <v>20</v>
      </c>
      <c r="S785">
        <v>90000</v>
      </c>
      <c r="T785">
        <v>0</v>
      </c>
      <c r="U785">
        <v>0</v>
      </c>
      <c r="V785">
        <v>20</v>
      </c>
      <c r="W785">
        <v>90000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</row>
    <row r="786" spans="1:29">
      <c r="A786">
        <v>1459</v>
      </c>
      <c r="B786" t="s">
        <v>149</v>
      </c>
      <c r="C786">
        <v>1331</v>
      </c>
      <c r="D786" t="s">
        <v>366</v>
      </c>
      <c r="F786" t="s">
        <v>28</v>
      </c>
      <c r="G786" t="s">
        <v>164</v>
      </c>
      <c r="H786" t="s">
        <v>151</v>
      </c>
      <c r="I786" t="s">
        <v>5</v>
      </c>
      <c r="J786" t="s">
        <v>152</v>
      </c>
      <c r="K786" t="s">
        <v>153</v>
      </c>
      <c r="L786">
        <v>251200988</v>
      </c>
      <c r="M786" s="84">
        <v>46022</v>
      </c>
      <c r="N786" s="84">
        <v>46022</v>
      </c>
      <c r="O786" t="s">
        <v>191</v>
      </c>
      <c r="P786" t="s">
        <v>192</v>
      </c>
      <c r="Q786">
        <v>4500</v>
      </c>
      <c r="R786">
        <v>32</v>
      </c>
      <c r="S786">
        <v>144000</v>
      </c>
      <c r="T786">
        <v>0</v>
      </c>
      <c r="U786">
        <v>0</v>
      </c>
      <c r="V786">
        <v>32</v>
      </c>
      <c r="W786">
        <v>144000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 spans="1:29">
      <c r="A787">
        <v>1463</v>
      </c>
      <c r="B787" t="s">
        <v>149</v>
      </c>
      <c r="C787">
        <v>1298</v>
      </c>
      <c r="D787" t="s">
        <v>389</v>
      </c>
      <c r="F787" t="s">
        <v>83</v>
      </c>
      <c r="G787" t="s">
        <v>164</v>
      </c>
      <c r="H787" t="s">
        <v>151</v>
      </c>
      <c r="I787" t="s">
        <v>4</v>
      </c>
      <c r="J787" t="s">
        <v>152</v>
      </c>
      <c r="K787" t="s">
        <v>153</v>
      </c>
      <c r="L787">
        <v>251200992</v>
      </c>
      <c r="M787" s="84">
        <v>46022</v>
      </c>
      <c r="N787" s="84">
        <v>46022</v>
      </c>
      <c r="O787" t="s">
        <v>160</v>
      </c>
      <c r="P787" t="s">
        <v>161</v>
      </c>
      <c r="Q787">
        <v>5500</v>
      </c>
      <c r="R787">
        <v>15</v>
      </c>
      <c r="S787">
        <v>82500</v>
      </c>
      <c r="T787">
        <v>0</v>
      </c>
      <c r="U787">
        <v>0</v>
      </c>
      <c r="V787">
        <v>15</v>
      </c>
      <c r="W787">
        <v>82500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</row>
    <row r="788" spans="1:29">
      <c r="A788">
        <v>1474</v>
      </c>
      <c r="B788" t="s">
        <v>149</v>
      </c>
      <c r="C788">
        <v>1444</v>
      </c>
      <c r="D788" t="s">
        <v>341</v>
      </c>
      <c r="F788" t="s">
        <v>28</v>
      </c>
      <c r="G788" t="s">
        <v>164</v>
      </c>
      <c r="H788" t="s">
        <v>151</v>
      </c>
      <c r="I788" t="s">
        <v>4</v>
      </c>
      <c r="J788" t="s">
        <v>152</v>
      </c>
      <c r="K788" t="s">
        <v>153</v>
      </c>
      <c r="L788">
        <v>251201012</v>
      </c>
      <c r="M788" s="84">
        <v>46022</v>
      </c>
      <c r="N788" s="84">
        <v>46022</v>
      </c>
      <c r="O788" t="s">
        <v>160</v>
      </c>
      <c r="P788" t="s">
        <v>161</v>
      </c>
      <c r="Q788">
        <v>5500</v>
      </c>
      <c r="R788">
        <v>10</v>
      </c>
      <c r="S788">
        <v>55000</v>
      </c>
      <c r="T788">
        <v>0</v>
      </c>
      <c r="U788">
        <v>0</v>
      </c>
      <c r="V788">
        <v>10</v>
      </c>
      <c r="W788">
        <v>55000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 spans="1:29">
      <c r="A789">
        <v>1475</v>
      </c>
      <c r="B789" t="s">
        <v>149</v>
      </c>
      <c r="C789">
        <v>1282</v>
      </c>
      <c r="D789" t="s">
        <v>374</v>
      </c>
      <c r="F789" t="s">
        <v>111</v>
      </c>
      <c r="G789" t="s">
        <v>150</v>
      </c>
      <c r="H789" t="s">
        <v>151</v>
      </c>
      <c r="I789" t="s">
        <v>5</v>
      </c>
      <c r="J789" t="s">
        <v>152</v>
      </c>
      <c r="K789" t="s">
        <v>153</v>
      </c>
      <c r="L789">
        <v>251201013</v>
      </c>
      <c r="M789" s="84">
        <v>46022</v>
      </c>
      <c r="N789" s="84">
        <v>46022</v>
      </c>
      <c r="O789" t="s">
        <v>198</v>
      </c>
      <c r="P789" t="s">
        <v>199</v>
      </c>
      <c r="Q789">
        <v>4500</v>
      </c>
      <c r="R789">
        <v>150</v>
      </c>
      <c r="S789">
        <v>675000</v>
      </c>
      <c r="T789">
        <v>0</v>
      </c>
      <c r="U789">
        <v>0</v>
      </c>
      <c r="V789">
        <v>150</v>
      </c>
      <c r="W789">
        <v>675000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</row>
    <row r="790" spans="1:29">
      <c r="A790">
        <v>1476</v>
      </c>
      <c r="B790" t="s">
        <v>149</v>
      </c>
      <c r="C790">
        <v>1282</v>
      </c>
      <c r="D790" t="s">
        <v>374</v>
      </c>
      <c r="F790" t="s">
        <v>111</v>
      </c>
      <c r="G790" t="s">
        <v>150</v>
      </c>
      <c r="H790" t="s">
        <v>151</v>
      </c>
      <c r="I790" t="s">
        <v>4</v>
      </c>
      <c r="J790" t="s">
        <v>152</v>
      </c>
      <c r="K790" t="s">
        <v>153</v>
      </c>
      <c r="L790">
        <v>251201013</v>
      </c>
      <c r="M790" s="84">
        <v>46022</v>
      </c>
      <c r="N790" s="84">
        <v>46022</v>
      </c>
      <c r="O790" t="s">
        <v>160</v>
      </c>
      <c r="P790" t="s">
        <v>161</v>
      </c>
      <c r="Q790">
        <v>5500</v>
      </c>
      <c r="R790">
        <v>20</v>
      </c>
      <c r="S790">
        <v>110000</v>
      </c>
      <c r="T790">
        <v>0</v>
      </c>
      <c r="U790">
        <v>0</v>
      </c>
      <c r="V790">
        <v>20</v>
      </c>
      <c r="W790">
        <v>110000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</row>
    <row r="791" spans="1:29">
      <c r="A791">
        <v>1477</v>
      </c>
      <c r="B791" t="s">
        <v>149</v>
      </c>
      <c r="C791">
        <v>1282</v>
      </c>
      <c r="D791" t="s">
        <v>374</v>
      </c>
      <c r="F791" t="s">
        <v>111</v>
      </c>
      <c r="G791" t="s">
        <v>150</v>
      </c>
      <c r="H791" t="s">
        <v>151</v>
      </c>
      <c r="I791" t="s">
        <v>4</v>
      </c>
      <c r="J791" t="s">
        <v>152</v>
      </c>
      <c r="K791" t="s">
        <v>153</v>
      </c>
      <c r="L791">
        <v>251201013</v>
      </c>
      <c r="M791" s="84">
        <v>46022</v>
      </c>
      <c r="N791" s="84">
        <v>46022</v>
      </c>
      <c r="O791" t="s">
        <v>248</v>
      </c>
      <c r="P791" t="s">
        <v>249</v>
      </c>
      <c r="Q791">
        <v>5500</v>
      </c>
      <c r="R791">
        <v>10</v>
      </c>
      <c r="S791">
        <v>55000</v>
      </c>
      <c r="T791">
        <v>0</v>
      </c>
      <c r="U791">
        <v>0</v>
      </c>
      <c r="V791">
        <v>10</v>
      </c>
      <c r="W791">
        <v>55000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</row>
  </sheetData>
  <autoFilter ref="A8:AC791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A121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Y103" sqref="Y103:Y105 Y107 Y110"/>
    </sheetView>
  </sheetViews>
  <sheetFormatPr defaultColWidth="8.88888888888889" defaultRowHeight="14.4"/>
  <cols>
    <col min="1" max="1" width="44.4444444444444" customWidth="1"/>
    <col min="2" max="2" width="9.44444444444444" customWidth="1"/>
    <col min="3" max="3" width="6.11111111111111" customWidth="1"/>
    <col min="4" max="4" width="9.44444444444444" customWidth="1"/>
    <col min="5" max="6" width="16.8888888888889" style="2" customWidth="1"/>
    <col min="7" max="8" width="11.4444444444444" style="2" customWidth="1"/>
    <col min="9" max="11" width="10.6666666666667" customWidth="1"/>
    <col min="12" max="12" width="13.4444444444444" customWidth="1"/>
    <col min="13" max="13" width="13.7777777777778" customWidth="1"/>
    <col min="14" max="14" width="12.3333333333333" customWidth="1"/>
    <col min="15" max="16" width="10.6666666666667" customWidth="1"/>
    <col min="17" max="17" width="12.4444444444444" customWidth="1"/>
    <col min="18" max="18" width="12.6666666666667" customWidth="1"/>
    <col min="19" max="20" width="10.6666666666667" customWidth="1"/>
    <col min="23" max="24" width="12" customWidth="1"/>
    <col min="25" max="25" width="10.1111111111111" customWidth="1"/>
    <col min="26" max="26" width="15.5555555555556" customWidth="1"/>
    <col min="29" max="29" width="11.1111111111111" customWidth="1"/>
    <col min="30" max="30" width="10.8888888888889" customWidth="1"/>
    <col min="32" max="34" width="10.6666666666667" customWidth="1"/>
    <col min="36" max="37" width="10.8888888888889" customWidth="1"/>
  </cols>
  <sheetData>
    <row r="2" ht="15.15" spans="9:42">
      <c r="I2" s="16">
        <v>150</v>
      </c>
      <c r="J2" s="16">
        <v>200</v>
      </c>
      <c r="K2" s="1">
        <v>250</v>
      </c>
      <c r="L2" s="1">
        <v>175</v>
      </c>
      <c r="M2" s="1"/>
      <c r="N2">
        <v>150</v>
      </c>
      <c r="O2">
        <v>150</v>
      </c>
      <c r="P2">
        <v>200</v>
      </c>
      <c r="Q2">
        <v>100</v>
      </c>
      <c r="AB2" s="16" t="s">
        <v>418</v>
      </c>
      <c r="AC2" s="16"/>
      <c r="AD2" s="16"/>
      <c r="AF2" s="16" t="s">
        <v>419</v>
      </c>
      <c r="AG2" s="16"/>
      <c r="AH2" s="16"/>
      <c r="AJ2" s="16">
        <v>250</v>
      </c>
      <c r="AK2" s="16">
        <v>250</v>
      </c>
      <c r="AL2" s="16">
        <v>200</v>
      </c>
      <c r="AN2">
        <v>175</v>
      </c>
      <c r="AO2">
        <v>175</v>
      </c>
      <c r="AP2">
        <v>100</v>
      </c>
    </row>
    <row r="3" spans="9:46">
      <c r="I3" s="57" t="s">
        <v>4</v>
      </c>
      <c r="J3" s="58"/>
      <c r="K3" s="58"/>
      <c r="L3" s="58"/>
      <c r="M3" s="59"/>
      <c r="N3" s="57" t="s">
        <v>420</v>
      </c>
      <c r="O3" s="58"/>
      <c r="P3" s="58"/>
      <c r="Q3" s="58"/>
      <c r="R3" s="59"/>
      <c r="S3" s="62"/>
      <c r="T3" s="63"/>
      <c r="W3" s="64" t="s">
        <v>421</v>
      </c>
      <c r="X3" s="64"/>
      <c r="Y3" s="64"/>
      <c r="Z3" s="64"/>
      <c r="AB3">
        <v>14250</v>
      </c>
      <c r="AC3">
        <v>15050</v>
      </c>
      <c r="AD3">
        <v>11700</v>
      </c>
      <c r="AJ3" s="70" t="s">
        <v>422</v>
      </c>
      <c r="AK3" s="70"/>
      <c r="AL3" s="70"/>
      <c r="AN3" s="71" t="s">
        <v>423</v>
      </c>
      <c r="AO3" s="71"/>
      <c r="AP3" s="71"/>
      <c r="AR3" s="16" t="s">
        <v>424</v>
      </c>
      <c r="AS3" s="16"/>
      <c r="AT3" s="16"/>
    </row>
    <row r="4" ht="28.8" spans="1:46">
      <c r="A4" s="3" t="s">
        <v>3</v>
      </c>
      <c r="B4" s="4" t="s">
        <v>425</v>
      </c>
      <c r="C4" s="5" t="s">
        <v>426</v>
      </c>
      <c r="D4" s="5" t="s">
        <v>427</v>
      </c>
      <c r="E4" s="45" t="s">
        <v>428</v>
      </c>
      <c r="F4" s="45" t="s">
        <v>429</v>
      </c>
      <c r="G4" s="45" t="s">
        <v>5</v>
      </c>
      <c r="H4" s="53" t="s">
        <v>6</v>
      </c>
      <c r="I4" s="3" t="s">
        <v>430</v>
      </c>
      <c r="J4" s="3" t="s">
        <v>431</v>
      </c>
      <c r="K4" s="45" t="s">
        <v>422</v>
      </c>
      <c r="L4" s="45" t="s">
        <v>432</v>
      </c>
      <c r="M4" s="33" t="s">
        <v>433</v>
      </c>
      <c r="N4" s="3" t="s">
        <v>430</v>
      </c>
      <c r="O4" s="3" t="s">
        <v>431</v>
      </c>
      <c r="P4" s="3" t="s">
        <v>422</v>
      </c>
      <c r="Q4" s="3" t="s">
        <v>432</v>
      </c>
      <c r="R4" s="33" t="s">
        <v>434</v>
      </c>
      <c r="S4" s="65" t="s">
        <v>435</v>
      </c>
      <c r="T4" s="66" t="s">
        <v>436</v>
      </c>
      <c r="W4" s="66" t="s">
        <v>437</v>
      </c>
      <c r="X4" s="66" t="s">
        <v>438</v>
      </c>
      <c r="Y4" s="68" t="s">
        <v>5</v>
      </c>
      <c r="Z4" s="68" t="s">
        <v>439</v>
      </c>
      <c r="AB4" s="66" t="s">
        <v>437</v>
      </c>
      <c r="AC4" s="66" t="s">
        <v>438</v>
      </c>
      <c r="AD4" s="68" t="s">
        <v>5</v>
      </c>
      <c r="AF4" s="66" t="s">
        <v>437</v>
      </c>
      <c r="AG4" s="66" t="s">
        <v>438</v>
      </c>
      <c r="AH4" s="68" t="s">
        <v>5</v>
      </c>
      <c r="AJ4" s="16" t="s">
        <v>4</v>
      </c>
      <c r="AK4" s="16" t="s">
        <v>440</v>
      </c>
      <c r="AL4" s="16" t="s">
        <v>420</v>
      </c>
      <c r="AN4" s="16" t="s">
        <v>4</v>
      </c>
      <c r="AO4" s="16" t="s">
        <v>440</v>
      </c>
      <c r="AP4" s="16" t="s">
        <v>420</v>
      </c>
      <c r="AR4" s="16" t="s">
        <v>4</v>
      </c>
      <c r="AS4" s="16" t="s">
        <v>440</v>
      </c>
      <c r="AT4" s="16" t="s">
        <v>420</v>
      </c>
    </row>
    <row r="5" spans="1:53">
      <c r="A5" s="7" t="s">
        <v>8</v>
      </c>
      <c r="B5" s="21" t="s">
        <v>441</v>
      </c>
      <c r="C5" s="21" t="s">
        <v>152</v>
      </c>
      <c r="D5" s="21" t="s">
        <v>423</v>
      </c>
      <c r="E5" s="8">
        <v>148</v>
      </c>
      <c r="F5" s="8">
        <v>46</v>
      </c>
      <c r="G5" s="8">
        <v>28</v>
      </c>
      <c r="H5" s="53">
        <f>E5+F5+G5</f>
        <v>222</v>
      </c>
      <c r="I5" s="23">
        <f>E5*$I$2+F5*$I$2</f>
        <v>29100</v>
      </c>
      <c r="J5" s="23">
        <f>E5*$J$2+F5*$J$2</f>
        <v>38800</v>
      </c>
      <c r="K5" s="7"/>
      <c r="L5" s="23">
        <f>E5*AN5+F5*AO5</f>
        <v>33950</v>
      </c>
      <c r="M5" s="60">
        <f>I5+J5+K5+L5</f>
        <v>101850</v>
      </c>
      <c r="N5" s="23">
        <f>G5*$N$2</f>
        <v>4200</v>
      </c>
      <c r="O5" s="23">
        <f>G5*$O$2</f>
        <v>4200</v>
      </c>
      <c r="P5" s="7"/>
      <c r="Q5" s="23">
        <f>G5*AP5</f>
        <v>2800</v>
      </c>
      <c r="R5" s="60">
        <f>N5+O5+P5+Q5</f>
        <v>11200</v>
      </c>
      <c r="S5" s="23">
        <f>M5+R5</f>
        <v>113050</v>
      </c>
      <c r="T5" s="7"/>
      <c r="W5" s="2">
        <v>13500</v>
      </c>
      <c r="X5" s="2">
        <v>13800</v>
      </c>
      <c r="Y5" s="2">
        <v>10800</v>
      </c>
      <c r="Z5" s="2">
        <v>0</v>
      </c>
      <c r="AB5">
        <f>$AB$3-350</f>
        <v>13900</v>
      </c>
      <c r="AC5">
        <f>$AC$3-350</f>
        <v>14700</v>
      </c>
      <c r="AD5">
        <f>$AD$3-300</f>
        <v>11400</v>
      </c>
      <c r="AF5" s="32">
        <f>AB5-W5</f>
        <v>400</v>
      </c>
      <c r="AG5" s="32">
        <f>AC5-X5</f>
        <v>900</v>
      </c>
      <c r="AH5" s="32">
        <f>AD5-Y5</f>
        <v>600</v>
      </c>
      <c r="AN5">
        <v>175</v>
      </c>
      <c r="AO5">
        <v>175</v>
      </c>
      <c r="AP5">
        <v>100</v>
      </c>
      <c r="AR5" s="32">
        <f>AF5-AJ5-AN5</f>
        <v>225</v>
      </c>
      <c r="AS5" s="32">
        <f>AG5-AK5-AO5</f>
        <v>725</v>
      </c>
      <c r="AT5" s="32">
        <f>AH5-AL5-AP5</f>
        <v>500</v>
      </c>
      <c r="AV5" s="32"/>
      <c r="AW5" s="32"/>
      <c r="AX5" s="32"/>
      <c r="AY5" s="32"/>
      <c r="AZ5" s="32"/>
      <c r="BA5" s="32"/>
    </row>
    <row r="6" spans="1:53">
      <c r="A6" s="7" t="s">
        <v>9</v>
      </c>
      <c r="B6" s="21" t="s">
        <v>442</v>
      </c>
      <c r="C6" s="21" t="s">
        <v>152</v>
      </c>
      <c r="D6" s="21" t="s">
        <v>443</v>
      </c>
      <c r="E6" s="8">
        <v>8</v>
      </c>
      <c r="F6" s="8">
        <v>0</v>
      </c>
      <c r="G6" s="8"/>
      <c r="H6" s="53">
        <f t="shared" ref="H6:H37" si="0">E6+F6+G6</f>
        <v>8</v>
      </c>
      <c r="I6" s="23">
        <f t="shared" ref="I6:I37" si="1">E6*$I$2+F6*$I$2</f>
        <v>1200</v>
      </c>
      <c r="J6" s="23">
        <f t="shared" ref="J6:J37" si="2">E6*$J$2+F6*$J$2</f>
        <v>1600</v>
      </c>
      <c r="K6" s="23">
        <f>E6*AJ6+F6*AK6</f>
        <v>2000</v>
      </c>
      <c r="L6" s="7"/>
      <c r="M6" s="60">
        <f t="shared" ref="M6:M37" si="3">I6+J6+K6+L6</f>
        <v>4800</v>
      </c>
      <c r="N6" s="23">
        <f t="shared" ref="N6:N37" si="4">G6*$N$2</f>
        <v>0</v>
      </c>
      <c r="O6" s="23">
        <f t="shared" ref="O6:O37" si="5">G6*$O$2</f>
        <v>0</v>
      </c>
      <c r="P6" s="23">
        <f>G6*AL6</f>
        <v>0</v>
      </c>
      <c r="Q6" s="7"/>
      <c r="R6" s="60">
        <f t="shared" ref="R6:R37" si="6">N6+O6+P6+Q6</f>
        <v>0</v>
      </c>
      <c r="S6" s="23">
        <f t="shared" ref="S6:S37" si="7">M6+R6</f>
        <v>4800</v>
      </c>
      <c r="T6" s="7"/>
      <c r="W6" s="2">
        <v>13500</v>
      </c>
      <c r="X6" s="2">
        <v>0</v>
      </c>
      <c r="Y6" s="2">
        <v>0</v>
      </c>
      <c r="Z6" s="2">
        <v>0</v>
      </c>
      <c r="AB6">
        <f t="shared" ref="AB6:AB12" si="8">$AB$3-350</f>
        <v>13900</v>
      </c>
      <c r="AC6">
        <f t="shared" ref="AC6:AC12" si="9">$AC$3-350</f>
        <v>14700</v>
      </c>
      <c r="AD6">
        <f>$AD$3-300</f>
        <v>11400</v>
      </c>
      <c r="AF6" s="32">
        <f t="shared" ref="AF6:AF37" si="10">AB6-W6</f>
        <v>400</v>
      </c>
      <c r="AG6" s="32"/>
      <c r="AH6" s="32"/>
      <c r="AJ6" s="32">
        <v>250</v>
      </c>
      <c r="AK6" s="32"/>
      <c r="AL6" s="32"/>
      <c r="AR6" s="32">
        <f t="shared" ref="AR6:AR37" si="11">AF6-AJ6-AN6</f>
        <v>150</v>
      </c>
      <c r="AS6" s="32">
        <f t="shared" ref="AS6:AS37" si="12">AG6-AK6-AO6</f>
        <v>0</v>
      </c>
      <c r="AT6" s="32">
        <f t="shared" ref="AT6:AT37" si="13">AH6-AL6-AP6</f>
        <v>0</v>
      </c>
      <c r="AV6" s="32"/>
      <c r="AW6" s="32"/>
      <c r="AX6" s="32"/>
      <c r="AY6" s="32"/>
      <c r="AZ6" s="32"/>
      <c r="BA6" s="32"/>
    </row>
    <row r="7" spans="1:53">
      <c r="A7" s="54" t="s">
        <v>7</v>
      </c>
      <c r="B7" s="21"/>
      <c r="C7" s="21"/>
      <c r="D7" s="21"/>
      <c r="E7" s="14">
        <f>SUM(E5:E6)</f>
        <v>156</v>
      </c>
      <c r="F7" s="14">
        <f>SUM(F5:F6)</f>
        <v>46</v>
      </c>
      <c r="G7" s="14">
        <f>SUM(G5:G6)</f>
        <v>28</v>
      </c>
      <c r="H7" s="14">
        <f>SUM(H5:H6)</f>
        <v>230</v>
      </c>
      <c r="I7" s="14">
        <f t="shared" ref="I7:S7" si="14">SUM(I5:I6)</f>
        <v>30300</v>
      </c>
      <c r="J7" s="14">
        <f t="shared" si="14"/>
        <v>40400</v>
      </c>
      <c r="K7" s="14">
        <f t="shared" si="14"/>
        <v>2000</v>
      </c>
      <c r="L7" s="14">
        <f t="shared" si="14"/>
        <v>33950</v>
      </c>
      <c r="M7" s="14">
        <f t="shared" si="14"/>
        <v>106650</v>
      </c>
      <c r="N7" s="14">
        <f t="shared" si="14"/>
        <v>4200</v>
      </c>
      <c r="O7" s="14">
        <f t="shared" si="14"/>
        <v>4200</v>
      </c>
      <c r="P7" s="14">
        <f t="shared" si="14"/>
        <v>0</v>
      </c>
      <c r="Q7" s="14">
        <f t="shared" si="14"/>
        <v>2800</v>
      </c>
      <c r="R7" s="14">
        <f t="shared" si="14"/>
        <v>11200</v>
      </c>
      <c r="S7" s="14">
        <f t="shared" si="14"/>
        <v>117850</v>
      </c>
      <c r="T7" s="7"/>
      <c r="W7" s="2">
        <v>0</v>
      </c>
      <c r="X7" s="2">
        <v>0</v>
      </c>
      <c r="Y7" s="2">
        <v>0</v>
      </c>
      <c r="Z7" s="2">
        <v>0</v>
      </c>
      <c r="AB7">
        <f t="shared" si="8"/>
        <v>13900</v>
      </c>
      <c r="AC7">
        <f t="shared" si="9"/>
        <v>14700</v>
      </c>
      <c r="AD7">
        <f t="shared" ref="AD6:AD12" si="15">$AD$3-300</f>
        <v>11400</v>
      </c>
      <c r="AF7" s="32"/>
      <c r="AG7" s="32"/>
      <c r="AH7" s="32"/>
      <c r="AR7" s="32">
        <f t="shared" si="11"/>
        <v>0</v>
      </c>
      <c r="AS7" s="32">
        <f t="shared" si="12"/>
        <v>0</v>
      </c>
      <c r="AT7" s="32">
        <f t="shared" si="13"/>
        <v>0</v>
      </c>
      <c r="AV7" s="32"/>
      <c r="AW7" s="32"/>
      <c r="AX7" s="32"/>
      <c r="AY7" s="32"/>
      <c r="AZ7" s="32"/>
      <c r="BA7" s="32"/>
    </row>
    <row r="8" spans="1:53">
      <c r="A8" s="7" t="s">
        <v>11</v>
      </c>
      <c r="B8" s="21" t="s">
        <v>444</v>
      </c>
      <c r="C8" s="21" t="s">
        <v>152</v>
      </c>
      <c r="D8" s="21" t="s">
        <v>443</v>
      </c>
      <c r="E8" s="8">
        <v>0</v>
      </c>
      <c r="F8" s="8">
        <v>5</v>
      </c>
      <c r="G8" s="8"/>
      <c r="H8" s="53">
        <f t="shared" si="0"/>
        <v>5</v>
      </c>
      <c r="I8" s="23">
        <f t="shared" si="1"/>
        <v>750</v>
      </c>
      <c r="J8" s="23">
        <f t="shared" si="2"/>
        <v>1000</v>
      </c>
      <c r="K8" s="23">
        <f>E8*AJ8+F8*AK8</f>
        <v>1250</v>
      </c>
      <c r="L8" s="7"/>
      <c r="M8" s="60">
        <f t="shared" si="3"/>
        <v>3000</v>
      </c>
      <c r="N8" s="23">
        <f t="shared" si="4"/>
        <v>0</v>
      </c>
      <c r="O8" s="23">
        <f t="shared" si="5"/>
        <v>0</v>
      </c>
      <c r="P8" s="23">
        <f>G8*AL8</f>
        <v>0</v>
      </c>
      <c r="Q8" s="7"/>
      <c r="R8" s="60">
        <f t="shared" si="6"/>
        <v>0</v>
      </c>
      <c r="S8" s="23">
        <f t="shared" si="7"/>
        <v>3000</v>
      </c>
      <c r="T8" s="7"/>
      <c r="W8" s="2">
        <v>0</v>
      </c>
      <c r="X8" s="2">
        <v>14200</v>
      </c>
      <c r="Y8" s="2">
        <v>0</v>
      </c>
      <c r="Z8" s="2">
        <v>0</v>
      </c>
      <c r="AB8">
        <f t="shared" si="8"/>
        <v>13900</v>
      </c>
      <c r="AC8">
        <f t="shared" si="9"/>
        <v>14700</v>
      </c>
      <c r="AD8">
        <f t="shared" si="15"/>
        <v>11400</v>
      </c>
      <c r="AF8" s="32"/>
      <c r="AG8" s="32">
        <f>AC8-X8</f>
        <v>500</v>
      </c>
      <c r="AH8" s="32"/>
      <c r="AJ8" s="32"/>
      <c r="AK8" s="32">
        <v>250</v>
      </c>
      <c r="AL8" s="32"/>
      <c r="AR8" s="32">
        <f t="shared" si="11"/>
        <v>0</v>
      </c>
      <c r="AS8" s="32">
        <f t="shared" si="12"/>
        <v>250</v>
      </c>
      <c r="AT8" s="32">
        <f t="shared" si="13"/>
        <v>0</v>
      </c>
      <c r="AV8" s="32"/>
      <c r="AW8" s="32"/>
      <c r="AX8" s="32"/>
      <c r="AY8" s="32"/>
      <c r="AZ8" s="32"/>
      <c r="BA8" s="32"/>
    </row>
    <row r="9" spans="1:53">
      <c r="A9" s="7" t="s">
        <v>12</v>
      </c>
      <c r="B9" s="21" t="s">
        <v>445</v>
      </c>
      <c r="C9" s="21" t="s">
        <v>152</v>
      </c>
      <c r="D9" s="21" t="s">
        <v>423</v>
      </c>
      <c r="E9" s="8">
        <v>80</v>
      </c>
      <c r="F9" s="8">
        <v>5</v>
      </c>
      <c r="G9" s="8">
        <v>56</v>
      </c>
      <c r="H9" s="53">
        <f t="shared" si="0"/>
        <v>141</v>
      </c>
      <c r="I9" s="23">
        <f t="shared" si="1"/>
        <v>12750</v>
      </c>
      <c r="J9" s="23">
        <f t="shared" si="2"/>
        <v>17000</v>
      </c>
      <c r="K9" s="7"/>
      <c r="L9" s="23">
        <f>E9*AN9+F9*AO9</f>
        <v>14875</v>
      </c>
      <c r="M9" s="60">
        <f t="shared" si="3"/>
        <v>44625</v>
      </c>
      <c r="N9" s="23">
        <f t="shared" si="4"/>
        <v>8400</v>
      </c>
      <c r="O9" s="23">
        <f t="shared" si="5"/>
        <v>8400</v>
      </c>
      <c r="P9" s="7"/>
      <c r="Q9" s="23">
        <f>G9*AP9</f>
        <v>5600</v>
      </c>
      <c r="R9" s="60">
        <f t="shared" si="6"/>
        <v>22400</v>
      </c>
      <c r="S9" s="23">
        <f t="shared" si="7"/>
        <v>67025</v>
      </c>
      <c r="T9" s="7"/>
      <c r="W9" s="2">
        <v>13300</v>
      </c>
      <c r="X9" s="2">
        <v>14200</v>
      </c>
      <c r="Y9" s="2">
        <v>11000</v>
      </c>
      <c r="Z9" s="2">
        <v>0</v>
      </c>
      <c r="AB9">
        <f t="shared" si="8"/>
        <v>13900</v>
      </c>
      <c r="AC9">
        <f t="shared" si="9"/>
        <v>14700</v>
      </c>
      <c r="AD9">
        <f t="shared" si="15"/>
        <v>11400</v>
      </c>
      <c r="AF9" s="32">
        <f t="shared" si="10"/>
        <v>600</v>
      </c>
      <c r="AG9" s="32">
        <f>AC9-X9</f>
        <v>500</v>
      </c>
      <c r="AH9" s="32">
        <f>AD9-Y9</f>
        <v>400</v>
      </c>
      <c r="AN9">
        <v>175</v>
      </c>
      <c r="AO9">
        <v>175</v>
      </c>
      <c r="AP9">
        <v>100</v>
      </c>
      <c r="AR9" s="32">
        <f t="shared" si="11"/>
        <v>425</v>
      </c>
      <c r="AS9" s="32">
        <f t="shared" si="12"/>
        <v>325</v>
      </c>
      <c r="AT9" s="32">
        <f t="shared" si="13"/>
        <v>300</v>
      </c>
      <c r="AV9" s="32"/>
      <c r="AW9" s="32"/>
      <c r="AX9" s="32"/>
      <c r="AY9" s="32"/>
      <c r="AZ9" s="32"/>
      <c r="BA9" s="32"/>
    </row>
    <row r="10" spans="1:53">
      <c r="A10" s="7" t="s">
        <v>13</v>
      </c>
      <c r="B10" s="21" t="s">
        <v>446</v>
      </c>
      <c r="C10" s="21" t="s">
        <v>152</v>
      </c>
      <c r="D10" s="21" t="s">
        <v>447</v>
      </c>
      <c r="E10" s="8">
        <v>5</v>
      </c>
      <c r="F10" s="8">
        <v>0</v>
      </c>
      <c r="G10" s="8"/>
      <c r="H10" s="53">
        <f t="shared" si="0"/>
        <v>5</v>
      </c>
      <c r="I10" s="23">
        <f t="shared" si="1"/>
        <v>750</v>
      </c>
      <c r="J10" s="23">
        <f t="shared" si="2"/>
        <v>1000</v>
      </c>
      <c r="K10" s="7"/>
      <c r="L10" s="7"/>
      <c r="M10" s="60">
        <f t="shared" si="3"/>
        <v>1750</v>
      </c>
      <c r="N10" s="23">
        <f t="shared" si="4"/>
        <v>0</v>
      </c>
      <c r="O10" s="23">
        <f t="shared" si="5"/>
        <v>0</v>
      </c>
      <c r="P10" s="7"/>
      <c r="Q10" s="7"/>
      <c r="R10" s="60">
        <f t="shared" si="6"/>
        <v>0</v>
      </c>
      <c r="S10" s="23">
        <f t="shared" si="7"/>
        <v>1750</v>
      </c>
      <c r="T10" s="7"/>
      <c r="W10" s="2">
        <v>13900</v>
      </c>
      <c r="X10" s="2">
        <v>0</v>
      </c>
      <c r="Y10" s="2">
        <v>0</v>
      </c>
      <c r="Z10" s="2">
        <v>0</v>
      </c>
      <c r="AB10">
        <f t="shared" si="8"/>
        <v>13900</v>
      </c>
      <c r="AC10">
        <f t="shared" si="9"/>
        <v>14700</v>
      </c>
      <c r="AD10">
        <f t="shared" si="15"/>
        <v>11400</v>
      </c>
      <c r="AF10" s="32">
        <f t="shared" si="10"/>
        <v>0</v>
      </c>
      <c r="AG10" s="32"/>
      <c r="AH10" s="32"/>
      <c r="AR10" s="32">
        <f t="shared" si="11"/>
        <v>0</v>
      </c>
      <c r="AS10" s="32">
        <f t="shared" si="12"/>
        <v>0</v>
      </c>
      <c r="AT10" s="32">
        <f t="shared" si="13"/>
        <v>0</v>
      </c>
      <c r="AV10" s="32"/>
      <c r="AW10" s="32"/>
      <c r="AX10" s="32"/>
      <c r="AY10" s="32"/>
      <c r="AZ10" s="32"/>
      <c r="BA10" s="32"/>
    </row>
    <row r="11" spans="1:53">
      <c r="A11" s="7" t="s">
        <v>14</v>
      </c>
      <c r="B11" s="21" t="s">
        <v>448</v>
      </c>
      <c r="C11" s="21" t="s">
        <v>152</v>
      </c>
      <c r="D11" s="21" t="s">
        <v>447</v>
      </c>
      <c r="E11" s="8">
        <v>31</v>
      </c>
      <c r="F11" s="8">
        <v>0</v>
      </c>
      <c r="G11" s="8"/>
      <c r="H11" s="53">
        <f t="shared" si="0"/>
        <v>31</v>
      </c>
      <c r="I11" s="23">
        <f t="shared" si="1"/>
        <v>4650</v>
      </c>
      <c r="J11" s="23">
        <f t="shared" si="2"/>
        <v>6200</v>
      </c>
      <c r="K11" s="7"/>
      <c r="L11" s="7"/>
      <c r="M11" s="60">
        <f t="shared" si="3"/>
        <v>10850</v>
      </c>
      <c r="N11" s="23">
        <f t="shared" si="4"/>
        <v>0</v>
      </c>
      <c r="O11" s="23">
        <f t="shared" si="5"/>
        <v>0</v>
      </c>
      <c r="P11" s="7"/>
      <c r="Q11" s="7"/>
      <c r="R11" s="60">
        <f t="shared" si="6"/>
        <v>0</v>
      </c>
      <c r="S11" s="23">
        <f t="shared" si="7"/>
        <v>10850</v>
      </c>
      <c r="T11" s="7"/>
      <c r="W11" s="2">
        <v>13400</v>
      </c>
      <c r="X11" s="2">
        <v>0</v>
      </c>
      <c r="Y11" s="2">
        <v>0</v>
      </c>
      <c r="Z11" s="2">
        <v>0</v>
      </c>
      <c r="AB11">
        <f t="shared" si="8"/>
        <v>13900</v>
      </c>
      <c r="AC11">
        <f t="shared" si="9"/>
        <v>14700</v>
      </c>
      <c r="AD11">
        <f t="shared" si="15"/>
        <v>11400</v>
      </c>
      <c r="AF11" s="32">
        <f t="shared" si="10"/>
        <v>500</v>
      </c>
      <c r="AG11" s="32"/>
      <c r="AH11" s="32"/>
      <c r="AR11" s="32">
        <f t="shared" si="11"/>
        <v>500</v>
      </c>
      <c r="AS11" s="32">
        <f t="shared" si="12"/>
        <v>0</v>
      </c>
      <c r="AT11" s="32">
        <f t="shared" si="13"/>
        <v>0</v>
      </c>
      <c r="AV11" s="32"/>
      <c r="AW11" s="32"/>
      <c r="AX11" s="32"/>
      <c r="AY11" s="32"/>
      <c r="AZ11" s="32"/>
      <c r="BA11" s="32"/>
    </row>
    <row r="12" spans="1:53">
      <c r="A12" s="54" t="s">
        <v>10</v>
      </c>
      <c r="B12" s="21"/>
      <c r="C12" s="21"/>
      <c r="D12" s="21"/>
      <c r="E12" s="14">
        <f>SUM(E8:E11)</f>
        <v>116</v>
      </c>
      <c r="F12" s="14">
        <f>SUM(F8:F11)</f>
        <v>10</v>
      </c>
      <c r="G12" s="14">
        <f>SUM(G8:G11)</f>
        <v>56</v>
      </c>
      <c r="H12" s="14">
        <f>SUM(H8:H11)</f>
        <v>182</v>
      </c>
      <c r="I12" s="14">
        <f t="shared" ref="I12:S12" si="16">SUM(I8:I11)</f>
        <v>18900</v>
      </c>
      <c r="J12" s="14">
        <f t="shared" si="16"/>
        <v>25200</v>
      </c>
      <c r="K12" s="14">
        <f t="shared" si="16"/>
        <v>1250</v>
      </c>
      <c r="L12" s="14">
        <f t="shared" si="16"/>
        <v>14875</v>
      </c>
      <c r="M12" s="14">
        <f t="shared" si="16"/>
        <v>60225</v>
      </c>
      <c r="N12" s="14">
        <f t="shared" si="16"/>
        <v>8400</v>
      </c>
      <c r="O12" s="14">
        <f t="shared" si="16"/>
        <v>8400</v>
      </c>
      <c r="P12" s="14">
        <f t="shared" si="16"/>
        <v>0</v>
      </c>
      <c r="Q12" s="14">
        <f t="shared" si="16"/>
        <v>5600</v>
      </c>
      <c r="R12" s="14">
        <f t="shared" si="16"/>
        <v>22400</v>
      </c>
      <c r="S12" s="14">
        <f t="shared" si="16"/>
        <v>82625</v>
      </c>
      <c r="T12" s="7"/>
      <c r="W12" s="2">
        <v>0</v>
      </c>
      <c r="X12" s="2">
        <v>0</v>
      </c>
      <c r="Y12" s="2">
        <v>0</v>
      </c>
      <c r="Z12" s="2">
        <v>0</v>
      </c>
      <c r="AB12">
        <f t="shared" si="8"/>
        <v>13900</v>
      </c>
      <c r="AC12">
        <f t="shared" si="9"/>
        <v>14700</v>
      </c>
      <c r="AD12">
        <f t="shared" si="15"/>
        <v>11400</v>
      </c>
      <c r="AF12" s="32"/>
      <c r="AG12" s="32"/>
      <c r="AH12" s="32"/>
      <c r="AR12" s="32">
        <f t="shared" si="11"/>
        <v>0</v>
      </c>
      <c r="AS12" s="32">
        <f t="shared" si="12"/>
        <v>0</v>
      </c>
      <c r="AT12" s="32">
        <f t="shared" si="13"/>
        <v>0</v>
      </c>
      <c r="AV12" s="32"/>
      <c r="AW12" s="32"/>
      <c r="AX12" s="32"/>
      <c r="AY12" s="32"/>
      <c r="AZ12" s="32"/>
      <c r="BA12" s="32"/>
    </row>
    <row r="13" spans="1:53">
      <c r="A13" s="7" t="s">
        <v>16</v>
      </c>
      <c r="B13" s="21" t="s">
        <v>449</v>
      </c>
      <c r="C13" s="21" t="s">
        <v>152</v>
      </c>
      <c r="D13" s="21" t="s">
        <v>447</v>
      </c>
      <c r="E13" s="8">
        <v>27</v>
      </c>
      <c r="F13" s="8">
        <v>0</v>
      </c>
      <c r="G13" s="8"/>
      <c r="H13" s="53">
        <f t="shared" si="0"/>
        <v>27</v>
      </c>
      <c r="I13" s="23">
        <f t="shared" si="1"/>
        <v>4050</v>
      </c>
      <c r="J13" s="23">
        <f t="shared" si="2"/>
        <v>5400</v>
      </c>
      <c r="K13" s="7"/>
      <c r="L13" s="7"/>
      <c r="M13" s="60">
        <f t="shared" si="3"/>
        <v>9450</v>
      </c>
      <c r="N13" s="23">
        <f t="shared" si="4"/>
        <v>0</v>
      </c>
      <c r="O13" s="23">
        <f t="shared" si="5"/>
        <v>0</v>
      </c>
      <c r="P13" s="7"/>
      <c r="Q13" s="7"/>
      <c r="R13" s="60">
        <f t="shared" si="6"/>
        <v>0</v>
      </c>
      <c r="S13" s="23">
        <f t="shared" si="7"/>
        <v>9450</v>
      </c>
      <c r="T13" s="7"/>
      <c r="W13" s="2">
        <v>13500</v>
      </c>
      <c r="X13" s="2">
        <v>0</v>
      </c>
      <c r="Y13" s="2">
        <v>0</v>
      </c>
      <c r="Z13" s="2">
        <v>0</v>
      </c>
      <c r="AB13">
        <f t="shared" ref="AB13:AB22" si="17">$AB$3-350</f>
        <v>13900</v>
      </c>
      <c r="AC13">
        <f t="shared" ref="AC13:AC22" si="18">$AC$3-350</f>
        <v>14700</v>
      </c>
      <c r="AD13">
        <f t="shared" ref="AD13:AD22" si="19">$AD$3-300</f>
        <v>11400</v>
      </c>
      <c r="AF13" s="32">
        <f t="shared" si="10"/>
        <v>400</v>
      </c>
      <c r="AG13" s="32"/>
      <c r="AH13" s="32"/>
      <c r="AR13" s="32">
        <f t="shared" si="11"/>
        <v>400</v>
      </c>
      <c r="AS13" s="32">
        <f t="shared" si="12"/>
        <v>0</v>
      </c>
      <c r="AT13" s="32">
        <f t="shared" si="13"/>
        <v>0</v>
      </c>
      <c r="AV13" s="32"/>
      <c r="AW13" s="32"/>
      <c r="AX13" s="32"/>
      <c r="AY13" s="32"/>
      <c r="AZ13" s="32"/>
      <c r="BA13" s="32"/>
    </row>
    <row r="14" spans="1:53">
      <c r="A14" s="7" t="s">
        <v>17</v>
      </c>
      <c r="B14" s="21" t="s">
        <v>450</v>
      </c>
      <c r="C14" s="21" t="s">
        <v>152</v>
      </c>
      <c r="D14" s="21" t="s">
        <v>447</v>
      </c>
      <c r="E14" s="8">
        <v>27</v>
      </c>
      <c r="F14" s="8">
        <v>0</v>
      </c>
      <c r="G14" s="8"/>
      <c r="H14" s="53">
        <f t="shared" si="0"/>
        <v>27</v>
      </c>
      <c r="I14" s="23">
        <f t="shared" si="1"/>
        <v>4050</v>
      </c>
      <c r="J14" s="23">
        <f t="shared" si="2"/>
        <v>5400</v>
      </c>
      <c r="K14" s="7"/>
      <c r="L14" s="7"/>
      <c r="M14" s="60">
        <f t="shared" si="3"/>
        <v>9450</v>
      </c>
      <c r="N14" s="23">
        <f t="shared" si="4"/>
        <v>0</v>
      </c>
      <c r="O14" s="23">
        <f t="shared" si="5"/>
        <v>0</v>
      </c>
      <c r="P14" s="7"/>
      <c r="Q14" s="7"/>
      <c r="R14" s="60">
        <f t="shared" si="6"/>
        <v>0</v>
      </c>
      <c r="S14" s="23">
        <f t="shared" si="7"/>
        <v>9450</v>
      </c>
      <c r="T14" s="7"/>
      <c r="W14" s="2">
        <v>13500</v>
      </c>
      <c r="X14" s="2">
        <v>0</v>
      </c>
      <c r="Y14" s="2">
        <v>0</v>
      </c>
      <c r="Z14" s="2">
        <v>0</v>
      </c>
      <c r="AB14">
        <f t="shared" si="17"/>
        <v>13900</v>
      </c>
      <c r="AC14">
        <f t="shared" si="18"/>
        <v>14700</v>
      </c>
      <c r="AD14">
        <f t="shared" si="19"/>
        <v>11400</v>
      </c>
      <c r="AF14" s="32">
        <f t="shared" si="10"/>
        <v>400</v>
      </c>
      <c r="AG14" s="32"/>
      <c r="AH14" s="32"/>
      <c r="AR14" s="32">
        <f t="shared" si="11"/>
        <v>400</v>
      </c>
      <c r="AS14" s="32">
        <f t="shared" si="12"/>
        <v>0</v>
      </c>
      <c r="AT14" s="32">
        <f t="shared" si="13"/>
        <v>0</v>
      </c>
      <c r="AV14" s="32"/>
      <c r="AW14" s="32"/>
      <c r="AX14" s="32"/>
      <c r="AY14" s="32"/>
      <c r="AZ14" s="32"/>
      <c r="BA14" s="32"/>
    </row>
    <row r="15" spans="1:53">
      <c r="A15" s="7" t="s">
        <v>18</v>
      </c>
      <c r="B15" s="21" t="s">
        <v>451</v>
      </c>
      <c r="C15" s="21" t="s">
        <v>158</v>
      </c>
      <c r="D15" s="21" t="s">
        <v>447</v>
      </c>
      <c r="E15" s="8">
        <v>0</v>
      </c>
      <c r="F15" s="8">
        <v>0</v>
      </c>
      <c r="G15" s="8">
        <v>36</v>
      </c>
      <c r="H15" s="53">
        <f t="shared" si="0"/>
        <v>36</v>
      </c>
      <c r="I15" s="23">
        <f t="shared" si="1"/>
        <v>0</v>
      </c>
      <c r="J15" s="23">
        <f t="shared" si="2"/>
        <v>0</v>
      </c>
      <c r="K15" s="7"/>
      <c r="L15" s="7"/>
      <c r="M15" s="60">
        <f t="shared" si="3"/>
        <v>0</v>
      </c>
      <c r="N15" s="23">
        <f t="shared" si="4"/>
        <v>5400</v>
      </c>
      <c r="O15" s="23">
        <f t="shared" si="5"/>
        <v>5400</v>
      </c>
      <c r="P15" s="7"/>
      <c r="Q15" s="7"/>
      <c r="R15" s="60">
        <f t="shared" si="6"/>
        <v>10800</v>
      </c>
      <c r="S15" s="23">
        <f t="shared" si="7"/>
        <v>10800</v>
      </c>
      <c r="T15" s="7"/>
      <c r="W15" s="2">
        <v>0</v>
      </c>
      <c r="X15" s="2">
        <v>0</v>
      </c>
      <c r="Y15" s="2">
        <v>11000</v>
      </c>
      <c r="Z15" s="2">
        <v>0</v>
      </c>
      <c r="AB15">
        <f t="shared" si="17"/>
        <v>13900</v>
      </c>
      <c r="AC15">
        <f t="shared" si="18"/>
        <v>14700</v>
      </c>
      <c r="AD15">
        <f t="shared" si="19"/>
        <v>11400</v>
      </c>
      <c r="AF15" s="32"/>
      <c r="AG15" s="32"/>
      <c r="AH15" s="32">
        <f>AD15-Y15</f>
        <v>400</v>
      </c>
      <c r="AR15" s="32">
        <f t="shared" si="11"/>
        <v>0</v>
      </c>
      <c r="AS15" s="32">
        <f t="shared" si="12"/>
        <v>0</v>
      </c>
      <c r="AT15" s="32">
        <f t="shared" si="13"/>
        <v>400</v>
      </c>
      <c r="AV15" s="32"/>
      <c r="AW15" s="32"/>
      <c r="AX15" s="32"/>
      <c r="AY15" s="32"/>
      <c r="AZ15" s="32"/>
      <c r="BA15" s="32"/>
    </row>
    <row r="16" spans="1:53">
      <c r="A16" s="7" t="s">
        <v>19</v>
      </c>
      <c r="B16" s="21" t="s">
        <v>452</v>
      </c>
      <c r="C16" s="21" t="s">
        <v>152</v>
      </c>
      <c r="D16" s="21" t="s">
        <v>423</v>
      </c>
      <c r="E16" s="8">
        <v>140</v>
      </c>
      <c r="F16" s="8">
        <v>0</v>
      </c>
      <c r="G16" s="8">
        <v>292</v>
      </c>
      <c r="H16" s="53">
        <f t="shared" si="0"/>
        <v>432</v>
      </c>
      <c r="I16" s="23">
        <f t="shared" si="1"/>
        <v>21000</v>
      </c>
      <c r="J16" s="23">
        <f t="shared" si="2"/>
        <v>28000</v>
      </c>
      <c r="K16" s="7"/>
      <c r="L16" s="23">
        <f>E16*AN16+F16*AO16</f>
        <v>24500</v>
      </c>
      <c r="M16" s="60">
        <f t="shared" si="3"/>
        <v>73500</v>
      </c>
      <c r="N16" s="23">
        <f t="shared" si="4"/>
        <v>43800</v>
      </c>
      <c r="O16" s="23">
        <f t="shared" si="5"/>
        <v>43800</v>
      </c>
      <c r="P16" s="7"/>
      <c r="Q16" s="23">
        <f>G16*AP16</f>
        <v>29200</v>
      </c>
      <c r="R16" s="60">
        <f t="shared" si="6"/>
        <v>116800</v>
      </c>
      <c r="S16" s="23">
        <f t="shared" si="7"/>
        <v>190300</v>
      </c>
      <c r="T16" s="7"/>
      <c r="W16" s="2">
        <v>13400</v>
      </c>
      <c r="X16" s="2">
        <v>0</v>
      </c>
      <c r="Y16" s="2">
        <v>10900</v>
      </c>
      <c r="Z16" s="2">
        <v>0</v>
      </c>
      <c r="AB16">
        <f t="shared" si="17"/>
        <v>13900</v>
      </c>
      <c r="AC16">
        <f t="shared" si="18"/>
        <v>14700</v>
      </c>
      <c r="AD16">
        <f t="shared" si="19"/>
        <v>11400</v>
      </c>
      <c r="AF16" s="32">
        <f t="shared" si="10"/>
        <v>500</v>
      </c>
      <c r="AG16" s="32"/>
      <c r="AH16" s="32">
        <f>AD16-Y16</f>
        <v>500</v>
      </c>
      <c r="AN16">
        <v>175</v>
      </c>
      <c r="AP16">
        <v>100</v>
      </c>
      <c r="AR16" s="32">
        <f t="shared" si="11"/>
        <v>325</v>
      </c>
      <c r="AS16" s="32">
        <f t="shared" si="12"/>
        <v>0</v>
      </c>
      <c r="AT16" s="32">
        <f t="shared" si="13"/>
        <v>400</v>
      </c>
      <c r="AV16" s="32"/>
      <c r="AW16" s="32"/>
      <c r="AX16" s="32"/>
      <c r="AY16" s="32"/>
      <c r="AZ16" s="32"/>
      <c r="BA16" s="32"/>
    </row>
    <row r="17" spans="1:53">
      <c r="A17" s="54" t="s">
        <v>15</v>
      </c>
      <c r="B17" s="21"/>
      <c r="C17" s="21"/>
      <c r="D17" s="21"/>
      <c r="E17" s="14">
        <f>SUM(E13:E16)</f>
        <v>194</v>
      </c>
      <c r="F17" s="14">
        <f>SUM(F13:F16)</f>
        <v>0</v>
      </c>
      <c r="G17" s="14">
        <f>SUM(G13:G16)</f>
        <v>328</v>
      </c>
      <c r="H17" s="14">
        <f>SUM(H13:H16)</f>
        <v>522</v>
      </c>
      <c r="I17" s="14">
        <f t="shared" ref="I17:S17" si="20">SUM(I13:I16)</f>
        <v>29100</v>
      </c>
      <c r="J17" s="14">
        <f t="shared" si="20"/>
        <v>38800</v>
      </c>
      <c r="K17" s="14">
        <f t="shared" si="20"/>
        <v>0</v>
      </c>
      <c r="L17" s="14">
        <f t="shared" si="20"/>
        <v>24500</v>
      </c>
      <c r="M17" s="14">
        <f t="shared" si="20"/>
        <v>92400</v>
      </c>
      <c r="N17" s="14">
        <f t="shared" si="20"/>
        <v>49200</v>
      </c>
      <c r="O17" s="14">
        <f t="shared" si="20"/>
        <v>49200</v>
      </c>
      <c r="P17" s="14">
        <f t="shared" si="20"/>
        <v>0</v>
      </c>
      <c r="Q17" s="14">
        <f t="shared" si="20"/>
        <v>29200</v>
      </c>
      <c r="R17" s="14">
        <f t="shared" si="20"/>
        <v>127600</v>
      </c>
      <c r="S17" s="14">
        <f t="shared" si="20"/>
        <v>220000</v>
      </c>
      <c r="T17" s="7"/>
      <c r="W17" s="2">
        <v>0</v>
      </c>
      <c r="X17" s="2">
        <v>0</v>
      </c>
      <c r="Y17" s="2">
        <v>0</v>
      </c>
      <c r="Z17" s="2">
        <v>0</v>
      </c>
      <c r="AB17">
        <f t="shared" si="17"/>
        <v>13900</v>
      </c>
      <c r="AC17">
        <f t="shared" si="18"/>
        <v>14700</v>
      </c>
      <c r="AD17">
        <f t="shared" si="19"/>
        <v>11400</v>
      </c>
      <c r="AF17" s="32"/>
      <c r="AG17" s="32"/>
      <c r="AH17" s="32"/>
      <c r="AR17" s="32">
        <f t="shared" si="11"/>
        <v>0</v>
      </c>
      <c r="AS17" s="32">
        <f t="shared" si="12"/>
        <v>0</v>
      </c>
      <c r="AT17" s="32">
        <f t="shared" si="13"/>
        <v>0</v>
      </c>
      <c r="AV17" s="32"/>
      <c r="AW17" s="32"/>
      <c r="AX17" s="32"/>
      <c r="AY17" s="32"/>
      <c r="AZ17" s="32"/>
      <c r="BA17" s="32"/>
    </row>
    <row r="18" spans="1:53">
      <c r="A18" s="7" t="s">
        <v>21</v>
      </c>
      <c r="B18" s="21" t="s">
        <v>453</v>
      </c>
      <c r="C18" s="21" t="s">
        <v>152</v>
      </c>
      <c r="D18" s="21" t="s">
        <v>443</v>
      </c>
      <c r="E18" s="8">
        <v>78</v>
      </c>
      <c r="F18" s="8">
        <v>0</v>
      </c>
      <c r="G18" s="8">
        <v>13</v>
      </c>
      <c r="H18" s="53">
        <f t="shared" si="0"/>
        <v>91</v>
      </c>
      <c r="I18" s="23">
        <f t="shared" si="1"/>
        <v>11700</v>
      </c>
      <c r="J18" s="23">
        <f t="shared" si="2"/>
        <v>15600</v>
      </c>
      <c r="K18" s="23">
        <f>E18*AJ18+F18*AK18</f>
        <v>19500</v>
      </c>
      <c r="L18" s="7"/>
      <c r="M18" s="60">
        <f t="shared" si="3"/>
        <v>46800</v>
      </c>
      <c r="N18" s="23">
        <f t="shared" si="4"/>
        <v>1950</v>
      </c>
      <c r="O18" s="23">
        <f t="shared" si="5"/>
        <v>1950</v>
      </c>
      <c r="P18" s="23">
        <f>G18*AL18</f>
        <v>2600</v>
      </c>
      <c r="Q18" s="7"/>
      <c r="R18" s="60">
        <f t="shared" si="6"/>
        <v>6500</v>
      </c>
      <c r="S18" s="23">
        <f t="shared" si="7"/>
        <v>53300</v>
      </c>
      <c r="T18" s="7"/>
      <c r="W18" s="2">
        <v>13300</v>
      </c>
      <c r="X18" s="2">
        <v>0</v>
      </c>
      <c r="Y18" s="2">
        <v>11000</v>
      </c>
      <c r="Z18" s="2">
        <v>0</v>
      </c>
      <c r="AB18">
        <f t="shared" si="17"/>
        <v>13900</v>
      </c>
      <c r="AC18">
        <f t="shared" si="18"/>
        <v>14700</v>
      </c>
      <c r="AD18">
        <f t="shared" si="19"/>
        <v>11400</v>
      </c>
      <c r="AF18" s="32">
        <f t="shared" si="10"/>
        <v>600</v>
      </c>
      <c r="AG18" s="32"/>
      <c r="AH18" s="32">
        <f t="shared" ref="AH18:AH24" si="21">AD18-Y18</f>
        <v>400</v>
      </c>
      <c r="AJ18" s="32">
        <v>250</v>
      </c>
      <c r="AK18" s="32"/>
      <c r="AL18" s="32">
        <v>200</v>
      </c>
      <c r="AR18" s="32">
        <f t="shared" si="11"/>
        <v>350</v>
      </c>
      <c r="AS18" s="32">
        <f t="shared" si="12"/>
        <v>0</v>
      </c>
      <c r="AT18" s="32">
        <f t="shared" si="13"/>
        <v>200</v>
      </c>
      <c r="AV18" s="32"/>
      <c r="AW18" s="32"/>
      <c r="AX18" s="32"/>
      <c r="AY18" s="32"/>
      <c r="AZ18" s="32"/>
      <c r="BA18" s="32"/>
    </row>
    <row r="19" spans="1:53">
      <c r="A19" s="7" t="s">
        <v>22</v>
      </c>
      <c r="B19" s="21" t="s">
        <v>454</v>
      </c>
      <c r="C19" s="21" t="s">
        <v>152</v>
      </c>
      <c r="D19" s="21" t="s">
        <v>443</v>
      </c>
      <c r="E19" s="8">
        <v>46</v>
      </c>
      <c r="F19" s="8">
        <v>0</v>
      </c>
      <c r="G19" s="8"/>
      <c r="H19" s="53">
        <f t="shared" si="0"/>
        <v>46</v>
      </c>
      <c r="I19" s="23">
        <f t="shared" si="1"/>
        <v>6900</v>
      </c>
      <c r="J19" s="23">
        <f t="shared" si="2"/>
        <v>9200</v>
      </c>
      <c r="K19" s="23">
        <f>E19*AJ19+F19*AK19</f>
        <v>11500</v>
      </c>
      <c r="L19" s="7"/>
      <c r="M19" s="60">
        <f t="shared" si="3"/>
        <v>27600</v>
      </c>
      <c r="N19" s="23">
        <f t="shared" si="4"/>
        <v>0</v>
      </c>
      <c r="O19" s="23">
        <f t="shared" si="5"/>
        <v>0</v>
      </c>
      <c r="P19" s="23">
        <f>G19*AL19</f>
        <v>0</v>
      </c>
      <c r="Q19" s="7"/>
      <c r="R19" s="60">
        <f t="shared" si="6"/>
        <v>0</v>
      </c>
      <c r="S19" s="23">
        <f t="shared" si="7"/>
        <v>27600</v>
      </c>
      <c r="T19" s="7"/>
      <c r="W19" s="2">
        <v>13300</v>
      </c>
      <c r="X19" s="2">
        <v>0</v>
      </c>
      <c r="Y19" s="2">
        <v>11000</v>
      </c>
      <c r="Z19" s="2">
        <v>0</v>
      </c>
      <c r="AB19">
        <f t="shared" si="17"/>
        <v>13900</v>
      </c>
      <c r="AC19">
        <f t="shared" si="18"/>
        <v>14700</v>
      </c>
      <c r="AD19">
        <f t="shared" si="19"/>
        <v>11400</v>
      </c>
      <c r="AF19" s="32">
        <f t="shared" si="10"/>
        <v>600</v>
      </c>
      <c r="AG19" s="32"/>
      <c r="AH19" s="32">
        <f t="shared" si="21"/>
        <v>400</v>
      </c>
      <c r="AJ19" s="32">
        <v>250</v>
      </c>
      <c r="AK19" s="32"/>
      <c r="AL19" s="32">
        <v>200</v>
      </c>
      <c r="AR19" s="32">
        <f t="shared" si="11"/>
        <v>350</v>
      </c>
      <c r="AS19" s="32">
        <f t="shared" si="12"/>
        <v>0</v>
      </c>
      <c r="AT19" s="32">
        <f t="shared" si="13"/>
        <v>200</v>
      </c>
      <c r="AV19" s="32"/>
      <c r="AW19" s="32"/>
      <c r="AX19" s="32"/>
      <c r="AY19" s="32"/>
      <c r="AZ19" s="32"/>
      <c r="BA19" s="32"/>
    </row>
    <row r="20" spans="1:53">
      <c r="A20" s="7" t="s">
        <v>23</v>
      </c>
      <c r="B20" s="21" t="s">
        <v>455</v>
      </c>
      <c r="C20" s="21" t="s">
        <v>152</v>
      </c>
      <c r="D20" s="21" t="s">
        <v>443</v>
      </c>
      <c r="E20" s="8">
        <v>23</v>
      </c>
      <c r="F20" s="8">
        <v>0</v>
      </c>
      <c r="G20" s="8">
        <v>36</v>
      </c>
      <c r="H20" s="53">
        <f t="shared" si="0"/>
        <v>59</v>
      </c>
      <c r="I20" s="23">
        <f t="shared" si="1"/>
        <v>3450</v>
      </c>
      <c r="J20" s="23">
        <f t="shared" si="2"/>
        <v>4600</v>
      </c>
      <c r="K20" s="23">
        <f>E20*AJ20+F20*AK20</f>
        <v>5750</v>
      </c>
      <c r="L20" s="7"/>
      <c r="M20" s="60">
        <f t="shared" si="3"/>
        <v>13800</v>
      </c>
      <c r="N20" s="23">
        <f t="shared" si="4"/>
        <v>5400</v>
      </c>
      <c r="O20" s="23">
        <f t="shared" si="5"/>
        <v>5400</v>
      </c>
      <c r="P20" s="23">
        <f>G20*AL20</f>
        <v>7200</v>
      </c>
      <c r="Q20" s="7"/>
      <c r="R20" s="60">
        <f t="shared" si="6"/>
        <v>18000</v>
      </c>
      <c r="S20" s="23">
        <f t="shared" si="7"/>
        <v>31800</v>
      </c>
      <c r="T20" s="7"/>
      <c r="W20" s="2">
        <v>13300</v>
      </c>
      <c r="X20" s="2">
        <v>0</v>
      </c>
      <c r="Y20" s="2">
        <v>11000</v>
      </c>
      <c r="Z20" s="2">
        <v>0</v>
      </c>
      <c r="AB20">
        <f t="shared" si="17"/>
        <v>13900</v>
      </c>
      <c r="AC20">
        <f t="shared" si="18"/>
        <v>14700</v>
      </c>
      <c r="AD20">
        <f t="shared" si="19"/>
        <v>11400</v>
      </c>
      <c r="AF20" s="32">
        <f t="shared" si="10"/>
        <v>600</v>
      </c>
      <c r="AG20" s="32"/>
      <c r="AH20" s="32">
        <f t="shared" si="21"/>
        <v>400</v>
      </c>
      <c r="AJ20" s="32">
        <v>250</v>
      </c>
      <c r="AK20" s="32"/>
      <c r="AL20" s="32">
        <v>200</v>
      </c>
      <c r="AR20" s="32">
        <f t="shared" si="11"/>
        <v>350</v>
      </c>
      <c r="AS20" s="32">
        <f t="shared" si="12"/>
        <v>0</v>
      </c>
      <c r="AT20" s="32">
        <f t="shared" si="13"/>
        <v>200</v>
      </c>
      <c r="AV20" s="32"/>
      <c r="AW20" s="32"/>
      <c r="AX20" s="32"/>
      <c r="AY20" s="32"/>
      <c r="AZ20" s="32"/>
      <c r="BA20" s="32"/>
    </row>
    <row r="21" spans="1:53">
      <c r="A21" s="7" t="s">
        <v>24</v>
      </c>
      <c r="B21" s="21" t="s">
        <v>456</v>
      </c>
      <c r="C21" s="21" t="s">
        <v>152</v>
      </c>
      <c r="D21" s="21" t="s">
        <v>443</v>
      </c>
      <c r="E21" s="8">
        <v>51</v>
      </c>
      <c r="F21" s="8">
        <v>0</v>
      </c>
      <c r="G21" s="8"/>
      <c r="H21" s="53">
        <f t="shared" si="0"/>
        <v>51</v>
      </c>
      <c r="I21" s="23">
        <f t="shared" si="1"/>
        <v>7650</v>
      </c>
      <c r="J21" s="23">
        <f t="shared" si="2"/>
        <v>10200</v>
      </c>
      <c r="K21" s="23">
        <f>E21*AJ21+F21*AK21</f>
        <v>12750</v>
      </c>
      <c r="L21" s="7"/>
      <c r="M21" s="60">
        <f t="shared" si="3"/>
        <v>30600</v>
      </c>
      <c r="N21" s="23">
        <f t="shared" si="4"/>
        <v>0</v>
      </c>
      <c r="O21" s="23">
        <f t="shared" si="5"/>
        <v>0</v>
      </c>
      <c r="P21" s="23">
        <f>G21*AL21</f>
        <v>0</v>
      </c>
      <c r="Q21" s="7"/>
      <c r="R21" s="60">
        <f t="shared" si="6"/>
        <v>0</v>
      </c>
      <c r="S21" s="23">
        <f t="shared" si="7"/>
        <v>30600</v>
      </c>
      <c r="T21" s="7"/>
      <c r="W21" s="2">
        <v>13300</v>
      </c>
      <c r="X21" s="2">
        <v>0</v>
      </c>
      <c r="Y21" s="2">
        <v>11000</v>
      </c>
      <c r="Z21" s="2">
        <v>0</v>
      </c>
      <c r="AB21">
        <f t="shared" si="17"/>
        <v>13900</v>
      </c>
      <c r="AC21">
        <f t="shared" si="18"/>
        <v>14700</v>
      </c>
      <c r="AD21">
        <f t="shared" si="19"/>
        <v>11400</v>
      </c>
      <c r="AF21" s="32">
        <f t="shared" si="10"/>
        <v>600</v>
      </c>
      <c r="AG21" s="32"/>
      <c r="AH21" s="32">
        <f t="shared" si="21"/>
        <v>400</v>
      </c>
      <c r="AJ21" s="32">
        <v>250</v>
      </c>
      <c r="AK21" s="32"/>
      <c r="AL21" s="32">
        <v>200</v>
      </c>
      <c r="AR21" s="32">
        <f t="shared" si="11"/>
        <v>350</v>
      </c>
      <c r="AS21" s="32">
        <f t="shared" si="12"/>
        <v>0</v>
      </c>
      <c r="AT21" s="32">
        <f t="shared" si="13"/>
        <v>200</v>
      </c>
      <c r="AV21" s="32"/>
      <c r="AW21" s="32"/>
      <c r="AX21" s="32"/>
      <c r="AY21" s="32"/>
      <c r="AZ21" s="32"/>
      <c r="BA21" s="32"/>
    </row>
    <row r="22" s="52" customFormat="1" spans="1:53">
      <c r="A22" s="55" t="s">
        <v>25</v>
      </c>
      <c r="B22" s="43" t="s">
        <v>457</v>
      </c>
      <c r="C22" s="43" t="s">
        <v>152</v>
      </c>
      <c r="D22" s="43" t="s">
        <v>447</v>
      </c>
      <c r="E22" s="12">
        <v>695</v>
      </c>
      <c r="F22" s="12">
        <v>8</v>
      </c>
      <c r="G22" s="12">
        <v>239</v>
      </c>
      <c r="H22" s="56">
        <f t="shared" si="0"/>
        <v>942</v>
      </c>
      <c r="I22" s="61">
        <f t="shared" si="1"/>
        <v>105450</v>
      </c>
      <c r="J22" s="61">
        <f t="shared" si="2"/>
        <v>140600</v>
      </c>
      <c r="K22" s="55"/>
      <c r="L22" s="55"/>
      <c r="M22" s="61">
        <f t="shared" si="3"/>
        <v>246050</v>
      </c>
      <c r="N22" s="61">
        <f t="shared" si="4"/>
        <v>35850</v>
      </c>
      <c r="O22" s="61">
        <f t="shared" si="5"/>
        <v>35850</v>
      </c>
      <c r="P22" s="55"/>
      <c r="Q22" s="55"/>
      <c r="R22" s="61">
        <f t="shared" si="6"/>
        <v>71700</v>
      </c>
      <c r="S22" s="61">
        <f t="shared" si="7"/>
        <v>317750</v>
      </c>
      <c r="T22" s="55"/>
      <c r="W22" s="67">
        <v>13450</v>
      </c>
      <c r="X22" s="67">
        <v>14250</v>
      </c>
      <c r="Y22" s="2">
        <v>11000</v>
      </c>
      <c r="Z22" s="67">
        <v>0</v>
      </c>
      <c r="AB22" s="52">
        <f t="shared" si="17"/>
        <v>13900</v>
      </c>
      <c r="AC22" s="52">
        <f t="shared" si="18"/>
        <v>14700</v>
      </c>
      <c r="AD22" s="52">
        <f t="shared" si="19"/>
        <v>11400</v>
      </c>
      <c r="AF22" s="69">
        <f t="shared" si="10"/>
        <v>450</v>
      </c>
      <c r="AG22" s="69">
        <f>AC22-X22</f>
        <v>450</v>
      </c>
      <c r="AH22" s="69">
        <f t="shared" si="21"/>
        <v>400</v>
      </c>
      <c r="AR22" s="32">
        <f t="shared" si="11"/>
        <v>450</v>
      </c>
      <c r="AS22" s="32">
        <f t="shared" si="12"/>
        <v>450</v>
      </c>
      <c r="AT22" s="32">
        <f t="shared" si="13"/>
        <v>400</v>
      </c>
      <c r="AV22" s="32"/>
      <c r="AW22" s="32"/>
      <c r="AX22" s="32"/>
      <c r="AY22" s="32"/>
      <c r="AZ22" s="32"/>
      <c r="BA22" s="32"/>
    </row>
    <row r="23" spans="1:53">
      <c r="A23" s="7" t="s">
        <v>26</v>
      </c>
      <c r="B23" s="21" t="s">
        <v>458</v>
      </c>
      <c r="C23" s="21" t="s">
        <v>152</v>
      </c>
      <c r="D23" s="21" t="s">
        <v>447</v>
      </c>
      <c r="E23" s="8">
        <v>145</v>
      </c>
      <c r="F23" s="8">
        <v>0</v>
      </c>
      <c r="G23" s="8">
        <v>88</v>
      </c>
      <c r="H23" s="53">
        <f t="shared" si="0"/>
        <v>233</v>
      </c>
      <c r="I23" s="23">
        <f t="shared" si="1"/>
        <v>21750</v>
      </c>
      <c r="J23" s="23">
        <f t="shared" si="2"/>
        <v>29000</v>
      </c>
      <c r="K23" s="7"/>
      <c r="L23" s="7"/>
      <c r="M23" s="60">
        <f t="shared" si="3"/>
        <v>50750</v>
      </c>
      <c r="N23" s="23">
        <f t="shared" si="4"/>
        <v>13200</v>
      </c>
      <c r="O23" s="23">
        <f t="shared" si="5"/>
        <v>13200</v>
      </c>
      <c r="P23" s="7"/>
      <c r="Q23" s="7"/>
      <c r="R23" s="60">
        <f t="shared" si="6"/>
        <v>26400</v>
      </c>
      <c r="S23" s="23">
        <f t="shared" si="7"/>
        <v>77150</v>
      </c>
      <c r="T23" s="7"/>
      <c r="W23" s="2">
        <v>13600</v>
      </c>
      <c r="X23" s="2">
        <v>0</v>
      </c>
      <c r="Y23" s="2">
        <v>11000</v>
      </c>
      <c r="Z23" s="2">
        <v>0</v>
      </c>
      <c r="AB23">
        <f t="shared" ref="AB23:AB32" si="22">$AB$3-350</f>
        <v>13900</v>
      </c>
      <c r="AC23">
        <f t="shared" ref="AC23:AC32" si="23">$AC$3-350</f>
        <v>14700</v>
      </c>
      <c r="AD23">
        <f t="shared" ref="AD23:AD32" si="24">$AD$3-300</f>
        <v>11400</v>
      </c>
      <c r="AF23" s="32">
        <f t="shared" si="10"/>
        <v>300</v>
      </c>
      <c r="AG23" s="32"/>
      <c r="AH23" s="32">
        <f t="shared" si="21"/>
        <v>400</v>
      </c>
      <c r="AR23" s="32">
        <f t="shared" si="11"/>
        <v>300</v>
      </c>
      <c r="AS23" s="32">
        <f t="shared" si="12"/>
        <v>0</v>
      </c>
      <c r="AT23" s="32">
        <f t="shared" si="13"/>
        <v>400</v>
      </c>
      <c r="AV23" s="32"/>
      <c r="AW23" s="32"/>
      <c r="AX23" s="32"/>
      <c r="AY23" s="32"/>
      <c r="AZ23" s="32"/>
      <c r="BA23" s="32"/>
    </row>
    <row r="24" spans="1:53">
      <c r="A24" s="7" t="s">
        <v>27</v>
      </c>
      <c r="B24" s="21" t="s">
        <v>459</v>
      </c>
      <c r="C24" s="21" t="s">
        <v>152</v>
      </c>
      <c r="D24" s="21" t="s">
        <v>443</v>
      </c>
      <c r="E24" s="8">
        <v>60</v>
      </c>
      <c r="F24" s="8">
        <v>0</v>
      </c>
      <c r="G24" s="8">
        <v>16</v>
      </c>
      <c r="H24" s="53">
        <f t="shared" si="0"/>
        <v>76</v>
      </c>
      <c r="I24" s="23">
        <f t="shared" si="1"/>
        <v>9000</v>
      </c>
      <c r="J24" s="23">
        <f t="shared" si="2"/>
        <v>12000</v>
      </c>
      <c r="K24" s="23">
        <f>E24*AJ24+F24*AK24</f>
        <v>15000</v>
      </c>
      <c r="L24" s="7"/>
      <c r="M24" s="60">
        <f t="shared" si="3"/>
        <v>36000</v>
      </c>
      <c r="N24" s="23">
        <f t="shared" si="4"/>
        <v>2400</v>
      </c>
      <c r="O24" s="23">
        <f t="shared" si="5"/>
        <v>2400</v>
      </c>
      <c r="P24" s="23">
        <f>G24*AL24</f>
        <v>3200</v>
      </c>
      <c r="Q24" s="7"/>
      <c r="R24" s="60">
        <f t="shared" si="6"/>
        <v>8000</v>
      </c>
      <c r="S24" s="23">
        <f t="shared" si="7"/>
        <v>44000</v>
      </c>
      <c r="T24" s="7"/>
      <c r="W24" s="2">
        <v>13300</v>
      </c>
      <c r="X24" s="2">
        <v>0</v>
      </c>
      <c r="Y24" s="2">
        <v>11000</v>
      </c>
      <c r="Z24" s="2">
        <v>0</v>
      </c>
      <c r="AB24">
        <f t="shared" si="22"/>
        <v>13900</v>
      </c>
      <c r="AC24">
        <f t="shared" si="23"/>
        <v>14700</v>
      </c>
      <c r="AD24">
        <f t="shared" si="24"/>
        <v>11400</v>
      </c>
      <c r="AF24" s="32">
        <f t="shared" si="10"/>
        <v>600</v>
      </c>
      <c r="AG24" s="32"/>
      <c r="AH24" s="32">
        <f t="shared" si="21"/>
        <v>400</v>
      </c>
      <c r="AJ24" s="32">
        <v>250</v>
      </c>
      <c r="AK24" s="32"/>
      <c r="AL24" s="32">
        <v>200</v>
      </c>
      <c r="AR24" s="32">
        <f t="shared" si="11"/>
        <v>350</v>
      </c>
      <c r="AS24" s="32">
        <f t="shared" si="12"/>
        <v>0</v>
      </c>
      <c r="AT24" s="32">
        <f t="shared" si="13"/>
        <v>200</v>
      </c>
      <c r="AV24" s="32"/>
      <c r="AW24" s="32"/>
      <c r="AX24" s="32"/>
      <c r="AY24" s="32"/>
      <c r="AZ24" s="32"/>
      <c r="BA24" s="32"/>
    </row>
    <row r="25" spans="1:53">
      <c r="A25" s="54" t="s">
        <v>20</v>
      </c>
      <c r="B25" s="21"/>
      <c r="C25" s="21"/>
      <c r="D25" s="21"/>
      <c r="E25" s="14">
        <f>SUM(E18:E24)</f>
        <v>1098</v>
      </c>
      <c r="F25" s="14">
        <f>SUM(F18:F24)</f>
        <v>8</v>
      </c>
      <c r="G25" s="14">
        <f>SUM(G18:G24)</f>
        <v>392</v>
      </c>
      <c r="H25" s="14">
        <f>SUM(H18:H24)</f>
        <v>1498</v>
      </c>
      <c r="I25" s="14">
        <f t="shared" ref="I25:S25" si="25">SUM(I18:I24)</f>
        <v>165900</v>
      </c>
      <c r="J25" s="14">
        <f t="shared" si="25"/>
        <v>221200</v>
      </c>
      <c r="K25" s="14">
        <f t="shared" si="25"/>
        <v>64500</v>
      </c>
      <c r="L25" s="14">
        <f t="shared" si="25"/>
        <v>0</v>
      </c>
      <c r="M25" s="14">
        <f t="shared" si="25"/>
        <v>451600</v>
      </c>
      <c r="N25" s="14">
        <f t="shared" si="25"/>
        <v>58800</v>
      </c>
      <c r="O25" s="14">
        <f t="shared" si="25"/>
        <v>58800</v>
      </c>
      <c r="P25" s="14">
        <f t="shared" si="25"/>
        <v>13000</v>
      </c>
      <c r="Q25" s="14">
        <f t="shared" si="25"/>
        <v>0</v>
      </c>
      <c r="R25" s="14">
        <f t="shared" si="25"/>
        <v>130600</v>
      </c>
      <c r="S25" s="14">
        <f t="shared" si="25"/>
        <v>582200</v>
      </c>
      <c r="T25" s="7"/>
      <c r="W25" s="2">
        <v>0</v>
      </c>
      <c r="X25" s="2">
        <v>0</v>
      </c>
      <c r="Y25" s="2">
        <v>0</v>
      </c>
      <c r="Z25" s="2">
        <v>0</v>
      </c>
      <c r="AB25">
        <f t="shared" si="22"/>
        <v>13900</v>
      </c>
      <c r="AC25">
        <f t="shared" si="23"/>
        <v>14700</v>
      </c>
      <c r="AD25">
        <f t="shared" si="24"/>
        <v>11400</v>
      </c>
      <c r="AF25" s="32"/>
      <c r="AG25" s="32"/>
      <c r="AH25" s="32"/>
      <c r="AR25" s="32">
        <f t="shared" si="11"/>
        <v>0</v>
      </c>
      <c r="AS25" s="32">
        <f t="shared" si="12"/>
        <v>0</v>
      </c>
      <c r="AT25" s="32">
        <f t="shared" si="13"/>
        <v>0</v>
      </c>
      <c r="AV25" s="32"/>
      <c r="AW25" s="32"/>
      <c r="AX25" s="32"/>
      <c r="AY25" s="32"/>
      <c r="AZ25" s="32"/>
      <c r="BA25" s="32"/>
    </row>
    <row r="26" spans="1:53">
      <c r="A26" s="7" t="s">
        <v>29</v>
      </c>
      <c r="B26" s="21" t="s">
        <v>460</v>
      </c>
      <c r="C26" s="21" t="s">
        <v>152</v>
      </c>
      <c r="D26" s="21" t="s">
        <v>423</v>
      </c>
      <c r="E26" s="8">
        <v>194</v>
      </c>
      <c r="F26" s="8">
        <v>0</v>
      </c>
      <c r="G26" s="8">
        <v>188</v>
      </c>
      <c r="H26" s="53">
        <f t="shared" si="0"/>
        <v>382</v>
      </c>
      <c r="I26" s="23">
        <f t="shared" si="1"/>
        <v>29100</v>
      </c>
      <c r="J26" s="23">
        <f t="shared" si="2"/>
        <v>38800</v>
      </c>
      <c r="K26" s="7"/>
      <c r="L26" s="23">
        <f>E26*AN26+F26*AO26</f>
        <v>33950</v>
      </c>
      <c r="M26" s="60">
        <f t="shared" si="3"/>
        <v>101850</v>
      </c>
      <c r="N26" s="23">
        <f t="shared" si="4"/>
        <v>28200</v>
      </c>
      <c r="O26" s="23">
        <f t="shared" si="5"/>
        <v>28200</v>
      </c>
      <c r="P26" s="7"/>
      <c r="Q26" s="23">
        <f>G26*AP26</f>
        <v>18800</v>
      </c>
      <c r="R26" s="60">
        <f t="shared" si="6"/>
        <v>75200</v>
      </c>
      <c r="S26" s="23">
        <f t="shared" si="7"/>
        <v>177050</v>
      </c>
      <c r="T26" s="7"/>
      <c r="W26" s="2">
        <v>13400</v>
      </c>
      <c r="X26" s="2">
        <v>0</v>
      </c>
      <c r="Y26" s="2">
        <v>11000</v>
      </c>
      <c r="Z26" s="2">
        <v>0</v>
      </c>
      <c r="AB26">
        <f t="shared" si="22"/>
        <v>13900</v>
      </c>
      <c r="AC26">
        <f t="shared" si="23"/>
        <v>14700</v>
      </c>
      <c r="AD26">
        <f t="shared" si="24"/>
        <v>11400</v>
      </c>
      <c r="AF26" s="32">
        <f t="shared" si="10"/>
        <v>500</v>
      </c>
      <c r="AG26" s="32"/>
      <c r="AH26" s="32">
        <f>AD26-Y26</f>
        <v>400</v>
      </c>
      <c r="AN26">
        <v>175</v>
      </c>
      <c r="AP26">
        <v>100</v>
      </c>
      <c r="AR26" s="32">
        <f t="shared" si="11"/>
        <v>325</v>
      </c>
      <c r="AS26" s="32">
        <f t="shared" si="12"/>
        <v>0</v>
      </c>
      <c r="AT26" s="32">
        <f t="shared" si="13"/>
        <v>300</v>
      </c>
      <c r="AV26" s="32"/>
      <c r="AW26" s="32"/>
      <c r="AX26" s="32"/>
      <c r="AY26" s="32"/>
      <c r="AZ26" s="32"/>
      <c r="BA26" s="32"/>
    </row>
    <row r="27" spans="1:53">
      <c r="A27" s="7" t="s">
        <v>30</v>
      </c>
      <c r="B27" s="21" t="s">
        <v>461</v>
      </c>
      <c r="C27" s="21" t="s">
        <v>158</v>
      </c>
      <c r="D27" s="21" t="s">
        <v>443</v>
      </c>
      <c r="E27" s="8">
        <v>20</v>
      </c>
      <c r="F27" s="8">
        <v>0</v>
      </c>
      <c r="G27" s="8"/>
      <c r="H27" s="53">
        <f t="shared" si="0"/>
        <v>20</v>
      </c>
      <c r="I27" s="23">
        <f t="shared" si="1"/>
        <v>3000</v>
      </c>
      <c r="J27" s="23">
        <f t="shared" si="2"/>
        <v>4000</v>
      </c>
      <c r="K27" s="23">
        <f>E27*AJ27+F27*AK27</f>
        <v>5000</v>
      </c>
      <c r="L27" s="7"/>
      <c r="M27" s="60">
        <f t="shared" si="3"/>
        <v>12000</v>
      </c>
      <c r="N27" s="23">
        <f t="shared" si="4"/>
        <v>0</v>
      </c>
      <c r="O27" s="23">
        <f t="shared" si="5"/>
        <v>0</v>
      </c>
      <c r="P27" s="23">
        <f>G27*AL27</f>
        <v>0</v>
      </c>
      <c r="Q27" s="7"/>
      <c r="R27" s="60">
        <f t="shared" si="6"/>
        <v>0</v>
      </c>
      <c r="S27" s="23">
        <f t="shared" si="7"/>
        <v>12000</v>
      </c>
      <c r="T27" s="7"/>
      <c r="W27" s="2">
        <v>13400</v>
      </c>
      <c r="X27" s="2">
        <v>0</v>
      </c>
      <c r="Y27" s="2">
        <v>0</v>
      </c>
      <c r="Z27" s="2">
        <v>0</v>
      </c>
      <c r="AB27">
        <f t="shared" si="22"/>
        <v>13900</v>
      </c>
      <c r="AC27">
        <f t="shared" si="23"/>
        <v>14700</v>
      </c>
      <c r="AD27">
        <f t="shared" si="24"/>
        <v>11400</v>
      </c>
      <c r="AF27" s="32">
        <f t="shared" si="10"/>
        <v>500</v>
      </c>
      <c r="AG27" s="32"/>
      <c r="AH27" s="32"/>
      <c r="AJ27" s="32">
        <v>250</v>
      </c>
      <c r="AK27" s="32"/>
      <c r="AL27" s="32"/>
      <c r="AR27" s="32">
        <f t="shared" si="11"/>
        <v>250</v>
      </c>
      <c r="AS27" s="32">
        <f t="shared" si="12"/>
        <v>0</v>
      </c>
      <c r="AT27" s="32">
        <f t="shared" si="13"/>
        <v>0</v>
      </c>
      <c r="AV27" s="32"/>
      <c r="AW27" s="32"/>
      <c r="AX27" s="32"/>
      <c r="AY27" s="32"/>
      <c r="AZ27" s="32"/>
      <c r="BA27" s="32"/>
    </row>
    <row r="28" spans="1:53">
      <c r="A28" s="7" t="s">
        <v>31</v>
      </c>
      <c r="B28" s="21" t="s">
        <v>462</v>
      </c>
      <c r="C28" s="21" t="s">
        <v>152</v>
      </c>
      <c r="D28" s="21" t="s">
        <v>447</v>
      </c>
      <c r="E28" s="8">
        <v>8</v>
      </c>
      <c r="F28" s="8">
        <v>0</v>
      </c>
      <c r="G28" s="8"/>
      <c r="H28" s="53">
        <f t="shared" si="0"/>
        <v>8</v>
      </c>
      <c r="I28" s="23">
        <f t="shared" si="1"/>
        <v>1200</v>
      </c>
      <c r="J28" s="23">
        <f t="shared" si="2"/>
        <v>1600</v>
      </c>
      <c r="K28" s="7"/>
      <c r="L28" s="7"/>
      <c r="M28" s="60">
        <f t="shared" si="3"/>
        <v>2800</v>
      </c>
      <c r="N28" s="23">
        <f t="shared" si="4"/>
        <v>0</v>
      </c>
      <c r="O28" s="23">
        <f t="shared" si="5"/>
        <v>0</v>
      </c>
      <c r="P28" s="7"/>
      <c r="Q28" s="7"/>
      <c r="R28" s="60">
        <f t="shared" si="6"/>
        <v>0</v>
      </c>
      <c r="S28" s="23">
        <f t="shared" si="7"/>
        <v>2800</v>
      </c>
      <c r="T28" s="7"/>
      <c r="W28" s="2">
        <v>13400</v>
      </c>
      <c r="X28" s="2">
        <v>0</v>
      </c>
      <c r="Y28" s="2">
        <v>0</v>
      </c>
      <c r="Z28" s="2">
        <v>0</v>
      </c>
      <c r="AB28">
        <f t="shared" si="22"/>
        <v>13900</v>
      </c>
      <c r="AC28">
        <f t="shared" si="23"/>
        <v>14700</v>
      </c>
      <c r="AD28">
        <f t="shared" si="24"/>
        <v>11400</v>
      </c>
      <c r="AF28" s="32">
        <f t="shared" si="10"/>
        <v>500</v>
      </c>
      <c r="AG28" s="32"/>
      <c r="AH28" s="32"/>
      <c r="AR28" s="32">
        <f t="shared" si="11"/>
        <v>500</v>
      </c>
      <c r="AS28" s="32">
        <f t="shared" si="12"/>
        <v>0</v>
      </c>
      <c r="AT28" s="32">
        <f t="shared" si="13"/>
        <v>0</v>
      </c>
      <c r="AV28" s="32"/>
      <c r="AW28" s="32"/>
      <c r="AX28" s="32"/>
      <c r="AY28" s="32"/>
      <c r="AZ28" s="32"/>
      <c r="BA28" s="32"/>
    </row>
    <row r="29" spans="1:53">
      <c r="A29" s="7" t="s">
        <v>32</v>
      </c>
      <c r="B29" s="21" t="s">
        <v>463</v>
      </c>
      <c r="C29" s="21" t="s">
        <v>152</v>
      </c>
      <c r="D29" s="21" t="s">
        <v>423</v>
      </c>
      <c r="E29" s="8">
        <v>24</v>
      </c>
      <c r="F29" s="8">
        <v>0</v>
      </c>
      <c r="G29" s="8"/>
      <c r="H29" s="53">
        <f t="shared" si="0"/>
        <v>24</v>
      </c>
      <c r="I29" s="23">
        <f t="shared" si="1"/>
        <v>3600</v>
      </c>
      <c r="J29" s="23">
        <f t="shared" si="2"/>
        <v>4800</v>
      </c>
      <c r="K29" s="7"/>
      <c r="L29" s="23">
        <f>E29*AN29+F29*AO29</f>
        <v>4200</v>
      </c>
      <c r="M29" s="60">
        <f t="shared" si="3"/>
        <v>12600</v>
      </c>
      <c r="N29" s="23">
        <f t="shared" si="4"/>
        <v>0</v>
      </c>
      <c r="O29" s="23">
        <f t="shared" si="5"/>
        <v>0</v>
      </c>
      <c r="P29" s="7"/>
      <c r="Q29" s="23">
        <f>G29*AP29</f>
        <v>0</v>
      </c>
      <c r="R29" s="60">
        <f t="shared" si="6"/>
        <v>0</v>
      </c>
      <c r="S29" s="23">
        <f t="shared" si="7"/>
        <v>12600</v>
      </c>
      <c r="T29" s="7"/>
      <c r="W29" s="2">
        <v>13400</v>
      </c>
      <c r="X29" s="2">
        <v>0</v>
      </c>
      <c r="Y29" s="2">
        <v>0</v>
      </c>
      <c r="Z29" s="2">
        <v>0</v>
      </c>
      <c r="AB29">
        <f t="shared" si="22"/>
        <v>13900</v>
      </c>
      <c r="AC29">
        <f t="shared" si="23"/>
        <v>14700</v>
      </c>
      <c r="AD29">
        <f t="shared" si="24"/>
        <v>11400</v>
      </c>
      <c r="AF29" s="32">
        <f t="shared" si="10"/>
        <v>500</v>
      </c>
      <c r="AG29" s="32"/>
      <c r="AH29" s="32"/>
      <c r="AN29">
        <v>175</v>
      </c>
      <c r="AR29" s="32">
        <f t="shared" si="11"/>
        <v>325</v>
      </c>
      <c r="AS29" s="32">
        <f t="shared" si="12"/>
        <v>0</v>
      </c>
      <c r="AT29" s="32">
        <f t="shared" si="13"/>
        <v>0</v>
      </c>
      <c r="AV29" s="32"/>
      <c r="AW29" s="32"/>
      <c r="AX29" s="32"/>
      <c r="AY29" s="32"/>
      <c r="AZ29" s="32"/>
      <c r="BA29" s="32"/>
    </row>
    <row r="30" spans="1:53">
      <c r="A30" s="7" t="s">
        <v>33</v>
      </c>
      <c r="B30" s="21" t="s">
        <v>464</v>
      </c>
      <c r="C30" s="21" t="s">
        <v>152</v>
      </c>
      <c r="D30" s="21" t="s">
        <v>423</v>
      </c>
      <c r="E30" s="8">
        <v>24</v>
      </c>
      <c r="F30" s="8">
        <v>0</v>
      </c>
      <c r="G30" s="8"/>
      <c r="H30" s="53">
        <f t="shared" si="0"/>
        <v>24</v>
      </c>
      <c r="I30" s="23">
        <f t="shared" si="1"/>
        <v>3600</v>
      </c>
      <c r="J30" s="23">
        <f t="shared" si="2"/>
        <v>4800</v>
      </c>
      <c r="K30" s="7"/>
      <c r="L30" s="23">
        <f>E30*AN30+F30*AO30</f>
        <v>4200</v>
      </c>
      <c r="M30" s="60">
        <f t="shared" si="3"/>
        <v>12600</v>
      </c>
      <c r="N30" s="23">
        <f t="shared" si="4"/>
        <v>0</v>
      </c>
      <c r="O30" s="23">
        <f t="shared" si="5"/>
        <v>0</v>
      </c>
      <c r="P30" s="7"/>
      <c r="Q30" s="23">
        <f>G30*AP30</f>
        <v>0</v>
      </c>
      <c r="R30" s="60">
        <f t="shared" si="6"/>
        <v>0</v>
      </c>
      <c r="S30" s="23">
        <f t="shared" si="7"/>
        <v>12600</v>
      </c>
      <c r="T30" s="7"/>
      <c r="W30" s="2">
        <v>13400</v>
      </c>
      <c r="X30" s="2">
        <v>0</v>
      </c>
      <c r="Y30" s="2">
        <v>0</v>
      </c>
      <c r="Z30" s="2">
        <v>0</v>
      </c>
      <c r="AB30">
        <f t="shared" si="22"/>
        <v>13900</v>
      </c>
      <c r="AC30">
        <f t="shared" si="23"/>
        <v>14700</v>
      </c>
      <c r="AD30">
        <f t="shared" si="24"/>
        <v>11400</v>
      </c>
      <c r="AF30" s="32">
        <f t="shared" si="10"/>
        <v>500</v>
      </c>
      <c r="AG30" s="32"/>
      <c r="AH30" s="32"/>
      <c r="AN30">
        <v>175</v>
      </c>
      <c r="AR30" s="32">
        <f t="shared" si="11"/>
        <v>325</v>
      </c>
      <c r="AS30" s="32">
        <f t="shared" si="12"/>
        <v>0</v>
      </c>
      <c r="AT30" s="32">
        <f t="shared" si="13"/>
        <v>0</v>
      </c>
      <c r="AV30" s="32"/>
      <c r="AW30" s="32"/>
      <c r="AX30" s="32"/>
      <c r="AY30" s="32"/>
      <c r="AZ30" s="32"/>
      <c r="BA30" s="32"/>
    </row>
    <row r="31" spans="1:53">
      <c r="A31" s="7" t="s">
        <v>34</v>
      </c>
      <c r="B31" s="21" t="s">
        <v>465</v>
      </c>
      <c r="C31" s="21" t="s">
        <v>152</v>
      </c>
      <c r="D31" s="21" t="s">
        <v>447</v>
      </c>
      <c r="E31" s="8">
        <v>300</v>
      </c>
      <c r="F31" s="8">
        <v>0</v>
      </c>
      <c r="G31" s="8">
        <v>8</v>
      </c>
      <c r="H31" s="53">
        <f t="shared" si="0"/>
        <v>308</v>
      </c>
      <c r="I31" s="23">
        <f t="shared" si="1"/>
        <v>45000</v>
      </c>
      <c r="J31" s="23">
        <f t="shared" si="2"/>
        <v>60000</v>
      </c>
      <c r="K31" s="7"/>
      <c r="L31" s="7"/>
      <c r="M31" s="60">
        <f t="shared" si="3"/>
        <v>105000</v>
      </c>
      <c r="N31" s="23">
        <f t="shared" si="4"/>
        <v>1200</v>
      </c>
      <c r="O31" s="23">
        <f t="shared" si="5"/>
        <v>1200</v>
      </c>
      <c r="P31" s="7"/>
      <c r="Q31" s="7"/>
      <c r="R31" s="60">
        <f t="shared" si="6"/>
        <v>2400</v>
      </c>
      <c r="S31" s="23">
        <f t="shared" si="7"/>
        <v>107400</v>
      </c>
      <c r="T31" s="7"/>
      <c r="W31" s="2">
        <v>13400</v>
      </c>
      <c r="X31" s="2">
        <v>0</v>
      </c>
      <c r="Y31" s="2">
        <v>11000</v>
      </c>
      <c r="Z31" s="2">
        <v>0</v>
      </c>
      <c r="AB31">
        <f t="shared" si="22"/>
        <v>13900</v>
      </c>
      <c r="AC31">
        <f t="shared" si="23"/>
        <v>14700</v>
      </c>
      <c r="AD31">
        <f t="shared" si="24"/>
        <v>11400</v>
      </c>
      <c r="AF31" s="32">
        <f t="shared" si="10"/>
        <v>500</v>
      </c>
      <c r="AG31" s="32"/>
      <c r="AH31" s="32">
        <f>AD31-Y31</f>
        <v>400</v>
      </c>
      <c r="AR31" s="32">
        <f t="shared" si="11"/>
        <v>500</v>
      </c>
      <c r="AS31" s="32">
        <f t="shared" si="12"/>
        <v>0</v>
      </c>
      <c r="AT31" s="32">
        <f t="shared" si="13"/>
        <v>400</v>
      </c>
      <c r="AV31" s="32"/>
      <c r="AW31" s="32"/>
      <c r="AX31" s="32"/>
      <c r="AY31" s="32"/>
      <c r="AZ31" s="32"/>
      <c r="BA31" s="32"/>
    </row>
    <row r="32" spans="1:53">
      <c r="A32" s="7" t="s">
        <v>35</v>
      </c>
      <c r="B32" s="21" t="s">
        <v>466</v>
      </c>
      <c r="C32" s="21" t="s">
        <v>152</v>
      </c>
      <c r="D32" s="21" t="s">
        <v>443</v>
      </c>
      <c r="E32" s="8">
        <v>0</v>
      </c>
      <c r="F32" s="8">
        <v>0</v>
      </c>
      <c r="G32" s="8">
        <v>16</v>
      </c>
      <c r="H32" s="53">
        <f t="shared" si="0"/>
        <v>16</v>
      </c>
      <c r="I32" s="23">
        <f t="shared" si="1"/>
        <v>0</v>
      </c>
      <c r="J32" s="23">
        <f t="shared" si="2"/>
        <v>0</v>
      </c>
      <c r="K32" s="23">
        <f>E32*AJ32+F32*AK32</f>
        <v>0</v>
      </c>
      <c r="L32" s="7"/>
      <c r="M32" s="60">
        <f t="shared" si="3"/>
        <v>0</v>
      </c>
      <c r="N32" s="23">
        <f t="shared" si="4"/>
        <v>2400</v>
      </c>
      <c r="O32" s="23">
        <f t="shared" si="5"/>
        <v>2400</v>
      </c>
      <c r="P32" s="23">
        <f>G32*AL32</f>
        <v>3200</v>
      </c>
      <c r="Q32" s="7"/>
      <c r="R32" s="60">
        <f t="shared" si="6"/>
        <v>8000</v>
      </c>
      <c r="S32" s="23">
        <f t="shared" si="7"/>
        <v>8000</v>
      </c>
      <c r="T32" s="7"/>
      <c r="W32" s="2">
        <v>0</v>
      </c>
      <c r="X32" s="2">
        <v>0</v>
      </c>
      <c r="Y32" s="2">
        <v>11000</v>
      </c>
      <c r="Z32" s="2">
        <v>0</v>
      </c>
      <c r="AB32">
        <f t="shared" si="22"/>
        <v>13900</v>
      </c>
      <c r="AC32">
        <f t="shared" si="23"/>
        <v>14700</v>
      </c>
      <c r="AD32">
        <f t="shared" si="24"/>
        <v>11400</v>
      </c>
      <c r="AF32" s="32"/>
      <c r="AG32" s="32"/>
      <c r="AH32" s="32">
        <f>AD32-Y32</f>
        <v>400</v>
      </c>
      <c r="AJ32" s="32"/>
      <c r="AK32" s="32"/>
      <c r="AL32" s="32">
        <v>200</v>
      </c>
      <c r="AR32" s="32">
        <f t="shared" si="11"/>
        <v>0</v>
      </c>
      <c r="AS32" s="32">
        <f t="shared" si="12"/>
        <v>0</v>
      </c>
      <c r="AT32" s="32">
        <f t="shared" si="13"/>
        <v>200</v>
      </c>
      <c r="AV32" s="32"/>
      <c r="AW32" s="32"/>
      <c r="AX32" s="32"/>
      <c r="AY32" s="32"/>
      <c r="AZ32" s="32"/>
      <c r="BA32" s="32"/>
    </row>
    <row r="33" spans="1:53">
      <c r="A33" s="7" t="s">
        <v>36</v>
      </c>
      <c r="B33" s="21" t="s">
        <v>467</v>
      </c>
      <c r="C33" s="21" t="s">
        <v>152</v>
      </c>
      <c r="D33" s="21" t="s">
        <v>447</v>
      </c>
      <c r="E33" s="8">
        <v>20</v>
      </c>
      <c r="F33" s="8">
        <v>0</v>
      </c>
      <c r="G33" s="8"/>
      <c r="H33" s="53">
        <f t="shared" si="0"/>
        <v>20</v>
      </c>
      <c r="I33" s="23">
        <f t="shared" si="1"/>
        <v>3000</v>
      </c>
      <c r="J33" s="23">
        <f t="shared" si="2"/>
        <v>4000</v>
      </c>
      <c r="K33" s="7"/>
      <c r="L33" s="7"/>
      <c r="M33" s="60">
        <f t="shared" si="3"/>
        <v>7000</v>
      </c>
      <c r="N33" s="23">
        <f t="shared" si="4"/>
        <v>0</v>
      </c>
      <c r="O33" s="23">
        <f t="shared" si="5"/>
        <v>0</v>
      </c>
      <c r="P33" s="7"/>
      <c r="Q33" s="7"/>
      <c r="R33" s="60">
        <f t="shared" si="6"/>
        <v>0</v>
      </c>
      <c r="S33" s="23">
        <f t="shared" si="7"/>
        <v>7000</v>
      </c>
      <c r="T33" s="7"/>
      <c r="W33" s="2">
        <v>13300</v>
      </c>
      <c r="X33" s="2">
        <v>0</v>
      </c>
      <c r="Y33" s="2">
        <v>10800</v>
      </c>
      <c r="Z33" s="2">
        <v>0</v>
      </c>
      <c r="AB33">
        <f t="shared" ref="AB33:AB42" si="26">$AB$3-350</f>
        <v>13900</v>
      </c>
      <c r="AC33">
        <f t="shared" ref="AC33:AC42" si="27">$AC$3-350</f>
        <v>14700</v>
      </c>
      <c r="AD33">
        <f t="shared" ref="AD33:AD42" si="28">$AD$3-300</f>
        <v>11400</v>
      </c>
      <c r="AF33" s="32">
        <f t="shared" si="10"/>
        <v>600</v>
      </c>
      <c r="AG33" s="32"/>
      <c r="AH33" s="32">
        <f>AD33-Y33</f>
        <v>600</v>
      </c>
      <c r="AR33" s="32">
        <f t="shared" si="11"/>
        <v>600</v>
      </c>
      <c r="AS33" s="32">
        <f t="shared" si="12"/>
        <v>0</v>
      </c>
      <c r="AT33" s="32">
        <f t="shared" si="13"/>
        <v>600</v>
      </c>
      <c r="AV33" s="32"/>
      <c r="AW33" s="32"/>
      <c r="AX33" s="32"/>
      <c r="AY33" s="32"/>
      <c r="AZ33" s="32"/>
      <c r="BA33" s="32"/>
    </row>
    <row r="34" spans="1:53">
      <c r="A34" s="7" t="s">
        <v>37</v>
      </c>
      <c r="B34" s="21" t="s">
        <v>468</v>
      </c>
      <c r="C34" s="21" t="s">
        <v>152</v>
      </c>
      <c r="D34" s="21" t="s">
        <v>447</v>
      </c>
      <c r="E34" s="8">
        <v>17</v>
      </c>
      <c r="F34" s="8">
        <v>27</v>
      </c>
      <c r="G34" s="8"/>
      <c r="H34" s="53">
        <f t="shared" si="0"/>
        <v>44</v>
      </c>
      <c r="I34" s="23">
        <f t="shared" si="1"/>
        <v>6600</v>
      </c>
      <c r="J34" s="23">
        <f t="shared" si="2"/>
        <v>8800</v>
      </c>
      <c r="K34" s="7"/>
      <c r="L34" s="7"/>
      <c r="M34" s="60">
        <f t="shared" si="3"/>
        <v>15400</v>
      </c>
      <c r="N34" s="23">
        <f t="shared" si="4"/>
        <v>0</v>
      </c>
      <c r="O34" s="23">
        <f t="shared" si="5"/>
        <v>0</v>
      </c>
      <c r="P34" s="7"/>
      <c r="Q34" s="7"/>
      <c r="R34" s="60">
        <f t="shared" si="6"/>
        <v>0</v>
      </c>
      <c r="S34" s="23">
        <f t="shared" si="7"/>
        <v>15400</v>
      </c>
      <c r="T34" s="7"/>
      <c r="W34" s="2">
        <v>13400</v>
      </c>
      <c r="X34" s="2">
        <v>14200</v>
      </c>
      <c r="Y34" s="2">
        <v>0</v>
      </c>
      <c r="Z34" s="2">
        <v>0</v>
      </c>
      <c r="AB34">
        <f t="shared" si="26"/>
        <v>13900</v>
      </c>
      <c r="AC34">
        <f t="shared" si="27"/>
        <v>14700</v>
      </c>
      <c r="AD34">
        <f t="shared" si="28"/>
        <v>11400</v>
      </c>
      <c r="AF34" s="32">
        <f t="shared" si="10"/>
        <v>500</v>
      </c>
      <c r="AG34" s="32">
        <f>AC34-X34</f>
        <v>500</v>
      </c>
      <c r="AH34" s="32"/>
      <c r="AR34" s="32">
        <f t="shared" si="11"/>
        <v>500</v>
      </c>
      <c r="AS34" s="32">
        <f t="shared" si="12"/>
        <v>500</v>
      </c>
      <c r="AT34" s="32">
        <f t="shared" si="13"/>
        <v>0</v>
      </c>
      <c r="AV34" s="32"/>
      <c r="AW34" s="32"/>
      <c r="AX34" s="32"/>
      <c r="AY34" s="32"/>
      <c r="AZ34" s="32"/>
      <c r="BA34" s="32"/>
    </row>
    <row r="35" spans="1:53">
      <c r="A35" s="54" t="s">
        <v>28</v>
      </c>
      <c r="B35" s="21"/>
      <c r="C35" s="21"/>
      <c r="D35" s="21"/>
      <c r="E35" s="14">
        <f>SUM(E26:E34)</f>
        <v>607</v>
      </c>
      <c r="F35" s="14">
        <f>SUM(F26:F34)</f>
        <v>27</v>
      </c>
      <c r="G35" s="14">
        <f>SUM(G26:G34)</f>
        <v>212</v>
      </c>
      <c r="H35" s="14">
        <f>SUM(H26:H34)</f>
        <v>846</v>
      </c>
      <c r="I35" s="14">
        <f t="shared" ref="I35:S35" si="29">SUM(I26:I34)</f>
        <v>95100</v>
      </c>
      <c r="J35" s="14">
        <f t="shared" si="29"/>
        <v>126800</v>
      </c>
      <c r="K35" s="14">
        <f t="shared" si="29"/>
        <v>5000</v>
      </c>
      <c r="L35" s="14">
        <f t="shared" si="29"/>
        <v>42350</v>
      </c>
      <c r="M35" s="14">
        <f t="shared" si="29"/>
        <v>269250</v>
      </c>
      <c r="N35" s="14">
        <f t="shared" si="29"/>
        <v>31800</v>
      </c>
      <c r="O35" s="14">
        <f t="shared" si="29"/>
        <v>31800</v>
      </c>
      <c r="P35" s="14">
        <f t="shared" si="29"/>
        <v>3200</v>
      </c>
      <c r="Q35" s="14">
        <f t="shared" si="29"/>
        <v>18800</v>
      </c>
      <c r="R35" s="14">
        <f t="shared" si="29"/>
        <v>85600</v>
      </c>
      <c r="S35" s="14">
        <f t="shared" si="29"/>
        <v>354850</v>
      </c>
      <c r="T35" s="7"/>
      <c r="W35" s="2">
        <v>0</v>
      </c>
      <c r="X35" s="2">
        <v>0</v>
      </c>
      <c r="Y35" s="2">
        <v>0</v>
      </c>
      <c r="Z35" s="2">
        <v>0</v>
      </c>
      <c r="AB35">
        <f t="shared" si="26"/>
        <v>13900</v>
      </c>
      <c r="AC35">
        <f t="shared" si="27"/>
        <v>14700</v>
      </c>
      <c r="AD35">
        <f t="shared" si="28"/>
        <v>11400</v>
      </c>
      <c r="AF35" s="32"/>
      <c r="AG35" s="32"/>
      <c r="AH35" s="32"/>
      <c r="AR35" s="32">
        <f t="shared" si="11"/>
        <v>0</v>
      </c>
      <c r="AS35" s="32">
        <f t="shared" si="12"/>
        <v>0</v>
      </c>
      <c r="AT35" s="32">
        <f t="shared" si="13"/>
        <v>0</v>
      </c>
      <c r="AV35" s="32"/>
      <c r="AW35" s="32"/>
      <c r="AX35" s="32"/>
      <c r="AY35" s="32"/>
      <c r="AZ35" s="32"/>
      <c r="BA35" s="32"/>
    </row>
    <row r="36" spans="1:53">
      <c r="A36" s="7" t="s">
        <v>39</v>
      </c>
      <c r="B36" s="21" t="s">
        <v>469</v>
      </c>
      <c r="C36" s="21" t="s">
        <v>158</v>
      </c>
      <c r="D36" s="21" t="s">
        <v>443</v>
      </c>
      <c r="E36" s="8">
        <v>140</v>
      </c>
      <c r="F36" s="8">
        <v>0</v>
      </c>
      <c r="G36" s="8"/>
      <c r="H36" s="53">
        <f t="shared" si="0"/>
        <v>140</v>
      </c>
      <c r="I36" s="23">
        <f t="shared" si="1"/>
        <v>21000</v>
      </c>
      <c r="J36" s="23">
        <f t="shared" si="2"/>
        <v>28000</v>
      </c>
      <c r="K36" s="23">
        <f>E36*AJ36+F36*AK36</f>
        <v>35000</v>
      </c>
      <c r="L36" s="7"/>
      <c r="M36" s="60">
        <f t="shared" si="3"/>
        <v>84000</v>
      </c>
      <c r="N36" s="23">
        <f t="shared" si="4"/>
        <v>0</v>
      </c>
      <c r="O36" s="23">
        <f t="shared" si="5"/>
        <v>0</v>
      </c>
      <c r="P36" s="23">
        <f>G36*AL36</f>
        <v>0</v>
      </c>
      <c r="Q36" s="7"/>
      <c r="R36" s="60">
        <f t="shared" si="6"/>
        <v>0</v>
      </c>
      <c r="S36" s="23">
        <f t="shared" si="7"/>
        <v>84000</v>
      </c>
      <c r="T36" s="7"/>
      <c r="W36" s="2">
        <v>13400</v>
      </c>
      <c r="X36" s="2">
        <v>0</v>
      </c>
      <c r="Y36" s="2">
        <v>0</v>
      </c>
      <c r="Z36" s="2">
        <v>0</v>
      </c>
      <c r="AB36">
        <f t="shared" si="26"/>
        <v>13900</v>
      </c>
      <c r="AC36">
        <f t="shared" si="27"/>
        <v>14700</v>
      </c>
      <c r="AD36">
        <f t="shared" si="28"/>
        <v>11400</v>
      </c>
      <c r="AF36" s="32">
        <f t="shared" si="10"/>
        <v>500</v>
      </c>
      <c r="AG36" s="32"/>
      <c r="AH36" s="32"/>
      <c r="AJ36" s="32">
        <v>250</v>
      </c>
      <c r="AK36" s="32"/>
      <c r="AL36" s="32"/>
      <c r="AR36" s="32">
        <f t="shared" si="11"/>
        <v>250</v>
      </c>
      <c r="AS36" s="32">
        <f t="shared" si="12"/>
        <v>0</v>
      </c>
      <c r="AT36" s="32">
        <f t="shared" si="13"/>
        <v>0</v>
      </c>
      <c r="AV36" s="32"/>
      <c r="AW36" s="32"/>
      <c r="AX36" s="32"/>
      <c r="AY36" s="32"/>
      <c r="AZ36" s="32"/>
      <c r="BA36" s="32"/>
    </row>
    <row r="37" spans="1:53">
      <c r="A37" s="7" t="s">
        <v>40</v>
      </c>
      <c r="B37" s="21" t="s">
        <v>470</v>
      </c>
      <c r="C37" s="21" t="s">
        <v>152</v>
      </c>
      <c r="D37" s="21" t="s">
        <v>443</v>
      </c>
      <c r="E37" s="8">
        <v>42</v>
      </c>
      <c r="F37" s="8">
        <v>0</v>
      </c>
      <c r="G37" s="8"/>
      <c r="H37" s="53">
        <f t="shared" si="0"/>
        <v>42</v>
      </c>
      <c r="I37" s="23">
        <f t="shared" si="1"/>
        <v>6300</v>
      </c>
      <c r="J37" s="23">
        <f t="shared" si="2"/>
        <v>8400</v>
      </c>
      <c r="K37" s="23">
        <f>E37*AJ37+F37*AK37</f>
        <v>10500</v>
      </c>
      <c r="L37" s="7"/>
      <c r="M37" s="60">
        <f t="shared" si="3"/>
        <v>25200</v>
      </c>
      <c r="N37" s="23">
        <f t="shared" si="4"/>
        <v>0</v>
      </c>
      <c r="O37" s="23">
        <f t="shared" si="5"/>
        <v>0</v>
      </c>
      <c r="P37" s="23">
        <f>G37*AL37</f>
        <v>0</v>
      </c>
      <c r="Q37" s="7"/>
      <c r="R37" s="60">
        <f t="shared" si="6"/>
        <v>0</v>
      </c>
      <c r="S37" s="23">
        <f t="shared" si="7"/>
        <v>25200</v>
      </c>
      <c r="T37" s="7"/>
      <c r="W37" s="2">
        <v>13500</v>
      </c>
      <c r="X37" s="2">
        <v>0</v>
      </c>
      <c r="Y37" s="2">
        <v>0</v>
      </c>
      <c r="Z37" s="2">
        <v>0</v>
      </c>
      <c r="AB37">
        <f t="shared" si="26"/>
        <v>13900</v>
      </c>
      <c r="AC37">
        <f t="shared" si="27"/>
        <v>14700</v>
      </c>
      <c r="AD37">
        <f t="shared" si="28"/>
        <v>11400</v>
      </c>
      <c r="AF37" s="32">
        <f t="shared" si="10"/>
        <v>400</v>
      </c>
      <c r="AG37" s="32"/>
      <c r="AH37" s="32"/>
      <c r="AJ37" s="32">
        <v>250</v>
      </c>
      <c r="AK37" s="32"/>
      <c r="AL37" s="32"/>
      <c r="AR37" s="32">
        <f t="shared" si="11"/>
        <v>150</v>
      </c>
      <c r="AS37" s="32">
        <f t="shared" si="12"/>
        <v>0</v>
      </c>
      <c r="AT37" s="32">
        <f t="shared" si="13"/>
        <v>0</v>
      </c>
      <c r="AV37" s="32"/>
      <c r="AW37" s="32"/>
      <c r="AX37" s="32"/>
      <c r="AY37" s="32"/>
      <c r="AZ37" s="32"/>
      <c r="BA37" s="32"/>
    </row>
    <row r="38" spans="1:53">
      <c r="A38" s="7" t="s">
        <v>41</v>
      </c>
      <c r="B38" s="21" t="s">
        <v>471</v>
      </c>
      <c r="C38" s="21" t="s">
        <v>158</v>
      </c>
      <c r="D38" s="21" t="s">
        <v>443</v>
      </c>
      <c r="E38" s="8">
        <v>2</v>
      </c>
      <c r="F38" s="8">
        <v>0</v>
      </c>
      <c r="G38" s="8"/>
      <c r="H38" s="53">
        <f t="shared" ref="H38:H69" si="30">E38+F38+G38</f>
        <v>2</v>
      </c>
      <c r="I38" s="23">
        <f t="shared" ref="I38:I69" si="31">E38*$I$2+F38*$I$2</f>
        <v>300</v>
      </c>
      <c r="J38" s="23">
        <f t="shared" ref="J38:J69" si="32">E38*$J$2+F38*$J$2</f>
        <v>400</v>
      </c>
      <c r="K38" s="23">
        <f>E38*AJ38+F38*AK38</f>
        <v>500</v>
      </c>
      <c r="L38" s="7"/>
      <c r="M38" s="60">
        <f t="shared" ref="M38:M69" si="33">I38+J38+K38+L38</f>
        <v>1200</v>
      </c>
      <c r="N38" s="23">
        <f t="shared" ref="N38:N69" si="34">G38*$N$2</f>
        <v>0</v>
      </c>
      <c r="O38" s="23">
        <f t="shared" ref="O38:O69" si="35">G38*$O$2</f>
        <v>0</v>
      </c>
      <c r="P38" s="23">
        <f>G38*AL38</f>
        <v>0</v>
      </c>
      <c r="Q38" s="7"/>
      <c r="R38" s="60">
        <f t="shared" ref="R38:R69" si="36">N38+O38+P38+Q38</f>
        <v>0</v>
      </c>
      <c r="S38" s="23">
        <f t="shared" ref="S38:S69" si="37">M38+R38</f>
        <v>1200</v>
      </c>
      <c r="T38" s="7"/>
      <c r="W38" s="2">
        <v>13650</v>
      </c>
      <c r="X38" s="2">
        <v>0</v>
      </c>
      <c r="Y38" s="2">
        <v>0</v>
      </c>
      <c r="Z38" s="2">
        <v>0</v>
      </c>
      <c r="AB38">
        <f t="shared" si="26"/>
        <v>13900</v>
      </c>
      <c r="AC38">
        <f t="shared" si="27"/>
        <v>14700</v>
      </c>
      <c r="AD38">
        <f t="shared" si="28"/>
        <v>11400</v>
      </c>
      <c r="AF38" s="32">
        <f t="shared" ref="AF38:AF69" si="38">AB38-W38</f>
        <v>250</v>
      </c>
      <c r="AG38" s="32"/>
      <c r="AH38" s="32"/>
      <c r="AJ38" s="32">
        <v>250</v>
      </c>
      <c r="AK38" s="32"/>
      <c r="AL38" s="32"/>
      <c r="AR38" s="32">
        <f t="shared" ref="AR38:AR69" si="39">AF38-AJ38-AN38</f>
        <v>0</v>
      </c>
      <c r="AS38" s="32">
        <f t="shared" ref="AS38:AS69" si="40">AG38-AK38-AO38</f>
        <v>0</v>
      </c>
      <c r="AT38" s="32">
        <f t="shared" ref="AT38:AT69" si="41">AH38-AL38-AP38</f>
        <v>0</v>
      </c>
      <c r="AV38" s="32"/>
      <c r="AW38" s="32"/>
      <c r="AX38" s="32"/>
      <c r="AY38" s="32"/>
      <c r="AZ38" s="32"/>
      <c r="BA38" s="32"/>
    </row>
    <row r="39" spans="1:53">
      <c r="A39" s="7" t="s">
        <v>42</v>
      </c>
      <c r="B39" s="21" t="s">
        <v>472</v>
      </c>
      <c r="C39" s="21" t="s">
        <v>152</v>
      </c>
      <c r="D39" s="21" t="s">
        <v>423</v>
      </c>
      <c r="E39" s="8">
        <v>60</v>
      </c>
      <c r="F39" s="8">
        <v>0</v>
      </c>
      <c r="G39" s="8"/>
      <c r="H39" s="53">
        <f t="shared" si="30"/>
        <v>60</v>
      </c>
      <c r="I39" s="23">
        <f t="shared" si="31"/>
        <v>9000</v>
      </c>
      <c r="J39" s="23">
        <f t="shared" si="32"/>
        <v>12000</v>
      </c>
      <c r="K39" s="7"/>
      <c r="L39" s="23">
        <f>E39*AN39+F39*AO39</f>
        <v>10500</v>
      </c>
      <c r="M39" s="60">
        <f t="shared" si="33"/>
        <v>31500</v>
      </c>
      <c r="N39" s="23">
        <f t="shared" si="34"/>
        <v>0</v>
      </c>
      <c r="O39" s="23">
        <f t="shared" si="35"/>
        <v>0</v>
      </c>
      <c r="P39" s="7"/>
      <c r="Q39" s="23">
        <f>G39*AP39</f>
        <v>0</v>
      </c>
      <c r="R39" s="60">
        <f t="shared" si="36"/>
        <v>0</v>
      </c>
      <c r="S39" s="23">
        <f t="shared" si="37"/>
        <v>31500</v>
      </c>
      <c r="T39" s="7"/>
      <c r="W39" s="2">
        <v>13400</v>
      </c>
      <c r="X39" s="2">
        <v>0</v>
      </c>
      <c r="Y39" s="2">
        <v>0</v>
      </c>
      <c r="Z39" s="2">
        <v>0</v>
      </c>
      <c r="AB39">
        <f t="shared" si="26"/>
        <v>13900</v>
      </c>
      <c r="AC39">
        <f t="shared" si="27"/>
        <v>14700</v>
      </c>
      <c r="AD39">
        <f t="shared" si="28"/>
        <v>11400</v>
      </c>
      <c r="AF39" s="32">
        <f t="shared" si="38"/>
        <v>500</v>
      </c>
      <c r="AG39" s="32"/>
      <c r="AH39" s="32"/>
      <c r="AN39">
        <v>175</v>
      </c>
      <c r="AR39" s="32">
        <f t="shared" si="39"/>
        <v>325</v>
      </c>
      <c r="AS39" s="32">
        <f t="shared" si="40"/>
        <v>0</v>
      </c>
      <c r="AT39" s="32">
        <f t="shared" si="41"/>
        <v>0</v>
      </c>
      <c r="AV39" s="32"/>
      <c r="AW39" s="32"/>
      <c r="AX39" s="32"/>
      <c r="AY39" s="32"/>
      <c r="AZ39" s="32"/>
      <c r="BA39" s="32"/>
    </row>
    <row r="40" spans="1:53">
      <c r="A40" s="54" t="s">
        <v>38</v>
      </c>
      <c r="B40" s="21"/>
      <c r="C40" s="21"/>
      <c r="D40" s="21"/>
      <c r="E40" s="14">
        <f>SUM(E36:E39)</f>
        <v>244</v>
      </c>
      <c r="F40" s="14">
        <f>SUM(F36:F39)</f>
        <v>0</v>
      </c>
      <c r="G40" s="14">
        <f>SUM(G36:G39)</f>
        <v>0</v>
      </c>
      <c r="H40" s="14">
        <f>SUM(H36:H39)</f>
        <v>244</v>
      </c>
      <c r="I40" s="14">
        <f t="shared" ref="I40:S40" si="42">SUM(I36:I39)</f>
        <v>36600</v>
      </c>
      <c r="J40" s="14">
        <f t="shared" si="42"/>
        <v>48800</v>
      </c>
      <c r="K40" s="14">
        <f t="shared" si="42"/>
        <v>46000</v>
      </c>
      <c r="L40" s="14">
        <f t="shared" si="42"/>
        <v>10500</v>
      </c>
      <c r="M40" s="14">
        <f t="shared" si="42"/>
        <v>141900</v>
      </c>
      <c r="N40" s="14">
        <f t="shared" si="42"/>
        <v>0</v>
      </c>
      <c r="O40" s="14">
        <f t="shared" si="42"/>
        <v>0</v>
      </c>
      <c r="P40" s="14">
        <f t="shared" si="42"/>
        <v>0</v>
      </c>
      <c r="Q40" s="14">
        <f t="shared" si="42"/>
        <v>0</v>
      </c>
      <c r="R40" s="14">
        <f t="shared" si="42"/>
        <v>0</v>
      </c>
      <c r="S40" s="14">
        <f t="shared" si="42"/>
        <v>141900</v>
      </c>
      <c r="T40" s="7"/>
      <c r="W40" s="2">
        <v>0</v>
      </c>
      <c r="X40" s="2">
        <v>0</v>
      </c>
      <c r="Y40" s="2">
        <v>0</v>
      </c>
      <c r="Z40" s="2">
        <v>0</v>
      </c>
      <c r="AB40">
        <f t="shared" si="26"/>
        <v>13900</v>
      </c>
      <c r="AC40">
        <f t="shared" si="27"/>
        <v>14700</v>
      </c>
      <c r="AD40">
        <f t="shared" si="28"/>
        <v>11400</v>
      </c>
      <c r="AF40" s="32"/>
      <c r="AG40" s="32"/>
      <c r="AH40" s="32"/>
      <c r="AR40" s="32">
        <f t="shared" si="39"/>
        <v>0</v>
      </c>
      <c r="AS40" s="32">
        <f t="shared" si="40"/>
        <v>0</v>
      </c>
      <c r="AT40" s="32">
        <f t="shared" si="41"/>
        <v>0</v>
      </c>
      <c r="AV40" s="32"/>
      <c r="AW40" s="32"/>
      <c r="AX40" s="32"/>
      <c r="AY40" s="32"/>
      <c r="AZ40" s="32"/>
      <c r="BA40" s="32"/>
    </row>
    <row r="41" spans="1:53">
      <c r="A41" s="7" t="s">
        <v>44</v>
      </c>
      <c r="B41" s="21" t="s">
        <v>473</v>
      </c>
      <c r="C41" s="21" t="s">
        <v>152</v>
      </c>
      <c r="D41" s="21" t="s">
        <v>423</v>
      </c>
      <c r="E41" s="8">
        <v>0</v>
      </c>
      <c r="F41" s="8">
        <v>0</v>
      </c>
      <c r="G41" s="8">
        <v>84</v>
      </c>
      <c r="H41" s="53">
        <f t="shared" si="30"/>
        <v>84</v>
      </c>
      <c r="I41" s="23">
        <f t="shared" si="31"/>
        <v>0</v>
      </c>
      <c r="J41" s="23">
        <f t="shared" si="32"/>
        <v>0</v>
      </c>
      <c r="K41" s="7"/>
      <c r="L41" s="23">
        <f>E41*AN41+F41*AO41</f>
        <v>0</v>
      </c>
      <c r="M41" s="60">
        <f t="shared" si="33"/>
        <v>0</v>
      </c>
      <c r="N41" s="23">
        <f t="shared" si="34"/>
        <v>12600</v>
      </c>
      <c r="O41" s="23">
        <f t="shared" si="35"/>
        <v>12600</v>
      </c>
      <c r="P41" s="7"/>
      <c r="Q41" s="23">
        <f>G41*AP41</f>
        <v>8400</v>
      </c>
      <c r="R41" s="60">
        <f t="shared" si="36"/>
        <v>33600</v>
      </c>
      <c r="S41" s="23">
        <f t="shared" si="37"/>
        <v>33600</v>
      </c>
      <c r="T41" s="7"/>
      <c r="W41" s="2">
        <v>0</v>
      </c>
      <c r="X41" s="2">
        <v>0</v>
      </c>
      <c r="Y41" s="2">
        <v>7800</v>
      </c>
      <c r="Z41" s="2"/>
      <c r="AB41">
        <f t="shared" si="26"/>
        <v>13900</v>
      </c>
      <c r="AC41">
        <f t="shared" si="27"/>
        <v>14700</v>
      </c>
      <c r="AD41">
        <v>8200</v>
      </c>
      <c r="AF41" s="32"/>
      <c r="AG41" s="32"/>
      <c r="AH41" s="32">
        <f>AD41-Y41</f>
        <v>400</v>
      </c>
      <c r="AP41">
        <v>100</v>
      </c>
      <c r="AR41" s="32">
        <f t="shared" si="39"/>
        <v>0</v>
      </c>
      <c r="AS41" s="32">
        <f t="shared" si="40"/>
        <v>0</v>
      </c>
      <c r="AT41" s="32">
        <f t="shared" si="41"/>
        <v>300</v>
      </c>
      <c r="AV41" s="32"/>
      <c r="AW41" s="32"/>
      <c r="AX41" s="32"/>
      <c r="AY41" s="32"/>
      <c r="AZ41" s="32"/>
      <c r="BA41" s="32"/>
    </row>
    <row r="42" s="52" customFormat="1" spans="1:53">
      <c r="A42" s="55" t="s">
        <v>45</v>
      </c>
      <c r="B42" s="43" t="s">
        <v>474</v>
      </c>
      <c r="C42" s="43" t="s">
        <v>152</v>
      </c>
      <c r="D42" s="43" t="s">
        <v>423</v>
      </c>
      <c r="E42" s="12">
        <v>0</v>
      </c>
      <c r="F42" s="12">
        <v>0</v>
      </c>
      <c r="G42" s="12">
        <v>8</v>
      </c>
      <c r="H42" s="56">
        <f t="shared" si="30"/>
        <v>8</v>
      </c>
      <c r="I42" s="61">
        <f t="shared" si="31"/>
        <v>0</v>
      </c>
      <c r="J42" s="61">
        <f t="shared" si="32"/>
        <v>0</v>
      </c>
      <c r="K42" s="55"/>
      <c r="L42" s="23">
        <f>E42*AN42+F42*AO42</f>
        <v>0</v>
      </c>
      <c r="M42" s="61">
        <f t="shared" si="33"/>
        <v>0</v>
      </c>
      <c r="N42" s="61"/>
      <c r="O42" s="61"/>
      <c r="P42" s="55"/>
      <c r="Q42" s="23">
        <f>G42*AP42</f>
        <v>0</v>
      </c>
      <c r="R42" s="61">
        <f t="shared" si="36"/>
        <v>0</v>
      </c>
      <c r="S42" s="61">
        <f t="shared" si="37"/>
        <v>0</v>
      </c>
      <c r="T42" s="55"/>
      <c r="W42" s="67">
        <v>0</v>
      </c>
      <c r="X42" s="67">
        <v>0</v>
      </c>
      <c r="Y42" s="67">
        <v>0</v>
      </c>
      <c r="Z42" s="67">
        <v>0</v>
      </c>
      <c r="AB42" s="52">
        <f t="shared" si="26"/>
        <v>13900</v>
      </c>
      <c r="AC42" s="52">
        <f t="shared" si="27"/>
        <v>14700</v>
      </c>
      <c r="AD42" s="52">
        <f t="shared" si="28"/>
        <v>11400</v>
      </c>
      <c r="AF42" s="69"/>
      <c r="AG42" s="69"/>
      <c r="AH42" s="69"/>
      <c r="AR42" s="32">
        <f t="shared" si="39"/>
        <v>0</v>
      </c>
      <c r="AS42" s="32">
        <f t="shared" si="40"/>
        <v>0</v>
      </c>
      <c r="AT42" s="32">
        <f t="shared" si="41"/>
        <v>0</v>
      </c>
      <c r="AV42" s="32"/>
      <c r="AW42" s="32"/>
      <c r="AX42" s="32"/>
      <c r="AY42" s="32"/>
      <c r="AZ42" s="32"/>
      <c r="BA42" s="32"/>
    </row>
    <row r="43" spans="1:53">
      <c r="A43" s="7" t="s">
        <v>46</v>
      </c>
      <c r="B43" s="21" t="s">
        <v>475</v>
      </c>
      <c r="C43" s="21" t="s">
        <v>152</v>
      </c>
      <c r="D43" s="21" t="s">
        <v>447</v>
      </c>
      <c r="E43" s="8">
        <v>33</v>
      </c>
      <c r="F43" s="8">
        <v>0</v>
      </c>
      <c r="G43" s="8">
        <v>51</v>
      </c>
      <c r="H43" s="53">
        <f t="shared" si="30"/>
        <v>84</v>
      </c>
      <c r="I43" s="23">
        <f t="shared" si="31"/>
        <v>4950</v>
      </c>
      <c r="J43" s="23">
        <f t="shared" si="32"/>
        <v>6600</v>
      </c>
      <c r="K43" s="7"/>
      <c r="L43" s="7"/>
      <c r="M43" s="60">
        <f t="shared" si="33"/>
        <v>11550</v>
      </c>
      <c r="N43" s="23">
        <f t="shared" si="34"/>
        <v>7650</v>
      </c>
      <c r="O43" s="23">
        <f t="shared" si="35"/>
        <v>7650</v>
      </c>
      <c r="P43" s="7"/>
      <c r="Q43" s="7"/>
      <c r="R43" s="60">
        <f t="shared" si="36"/>
        <v>15300</v>
      </c>
      <c r="S43" s="23">
        <f t="shared" si="37"/>
        <v>26850</v>
      </c>
      <c r="T43" s="7"/>
      <c r="W43" s="2">
        <v>13425</v>
      </c>
      <c r="X43" s="2">
        <v>0</v>
      </c>
      <c r="Y43" s="2">
        <v>11000</v>
      </c>
      <c r="Z43" s="2">
        <v>0</v>
      </c>
      <c r="AB43">
        <f t="shared" ref="AB43:AB52" si="43">$AB$3-350</f>
        <v>13900</v>
      </c>
      <c r="AC43">
        <f t="shared" ref="AC43:AC52" si="44">$AC$3-350</f>
        <v>14700</v>
      </c>
      <c r="AD43">
        <f t="shared" ref="AD43:AD52" si="45">$AD$3-300</f>
        <v>11400</v>
      </c>
      <c r="AF43" s="32">
        <f t="shared" si="38"/>
        <v>475</v>
      </c>
      <c r="AG43" s="32"/>
      <c r="AH43" s="32">
        <f>AD43-Y43</f>
        <v>400</v>
      </c>
      <c r="AR43" s="32">
        <f t="shared" si="39"/>
        <v>475</v>
      </c>
      <c r="AS43" s="32">
        <f t="shared" si="40"/>
        <v>0</v>
      </c>
      <c r="AT43" s="32">
        <f t="shared" si="41"/>
        <v>400</v>
      </c>
      <c r="AV43" s="32"/>
      <c r="AW43" s="32"/>
      <c r="AX43" s="32"/>
      <c r="AY43" s="32"/>
      <c r="AZ43" s="32"/>
      <c r="BA43" s="32"/>
    </row>
    <row r="44" spans="1:53">
      <c r="A44" s="7" t="s">
        <v>47</v>
      </c>
      <c r="B44" s="21" t="s">
        <v>476</v>
      </c>
      <c r="C44" s="21" t="s">
        <v>152</v>
      </c>
      <c r="D44" s="21" t="s">
        <v>423</v>
      </c>
      <c r="E44" s="8">
        <v>10</v>
      </c>
      <c r="F44" s="8">
        <v>0</v>
      </c>
      <c r="G44" s="8">
        <v>24</v>
      </c>
      <c r="H44" s="53">
        <f t="shared" si="30"/>
        <v>34</v>
      </c>
      <c r="I44" s="23">
        <f t="shared" si="31"/>
        <v>1500</v>
      </c>
      <c r="J44" s="23">
        <f t="shared" si="32"/>
        <v>2000</v>
      </c>
      <c r="K44" s="7"/>
      <c r="L44" s="23">
        <f>E44*AN44+F44*AO44</f>
        <v>1750</v>
      </c>
      <c r="M44" s="60">
        <f t="shared" si="33"/>
        <v>5250</v>
      </c>
      <c r="N44" s="23">
        <f t="shared" si="34"/>
        <v>3600</v>
      </c>
      <c r="O44" s="23">
        <f t="shared" si="35"/>
        <v>3600</v>
      </c>
      <c r="P44" s="7"/>
      <c r="Q44" s="23">
        <f>G44*AP44</f>
        <v>2400</v>
      </c>
      <c r="R44" s="60">
        <f t="shared" si="36"/>
        <v>9600</v>
      </c>
      <c r="S44" s="23">
        <f t="shared" si="37"/>
        <v>14850</v>
      </c>
      <c r="T44" s="7"/>
      <c r="W44" s="2">
        <v>13350</v>
      </c>
      <c r="X44" s="2">
        <v>0</v>
      </c>
      <c r="Y44" s="2">
        <v>11000</v>
      </c>
      <c r="Z44" s="2">
        <v>0</v>
      </c>
      <c r="AB44">
        <f t="shared" si="43"/>
        <v>13900</v>
      </c>
      <c r="AC44">
        <f t="shared" si="44"/>
        <v>14700</v>
      </c>
      <c r="AD44">
        <f t="shared" si="45"/>
        <v>11400</v>
      </c>
      <c r="AF44" s="32">
        <f t="shared" si="38"/>
        <v>550</v>
      </c>
      <c r="AG44" s="32"/>
      <c r="AH44" s="32">
        <f>AD44-Y44</f>
        <v>400</v>
      </c>
      <c r="AN44">
        <v>175</v>
      </c>
      <c r="AP44">
        <v>100</v>
      </c>
      <c r="AR44" s="32">
        <f t="shared" si="39"/>
        <v>375</v>
      </c>
      <c r="AS44" s="32">
        <f t="shared" si="40"/>
        <v>0</v>
      </c>
      <c r="AT44" s="32">
        <f t="shared" si="41"/>
        <v>300</v>
      </c>
      <c r="AV44" s="32"/>
      <c r="AW44" s="32"/>
      <c r="AX44" s="32"/>
      <c r="AY44" s="32"/>
      <c r="AZ44" s="32"/>
      <c r="BA44" s="32"/>
    </row>
    <row r="45" s="52" customFormat="1" spans="1:53">
      <c r="A45" s="55" t="s">
        <v>48</v>
      </c>
      <c r="B45" s="43" t="s">
        <v>477</v>
      </c>
      <c r="C45" s="43" t="s">
        <v>158</v>
      </c>
      <c r="D45" s="43" t="s">
        <v>443</v>
      </c>
      <c r="E45" s="12">
        <v>4</v>
      </c>
      <c r="F45" s="12">
        <v>0</v>
      </c>
      <c r="G45" s="12"/>
      <c r="H45" s="56">
        <f t="shared" si="30"/>
        <v>4</v>
      </c>
      <c r="I45" s="61">
        <f t="shared" si="31"/>
        <v>600</v>
      </c>
      <c r="J45" s="61">
        <f t="shared" si="32"/>
        <v>800</v>
      </c>
      <c r="K45" s="23">
        <f>E45*AJ45+F45*AK45</f>
        <v>1000</v>
      </c>
      <c r="L45" s="55"/>
      <c r="M45" s="61">
        <f t="shared" si="33"/>
        <v>2400</v>
      </c>
      <c r="N45" s="61">
        <f t="shared" si="34"/>
        <v>0</v>
      </c>
      <c r="O45" s="61">
        <f t="shared" si="35"/>
        <v>0</v>
      </c>
      <c r="P45" s="23">
        <f>G45*AL45</f>
        <v>0</v>
      </c>
      <c r="Q45" s="55"/>
      <c r="R45" s="61">
        <f t="shared" si="36"/>
        <v>0</v>
      </c>
      <c r="S45" s="61">
        <f t="shared" si="37"/>
        <v>2400</v>
      </c>
      <c r="T45" s="55"/>
      <c r="W45" s="67">
        <v>13650</v>
      </c>
      <c r="X45" s="67">
        <v>0</v>
      </c>
      <c r="Y45" s="67">
        <v>0</v>
      </c>
      <c r="Z45" s="67">
        <v>0</v>
      </c>
      <c r="AB45" s="52">
        <f t="shared" si="43"/>
        <v>13900</v>
      </c>
      <c r="AC45" s="52">
        <f t="shared" si="44"/>
        <v>14700</v>
      </c>
      <c r="AD45" s="52">
        <f t="shared" si="45"/>
        <v>11400</v>
      </c>
      <c r="AF45" s="69">
        <f t="shared" si="38"/>
        <v>250</v>
      </c>
      <c r="AG45" s="69"/>
      <c r="AH45" s="69"/>
      <c r="AJ45" s="69">
        <v>250</v>
      </c>
      <c r="AK45" s="69"/>
      <c r="AL45" s="69"/>
      <c r="AR45" s="32">
        <f t="shared" si="39"/>
        <v>0</v>
      </c>
      <c r="AS45" s="32">
        <f t="shared" si="40"/>
        <v>0</v>
      </c>
      <c r="AT45" s="32">
        <f t="shared" si="41"/>
        <v>0</v>
      </c>
      <c r="AV45" s="32"/>
      <c r="AW45" s="32"/>
      <c r="AX45" s="32"/>
      <c r="AY45" s="32"/>
      <c r="AZ45" s="32"/>
      <c r="BA45" s="32"/>
    </row>
    <row r="46" spans="1:53">
      <c r="A46" s="54" t="s">
        <v>43</v>
      </c>
      <c r="B46" s="21"/>
      <c r="C46" s="21"/>
      <c r="D46" s="21"/>
      <c r="E46" s="14">
        <f>SUM(E41:E45)</f>
        <v>47</v>
      </c>
      <c r="F46" s="14">
        <f>SUM(F41:F45)</f>
        <v>0</v>
      </c>
      <c r="G46" s="14">
        <f>SUM(G41:G45)</f>
        <v>167</v>
      </c>
      <c r="H46" s="14">
        <f>SUM(H41:H45)</f>
        <v>214</v>
      </c>
      <c r="I46" s="14">
        <f t="shared" ref="I46:S46" si="46">SUM(I41:I45)</f>
        <v>7050</v>
      </c>
      <c r="J46" s="14">
        <f t="shared" si="46"/>
        <v>9400</v>
      </c>
      <c r="K46" s="14">
        <f t="shared" si="46"/>
        <v>1000</v>
      </c>
      <c r="L46" s="14">
        <f t="shared" si="46"/>
        <v>1750</v>
      </c>
      <c r="M46" s="14">
        <f t="shared" si="46"/>
        <v>19200</v>
      </c>
      <c r="N46" s="14">
        <f t="shared" si="46"/>
        <v>23850</v>
      </c>
      <c r="O46" s="14">
        <f t="shared" si="46"/>
        <v>23850</v>
      </c>
      <c r="P46" s="14">
        <f t="shared" si="46"/>
        <v>0</v>
      </c>
      <c r="Q46" s="14">
        <f t="shared" si="46"/>
        <v>10800</v>
      </c>
      <c r="R46" s="14">
        <f t="shared" si="46"/>
        <v>58500</v>
      </c>
      <c r="S46" s="14">
        <f t="shared" si="46"/>
        <v>77700</v>
      </c>
      <c r="T46" s="7"/>
      <c r="W46" s="2">
        <v>0</v>
      </c>
      <c r="X46" s="2">
        <v>0</v>
      </c>
      <c r="Y46" s="2">
        <v>0</v>
      </c>
      <c r="Z46" s="2">
        <v>0</v>
      </c>
      <c r="AB46">
        <f t="shared" si="43"/>
        <v>13900</v>
      </c>
      <c r="AC46">
        <f t="shared" si="44"/>
        <v>14700</v>
      </c>
      <c r="AD46">
        <f t="shared" si="45"/>
        <v>11400</v>
      </c>
      <c r="AF46" s="32"/>
      <c r="AG46" s="32"/>
      <c r="AH46" s="32"/>
      <c r="AR46" s="32">
        <f t="shared" si="39"/>
        <v>0</v>
      </c>
      <c r="AS46" s="32">
        <f t="shared" si="40"/>
        <v>0</v>
      </c>
      <c r="AT46" s="32">
        <f t="shared" si="41"/>
        <v>0</v>
      </c>
      <c r="AV46" s="32"/>
      <c r="AW46" s="32"/>
      <c r="AX46" s="32"/>
      <c r="AY46" s="32"/>
      <c r="AZ46" s="32"/>
      <c r="BA46" s="32"/>
    </row>
    <row r="47" spans="1:53">
      <c r="A47" s="7" t="s">
        <v>50</v>
      </c>
      <c r="B47" s="21" t="s">
        <v>478</v>
      </c>
      <c r="C47" s="21" t="s">
        <v>152</v>
      </c>
      <c r="D47" s="21" t="s">
        <v>423</v>
      </c>
      <c r="E47" s="8">
        <v>61</v>
      </c>
      <c r="F47" s="8">
        <v>0</v>
      </c>
      <c r="G47" s="8"/>
      <c r="H47" s="53">
        <f t="shared" si="30"/>
        <v>61</v>
      </c>
      <c r="I47" s="23">
        <f t="shared" si="31"/>
        <v>9150</v>
      </c>
      <c r="J47" s="23">
        <f t="shared" si="32"/>
        <v>12200</v>
      </c>
      <c r="K47" s="7"/>
      <c r="L47" s="23">
        <f>E47*AN47+F47*AO47</f>
        <v>10675</v>
      </c>
      <c r="M47" s="60">
        <f t="shared" si="33"/>
        <v>32025</v>
      </c>
      <c r="N47" s="23">
        <f t="shared" si="34"/>
        <v>0</v>
      </c>
      <c r="O47" s="23">
        <f t="shared" si="35"/>
        <v>0</v>
      </c>
      <c r="P47" s="7"/>
      <c r="Q47" s="23">
        <f>G47*AP47</f>
        <v>0</v>
      </c>
      <c r="R47" s="60">
        <f t="shared" si="36"/>
        <v>0</v>
      </c>
      <c r="S47" s="23">
        <f t="shared" si="37"/>
        <v>32025</v>
      </c>
      <c r="T47" s="7"/>
      <c r="W47" s="2">
        <v>13300</v>
      </c>
      <c r="X47" s="2">
        <v>0</v>
      </c>
      <c r="Y47" s="2">
        <v>0</v>
      </c>
      <c r="Z47" s="2">
        <v>0</v>
      </c>
      <c r="AB47">
        <f t="shared" si="43"/>
        <v>13900</v>
      </c>
      <c r="AC47">
        <f t="shared" si="44"/>
        <v>14700</v>
      </c>
      <c r="AD47">
        <f t="shared" si="45"/>
        <v>11400</v>
      </c>
      <c r="AF47" s="32">
        <f t="shared" si="38"/>
        <v>600</v>
      </c>
      <c r="AG47" s="32"/>
      <c r="AH47" s="32"/>
      <c r="AN47">
        <v>175</v>
      </c>
      <c r="AR47" s="32">
        <f t="shared" si="39"/>
        <v>425</v>
      </c>
      <c r="AS47" s="32">
        <f t="shared" si="40"/>
        <v>0</v>
      </c>
      <c r="AT47" s="32">
        <f t="shared" si="41"/>
        <v>0</v>
      </c>
      <c r="AV47" s="32"/>
      <c r="AW47" s="32"/>
      <c r="AX47" s="32"/>
      <c r="AY47" s="32"/>
      <c r="AZ47" s="32"/>
      <c r="BA47" s="32"/>
    </row>
    <row r="48" spans="1:53">
      <c r="A48" s="7" t="s">
        <v>51</v>
      </c>
      <c r="B48" s="21" t="s">
        <v>479</v>
      </c>
      <c r="C48" s="21" t="s">
        <v>158</v>
      </c>
      <c r="D48" s="21" t="s">
        <v>443</v>
      </c>
      <c r="E48" s="8">
        <v>50</v>
      </c>
      <c r="F48" s="8">
        <v>0</v>
      </c>
      <c r="G48" s="8"/>
      <c r="H48" s="53">
        <f t="shared" si="30"/>
        <v>50</v>
      </c>
      <c r="I48" s="23">
        <f t="shared" si="31"/>
        <v>7500</v>
      </c>
      <c r="J48" s="23">
        <f t="shared" si="32"/>
        <v>10000</v>
      </c>
      <c r="K48" s="23">
        <f>E48*AJ48+F48*AK48</f>
        <v>12500</v>
      </c>
      <c r="L48" s="7"/>
      <c r="M48" s="60">
        <f t="shared" si="33"/>
        <v>30000</v>
      </c>
      <c r="N48" s="23">
        <f t="shared" si="34"/>
        <v>0</v>
      </c>
      <c r="O48" s="23">
        <f t="shared" si="35"/>
        <v>0</v>
      </c>
      <c r="P48" s="23">
        <f>G48*AL48</f>
        <v>0</v>
      </c>
      <c r="Q48" s="7"/>
      <c r="R48" s="60">
        <f t="shared" si="36"/>
        <v>0</v>
      </c>
      <c r="S48" s="23">
        <f t="shared" si="37"/>
        <v>30000</v>
      </c>
      <c r="T48" s="7"/>
      <c r="W48" s="2">
        <v>13300</v>
      </c>
      <c r="X48" s="2">
        <v>0</v>
      </c>
      <c r="Y48" s="2">
        <v>0</v>
      </c>
      <c r="Z48" s="2">
        <v>0</v>
      </c>
      <c r="AB48">
        <f t="shared" si="43"/>
        <v>13900</v>
      </c>
      <c r="AC48">
        <f t="shared" si="44"/>
        <v>14700</v>
      </c>
      <c r="AD48">
        <f t="shared" si="45"/>
        <v>11400</v>
      </c>
      <c r="AF48" s="32">
        <f t="shared" si="38"/>
        <v>600</v>
      </c>
      <c r="AG48" s="32"/>
      <c r="AH48" s="32"/>
      <c r="AJ48" s="32">
        <v>250</v>
      </c>
      <c r="AK48" s="32"/>
      <c r="AL48" s="32"/>
      <c r="AR48" s="32">
        <f t="shared" si="39"/>
        <v>350</v>
      </c>
      <c r="AS48" s="32">
        <f t="shared" si="40"/>
        <v>0</v>
      </c>
      <c r="AT48" s="32">
        <f t="shared" si="41"/>
        <v>0</v>
      </c>
      <c r="AV48" s="32"/>
      <c r="AW48" s="32"/>
      <c r="AX48" s="32"/>
      <c r="AY48" s="32"/>
      <c r="AZ48" s="32"/>
      <c r="BA48" s="32"/>
    </row>
    <row r="49" spans="1:53">
      <c r="A49" s="7" t="s">
        <v>52</v>
      </c>
      <c r="B49" s="21" t="s">
        <v>480</v>
      </c>
      <c r="C49" s="21" t="s">
        <v>152</v>
      </c>
      <c r="D49" s="21" t="s">
        <v>423</v>
      </c>
      <c r="E49" s="8">
        <v>16</v>
      </c>
      <c r="F49" s="8">
        <v>0</v>
      </c>
      <c r="G49" s="8"/>
      <c r="H49" s="53">
        <f t="shared" si="30"/>
        <v>16</v>
      </c>
      <c r="I49" s="23">
        <f t="shared" si="31"/>
        <v>2400</v>
      </c>
      <c r="J49" s="23">
        <f t="shared" si="32"/>
        <v>3200</v>
      </c>
      <c r="K49" s="7"/>
      <c r="L49" s="23">
        <f>E49*AN49+F49*AO49</f>
        <v>2800</v>
      </c>
      <c r="M49" s="60">
        <f t="shared" si="33"/>
        <v>8400</v>
      </c>
      <c r="N49" s="23">
        <f t="shared" si="34"/>
        <v>0</v>
      </c>
      <c r="O49" s="23">
        <f t="shared" si="35"/>
        <v>0</v>
      </c>
      <c r="P49" s="7"/>
      <c r="Q49" s="23">
        <f>G49*AP49</f>
        <v>0</v>
      </c>
      <c r="R49" s="60">
        <f t="shared" si="36"/>
        <v>0</v>
      </c>
      <c r="S49" s="23">
        <f t="shared" si="37"/>
        <v>8400</v>
      </c>
      <c r="T49" s="7"/>
      <c r="W49" s="2">
        <v>13300</v>
      </c>
      <c r="X49" s="2">
        <v>0</v>
      </c>
      <c r="Y49" s="2">
        <v>0</v>
      </c>
      <c r="Z49" s="2">
        <v>0</v>
      </c>
      <c r="AB49">
        <f t="shared" si="43"/>
        <v>13900</v>
      </c>
      <c r="AC49">
        <f t="shared" si="44"/>
        <v>14700</v>
      </c>
      <c r="AD49">
        <f t="shared" si="45"/>
        <v>11400</v>
      </c>
      <c r="AF49" s="32">
        <f t="shared" si="38"/>
        <v>600</v>
      </c>
      <c r="AG49" s="32"/>
      <c r="AH49" s="32"/>
      <c r="AN49">
        <v>175</v>
      </c>
      <c r="AR49" s="32">
        <f t="shared" si="39"/>
        <v>425</v>
      </c>
      <c r="AS49" s="32">
        <f t="shared" si="40"/>
        <v>0</v>
      </c>
      <c r="AT49" s="32">
        <f t="shared" si="41"/>
        <v>0</v>
      </c>
      <c r="AV49" s="32"/>
      <c r="AW49" s="32"/>
      <c r="AX49" s="32"/>
      <c r="AY49" s="32"/>
      <c r="AZ49" s="32"/>
      <c r="BA49" s="32"/>
    </row>
    <row r="50" spans="1:53">
      <c r="A50" s="7" t="s">
        <v>53</v>
      </c>
      <c r="B50" s="21" t="s">
        <v>481</v>
      </c>
      <c r="C50" s="21" t="s">
        <v>152</v>
      </c>
      <c r="D50" s="21" t="s">
        <v>423</v>
      </c>
      <c r="E50" s="8">
        <v>40</v>
      </c>
      <c r="F50" s="8">
        <v>0</v>
      </c>
      <c r="G50" s="8"/>
      <c r="H50" s="53">
        <f t="shared" si="30"/>
        <v>40</v>
      </c>
      <c r="I50" s="23">
        <f t="shared" si="31"/>
        <v>6000</v>
      </c>
      <c r="J50" s="23">
        <f t="shared" si="32"/>
        <v>8000</v>
      </c>
      <c r="K50" s="7"/>
      <c r="L50" s="23">
        <f>E50*AN50+F50*AO50</f>
        <v>7000</v>
      </c>
      <c r="M50" s="60">
        <f t="shared" si="33"/>
        <v>21000</v>
      </c>
      <c r="N50" s="23">
        <f t="shared" si="34"/>
        <v>0</v>
      </c>
      <c r="O50" s="23">
        <f t="shared" si="35"/>
        <v>0</v>
      </c>
      <c r="P50" s="7"/>
      <c r="Q50" s="23">
        <f>G50*AP50</f>
        <v>0</v>
      </c>
      <c r="R50" s="60">
        <f t="shared" si="36"/>
        <v>0</v>
      </c>
      <c r="S50" s="23">
        <f t="shared" si="37"/>
        <v>21000</v>
      </c>
      <c r="T50" s="7"/>
      <c r="W50" s="2">
        <v>13300</v>
      </c>
      <c r="X50" s="2">
        <v>0</v>
      </c>
      <c r="Y50" s="2">
        <v>0</v>
      </c>
      <c r="Z50" s="2">
        <v>0</v>
      </c>
      <c r="AB50">
        <f t="shared" si="43"/>
        <v>13900</v>
      </c>
      <c r="AC50">
        <f t="shared" si="44"/>
        <v>14700</v>
      </c>
      <c r="AD50">
        <f t="shared" si="45"/>
        <v>11400</v>
      </c>
      <c r="AF50" s="32">
        <f t="shared" si="38"/>
        <v>600</v>
      </c>
      <c r="AG50" s="32"/>
      <c r="AH50" s="32"/>
      <c r="AN50">
        <v>175</v>
      </c>
      <c r="AR50" s="32">
        <f t="shared" si="39"/>
        <v>425</v>
      </c>
      <c r="AS50" s="32">
        <f t="shared" si="40"/>
        <v>0</v>
      </c>
      <c r="AT50" s="32">
        <f t="shared" si="41"/>
        <v>0</v>
      </c>
      <c r="AV50" s="32"/>
      <c r="AW50" s="32"/>
      <c r="AX50" s="32"/>
      <c r="AY50" s="32"/>
      <c r="AZ50" s="32"/>
      <c r="BA50" s="32"/>
    </row>
    <row r="51" spans="1:53">
      <c r="A51" s="7" t="s">
        <v>54</v>
      </c>
      <c r="B51" s="21" t="s">
        <v>482</v>
      </c>
      <c r="C51" s="21" t="s">
        <v>158</v>
      </c>
      <c r="D51" s="21" t="s">
        <v>443</v>
      </c>
      <c r="E51" s="8">
        <v>16</v>
      </c>
      <c r="F51" s="8">
        <v>0</v>
      </c>
      <c r="G51" s="8"/>
      <c r="H51" s="53">
        <f t="shared" si="30"/>
        <v>16</v>
      </c>
      <c r="I51" s="23">
        <f t="shared" si="31"/>
        <v>2400</v>
      </c>
      <c r="J51" s="23">
        <f t="shared" si="32"/>
        <v>3200</v>
      </c>
      <c r="K51" s="23">
        <f>E51*AJ51+F51*AK51</f>
        <v>4000</v>
      </c>
      <c r="L51" s="7"/>
      <c r="M51" s="60">
        <f t="shared" si="33"/>
        <v>9600</v>
      </c>
      <c r="N51" s="23">
        <f t="shared" si="34"/>
        <v>0</v>
      </c>
      <c r="O51" s="23">
        <f t="shared" si="35"/>
        <v>0</v>
      </c>
      <c r="P51" s="23">
        <f>G51*AL51</f>
        <v>0</v>
      </c>
      <c r="Q51" s="7"/>
      <c r="R51" s="60">
        <f t="shared" si="36"/>
        <v>0</v>
      </c>
      <c r="S51" s="23">
        <f t="shared" si="37"/>
        <v>9600</v>
      </c>
      <c r="T51" s="7"/>
      <c r="W51" s="2">
        <v>13300</v>
      </c>
      <c r="X51" s="2">
        <v>0</v>
      </c>
      <c r="Y51" s="2">
        <v>0</v>
      </c>
      <c r="Z51" s="2">
        <v>0</v>
      </c>
      <c r="AB51">
        <f t="shared" si="43"/>
        <v>13900</v>
      </c>
      <c r="AC51">
        <f t="shared" si="44"/>
        <v>14700</v>
      </c>
      <c r="AD51">
        <f t="shared" si="45"/>
        <v>11400</v>
      </c>
      <c r="AF51" s="32">
        <f t="shared" si="38"/>
        <v>600</v>
      </c>
      <c r="AG51" s="32"/>
      <c r="AH51" s="32"/>
      <c r="AJ51" s="32">
        <v>250</v>
      </c>
      <c r="AK51" s="32"/>
      <c r="AL51" s="32"/>
      <c r="AR51" s="32">
        <f t="shared" si="39"/>
        <v>350</v>
      </c>
      <c r="AS51" s="32">
        <f t="shared" si="40"/>
        <v>0</v>
      </c>
      <c r="AT51" s="32">
        <f t="shared" si="41"/>
        <v>0</v>
      </c>
      <c r="AV51" s="32"/>
      <c r="AW51" s="32"/>
      <c r="AX51" s="32"/>
      <c r="AY51" s="32"/>
      <c r="AZ51" s="32"/>
      <c r="BA51" s="32"/>
    </row>
    <row r="52" spans="1:53">
      <c r="A52" s="7" t="s">
        <v>55</v>
      </c>
      <c r="B52" s="21" t="s">
        <v>483</v>
      </c>
      <c r="C52" s="21" t="s">
        <v>152</v>
      </c>
      <c r="D52" s="21" t="s">
        <v>443</v>
      </c>
      <c r="E52" s="8">
        <v>246</v>
      </c>
      <c r="F52" s="8">
        <v>0</v>
      </c>
      <c r="G52" s="8"/>
      <c r="H52" s="53">
        <f t="shared" si="30"/>
        <v>246</v>
      </c>
      <c r="I52" s="23">
        <f t="shared" si="31"/>
        <v>36900</v>
      </c>
      <c r="J52" s="23">
        <f t="shared" si="32"/>
        <v>49200</v>
      </c>
      <c r="K52" s="23">
        <f>E52*AJ52+F52*AK52</f>
        <v>61500</v>
      </c>
      <c r="L52" s="7"/>
      <c r="M52" s="60">
        <f t="shared" si="33"/>
        <v>147600</v>
      </c>
      <c r="N52" s="23">
        <f t="shared" si="34"/>
        <v>0</v>
      </c>
      <c r="O52" s="23">
        <f t="shared" si="35"/>
        <v>0</v>
      </c>
      <c r="P52" s="23">
        <f>G52*AL52</f>
        <v>0</v>
      </c>
      <c r="Q52" s="7"/>
      <c r="R52" s="60">
        <f t="shared" si="36"/>
        <v>0</v>
      </c>
      <c r="S52" s="23">
        <f t="shared" si="37"/>
        <v>147600</v>
      </c>
      <c r="T52" s="7"/>
      <c r="W52" s="2">
        <v>13300</v>
      </c>
      <c r="X52" s="2">
        <v>0</v>
      </c>
      <c r="Y52" s="2">
        <v>0</v>
      </c>
      <c r="Z52" s="2">
        <v>0</v>
      </c>
      <c r="AB52">
        <f t="shared" si="43"/>
        <v>13900</v>
      </c>
      <c r="AC52">
        <f t="shared" si="44"/>
        <v>14700</v>
      </c>
      <c r="AD52">
        <f t="shared" si="45"/>
        <v>11400</v>
      </c>
      <c r="AF52" s="32">
        <f t="shared" si="38"/>
        <v>600</v>
      </c>
      <c r="AG52" s="32"/>
      <c r="AH52" s="32"/>
      <c r="AJ52" s="32">
        <v>250</v>
      </c>
      <c r="AK52" s="32"/>
      <c r="AL52" s="32"/>
      <c r="AR52" s="32">
        <f t="shared" si="39"/>
        <v>350</v>
      </c>
      <c r="AS52" s="32">
        <f t="shared" si="40"/>
        <v>0</v>
      </c>
      <c r="AT52" s="32">
        <f t="shared" si="41"/>
        <v>0</v>
      </c>
      <c r="AV52" s="32"/>
      <c r="AW52" s="32"/>
      <c r="AX52" s="32"/>
      <c r="AY52" s="32"/>
      <c r="AZ52" s="32"/>
      <c r="BA52" s="32"/>
    </row>
    <row r="53" spans="1:53">
      <c r="A53" s="7" t="s">
        <v>56</v>
      </c>
      <c r="B53" s="21" t="s">
        <v>484</v>
      </c>
      <c r="C53" s="21" t="s">
        <v>152</v>
      </c>
      <c r="D53" s="21" t="s">
        <v>443</v>
      </c>
      <c r="E53" s="8">
        <v>102</v>
      </c>
      <c r="F53" s="8">
        <v>0</v>
      </c>
      <c r="G53" s="8">
        <v>64</v>
      </c>
      <c r="H53" s="53">
        <f t="shared" si="30"/>
        <v>166</v>
      </c>
      <c r="I53" s="23">
        <f t="shared" si="31"/>
        <v>15300</v>
      </c>
      <c r="J53" s="23">
        <f t="shared" si="32"/>
        <v>20400</v>
      </c>
      <c r="K53" s="23">
        <f>E53*AJ53+F53*AK53</f>
        <v>25500</v>
      </c>
      <c r="L53" s="7"/>
      <c r="M53" s="60">
        <f t="shared" si="33"/>
        <v>61200</v>
      </c>
      <c r="N53" s="23">
        <f t="shared" si="34"/>
        <v>9600</v>
      </c>
      <c r="O53" s="23">
        <f t="shared" si="35"/>
        <v>9600</v>
      </c>
      <c r="P53" s="23">
        <f>G53*AL53</f>
        <v>12800</v>
      </c>
      <c r="Q53" s="7"/>
      <c r="R53" s="60">
        <f t="shared" si="36"/>
        <v>32000</v>
      </c>
      <c r="S53" s="23">
        <f t="shared" si="37"/>
        <v>93200</v>
      </c>
      <c r="T53" s="7"/>
      <c r="W53" s="2">
        <v>13300</v>
      </c>
      <c r="X53" s="2">
        <v>0</v>
      </c>
      <c r="Y53" s="2">
        <v>11000</v>
      </c>
      <c r="Z53" s="2">
        <v>0</v>
      </c>
      <c r="AB53">
        <f t="shared" ref="AB53:AB62" si="47">$AB$3-350</f>
        <v>13900</v>
      </c>
      <c r="AC53">
        <f t="shared" ref="AC53:AC62" si="48">$AC$3-350</f>
        <v>14700</v>
      </c>
      <c r="AD53">
        <f t="shared" ref="AD53:AD62" si="49">$AD$3-300</f>
        <v>11400</v>
      </c>
      <c r="AF53" s="32">
        <f t="shared" si="38"/>
        <v>600</v>
      </c>
      <c r="AG53" s="32"/>
      <c r="AH53" s="32">
        <f>AD53-Y53</f>
        <v>400</v>
      </c>
      <c r="AJ53" s="32">
        <v>250</v>
      </c>
      <c r="AK53" s="32"/>
      <c r="AL53" s="32">
        <v>200</v>
      </c>
      <c r="AR53" s="32">
        <f t="shared" si="39"/>
        <v>350</v>
      </c>
      <c r="AS53" s="32">
        <f t="shared" si="40"/>
        <v>0</v>
      </c>
      <c r="AT53" s="32">
        <f t="shared" si="41"/>
        <v>200</v>
      </c>
      <c r="AV53" s="32"/>
      <c r="AW53" s="32"/>
      <c r="AX53" s="32"/>
      <c r="AY53" s="32"/>
      <c r="AZ53" s="32"/>
      <c r="BA53" s="32"/>
    </row>
    <row r="54" spans="1:53">
      <c r="A54" s="7" t="s">
        <v>57</v>
      </c>
      <c r="B54" s="21" t="s">
        <v>485</v>
      </c>
      <c r="C54" s="21" t="s">
        <v>152</v>
      </c>
      <c r="D54" s="21" t="s">
        <v>443</v>
      </c>
      <c r="E54" s="8">
        <v>418</v>
      </c>
      <c r="F54" s="8">
        <v>0</v>
      </c>
      <c r="G54" s="8"/>
      <c r="H54" s="53">
        <f t="shared" si="30"/>
        <v>418</v>
      </c>
      <c r="I54" s="23">
        <f t="shared" si="31"/>
        <v>62700</v>
      </c>
      <c r="J54" s="23">
        <f t="shared" si="32"/>
        <v>83600</v>
      </c>
      <c r="K54" s="23">
        <f>E54*AJ54+F54*AK54</f>
        <v>104500</v>
      </c>
      <c r="L54" s="7"/>
      <c r="M54" s="60">
        <f t="shared" si="33"/>
        <v>250800</v>
      </c>
      <c r="N54" s="23">
        <f t="shared" si="34"/>
        <v>0</v>
      </c>
      <c r="O54" s="23">
        <f t="shared" si="35"/>
        <v>0</v>
      </c>
      <c r="P54" s="23">
        <f>G54*AL54</f>
        <v>0</v>
      </c>
      <c r="Q54" s="7"/>
      <c r="R54" s="60">
        <f t="shared" si="36"/>
        <v>0</v>
      </c>
      <c r="S54" s="23">
        <f t="shared" si="37"/>
        <v>250800</v>
      </c>
      <c r="T54" s="7"/>
      <c r="W54" s="2">
        <v>13300</v>
      </c>
      <c r="X54" s="2">
        <v>0</v>
      </c>
      <c r="Y54" s="2">
        <v>0</v>
      </c>
      <c r="Z54" s="2">
        <v>0</v>
      </c>
      <c r="AB54">
        <f t="shared" si="47"/>
        <v>13900</v>
      </c>
      <c r="AC54">
        <f t="shared" si="48"/>
        <v>14700</v>
      </c>
      <c r="AD54">
        <f t="shared" si="49"/>
        <v>11400</v>
      </c>
      <c r="AF54" s="32">
        <f t="shared" si="38"/>
        <v>600</v>
      </c>
      <c r="AG54" s="32"/>
      <c r="AH54" s="32"/>
      <c r="AJ54" s="32">
        <v>250</v>
      </c>
      <c r="AK54" s="32"/>
      <c r="AL54" s="32"/>
      <c r="AR54" s="32">
        <f t="shared" si="39"/>
        <v>350</v>
      </c>
      <c r="AS54" s="32">
        <f t="shared" si="40"/>
        <v>0</v>
      </c>
      <c r="AT54" s="32">
        <f t="shared" si="41"/>
        <v>0</v>
      </c>
      <c r="AV54" s="32"/>
      <c r="AW54" s="32"/>
      <c r="AX54" s="32"/>
      <c r="AY54" s="32"/>
      <c r="AZ54" s="32"/>
      <c r="BA54" s="32"/>
    </row>
    <row r="55" spans="1:53">
      <c r="A55" s="7" t="s">
        <v>58</v>
      </c>
      <c r="B55" s="21" t="s">
        <v>486</v>
      </c>
      <c r="C55" s="21" t="s">
        <v>158</v>
      </c>
      <c r="D55" s="21" t="s">
        <v>423</v>
      </c>
      <c r="E55" s="8">
        <v>100</v>
      </c>
      <c r="F55" s="8">
        <v>0</v>
      </c>
      <c r="G55" s="8"/>
      <c r="H55" s="53">
        <f t="shared" si="30"/>
        <v>100</v>
      </c>
      <c r="I55" s="23">
        <f t="shared" si="31"/>
        <v>15000</v>
      </c>
      <c r="J55" s="23">
        <f t="shared" si="32"/>
        <v>20000</v>
      </c>
      <c r="K55" s="7"/>
      <c r="L55" s="23">
        <f>E55*AN55+F55*AO55</f>
        <v>17500</v>
      </c>
      <c r="M55" s="60">
        <f t="shared" si="33"/>
        <v>52500</v>
      </c>
      <c r="N55" s="23">
        <f t="shared" si="34"/>
        <v>0</v>
      </c>
      <c r="O55" s="23">
        <f t="shared" si="35"/>
        <v>0</v>
      </c>
      <c r="P55" s="7"/>
      <c r="Q55" s="23">
        <f>G55*AP55</f>
        <v>0</v>
      </c>
      <c r="R55" s="60">
        <f t="shared" si="36"/>
        <v>0</v>
      </c>
      <c r="S55" s="23">
        <f t="shared" si="37"/>
        <v>52500</v>
      </c>
      <c r="T55" s="7"/>
      <c r="W55" s="2">
        <v>13300</v>
      </c>
      <c r="X55" s="2">
        <v>0</v>
      </c>
      <c r="Y55" s="2">
        <v>11000</v>
      </c>
      <c r="Z55" s="2">
        <v>0</v>
      </c>
      <c r="AB55">
        <f t="shared" si="47"/>
        <v>13900</v>
      </c>
      <c r="AC55">
        <f t="shared" si="48"/>
        <v>14700</v>
      </c>
      <c r="AD55">
        <f t="shared" si="49"/>
        <v>11400</v>
      </c>
      <c r="AF55" s="32">
        <f t="shared" si="38"/>
        <v>600</v>
      </c>
      <c r="AG55" s="32"/>
      <c r="AH55" s="32">
        <f>AD55-Y55</f>
        <v>400</v>
      </c>
      <c r="AN55">
        <v>175</v>
      </c>
      <c r="AP55">
        <v>100</v>
      </c>
      <c r="AR55" s="32">
        <f t="shared" si="39"/>
        <v>425</v>
      </c>
      <c r="AS55" s="32">
        <f t="shared" si="40"/>
        <v>0</v>
      </c>
      <c r="AT55" s="32">
        <f t="shared" si="41"/>
        <v>300</v>
      </c>
      <c r="AV55" s="32"/>
      <c r="AW55" s="32"/>
      <c r="AX55" s="32"/>
      <c r="AY55" s="32"/>
      <c r="AZ55" s="32"/>
      <c r="BA55" s="32"/>
    </row>
    <row r="56" spans="1:53">
      <c r="A56" s="7" t="s">
        <v>59</v>
      </c>
      <c r="B56" s="21" t="s">
        <v>487</v>
      </c>
      <c r="C56" s="21" t="s">
        <v>158</v>
      </c>
      <c r="D56" s="21" t="s">
        <v>443</v>
      </c>
      <c r="E56" s="8">
        <v>20</v>
      </c>
      <c r="F56" s="8">
        <v>0</v>
      </c>
      <c r="G56" s="8"/>
      <c r="H56" s="53">
        <f t="shared" si="30"/>
        <v>20</v>
      </c>
      <c r="I56" s="23">
        <f t="shared" si="31"/>
        <v>3000</v>
      </c>
      <c r="J56" s="23">
        <f t="shared" si="32"/>
        <v>4000</v>
      </c>
      <c r="K56" s="23">
        <f>E56*AJ56+F56*AK56</f>
        <v>5000</v>
      </c>
      <c r="L56" s="7"/>
      <c r="M56" s="60">
        <f t="shared" si="33"/>
        <v>12000</v>
      </c>
      <c r="N56" s="23">
        <f t="shared" si="34"/>
        <v>0</v>
      </c>
      <c r="O56" s="23">
        <f t="shared" si="35"/>
        <v>0</v>
      </c>
      <c r="P56" s="23">
        <f>G56*AL56</f>
        <v>0</v>
      </c>
      <c r="Q56" s="7"/>
      <c r="R56" s="60">
        <f t="shared" si="36"/>
        <v>0</v>
      </c>
      <c r="S56" s="23">
        <f t="shared" si="37"/>
        <v>12000</v>
      </c>
      <c r="T56" s="7"/>
      <c r="W56" s="2">
        <v>13300</v>
      </c>
      <c r="X56" s="2">
        <v>0</v>
      </c>
      <c r="Y56" s="2">
        <v>0</v>
      </c>
      <c r="Z56" s="2">
        <v>0</v>
      </c>
      <c r="AB56">
        <f t="shared" si="47"/>
        <v>13900</v>
      </c>
      <c r="AC56">
        <f t="shared" si="48"/>
        <v>14700</v>
      </c>
      <c r="AD56">
        <f t="shared" si="49"/>
        <v>11400</v>
      </c>
      <c r="AF56" s="32">
        <f t="shared" si="38"/>
        <v>600</v>
      </c>
      <c r="AG56" s="32"/>
      <c r="AH56" s="32"/>
      <c r="AJ56" s="32">
        <v>250</v>
      </c>
      <c r="AK56" s="32"/>
      <c r="AL56" s="32"/>
      <c r="AR56" s="32">
        <f t="shared" si="39"/>
        <v>350</v>
      </c>
      <c r="AS56" s="32">
        <f t="shared" si="40"/>
        <v>0</v>
      </c>
      <c r="AT56" s="32">
        <f t="shared" si="41"/>
        <v>0</v>
      </c>
      <c r="AV56" s="32"/>
      <c r="AW56" s="32"/>
      <c r="AX56" s="32"/>
      <c r="AY56" s="32"/>
      <c r="AZ56" s="32"/>
      <c r="BA56" s="32"/>
    </row>
    <row r="57" s="52" customFormat="1" spans="1:53">
      <c r="A57" s="55" t="s">
        <v>60</v>
      </c>
      <c r="B57" s="43" t="s">
        <v>488</v>
      </c>
      <c r="C57" s="43" t="s">
        <v>152</v>
      </c>
      <c r="D57" s="43" t="s">
        <v>423</v>
      </c>
      <c r="E57" s="12">
        <v>9</v>
      </c>
      <c r="F57" s="12">
        <v>0</v>
      </c>
      <c r="G57" s="12"/>
      <c r="H57" s="56">
        <f t="shared" si="30"/>
        <v>9</v>
      </c>
      <c r="I57" s="61">
        <f t="shared" si="31"/>
        <v>1350</v>
      </c>
      <c r="J57" s="61">
        <f t="shared" si="32"/>
        <v>1800</v>
      </c>
      <c r="K57" s="55"/>
      <c r="L57" s="23">
        <f>E57*AN57+F57*AO57</f>
        <v>1575</v>
      </c>
      <c r="M57" s="61">
        <f t="shared" si="33"/>
        <v>4725</v>
      </c>
      <c r="N57" s="61">
        <f t="shared" si="34"/>
        <v>0</v>
      </c>
      <c r="O57" s="61">
        <f t="shared" si="35"/>
        <v>0</v>
      </c>
      <c r="P57" s="55"/>
      <c r="Q57" s="23">
        <f>G57*AP57</f>
        <v>0</v>
      </c>
      <c r="R57" s="61">
        <f t="shared" si="36"/>
        <v>0</v>
      </c>
      <c r="S57" s="61">
        <f t="shared" si="37"/>
        <v>4725</v>
      </c>
      <c r="T57" s="55"/>
      <c r="W57" s="2">
        <v>13300</v>
      </c>
      <c r="X57" s="67">
        <v>0</v>
      </c>
      <c r="Y57" s="67">
        <v>0</v>
      </c>
      <c r="Z57" s="67">
        <v>0</v>
      </c>
      <c r="AB57" s="52">
        <f t="shared" si="47"/>
        <v>13900</v>
      </c>
      <c r="AC57" s="52">
        <f t="shared" si="48"/>
        <v>14700</v>
      </c>
      <c r="AD57" s="52">
        <f t="shared" si="49"/>
        <v>11400</v>
      </c>
      <c r="AF57" s="69">
        <f t="shared" si="38"/>
        <v>600</v>
      </c>
      <c r="AG57" s="69"/>
      <c r="AH57" s="69"/>
      <c r="AN57" s="52">
        <v>175</v>
      </c>
      <c r="AR57" s="32">
        <f t="shared" si="39"/>
        <v>425</v>
      </c>
      <c r="AS57" s="32">
        <f t="shared" si="40"/>
        <v>0</v>
      </c>
      <c r="AT57" s="32">
        <f t="shared" si="41"/>
        <v>0</v>
      </c>
      <c r="AV57" s="32"/>
      <c r="AW57" s="32"/>
      <c r="AX57" s="32"/>
      <c r="AY57" s="32"/>
      <c r="AZ57" s="32"/>
      <c r="BA57" s="32"/>
    </row>
    <row r="58" spans="1:53">
      <c r="A58" s="7" t="s">
        <v>61</v>
      </c>
      <c r="B58" s="21" t="s">
        <v>489</v>
      </c>
      <c r="C58" s="21" t="s">
        <v>152</v>
      </c>
      <c r="D58" s="21" t="s">
        <v>443</v>
      </c>
      <c r="E58" s="8">
        <v>28</v>
      </c>
      <c r="F58" s="8">
        <v>0</v>
      </c>
      <c r="G58" s="8"/>
      <c r="H58" s="53">
        <f t="shared" si="30"/>
        <v>28</v>
      </c>
      <c r="I58" s="23">
        <f t="shared" si="31"/>
        <v>4200</v>
      </c>
      <c r="J58" s="23">
        <f t="shared" si="32"/>
        <v>5600</v>
      </c>
      <c r="K58" s="23">
        <f>E58*AJ58+F58*AK58</f>
        <v>7000</v>
      </c>
      <c r="L58" s="7"/>
      <c r="M58" s="60">
        <f t="shared" si="33"/>
        <v>16800</v>
      </c>
      <c r="N58" s="23">
        <f t="shared" si="34"/>
        <v>0</v>
      </c>
      <c r="O58" s="23">
        <f t="shared" si="35"/>
        <v>0</v>
      </c>
      <c r="P58" s="23">
        <f>G58*AL58</f>
        <v>0</v>
      </c>
      <c r="Q58" s="7"/>
      <c r="R58" s="60">
        <f t="shared" si="36"/>
        <v>0</v>
      </c>
      <c r="S58" s="23">
        <f t="shared" si="37"/>
        <v>16800</v>
      </c>
      <c r="T58" s="7"/>
      <c r="W58" s="2">
        <v>13300</v>
      </c>
      <c r="X58" s="2">
        <v>0</v>
      </c>
      <c r="Y58" s="2">
        <v>0</v>
      </c>
      <c r="Z58" s="2">
        <v>0</v>
      </c>
      <c r="AB58">
        <f t="shared" si="47"/>
        <v>13900</v>
      </c>
      <c r="AC58">
        <f t="shared" si="48"/>
        <v>14700</v>
      </c>
      <c r="AD58">
        <f t="shared" si="49"/>
        <v>11400</v>
      </c>
      <c r="AF58" s="32">
        <f t="shared" si="38"/>
        <v>600</v>
      </c>
      <c r="AG58" s="32"/>
      <c r="AH58" s="32"/>
      <c r="AJ58" s="32">
        <v>250</v>
      </c>
      <c r="AK58" s="32"/>
      <c r="AL58" s="32"/>
      <c r="AR58" s="32">
        <f t="shared" si="39"/>
        <v>350</v>
      </c>
      <c r="AS58" s="32">
        <f t="shared" si="40"/>
        <v>0</v>
      </c>
      <c r="AT58" s="32">
        <f t="shared" si="41"/>
        <v>0</v>
      </c>
      <c r="AV58" s="32"/>
      <c r="AW58" s="32"/>
      <c r="AX58" s="32"/>
      <c r="AY58" s="32"/>
      <c r="AZ58" s="32"/>
      <c r="BA58" s="32"/>
    </row>
    <row r="59" spans="1:53">
      <c r="A59" s="7" t="s">
        <v>62</v>
      </c>
      <c r="B59" s="21" t="s">
        <v>490</v>
      </c>
      <c r="C59" s="21" t="s">
        <v>152</v>
      </c>
      <c r="D59" s="21" t="s">
        <v>443</v>
      </c>
      <c r="E59" s="8">
        <v>24</v>
      </c>
      <c r="F59" s="8">
        <v>0</v>
      </c>
      <c r="G59" s="8">
        <v>8</v>
      </c>
      <c r="H59" s="53">
        <f t="shared" si="30"/>
        <v>32</v>
      </c>
      <c r="I59" s="23">
        <f t="shared" si="31"/>
        <v>3600</v>
      </c>
      <c r="J59" s="23">
        <f t="shared" si="32"/>
        <v>4800</v>
      </c>
      <c r="K59" s="23">
        <f>E59*AJ59+F59*AK59</f>
        <v>6000</v>
      </c>
      <c r="L59" s="7"/>
      <c r="M59" s="60">
        <f t="shared" si="33"/>
        <v>14400</v>
      </c>
      <c r="N59" s="23">
        <f t="shared" si="34"/>
        <v>1200</v>
      </c>
      <c r="O59" s="23">
        <f t="shared" si="35"/>
        <v>1200</v>
      </c>
      <c r="P59" s="23">
        <f>G59*AL59</f>
        <v>1600</v>
      </c>
      <c r="Q59" s="7"/>
      <c r="R59" s="60">
        <f t="shared" si="36"/>
        <v>4000</v>
      </c>
      <c r="S59" s="23">
        <f t="shared" si="37"/>
        <v>18400</v>
      </c>
      <c r="T59" s="7"/>
      <c r="W59" s="2">
        <v>13300</v>
      </c>
      <c r="X59" s="2">
        <v>0</v>
      </c>
      <c r="Y59" s="2">
        <v>11000</v>
      </c>
      <c r="Z59" s="2">
        <v>0</v>
      </c>
      <c r="AB59">
        <f t="shared" si="47"/>
        <v>13900</v>
      </c>
      <c r="AC59">
        <f t="shared" si="48"/>
        <v>14700</v>
      </c>
      <c r="AD59">
        <f t="shared" si="49"/>
        <v>11400</v>
      </c>
      <c r="AF59" s="32">
        <f t="shared" si="38"/>
        <v>600</v>
      </c>
      <c r="AG59" s="32"/>
      <c r="AH59" s="32">
        <f>AD59-Y59</f>
        <v>400</v>
      </c>
      <c r="AJ59" s="32">
        <v>250</v>
      </c>
      <c r="AK59" s="32"/>
      <c r="AL59" s="32">
        <v>200</v>
      </c>
      <c r="AR59" s="32">
        <f t="shared" si="39"/>
        <v>350</v>
      </c>
      <c r="AS59" s="32">
        <f t="shared" si="40"/>
        <v>0</v>
      </c>
      <c r="AT59" s="32">
        <f t="shared" si="41"/>
        <v>200</v>
      </c>
      <c r="AV59" s="32"/>
      <c r="AW59" s="32"/>
      <c r="AX59" s="32"/>
      <c r="AY59" s="32"/>
      <c r="AZ59" s="32"/>
      <c r="BA59" s="32"/>
    </row>
    <row r="60" spans="1:53">
      <c r="A60" s="7" t="s">
        <v>63</v>
      </c>
      <c r="B60" s="21" t="s">
        <v>491</v>
      </c>
      <c r="C60" s="21" t="s">
        <v>152</v>
      </c>
      <c r="D60" s="21" t="s">
        <v>423</v>
      </c>
      <c r="E60" s="8">
        <v>20</v>
      </c>
      <c r="F60" s="8">
        <v>0</v>
      </c>
      <c r="G60" s="8"/>
      <c r="H60" s="53">
        <f t="shared" si="30"/>
        <v>20</v>
      </c>
      <c r="I60" s="23">
        <f t="shared" si="31"/>
        <v>3000</v>
      </c>
      <c r="J60" s="23">
        <f t="shared" si="32"/>
        <v>4000</v>
      </c>
      <c r="K60" s="7"/>
      <c r="L60" s="23">
        <f>E60*AN60+F60*AO60</f>
        <v>3500</v>
      </c>
      <c r="M60" s="60">
        <f t="shared" si="33"/>
        <v>10500</v>
      </c>
      <c r="N60" s="23">
        <f t="shared" si="34"/>
        <v>0</v>
      </c>
      <c r="O60" s="23">
        <f t="shared" si="35"/>
        <v>0</v>
      </c>
      <c r="P60" s="7"/>
      <c r="Q60" s="23">
        <f>G60*AP60</f>
        <v>0</v>
      </c>
      <c r="R60" s="60">
        <f t="shared" si="36"/>
        <v>0</v>
      </c>
      <c r="S60" s="23">
        <f t="shared" si="37"/>
        <v>10500</v>
      </c>
      <c r="T60" s="7"/>
      <c r="W60" s="2">
        <v>13300</v>
      </c>
      <c r="X60" s="2">
        <v>0</v>
      </c>
      <c r="Y60" s="2">
        <v>0</v>
      </c>
      <c r="Z60" s="2">
        <v>0</v>
      </c>
      <c r="AB60">
        <f t="shared" si="47"/>
        <v>13900</v>
      </c>
      <c r="AC60">
        <f t="shared" si="48"/>
        <v>14700</v>
      </c>
      <c r="AD60">
        <f t="shared" si="49"/>
        <v>11400</v>
      </c>
      <c r="AF60" s="32">
        <f t="shared" si="38"/>
        <v>600</v>
      </c>
      <c r="AG60" s="32"/>
      <c r="AH60" s="32"/>
      <c r="AN60">
        <v>175</v>
      </c>
      <c r="AR60" s="32">
        <f t="shared" si="39"/>
        <v>425</v>
      </c>
      <c r="AS60" s="32">
        <f t="shared" si="40"/>
        <v>0</v>
      </c>
      <c r="AT60" s="32">
        <f t="shared" si="41"/>
        <v>0</v>
      </c>
      <c r="AV60" s="32"/>
      <c r="AW60" s="32"/>
      <c r="AX60" s="32"/>
      <c r="AY60" s="32"/>
      <c r="AZ60" s="32"/>
      <c r="BA60" s="32"/>
    </row>
    <row r="61" spans="1:53">
      <c r="A61" s="7" t="s">
        <v>64</v>
      </c>
      <c r="B61" s="21" t="s">
        <v>492</v>
      </c>
      <c r="C61" s="21" t="s">
        <v>158</v>
      </c>
      <c r="D61" s="21" t="s">
        <v>423</v>
      </c>
      <c r="E61" s="8">
        <v>38</v>
      </c>
      <c r="F61" s="8">
        <v>0</v>
      </c>
      <c r="G61" s="8"/>
      <c r="H61" s="53">
        <f t="shared" si="30"/>
        <v>38</v>
      </c>
      <c r="I61" s="23">
        <f t="shared" si="31"/>
        <v>5700</v>
      </c>
      <c r="J61" s="23">
        <f t="shared" si="32"/>
        <v>7600</v>
      </c>
      <c r="K61" s="7"/>
      <c r="L61" s="23">
        <f>E61*AN61+F61*AO61</f>
        <v>6650</v>
      </c>
      <c r="M61" s="60">
        <f t="shared" si="33"/>
        <v>19950</v>
      </c>
      <c r="N61" s="23">
        <f t="shared" si="34"/>
        <v>0</v>
      </c>
      <c r="O61" s="23">
        <f t="shared" si="35"/>
        <v>0</v>
      </c>
      <c r="P61" s="7"/>
      <c r="Q61" s="23">
        <f>G61*AP61</f>
        <v>0</v>
      </c>
      <c r="R61" s="60">
        <f t="shared" si="36"/>
        <v>0</v>
      </c>
      <c r="S61" s="23">
        <f t="shared" si="37"/>
        <v>19950</v>
      </c>
      <c r="T61" s="7"/>
      <c r="W61" s="2">
        <v>13300</v>
      </c>
      <c r="X61" s="2">
        <v>0</v>
      </c>
      <c r="Y61" s="2">
        <v>0</v>
      </c>
      <c r="Z61" s="2">
        <v>0</v>
      </c>
      <c r="AB61">
        <f t="shared" si="47"/>
        <v>13900</v>
      </c>
      <c r="AC61">
        <f t="shared" si="48"/>
        <v>14700</v>
      </c>
      <c r="AD61">
        <f t="shared" si="49"/>
        <v>11400</v>
      </c>
      <c r="AF61" s="32">
        <f t="shared" si="38"/>
        <v>600</v>
      </c>
      <c r="AG61" s="32"/>
      <c r="AH61" s="32"/>
      <c r="AN61">
        <v>175</v>
      </c>
      <c r="AR61" s="32">
        <f t="shared" si="39"/>
        <v>425</v>
      </c>
      <c r="AS61" s="32">
        <f t="shared" si="40"/>
        <v>0</v>
      </c>
      <c r="AT61" s="32">
        <f t="shared" si="41"/>
        <v>0</v>
      </c>
      <c r="AV61" s="32"/>
      <c r="AW61" s="32"/>
      <c r="AX61" s="32"/>
      <c r="AY61" s="32"/>
      <c r="AZ61" s="32"/>
      <c r="BA61" s="32"/>
    </row>
    <row r="62" spans="1:53">
      <c r="A62" s="54" t="s">
        <v>49</v>
      </c>
      <c r="B62" s="21"/>
      <c r="C62" s="21"/>
      <c r="D62" s="21"/>
      <c r="E62" s="14">
        <f>SUM(E47:E61)</f>
        <v>1188</v>
      </c>
      <c r="F62" s="14">
        <f>SUM(F47:F61)</f>
        <v>0</v>
      </c>
      <c r="G62" s="14">
        <f>SUM(G47:G61)</f>
        <v>72</v>
      </c>
      <c r="H62" s="14">
        <f>SUM(H47:H61)</f>
        <v>1260</v>
      </c>
      <c r="I62" s="14">
        <f t="shared" ref="I62:S62" si="50">SUM(I47:I61)</f>
        <v>178200</v>
      </c>
      <c r="J62" s="14">
        <f t="shared" si="50"/>
        <v>237600</v>
      </c>
      <c r="K62" s="14">
        <f t="shared" si="50"/>
        <v>226000</v>
      </c>
      <c r="L62" s="14">
        <f t="shared" si="50"/>
        <v>49700</v>
      </c>
      <c r="M62" s="14">
        <f t="shared" si="50"/>
        <v>691500</v>
      </c>
      <c r="N62" s="14">
        <f t="shared" si="50"/>
        <v>10800</v>
      </c>
      <c r="O62" s="14">
        <f t="shared" si="50"/>
        <v>10800</v>
      </c>
      <c r="P62" s="14">
        <f t="shared" si="50"/>
        <v>14400</v>
      </c>
      <c r="Q62" s="14">
        <f t="shared" si="50"/>
        <v>0</v>
      </c>
      <c r="R62" s="14">
        <f t="shared" si="50"/>
        <v>36000</v>
      </c>
      <c r="S62" s="14">
        <f t="shared" si="50"/>
        <v>727500</v>
      </c>
      <c r="T62" s="7"/>
      <c r="W62" s="2">
        <v>0</v>
      </c>
      <c r="X62" s="2">
        <v>0</v>
      </c>
      <c r="Y62" s="2">
        <v>0</v>
      </c>
      <c r="Z62" s="2">
        <v>0</v>
      </c>
      <c r="AB62">
        <f t="shared" si="47"/>
        <v>13900</v>
      </c>
      <c r="AC62">
        <f t="shared" si="48"/>
        <v>14700</v>
      </c>
      <c r="AD62">
        <f t="shared" si="49"/>
        <v>11400</v>
      </c>
      <c r="AF62" s="32"/>
      <c r="AG62" s="32"/>
      <c r="AH62" s="32"/>
      <c r="AR62" s="32">
        <f t="shared" si="39"/>
        <v>0</v>
      </c>
      <c r="AS62" s="32">
        <f t="shared" si="40"/>
        <v>0</v>
      </c>
      <c r="AT62" s="32">
        <f t="shared" si="41"/>
        <v>0</v>
      </c>
      <c r="AV62" s="32"/>
      <c r="AW62" s="32"/>
      <c r="AX62" s="32"/>
      <c r="AY62" s="32"/>
      <c r="AZ62" s="32"/>
      <c r="BA62" s="32"/>
    </row>
    <row r="63" spans="1:53">
      <c r="A63" s="7" t="s">
        <v>66</v>
      </c>
      <c r="B63" s="21" t="s">
        <v>493</v>
      </c>
      <c r="C63" s="21" t="s">
        <v>158</v>
      </c>
      <c r="D63" s="21" t="s">
        <v>443</v>
      </c>
      <c r="E63" s="8">
        <v>10</v>
      </c>
      <c r="F63" s="8">
        <v>0</v>
      </c>
      <c r="G63" s="8"/>
      <c r="H63" s="53">
        <f t="shared" si="30"/>
        <v>10</v>
      </c>
      <c r="I63" s="23">
        <f t="shared" si="31"/>
        <v>1500</v>
      </c>
      <c r="J63" s="23">
        <f t="shared" si="32"/>
        <v>2000</v>
      </c>
      <c r="K63" s="23">
        <f>E63*AJ63+F63*AK63</f>
        <v>2500</v>
      </c>
      <c r="L63" s="7"/>
      <c r="M63" s="60">
        <f t="shared" si="33"/>
        <v>6000</v>
      </c>
      <c r="N63" s="23">
        <f t="shared" si="34"/>
        <v>0</v>
      </c>
      <c r="O63" s="23">
        <f t="shared" si="35"/>
        <v>0</v>
      </c>
      <c r="P63" s="23">
        <f>G63*AL63</f>
        <v>0</v>
      </c>
      <c r="Q63" s="7"/>
      <c r="R63" s="60">
        <f t="shared" si="36"/>
        <v>0</v>
      </c>
      <c r="S63" s="23">
        <f t="shared" si="37"/>
        <v>6000</v>
      </c>
      <c r="T63" s="7"/>
      <c r="W63" s="2">
        <v>13650</v>
      </c>
      <c r="X63" s="2">
        <v>0</v>
      </c>
      <c r="Y63" s="2">
        <v>0</v>
      </c>
      <c r="Z63" s="2">
        <v>0</v>
      </c>
      <c r="AB63">
        <f t="shared" ref="AB63:AB72" si="51">$AB$3-350</f>
        <v>13900</v>
      </c>
      <c r="AC63">
        <f t="shared" ref="AC63:AC72" si="52">$AC$3-350</f>
        <v>14700</v>
      </c>
      <c r="AD63">
        <f t="shared" ref="AD63:AD72" si="53">$AD$3-300</f>
        <v>11400</v>
      </c>
      <c r="AF63" s="32">
        <f t="shared" si="38"/>
        <v>250</v>
      </c>
      <c r="AG63" s="32"/>
      <c r="AH63" s="32"/>
      <c r="AJ63" s="32">
        <v>250</v>
      </c>
      <c r="AK63" s="32"/>
      <c r="AL63" s="32"/>
      <c r="AR63" s="32">
        <f t="shared" si="39"/>
        <v>0</v>
      </c>
      <c r="AS63" s="32">
        <f t="shared" si="40"/>
        <v>0</v>
      </c>
      <c r="AT63" s="32">
        <f t="shared" si="41"/>
        <v>0</v>
      </c>
      <c r="AV63" s="32"/>
      <c r="AW63" s="32"/>
      <c r="AX63" s="32"/>
      <c r="AY63" s="32"/>
      <c r="AZ63" s="32"/>
      <c r="BA63" s="32"/>
    </row>
    <row r="64" spans="1:53">
      <c r="A64" s="7" t="s">
        <v>67</v>
      </c>
      <c r="B64" s="21" t="s">
        <v>494</v>
      </c>
      <c r="C64" s="21" t="s">
        <v>158</v>
      </c>
      <c r="D64" s="21" t="s">
        <v>447</v>
      </c>
      <c r="E64" s="8">
        <v>20</v>
      </c>
      <c r="F64" s="8">
        <v>0</v>
      </c>
      <c r="G64" s="8"/>
      <c r="H64" s="53">
        <f t="shared" si="30"/>
        <v>20</v>
      </c>
      <c r="I64" s="23">
        <f t="shared" si="31"/>
        <v>3000</v>
      </c>
      <c r="J64" s="23">
        <f t="shared" si="32"/>
        <v>4000</v>
      </c>
      <c r="K64" s="7"/>
      <c r="L64" s="7"/>
      <c r="M64" s="60">
        <f t="shared" si="33"/>
        <v>7000</v>
      </c>
      <c r="N64" s="23">
        <f t="shared" si="34"/>
        <v>0</v>
      </c>
      <c r="O64" s="23">
        <f t="shared" si="35"/>
        <v>0</v>
      </c>
      <c r="P64" s="7"/>
      <c r="Q64" s="7"/>
      <c r="R64" s="60">
        <f t="shared" si="36"/>
        <v>0</v>
      </c>
      <c r="S64" s="23">
        <f t="shared" si="37"/>
        <v>7000</v>
      </c>
      <c r="T64" s="7"/>
      <c r="W64" s="2">
        <v>13600</v>
      </c>
      <c r="X64" s="2">
        <v>0</v>
      </c>
      <c r="Y64" s="2">
        <v>0</v>
      </c>
      <c r="Z64" s="2">
        <v>0</v>
      </c>
      <c r="AB64">
        <f t="shared" si="51"/>
        <v>13900</v>
      </c>
      <c r="AC64">
        <f t="shared" si="52"/>
        <v>14700</v>
      </c>
      <c r="AD64">
        <f t="shared" si="53"/>
        <v>11400</v>
      </c>
      <c r="AF64" s="32">
        <f t="shared" si="38"/>
        <v>300</v>
      </c>
      <c r="AG64" s="32"/>
      <c r="AH64" s="32"/>
      <c r="AR64" s="32">
        <f t="shared" si="39"/>
        <v>300</v>
      </c>
      <c r="AS64" s="32">
        <f t="shared" si="40"/>
        <v>0</v>
      </c>
      <c r="AT64" s="32">
        <f t="shared" si="41"/>
        <v>0</v>
      </c>
      <c r="AV64" s="32"/>
      <c r="AW64" s="32"/>
      <c r="AX64" s="32"/>
      <c r="AY64" s="32"/>
      <c r="AZ64" s="32"/>
      <c r="BA64" s="32"/>
    </row>
    <row r="65" spans="1:53">
      <c r="A65" s="7" t="s">
        <v>68</v>
      </c>
      <c r="B65" s="21" t="s">
        <v>495</v>
      </c>
      <c r="C65" s="21" t="s">
        <v>152</v>
      </c>
      <c r="D65" s="21" t="s">
        <v>443</v>
      </c>
      <c r="E65" s="8">
        <v>15</v>
      </c>
      <c r="F65" s="8">
        <v>0</v>
      </c>
      <c r="G65" s="8"/>
      <c r="H65" s="53">
        <f t="shared" si="30"/>
        <v>15</v>
      </c>
      <c r="I65" s="23">
        <f t="shared" si="31"/>
        <v>2250</v>
      </c>
      <c r="J65" s="23">
        <f t="shared" si="32"/>
        <v>3000</v>
      </c>
      <c r="K65" s="23">
        <f>E65*AJ65+F65*AK65</f>
        <v>3750</v>
      </c>
      <c r="L65" s="7"/>
      <c r="M65" s="60">
        <f t="shared" si="33"/>
        <v>9000</v>
      </c>
      <c r="N65" s="23">
        <f t="shared" si="34"/>
        <v>0</v>
      </c>
      <c r="O65" s="23">
        <f t="shared" si="35"/>
        <v>0</v>
      </c>
      <c r="P65" s="23">
        <f>G65*AL65</f>
        <v>0</v>
      </c>
      <c r="Q65" s="7"/>
      <c r="R65" s="60">
        <f t="shared" si="36"/>
        <v>0</v>
      </c>
      <c r="S65" s="23">
        <f t="shared" si="37"/>
        <v>9000</v>
      </c>
      <c r="T65" s="7"/>
      <c r="W65" s="2">
        <v>13400</v>
      </c>
      <c r="X65" s="2">
        <v>0</v>
      </c>
      <c r="Y65" s="2">
        <v>0</v>
      </c>
      <c r="Z65" s="2">
        <v>0</v>
      </c>
      <c r="AB65">
        <f t="shared" si="51"/>
        <v>13900</v>
      </c>
      <c r="AC65">
        <f t="shared" si="52"/>
        <v>14700</v>
      </c>
      <c r="AD65">
        <f t="shared" si="53"/>
        <v>11400</v>
      </c>
      <c r="AF65" s="32">
        <f t="shared" si="38"/>
        <v>500</v>
      </c>
      <c r="AG65" s="32"/>
      <c r="AH65" s="32"/>
      <c r="AJ65" s="32">
        <v>250</v>
      </c>
      <c r="AK65" s="32"/>
      <c r="AL65" s="32"/>
      <c r="AR65" s="32">
        <f t="shared" si="39"/>
        <v>250</v>
      </c>
      <c r="AS65" s="32">
        <f t="shared" si="40"/>
        <v>0</v>
      </c>
      <c r="AT65" s="32">
        <f t="shared" si="41"/>
        <v>0</v>
      </c>
      <c r="AV65" s="32"/>
      <c r="AW65" s="32"/>
      <c r="AX65" s="32"/>
      <c r="AY65" s="32"/>
      <c r="AZ65" s="32"/>
      <c r="BA65" s="32"/>
    </row>
    <row r="66" spans="1:53">
      <c r="A66" s="7" t="s">
        <v>69</v>
      </c>
      <c r="B66" s="21" t="s">
        <v>496</v>
      </c>
      <c r="C66" s="21" t="s">
        <v>158</v>
      </c>
      <c r="D66" s="21" t="s">
        <v>443</v>
      </c>
      <c r="E66" s="8">
        <v>45</v>
      </c>
      <c r="F66" s="8">
        <v>0</v>
      </c>
      <c r="G66" s="8"/>
      <c r="H66" s="53">
        <f t="shared" si="30"/>
        <v>45</v>
      </c>
      <c r="I66" s="23">
        <f t="shared" si="31"/>
        <v>6750</v>
      </c>
      <c r="J66" s="23">
        <f t="shared" si="32"/>
        <v>9000</v>
      </c>
      <c r="K66" s="23">
        <f>E66*AJ66+F66*AK66</f>
        <v>11250</v>
      </c>
      <c r="L66" s="7"/>
      <c r="M66" s="60">
        <f t="shared" si="33"/>
        <v>27000</v>
      </c>
      <c r="N66" s="23">
        <f t="shared" si="34"/>
        <v>0</v>
      </c>
      <c r="O66" s="23">
        <f t="shared" si="35"/>
        <v>0</v>
      </c>
      <c r="P66" s="23">
        <f>G66*AL66</f>
        <v>0</v>
      </c>
      <c r="Q66" s="7"/>
      <c r="R66" s="60">
        <f t="shared" si="36"/>
        <v>0</v>
      </c>
      <c r="S66" s="23">
        <f t="shared" si="37"/>
        <v>27000</v>
      </c>
      <c r="T66" s="7"/>
      <c r="W66" s="2">
        <v>13650</v>
      </c>
      <c r="X66" s="2">
        <v>0</v>
      </c>
      <c r="Y66" s="2">
        <v>0</v>
      </c>
      <c r="Z66" s="2">
        <v>0</v>
      </c>
      <c r="AB66">
        <f t="shared" si="51"/>
        <v>13900</v>
      </c>
      <c r="AC66">
        <f t="shared" si="52"/>
        <v>14700</v>
      </c>
      <c r="AD66">
        <f t="shared" si="53"/>
        <v>11400</v>
      </c>
      <c r="AF66" s="32">
        <f t="shared" si="38"/>
        <v>250</v>
      </c>
      <c r="AG66" s="32"/>
      <c r="AH66" s="32"/>
      <c r="AJ66" s="32">
        <v>250</v>
      </c>
      <c r="AK66" s="32"/>
      <c r="AL66" s="32"/>
      <c r="AR66" s="32">
        <f t="shared" si="39"/>
        <v>0</v>
      </c>
      <c r="AS66" s="32">
        <f t="shared" si="40"/>
        <v>0</v>
      </c>
      <c r="AT66" s="32">
        <f t="shared" si="41"/>
        <v>0</v>
      </c>
      <c r="AV66" s="32"/>
      <c r="AW66" s="32"/>
      <c r="AX66" s="32"/>
      <c r="AY66" s="32"/>
      <c r="AZ66" s="32"/>
      <c r="BA66" s="32"/>
    </row>
    <row r="67" spans="1:53">
      <c r="A67" s="7" t="s">
        <v>70</v>
      </c>
      <c r="B67" s="21" t="s">
        <v>497</v>
      </c>
      <c r="C67" s="21" t="s">
        <v>152</v>
      </c>
      <c r="D67" s="21" t="s">
        <v>443</v>
      </c>
      <c r="E67" s="8">
        <v>60</v>
      </c>
      <c r="F67" s="8">
        <v>0</v>
      </c>
      <c r="G67" s="8"/>
      <c r="H67" s="53">
        <f t="shared" si="30"/>
        <v>60</v>
      </c>
      <c r="I67" s="23">
        <f t="shared" si="31"/>
        <v>9000</v>
      </c>
      <c r="J67" s="23">
        <f t="shared" si="32"/>
        <v>12000</v>
      </c>
      <c r="K67" s="23">
        <f>E67*AJ67+F67*AK67</f>
        <v>15000</v>
      </c>
      <c r="L67" s="7"/>
      <c r="M67" s="60">
        <f t="shared" si="33"/>
        <v>36000</v>
      </c>
      <c r="N67" s="23">
        <f t="shared" si="34"/>
        <v>0</v>
      </c>
      <c r="O67" s="23">
        <f t="shared" si="35"/>
        <v>0</v>
      </c>
      <c r="P67" s="23">
        <f>G67*AL67</f>
        <v>0</v>
      </c>
      <c r="Q67" s="7"/>
      <c r="R67" s="60">
        <f t="shared" si="36"/>
        <v>0</v>
      </c>
      <c r="S67" s="23">
        <f t="shared" si="37"/>
        <v>36000</v>
      </c>
      <c r="T67" s="7"/>
      <c r="W67" s="2">
        <v>13650</v>
      </c>
      <c r="X67" s="2">
        <v>0</v>
      </c>
      <c r="Y67" s="2">
        <v>0</v>
      </c>
      <c r="Z67" s="2">
        <v>0</v>
      </c>
      <c r="AB67">
        <f t="shared" si="51"/>
        <v>13900</v>
      </c>
      <c r="AC67">
        <f t="shared" si="52"/>
        <v>14700</v>
      </c>
      <c r="AD67">
        <f t="shared" si="53"/>
        <v>11400</v>
      </c>
      <c r="AF67" s="32">
        <f t="shared" si="38"/>
        <v>250</v>
      </c>
      <c r="AG67" s="32"/>
      <c r="AH67" s="32"/>
      <c r="AJ67" s="32">
        <v>250</v>
      </c>
      <c r="AK67" s="32"/>
      <c r="AL67" s="32"/>
      <c r="AR67" s="32">
        <f t="shared" si="39"/>
        <v>0</v>
      </c>
      <c r="AS67" s="32">
        <f t="shared" si="40"/>
        <v>0</v>
      </c>
      <c r="AT67" s="32">
        <f t="shared" si="41"/>
        <v>0</v>
      </c>
      <c r="AV67" s="32"/>
      <c r="AW67" s="32"/>
      <c r="AX67" s="32"/>
      <c r="AY67" s="32"/>
      <c r="AZ67" s="32"/>
      <c r="BA67" s="32"/>
    </row>
    <row r="68" spans="1:53">
      <c r="A68" s="54" t="s">
        <v>65</v>
      </c>
      <c r="B68" s="21"/>
      <c r="C68" s="21"/>
      <c r="D68" s="21"/>
      <c r="E68" s="14">
        <f>SUM(E63:E67)</f>
        <v>150</v>
      </c>
      <c r="F68" s="14">
        <f>SUM(F63:F67)</f>
        <v>0</v>
      </c>
      <c r="G68" s="14">
        <f>SUM(G63:G67)</f>
        <v>0</v>
      </c>
      <c r="H68" s="14">
        <f>SUM(H63:H67)</f>
        <v>150</v>
      </c>
      <c r="I68" s="14">
        <f t="shared" ref="I68:S68" si="54">SUM(I63:I67)</f>
        <v>22500</v>
      </c>
      <c r="J68" s="14">
        <f t="shared" si="54"/>
        <v>30000</v>
      </c>
      <c r="K68" s="14">
        <f t="shared" si="54"/>
        <v>32500</v>
      </c>
      <c r="L68" s="14">
        <f t="shared" si="54"/>
        <v>0</v>
      </c>
      <c r="M68" s="14">
        <f t="shared" si="54"/>
        <v>85000</v>
      </c>
      <c r="N68" s="14">
        <f t="shared" si="54"/>
        <v>0</v>
      </c>
      <c r="O68" s="14">
        <f t="shared" si="54"/>
        <v>0</v>
      </c>
      <c r="P68" s="14">
        <f t="shared" si="54"/>
        <v>0</v>
      </c>
      <c r="Q68" s="14">
        <f t="shared" si="54"/>
        <v>0</v>
      </c>
      <c r="R68" s="14">
        <f t="shared" si="54"/>
        <v>0</v>
      </c>
      <c r="S68" s="14">
        <f t="shared" si="54"/>
        <v>85000</v>
      </c>
      <c r="T68" s="7"/>
      <c r="W68" s="2">
        <v>0</v>
      </c>
      <c r="X68" s="2">
        <v>0</v>
      </c>
      <c r="Y68" s="2">
        <v>0</v>
      </c>
      <c r="Z68" s="2">
        <v>0</v>
      </c>
      <c r="AB68">
        <f t="shared" si="51"/>
        <v>13900</v>
      </c>
      <c r="AC68">
        <f t="shared" si="52"/>
        <v>14700</v>
      </c>
      <c r="AD68">
        <f t="shared" si="53"/>
        <v>11400</v>
      </c>
      <c r="AF68" s="32"/>
      <c r="AG68" s="32"/>
      <c r="AH68" s="32"/>
      <c r="AR68" s="32">
        <f t="shared" si="39"/>
        <v>0</v>
      </c>
      <c r="AS68" s="32">
        <f t="shared" si="40"/>
        <v>0</v>
      </c>
      <c r="AT68" s="32">
        <f t="shared" si="41"/>
        <v>0</v>
      </c>
      <c r="AV68" s="32"/>
      <c r="AW68" s="32"/>
      <c r="AX68" s="32"/>
      <c r="AY68" s="32"/>
      <c r="AZ68" s="32"/>
      <c r="BA68" s="32"/>
    </row>
    <row r="69" spans="1:53">
      <c r="A69" s="7" t="s">
        <v>72</v>
      </c>
      <c r="B69" s="21" t="s">
        <v>498</v>
      </c>
      <c r="C69" s="21" t="s">
        <v>152</v>
      </c>
      <c r="D69" s="21" t="s">
        <v>423</v>
      </c>
      <c r="E69" s="8">
        <v>10</v>
      </c>
      <c r="F69" s="8">
        <v>0</v>
      </c>
      <c r="G69" s="8"/>
      <c r="H69" s="53">
        <f t="shared" si="30"/>
        <v>10</v>
      </c>
      <c r="I69" s="23">
        <f t="shared" si="31"/>
        <v>1500</v>
      </c>
      <c r="J69" s="23">
        <f t="shared" si="32"/>
        <v>2000</v>
      </c>
      <c r="K69" s="7"/>
      <c r="L69" s="23">
        <f>E69*AN69+F69*AO69</f>
        <v>1750</v>
      </c>
      <c r="M69" s="60">
        <f t="shared" si="33"/>
        <v>5250</v>
      </c>
      <c r="N69" s="23">
        <f t="shared" si="34"/>
        <v>0</v>
      </c>
      <c r="O69" s="23">
        <f t="shared" si="35"/>
        <v>0</v>
      </c>
      <c r="P69" s="7"/>
      <c r="Q69" s="23">
        <f>G69*AP69</f>
        <v>0</v>
      </c>
      <c r="R69" s="60">
        <f t="shared" si="36"/>
        <v>0</v>
      </c>
      <c r="S69" s="23">
        <f t="shared" si="37"/>
        <v>5250</v>
      </c>
      <c r="T69" s="7"/>
      <c r="W69" s="2">
        <v>13650</v>
      </c>
      <c r="X69" s="2">
        <v>0</v>
      </c>
      <c r="Y69" s="2">
        <v>0</v>
      </c>
      <c r="Z69" s="2">
        <v>0</v>
      </c>
      <c r="AB69">
        <f t="shared" si="51"/>
        <v>13900</v>
      </c>
      <c r="AC69">
        <f t="shared" si="52"/>
        <v>14700</v>
      </c>
      <c r="AD69">
        <f t="shared" si="53"/>
        <v>11400</v>
      </c>
      <c r="AF69" s="32">
        <f t="shared" si="38"/>
        <v>250</v>
      </c>
      <c r="AG69" s="32"/>
      <c r="AH69" s="32"/>
      <c r="AN69">
        <v>175</v>
      </c>
      <c r="AR69" s="32">
        <f t="shared" si="39"/>
        <v>75</v>
      </c>
      <c r="AS69" s="32">
        <f t="shared" si="40"/>
        <v>0</v>
      </c>
      <c r="AT69" s="32">
        <f t="shared" si="41"/>
        <v>0</v>
      </c>
      <c r="AV69" s="32"/>
      <c r="AW69" s="32"/>
      <c r="AX69" s="32"/>
      <c r="AY69" s="32"/>
      <c r="AZ69" s="32"/>
      <c r="BA69" s="32"/>
    </row>
    <row r="70" spans="1:53">
      <c r="A70" s="54" t="s">
        <v>71</v>
      </c>
      <c r="B70" s="21"/>
      <c r="C70" s="21"/>
      <c r="D70" s="21"/>
      <c r="E70" s="14">
        <f>SUM(E69:E69)</f>
        <v>10</v>
      </c>
      <c r="F70" s="14">
        <f>SUM(F69:F69)</f>
        <v>0</v>
      </c>
      <c r="G70" s="14">
        <f>SUM(G69:G69)</f>
        <v>0</v>
      </c>
      <c r="H70" s="14">
        <f>SUM(H69:H69)</f>
        <v>10</v>
      </c>
      <c r="I70" s="14">
        <f t="shared" ref="I70:S70" si="55">SUM(I69:I69)</f>
        <v>1500</v>
      </c>
      <c r="J70" s="14">
        <f t="shared" si="55"/>
        <v>2000</v>
      </c>
      <c r="K70" s="14">
        <f t="shared" si="55"/>
        <v>0</v>
      </c>
      <c r="L70" s="14">
        <f t="shared" si="55"/>
        <v>1750</v>
      </c>
      <c r="M70" s="14">
        <f t="shared" si="55"/>
        <v>5250</v>
      </c>
      <c r="N70" s="14">
        <f t="shared" si="55"/>
        <v>0</v>
      </c>
      <c r="O70" s="14">
        <f t="shared" si="55"/>
        <v>0</v>
      </c>
      <c r="P70" s="14">
        <f t="shared" si="55"/>
        <v>0</v>
      </c>
      <c r="Q70" s="14">
        <f t="shared" si="55"/>
        <v>0</v>
      </c>
      <c r="R70" s="14">
        <f t="shared" si="55"/>
        <v>0</v>
      </c>
      <c r="S70" s="14">
        <f t="shared" si="55"/>
        <v>5250</v>
      </c>
      <c r="T70" s="7"/>
      <c r="W70" s="2">
        <v>0</v>
      </c>
      <c r="X70" s="2">
        <v>0</v>
      </c>
      <c r="Y70" s="2">
        <v>0</v>
      </c>
      <c r="Z70" s="2">
        <v>0</v>
      </c>
      <c r="AB70">
        <f t="shared" si="51"/>
        <v>13900</v>
      </c>
      <c r="AC70">
        <f t="shared" si="52"/>
        <v>14700</v>
      </c>
      <c r="AD70">
        <f t="shared" si="53"/>
        <v>11400</v>
      </c>
      <c r="AF70" s="32"/>
      <c r="AG70" s="32"/>
      <c r="AH70" s="32"/>
      <c r="AR70" s="32">
        <f t="shared" ref="AR70:AR111" si="56">AF70-AJ70-AN70</f>
        <v>0</v>
      </c>
      <c r="AS70" s="32">
        <f t="shared" ref="AS70:AS111" si="57">AG70-AK70-AO70</f>
        <v>0</v>
      </c>
      <c r="AT70" s="32">
        <f t="shared" ref="AT70:AT111" si="58">AH70-AL70-AP70</f>
        <v>0</v>
      </c>
      <c r="AV70" s="32"/>
      <c r="AW70" s="32"/>
      <c r="AX70" s="32"/>
      <c r="AY70" s="32"/>
      <c r="AZ70" s="32"/>
      <c r="BA70" s="32"/>
    </row>
    <row r="71" spans="1:53">
      <c r="A71" s="7" t="s">
        <v>74</v>
      </c>
      <c r="B71" s="21" t="s">
        <v>499</v>
      </c>
      <c r="C71" s="21" t="s">
        <v>158</v>
      </c>
      <c r="D71" s="21" t="s">
        <v>443</v>
      </c>
      <c r="E71" s="8">
        <v>65</v>
      </c>
      <c r="F71" s="8">
        <v>0</v>
      </c>
      <c r="G71" s="8"/>
      <c r="H71" s="53">
        <f t="shared" ref="H70:H107" si="59">E71+F71+G71</f>
        <v>65</v>
      </c>
      <c r="I71" s="23">
        <f t="shared" ref="I70:I107" si="60">E71*$I$2+F71*$I$2</f>
        <v>9750</v>
      </c>
      <c r="J71" s="23">
        <f t="shared" ref="J70:J107" si="61">E71*$J$2+F71*$J$2</f>
        <v>13000</v>
      </c>
      <c r="K71" s="23">
        <f>E71*AJ71+F71*AK71</f>
        <v>16250</v>
      </c>
      <c r="L71" s="7"/>
      <c r="M71" s="60">
        <f t="shared" ref="M70:M107" si="62">I71+J71+K71+L71</f>
        <v>39000</v>
      </c>
      <c r="N71" s="23">
        <f t="shared" ref="N70:N107" si="63">G71*$N$2</f>
        <v>0</v>
      </c>
      <c r="O71" s="23">
        <f t="shared" ref="O70:O107" si="64">G71*$O$2</f>
        <v>0</v>
      </c>
      <c r="P71" s="23">
        <f>G71*AL71</f>
        <v>0</v>
      </c>
      <c r="Q71" s="7"/>
      <c r="R71" s="60">
        <f t="shared" ref="R70:R107" si="65">N71+O71+P71+Q71</f>
        <v>0</v>
      </c>
      <c r="S71" s="23">
        <f t="shared" ref="S70:S107" si="66">M71+R71</f>
        <v>39000</v>
      </c>
      <c r="T71" s="7"/>
      <c r="W71" s="2">
        <v>13650</v>
      </c>
      <c r="X71" s="2">
        <v>0</v>
      </c>
      <c r="Y71" s="2">
        <v>0</v>
      </c>
      <c r="Z71" s="2">
        <v>0</v>
      </c>
      <c r="AB71">
        <f t="shared" si="51"/>
        <v>13900</v>
      </c>
      <c r="AC71">
        <f t="shared" si="52"/>
        <v>14700</v>
      </c>
      <c r="AD71">
        <f t="shared" si="53"/>
        <v>11400</v>
      </c>
      <c r="AF71" s="32">
        <f t="shared" ref="AF70:AF101" si="67">AB71-W71</f>
        <v>250</v>
      </c>
      <c r="AG71" s="32"/>
      <c r="AH71" s="32"/>
      <c r="AJ71" s="32">
        <v>250</v>
      </c>
      <c r="AK71" s="32"/>
      <c r="AL71" s="32"/>
      <c r="AR71" s="32">
        <f t="shared" si="56"/>
        <v>0</v>
      </c>
      <c r="AS71" s="32">
        <f t="shared" si="57"/>
        <v>0</v>
      </c>
      <c r="AT71" s="32">
        <f t="shared" si="58"/>
        <v>0</v>
      </c>
      <c r="AV71" s="32"/>
      <c r="AW71" s="32"/>
      <c r="AX71" s="32"/>
      <c r="AY71" s="32"/>
      <c r="AZ71" s="32"/>
      <c r="BA71" s="32"/>
    </row>
    <row r="72" spans="1:53">
      <c r="A72" s="7" t="s">
        <v>75</v>
      </c>
      <c r="B72" s="21" t="s">
        <v>500</v>
      </c>
      <c r="C72" s="21" t="s">
        <v>158</v>
      </c>
      <c r="D72" s="21" t="s">
        <v>443</v>
      </c>
      <c r="E72" s="8">
        <v>6</v>
      </c>
      <c r="F72" s="8">
        <v>0</v>
      </c>
      <c r="G72" s="8"/>
      <c r="H72" s="53">
        <f t="shared" si="59"/>
        <v>6</v>
      </c>
      <c r="I72" s="23">
        <f t="shared" si="60"/>
        <v>900</v>
      </c>
      <c r="J72" s="23">
        <f t="shared" si="61"/>
        <v>1200</v>
      </c>
      <c r="K72" s="23">
        <f>E72*AJ72+F72*AK72</f>
        <v>1500</v>
      </c>
      <c r="L72" s="7"/>
      <c r="M72" s="60">
        <f t="shared" si="62"/>
        <v>3600</v>
      </c>
      <c r="N72" s="23">
        <f t="shared" si="63"/>
        <v>0</v>
      </c>
      <c r="O72" s="23">
        <f t="shared" si="64"/>
        <v>0</v>
      </c>
      <c r="P72" s="23">
        <f>G72*AL72</f>
        <v>0</v>
      </c>
      <c r="Q72" s="7"/>
      <c r="R72" s="60">
        <f t="shared" si="65"/>
        <v>0</v>
      </c>
      <c r="S72" s="23">
        <f t="shared" si="66"/>
        <v>3600</v>
      </c>
      <c r="T72" s="7"/>
      <c r="W72" s="2">
        <v>13300</v>
      </c>
      <c r="X72" s="2">
        <v>0</v>
      </c>
      <c r="Y72" s="2">
        <v>0</v>
      </c>
      <c r="Z72" s="2">
        <v>0</v>
      </c>
      <c r="AB72">
        <f t="shared" si="51"/>
        <v>13900</v>
      </c>
      <c r="AC72">
        <f t="shared" si="52"/>
        <v>14700</v>
      </c>
      <c r="AD72">
        <f t="shared" si="53"/>
        <v>11400</v>
      </c>
      <c r="AF72" s="32">
        <f t="shared" si="67"/>
        <v>600</v>
      </c>
      <c r="AG72" s="32"/>
      <c r="AH72" s="32"/>
      <c r="AJ72" s="32">
        <v>250</v>
      </c>
      <c r="AK72" s="32"/>
      <c r="AL72" s="32"/>
      <c r="AR72" s="32">
        <f t="shared" si="56"/>
        <v>350</v>
      </c>
      <c r="AS72" s="32">
        <f t="shared" si="57"/>
        <v>0</v>
      </c>
      <c r="AT72" s="32">
        <f t="shared" si="58"/>
        <v>0</v>
      </c>
      <c r="AV72" s="32"/>
      <c r="AW72" s="32"/>
      <c r="AX72" s="32"/>
      <c r="AY72" s="32"/>
      <c r="AZ72" s="32"/>
      <c r="BA72" s="32"/>
    </row>
    <row r="73" spans="1:53">
      <c r="A73" s="7" t="s">
        <v>76</v>
      </c>
      <c r="B73" s="21" t="s">
        <v>501</v>
      </c>
      <c r="C73" s="21" t="s">
        <v>152</v>
      </c>
      <c r="D73" s="21" t="s">
        <v>443</v>
      </c>
      <c r="E73" s="8">
        <v>0</v>
      </c>
      <c r="F73" s="8">
        <v>4</v>
      </c>
      <c r="G73" s="8"/>
      <c r="H73" s="53">
        <f t="shared" si="59"/>
        <v>4</v>
      </c>
      <c r="I73" s="23">
        <f t="shared" si="60"/>
        <v>600</v>
      </c>
      <c r="J73" s="23">
        <f t="shared" si="61"/>
        <v>800</v>
      </c>
      <c r="K73" s="23">
        <f>E73*AJ73+F73*AK73</f>
        <v>1000</v>
      </c>
      <c r="L73" s="7"/>
      <c r="M73" s="60">
        <f t="shared" si="62"/>
        <v>2400</v>
      </c>
      <c r="N73" s="23">
        <f t="shared" si="63"/>
        <v>0</v>
      </c>
      <c r="O73" s="23">
        <f t="shared" si="64"/>
        <v>0</v>
      </c>
      <c r="P73" s="23">
        <f>G73*AL73</f>
        <v>0</v>
      </c>
      <c r="Q73" s="7"/>
      <c r="R73" s="60">
        <f t="shared" si="65"/>
        <v>0</v>
      </c>
      <c r="S73" s="23">
        <f t="shared" si="66"/>
        <v>2400</v>
      </c>
      <c r="T73" s="7"/>
      <c r="W73" s="2">
        <v>0</v>
      </c>
      <c r="X73" s="2">
        <v>14200</v>
      </c>
      <c r="Y73" s="2">
        <v>0</v>
      </c>
      <c r="Z73" s="2">
        <v>0</v>
      </c>
      <c r="AB73">
        <f t="shared" ref="AB73:AB82" si="68">$AB$3-350</f>
        <v>13900</v>
      </c>
      <c r="AC73">
        <f t="shared" ref="AC73:AC82" si="69">$AC$3-350</f>
        <v>14700</v>
      </c>
      <c r="AD73">
        <f t="shared" ref="AD73:AD82" si="70">$AD$3-300</f>
        <v>11400</v>
      </c>
      <c r="AF73" s="32"/>
      <c r="AG73" s="32">
        <f>AC73-X73</f>
        <v>500</v>
      </c>
      <c r="AH73" s="32"/>
      <c r="AJ73" s="32"/>
      <c r="AK73" s="32">
        <v>250</v>
      </c>
      <c r="AL73" s="32"/>
      <c r="AR73" s="32">
        <f t="shared" si="56"/>
        <v>0</v>
      </c>
      <c r="AS73" s="32">
        <f t="shared" si="57"/>
        <v>250</v>
      </c>
      <c r="AT73" s="32">
        <f t="shared" si="58"/>
        <v>0</v>
      </c>
      <c r="AV73" s="32"/>
      <c r="AW73" s="32"/>
      <c r="AX73" s="32"/>
      <c r="AY73" s="32"/>
      <c r="AZ73" s="32"/>
      <c r="BA73" s="32"/>
    </row>
    <row r="74" s="52" customFormat="1" spans="1:53">
      <c r="A74" s="55" t="s">
        <v>77</v>
      </c>
      <c r="B74" s="43" t="s">
        <v>502</v>
      </c>
      <c r="C74" s="43" t="s">
        <v>152</v>
      </c>
      <c r="D74" s="43" t="s">
        <v>447</v>
      </c>
      <c r="E74" s="12">
        <v>45</v>
      </c>
      <c r="F74" s="12">
        <v>5</v>
      </c>
      <c r="G74" s="12"/>
      <c r="H74" s="56">
        <f t="shared" si="59"/>
        <v>50</v>
      </c>
      <c r="I74" s="61">
        <f t="shared" si="60"/>
        <v>7500</v>
      </c>
      <c r="J74" s="61">
        <f t="shared" si="61"/>
        <v>10000</v>
      </c>
      <c r="K74" s="55"/>
      <c r="L74" s="55"/>
      <c r="M74" s="61">
        <f t="shared" si="62"/>
        <v>17500</v>
      </c>
      <c r="N74" s="61">
        <f t="shared" si="63"/>
        <v>0</v>
      </c>
      <c r="O74" s="61">
        <f t="shared" si="64"/>
        <v>0</v>
      </c>
      <c r="P74" s="55"/>
      <c r="Q74" s="55"/>
      <c r="R74" s="61">
        <f t="shared" si="65"/>
        <v>0</v>
      </c>
      <c r="S74" s="61">
        <f t="shared" si="66"/>
        <v>17500</v>
      </c>
      <c r="T74" s="55"/>
      <c r="W74" s="2">
        <v>13650</v>
      </c>
      <c r="X74" s="67">
        <v>14200</v>
      </c>
      <c r="Y74" s="67">
        <v>0</v>
      </c>
      <c r="Z74" s="67">
        <v>0</v>
      </c>
      <c r="AB74" s="52">
        <f t="shared" si="68"/>
        <v>13900</v>
      </c>
      <c r="AC74" s="52">
        <f t="shared" si="69"/>
        <v>14700</v>
      </c>
      <c r="AD74" s="52">
        <f t="shared" si="70"/>
        <v>11400</v>
      </c>
      <c r="AF74" s="69">
        <f t="shared" si="67"/>
        <v>250</v>
      </c>
      <c r="AG74" s="69">
        <f>AC74-X74</f>
        <v>500</v>
      </c>
      <c r="AH74" s="69"/>
      <c r="AR74" s="32">
        <f t="shared" si="56"/>
        <v>250</v>
      </c>
      <c r="AS74" s="32">
        <f t="shared" si="57"/>
        <v>500</v>
      </c>
      <c r="AT74" s="32">
        <f t="shared" si="58"/>
        <v>0</v>
      </c>
      <c r="AV74" s="32"/>
      <c r="AW74" s="32"/>
      <c r="AX74" s="32"/>
      <c r="AY74" s="32"/>
      <c r="AZ74" s="32"/>
      <c r="BA74" s="32"/>
    </row>
    <row r="75" s="52" customFormat="1" spans="1:53">
      <c r="A75" s="55" t="s">
        <v>78</v>
      </c>
      <c r="B75" s="43" t="s">
        <v>503</v>
      </c>
      <c r="C75" s="43" t="s">
        <v>152</v>
      </c>
      <c r="D75" s="43" t="s">
        <v>447</v>
      </c>
      <c r="E75" s="12">
        <v>4</v>
      </c>
      <c r="F75" s="12">
        <v>0</v>
      </c>
      <c r="G75" s="12"/>
      <c r="H75" s="56">
        <f t="shared" si="59"/>
        <v>4</v>
      </c>
      <c r="I75" s="61">
        <f t="shared" si="60"/>
        <v>600</v>
      </c>
      <c r="J75" s="61">
        <f t="shared" si="61"/>
        <v>800</v>
      </c>
      <c r="K75" s="55"/>
      <c r="L75" s="55"/>
      <c r="M75" s="61">
        <f t="shared" si="62"/>
        <v>1400</v>
      </c>
      <c r="N75" s="61">
        <f t="shared" si="63"/>
        <v>0</v>
      </c>
      <c r="O75" s="61">
        <f t="shared" si="64"/>
        <v>0</v>
      </c>
      <c r="P75" s="55"/>
      <c r="Q75" s="55"/>
      <c r="R75" s="61">
        <f t="shared" si="65"/>
        <v>0</v>
      </c>
      <c r="S75" s="61">
        <f t="shared" si="66"/>
        <v>1400</v>
      </c>
      <c r="T75" s="55"/>
      <c r="W75" s="2">
        <v>13650</v>
      </c>
      <c r="X75" s="67">
        <v>0</v>
      </c>
      <c r="Y75" s="67">
        <v>0</v>
      </c>
      <c r="Z75" s="67">
        <v>0</v>
      </c>
      <c r="AB75" s="52">
        <f t="shared" si="68"/>
        <v>13900</v>
      </c>
      <c r="AC75" s="52">
        <f t="shared" si="69"/>
        <v>14700</v>
      </c>
      <c r="AD75" s="52">
        <f t="shared" si="70"/>
        <v>11400</v>
      </c>
      <c r="AF75" s="69">
        <f t="shared" si="67"/>
        <v>250</v>
      </c>
      <c r="AG75" s="69"/>
      <c r="AH75" s="69"/>
      <c r="AR75" s="32">
        <f t="shared" si="56"/>
        <v>250</v>
      </c>
      <c r="AS75" s="32">
        <f t="shared" si="57"/>
        <v>0</v>
      </c>
      <c r="AT75" s="32">
        <f t="shared" si="58"/>
        <v>0</v>
      </c>
      <c r="AV75" s="32"/>
      <c r="AW75" s="32"/>
      <c r="AX75" s="32"/>
      <c r="AY75" s="32"/>
      <c r="AZ75" s="32"/>
      <c r="BA75" s="32"/>
    </row>
    <row r="76" spans="1:53">
      <c r="A76" s="7" t="s">
        <v>79</v>
      </c>
      <c r="B76" s="21" t="s">
        <v>504</v>
      </c>
      <c r="C76" s="21" t="s">
        <v>152</v>
      </c>
      <c r="D76" s="21" t="s">
        <v>423</v>
      </c>
      <c r="E76" s="8">
        <v>117</v>
      </c>
      <c r="F76" s="8">
        <v>0</v>
      </c>
      <c r="G76" s="8"/>
      <c r="H76" s="53">
        <f t="shared" si="59"/>
        <v>117</v>
      </c>
      <c r="I76" s="23">
        <f t="shared" si="60"/>
        <v>17550</v>
      </c>
      <c r="J76" s="23">
        <f t="shared" si="61"/>
        <v>23400</v>
      </c>
      <c r="K76" s="7"/>
      <c r="L76" s="23">
        <f>E76*AN76+F76*AO76</f>
        <v>20475</v>
      </c>
      <c r="M76" s="60">
        <f t="shared" si="62"/>
        <v>61425</v>
      </c>
      <c r="N76" s="23">
        <f t="shared" si="63"/>
        <v>0</v>
      </c>
      <c r="O76" s="23">
        <f t="shared" si="64"/>
        <v>0</v>
      </c>
      <c r="P76" s="7"/>
      <c r="Q76" s="23">
        <f>G76*AP76</f>
        <v>0</v>
      </c>
      <c r="R76" s="60">
        <f t="shared" si="65"/>
        <v>0</v>
      </c>
      <c r="S76" s="23">
        <f t="shared" si="66"/>
        <v>61425</v>
      </c>
      <c r="T76" s="7"/>
      <c r="W76" s="2">
        <v>13650</v>
      </c>
      <c r="X76" s="2">
        <v>0</v>
      </c>
      <c r="Y76" s="2">
        <v>0</v>
      </c>
      <c r="Z76" s="2">
        <v>0</v>
      </c>
      <c r="AB76">
        <f t="shared" si="68"/>
        <v>13900</v>
      </c>
      <c r="AC76">
        <f t="shared" si="69"/>
        <v>14700</v>
      </c>
      <c r="AD76">
        <f t="shared" si="70"/>
        <v>11400</v>
      </c>
      <c r="AF76" s="32">
        <f t="shared" si="67"/>
        <v>250</v>
      </c>
      <c r="AG76" s="32"/>
      <c r="AH76" s="32"/>
      <c r="AN76">
        <v>175</v>
      </c>
      <c r="AR76" s="32">
        <f t="shared" si="56"/>
        <v>75</v>
      </c>
      <c r="AS76" s="32">
        <f t="shared" si="57"/>
        <v>0</v>
      </c>
      <c r="AT76" s="32">
        <f t="shared" si="58"/>
        <v>0</v>
      </c>
      <c r="AV76" s="32"/>
      <c r="AW76" s="32"/>
      <c r="AX76" s="32"/>
      <c r="AY76" s="32"/>
      <c r="AZ76" s="32"/>
      <c r="BA76" s="32"/>
    </row>
    <row r="77" spans="1:53">
      <c r="A77" s="54" t="s">
        <v>73</v>
      </c>
      <c r="B77" s="21"/>
      <c r="C77" s="21"/>
      <c r="D77" s="21"/>
      <c r="E77" s="14">
        <f>SUM(E71:E76)</f>
        <v>237</v>
      </c>
      <c r="F77" s="14">
        <f>SUM(F71:F76)</f>
        <v>9</v>
      </c>
      <c r="G77" s="14">
        <f>SUM(G71:G76)</f>
        <v>0</v>
      </c>
      <c r="H77" s="14">
        <f>SUM(H71:H76)</f>
        <v>246</v>
      </c>
      <c r="I77" s="14">
        <f t="shared" ref="I77:S77" si="71">SUM(I71:I76)</f>
        <v>36900</v>
      </c>
      <c r="J77" s="14">
        <f t="shared" si="71"/>
        <v>49200</v>
      </c>
      <c r="K77" s="14">
        <f t="shared" si="71"/>
        <v>18750</v>
      </c>
      <c r="L77" s="14">
        <f t="shared" si="71"/>
        <v>20475</v>
      </c>
      <c r="M77" s="14">
        <f t="shared" si="71"/>
        <v>125325</v>
      </c>
      <c r="N77" s="14">
        <f t="shared" si="71"/>
        <v>0</v>
      </c>
      <c r="O77" s="14">
        <f t="shared" si="71"/>
        <v>0</v>
      </c>
      <c r="P77" s="14">
        <f t="shared" si="71"/>
        <v>0</v>
      </c>
      <c r="Q77" s="14">
        <f t="shared" si="71"/>
        <v>0</v>
      </c>
      <c r="R77" s="14">
        <f t="shared" si="71"/>
        <v>0</v>
      </c>
      <c r="S77" s="14">
        <f t="shared" si="71"/>
        <v>125325</v>
      </c>
      <c r="T77" s="7"/>
      <c r="W77" s="2">
        <v>0</v>
      </c>
      <c r="X77" s="2">
        <v>0</v>
      </c>
      <c r="Y77" s="2">
        <v>0</v>
      </c>
      <c r="Z77" s="2">
        <v>0</v>
      </c>
      <c r="AB77">
        <f t="shared" si="68"/>
        <v>13900</v>
      </c>
      <c r="AC77">
        <f t="shared" si="69"/>
        <v>14700</v>
      </c>
      <c r="AD77">
        <f t="shared" si="70"/>
        <v>11400</v>
      </c>
      <c r="AF77" s="32"/>
      <c r="AG77" s="32"/>
      <c r="AH77" s="32"/>
      <c r="AR77" s="32">
        <f t="shared" si="56"/>
        <v>0</v>
      </c>
      <c r="AS77" s="32">
        <f t="shared" si="57"/>
        <v>0</v>
      </c>
      <c r="AT77" s="32">
        <f t="shared" si="58"/>
        <v>0</v>
      </c>
      <c r="AV77" s="32"/>
      <c r="AW77" s="32"/>
      <c r="AX77" s="32"/>
      <c r="AY77" s="32"/>
      <c r="AZ77" s="32"/>
      <c r="BA77" s="32"/>
    </row>
    <row r="78" spans="1:53">
      <c r="A78" s="7" t="s">
        <v>81</v>
      </c>
      <c r="B78" s="21" t="s">
        <v>505</v>
      </c>
      <c r="C78" s="21" t="s">
        <v>152</v>
      </c>
      <c r="D78" s="21" t="s">
        <v>443</v>
      </c>
      <c r="E78" s="8">
        <v>5</v>
      </c>
      <c r="F78" s="8">
        <v>5</v>
      </c>
      <c r="G78" s="8">
        <v>12</v>
      </c>
      <c r="H78" s="53">
        <f t="shared" si="59"/>
        <v>22</v>
      </c>
      <c r="I78" s="23">
        <f t="shared" si="60"/>
        <v>1500</v>
      </c>
      <c r="J78" s="23">
        <f t="shared" si="61"/>
        <v>2000</v>
      </c>
      <c r="K78" s="23">
        <f>E78*AJ78+F78*AK78</f>
        <v>2500</v>
      </c>
      <c r="L78" s="7"/>
      <c r="M78" s="60">
        <f t="shared" si="62"/>
        <v>6000</v>
      </c>
      <c r="N78" s="23">
        <f t="shared" si="63"/>
        <v>1800</v>
      </c>
      <c r="O78" s="23">
        <f t="shared" si="64"/>
        <v>1800</v>
      </c>
      <c r="P78" s="23">
        <f>G78*AL78</f>
        <v>2400</v>
      </c>
      <c r="Q78" s="7"/>
      <c r="R78" s="60">
        <f t="shared" si="65"/>
        <v>6000</v>
      </c>
      <c r="S78" s="23">
        <f t="shared" si="66"/>
        <v>12000</v>
      </c>
      <c r="T78" s="7"/>
      <c r="W78" s="2">
        <v>13650</v>
      </c>
      <c r="X78" s="2">
        <v>14200</v>
      </c>
      <c r="Y78" s="2">
        <v>11000</v>
      </c>
      <c r="Z78" s="2">
        <v>0</v>
      </c>
      <c r="AB78">
        <f t="shared" si="68"/>
        <v>13900</v>
      </c>
      <c r="AC78">
        <f t="shared" si="69"/>
        <v>14700</v>
      </c>
      <c r="AD78">
        <f t="shared" si="70"/>
        <v>11400</v>
      </c>
      <c r="AF78" s="32">
        <f t="shared" si="67"/>
        <v>250</v>
      </c>
      <c r="AG78" s="32">
        <f>AC78-X78</f>
        <v>500</v>
      </c>
      <c r="AH78" s="32">
        <f>AD78-Y78</f>
        <v>400</v>
      </c>
      <c r="AJ78" s="32">
        <v>250</v>
      </c>
      <c r="AK78" s="32">
        <v>250</v>
      </c>
      <c r="AL78" s="32">
        <v>200</v>
      </c>
      <c r="AR78" s="32">
        <f t="shared" si="56"/>
        <v>0</v>
      </c>
      <c r="AS78" s="32">
        <f t="shared" si="57"/>
        <v>250</v>
      </c>
      <c r="AT78" s="32">
        <f t="shared" si="58"/>
        <v>200</v>
      </c>
      <c r="AV78" s="32"/>
      <c r="AW78" s="32"/>
      <c r="AX78" s="32"/>
      <c r="AY78" s="32"/>
      <c r="AZ78" s="32"/>
      <c r="BA78" s="32"/>
    </row>
    <row r="79" spans="1:53">
      <c r="A79" s="7" t="s">
        <v>82</v>
      </c>
      <c r="B79" s="21" t="s">
        <v>506</v>
      </c>
      <c r="C79" s="21" t="s">
        <v>152</v>
      </c>
      <c r="D79" s="21" t="s">
        <v>443</v>
      </c>
      <c r="E79" s="8">
        <v>35</v>
      </c>
      <c r="F79" s="8">
        <v>0</v>
      </c>
      <c r="G79" s="8">
        <v>74</v>
      </c>
      <c r="H79" s="53">
        <f t="shared" si="59"/>
        <v>109</v>
      </c>
      <c r="I79" s="23">
        <f t="shared" si="60"/>
        <v>5250</v>
      </c>
      <c r="J79" s="23">
        <f t="shared" si="61"/>
        <v>7000</v>
      </c>
      <c r="K79" s="23">
        <f>E79*AJ79+F79*AK79</f>
        <v>8750</v>
      </c>
      <c r="L79" s="7"/>
      <c r="M79" s="60">
        <f t="shared" si="62"/>
        <v>21000</v>
      </c>
      <c r="N79" s="23">
        <f t="shared" si="63"/>
        <v>11100</v>
      </c>
      <c r="O79" s="23">
        <f t="shared" si="64"/>
        <v>11100</v>
      </c>
      <c r="P79" s="23">
        <f>G79*AL79</f>
        <v>14800</v>
      </c>
      <c r="Q79" s="7"/>
      <c r="R79" s="60">
        <f t="shared" si="65"/>
        <v>37000</v>
      </c>
      <c r="S79" s="23">
        <f t="shared" si="66"/>
        <v>58000</v>
      </c>
      <c r="T79" s="7"/>
      <c r="W79" s="2">
        <v>13650</v>
      </c>
      <c r="X79" s="2">
        <v>0</v>
      </c>
      <c r="Y79" s="2">
        <v>11000</v>
      </c>
      <c r="Z79" s="2">
        <v>0</v>
      </c>
      <c r="AB79">
        <f t="shared" si="68"/>
        <v>13900</v>
      </c>
      <c r="AC79">
        <f t="shared" si="69"/>
        <v>14700</v>
      </c>
      <c r="AD79">
        <f t="shared" si="70"/>
        <v>11400</v>
      </c>
      <c r="AF79" s="32">
        <f t="shared" si="67"/>
        <v>250</v>
      </c>
      <c r="AG79" s="32"/>
      <c r="AH79" s="32">
        <f>AD79-Y79</f>
        <v>400</v>
      </c>
      <c r="AJ79" s="32">
        <v>250</v>
      </c>
      <c r="AK79" s="32"/>
      <c r="AL79" s="32">
        <v>200</v>
      </c>
      <c r="AR79" s="32">
        <f t="shared" si="56"/>
        <v>0</v>
      </c>
      <c r="AS79" s="32">
        <f t="shared" si="57"/>
        <v>0</v>
      </c>
      <c r="AT79" s="32">
        <f t="shared" si="58"/>
        <v>200</v>
      </c>
      <c r="AV79" s="32"/>
      <c r="AW79" s="32"/>
      <c r="AX79" s="32"/>
      <c r="AY79" s="32"/>
      <c r="AZ79" s="32"/>
      <c r="BA79" s="32"/>
    </row>
    <row r="80" spans="1:53">
      <c r="A80" s="54" t="s">
        <v>80</v>
      </c>
      <c r="B80" s="21"/>
      <c r="C80" s="21"/>
      <c r="D80" s="21"/>
      <c r="E80" s="14">
        <f>SUM(E78:E79)</f>
        <v>40</v>
      </c>
      <c r="F80" s="14">
        <f>SUM(F78:F79)</f>
        <v>5</v>
      </c>
      <c r="G80" s="14">
        <f>SUM(G78:G79)</f>
        <v>86</v>
      </c>
      <c r="H80" s="14">
        <f>SUM(H78:H79)</f>
        <v>131</v>
      </c>
      <c r="I80" s="14">
        <f t="shared" ref="I80:S80" si="72">SUM(I78:I79)</f>
        <v>6750</v>
      </c>
      <c r="J80" s="14">
        <f t="shared" si="72"/>
        <v>9000</v>
      </c>
      <c r="K80" s="14">
        <f t="shared" si="72"/>
        <v>11250</v>
      </c>
      <c r="L80" s="14">
        <f t="shared" si="72"/>
        <v>0</v>
      </c>
      <c r="M80" s="14">
        <f t="shared" si="72"/>
        <v>27000</v>
      </c>
      <c r="N80" s="14">
        <f t="shared" si="72"/>
        <v>12900</v>
      </c>
      <c r="O80" s="14">
        <f t="shared" si="72"/>
        <v>12900</v>
      </c>
      <c r="P80" s="14">
        <f t="shared" si="72"/>
        <v>17200</v>
      </c>
      <c r="Q80" s="14">
        <f t="shared" si="72"/>
        <v>0</v>
      </c>
      <c r="R80" s="14">
        <f t="shared" si="72"/>
        <v>43000</v>
      </c>
      <c r="S80" s="14">
        <f t="shared" si="72"/>
        <v>70000</v>
      </c>
      <c r="T80" s="7"/>
      <c r="W80" s="2">
        <v>0</v>
      </c>
      <c r="X80" s="2">
        <v>0</v>
      </c>
      <c r="Y80" s="2">
        <v>0</v>
      </c>
      <c r="Z80" s="2">
        <v>0</v>
      </c>
      <c r="AB80">
        <f t="shared" si="68"/>
        <v>13900</v>
      </c>
      <c r="AC80">
        <f t="shared" si="69"/>
        <v>14700</v>
      </c>
      <c r="AD80">
        <f t="shared" si="70"/>
        <v>11400</v>
      </c>
      <c r="AF80" s="32"/>
      <c r="AG80" s="32"/>
      <c r="AH80" s="32"/>
      <c r="AR80" s="32">
        <f t="shared" si="56"/>
        <v>0</v>
      </c>
      <c r="AS80" s="32">
        <f t="shared" si="57"/>
        <v>0</v>
      </c>
      <c r="AT80" s="32">
        <f t="shared" si="58"/>
        <v>0</v>
      </c>
      <c r="AV80" s="32"/>
      <c r="AW80" s="32"/>
      <c r="AX80" s="32"/>
      <c r="AY80" s="32"/>
      <c r="AZ80" s="32"/>
      <c r="BA80" s="32"/>
    </row>
    <row r="81" spans="1:53">
      <c r="A81" s="7" t="s">
        <v>84</v>
      </c>
      <c r="B81" s="21" t="s">
        <v>507</v>
      </c>
      <c r="C81" s="21" t="s">
        <v>152</v>
      </c>
      <c r="D81" s="21" t="s">
        <v>443</v>
      </c>
      <c r="E81" s="8">
        <v>20</v>
      </c>
      <c r="F81" s="8">
        <v>0</v>
      </c>
      <c r="G81" s="8">
        <v>16</v>
      </c>
      <c r="H81" s="53">
        <f t="shared" si="59"/>
        <v>36</v>
      </c>
      <c r="I81" s="23">
        <f t="shared" si="60"/>
        <v>3000</v>
      </c>
      <c r="J81" s="23">
        <f t="shared" si="61"/>
        <v>4000</v>
      </c>
      <c r="K81" s="23">
        <f>E81*AJ81+F81*AK81</f>
        <v>5000</v>
      </c>
      <c r="L81" s="7"/>
      <c r="M81" s="60">
        <f t="shared" si="62"/>
        <v>12000</v>
      </c>
      <c r="N81" s="23">
        <f t="shared" si="63"/>
        <v>2400</v>
      </c>
      <c r="O81" s="23">
        <f t="shared" si="64"/>
        <v>2400</v>
      </c>
      <c r="P81" s="23">
        <f>G81*AL81</f>
        <v>3200</v>
      </c>
      <c r="Q81" s="7"/>
      <c r="R81" s="60">
        <f t="shared" si="65"/>
        <v>8000</v>
      </c>
      <c r="S81" s="23">
        <f t="shared" si="66"/>
        <v>20000</v>
      </c>
      <c r="T81" s="7"/>
      <c r="W81" s="2">
        <v>13650</v>
      </c>
      <c r="X81" s="2">
        <v>0</v>
      </c>
      <c r="Y81" s="2">
        <v>11000</v>
      </c>
      <c r="Z81" s="2">
        <v>0</v>
      </c>
      <c r="AB81">
        <f t="shared" si="68"/>
        <v>13900</v>
      </c>
      <c r="AC81">
        <f t="shared" si="69"/>
        <v>14700</v>
      </c>
      <c r="AD81">
        <f t="shared" si="70"/>
        <v>11400</v>
      </c>
      <c r="AF81" s="32">
        <f t="shared" si="67"/>
        <v>250</v>
      </c>
      <c r="AG81" s="32"/>
      <c r="AH81" s="32">
        <f>AD81-Y81</f>
        <v>400</v>
      </c>
      <c r="AJ81" s="32">
        <v>250</v>
      </c>
      <c r="AK81" s="32"/>
      <c r="AL81" s="32">
        <v>200</v>
      </c>
      <c r="AR81" s="32">
        <f t="shared" si="56"/>
        <v>0</v>
      </c>
      <c r="AS81" s="32">
        <f t="shared" si="57"/>
        <v>0</v>
      </c>
      <c r="AT81" s="32">
        <f t="shared" si="58"/>
        <v>200</v>
      </c>
      <c r="AV81" s="32"/>
      <c r="AW81" s="32"/>
      <c r="AX81" s="32"/>
      <c r="AY81" s="32"/>
      <c r="AZ81" s="32"/>
      <c r="BA81" s="32"/>
    </row>
    <row r="82" spans="1:53">
      <c r="A82" s="7" t="s">
        <v>85</v>
      </c>
      <c r="B82" s="21" t="s">
        <v>508</v>
      </c>
      <c r="C82" s="21" t="s">
        <v>158</v>
      </c>
      <c r="D82" s="21" t="s">
        <v>443</v>
      </c>
      <c r="E82" s="8">
        <v>20</v>
      </c>
      <c r="F82" s="8">
        <v>0</v>
      </c>
      <c r="G82" s="8">
        <v>424</v>
      </c>
      <c r="H82" s="53">
        <f t="shared" si="59"/>
        <v>444</v>
      </c>
      <c r="I82" s="23">
        <f t="shared" si="60"/>
        <v>3000</v>
      </c>
      <c r="J82" s="23">
        <f t="shared" si="61"/>
        <v>4000</v>
      </c>
      <c r="K82" s="23">
        <f>E82*AJ82+F82*AK82</f>
        <v>5000</v>
      </c>
      <c r="L82" s="7"/>
      <c r="M82" s="60">
        <f t="shared" si="62"/>
        <v>12000</v>
      </c>
      <c r="N82" s="23">
        <f t="shared" si="63"/>
        <v>63600</v>
      </c>
      <c r="O82" s="23">
        <f t="shared" si="64"/>
        <v>63600</v>
      </c>
      <c r="P82" s="23">
        <f>G82*AL82</f>
        <v>84800</v>
      </c>
      <c r="Q82" s="7"/>
      <c r="R82" s="60">
        <f t="shared" si="65"/>
        <v>212000</v>
      </c>
      <c r="S82" s="23">
        <f t="shared" si="66"/>
        <v>224000</v>
      </c>
      <c r="T82" s="7"/>
      <c r="W82" s="2">
        <v>13650</v>
      </c>
      <c r="X82" s="2">
        <v>0</v>
      </c>
      <c r="Y82" s="2">
        <v>11000</v>
      </c>
      <c r="Z82" s="2">
        <v>0</v>
      </c>
      <c r="AB82">
        <f t="shared" si="68"/>
        <v>13900</v>
      </c>
      <c r="AC82">
        <f t="shared" si="69"/>
        <v>14700</v>
      </c>
      <c r="AD82">
        <f t="shared" si="70"/>
        <v>11400</v>
      </c>
      <c r="AF82" s="32">
        <f t="shared" si="67"/>
        <v>250</v>
      </c>
      <c r="AG82" s="32"/>
      <c r="AH82" s="32">
        <f>AD82-Y82</f>
        <v>400</v>
      </c>
      <c r="AJ82" s="32">
        <v>250</v>
      </c>
      <c r="AK82" s="32"/>
      <c r="AL82" s="32">
        <v>200</v>
      </c>
      <c r="AR82" s="32">
        <f t="shared" si="56"/>
        <v>0</v>
      </c>
      <c r="AS82" s="32">
        <f t="shared" si="57"/>
        <v>0</v>
      </c>
      <c r="AT82" s="32">
        <f t="shared" si="58"/>
        <v>200</v>
      </c>
      <c r="AV82" s="32"/>
      <c r="AW82" s="32"/>
      <c r="AX82" s="32"/>
      <c r="AY82" s="32"/>
      <c r="AZ82" s="32"/>
      <c r="BA82" s="32"/>
    </row>
    <row r="83" spans="1:53">
      <c r="A83" s="54" t="s">
        <v>83</v>
      </c>
      <c r="B83" s="21"/>
      <c r="C83" s="21"/>
      <c r="D83" s="21"/>
      <c r="E83" s="14">
        <f>SUM(E81:E82)</f>
        <v>40</v>
      </c>
      <c r="F83" s="14">
        <f>SUM(F81:F82)</f>
        <v>0</v>
      </c>
      <c r="G83" s="14">
        <f>SUM(G81:G82)</f>
        <v>440</v>
      </c>
      <c r="H83" s="14">
        <f>SUM(H81:H82)</f>
        <v>480</v>
      </c>
      <c r="I83" s="14">
        <f t="shared" ref="I83:S83" si="73">SUM(I81:I82)</f>
        <v>6000</v>
      </c>
      <c r="J83" s="14">
        <f t="shared" si="73"/>
        <v>8000</v>
      </c>
      <c r="K83" s="14">
        <f t="shared" si="73"/>
        <v>10000</v>
      </c>
      <c r="L83" s="14">
        <f t="shared" si="73"/>
        <v>0</v>
      </c>
      <c r="M83" s="14">
        <f t="shared" si="73"/>
        <v>24000</v>
      </c>
      <c r="N83" s="14">
        <f t="shared" si="73"/>
        <v>66000</v>
      </c>
      <c r="O83" s="14">
        <f t="shared" si="73"/>
        <v>66000</v>
      </c>
      <c r="P83" s="14">
        <f t="shared" si="73"/>
        <v>88000</v>
      </c>
      <c r="Q83" s="14">
        <f t="shared" si="73"/>
        <v>0</v>
      </c>
      <c r="R83" s="14">
        <f t="shared" si="73"/>
        <v>220000</v>
      </c>
      <c r="S83" s="14">
        <f t="shared" si="73"/>
        <v>244000</v>
      </c>
      <c r="T83" s="7"/>
      <c r="W83" s="2">
        <v>0</v>
      </c>
      <c r="X83" s="2">
        <v>0</v>
      </c>
      <c r="Y83" s="2">
        <v>0</v>
      </c>
      <c r="Z83" s="2">
        <v>0</v>
      </c>
      <c r="AB83">
        <f t="shared" ref="AB83:AB92" si="74">$AB$3-350</f>
        <v>13900</v>
      </c>
      <c r="AC83">
        <f t="shared" ref="AC83:AC92" si="75">$AC$3-350</f>
        <v>14700</v>
      </c>
      <c r="AD83">
        <f t="shared" ref="AD83:AD92" si="76">$AD$3-300</f>
        <v>11400</v>
      </c>
      <c r="AF83" s="32"/>
      <c r="AG83" s="32"/>
      <c r="AH83" s="32"/>
      <c r="AR83" s="32">
        <f t="shared" si="56"/>
        <v>0</v>
      </c>
      <c r="AS83" s="32">
        <f t="shared" si="57"/>
        <v>0</v>
      </c>
      <c r="AT83" s="32">
        <f t="shared" si="58"/>
        <v>0</v>
      </c>
      <c r="AV83" s="32"/>
      <c r="AW83" s="32"/>
      <c r="AX83" s="32"/>
      <c r="AY83" s="32"/>
      <c r="AZ83" s="32"/>
      <c r="BA83" s="32"/>
    </row>
    <row r="84" spans="1:53">
      <c r="A84" s="7" t="s">
        <v>87</v>
      </c>
      <c r="B84" s="21" t="s">
        <v>509</v>
      </c>
      <c r="C84" s="21" t="s">
        <v>152</v>
      </c>
      <c r="D84" s="21" t="s">
        <v>443</v>
      </c>
      <c r="E84" s="8">
        <v>15</v>
      </c>
      <c r="F84" s="8">
        <v>0</v>
      </c>
      <c r="G84" s="8"/>
      <c r="H84" s="53">
        <f t="shared" si="59"/>
        <v>15</v>
      </c>
      <c r="I84" s="23">
        <f t="shared" si="60"/>
        <v>2250</v>
      </c>
      <c r="J84" s="23">
        <f t="shared" si="61"/>
        <v>3000</v>
      </c>
      <c r="K84" s="23">
        <f>E84*AJ84+F84*AK84</f>
        <v>3750</v>
      </c>
      <c r="L84" s="7"/>
      <c r="M84" s="60">
        <f t="shared" si="62"/>
        <v>9000</v>
      </c>
      <c r="N84" s="23">
        <f t="shared" si="63"/>
        <v>0</v>
      </c>
      <c r="O84" s="23">
        <f t="shared" si="64"/>
        <v>0</v>
      </c>
      <c r="P84" s="23">
        <f>G84*AL84</f>
        <v>0</v>
      </c>
      <c r="Q84" s="7"/>
      <c r="R84" s="60">
        <f t="shared" si="65"/>
        <v>0</v>
      </c>
      <c r="S84" s="23">
        <f t="shared" si="66"/>
        <v>9000</v>
      </c>
      <c r="T84" s="7"/>
      <c r="W84" s="2">
        <v>13650</v>
      </c>
      <c r="X84" s="2">
        <v>0</v>
      </c>
      <c r="Y84" s="2">
        <v>0</v>
      </c>
      <c r="Z84" s="2">
        <v>0</v>
      </c>
      <c r="AB84">
        <f t="shared" si="74"/>
        <v>13900</v>
      </c>
      <c r="AC84">
        <f t="shared" si="75"/>
        <v>14700</v>
      </c>
      <c r="AD84">
        <f t="shared" si="76"/>
        <v>11400</v>
      </c>
      <c r="AF84" s="32">
        <f t="shared" si="67"/>
        <v>250</v>
      </c>
      <c r="AG84" s="32"/>
      <c r="AH84" s="32"/>
      <c r="AJ84" s="32">
        <v>250</v>
      </c>
      <c r="AK84" s="32"/>
      <c r="AL84" s="32"/>
      <c r="AR84" s="32">
        <f t="shared" si="56"/>
        <v>0</v>
      </c>
      <c r="AS84" s="32">
        <f t="shared" si="57"/>
        <v>0</v>
      </c>
      <c r="AT84" s="32">
        <f t="shared" si="58"/>
        <v>0</v>
      </c>
      <c r="AV84" s="32"/>
      <c r="AW84" s="32"/>
      <c r="AX84" s="32"/>
      <c r="AY84" s="32"/>
      <c r="AZ84" s="32"/>
      <c r="BA84" s="32"/>
    </row>
    <row r="85" spans="1:53">
      <c r="A85" s="7" t="s">
        <v>88</v>
      </c>
      <c r="B85" s="21" t="s">
        <v>510</v>
      </c>
      <c r="C85" s="21" t="s">
        <v>152</v>
      </c>
      <c r="D85" s="21" t="s">
        <v>443</v>
      </c>
      <c r="E85" s="8">
        <v>25</v>
      </c>
      <c r="F85" s="8">
        <v>0</v>
      </c>
      <c r="G85" s="8"/>
      <c r="H85" s="53">
        <f t="shared" si="59"/>
        <v>25</v>
      </c>
      <c r="I85" s="23">
        <f t="shared" si="60"/>
        <v>3750</v>
      </c>
      <c r="J85" s="23">
        <f t="shared" si="61"/>
        <v>5000</v>
      </c>
      <c r="K85" s="23">
        <f>E85*AJ85+F85*AK85</f>
        <v>6250</v>
      </c>
      <c r="L85" s="7"/>
      <c r="M85" s="60">
        <f t="shared" si="62"/>
        <v>15000</v>
      </c>
      <c r="N85" s="23">
        <f t="shared" si="63"/>
        <v>0</v>
      </c>
      <c r="O85" s="23">
        <f t="shared" si="64"/>
        <v>0</v>
      </c>
      <c r="P85" s="23">
        <f>G85*AL85</f>
        <v>0</v>
      </c>
      <c r="Q85" s="7"/>
      <c r="R85" s="60">
        <f t="shared" si="65"/>
        <v>0</v>
      </c>
      <c r="S85" s="23">
        <f t="shared" si="66"/>
        <v>15000</v>
      </c>
      <c r="T85" s="7"/>
      <c r="W85" s="2">
        <v>13650</v>
      </c>
      <c r="X85" s="2">
        <v>0</v>
      </c>
      <c r="Y85" s="2">
        <v>0</v>
      </c>
      <c r="Z85" s="2">
        <v>0</v>
      </c>
      <c r="AB85">
        <f t="shared" si="74"/>
        <v>13900</v>
      </c>
      <c r="AC85">
        <f t="shared" si="75"/>
        <v>14700</v>
      </c>
      <c r="AD85">
        <f t="shared" si="76"/>
        <v>11400</v>
      </c>
      <c r="AF85" s="32">
        <f t="shared" si="67"/>
        <v>250</v>
      </c>
      <c r="AG85" s="32"/>
      <c r="AH85" s="32"/>
      <c r="AJ85" s="32">
        <v>250</v>
      </c>
      <c r="AK85" s="32"/>
      <c r="AL85" s="32"/>
      <c r="AR85" s="32">
        <f t="shared" si="56"/>
        <v>0</v>
      </c>
      <c r="AS85" s="32">
        <f t="shared" si="57"/>
        <v>0</v>
      </c>
      <c r="AT85" s="32">
        <f t="shared" si="58"/>
        <v>0</v>
      </c>
      <c r="AV85" s="32"/>
      <c r="AW85" s="32"/>
      <c r="AX85" s="32"/>
      <c r="AY85" s="32"/>
      <c r="AZ85" s="32"/>
      <c r="BA85" s="32"/>
    </row>
    <row r="86" spans="1:53">
      <c r="A86" s="7" t="s">
        <v>89</v>
      </c>
      <c r="B86" s="21" t="s">
        <v>511</v>
      </c>
      <c r="C86" s="21" t="s">
        <v>158</v>
      </c>
      <c r="D86" s="21" t="s">
        <v>443</v>
      </c>
      <c r="E86" s="8">
        <v>100</v>
      </c>
      <c r="F86" s="8">
        <v>0</v>
      </c>
      <c r="G86" s="8"/>
      <c r="H86" s="53">
        <f t="shared" si="59"/>
        <v>100</v>
      </c>
      <c r="I86" s="23">
        <f t="shared" si="60"/>
        <v>15000</v>
      </c>
      <c r="J86" s="23">
        <f t="shared" si="61"/>
        <v>20000</v>
      </c>
      <c r="K86" s="23">
        <f>E86*AJ86+F86*AK86</f>
        <v>25000</v>
      </c>
      <c r="L86" s="7"/>
      <c r="M86" s="60">
        <f t="shared" si="62"/>
        <v>60000</v>
      </c>
      <c r="N86" s="23">
        <f t="shared" si="63"/>
        <v>0</v>
      </c>
      <c r="O86" s="23">
        <f t="shared" si="64"/>
        <v>0</v>
      </c>
      <c r="P86" s="23">
        <f>G86*AL86</f>
        <v>0</v>
      </c>
      <c r="Q86" s="7"/>
      <c r="R86" s="60">
        <f t="shared" si="65"/>
        <v>0</v>
      </c>
      <c r="S86" s="23">
        <f t="shared" si="66"/>
        <v>60000</v>
      </c>
      <c r="T86" s="7"/>
      <c r="W86" s="2">
        <v>13650</v>
      </c>
      <c r="X86" s="2">
        <v>0</v>
      </c>
      <c r="Y86" s="2">
        <v>0</v>
      </c>
      <c r="Z86" s="2">
        <v>0</v>
      </c>
      <c r="AB86">
        <f t="shared" si="74"/>
        <v>13900</v>
      </c>
      <c r="AC86">
        <f t="shared" si="75"/>
        <v>14700</v>
      </c>
      <c r="AD86">
        <f t="shared" si="76"/>
        <v>11400</v>
      </c>
      <c r="AF86" s="32">
        <f t="shared" si="67"/>
        <v>250</v>
      </c>
      <c r="AG86" s="32"/>
      <c r="AH86" s="32"/>
      <c r="AJ86" s="32">
        <v>250</v>
      </c>
      <c r="AK86" s="32"/>
      <c r="AL86" s="32"/>
      <c r="AR86" s="32">
        <f t="shared" si="56"/>
        <v>0</v>
      </c>
      <c r="AS86" s="32">
        <f t="shared" si="57"/>
        <v>0</v>
      </c>
      <c r="AT86" s="32">
        <f t="shared" si="58"/>
        <v>0</v>
      </c>
      <c r="AV86" s="32"/>
      <c r="AW86" s="32"/>
      <c r="AX86" s="32"/>
      <c r="AY86" s="32"/>
      <c r="AZ86" s="32"/>
      <c r="BA86" s="32"/>
    </row>
    <row r="87" spans="1:53">
      <c r="A87" s="7" t="s">
        <v>90</v>
      </c>
      <c r="B87" s="21" t="s">
        <v>512</v>
      </c>
      <c r="C87" s="21" t="s">
        <v>152</v>
      </c>
      <c r="D87" s="21" t="s">
        <v>443</v>
      </c>
      <c r="E87" s="8">
        <v>32</v>
      </c>
      <c r="F87" s="8">
        <v>0</v>
      </c>
      <c r="G87" s="8"/>
      <c r="H87" s="53">
        <f t="shared" si="59"/>
        <v>32</v>
      </c>
      <c r="I87" s="23">
        <f t="shared" si="60"/>
        <v>4800</v>
      </c>
      <c r="J87" s="23">
        <f t="shared" si="61"/>
        <v>6400</v>
      </c>
      <c r="K87" s="23">
        <f>E87*AJ87+F87*AK87</f>
        <v>8000</v>
      </c>
      <c r="L87" s="7"/>
      <c r="M87" s="60">
        <f t="shared" si="62"/>
        <v>19200</v>
      </c>
      <c r="N87" s="23">
        <f t="shared" si="63"/>
        <v>0</v>
      </c>
      <c r="O87" s="23">
        <f t="shared" si="64"/>
        <v>0</v>
      </c>
      <c r="P87" s="23">
        <f>G87*AL87</f>
        <v>0</v>
      </c>
      <c r="Q87" s="7"/>
      <c r="R87" s="60">
        <f t="shared" si="65"/>
        <v>0</v>
      </c>
      <c r="S87" s="23">
        <f t="shared" si="66"/>
        <v>19200</v>
      </c>
      <c r="T87" s="7"/>
      <c r="W87" s="2">
        <v>13650</v>
      </c>
      <c r="X87" s="2">
        <v>0</v>
      </c>
      <c r="Y87" s="2">
        <v>0</v>
      </c>
      <c r="Z87" s="2">
        <v>0</v>
      </c>
      <c r="AB87">
        <f t="shared" si="74"/>
        <v>13900</v>
      </c>
      <c r="AC87">
        <f t="shared" si="75"/>
        <v>14700</v>
      </c>
      <c r="AD87">
        <f t="shared" si="76"/>
        <v>11400</v>
      </c>
      <c r="AF87" s="32">
        <f t="shared" si="67"/>
        <v>250</v>
      </c>
      <c r="AG87" s="32"/>
      <c r="AH87" s="32"/>
      <c r="AJ87" s="32">
        <v>250</v>
      </c>
      <c r="AK87" s="32"/>
      <c r="AL87" s="32"/>
      <c r="AR87" s="32">
        <f t="shared" si="56"/>
        <v>0</v>
      </c>
      <c r="AS87" s="32">
        <f t="shared" si="57"/>
        <v>0</v>
      </c>
      <c r="AT87" s="32">
        <f t="shared" si="58"/>
        <v>0</v>
      </c>
      <c r="AV87" s="32"/>
      <c r="AW87" s="32"/>
      <c r="AX87" s="32"/>
      <c r="AY87" s="32"/>
      <c r="AZ87" s="32"/>
      <c r="BA87" s="32"/>
    </row>
    <row r="88" spans="1:53">
      <c r="A88" s="54" t="s">
        <v>86</v>
      </c>
      <c r="B88" s="21"/>
      <c r="C88" s="21"/>
      <c r="D88" s="21"/>
      <c r="E88" s="14">
        <f>SUM(E84:E87)</f>
        <v>172</v>
      </c>
      <c r="F88" s="14">
        <f>SUM(F84:F87)</f>
        <v>0</v>
      </c>
      <c r="G88" s="14">
        <f>SUM(G84:G87)</f>
        <v>0</v>
      </c>
      <c r="H88" s="14">
        <f>SUM(H84:H87)</f>
        <v>172</v>
      </c>
      <c r="I88" s="14">
        <f t="shared" ref="I88:S88" si="77">SUM(I84:I87)</f>
        <v>25800</v>
      </c>
      <c r="J88" s="14">
        <f t="shared" si="77"/>
        <v>34400</v>
      </c>
      <c r="K88" s="14">
        <f t="shared" si="77"/>
        <v>43000</v>
      </c>
      <c r="L88" s="14">
        <f t="shared" si="77"/>
        <v>0</v>
      </c>
      <c r="M88" s="14">
        <f t="shared" si="77"/>
        <v>103200</v>
      </c>
      <c r="N88" s="14">
        <f t="shared" si="77"/>
        <v>0</v>
      </c>
      <c r="O88" s="14">
        <f t="shared" si="77"/>
        <v>0</v>
      </c>
      <c r="P88" s="14">
        <f t="shared" si="77"/>
        <v>0</v>
      </c>
      <c r="Q88" s="14">
        <f t="shared" si="77"/>
        <v>0</v>
      </c>
      <c r="R88" s="14">
        <f t="shared" si="77"/>
        <v>0</v>
      </c>
      <c r="S88" s="14">
        <f t="shared" si="77"/>
        <v>103200</v>
      </c>
      <c r="T88" s="7"/>
      <c r="W88" s="2">
        <v>0</v>
      </c>
      <c r="X88" s="2">
        <v>0</v>
      </c>
      <c r="Y88" s="2">
        <v>0</v>
      </c>
      <c r="Z88" s="2">
        <v>0</v>
      </c>
      <c r="AB88">
        <f t="shared" si="74"/>
        <v>13900</v>
      </c>
      <c r="AC88">
        <f t="shared" si="75"/>
        <v>14700</v>
      </c>
      <c r="AD88">
        <f t="shared" si="76"/>
        <v>11400</v>
      </c>
      <c r="AF88" s="32"/>
      <c r="AG88" s="32"/>
      <c r="AH88" s="32"/>
      <c r="AR88" s="32">
        <f t="shared" si="56"/>
        <v>0</v>
      </c>
      <c r="AS88" s="32">
        <f t="shared" si="57"/>
        <v>0</v>
      </c>
      <c r="AT88" s="32">
        <f t="shared" si="58"/>
        <v>0</v>
      </c>
      <c r="AV88" s="32"/>
      <c r="AW88" s="32"/>
      <c r="AX88" s="32"/>
      <c r="AY88" s="32"/>
      <c r="AZ88" s="32"/>
      <c r="BA88" s="32"/>
    </row>
    <row r="89" spans="1:53">
      <c r="A89" s="7" t="s">
        <v>92</v>
      </c>
      <c r="B89" s="21" t="s">
        <v>513</v>
      </c>
      <c r="C89" s="21" t="s">
        <v>152</v>
      </c>
      <c r="D89" s="21" t="s">
        <v>447</v>
      </c>
      <c r="E89" s="8">
        <v>206</v>
      </c>
      <c r="F89" s="8">
        <v>0</v>
      </c>
      <c r="G89" s="8">
        <v>70</v>
      </c>
      <c r="H89" s="53">
        <f>E89+F89+G89</f>
        <v>276</v>
      </c>
      <c r="I89" s="23">
        <f t="shared" si="60"/>
        <v>30900</v>
      </c>
      <c r="J89" s="23">
        <f t="shared" si="61"/>
        <v>41200</v>
      </c>
      <c r="K89" s="7"/>
      <c r="L89" s="7"/>
      <c r="M89" s="60">
        <f t="shared" si="62"/>
        <v>72100</v>
      </c>
      <c r="N89" s="23">
        <f t="shared" si="63"/>
        <v>10500</v>
      </c>
      <c r="O89" s="23">
        <f t="shared" si="64"/>
        <v>10500</v>
      </c>
      <c r="P89" s="7"/>
      <c r="Q89" s="7"/>
      <c r="R89" s="60">
        <f t="shared" si="65"/>
        <v>21000</v>
      </c>
      <c r="S89" s="23">
        <f t="shared" si="66"/>
        <v>93100</v>
      </c>
      <c r="T89" s="7"/>
      <c r="W89" s="2">
        <v>13650</v>
      </c>
      <c r="X89" s="2">
        <v>0</v>
      </c>
      <c r="Y89" s="2">
        <v>11000</v>
      </c>
      <c r="Z89" s="2">
        <v>0</v>
      </c>
      <c r="AB89">
        <f t="shared" si="74"/>
        <v>13900</v>
      </c>
      <c r="AC89">
        <f t="shared" si="75"/>
        <v>14700</v>
      </c>
      <c r="AD89">
        <f t="shared" si="76"/>
        <v>11400</v>
      </c>
      <c r="AF89" s="32">
        <f t="shared" si="67"/>
        <v>250</v>
      </c>
      <c r="AG89" s="32"/>
      <c r="AH89" s="32">
        <f>AD89-Y89</f>
        <v>400</v>
      </c>
      <c r="AR89" s="32">
        <f t="shared" si="56"/>
        <v>250</v>
      </c>
      <c r="AS89" s="32">
        <f t="shared" si="57"/>
        <v>0</v>
      </c>
      <c r="AT89" s="32">
        <f t="shared" si="58"/>
        <v>400</v>
      </c>
      <c r="AV89" s="32"/>
      <c r="AW89" s="32"/>
      <c r="AX89" s="32"/>
      <c r="AY89" s="32"/>
      <c r="AZ89" s="32"/>
      <c r="BA89" s="32"/>
    </row>
    <row r="90" spans="1:53">
      <c r="A90" s="7" t="s">
        <v>93</v>
      </c>
      <c r="B90" s="21" t="s">
        <v>514</v>
      </c>
      <c r="C90" s="21" t="s">
        <v>152</v>
      </c>
      <c r="D90" s="21" t="s">
        <v>447</v>
      </c>
      <c r="E90" s="8">
        <v>90</v>
      </c>
      <c r="F90" s="8">
        <v>0</v>
      </c>
      <c r="G90" s="8">
        <v>65</v>
      </c>
      <c r="H90" s="53">
        <f t="shared" si="59"/>
        <v>155</v>
      </c>
      <c r="I90" s="23">
        <f t="shared" si="60"/>
        <v>13500</v>
      </c>
      <c r="J90" s="23">
        <f t="shared" si="61"/>
        <v>18000</v>
      </c>
      <c r="K90" s="7"/>
      <c r="L90" s="7"/>
      <c r="M90" s="60">
        <f t="shared" si="62"/>
        <v>31500</v>
      </c>
      <c r="N90" s="23">
        <f t="shared" si="63"/>
        <v>9750</v>
      </c>
      <c r="O90" s="23">
        <f t="shared" si="64"/>
        <v>9750</v>
      </c>
      <c r="P90" s="7"/>
      <c r="Q90" s="7"/>
      <c r="R90" s="60">
        <f t="shared" si="65"/>
        <v>19500</v>
      </c>
      <c r="S90" s="23">
        <f t="shared" si="66"/>
        <v>51000</v>
      </c>
      <c r="T90" s="7"/>
      <c r="W90" s="2">
        <v>13650</v>
      </c>
      <c r="X90" s="2">
        <v>14300</v>
      </c>
      <c r="Y90" s="2">
        <v>11000</v>
      </c>
      <c r="Z90" s="2">
        <v>0</v>
      </c>
      <c r="AB90">
        <f t="shared" si="74"/>
        <v>13900</v>
      </c>
      <c r="AC90">
        <f t="shared" si="75"/>
        <v>14700</v>
      </c>
      <c r="AD90">
        <f t="shared" si="76"/>
        <v>11400</v>
      </c>
      <c r="AF90" s="32">
        <f t="shared" si="67"/>
        <v>250</v>
      </c>
      <c r="AG90" s="32">
        <f>AC90-X90</f>
        <v>400</v>
      </c>
      <c r="AH90" s="32">
        <f>AD90-Y90</f>
        <v>400</v>
      </c>
      <c r="AR90" s="32">
        <f t="shared" si="56"/>
        <v>250</v>
      </c>
      <c r="AS90" s="32">
        <f t="shared" si="57"/>
        <v>400</v>
      </c>
      <c r="AT90" s="32">
        <f t="shared" si="58"/>
        <v>400</v>
      </c>
      <c r="AV90" s="32"/>
      <c r="AW90" s="32"/>
      <c r="AX90" s="32"/>
      <c r="AY90" s="32"/>
      <c r="AZ90" s="32"/>
      <c r="BA90" s="32"/>
    </row>
    <row r="91" spans="1:53">
      <c r="A91" s="7" t="s">
        <v>94</v>
      </c>
      <c r="B91" s="21" t="s">
        <v>515</v>
      </c>
      <c r="C91" s="21" t="s">
        <v>152</v>
      </c>
      <c r="D91" s="21" t="s">
        <v>447</v>
      </c>
      <c r="E91" s="8">
        <v>75</v>
      </c>
      <c r="F91" s="8">
        <v>0</v>
      </c>
      <c r="G91" s="8">
        <v>12</v>
      </c>
      <c r="H91" s="53">
        <f t="shared" si="59"/>
        <v>87</v>
      </c>
      <c r="I91" s="23">
        <f t="shared" si="60"/>
        <v>11250</v>
      </c>
      <c r="J91" s="23">
        <f t="shared" si="61"/>
        <v>15000</v>
      </c>
      <c r="K91" s="7"/>
      <c r="L91" s="7"/>
      <c r="M91" s="60">
        <f t="shared" si="62"/>
        <v>26250</v>
      </c>
      <c r="N91" s="23">
        <f t="shared" si="63"/>
        <v>1800</v>
      </c>
      <c r="O91" s="23">
        <f t="shared" si="64"/>
        <v>1800</v>
      </c>
      <c r="P91" s="7"/>
      <c r="Q91" s="7"/>
      <c r="R91" s="60">
        <f t="shared" si="65"/>
        <v>3600</v>
      </c>
      <c r="S91" s="23">
        <f t="shared" si="66"/>
        <v>29850</v>
      </c>
      <c r="T91" s="7"/>
      <c r="W91" s="2">
        <v>13300</v>
      </c>
      <c r="X91" s="2">
        <v>0</v>
      </c>
      <c r="Y91" s="2">
        <v>11000</v>
      </c>
      <c r="Z91" s="2">
        <v>0</v>
      </c>
      <c r="AB91">
        <f t="shared" si="74"/>
        <v>13900</v>
      </c>
      <c r="AC91">
        <f t="shared" si="75"/>
        <v>14700</v>
      </c>
      <c r="AD91">
        <f t="shared" si="76"/>
        <v>11400</v>
      </c>
      <c r="AF91" s="32">
        <f t="shared" si="67"/>
        <v>600</v>
      </c>
      <c r="AG91" s="32"/>
      <c r="AH91" s="32">
        <f>AD91-Y91</f>
        <v>400</v>
      </c>
      <c r="AR91" s="32">
        <f t="shared" si="56"/>
        <v>600</v>
      </c>
      <c r="AS91" s="32">
        <f t="shared" si="57"/>
        <v>0</v>
      </c>
      <c r="AT91" s="32">
        <f t="shared" si="58"/>
        <v>400</v>
      </c>
      <c r="AV91" s="32"/>
      <c r="AW91" s="32"/>
      <c r="AX91" s="32"/>
      <c r="AY91" s="32"/>
      <c r="AZ91" s="32"/>
      <c r="BA91" s="32"/>
    </row>
    <row r="92" spans="1:53">
      <c r="A92" s="54" t="s">
        <v>91</v>
      </c>
      <c r="B92" s="21"/>
      <c r="C92" s="21"/>
      <c r="D92" s="21"/>
      <c r="E92" s="14">
        <f>SUM(E89:E91)</f>
        <v>371</v>
      </c>
      <c r="F92" s="14">
        <f>SUM(F89:F91)</f>
        <v>0</v>
      </c>
      <c r="G92" s="14">
        <f>SUM(G89:G91)</f>
        <v>147</v>
      </c>
      <c r="H92" s="14">
        <f>SUM(H89:H91)</f>
        <v>518</v>
      </c>
      <c r="I92" s="14">
        <f t="shared" ref="I92:S92" si="78">SUM(I89:I91)</f>
        <v>55650</v>
      </c>
      <c r="J92" s="14">
        <f t="shared" si="78"/>
        <v>74200</v>
      </c>
      <c r="K92" s="14">
        <f t="shared" si="78"/>
        <v>0</v>
      </c>
      <c r="L92" s="14">
        <f t="shared" si="78"/>
        <v>0</v>
      </c>
      <c r="M92" s="14">
        <f t="shared" si="78"/>
        <v>129850</v>
      </c>
      <c r="N92" s="14">
        <f t="shared" si="78"/>
        <v>22050</v>
      </c>
      <c r="O92" s="14">
        <f t="shared" si="78"/>
        <v>22050</v>
      </c>
      <c r="P92" s="14">
        <f t="shared" si="78"/>
        <v>0</v>
      </c>
      <c r="Q92" s="14">
        <f t="shared" si="78"/>
        <v>0</v>
      </c>
      <c r="R92" s="14">
        <f t="shared" si="78"/>
        <v>44100</v>
      </c>
      <c r="S92" s="14">
        <f t="shared" si="78"/>
        <v>173950</v>
      </c>
      <c r="T92" s="7"/>
      <c r="W92" s="2">
        <v>0</v>
      </c>
      <c r="X92" s="2">
        <v>0</v>
      </c>
      <c r="Y92" s="2">
        <v>0</v>
      </c>
      <c r="Z92" s="2">
        <v>0</v>
      </c>
      <c r="AB92">
        <f t="shared" si="74"/>
        <v>13900</v>
      </c>
      <c r="AC92">
        <f t="shared" si="75"/>
        <v>14700</v>
      </c>
      <c r="AD92">
        <f t="shared" si="76"/>
        <v>11400</v>
      </c>
      <c r="AF92" s="32"/>
      <c r="AG92" s="32"/>
      <c r="AH92" s="32"/>
      <c r="AR92" s="32">
        <f t="shared" si="56"/>
        <v>0</v>
      </c>
      <c r="AS92" s="32">
        <f t="shared" si="57"/>
        <v>0</v>
      </c>
      <c r="AT92" s="32">
        <f t="shared" si="58"/>
        <v>0</v>
      </c>
      <c r="AV92" s="32"/>
      <c r="AW92" s="32"/>
      <c r="AX92" s="32"/>
      <c r="AY92" s="32"/>
      <c r="AZ92" s="32"/>
      <c r="BA92" s="32"/>
    </row>
    <row r="93" s="75" customFormat="1" spans="1:53">
      <c r="A93" s="76" t="s">
        <v>96</v>
      </c>
      <c r="B93" s="77" t="s">
        <v>516</v>
      </c>
      <c r="C93" s="77" t="s">
        <v>152</v>
      </c>
      <c r="D93" s="77" t="s">
        <v>443</v>
      </c>
      <c r="E93" s="78">
        <v>98</v>
      </c>
      <c r="F93" s="78">
        <v>0</v>
      </c>
      <c r="G93" s="78">
        <v>116</v>
      </c>
      <c r="H93" s="79">
        <f t="shared" si="59"/>
        <v>214</v>
      </c>
      <c r="I93" s="80"/>
      <c r="J93" s="80"/>
      <c r="K93" s="23">
        <f>E93*AJ93+F93*AK93</f>
        <v>0</v>
      </c>
      <c r="L93" s="76"/>
      <c r="M93" s="80">
        <f t="shared" si="62"/>
        <v>0</v>
      </c>
      <c r="N93" s="80"/>
      <c r="O93" s="80"/>
      <c r="P93" s="23">
        <f>G93*AL93</f>
        <v>0</v>
      </c>
      <c r="Q93" s="76"/>
      <c r="R93" s="80">
        <f t="shared" si="65"/>
        <v>0</v>
      </c>
      <c r="S93" s="80">
        <f t="shared" si="66"/>
        <v>0</v>
      </c>
      <c r="T93" s="76"/>
      <c r="W93" s="81">
        <v>13300</v>
      </c>
      <c r="X93" s="81">
        <v>0</v>
      </c>
      <c r="Y93" s="81">
        <v>10800</v>
      </c>
      <c r="Z93" s="81">
        <v>0</v>
      </c>
      <c r="AB93" s="75">
        <v>13300</v>
      </c>
      <c r="AD93" s="75">
        <v>10800</v>
      </c>
      <c r="AF93" s="83">
        <f t="shared" si="67"/>
        <v>0</v>
      </c>
      <c r="AG93" s="83">
        <f t="shared" ref="AG93:AG99" si="79">AC93-X93</f>
        <v>0</v>
      </c>
      <c r="AH93" s="83">
        <f t="shared" ref="AH93:AH99" si="80">AD93-Y93</f>
        <v>0</v>
      </c>
      <c r="AJ93" s="32"/>
      <c r="AK93" s="32"/>
      <c r="AL93" s="32"/>
      <c r="AR93" s="32">
        <f t="shared" si="56"/>
        <v>0</v>
      </c>
      <c r="AS93" s="32">
        <f t="shared" si="57"/>
        <v>0</v>
      </c>
      <c r="AT93" s="32">
        <f t="shared" si="58"/>
        <v>0</v>
      </c>
      <c r="AV93" s="32"/>
      <c r="AW93" s="32"/>
      <c r="AX93" s="32"/>
      <c r="AY93" s="32"/>
      <c r="AZ93" s="32"/>
      <c r="BA93" s="32"/>
    </row>
    <row r="94" s="75" customFormat="1" spans="1:53">
      <c r="A94" s="76" t="s">
        <v>97</v>
      </c>
      <c r="B94" s="77" t="s">
        <v>517</v>
      </c>
      <c r="C94" s="77" t="s">
        <v>152</v>
      </c>
      <c r="D94" s="21" t="s">
        <v>447</v>
      </c>
      <c r="E94" s="78">
        <v>16</v>
      </c>
      <c r="F94" s="78">
        <v>0</v>
      </c>
      <c r="G94" s="78"/>
      <c r="H94" s="79">
        <f t="shared" si="59"/>
        <v>16</v>
      </c>
      <c r="I94" s="80"/>
      <c r="J94" s="80"/>
      <c r="K94" s="76"/>
      <c r="L94" s="76"/>
      <c r="M94" s="80">
        <f t="shared" si="62"/>
        <v>0</v>
      </c>
      <c r="N94" s="80"/>
      <c r="O94" s="80"/>
      <c r="P94" s="76"/>
      <c r="Q94" s="76"/>
      <c r="R94" s="80">
        <f t="shared" si="65"/>
        <v>0</v>
      </c>
      <c r="S94" s="80">
        <f t="shared" si="66"/>
        <v>0</v>
      </c>
      <c r="T94" s="76"/>
      <c r="W94" s="2">
        <v>13650</v>
      </c>
      <c r="X94" s="81">
        <v>0</v>
      </c>
      <c r="Y94" s="81">
        <v>0</v>
      </c>
      <c r="Z94" s="81">
        <v>0</v>
      </c>
      <c r="AB94" s="75">
        <v>13200</v>
      </c>
      <c r="AF94" s="32">
        <f t="shared" si="67"/>
        <v>-450</v>
      </c>
      <c r="AG94" s="32">
        <f t="shared" si="79"/>
        <v>0</v>
      </c>
      <c r="AH94" s="32">
        <f t="shared" si="80"/>
        <v>0</v>
      </c>
      <c r="AR94" s="32">
        <f t="shared" si="56"/>
        <v>-450</v>
      </c>
      <c r="AS94" s="32">
        <f t="shared" si="57"/>
        <v>0</v>
      </c>
      <c r="AT94" s="32">
        <f t="shared" si="58"/>
        <v>0</v>
      </c>
      <c r="AV94" s="32"/>
      <c r="AW94" s="32"/>
      <c r="AX94" s="32"/>
      <c r="AY94" s="32"/>
      <c r="AZ94" s="32"/>
      <c r="BA94" s="32"/>
    </row>
    <row r="95" s="75" customFormat="1" spans="1:53">
      <c r="A95" s="76" t="s">
        <v>98</v>
      </c>
      <c r="B95" s="77" t="s">
        <v>518</v>
      </c>
      <c r="C95" s="77" t="s">
        <v>152</v>
      </c>
      <c r="D95" s="77" t="s">
        <v>443</v>
      </c>
      <c r="E95" s="78">
        <v>55</v>
      </c>
      <c r="F95" s="78">
        <v>0</v>
      </c>
      <c r="G95" s="78"/>
      <c r="H95" s="79">
        <f t="shared" si="59"/>
        <v>55</v>
      </c>
      <c r="I95" s="80"/>
      <c r="J95" s="80"/>
      <c r="K95" s="23">
        <f>E95*AJ95+F95*AK95</f>
        <v>0</v>
      </c>
      <c r="L95" s="76"/>
      <c r="M95" s="80">
        <f t="shared" si="62"/>
        <v>0</v>
      </c>
      <c r="N95" s="80"/>
      <c r="O95" s="80"/>
      <c r="P95" s="23">
        <f>G95*AL95</f>
        <v>0</v>
      </c>
      <c r="Q95" s="76"/>
      <c r="R95" s="80">
        <f t="shared" si="65"/>
        <v>0</v>
      </c>
      <c r="S95" s="80">
        <f t="shared" si="66"/>
        <v>0</v>
      </c>
      <c r="T95" s="76"/>
      <c r="W95" s="81">
        <v>13300</v>
      </c>
      <c r="X95" s="81">
        <v>0</v>
      </c>
      <c r="Y95" s="81"/>
      <c r="Z95" s="81">
        <v>0</v>
      </c>
      <c r="AB95" s="75">
        <v>13300</v>
      </c>
      <c r="AF95" s="83">
        <f t="shared" si="67"/>
        <v>0</v>
      </c>
      <c r="AG95" s="83">
        <f t="shared" si="79"/>
        <v>0</v>
      </c>
      <c r="AH95" s="83">
        <f t="shared" si="80"/>
        <v>0</v>
      </c>
      <c r="AJ95" s="32"/>
      <c r="AK95" s="32"/>
      <c r="AL95" s="32"/>
      <c r="AR95" s="32">
        <f t="shared" si="56"/>
        <v>0</v>
      </c>
      <c r="AS95" s="32">
        <f t="shared" si="57"/>
        <v>0</v>
      </c>
      <c r="AT95" s="32">
        <f t="shared" si="58"/>
        <v>0</v>
      </c>
      <c r="AV95" s="32"/>
      <c r="AW95" s="32"/>
      <c r="AX95" s="32"/>
      <c r="AY95" s="32"/>
      <c r="AZ95" s="32"/>
      <c r="BA95" s="32"/>
    </row>
    <row r="96" s="75" customFormat="1" spans="1:53">
      <c r="A96" s="76" t="s">
        <v>99</v>
      </c>
      <c r="B96" s="77" t="s">
        <v>519</v>
      </c>
      <c r="C96" s="77" t="s">
        <v>158</v>
      </c>
      <c r="D96" s="77" t="s">
        <v>443</v>
      </c>
      <c r="E96" s="78">
        <v>35</v>
      </c>
      <c r="F96" s="78">
        <v>0</v>
      </c>
      <c r="G96" s="78">
        <v>20</v>
      </c>
      <c r="H96" s="79">
        <f t="shared" si="59"/>
        <v>55</v>
      </c>
      <c r="I96" s="80"/>
      <c r="J96" s="80"/>
      <c r="K96" s="23">
        <f>E96*AJ96+F96*AK96</f>
        <v>0</v>
      </c>
      <c r="L96" s="76"/>
      <c r="M96" s="80">
        <f t="shared" si="62"/>
        <v>0</v>
      </c>
      <c r="N96" s="80"/>
      <c r="O96" s="80"/>
      <c r="P96" s="23">
        <f>G96*AL96</f>
        <v>0</v>
      </c>
      <c r="Q96" s="76"/>
      <c r="R96" s="80">
        <f t="shared" si="65"/>
        <v>0</v>
      </c>
      <c r="S96" s="80">
        <f t="shared" si="66"/>
        <v>0</v>
      </c>
      <c r="T96" s="76"/>
      <c r="W96" s="2">
        <v>13650</v>
      </c>
      <c r="X96" s="81">
        <v>0</v>
      </c>
      <c r="Y96" s="81">
        <v>10650</v>
      </c>
      <c r="Z96" s="81"/>
      <c r="AB96" s="75">
        <v>13400</v>
      </c>
      <c r="AD96" s="75">
        <v>10900</v>
      </c>
      <c r="AF96" s="83">
        <f t="shared" si="67"/>
        <v>-250</v>
      </c>
      <c r="AG96" s="83">
        <f t="shared" si="79"/>
        <v>0</v>
      </c>
      <c r="AH96" s="83">
        <f t="shared" si="80"/>
        <v>250</v>
      </c>
      <c r="AJ96" s="32"/>
      <c r="AK96" s="32"/>
      <c r="AL96" s="32"/>
      <c r="AR96" s="32">
        <f t="shared" si="56"/>
        <v>-250</v>
      </c>
      <c r="AS96" s="32">
        <f t="shared" si="57"/>
        <v>0</v>
      </c>
      <c r="AT96" s="32">
        <f t="shared" si="58"/>
        <v>250</v>
      </c>
      <c r="AV96" s="32"/>
      <c r="AW96" s="32"/>
      <c r="AX96" s="32"/>
      <c r="AY96" s="32"/>
      <c r="AZ96" s="32"/>
      <c r="BA96" s="32"/>
    </row>
    <row r="97" s="75" customFormat="1" spans="1:53">
      <c r="A97" s="76" t="s">
        <v>100</v>
      </c>
      <c r="B97" s="77" t="s">
        <v>520</v>
      </c>
      <c r="C97" s="77" t="s">
        <v>158</v>
      </c>
      <c r="D97" s="77" t="s">
        <v>443</v>
      </c>
      <c r="E97" s="78">
        <v>19</v>
      </c>
      <c r="F97" s="78">
        <v>0</v>
      </c>
      <c r="G97" s="78"/>
      <c r="H97" s="79">
        <f t="shared" si="59"/>
        <v>19</v>
      </c>
      <c r="I97" s="80"/>
      <c r="J97" s="80"/>
      <c r="K97" s="23">
        <f>E97*AJ97+F97*AK97</f>
        <v>0</v>
      </c>
      <c r="L97" s="76"/>
      <c r="M97" s="80">
        <f t="shared" si="62"/>
        <v>0</v>
      </c>
      <c r="N97" s="80"/>
      <c r="O97" s="80"/>
      <c r="P97" s="23">
        <f>G97*AL97</f>
        <v>0</v>
      </c>
      <c r="Q97" s="76"/>
      <c r="R97" s="80">
        <f t="shared" si="65"/>
        <v>0</v>
      </c>
      <c r="S97" s="80">
        <f t="shared" si="66"/>
        <v>0</v>
      </c>
      <c r="T97" s="76"/>
      <c r="W97" s="2">
        <v>13650</v>
      </c>
      <c r="X97" s="81">
        <v>0</v>
      </c>
      <c r="Y97" s="81">
        <v>0</v>
      </c>
      <c r="Z97" s="81">
        <v>0</v>
      </c>
      <c r="AB97" s="75">
        <v>13000</v>
      </c>
      <c r="AF97" s="83">
        <f t="shared" si="67"/>
        <v>-650</v>
      </c>
      <c r="AG97" s="83">
        <f t="shared" si="79"/>
        <v>0</v>
      </c>
      <c r="AH97" s="83">
        <f t="shared" si="80"/>
        <v>0</v>
      </c>
      <c r="AJ97" s="32"/>
      <c r="AK97" s="32"/>
      <c r="AL97" s="32"/>
      <c r="AR97" s="32">
        <f t="shared" si="56"/>
        <v>-650</v>
      </c>
      <c r="AS97" s="32">
        <f t="shared" si="57"/>
        <v>0</v>
      </c>
      <c r="AT97" s="32">
        <f t="shared" si="58"/>
        <v>0</v>
      </c>
      <c r="AV97" s="32"/>
      <c r="AW97" s="32"/>
      <c r="AX97" s="32"/>
      <c r="AY97" s="32"/>
      <c r="AZ97" s="32"/>
      <c r="BA97" s="32"/>
    </row>
    <row r="98" s="75" customFormat="1" spans="1:53">
      <c r="A98" s="76" t="s">
        <v>101</v>
      </c>
      <c r="B98" s="77" t="s">
        <v>521</v>
      </c>
      <c r="C98" s="77" t="s">
        <v>152</v>
      </c>
      <c r="D98" s="77" t="s">
        <v>443</v>
      </c>
      <c r="E98" s="78">
        <v>36</v>
      </c>
      <c r="F98" s="78">
        <v>15</v>
      </c>
      <c r="G98" s="78"/>
      <c r="H98" s="79">
        <f t="shared" si="59"/>
        <v>51</v>
      </c>
      <c r="I98" s="80"/>
      <c r="J98" s="80"/>
      <c r="K98" s="23">
        <f>E98*AJ98+F98*AK98</f>
        <v>0</v>
      </c>
      <c r="L98" s="76"/>
      <c r="M98" s="80">
        <f t="shared" si="62"/>
        <v>0</v>
      </c>
      <c r="N98" s="80"/>
      <c r="O98" s="80"/>
      <c r="P98" s="23">
        <f>G98*AL98</f>
        <v>0</v>
      </c>
      <c r="Q98" s="76"/>
      <c r="R98" s="80">
        <f t="shared" si="65"/>
        <v>0</v>
      </c>
      <c r="S98" s="80">
        <f t="shared" si="66"/>
        <v>0</v>
      </c>
      <c r="T98" s="76"/>
      <c r="W98" s="2">
        <v>13650</v>
      </c>
      <c r="X98" s="81">
        <v>14300</v>
      </c>
      <c r="Y98" s="81">
        <v>0</v>
      </c>
      <c r="Z98" s="81">
        <v>0</v>
      </c>
      <c r="AB98" s="75">
        <v>13200</v>
      </c>
      <c r="AC98" s="75">
        <v>13600</v>
      </c>
      <c r="AF98" s="83">
        <f t="shared" si="67"/>
        <v>-450</v>
      </c>
      <c r="AG98" s="83">
        <f t="shared" si="79"/>
        <v>-700</v>
      </c>
      <c r="AH98" s="83">
        <f t="shared" si="80"/>
        <v>0</v>
      </c>
      <c r="AJ98" s="32"/>
      <c r="AK98" s="32"/>
      <c r="AL98" s="32"/>
      <c r="AR98" s="32">
        <f t="shared" si="56"/>
        <v>-450</v>
      </c>
      <c r="AS98" s="32">
        <f t="shared" si="57"/>
        <v>-700</v>
      </c>
      <c r="AT98" s="32">
        <f t="shared" si="58"/>
        <v>0</v>
      </c>
      <c r="AV98" s="32"/>
      <c r="AW98" s="32"/>
      <c r="AX98" s="32"/>
      <c r="AY98" s="32"/>
      <c r="AZ98" s="32"/>
      <c r="BA98" s="32"/>
    </row>
    <row r="99" s="75" customFormat="1" spans="1:53">
      <c r="A99" s="76" t="s">
        <v>102</v>
      </c>
      <c r="B99" s="77" t="s">
        <v>522</v>
      </c>
      <c r="C99" s="77" t="s">
        <v>152</v>
      </c>
      <c r="D99" s="77" t="s">
        <v>443</v>
      </c>
      <c r="E99" s="78">
        <v>8</v>
      </c>
      <c r="F99" s="78">
        <v>0</v>
      </c>
      <c r="G99" s="78"/>
      <c r="H99" s="79">
        <f t="shared" si="59"/>
        <v>8</v>
      </c>
      <c r="I99" s="80"/>
      <c r="J99" s="80"/>
      <c r="K99" s="23">
        <f>E99*AJ99+F99*AK99</f>
        <v>0</v>
      </c>
      <c r="L99" s="76"/>
      <c r="M99" s="80">
        <f t="shared" si="62"/>
        <v>0</v>
      </c>
      <c r="N99" s="80"/>
      <c r="O99" s="80"/>
      <c r="P99" s="23">
        <f>G99*AL99</f>
        <v>0</v>
      </c>
      <c r="Q99" s="76"/>
      <c r="R99" s="80">
        <f t="shared" si="65"/>
        <v>0</v>
      </c>
      <c r="S99" s="80">
        <f t="shared" si="66"/>
        <v>0</v>
      </c>
      <c r="T99" s="76"/>
      <c r="W99" s="81">
        <v>0</v>
      </c>
      <c r="X99" s="81">
        <v>0</v>
      </c>
      <c r="Y99" s="81">
        <v>0</v>
      </c>
      <c r="Z99" s="81">
        <v>0</v>
      </c>
      <c r="AF99" s="83">
        <f t="shared" si="67"/>
        <v>0</v>
      </c>
      <c r="AG99" s="83">
        <f t="shared" si="79"/>
        <v>0</v>
      </c>
      <c r="AH99" s="83">
        <f t="shared" si="80"/>
        <v>0</v>
      </c>
      <c r="AJ99" s="32"/>
      <c r="AK99" s="32"/>
      <c r="AL99" s="32"/>
      <c r="AR99" s="32">
        <f t="shared" si="56"/>
        <v>0</v>
      </c>
      <c r="AS99" s="32">
        <f t="shared" si="57"/>
        <v>0</v>
      </c>
      <c r="AT99" s="32">
        <f t="shared" si="58"/>
        <v>0</v>
      </c>
      <c r="AV99" s="32"/>
      <c r="AW99" s="32"/>
      <c r="AX99" s="32"/>
      <c r="AY99" s="32"/>
      <c r="AZ99" s="32"/>
      <c r="BA99" s="32"/>
    </row>
    <row r="100" spans="1:53">
      <c r="A100" s="54" t="s">
        <v>95</v>
      </c>
      <c r="B100" s="21"/>
      <c r="C100" s="21"/>
      <c r="D100" s="21"/>
      <c r="E100" s="14">
        <f>SUM(E93:E99)</f>
        <v>267</v>
      </c>
      <c r="F100" s="14">
        <f>SUM(F93:F99)</f>
        <v>15</v>
      </c>
      <c r="G100" s="14">
        <f>SUM(G93:G99)</f>
        <v>136</v>
      </c>
      <c r="H100" s="14">
        <f>SUM(H93:H99)</f>
        <v>418</v>
      </c>
      <c r="I100" s="14">
        <f t="shared" ref="I100:S100" si="81">SUM(I93:I99)</f>
        <v>0</v>
      </c>
      <c r="J100" s="14">
        <f t="shared" si="81"/>
        <v>0</v>
      </c>
      <c r="K100" s="14">
        <f t="shared" si="81"/>
        <v>0</v>
      </c>
      <c r="L100" s="14">
        <f t="shared" si="81"/>
        <v>0</v>
      </c>
      <c r="M100" s="14">
        <f t="shared" si="81"/>
        <v>0</v>
      </c>
      <c r="N100" s="14">
        <f t="shared" si="81"/>
        <v>0</v>
      </c>
      <c r="O100" s="14">
        <f t="shared" si="81"/>
        <v>0</v>
      </c>
      <c r="P100" s="14">
        <f t="shared" si="81"/>
        <v>0</v>
      </c>
      <c r="Q100" s="14">
        <f t="shared" si="81"/>
        <v>0</v>
      </c>
      <c r="R100" s="14">
        <f t="shared" si="81"/>
        <v>0</v>
      </c>
      <c r="S100" s="14">
        <f t="shared" si="81"/>
        <v>0</v>
      </c>
      <c r="T100" s="7"/>
      <c r="W100" s="2">
        <v>0</v>
      </c>
      <c r="X100" s="2">
        <v>0</v>
      </c>
      <c r="Y100" s="2">
        <v>0</v>
      </c>
      <c r="Z100" s="2">
        <v>0</v>
      </c>
      <c r="AB100">
        <f>$AB$3-350</f>
        <v>13900</v>
      </c>
      <c r="AC100">
        <f>$AC$3-350</f>
        <v>14700</v>
      </c>
      <c r="AD100">
        <f>$AD$3-300</f>
        <v>11400</v>
      </c>
      <c r="AF100" s="32"/>
      <c r="AG100" s="32"/>
      <c r="AH100" s="32"/>
      <c r="AR100" s="32">
        <f t="shared" si="56"/>
        <v>0</v>
      </c>
      <c r="AS100" s="32">
        <f t="shared" si="57"/>
        <v>0</v>
      </c>
      <c r="AT100" s="32">
        <f t="shared" si="58"/>
        <v>0</v>
      </c>
      <c r="AV100" s="32"/>
      <c r="AW100" s="32"/>
      <c r="AX100" s="32"/>
      <c r="AY100" s="32"/>
      <c r="AZ100" s="32"/>
      <c r="BA100" s="32"/>
    </row>
    <row r="101" s="52" customFormat="1" spans="1:53">
      <c r="A101" s="55" t="s">
        <v>104</v>
      </c>
      <c r="B101" s="43" t="s">
        <v>523</v>
      </c>
      <c r="C101" s="43" t="s">
        <v>158</v>
      </c>
      <c r="D101" s="43" t="s">
        <v>423</v>
      </c>
      <c r="E101" s="12">
        <v>20</v>
      </c>
      <c r="F101" s="12">
        <v>0</v>
      </c>
      <c r="G101" s="12"/>
      <c r="H101" s="56">
        <f t="shared" si="59"/>
        <v>20</v>
      </c>
      <c r="I101" s="61">
        <f t="shared" si="60"/>
        <v>3000</v>
      </c>
      <c r="J101" s="61">
        <f t="shared" si="61"/>
        <v>4000</v>
      </c>
      <c r="K101" s="55"/>
      <c r="L101" s="23">
        <f>E101*AN101+F101*AO101</f>
        <v>3500</v>
      </c>
      <c r="M101" s="61">
        <f t="shared" si="62"/>
        <v>10500</v>
      </c>
      <c r="N101" s="61">
        <f t="shared" si="63"/>
        <v>0</v>
      </c>
      <c r="O101" s="61">
        <f t="shared" si="64"/>
        <v>0</v>
      </c>
      <c r="P101" s="55"/>
      <c r="Q101" s="23">
        <f>G101*AP101</f>
        <v>0</v>
      </c>
      <c r="R101" s="61">
        <f t="shared" si="65"/>
        <v>0</v>
      </c>
      <c r="S101" s="61">
        <f t="shared" si="66"/>
        <v>10500</v>
      </c>
      <c r="T101" s="55"/>
      <c r="W101" s="67">
        <v>13500</v>
      </c>
      <c r="X101" s="67">
        <v>0</v>
      </c>
      <c r="Y101" s="67">
        <v>0</v>
      </c>
      <c r="Z101" s="67">
        <v>0</v>
      </c>
      <c r="AB101" s="52">
        <f>$AB$3-350</f>
        <v>13900</v>
      </c>
      <c r="AC101" s="52">
        <f>$AC$3-350</f>
        <v>14700</v>
      </c>
      <c r="AD101" s="52">
        <f>$AD$3-300</f>
        <v>11400</v>
      </c>
      <c r="AF101" s="69">
        <f t="shared" ref="AF101:AF107" si="82">AB101-W101</f>
        <v>400</v>
      </c>
      <c r="AG101" s="69"/>
      <c r="AH101" s="69"/>
      <c r="AN101" s="52">
        <v>175</v>
      </c>
      <c r="AR101" s="32">
        <f t="shared" si="56"/>
        <v>225</v>
      </c>
      <c r="AS101" s="32">
        <f t="shared" si="57"/>
        <v>0</v>
      </c>
      <c r="AT101" s="32">
        <f t="shared" si="58"/>
        <v>0</v>
      </c>
      <c r="AV101" s="32"/>
      <c r="AW101" s="32"/>
      <c r="AX101" s="32"/>
      <c r="AY101" s="32"/>
      <c r="AZ101" s="32"/>
      <c r="BA101" s="32"/>
    </row>
    <row r="102" spans="1:53">
      <c r="A102" s="7" t="s">
        <v>105</v>
      </c>
      <c r="B102" s="21" t="s">
        <v>524</v>
      </c>
      <c r="C102" s="21" t="s">
        <v>152</v>
      </c>
      <c r="D102" s="21" t="s">
        <v>423</v>
      </c>
      <c r="E102" s="8">
        <v>190</v>
      </c>
      <c r="F102" s="8">
        <v>0</v>
      </c>
      <c r="G102" s="8">
        <v>136</v>
      </c>
      <c r="H102" s="53">
        <f t="shared" si="59"/>
        <v>326</v>
      </c>
      <c r="I102" s="23">
        <f t="shared" si="60"/>
        <v>28500</v>
      </c>
      <c r="J102" s="23">
        <f t="shared" si="61"/>
        <v>38000</v>
      </c>
      <c r="K102" s="7"/>
      <c r="L102" s="23">
        <f>E102*AN102+F102*AO102</f>
        <v>33250</v>
      </c>
      <c r="M102" s="60">
        <f t="shared" si="62"/>
        <v>99750</v>
      </c>
      <c r="N102" s="23">
        <f t="shared" si="63"/>
        <v>20400</v>
      </c>
      <c r="O102" s="23">
        <f t="shared" si="64"/>
        <v>20400</v>
      </c>
      <c r="P102" s="7"/>
      <c r="Q102" s="23">
        <f>G102*AP102</f>
        <v>13600</v>
      </c>
      <c r="R102" s="60">
        <f t="shared" si="65"/>
        <v>54400</v>
      </c>
      <c r="S102" s="23">
        <f t="shared" si="66"/>
        <v>154150</v>
      </c>
      <c r="T102" s="7"/>
      <c r="W102" s="2">
        <v>13650</v>
      </c>
      <c r="X102" s="2">
        <v>0</v>
      </c>
      <c r="Y102" s="2">
        <v>11000</v>
      </c>
      <c r="Z102" s="2"/>
      <c r="AB102">
        <f>$AB$3-350</f>
        <v>13900</v>
      </c>
      <c r="AC102">
        <f>$AC$3-350</f>
        <v>14700</v>
      </c>
      <c r="AD102">
        <f>$AD$3-300</f>
        <v>11400</v>
      </c>
      <c r="AF102" s="32">
        <f t="shared" si="82"/>
        <v>250</v>
      </c>
      <c r="AG102" s="32"/>
      <c r="AH102" s="32">
        <f>AD102-Y102</f>
        <v>400</v>
      </c>
      <c r="AN102">
        <v>175</v>
      </c>
      <c r="AP102">
        <v>100</v>
      </c>
      <c r="AR102" s="32">
        <f t="shared" si="56"/>
        <v>75</v>
      </c>
      <c r="AS102" s="32">
        <f t="shared" si="57"/>
        <v>0</v>
      </c>
      <c r="AT102" s="32">
        <f t="shared" si="58"/>
        <v>300</v>
      </c>
      <c r="AV102" s="32"/>
      <c r="AW102" s="32"/>
      <c r="AX102" s="32"/>
      <c r="AY102" s="32"/>
      <c r="AZ102" s="32"/>
      <c r="BA102" s="32"/>
    </row>
    <row r="103" spans="1:53">
      <c r="A103" s="7" t="s">
        <v>106</v>
      </c>
      <c r="B103" s="21" t="s">
        <v>525</v>
      </c>
      <c r="C103" s="21" t="s">
        <v>152</v>
      </c>
      <c r="D103" s="21" t="s">
        <v>447</v>
      </c>
      <c r="E103" s="8">
        <v>185</v>
      </c>
      <c r="F103" s="8">
        <v>0</v>
      </c>
      <c r="G103" s="8">
        <v>20</v>
      </c>
      <c r="H103" s="53">
        <f t="shared" si="59"/>
        <v>205</v>
      </c>
      <c r="I103" s="23">
        <f t="shared" si="60"/>
        <v>27750</v>
      </c>
      <c r="J103" s="23">
        <f t="shared" si="61"/>
        <v>37000</v>
      </c>
      <c r="K103" s="7"/>
      <c r="L103" s="7"/>
      <c r="M103" s="60">
        <f t="shared" si="62"/>
        <v>64750</v>
      </c>
      <c r="N103" s="23">
        <f t="shared" si="63"/>
        <v>3000</v>
      </c>
      <c r="O103" s="23">
        <f t="shared" si="64"/>
        <v>3000</v>
      </c>
      <c r="P103" s="7"/>
      <c r="Q103" s="7"/>
      <c r="R103" s="60">
        <f t="shared" si="65"/>
        <v>6000</v>
      </c>
      <c r="S103" s="23">
        <f t="shared" si="66"/>
        <v>70750</v>
      </c>
      <c r="T103" s="7"/>
      <c r="W103" s="2">
        <v>13650</v>
      </c>
      <c r="X103" s="2">
        <v>0</v>
      </c>
      <c r="Y103" s="2">
        <v>11000</v>
      </c>
      <c r="Z103" s="2"/>
      <c r="AB103">
        <f t="shared" ref="AB103:AB112" si="83">$AB$3-350</f>
        <v>13900</v>
      </c>
      <c r="AC103">
        <f t="shared" ref="AC103:AC112" si="84">$AC$3-350</f>
        <v>14700</v>
      </c>
      <c r="AD103">
        <f t="shared" ref="AD103:AD112" si="85">$AD$3-300</f>
        <v>11400</v>
      </c>
      <c r="AF103" s="32">
        <f t="shared" si="82"/>
        <v>250</v>
      </c>
      <c r="AG103" s="32"/>
      <c r="AH103" s="32">
        <f>AD103-Y103</f>
        <v>400</v>
      </c>
      <c r="AR103" s="32">
        <f t="shared" si="56"/>
        <v>250</v>
      </c>
      <c r="AS103" s="32">
        <f t="shared" si="57"/>
        <v>0</v>
      </c>
      <c r="AT103" s="32">
        <f t="shared" si="58"/>
        <v>400</v>
      </c>
      <c r="AV103" s="32"/>
      <c r="AW103" s="32"/>
      <c r="AX103" s="32"/>
      <c r="AY103" s="32"/>
      <c r="AZ103" s="32"/>
      <c r="BA103" s="32"/>
    </row>
    <row r="104" spans="1:53">
      <c r="A104" s="7" t="s">
        <v>107</v>
      </c>
      <c r="B104" s="21" t="s">
        <v>526</v>
      </c>
      <c r="C104" s="21" t="s">
        <v>152</v>
      </c>
      <c r="D104" s="21" t="s">
        <v>443</v>
      </c>
      <c r="E104" s="8">
        <v>290</v>
      </c>
      <c r="F104" s="8">
        <v>0</v>
      </c>
      <c r="G104" s="8">
        <v>92</v>
      </c>
      <c r="H104" s="53">
        <f t="shared" si="59"/>
        <v>382</v>
      </c>
      <c r="I104" s="23">
        <f t="shared" si="60"/>
        <v>43500</v>
      </c>
      <c r="J104" s="23">
        <f t="shared" si="61"/>
        <v>58000</v>
      </c>
      <c r="K104" s="23">
        <f>E104*AJ104+F104*AK104</f>
        <v>72500</v>
      </c>
      <c r="L104" s="7"/>
      <c r="M104" s="60">
        <f t="shared" si="62"/>
        <v>174000</v>
      </c>
      <c r="N104" s="23">
        <f t="shared" si="63"/>
        <v>13800</v>
      </c>
      <c r="O104" s="23">
        <f t="shared" si="64"/>
        <v>13800</v>
      </c>
      <c r="P104" s="23">
        <f>G104*AL104</f>
        <v>18400</v>
      </c>
      <c r="Q104" s="7"/>
      <c r="R104" s="60">
        <f t="shared" si="65"/>
        <v>46000</v>
      </c>
      <c r="S104" s="23">
        <f t="shared" si="66"/>
        <v>220000</v>
      </c>
      <c r="T104" s="7"/>
      <c r="W104" s="2">
        <v>13450</v>
      </c>
      <c r="X104" s="2">
        <v>0</v>
      </c>
      <c r="Y104" s="2">
        <v>11000</v>
      </c>
      <c r="Z104" s="2"/>
      <c r="AB104">
        <f t="shared" si="83"/>
        <v>13900</v>
      </c>
      <c r="AC104">
        <f t="shared" si="84"/>
        <v>14700</v>
      </c>
      <c r="AD104">
        <f t="shared" si="85"/>
        <v>11400</v>
      </c>
      <c r="AF104" s="32">
        <f t="shared" si="82"/>
        <v>450</v>
      </c>
      <c r="AG104" s="32"/>
      <c r="AH104" s="32">
        <f>AD104-Y104</f>
        <v>400</v>
      </c>
      <c r="AJ104" s="32">
        <v>250</v>
      </c>
      <c r="AK104" s="32"/>
      <c r="AL104" s="32">
        <v>200</v>
      </c>
      <c r="AR104" s="32">
        <f t="shared" si="56"/>
        <v>200</v>
      </c>
      <c r="AS104" s="32">
        <f t="shared" si="57"/>
        <v>0</v>
      </c>
      <c r="AT104" s="32">
        <f t="shared" si="58"/>
        <v>200</v>
      </c>
      <c r="AV104" s="32"/>
      <c r="AW104" s="32"/>
      <c r="AX104" s="32"/>
      <c r="AY104" s="32"/>
      <c r="AZ104" s="32"/>
      <c r="BA104" s="32"/>
    </row>
    <row r="105" spans="1:53">
      <c r="A105" s="7" t="s">
        <v>108</v>
      </c>
      <c r="B105" s="21" t="s">
        <v>527</v>
      </c>
      <c r="C105" s="21" t="s">
        <v>152</v>
      </c>
      <c r="D105" s="21" t="s">
        <v>447</v>
      </c>
      <c r="E105" s="8">
        <v>10</v>
      </c>
      <c r="F105" s="8">
        <v>0</v>
      </c>
      <c r="G105" s="8">
        <v>20</v>
      </c>
      <c r="H105" s="53">
        <f t="shared" si="59"/>
        <v>30</v>
      </c>
      <c r="I105" s="23">
        <f t="shared" si="60"/>
        <v>1500</v>
      </c>
      <c r="J105" s="23">
        <f t="shared" si="61"/>
        <v>2000</v>
      </c>
      <c r="K105" s="7"/>
      <c r="L105" s="7"/>
      <c r="M105" s="60">
        <f t="shared" si="62"/>
        <v>3500</v>
      </c>
      <c r="N105" s="23">
        <f t="shared" si="63"/>
        <v>3000</v>
      </c>
      <c r="O105" s="23">
        <f t="shared" si="64"/>
        <v>3000</v>
      </c>
      <c r="P105" s="7"/>
      <c r="Q105" s="7"/>
      <c r="R105" s="60">
        <f t="shared" si="65"/>
        <v>6000</v>
      </c>
      <c r="S105" s="23">
        <f t="shared" si="66"/>
        <v>9500</v>
      </c>
      <c r="T105" s="7"/>
      <c r="W105" s="2">
        <v>13450</v>
      </c>
      <c r="X105" s="2">
        <v>0</v>
      </c>
      <c r="Y105" s="2">
        <v>11000</v>
      </c>
      <c r="Z105" s="2"/>
      <c r="AB105">
        <f t="shared" si="83"/>
        <v>13900</v>
      </c>
      <c r="AC105">
        <f t="shared" si="84"/>
        <v>14700</v>
      </c>
      <c r="AD105">
        <f t="shared" si="85"/>
        <v>11400</v>
      </c>
      <c r="AF105" s="32">
        <f t="shared" si="82"/>
        <v>450</v>
      </c>
      <c r="AG105" s="32"/>
      <c r="AH105" s="32">
        <f>AD105-Y105</f>
        <v>400</v>
      </c>
      <c r="AR105" s="32">
        <f t="shared" si="56"/>
        <v>450</v>
      </c>
      <c r="AS105" s="32">
        <f t="shared" si="57"/>
        <v>0</v>
      </c>
      <c r="AT105" s="32">
        <f t="shared" si="58"/>
        <v>400</v>
      </c>
      <c r="AV105" s="32"/>
      <c r="AW105" s="32"/>
      <c r="AX105" s="32"/>
      <c r="AY105" s="32"/>
      <c r="AZ105" s="32"/>
      <c r="BA105" s="32"/>
    </row>
    <row r="106" spans="1:53">
      <c r="A106" s="7" t="s">
        <v>109</v>
      </c>
      <c r="B106" s="21" t="s">
        <v>528</v>
      </c>
      <c r="C106" s="21" t="s">
        <v>152</v>
      </c>
      <c r="D106" s="21" t="s">
        <v>423</v>
      </c>
      <c r="E106" s="8">
        <v>310</v>
      </c>
      <c r="F106" s="8">
        <v>0</v>
      </c>
      <c r="G106" s="8"/>
      <c r="H106" s="53">
        <f t="shared" si="59"/>
        <v>310</v>
      </c>
      <c r="I106" s="23">
        <f t="shared" si="60"/>
        <v>46500</v>
      </c>
      <c r="J106" s="23">
        <f t="shared" si="61"/>
        <v>62000</v>
      </c>
      <c r="K106" s="7"/>
      <c r="L106" s="23">
        <f>E106*AN106+F106*AO106</f>
        <v>54250</v>
      </c>
      <c r="M106" s="60">
        <f t="shared" si="62"/>
        <v>162750</v>
      </c>
      <c r="N106" s="23">
        <f t="shared" si="63"/>
        <v>0</v>
      </c>
      <c r="O106" s="23">
        <f t="shared" si="64"/>
        <v>0</v>
      </c>
      <c r="P106" s="7"/>
      <c r="Q106" s="23">
        <f>G106*AP106</f>
        <v>0</v>
      </c>
      <c r="R106" s="60">
        <f t="shared" si="65"/>
        <v>0</v>
      </c>
      <c r="S106" s="23">
        <f t="shared" si="66"/>
        <v>162750</v>
      </c>
      <c r="T106" s="7"/>
      <c r="W106" s="2">
        <v>13500</v>
      </c>
      <c r="X106" s="2">
        <v>0</v>
      </c>
      <c r="Y106" s="2">
        <v>0</v>
      </c>
      <c r="Z106" s="2"/>
      <c r="AB106">
        <f t="shared" si="83"/>
        <v>13900</v>
      </c>
      <c r="AC106">
        <f t="shared" si="84"/>
        <v>14700</v>
      </c>
      <c r="AD106">
        <f t="shared" si="85"/>
        <v>11400</v>
      </c>
      <c r="AF106" s="32">
        <f t="shared" si="82"/>
        <v>400</v>
      </c>
      <c r="AG106" s="32"/>
      <c r="AH106" s="32"/>
      <c r="AN106">
        <v>175</v>
      </c>
      <c r="AR106" s="32">
        <f t="shared" si="56"/>
        <v>225</v>
      </c>
      <c r="AS106" s="32">
        <f t="shared" si="57"/>
        <v>0</v>
      </c>
      <c r="AT106" s="32">
        <f t="shared" si="58"/>
        <v>0</v>
      </c>
      <c r="AV106" s="32"/>
      <c r="AW106" s="32"/>
      <c r="AX106" s="32"/>
      <c r="AY106" s="32"/>
      <c r="AZ106" s="32"/>
      <c r="BA106" s="32"/>
    </row>
    <row r="107" spans="1:53">
      <c r="A107" s="7" t="s">
        <v>110</v>
      </c>
      <c r="B107" s="21" t="s">
        <v>529</v>
      </c>
      <c r="C107" s="21" t="s">
        <v>152</v>
      </c>
      <c r="D107" s="21" t="s">
        <v>443</v>
      </c>
      <c r="E107" s="8">
        <v>60</v>
      </c>
      <c r="F107" s="8">
        <v>0</v>
      </c>
      <c r="G107" s="8"/>
      <c r="H107" s="53">
        <f t="shared" si="59"/>
        <v>60</v>
      </c>
      <c r="I107" s="23">
        <f t="shared" si="60"/>
        <v>9000</v>
      </c>
      <c r="J107" s="23">
        <f t="shared" si="61"/>
        <v>12000</v>
      </c>
      <c r="K107" s="23">
        <f>E107*AJ107+F107*AK107</f>
        <v>15000</v>
      </c>
      <c r="L107" s="7"/>
      <c r="M107" s="60">
        <f t="shared" si="62"/>
        <v>36000</v>
      </c>
      <c r="N107" s="23">
        <f t="shared" si="63"/>
        <v>0</v>
      </c>
      <c r="O107" s="23">
        <f t="shared" si="64"/>
        <v>0</v>
      </c>
      <c r="P107" s="23">
        <f>G107*AL107</f>
        <v>0</v>
      </c>
      <c r="Q107" s="7"/>
      <c r="R107" s="60">
        <f t="shared" si="65"/>
        <v>0</v>
      </c>
      <c r="S107" s="23">
        <f t="shared" si="66"/>
        <v>36000</v>
      </c>
      <c r="T107" s="7"/>
      <c r="W107" s="2">
        <v>13450</v>
      </c>
      <c r="X107" s="2">
        <v>0</v>
      </c>
      <c r="Y107" s="2">
        <v>11000</v>
      </c>
      <c r="Z107" s="2"/>
      <c r="AB107">
        <f t="shared" si="83"/>
        <v>13900</v>
      </c>
      <c r="AC107">
        <f t="shared" si="84"/>
        <v>14700</v>
      </c>
      <c r="AD107">
        <f t="shared" si="85"/>
        <v>11400</v>
      </c>
      <c r="AF107" s="32">
        <f t="shared" si="82"/>
        <v>450</v>
      </c>
      <c r="AG107" s="32"/>
      <c r="AH107" s="32">
        <f>AD107-Y107</f>
        <v>400</v>
      </c>
      <c r="AJ107" s="32">
        <v>250</v>
      </c>
      <c r="AK107" s="32"/>
      <c r="AL107" s="32">
        <v>200</v>
      </c>
      <c r="AR107" s="32">
        <f t="shared" si="56"/>
        <v>200</v>
      </c>
      <c r="AS107" s="32">
        <f t="shared" si="57"/>
        <v>0</v>
      </c>
      <c r="AT107" s="32">
        <f t="shared" si="58"/>
        <v>200</v>
      </c>
      <c r="AV107" s="32"/>
      <c r="AW107" s="32"/>
      <c r="AX107" s="32"/>
      <c r="AY107" s="32"/>
      <c r="AZ107" s="32"/>
      <c r="BA107" s="32"/>
    </row>
    <row r="108" spans="1:53">
      <c r="A108" s="54" t="s">
        <v>103</v>
      </c>
      <c r="B108" s="21"/>
      <c r="C108" s="21"/>
      <c r="D108" s="21"/>
      <c r="E108" s="14">
        <f>SUM(E101:E107)</f>
        <v>1065</v>
      </c>
      <c r="F108" s="14">
        <f>SUM(F101:F107)</f>
        <v>0</v>
      </c>
      <c r="G108" s="14">
        <f>SUM(G101:G107)</f>
        <v>268</v>
      </c>
      <c r="H108" s="14">
        <f>SUM(H101:H107)</f>
        <v>1333</v>
      </c>
      <c r="I108" s="14">
        <f t="shared" ref="I108:S108" si="86">SUM(I101:I107)</f>
        <v>159750</v>
      </c>
      <c r="J108" s="14">
        <f t="shared" si="86"/>
        <v>213000</v>
      </c>
      <c r="K108" s="14">
        <f t="shared" si="86"/>
        <v>87500</v>
      </c>
      <c r="L108" s="14">
        <f t="shared" si="86"/>
        <v>91000</v>
      </c>
      <c r="M108" s="14">
        <f t="shared" si="86"/>
        <v>551250</v>
      </c>
      <c r="N108" s="14">
        <f t="shared" si="86"/>
        <v>40200</v>
      </c>
      <c r="O108" s="14">
        <f t="shared" si="86"/>
        <v>40200</v>
      </c>
      <c r="P108" s="14">
        <f t="shared" si="86"/>
        <v>18400</v>
      </c>
      <c r="Q108" s="14">
        <f t="shared" si="86"/>
        <v>13600</v>
      </c>
      <c r="R108" s="14">
        <f t="shared" si="86"/>
        <v>112400</v>
      </c>
      <c r="S108" s="14">
        <f t="shared" si="86"/>
        <v>663650</v>
      </c>
      <c r="T108" s="7"/>
      <c r="W108" s="2">
        <v>0</v>
      </c>
      <c r="X108" s="2">
        <v>0</v>
      </c>
      <c r="Y108" s="2">
        <v>0</v>
      </c>
      <c r="Z108" s="2">
        <v>0</v>
      </c>
      <c r="AB108">
        <f t="shared" si="83"/>
        <v>13900</v>
      </c>
      <c r="AC108">
        <f t="shared" si="84"/>
        <v>14700</v>
      </c>
      <c r="AD108">
        <f t="shared" si="85"/>
        <v>11400</v>
      </c>
      <c r="AF108" s="32"/>
      <c r="AG108" s="32"/>
      <c r="AH108" s="32"/>
      <c r="AR108" s="32">
        <f t="shared" si="56"/>
        <v>0</v>
      </c>
      <c r="AS108" s="32">
        <f t="shared" si="57"/>
        <v>0</v>
      </c>
      <c r="AT108" s="32">
        <f t="shared" si="58"/>
        <v>0</v>
      </c>
      <c r="AV108" s="32"/>
      <c r="AW108" s="32"/>
      <c r="AX108" s="32"/>
      <c r="AY108" s="32"/>
      <c r="AZ108" s="32"/>
      <c r="BA108" s="32"/>
    </row>
    <row r="109" spans="1:53">
      <c r="A109" s="7" t="s">
        <v>112</v>
      </c>
      <c r="B109" s="21" t="s">
        <v>530</v>
      </c>
      <c r="C109" s="21" t="s">
        <v>152</v>
      </c>
      <c r="D109" s="21" t="s">
        <v>423</v>
      </c>
      <c r="E109" s="8">
        <v>33</v>
      </c>
      <c r="F109" s="8">
        <v>0</v>
      </c>
      <c r="G109" s="8"/>
      <c r="H109" s="53">
        <f>E109+F109+G109</f>
        <v>33</v>
      </c>
      <c r="I109" s="23">
        <f>E109*$I$2+F109*$I$2</f>
        <v>4950</v>
      </c>
      <c r="J109" s="23">
        <f>E109*$J$2+F109*$J$2</f>
        <v>6600</v>
      </c>
      <c r="K109" s="7"/>
      <c r="L109" s="23">
        <f>E109*AN109+F109*AO109</f>
        <v>5775</v>
      </c>
      <c r="M109" s="60">
        <f>I109+J109+K109+L109</f>
        <v>17325</v>
      </c>
      <c r="N109" s="23">
        <f>G109*$N$2</f>
        <v>0</v>
      </c>
      <c r="O109" s="23">
        <f>G109*$O$2</f>
        <v>0</v>
      </c>
      <c r="P109" s="7"/>
      <c r="Q109" s="23">
        <f>G109*AP109</f>
        <v>0</v>
      </c>
      <c r="R109" s="60">
        <f>N109+O109+P109+Q109</f>
        <v>0</v>
      </c>
      <c r="S109" s="23">
        <f>M109+R109</f>
        <v>17325</v>
      </c>
      <c r="T109" s="7"/>
      <c r="W109" s="2">
        <v>13600</v>
      </c>
      <c r="X109" s="2">
        <v>0</v>
      </c>
      <c r="Y109" s="2">
        <v>0</v>
      </c>
      <c r="Z109" s="2">
        <v>0</v>
      </c>
      <c r="AB109">
        <f t="shared" si="83"/>
        <v>13900</v>
      </c>
      <c r="AC109">
        <f t="shared" si="84"/>
        <v>14700</v>
      </c>
      <c r="AD109">
        <f t="shared" si="85"/>
        <v>11400</v>
      </c>
      <c r="AF109" s="32">
        <f>AB109-W109</f>
        <v>300</v>
      </c>
      <c r="AG109" s="32"/>
      <c r="AH109" s="32"/>
      <c r="AN109">
        <v>175</v>
      </c>
      <c r="AR109" s="32">
        <f t="shared" si="56"/>
        <v>125</v>
      </c>
      <c r="AS109" s="32">
        <f t="shared" si="57"/>
        <v>0</v>
      </c>
      <c r="AT109" s="32">
        <f t="shared" si="58"/>
        <v>0</v>
      </c>
      <c r="AV109" s="32"/>
      <c r="AW109" s="32"/>
      <c r="AX109" s="32"/>
      <c r="AY109" s="32"/>
      <c r="AZ109" s="32"/>
      <c r="BA109" s="32"/>
    </row>
    <row r="110" s="52" customFormat="1" spans="1:53">
      <c r="A110" s="55" t="s">
        <v>113</v>
      </c>
      <c r="B110" s="43" t="s">
        <v>531</v>
      </c>
      <c r="C110" s="43" t="s">
        <v>152</v>
      </c>
      <c r="D110" s="43" t="s">
        <v>423</v>
      </c>
      <c r="E110" s="12">
        <v>36</v>
      </c>
      <c r="F110" s="12">
        <v>2</v>
      </c>
      <c r="G110" s="12">
        <v>20</v>
      </c>
      <c r="H110" s="56">
        <f>E110+F110+G110</f>
        <v>58</v>
      </c>
      <c r="I110" s="61">
        <f>E110*$I$2+F110*$I$2</f>
        <v>5700</v>
      </c>
      <c r="J110" s="61">
        <f>E110*$J$2+F110*$J$2</f>
        <v>7600</v>
      </c>
      <c r="K110" s="55"/>
      <c r="L110" s="23">
        <f>E110*AN110+F110*AO110</f>
        <v>6650</v>
      </c>
      <c r="M110" s="61">
        <f>I110+J110+K110+L110</f>
        <v>19950</v>
      </c>
      <c r="N110" s="61">
        <f>G110*$N$2</f>
        <v>3000</v>
      </c>
      <c r="O110" s="61">
        <f>G110*$O$2</f>
        <v>3000</v>
      </c>
      <c r="P110" s="55"/>
      <c r="Q110" s="23">
        <f>G110*AP110</f>
        <v>2000</v>
      </c>
      <c r="R110" s="61">
        <f>N110+O110+P110+Q110</f>
        <v>8000</v>
      </c>
      <c r="S110" s="61">
        <f>M110+R110</f>
        <v>27950</v>
      </c>
      <c r="T110" s="55"/>
      <c r="W110" s="67">
        <v>13425</v>
      </c>
      <c r="X110" s="67">
        <v>14300</v>
      </c>
      <c r="Y110" s="2">
        <v>11000</v>
      </c>
      <c r="Z110" s="67">
        <v>0</v>
      </c>
      <c r="AB110" s="52">
        <f t="shared" si="83"/>
        <v>13900</v>
      </c>
      <c r="AC110" s="52">
        <f t="shared" si="84"/>
        <v>14700</v>
      </c>
      <c r="AD110" s="52">
        <f t="shared" si="85"/>
        <v>11400</v>
      </c>
      <c r="AF110" s="69">
        <f>AB110-W110</f>
        <v>475</v>
      </c>
      <c r="AG110" s="69">
        <f>AC110-X110</f>
        <v>400</v>
      </c>
      <c r="AH110" s="69">
        <f>AD110-Y110</f>
        <v>400</v>
      </c>
      <c r="AN110" s="52">
        <v>175</v>
      </c>
      <c r="AO110" s="52">
        <v>175</v>
      </c>
      <c r="AP110" s="52">
        <v>100</v>
      </c>
      <c r="AR110" s="32">
        <f t="shared" si="56"/>
        <v>300</v>
      </c>
      <c r="AS110" s="32">
        <f t="shared" si="57"/>
        <v>225</v>
      </c>
      <c r="AT110" s="32">
        <f t="shared" si="58"/>
        <v>300</v>
      </c>
      <c r="AV110" s="32"/>
      <c r="AW110" s="32"/>
      <c r="AX110" s="32"/>
      <c r="AY110" s="32"/>
      <c r="AZ110" s="32"/>
      <c r="BA110" s="32"/>
    </row>
    <row r="111" spans="1:53">
      <c r="A111" s="7" t="s">
        <v>114</v>
      </c>
      <c r="B111" s="21" t="s">
        <v>532</v>
      </c>
      <c r="C111" s="21" t="s">
        <v>152</v>
      </c>
      <c r="D111" s="21" t="s">
        <v>423</v>
      </c>
      <c r="E111" s="8">
        <v>0</v>
      </c>
      <c r="F111" s="8">
        <v>0</v>
      </c>
      <c r="G111" s="8">
        <v>104</v>
      </c>
      <c r="H111" s="53">
        <f>E111+F111+G111</f>
        <v>104</v>
      </c>
      <c r="I111" s="23">
        <f>E111*$I$2+F111*$I$2</f>
        <v>0</v>
      </c>
      <c r="J111" s="23">
        <f>E111*$J$2+F111*$J$2</f>
        <v>0</v>
      </c>
      <c r="K111" s="7"/>
      <c r="L111" s="23">
        <f>E111*AN111+F111*AO111</f>
        <v>0</v>
      </c>
      <c r="M111" s="60">
        <f>I111+J111+K111+L111</f>
        <v>0</v>
      </c>
      <c r="N111" s="23">
        <f>G111*$N$2</f>
        <v>15600</v>
      </c>
      <c r="O111" s="23">
        <f>G111*$O$2</f>
        <v>15600</v>
      </c>
      <c r="P111" s="7"/>
      <c r="Q111" s="23">
        <f>G111*AP111</f>
        <v>10400</v>
      </c>
      <c r="R111" s="60">
        <f>N111+O111+P111+Q111</f>
        <v>41600</v>
      </c>
      <c r="S111" s="23">
        <f>M111+R111</f>
        <v>41600</v>
      </c>
      <c r="T111" s="7"/>
      <c r="W111" s="2">
        <v>0</v>
      </c>
      <c r="X111" s="2">
        <v>0</v>
      </c>
      <c r="Y111" s="2">
        <v>7600</v>
      </c>
      <c r="Z111" s="2"/>
      <c r="AB111">
        <f t="shared" si="83"/>
        <v>13900</v>
      </c>
      <c r="AC111">
        <f t="shared" si="84"/>
        <v>14700</v>
      </c>
      <c r="AD111">
        <v>8200</v>
      </c>
      <c r="AF111" s="32"/>
      <c r="AG111" s="32"/>
      <c r="AH111" s="32">
        <f>AD111-Y111</f>
        <v>600</v>
      </c>
      <c r="AP111">
        <v>100</v>
      </c>
      <c r="AR111" s="32">
        <f t="shared" si="56"/>
        <v>0</v>
      </c>
      <c r="AS111" s="32">
        <f t="shared" si="57"/>
        <v>0</v>
      </c>
      <c r="AT111" s="32">
        <f t="shared" si="58"/>
        <v>500</v>
      </c>
      <c r="AV111" s="32"/>
      <c r="AW111" s="32"/>
      <c r="AX111" s="32"/>
      <c r="AY111" s="32"/>
      <c r="AZ111" s="32"/>
      <c r="BA111" s="32"/>
    </row>
    <row r="112" spans="1:26">
      <c r="A112" s="54" t="s">
        <v>111</v>
      </c>
      <c r="B112" s="54"/>
      <c r="C112" s="54"/>
      <c r="D112" s="54"/>
      <c r="E112" s="14">
        <f>SUM(E109:E111)</f>
        <v>69</v>
      </c>
      <c r="F112" s="14">
        <f>SUM(F109:F111)</f>
        <v>2</v>
      </c>
      <c r="G112" s="72">
        <f>SUM(G109:G111)</f>
        <v>124</v>
      </c>
      <c r="H112" s="14">
        <f>SUM(H109:H111)</f>
        <v>195</v>
      </c>
      <c r="I112" s="14">
        <f t="shared" ref="I112:S112" si="87">SUM(I109:I111)</f>
        <v>10650</v>
      </c>
      <c r="J112" s="14">
        <f t="shared" si="87"/>
        <v>14200</v>
      </c>
      <c r="K112" s="14">
        <f t="shared" si="87"/>
        <v>0</v>
      </c>
      <c r="L112" s="14">
        <f t="shared" si="87"/>
        <v>12425</v>
      </c>
      <c r="M112" s="14">
        <f t="shared" si="87"/>
        <v>37275</v>
      </c>
      <c r="N112" s="14">
        <f t="shared" si="87"/>
        <v>18600</v>
      </c>
      <c r="O112" s="14">
        <f t="shared" si="87"/>
        <v>18600</v>
      </c>
      <c r="P112" s="14">
        <f t="shared" si="87"/>
        <v>0</v>
      </c>
      <c r="Q112" s="14">
        <f t="shared" si="87"/>
        <v>12400</v>
      </c>
      <c r="R112" s="14">
        <f t="shared" si="87"/>
        <v>49600</v>
      </c>
      <c r="S112" s="14">
        <f t="shared" si="87"/>
        <v>86875</v>
      </c>
      <c r="T112" s="7"/>
      <c r="W112" s="2">
        <v>0</v>
      </c>
      <c r="X112" s="2">
        <v>0</v>
      </c>
      <c r="Y112" s="2">
        <v>0</v>
      </c>
      <c r="Z112" s="2">
        <v>0</v>
      </c>
    </row>
    <row r="113" spans="1:20">
      <c r="A113" s="71" t="s">
        <v>6</v>
      </c>
      <c r="B113" s="71"/>
      <c r="C113" s="71"/>
      <c r="D113" s="71"/>
      <c r="E113" s="73">
        <f>E112+E108+E100+E92+E88+E83+E80+E77+E70+E68+E62+E46+E40+E35+E25+E17+E12+E7</f>
        <v>6071</v>
      </c>
      <c r="F113" s="73">
        <f>F112+F108+F100+F92+F88+F83+F80+F77+F70+F68+F62+F46+F40+F35+F25+F17+F12+F7</f>
        <v>122</v>
      </c>
      <c r="G113" s="73">
        <f>G112+G108+G100+G92+G88+G83+G80+G77+G70+G68+G62+G46+G40+G35+G25+G17+G12+G7</f>
        <v>2456</v>
      </c>
      <c r="H113" s="36">
        <f>H112+H108+H100+H92+H88+H83+H80+H77+H70+H68+H62+H46+H40+H35+H25+H17+H12+H7</f>
        <v>8649</v>
      </c>
      <c r="I113" s="36">
        <f t="shared" ref="I113:S113" si="88">I112+I108+I100+I92+I88+I83+I80+I77+I70+I68+I62+I46+I40+I35+I25+I17+I12+I7</f>
        <v>886650</v>
      </c>
      <c r="J113" s="36">
        <f t="shared" si="88"/>
        <v>1182200</v>
      </c>
      <c r="K113" s="36">
        <f t="shared" si="88"/>
        <v>548750</v>
      </c>
      <c r="L113" s="36">
        <f t="shared" si="88"/>
        <v>303275</v>
      </c>
      <c r="M113" s="36">
        <f t="shared" si="88"/>
        <v>2920875</v>
      </c>
      <c r="N113" s="36">
        <f t="shared" si="88"/>
        <v>346800</v>
      </c>
      <c r="O113" s="36">
        <f t="shared" si="88"/>
        <v>346800</v>
      </c>
      <c r="P113" s="36">
        <f t="shared" si="88"/>
        <v>154200</v>
      </c>
      <c r="Q113" s="36">
        <f t="shared" si="88"/>
        <v>93200</v>
      </c>
      <c r="R113" s="36">
        <f t="shared" si="88"/>
        <v>941000</v>
      </c>
      <c r="S113" s="36">
        <f t="shared" si="88"/>
        <v>3861875</v>
      </c>
      <c r="T113" s="7"/>
    </row>
    <row r="118" spans="18:19">
      <c r="R118" t="s">
        <v>533</v>
      </c>
      <c r="S118" s="82">
        <f>S113+'S.P ET &amp; TRB'!S113+Conversion!N79+Solar!Q19+IPS!N31+'PC-CV'!T40</f>
        <v>18216529.1394541</v>
      </c>
    </row>
    <row r="119" spans="6:7">
      <c r="F119" s="2">
        <f>E113+F113</f>
        <v>6193</v>
      </c>
      <c r="G119" s="2">
        <f>F119*350</f>
        <v>2167550</v>
      </c>
    </row>
    <row r="120" spans="7:7">
      <c r="G120" s="2">
        <f>G113*300</f>
        <v>736800</v>
      </c>
    </row>
    <row r="121" spans="7:7">
      <c r="G121" s="2">
        <f>G120+G119</f>
        <v>2904350</v>
      </c>
    </row>
  </sheetData>
  <autoFilter ref="A4:BA113">
    <extLst/>
  </autoFilter>
  <mergeCells count="8">
    <mergeCell ref="AB2:AD2"/>
    <mergeCell ref="AF2:AH2"/>
    <mergeCell ref="I3:M3"/>
    <mergeCell ref="N3:R3"/>
    <mergeCell ref="W3:Z3"/>
    <mergeCell ref="AJ3:AL3"/>
    <mergeCell ref="AN3:AP3"/>
    <mergeCell ref="AR3:AT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A113"/>
  <sheetViews>
    <sheetView workbookViewId="0">
      <pane xSplit="3" ySplit="4" topLeftCell="D89" activePane="bottomRight" state="frozen"/>
      <selection/>
      <selection pane="topRight"/>
      <selection pane="bottomLeft"/>
      <selection pane="bottomRight" activeCell="S5" sqref="S5:S111"/>
    </sheetView>
  </sheetViews>
  <sheetFormatPr defaultColWidth="8.88888888888889" defaultRowHeight="14.4"/>
  <cols>
    <col min="1" max="1" width="44.4444444444444" customWidth="1"/>
    <col min="2" max="2" width="9.44444444444444" customWidth="1"/>
    <col min="3" max="3" width="6.11111111111111" customWidth="1"/>
    <col min="4" max="4" width="9.44444444444444" customWidth="1"/>
    <col min="5" max="6" width="16.8888888888889" style="2" customWidth="1"/>
    <col min="7" max="8" width="11.4444444444444" style="2" customWidth="1"/>
    <col min="9" max="11" width="10.6666666666667" customWidth="1"/>
    <col min="12" max="12" width="13.4444444444444" hidden="1" customWidth="1"/>
    <col min="13" max="13" width="13.7777777777778" hidden="1" customWidth="1"/>
    <col min="14" max="14" width="12.3333333333333" hidden="1" customWidth="1"/>
    <col min="15" max="16" width="10.6666666666667" hidden="1" customWidth="1"/>
    <col min="17" max="17" width="12.4444444444444" hidden="1" customWidth="1"/>
    <col min="18" max="18" width="12.6666666666667" hidden="1" customWidth="1"/>
    <col min="19" max="19" width="12.3333333333333" customWidth="1"/>
    <col min="20" max="20" width="13.2222222222222" customWidth="1"/>
    <col min="23" max="24" width="12" customWidth="1"/>
    <col min="25" max="25" width="10.1111111111111" customWidth="1"/>
    <col min="26" max="26" width="15.5555555555556" customWidth="1"/>
    <col min="29" max="29" width="11.1111111111111" customWidth="1"/>
    <col min="30" max="30" width="10.8888888888889" customWidth="1"/>
    <col min="32" max="34" width="10.6666666666667" customWidth="1"/>
    <col min="36" max="37" width="10.8888888888889" customWidth="1"/>
  </cols>
  <sheetData>
    <row r="2" ht="15.15" spans="9:42">
      <c r="I2" s="16"/>
      <c r="J2" s="16"/>
      <c r="K2" s="1"/>
      <c r="L2" s="1">
        <v>175</v>
      </c>
      <c r="M2" s="1"/>
      <c r="N2">
        <v>150</v>
      </c>
      <c r="O2">
        <v>150</v>
      </c>
      <c r="P2">
        <v>200</v>
      </c>
      <c r="Q2">
        <v>100</v>
      </c>
      <c r="AB2" s="16" t="s">
        <v>418</v>
      </c>
      <c r="AC2" s="16"/>
      <c r="AD2" s="16"/>
      <c r="AF2" s="16" t="s">
        <v>419</v>
      </c>
      <c r="AG2" s="16"/>
      <c r="AH2" s="16"/>
      <c r="AJ2" s="16">
        <v>250</v>
      </c>
      <c r="AK2" s="16">
        <v>250</v>
      </c>
      <c r="AL2" s="16">
        <v>200</v>
      </c>
      <c r="AN2">
        <v>175</v>
      </c>
      <c r="AO2">
        <v>175</v>
      </c>
      <c r="AP2">
        <v>100</v>
      </c>
    </row>
    <row r="3" spans="9:46">
      <c r="I3" s="57" t="s">
        <v>4</v>
      </c>
      <c r="J3" s="58"/>
      <c r="K3" s="58"/>
      <c r="L3" s="58"/>
      <c r="M3" s="59"/>
      <c r="N3" s="57" t="s">
        <v>420</v>
      </c>
      <c r="O3" s="58"/>
      <c r="P3" s="58"/>
      <c r="Q3" s="58"/>
      <c r="R3" s="59"/>
      <c r="S3" s="62"/>
      <c r="T3" s="63"/>
      <c r="W3" s="64" t="s">
        <v>421</v>
      </c>
      <c r="X3" s="64"/>
      <c r="Y3" s="64"/>
      <c r="Z3" s="64"/>
      <c r="AB3">
        <v>14250</v>
      </c>
      <c r="AC3">
        <v>15050</v>
      </c>
      <c r="AD3">
        <v>11700</v>
      </c>
      <c r="AJ3" s="70" t="s">
        <v>422</v>
      </c>
      <c r="AK3" s="70"/>
      <c r="AL3" s="70"/>
      <c r="AN3" s="71" t="s">
        <v>423</v>
      </c>
      <c r="AO3" s="71"/>
      <c r="AP3" s="71"/>
      <c r="AR3" s="16" t="s">
        <v>424</v>
      </c>
      <c r="AS3" s="16"/>
      <c r="AT3" s="16"/>
    </row>
    <row r="4" ht="28.8" spans="1:46">
      <c r="A4" s="3" t="s">
        <v>3</v>
      </c>
      <c r="B4" s="4" t="s">
        <v>425</v>
      </c>
      <c r="C4" s="5" t="s">
        <v>426</v>
      </c>
      <c r="D4" s="5" t="s">
        <v>427</v>
      </c>
      <c r="E4" s="45" t="s">
        <v>428</v>
      </c>
      <c r="F4" s="45" t="s">
        <v>429</v>
      </c>
      <c r="G4" s="45" t="s">
        <v>5</v>
      </c>
      <c r="H4" s="53" t="s">
        <v>6</v>
      </c>
      <c r="I4" s="3" t="s">
        <v>4</v>
      </c>
      <c r="J4" s="3" t="s">
        <v>534</v>
      </c>
      <c r="K4" s="45" t="s">
        <v>420</v>
      </c>
      <c r="L4" s="45" t="s">
        <v>432</v>
      </c>
      <c r="M4" s="33" t="s">
        <v>433</v>
      </c>
      <c r="N4" s="3" t="s">
        <v>430</v>
      </c>
      <c r="O4" s="3" t="s">
        <v>431</v>
      </c>
      <c r="P4" s="3" t="s">
        <v>422</v>
      </c>
      <c r="Q4" s="3" t="s">
        <v>432</v>
      </c>
      <c r="R4" s="33" t="s">
        <v>434</v>
      </c>
      <c r="S4" s="65" t="s">
        <v>535</v>
      </c>
      <c r="T4" s="66" t="s">
        <v>436</v>
      </c>
      <c r="W4" s="66" t="s">
        <v>437</v>
      </c>
      <c r="X4" s="66" t="s">
        <v>438</v>
      </c>
      <c r="Y4" s="68" t="s">
        <v>5</v>
      </c>
      <c r="Z4" s="68" t="s">
        <v>439</v>
      </c>
      <c r="AB4" s="66" t="s">
        <v>437</v>
      </c>
      <c r="AC4" s="66" t="s">
        <v>438</v>
      </c>
      <c r="AD4" s="68" t="s">
        <v>5</v>
      </c>
      <c r="AF4" s="66" t="s">
        <v>437</v>
      </c>
      <c r="AG4" s="66" t="s">
        <v>438</v>
      </c>
      <c r="AH4" s="68" t="s">
        <v>5</v>
      </c>
      <c r="AJ4" s="16" t="s">
        <v>4</v>
      </c>
      <c r="AK4" s="16" t="s">
        <v>440</v>
      </c>
      <c r="AL4" s="16" t="s">
        <v>420</v>
      </c>
      <c r="AN4" s="16" t="s">
        <v>4</v>
      </c>
      <c r="AO4" s="16" t="s">
        <v>440</v>
      </c>
      <c r="AP4" s="16" t="s">
        <v>420</v>
      </c>
      <c r="AR4" s="16" t="s">
        <v>4</v>
      </c>
      <c r="AS4" s="16" t="s">
        <v>440</v>
      </c>
      <c r="AT4" s="16" t="s">
        <v>420</v>
      </c>
    </row>
    <row r="5" spans="1:53">
      <c r="A5" s="7" t="s">
        <v>8</v>
      </c>
      <c r="B5" s="21" t="s">
        <v>441</v>
      </c>
      <c r="C5" s="21" t="s">
        <v>152</v>
      </c>
      <c r="D5" s="21" t="s">
        <v>423</v>
      </c>
      <c r="E5" s="8">
        <v>148</v>
      </c>
      <c r="F5" s="8">
        <v>46</v>
      </c>
      <c r="G5" s="8">
        <v>28</v>
      </c>
      <c r="H5" s="53">
        <f t="shared" ref="H5:H11" si="0">E5+F5+G5</f>
        <v>222</v>
      </c>
      <c r="I5" s="23">
        <f>E5*AR5</f>
        <v>136900</v>
      </c>
      <c r="J5" s="23">
        <f>F5*AS5</f>
        <v>42550</v>
      </c>
      <c r="K5" s="23">
        <f>G5*AT5</f>
        <v>25200</v>
      </c>
      <c r="L5" s="23"/>
      <c r="M5" s="60">
        <f t="shared" ref="M5:M11" si="1">I5+J5+K5+L5</f>
        <v>204650</v>
      </c>
      <c r="N5" s="23"/>
      <c r="O5" s="23"/>
      <c r="P5" s="7"/>
      <c r="Q5" s="23"/>
      <c r="R5" s="60">
        <f t="shared" ref="R5:R11" si="2">N5+O5+P5+Q5</f>
        <v>0</v>
      </c>
      <c r="S5" s="23">
        <f t="shared" ref="S5:S11" si="3">M5+R5</f>
        <v>204650</v>
      </c>
      <c r="T5" s="7"/>
      <c r="W5" s="2">
        <v>12800</v>
      </c>
      <c r="X5" s="2">
        <v>13600</v>
      </c>
      <c r="Y5" s="2">
        <v>10400</v>
      </c>
      <c r="Z5" s="2">
        <v>0</v>
      </c>
      <c r="AB5">
        <f>$AB$3-350</f>
        <v>13900</v>
      </c>
      <c r="AC5">
        <f>$AC$3-350</f>
        <v>14700</v>
      </c>
      <c r="AD5">
        <f>$AD$3-300</f>
        <v>11400</v>
      </c>
      <c r="AF5" s="32">
        <f t="shared" ref="AF5:AH5" si="4">AB5-W5</f>
        <v>1100</v>
      </c>
      <c r="AG5" s="32">
        <f t="shared" si="4"/>
        <v>1100</v>
      </c>
      <c r="AH5" s="32">
        <f t="shared" si="4"/>
        <v>1000</v>
      </c>
      <c r="AN5">
        <v>175</v>
      </c>
      <c r="AO5">
        <v>175</v>
      </c>
      <c r="AP5">
        <v>100</v>
      </c>
      <c r="AR5" s="32">
        <f t="shared" ref="AR5:AT5" si="5">AF5-AJ5-AN5</f>
        <v>925</v>
      </c>
      <c r="AS5" s="32">
        <f t="shared" si="5"/>
        <v>925</v>
      </c>
      <c r="AT5" s="32">
        <f t="shared" si="5"/>
        <v>900</v>
      </c>
      <c r="AV5" s="32"/>
      <c r="AW5" s="32"/>
      <c r="AX5" s="32"/>
      <c r="AY5" s="32"/>
      <c r="AZ5" s="32"/>
      <c r="BA5" s="32"/>
    </row>
    <row r="6" spans="1:53">
      <c r="A6" s="7" t="s">
        <v>9</v>
      </c>
      <c r="B6" s="21" t="s">
        <v>442</v>
      </c>
      <c r="C6" s="21" t="s">
        <v>152</v>
      </c>
      <c r="D6" s="21" t="s">
        <v>443</v>
      </c>
      <c r="E6" s="8">
        <v>8</v>
      </c>
      <c r="F6" s="8">
        <v>0</v>
      </c>
      <c r="G6" s="8"/>
      <c r="H6" s="53">
        <f t="shared" si="0"/>
        <v>8</v>
      </c>
      <c r="I6" s="23">
        <f t="shared" ref="I6:I37" si="6">E6*AR6</f>
        <v>1200</v>
      </c>
      <c r="J6" s="23">
        <f t="shared" ref="J6:J37" si="7">F6*AS6</f>
        <v>0</v>
      </c>
      <c r="K6" s="23">
        <f t="shared" ref="K6:K37" si="8">G6*AT6</f>
        <v>0</v>
      </c>
      <c r="L6" s="7"/>
      <c r="M6" s="60">
        <f t="shared" si="1"/>
        <v>1200</v>
      </c>
      <c r="N6" s="23"/>
      <c r="O6" s="23"/>
      <c r="P6" s="23"/>
      <c r="Q6" s="7"/>
      <c r="R6" s="60">
        <f t="shared" si="2"/>
        <v>0</v>
      </c>
      <c r="S6" s="23">
        <f t="shared" si="3"/>
        <v>1200</v>
      </c>
      <c r="T6" s="7"/>
      <c r="W6" s="2">
        <v>13500</v>
      </c>
      <c r="X6" s="2">
        <v>0</v>
      </c>
      <c r="Y6" s="2">
        <v>0</v>
      </c>
      <c r="Z6" s="2">
        <v>0</v>
      </c>
      <c r="AB6">
        <f>$AB$3-350</f>
        <v>13900</v>
      </c>
      <c r="AC6">
        <f>$AC$3-350</f>
        <v>14700</v>
      </c>
      <c r="AD6">
        <f>$AD$3-300</f>
        <v>11400</v>
      </c>
      <c r="AF6" s="32">
        <f t="shared" ref="AF6:AF11" si="9">AB6-W6</f>
        <v>400</v>
      </c>
      <c r="AG6" s="32"/>
      <c r="AH6" s="32"/>
      <c r="AJ6" s="32">
        <v>250</v>
      </c>
      <c r="AK6" s="32"/>
      <c r="AL6" s="32"/>
      <c r="AR6" s="32">
        <f t="shared" ref="AR6:AT6" si="10">AF6-AJ6-AN6</f>
        <v>150</v>
      </c>
      <c r="AS6" s="32">
        <f t="shared" si="10"/>
        <v>0</v>
      </c>
      <c r="AT6" s="32">
        <f t="shared" si="10"/>
        <v>0</v>
      </c>
      <c r="AV6" s="32"/>
      <c r="AW6" s="32"/>
      <c r="AX6" s="32"/>
      <c r="AY6" s="32"/>
      <c r="AZ6" s="32"/>
      <c r="BA6" s="32"/>
    </row>
    <row r="7" spans="1:53">
      <c r="A7" s="54" t="s">
        <v>7</v>
      </c>
      <c r="B7" s="21"/>
      <c r="C7" s="21"/>
      <c r="D7" s="21"/>
      <c r="E7" s="14">
        <f t="shared" ref="E7:S7" si="11">SUM(E5:E6)</f>
        <v>156</v>
      </c>
      <c r="F7" s="14">
        <f t="shared" si="11"/>
        <v>46</v>
      </c>
      <c r="G7" s="14">
        <f t="shared" si="11"/>
        <v>28</v>
      </c>
      <c r="H7" s="14">
        <f t="shared" si="11"/>
        <v>230</v>
      </c>
      <c r="I7" s="14">
        <f t="shared" si="11"/>
        <v>138100</v>
      </c>
      <c r="J7" s="14">
        <f t="shared" si="11"/>
        <v>42550</v>
      </c>
      <c r="K7" s="14">
        <f t="shared" si="11"/>
        <v>25200</v>
      </c>
      <c r="L7" s="14">
        <f t="shared" si="11"/>
        <v>0</v>
      </c>
      <c r="M7" s="14">
        <f t="shared" si="11"/>
        <v>205850</v>
      </c>
      <c r="N7" s="14">
        <f t="shared" si="11"/>
        <v>0</v>
      </c>
      <c r="O7" s="14">
        <f t="shared" si="11"/>
        <v>0</v>
      </c>
      <c r="P7" s="14">
        <f t="shared" si="11"/>
        <v>0</v>
      </c>
      <c r="Q7" s="14">
        <f t="shared" si="11"/>
        <v>0</v>
      </c>
      <c r="R7" s="14">
        <f t="shared" si="11"/>
        <v>0</v>
      </c>
      <c r="S7" s="14">
        <f t="shared" si="11"/>
        <v>205850</v>
      </c>
      <c r="T7" s="7"/>
      <c r="W7" s="2">
        <v>0</v>
      </c>
      <c r="X7" s="2">
        <v>0</v>
      </c>
      <c r="Y7" s="2">
        <v>0</v>
      </c>
      <c r="Z7" s="2">
        <v>0</v>
      </c>
      <c r="AB7">
        <f>$AB$3-350</f>
        <v>13900</v>
      </c>
      <c r="AC7">
        <f>$AC$3-350</f>
        <v>14700</v>
      </c>
      <c r="AD7">
        <f>$AD$3-300</f>
        <v>11400</v>
      </c>
      <c r="AF7" s="32"/>
      <c r="AG7" s="32"/>
      <c r="AH7" s="32"/>
      <c r="AR7" s="32">
        <f t="shared" ref="AR7:AT7" si="12">AF7-AJ7-AN7</f>
        <v>0</v>
      </c>
      <c r="AS7" s="32">
        <f t="shared" si="12"/>
        <v>0</v>
      </c>
      <c r="AT7" s="32">
        <f t="shared" si="12"/>
        <v>0</v>
      </c>
      <c r="AV7" s="32"/>
      <c r="AW7" s="32"/>
      <c r="AX7" s="32"/>
      <c r="AY7" s="32"/>
      <c r="AZ7" s="32"/>
      <c r="BA7" s="32"/>
    </row>
    <row r="8" spans="1:53">
      <c r="A8" s="7" t="s">
        <v>11</v>
      </c>
      <c r="B8" s="21" t="s">
        <v>444</v>
      </c>
      <c r="C8" s="21" t="s">
        <v>152</v>
      </c>
      <c r="D8" s="21" t="s">
        <v>443</v>
      </c>
      <c r="E8" s="8">
        <v>0</v>
      </c>
      <c r="F8" s="8">
        <v>5</v>
      </c>
      <c r="G8" s="8"/>
      <c r="H8" s="53">
        <f t="shared" si="0"/>
        <v>5</v>
      </c>
      <c r="I8" s="23">
        <f t="shared" si="6"/>
        <v>0</v>
      </c>
      <c r="J8" s="23">
        <f t="shared" si="7"/>
        <v>3250</v>
      </c>
      <c r="K8" s="23">
        <f t="shared" si="8"/>
        <v>0</v>
      </c>
      <c r="L8" s="7"/>
      <c r="M8" s="60">
        <f t="shared" si="1"/>
        <v>3250</v>
      </c>
      <c r="N8" s="23"/>
      <c r="O8" s="23"/>
      <c r="P8" s="23"/>
      <c r="Q8" s="7"/>
      <c r="R8" s="60">
        <f t="shared" si="2"/>
        <v>0</v>
      </c>
      <c r="S8" s="23">
        <f t="shared" si="3"/>
        <v>3250</v>
      </c>
      <c r="T8" s="7"/>
      <c r="W8" s="2">
        <v>0</v>
      </c>
      <c r="X8" s="2">
        <v>13800</v>
      </c>
      <c r="Y8" s="2">
        <v>0</v>
      </c>
      <c r="Z8" s="2">
        <v>0</v>
      </c>
      <c r="AB8">
        <f>$AB$3-350</f>
        <v>13900</v>
      </c>
      <c r="AC8">
        <f>$AC$3-350</f>
        <v>14700</v>
      </c>
      <c r="AD8">
        <f>$AD$3-300</f>
        <v>11400</v>
      </c>
      <c r="AF8" s="32"/>
      <c r="AG8" s="32">
        <f>AC8-X8</f>
        <v>900</v>
      </c>
      <c r="AH8" s="32"/>
      <c r="AJ8" s="32"/>
      <c r="AK8" s="32">
        <v>250</v>
      </c>
      <c r="AL8" s="32"/>
      <c r="AR8" s="32">
        <f t="shared" ref="AR8:AT8" si="13">AF8-AJ8-AN8</f>
        <v>0</v>
      </c>
      <c r="AS8" s="32">
        <f t="shared" si="13"/>
        <v>650</v>
      </c>
      <c r="AT8" s="32">
        <f t="shared" si="13"/>
        <v>0</v>
      </c>
      <c r="AV8" s="32"/>
      <c r="AW8" s="32"/>
      <c r="AX8" s="32"/>
      <c r="AY8" s="32"/>
      <c r="AZ8" s="32"/>
      <c r="BA8" s="32"/>
    </row>
    <row r="9" spans="1:53">
      <c r="A9" s="7" t="s">
        <v>12</v>
      </c>
      <c r="B9" s="21" t="s">
        <v>445</v>
      </c>
      <c r="C9" s="21" t="s">
        <v>152</v>
      </c>
      <c r="D9" s="21" t="s">
        <v>423</v>
      </c>
      <c r="E9" s="8">
        <v>80</v>
      </c>
      <c r="F9" s="8">
        <v>5</v>
      </c>
      <c r="G9" s="8">
        <v>56</v>
      </c>
      <c r="H9" s="53">
        <f t="shared" si="0"/>
        <v>141</v>
      </c>
      <c r="I9" s="23">
        <f t="shared" si="6"/>
        <v>54000</v>
      </c>
      <c r="J9" s="23">
        <f t="shared" si="7"/>
        <v>5125</v>
      </c>
      <c r="K9" s="23">
        <f t="shared" si="8"/>
        <v>39200</v>
      </c>
      <c r="L9" s="23"/>
      <c r="M9" s="60">
        <f t="shared" si="1"/>
        <v>98325</v>
      </c>
      <c r="N9" s="23"/>
      <c r="O9" s="23"/>
      <c r="P9" s="7"/>
      <c r="Q9" s="23"/>
      <c r="R9" s="60">
        <f t="shared" si="2"/>
        <v>0</v>
      </c>
      <c r="S9" s="23">
        <f t="shared" si="3"/>
        <v>98325</v>
      </c>
      <c r="T9" s="7"/>
      <c r="W9" s="2">
        <v>13050</v>
      </c>
      <c r="X9" s="2">
        <v>13500</v>
      </c>
      <c r="Y9" s="2">
        <v>10600</v>
      </c>
      <c r="Z9" s="2">
        <v>0</v>
      </c>
      <c r="AB9">
        <f>$AB$3-350</f>
        <v>13900</v>
      </c>
      <c r="AC9">
        <f>$AC$3-350</f>
        <v>14700</v>
      </c>
      <c r="AD9">
        <f>$AD$3-300</f>
        <v>11400</v>
      </c>
      <c r="AF9" s="32">
        <f t="shared" ref="AF9:AH9" si="14">AB9-W9</f>
        <v>850</v>
      </c>
      <c r="AG9" s="32">
        <f t="shared" si="14"/>
        <v>1200</v>
      </c>
      <c r="AH9" s="32">
        <f t="shared" si="14"/>
        <v>800</v>
      </c>
      <c r="AN9">
        <v>175</v>
      </c>
      <c r="AO9">
        <v>175</v>
      </c>
      <c r="AP9">
        <v>100</v>
      </c>
      <c r="AR9" s="32">
        <f t="shared" ref="AR9:AT9" si="15">AF9-AJ9-AN9</f>
        <v>675</v>
      </c>
      <c r="AS9" s="32">
        <f t="shared" si="15"/>
        <v>1025</v>
      </c>
      <c r="AT9" s="32">
        <f t="shared" si="15"/>
        <v>700</v>
      </c>
      <c r="AV9" s="32"/>
      <c r="AW9" s="32"/>
      <c r="AX9" s="32"/>
      <c r="AY9" s="32"/>
      <c r="AZ9" s="32"/>
      <c r="BA9" s="32"/>
    </row>
    <row r="10" spans="1:53">
      <c r="A10" s="7" t="s">
        <v>13</v>
      </c>
      <c r="B10" s="21" t="s">
        <v>446</v>
      </c>
      <c r="C10" s="21" t="s">
        <v>152</v>
      </c>
      <c r="D10" s="21" t="s">
        <v>447</v>
      </c>
      <c r="E10" s="8">
        <v>5</v>
      </c>
      <c r="F10" s="8">
        <v>0</v>
      </c>
      <c r="G10" s="8"/>
      <c r="H10" s="53">
        <f t="shared" si="0"/>
        <v>5</v>
      </c>
      <c r="I10" s="23">
        <f t="shared" si="6"/>
        <v>0</v>
      </c>
      <c r="J10" s="23">
        <f t="shared" si="7"/>
        <v>0</v>
      </c>
      <c r="K10" s="23">
        <f t="shared" si="8"/>
        <v>0</v>
      </c>
      <c r="L10" s="7"/>
      <c r="M10" s="60">
        <f t="shared" si="1"/>
        <v>0</v>
      </c>
      <c r="N10" s="23"/>
      <c r="O10" s="23"/>
      <c r="P10" s="7"/>
      <c r="Q10" s="7"/>
      <c r="R10" s="60">
        <f t="shared" si="2"/>
        <v>0</v>
      </c>
      <c r="S10" s="23">
        <f t="shared" si="3"/>
        <v>0</v>
      </c>
      <c r="T10" s="7"/>
      <c r="W10" s="2">
        <v>13900</v>
      </c>
      <c r="X10" s="2">
        <v>0</v>
      </c>
      <c r="Y10" s="2">
        <v>0</v>
      </c>
      <c r="Z10" s="2">
        <v>0</v>
      </c>
      <c r="AB10">
        <f>$AB$3-350</f>
        <v>13900</v>
      </c>
      <c r="AC10">
        <f>$AC$3-350</f>
        <v>14700</v>
      </c>
      <c r="AD10">
        <f>$AD$3-300</f>
        <v>11400</v>
      </c>
      <c r="AF10" s="32">
        <f t="shared" si="9"/>
        <v>0</v>
      </c>
      <c r="AG10" s="32"/>
      <c r="AH10" s="32"/>
      <c r="AR10" s="32">
        <f t="shared" ref="AR10:AT10" si="16">AF10-AJ10-AN10</f>
        <v>0</v>
      </c>
      <c r="AS10" s="32">
        <f t="shared" si="16"/>
        <v>0</v>
      </c>
      <c r="AT10" s="32">
        <f t="shared" si="16"/>
        <v>0</v>
      </c>
      <c r="AV10" s="32"/>
      <c r="AW10" s="32"/>
      <c r="AX10" s="32"/>
      <c r="AY10" s="32"/>
      <c r="AZ10" s="32"/>
      <c r="BA10" s="32"/>
    </row>
    <row r="11" spans="1:53">
      <c r="A11" s="7" t="s">
        <v>14</v>
      </c>
      <c r="B11" s="21" t="s">
        <v>448</v>
      </c>
      <c r="C11" s="21" t="s">
        <v>152</v>
      </c>
      <c r="D11" s="21" t="s">
        <v>447</v>
      </c>
      <c r="E11" s="8">
        <v>31</v>
      </c>
      <c r="F11" s="8">
        <v>0</v>
      </c>
      <c r="G11" s="8"/>
      <c r="H11" s="53">
        <f t="shared" si="0"/>
        <v>31</v>
      </c>
      <c r="I11" s="23">
        <f t="shared" si="6"/>
        <v>34100</v>
      </c>
      <c r="J11" s="23">
        <f t="shared" si="7"/>
        <v>0</v>
      </c>
      <c r="K11" s="23">
        <f t="shared" si="8"/>
        <v>0</v>
      </c>
      <c r="L11" s="7"/>
      <c r="M11" s="60">
        <f t="shared" si="1"/>
        <v>34100</v>
      </c>
      <c r="N11" s="23"/>
      <c r="O11" s="23"/>
      <c r="P11" s="7"/>
      <c r="Q11" s="7"/>
      <c r="R11" s="60">
        <f t="shared" si="2"/>
        <v>0</v>
      </c>
      <c r="S11" s="23">
        <f t="shared" si="3"/>
        <v>34100</v>
      </c>
      <c r="T11" s="7"/>
      <c r="W11" s="2">
        <v>12800</v>
      </c>
      <c r="X11" s="2">
        <v>0</v>
      </c>
      <c r="Y11" s="2">
        <v>0</v>
      </c>
      <c r="Z11" s="2">
        <v>0</v>
      </c>
      <c r="AB11">
        <f>$AB$3-350</f>
        <v>13900</v>
      </c>
      <c r="AC11">
        <f>$AC$3-350</f>
        <v>14700</v>
      </c>
      <c r="AD11">
        <f>$AD$3-300</f>
        <v>11400</v>
      </c>
      <c r="AF11" s="32">
        <f t="shared" si="9"/>
        <v>1100</v>
      </c>
      <c r="AG11" s="32"/>
      <c r="AH11" s="32"/>
      <c r="AR11" s="32">
        <f t="shared" ref="AR11:AT11" si="17">AF11-AJ11-AN11</f>
        <v>1100</v>
      </c>
      <c r="AS11" s="32">
        <f t="shared" si="17"/>
        <v>0</v>
      </c>
      <c r="AT11" s="32">
        <f t="shared" si="17"/>
        <v>0</v>
      </c>
      <c r="AV11" s="32"/>
      <c r="AW11" s="32"/>
      <c r="AX11" s="32"/>
      <c r="AY11" s="32"/>
      <c r="AZ11" s="32"/>
      <c r="BA11" s="32"/>
    </row>
    <row r="12" spans="1:53">
      <c r="A12" s="54" t="s">
        <v>10</v>
      </c>
      <c r="B12" s="21"/>
      <c r="C12" s="21"/>
      <c r="D12" s="21"/>
      <c r="E12" s="14">
        <f t="shared" ref="E12:S12" si="18">SUM(E8:E11)</f>
        <v>116</v>
      </c>
      <c r="F12" s="14">
        <f t="shared" si="18"/>
        <v>10</v>
      </c>
      <c r="G12" s="14">
        <f t="shared" si="18"/>
        <v>56</v>
      </c>
      <c r="H12" s="14">
        <f t="shared" si="18"/>
        <v>182</v>
      </c>
      <c r="I12" s="14">
        <f t="shared" si="18"/>
        <v>88100</v>
      </c>
      <c r="J12" s="14">
        <f t="shared" si="18"/>
        <v>8375</v>
      </c>
      <c r="K12" s="14">
        <f t="shared" si="18"/>
        <v>39200</v>
      </c>
      <c r="L12" s="14">
        <f t="shared" si="18"/>
        <v>0</v>
      </c>
      <c r="M12" s="14">
        <f t="shared" si="18"/>
        <v>135675</v>
      </c>
      <c r="N12" s="14">
        <f t="shared" si="18"/>
        <v>0</v>
      </c>
      <c r="O12" s="14">
        <f t="shared" si="18"/>
        <v>0</v>
      </c>
      <c r="P12" s="14">
        <f t="shared" si="18"/>
        <v>0</v>
      </c>
      <c r="Q12" s="14">
        <f t="shared" si="18"/>
        <v>0</v>
      </c>
      <c r="R12" s="14">
        <f t="shared" si="18"/>
        <v>0</v>
      </c>
      <c r="S12" s="14">
        <f t="shared" si="18"/>
        <v>135675</v>
      </c>
      <c r="T12" s="7"/>
      <c r="W12" s="2">
        <v>0</v>
      </c>
      <c r="X12" s="2">
        <v>0</v>
      </c>
      <c r="Y12" s="2">
        <v>0</v>
      </c>
      <c r="Z12" s="2">
        <v>0</v>
      </c>
      <c r="AB12">
        <f>$AB$3-350</f>
        <v>13900</v>
      </c>
      <c r="AC12">
        <f>$AC$3-350</f>
        <v>14700</v>
      </c>
      <c r="AD12">
        <f>$AD$3-300</f>
        <v>11400</v>
      </c>
      <c r="AF12" s="32"/>
      <c r="AG12" s="32"/>
      <c r="AH12" s="32"/>
      <c r="AR12" s="32">
        <f t="shared" ref="AR12:AT12" si="19">AF12-AJ12-AN12</f>
        <v>0</v>
      </c>
      <c r="AS12" s="32">
        <f t="shared" si="19"/>
        <v>0</v>
      </c>
      <c r="AT12" s="32">
        <f t="shared" si="19"/>
        <v>0</v>
      </c>
      <c r="AV12" s="32"/>
      <c r="AW12" s="32"/>
      <c r="AX12" s="32"/>
      <c r="AY12" s="32"/>
      <c r="AZ12" s="32"/>
      <c r="BA12" s="32"/>
    </row>
    <row r="13" spans="1:53">
      <c r="A13" s="7" t="s">
        <v>16</v>
      </c>
      <c r="B13" s="21" t="s">
        <v>449</v>
      </c>
      <c r="C13" s="21" t="s">
        <v>152</v>
      </c>
      <c r="D13" s="21" t="s">
        <v>447</v>
      </c>
      <c r="E13" s="8">
        <v>27</v>
      </c>
      <c r="F13" s="8">
        <v>0</v>
      </c>
      <c r="G13" s="8"/>
      <c r="H13" s="53">
        <f t="shared" ref="H13:H16" si="20">E13+F13+G13</f>
        <v>27</v>
      </c>
      <c r="I13" s="23">
        <f t="shared" si="6"/>
        <v>10800</v>
      </c>
      <c r="J13" s="23">
        <f t="shared" si="7"/>
        <v>0</v>
      </c>
      <c r="K13" s="23">
        <f t="shared" si="8"/>
        <v>0</v>
      </c>
      <c r="L13" s="7"/>
      <c r="M13" s="60">
        <f t="shared" ref="M13:M16" si="21">I13+J13+K13+L13</f>
        <v>10800</v>
      </c>
      <c r="N13" s="23"/>
      <c r="O13" s="23"/>
      <c r="P13" s="7"/>
      <c r="Q13" s="7"/>
      <c r="R13" s="60">
        <f t="shared" ref="R13:R16" si="22">N13+O13+P13+Q13</f>
        <v>0</v>
      </c>
      <c r="S13" s="23">
        <f t="shared" ref="S13:S16" si="23">M13+R13</f>
        <v>10800</v>
      </c>
      <c r="T13" s="7"/>
      <c r="W13" s="2">
        <v>13500</v>
      </c>
      <c r="X13" s="2">
        <v>0</v>
      </c>
      <c r="Y13" s="2">
        <v>0</v>
      </c>
      <c r="Z13" s="2">
        <v>0</v>
      </c>
      <c r="AB13">
        <f>$AB$3-350</f>
        <v>13900</v>
      </c>
      <c r="AC13">
        <f>$AC$3-350</f>
        <v>14700</v>
      </c>
      <c r="AD13">
        <f>$AD$3-300</f>
        <v>11400</v>
      </c>
      <c r="AF13" s="32">
        <f t="shared" ref="AF13:AF16" si="24">AB13-W13</f>
        <v>400</v>
      </c>
      <c r="AG13" s="32"/>
      <c r="AH13" s="32"/>
      <c r="AR13" s="32">
        <f t="shared" ref="AR13:AT13" si="25">AF13-AJ13-AN13</f>
        <v>400</v>
      </c>
      <c r="AS13" s="32">
        <f t="shared" si="25"/>
        <v>0</v>
      </c>
      <c r="AT13" s="32">
        <f t="shared" si="25"/>
        <v>0</v>
      </c>
      <c r="AV13" s="32"/>
      <c r="AW13" s="32"/>
      <c r="AX13" s="32"/>
      <c r="AY13" s="32"/>
      <c r="AZ13" s="32"/>
      <c r="BA13" s="32"/>
    </row>
    <row r="14" spans="1:53">
      <c r="A14" s="7" t="s">
        <v>17</v>
      </c>
      <c r="B14" s="21" t="s">
        <v>450</v>
      </c>
      <c r="C14" s="21" t="s">
        <v>152</v>
      </c>
      <c r="D14" s="21" t="s">
        <v>447</v>
      </c>
      <c r="E14" s="8">
        <v>27</v>
      </c>
      <c r="F14" s="8">
        <v>0</v>
      </c>
      <c r="G14" s="8"/>
      <c r="H14" s="53">
        <f t="shared" si="20"/>
        <v>27</v>
      </c>
      <c r="I14" s="23">
        <f t="shared" si="6"/>
        <v>10800</v>
      </c>
      <c r="J14" s="23">
        <f t="shared" si="7"/>
        <v>0</v>
      </c>
      <c r="K14" s="23">
        <f t="shared" si="8"/>
        <v>0</v>
      </c>
      <c r="L14" s="7"/>
      <c r="M14" s="60">
        <f t="shared" si="21"/>
        <v>10800</v>
      </c>
      <c r="N14" s="23"/>
      <c r="O14" s="23"/>
      <c r="P14" s="7"/>
      <c r="Q14" s="7"/>
      <c r="R14" s="60">
        <f t="shared" si="22"/>
        <v>0</v>
      </c>
      <c r="S14" s="23">
        <f t="shared" si="23"/>
        <v>10800</v>
      </c>
      <c r="T14" s="7"/>
      <c r="W14" s="2">
        <v>13500</v>
      </c>
      <c r="X14" s="2">
        <v>0</v>
      </c>
      <c r="Y14" s="2">
        <v>0</v>
      </c>
      <c r="Z14" s="2">
        <v>0</v>
      </c>
      <c r="AB14">
        <f>$AB$3-350</f>
        <v>13900</v>
      </c>
      <c r="AC14">
        <f>$AC$3-350</f>
        <v>14700</v>
      </c>
      <c r="AD14">
        <f>$AD$3-300</f>
        <v>11400</v>
      </c>
      <c r="AF14" s="32">
        <f t="shared" si="24"/>
        <v>400</v>
      </c>
      <c r="AG14" s="32"/>
      <c r="AH14" s="32"/>
      <c r="AR14" s="32">
        <f t="shared" ref="AR14:AT14" si="26">AF14-AJ14-AN14</f>
        <v>400</v>
      </c>
      <c r="AS14" s="32">
        <f t="shared" si="26"/>
        <v>0</v>
      </c>
      <c r="AT14" s="32">
        <f t="shared" si="26"/>
        <v>0</v>
      </c>
      <c r="AV14" s="32"/>
      <c r="AW14" s="32"/>
      <c r="AX14" s="32"/>
      <c r="AY14" s="32"/>
      <c r="AZ14" s="32"/>
      <c r="BA14" s="32"/>
    </row>
    <row r="15" spans="1:53">
      <c r="A15" s="7" t="s">
        <v>18</v>
      </c>
      <c r="B15" s="21" t="s">
        <v>451</v>
      </c>
      <c r="C15" s="21" t="s">
        <v>158</v>
      </c>
      <c r="D15" s="21" t="s">
        <v>447</v>
      </c>
      <c r="E15" s="8">
        <v>0</v>
      </c>
      <c r="F15" s="8">
        <v>0</v>
      </c>
      <c r="G15" s="8">
        <v>36</v>
      </c>
      <c r="H15" s="53">
        <f t="shared" si="20"/>
        <v>36</v>
      </c>
      <c r="I15" s="23">
        <f t="shared" si="6"/>
        <v>0</v>
      </c>
      <c r="J15" s="23">
        <f t="shared" si="7"/>
        <v>0</v>
      </c>
      <c r="K15" s="23">
        <f t="shared" si="8"/>
        <v>18000</v>
      </c>
      <c r="L15" s="7"/>
      <c r="M15" s="60">
        <f t="shared" si="21"/>
        <v>18000</v>
      </c>
      <c r="N15" s="23"/>
      <c r="O15" s="23"/>
      <c r="P15" s="7"/>
      <c r="Q15" s="7"/>
      <c r="R15" s="60">
        <f t="shared" si="22"/>
        <v>0</v>
      </c>
      <c r="S15" s="23">
        <f t="shared" si="23"/>
        <v>18000</v>
      </c>
      <c r="T15" s="7"/>
      <c r="W15" s="2">
        <v>0</v>
      </c>
      <c r="X15" s="2">
        <v>0</v>
      </c>
      <c r="Y15" s="2">
        <v>10900</v>
      </c>
      <c r="Z15" s="2">
        <v>0</v>
      </c>
      <c r="AB15">
        <f>$AB$3-350</f>
        <v>13900</v>
      </c>
      <c r="AC15">
        <f>$AC$3-350</f>
        <v>14700</v>
      </c>
      <c r="AD15">
        <f>$AD$3-300</f>
        <v>11400</v>
      </c>
      <c r="AF15" s="32"/>
      <c r="AG15" s="32"/>
      <c r="AH15" s="32">
        <f t="shared" ref="AH15:AH24" si="27">AD15-Y15</f>
        <v>500</v>
      </c>
      <c r="AR15" s="32">
        <f t="shared" ref="AR15:AT15" si="28">AF15-AJ15-AN15</f>
        <v>0</v>
      </c>
      <c r="AS15" s="32">
        <f t="shared" si="28"/>
        <v>0</v>
      </c>
      <c r="AT15" s="32">
        <f t="shared" si="28"/>
        <v>500</v>
      </c>
      <c r="AV15" s="32"/>
      <c r="AW15" s="32"/>
      <c r="AX15" s="32"/>
      <c r="AY15" s="32"/>
      <c r="AZ15" s="32"/>
      <c r="BA15" s="32"/>
    </row>
    <row r="16" spans="1:53">
      <c r="A16" s="7" t="s">
        <v>19</v>
      </c>
      <c r="B16" s="21" t="s">
        <v>452</v>
      </c>
      <c r="C16" s="21" t="s">
        <v>152</v>
      </c>
      <c r="D16" s="21" t="s">
        <v>423</v>
      </c>
      <c r="E16" s="8">
        <v>140</v>
      </c>
      <c r="F16" s="8">
        <v>0</v>
      </c>
      <c r="G16" s="8">
        <v>292</v>
      </c>
      <c r="H16" s="53">
        <f t="shared" si="20"/>
        <v>432</v>
      </c>
      <c r="I16" s="23">
        <f t="shared" si="6"/>
        <v>45500</v>
      </c>
      <c r="J16" s="23">
        <f t="shared" si="7"/>
        <v>0</v>
      </c>
      <c r="K16" s="23">
        <f t="shared" si="8"/>
        <v>116800</v>
      </c>
      <c r="L16" s="23"/>
      <c r="M16" s="60">
        <f t="shared" si="21"/>
        <v>162300</v>
      </c>
      <c r="N16" s="23"/>
      <c r="O16" s="23"/>
      <c r="P16" s="7"/>
      <c r="Q16" s="23"/>
      <c r="R16" s="60">
        <f t="shared" si="22"/>
        <v>0</v>
      </c>
      <c r="S16" s="23">
        <f t="shared" si="23"/>
        <v>162300</v>
      </c>
      <c r="T16" s="7"/>
      <c r="W16" s="2">
        <v>13400</v>
      </c>
      <c r="X16" s="2">
        <v>0</v>
      </c>
      <c r="Y16" s="2">
        <v>10900</v>
      </c>
      <c r="Z16" s="2">
        <v>0</v>
      </c>
      <c r="AB16">
        <f>$AB$3-350</f>
        <v>13900</v>
      </c>
      <c r="AC16">
        <f>$AC$3-350</f>
        <v>14700</v>
      </c>
      <c r="AD16">
        <f>$AD$3-300</f>
        <v>11400</v>
      </c>
      <c r="AF16" s="32">
        <f t="shared" si="24"/>
        <v>500</v>
      </c>
      <c r="AG16" s="32"/>
      <c r="AH16" s="32">
        <f t="shared" si="27"/>
        <v>500</v>
      </c>
      <c r="AN16">
        <v>175</v>
      </c>
      <c r="AP16">
        <v>100</v>
      </c>
      <c r="AR16" s="32">
        <f t="shared" ref="AR16:AT16" si="29">AF16-AJ16-AN16</f>
        <v>325</v>
      </c>
      <c r="AS16" s="32">
        <f t="shared" si="29"/>
        <v>0</v>
      </c>
      <c r="AT16" s="32">
        <f t="shared" si="29"/>
        <v>400</v>
      </c>
      <c r="AV16" s="32"/>
      <c r="AW16" s="32"/>
      <c r="AX16" s="32"/>
      <c r="AY16" s="32"/>
      <c r="AZ16" s="32"/>
      <c r="BA16" s="32"/>
    </row>
    <row r="17" spans="1:53">
      <c r="A17" s="54" t="s">
        <v>15</v>
      </c>
      <c r="B17" s="21"/>
      <c r="C17" s="21"/>
      <c r="D17" s="21"/>
      <c r="E17" s="14">
        <f t="shared" ref="E17:S17" si="30">SUM(E13:E16)</f>
        <v>194</v>
      </c>
      <c r="F17" s="14">
        <f t="shared" si="30"/>
        <v>0</v>
      </c>
      <c r="G17" s="14">
        <f t="shared" si="30"/>
        <v>328</v>
      </c>
      <c r="H17" s="14">
        <f t="shared" si="30"/>
        <v>522</v>
      </c>
      <c r="I17" s="14">
        <f t="shared" si="30"/>
        <v>67100</v>
      </c>
      <c r="J17" s="14">
        <f t="shared" si="30"/>
        <v>0</v>
      </c>
      <c r="K17" s="14">
        <f t="shared" si="30"/>
        <v>134800</v>
      </c>
      <c r="L17" s="14">
        <f t="shared" si="30"/>
        <v>0</v>
      </c>
      <c r="M17" s="14">
        <f t="shared" si="30"/>
        <v>201900</v>
      </c>
      <c r="N17" s="14">
        <f t="shared" si="30"/>
        <v>0</v>
      </c>
      <c r="O17" s="14">
        <f t="shared" si="30"/>
        <v>0</v>
      </c>
      <c r="P17" s="14">
        <f t="shared" si="30"/>
        <v>0</v>
      </c>
      <c r="Q17" s="14">
        <f t="shared" si="30"/>
        <v>0</v>
      </c>
      <c r="R17" s="14">
        <f t="shared" si="30"/>
        <v>0</v>
      </c>
      <c r="S17" s="14">
        <f t="shared" si="30"/>
        <v>201900</v>
      </c>
      <c r="T17" s="7"/>
      <c r="W17" s="2">
        <v>0</v>
      </c>
      <c r="X17" s="2">
        <v>0</v>
      </c>
      <c r="Y17" s="2">
        <v>0</v>
      </c>
      <c r="Z17" s="2">
        <v>0</v>
      </c>
      <c r="AB17">
        <f>$AB$3-350</f>
        <v>13900</v>
      </c>
      <c r="AC17">
        <f>$AC$3-350</f>
        <v>14700</v>
      </c>
      <c r="AD17">
        <f>$AD$3-300</f>
        <v>11400</v>
      </c>
      <c r="AF17" s="32"/>
      <c r="AG17" s="32"/>
      <c r="AH17" s="32"/>
      <c r="AR17" s="32">
        <f t="shared" ref="AR17:AT17" si="31">AF17-AJ17-AN17</f>
        <v>0</v>
      </c>
      <c r="AS17" s="32">
        <f t="shared" si="31"/>
        <v>0</v>
      </c>
      <c r="AT17" s="32">
        <f t="shared" si="31"/>
        <v>0</v>
      </c>
      <c r="AV17" s="32"/>
      <c r="AW17" s="32"/>
      <c r="AX17" s="32"/>
      <c r="AY17" s="32"/>
      <c r="AZ17" s="32"/>
      <c r="BA17" s="32"/>
    </row>
    <row r="18" spans="1:53">
      <c r="A18" s="7" t="s">
        <v>21</v>
      </c>
      <c r="B18" s="21" t="s">
        <v>453</v>
      </c>
      <c r="C18" s="21" t="s">
        <v>152</v>
      </c>
      <c r="D18" s="21" t="s">
        <v>443</v>
      </c>
      <c r="E18" s="8">
        <v>78</v>
      </c>
      <c r="F18" s="8">
        <v>0</v>
      </c>
      <c r="G18" s="8">
        <v>13</v>
      </c>
      <c r="H18" s="53">
        <f t="shared" ref="H18:H24" si="32">E18+F18+G18</f>
        <v>91</v>
      </c>
      <c r="I18" s="23">
        <f t="shared" si="6"/>
        <v>27300</v>
      </c>
      <c r="J18" s="23">
        <f t="shared" si="7"/>
        <v>0</v>
      </c>
      <c r="K18" s="23">
        <f t="shared" si="8"/>
        <v>5200</v>
      </c>
      <c r="L18" s="7"/>
      <c r="M18" s="60">
        <f t="shared" ref="M18:M24" si="33">I18+J18+K18+L18</f>
        <v>32500</v>
      </c>
      <c r="N18" s="23"/>
      <c r="O18" s="23"/>
      <c r="P18" s="23"/>
      <c r="Q18" s="7"/>
      <c r="R18" s="60">
        <f t="shared" ref="R18:R24" si="34">N18+O18+P18+Q18</f>
        <v>0</v>
      </c>
      <c r="S18" s="23">
        <f t="shared" ref="S18:S24" si="35">M18+R18</f>
        <v>32500</v>
      </c>
      <c r="T18" s="7"/>
      <c r="W18" s="2">
        <v>13300</v>
      </c>
      <c r="X18" s="2">
        <v>0</v>
      </c>
      <c r="Y18" s="2">
        <v>10800</v>
      </c>
      <c r="Z18" s="2">
        <v>0</v>
      </c>
      <c r="AB18">
        <f>$AB$3-350</f>
        <v>13900</v>
      </c>
      <c r="AC18">
        <f>$AC$3-350</f>
        <v>14700</v>
      </c>
      <c r="AD18">
        <f>$AD$3-300</f>
        <v>11400</v>
      </c>
      <c r="AF18" s="32">
        <f t="shared" ref="AF18:AF24" si="36">AB18-W18</f>
        <v>600</v>
      </c>
      <c r="AG18" s="32"/>
      <c r="AH18" s="32">
        <f t="shared" si="27"/>
        <v>600</v>
      </c>
      <c r="AJ18" s="32">
        <v>250</v>
      </c>
      <c r="AK18" s="32"/>
      <c r="AL18" s="32">
        <v>200</v>
      </c>
      <c r="AR18" s="32">
        <f t="shared" ref="AR18:AT18" si="37">AF18-AJ18-AN18</f>
        <v>350</v>
      </c>
      <c r="AS18" s="32">
        <f t="shared" si="37"/>
        <v>0</v>
      </c>
      <c r="AT18" s="32">
        <f t="shared" si="37"/>
        <v>400</v>
      </c>
      <c r="AV18" s="32"/>
      <c r="AW18" s="32"/>
      <c r="AX18" s="32"/>
      <c r="AY18" s="32"/>
      <c r="AZ18" s="32"/>
      <c r="BA18" s="32"/>
    </row>
    <row r="19" spans="1:53">
      <c r="A19" s="7" t="s">
        <v>22</v>
      </c>
      <c r="B19" s="21" t="s">
        <v>454</v>
      </c>
      <c r="C19" s="21" t="s">
        <v>152</v>
      </c>
      <c r="D19" s="21" t="s">
        <v>443</v>
      </c>
      <c r="E19" s="8">
        <v>46</v>
      </c>
      <c r="F19" s="8">
        <v>0</v>
      </c>
      <c r="G19" s="8"/>
      <c r="H19" s="53">
        <f t="shared" si="32"/>
        <v>46</v>
      </c>
      <c r="I19" s="23">
        <f t="shared" si="6"/>
        <v>16100</v>
      </c>
      <c r="J19" s="23">
        <f t="shared" si="7"/>
        <v>0</v>
      </c>
      <c r="K19" s="23">
        <f t="shared" si="8"/>
        <v>0</v>
      </c>
      <c r="L19" s="7"/>
      <c r="M19" s="60">
        <f t="shared" si="33"/>
        <v>16100</v>
      </c>
      <c r="N19" s="23"/>
      <c r="O19" s="23"/>
      <c r="P19" s="23"/>
      <c r="Q19" s="7"/>
      <c r="R19" s="60">
        <f t="shared" si="34"/>
        <v>0</v>
      </c>
      <c r="S19" s="23">
        <f t="shared" si="35"/>
        <v>16100</v>
      </c>
      <c r="T19" s="7"/>
      <c r="W19" s="2">
        <v>13300</v>
      </c>
      <c r="X19" s="2">
        <v>0</v>
      </c>
      <c r="Y19" s="2">
        <v>10800</v>
      </c>
      <c r="Z19" s="2">
        <v>0</v>
      </c>
      <c r="AB19">
        <f>$AB$3-350</f>
        <v>13900</v>
      </c>
      <c r="AC19">
        <f>$AC$3-350</f>
        <v>14700</v>
      </c>
      <c r="AD19">
        <f>$AD$3-300</f>
        <v>11400</v>
      </c>
      <c r="AF19" s="32">
        <f t="shared" si="36"/>
        <v>600</v>
      </c>
      <c r="AG19" s="32"/>
      <c r="AH19" s="32">
        <f t="shared" si="27"/>
        <v>600</v>
      </c>
      <c r="AJ19" s="32">
        <v>250</v>
      </c>
      <c r="AK19" s="32"/>
      <c r="AL19" s="32">
        <v>200</v>
      </c>
      <c r="AR19" s="32">
        <f t="shared" ref="AR19:AT19" si="38">AF19-AJ19-AN19</f>
        <v>350</v>
      </c>
      <c r="AS19" s="32">
        <f t="shared" si="38"/>
        <v>0</v>
      </c>
      <c r="AT19" s="32">
        <f t="shared" si="38"/>
        <v>400</v>
      </c>
      <c r="AV19" s="32"/>
      <c r="AW19" s="32"/>
      <c r="AX19" s="32"/>
      <c r="AY19" s="32"/>
      <c r="AZ19" s="32"/>
      <c r="BA19" s="32"/>
    </row>
    <row r="20" spans="1:53">
      <c r="A20" s="7" t="s">
        <v>23</v>
      </c>
      <c r="B20" s="21" t="s">
        <v>455</v>
      </c>
      <c r="C20" s="21" t="s">
        <v>152</v>
      </c>
      <c r="D20" s="21" t="s">
        <v>443</v>
      </c>
      <c r="E20" s="8">
        <v>23</v>
      </c>
      <c r="F20" s="8">
        <v>0</v>
      </c>
      <c r="G20" s="8">
        <v>36</v>
      </c>
      <c r="H20" s="53">
        <f t="shared" si="32"/>
        <v>59</v>
      </c>
      <c r="I20" s="23">
        <f t="shared" si="6"/>
        <v>8050</v>
      </c>
      <c r="J20" s="23">
        <f t="shared" si="7"/>
        <v>0</v>
      </c>
      <c r="K20" s="23">
        <f t="shared" si="8"/>
        <v>14400</v>
      </c>
      <c r="L20" s="7"/>
      <c r="M20" s="60">
        <f t="shared" si="33"/>
        <v>22450</v>
      </c>
      <c r="N20" s="23"/>
      <c r="O20" s="23"/>
      <c r="P20" s="23"/>
      <c r="Q20" s="7"/>
      <c r="R20" s="60">
        <f t="shared" si="34"/>
        <v>0</v>
      </c>
      <c r="S20" s="23">
        <f t="shared" si="35"/>
        <v>22450</v>
      </c>
      <c r="T20" s="7"/>
      <c r="W20" s="2">
        <v>13300</v>
      </c>
      <c r="X20" s="2">
        <v>0</v>
      </c>
      <c r="Y20" s="2">
        <v>10800</v>
      </c>
      <c r="Z20" s="2">
        <v>0</v>
      </c>
      <c r="AB20">
        <f>$AB$3-350</f>
        <v>13900</v>
      </c>
      <c r="AC20">
        <f>$AC$3-350</f>
        <v>14700</v>
      </c>
      <c r="AD20">
        <f>$AD$3-300</f>
        <v>11400</v>
      </c>
      <c r="AF20" s="32">
        <f t="shared" si="36"/>
        <v>600</v>
      </c>
      <c r="AG20" s="32"/>
      <c r="AH20" s="32">
        <f t="shared" si="27"/>
        <v>600</v>
      </c>
      <c r="AJ20" s="32">
        <v>250</v>
      </c>
      <c r="AK20" s="32"/>
      <c r="AL20" s="32">
        <v>200</v>
      </c>
      <c r="AR20" s="32">
        <f t="shared" ref="AR20:AT20" si="39">AF20-AJ20-AN20</f>
        <v>350</v>
      </c>
      <c r="AS20" s="32">
        <f t="shared" si="39"/>
        <v>0</v>
      </c>
      <c r="AT20" s="32">
        <f t="shared" si="39"/>
        <v>400</v>
      </c>
      <c r="AV20" s="32"/>
      <c r="AW20" s="32"/>
      <c r="AX20" s="32"/>
      <c r="AY20" s="32"/>
      <c r="AZ20" s="32"/>
      <c r="BA20" s="32"/>
    </row>
    <row r="21" spans="1:53">
      <c r="A21" s="7" t="s">
        <v>24</v>
      </c>
      <c r="B21" s="21" t="s">
        <v>456</v>
      </c>
      <c r="C21" s="21" t="s">
        <v>152</v>
      </c>
      <c r="D21" s="21" t="s">
        <v>443</v>
      </c>
      <c r="E21" s="8">
        <v>51</v>
      </c>
      <c r="F21" s="8">
        <v>0</v>
      </c>
      <c r="G21" s="8"/>
      <c r="H21" s="53">
        <f t="shared" si="32"/>
        <v>51</v>
      </c>
      <c r="I21" s="23">
        <f t="shared" si="6"/>
        <v>17850</v>
      </c>
      <c r="J21" s="23">
        <f t="shared" si="7"/>
        <v>0</v>
      </c>
      <c r="K21" s="23">
        <f t="shared" si="8"/>
        <v>0</v>
      </c>
      <c r="L21" s="7"/>
      <c r="M21" s="60">
        <f t="shared" si="33"/>
        <v>17850</v>
      </c>
      <c r="N21" s="23"/>
      <c r="O21" s="23"/>
      <c r="P21" s="23"/>
      <c r="Q21" s="7"/>
      <c r="R21" s="60">
        <f t="shared" si="34"/>
        <v>0</v>
      </c>
      <c r="S21" s="23">
        <f t="shared" si="35"/>
        <v>17850</v>
      </c>
      <c r="T21" s="7"/>
      <c r="W21" s="2">
        <v>13300</v>
      </c>
      <c r="X21" s="2">
        <v>0</v>
      </c>
      <c r="Y21" s="2">
        <v>10800</v>
      </c>
      <c r="Z21" s="2">
        <v>0</v>
      </c>
      <c r="AB21">
        <f>$AB$3-350</f>
        <v>13900</v>
      </c>
      <c r="AC21">
        <f>$AC$3-350</f>
        <v>14700</v>
      </c>
      <c r="AD21">
        <f>$AD$3-300</f>
        <v>11400</v>
      </c>
      <c r="AF21" s="32">
        <f t="shared" si="36"/>
        <v>600</v>
      </c>
      <c r="AG21" s="32"/>
      <c r="AH21" s="32">
        <f t="shared" si="27"/>
        <v>600</v>
      </c>
      <c r="AJ21" s="32">
        <v>250</v>
      </c>
      <c r="AK21" s="32"/>
      <c r="AL21" s="32">
        <v>200</v>
      </c>
      <c r="AR21" s="32">
        <f t="shared" ref="AR21:AT21" si="40">AF21-AJ21-AN21</f>
        <v>350</v>
      </c>
      <c r="AS21" s="32">
        <f t="shared" si="40"/>
        <v>0</v>
      </c>
      <c r="AT21" s="32">
        <f t="shared" si="40"/>
        <v>400</v>
      </c>
      <c r="AV21" s="32"/>
      <c r="AW21" s="32"/>
      <c r="AX21" s="32"/>
      <c r="AY21" s="32"/>
      <c r="AZ21" s="32"/>
      <c r="BA21" s="32"/>
    </row>
    <row r="22" s="52" customFormat="1" spans="1:53">
      <c r="A22" s="55" t="s">
        <v>25</v>
      </c>
      <c r="B22" s="43" t="s">
        <v>457</v>
      </c>
      <c r="C22" s="43" t="s">
        <v>152</v>
      </c>
      <c r="D22" s="43" t="s">
        <v>447</v>
      </c>
      <c r="E22" s="12">
        <v>695</v>
      </c>
      <c r="F22" s="12">
        <v>8</v>
      </c>
      <c r="G22" s="12">
        <v>239</v>
      </c>
      <c r="H22" s="56">
        <f t="shared" si="32"/>
        <v>942</v>
      </c>
      <c r="I22" s="23">
        <f t="shared" si="6"/>
        <v>312750</v>
      </c>
      <c r="J22" s="23">
        <f t="shared" si="7"/>
        <v>3600</v>
      </c>
      <c r="K22" s="23">
        <f t="shared" si="8"/>
        <v>95600</v>
      </c>
      <c r="L22" s="55"/>
      <c r="M22" s="61">
        <f t="shared" si="33"/>
        <v>411950</v>
      </c>
      <c r="N22" s="61"/>
      <c r="O22" s="61"/>
      <c r="P22" s="55"/>
      <c r="Q22" s="55"/>
      <c r="R22" s="61">
        <f t="shared" si="34"/>
        <v>0</v>
      </c>
      <c r="S22" s="61">
        <f t="shared" si="35"/>
        <v>411950</v>
      </c>
      <c r="T22" s="55"/>
      <c r="W22" s="67">
        <v>13450</v>
      </c>
      <c r="X22" s="67">
        <v>14250</v>
      </c>
      <c r="Y22" s="67">
        <v>11000</v>
      </c>
      <c r="Z22" s="67">
        <v>0</v>
      </c>
      <c r="AB22" s="52">
        <f>$AB$3-350</f>
        <v>13900</v>
      </c>
      <c r="AC22" s="52">
        <f>$AC$3-350</f>
        <v>14700</v>
      </c>
      <c r="AD22" s="52">
        <f>$AD$3-300</f>
        <v>11400</v>
      </c>
      <c r="AF22" s="69">
        <f t="shared" si="36"/>
        <v>450</v>
      </c>
      <c r="AG22" s="69">
        <f>AC22-X22</f>
        <v>450</v>
      </c>
      <c r="AH22" s="69">
        <f t="shared" si="27"/>
        <v>400</v>
      </c>
      <c r="AR22" s="32">
        <f t="shared" ref="AR22:AT22" si="41">AF22-AJ22-AN22</f>
        <v>450</v>
      </c>
      <c r="AS22" s="32">
        <f t="shared" si="41"/>
        <v>450</v>
      </c>
      <c r="AT22" s="32">
        <f t="shared" si="41"/>
        <v>400</v>
      </c>
      <c r="AV22" s="32"/>
      <c r="AW22" s="32"/>
      <c r="AX22" s="32"/>
      <c r="AY22" s="32"/>
      <c r="AZ22" s="32"/>
      <c r="BA22" s="32"/>
    </row>
    <row r="23" spans="1:53">
      <c r="A23" s="7" t="s">
        <v>26</v>
      </c>
      <c r="B23" s="21" t="s">
        <v>458</v>
      </c>
      <c r="C23" s="21" t="s">
        <v>152</v>
      </c>
      <c r="D23" s="21" t="s">
        <v>447</v>
      </c>
      <c r="E23" s="8">
        <v>145</v>
      </c>
      <c r="F23" s="8">
        <v>0</v>
      </c>
      <c r="G23" s="8">
        <v>88</v>
      </c>
      <c r="H23" s="53">
        <f t="shared" si="32"/>
        <v>233</v>
      </c>
      <c r="I23" s="23">
        <f t="shared" si="6"/>
        <v>43500</v>
      </c>
      <c r="J23" s="23">
        <f t="shared" si="7"/>
        <v>0</v>
      </c>
      <c r="K23" s="23">
        <f t="shared" si="8"/>
        <v>26400</v>
      </c>
      <c r="L23" s="7"/>
      <c r="M23" s="60">
        <f t="shared" si="33"/>
        <v>69900</v>
      </c>
      <c r="N23" s="23"/>
      <c r="O23" s="23"/>
      <c r="P23" s="7"/>
      <c r="Q23" s="7"/>
      <c r="R23" s="60">
        <f t="shared" si="34"/>
        <v>0</v>
      </c>
      <c r="S23" s="23">
        <f t="shared" si="35"/>
        <v>69900</v>
      </c>
      <c r="T23" s="7"/>
      <c r="W23" s="2">
        <v>13600</v>
      </c>
      <c r="X23" s="2">
        <v>0</v>
      </c>
      <c r="Y23" s="2">
        <v>11100</v>
      </c>
      <c r="Z23" s="2">
        <v>0</v>
      </c>
      <c r="AB23">
        <f>$AB$3-350</f>
        <v>13900</v>
      </c>
      <c r="AC23">
        <f>$AC$3-350</f>
        <v>14700</v>
      </c>
      <c r="AD23">
        <f>$AD$3-300</f>
        <v>11400</v>
      </c>
      <c r="AF23" s="32">
        <f t="shared" si="36"/>
        <v>300</v>
      </c>
      <c r="AG23" s="32"/>
      <c r="AH23" s="32">
        <f t="shared" si="27"/>
        <v>300</v>
      </c>
      <c r="AR23" s="32">
        <f t="shared" ref="AR23:AT23" si="42">AF23-AJ23-AN23</f>
        <v>300</v>
      </c>
      <c r="AS23" s="32">
        <f t="shared" si="42"/>
        <v>0</v>
      </c>
      <c r="AT23" s="32">
        <f t="shared" si="42"/>
        <v>300</v>
      </c>
      <c r="AV23" s="32"/>
      <c r="AW23" s="32"/>
      <c r="AX23" s="32"/>
      <c r="AY23" s="32"/>
      <c r="AZ23" s="32"/>
      <c r="BA23" s="32"/>
    </row>
    <row r="24" spans="1:53">
      <c r="A24" s="7" t="s">
        <v>27</v>
      </c>
      <c r="B24" s="21" t="s">
        <v>459</v>
      </c>
      <c r="C24" s="21" t="s">
        <v>152</v>
      </c>
      <c r="D24" s="21" t="s">
        <v>443</v>
      </c>
      <c r="E24" s="8">
        <v>60</v>
      </c>
      <c r="F24" s="8">
        <v>0</v>
      </c>
      <c r="G24" s="8">
        <v>16</v>
      </c>
      <c r="H24" s="53">
        <f t="shared" si="32"/>
        <v>76</v>
      </c>
      <c r="I24" s="23">
        <f t="shared" si="6"/>
        <v>21000</v>
      </c>
      <c r="J24" s="23">
        <f t="shared" si="7"/>
        <v>0</v>
      </c>
      <c r="K24" s="23">
        <f t="shared" si="8"/>
        <v>6400</v>
      </c>
      <c r="L24" s="7"/>
      <c r="M24" s="60">
        <f t="shared" si="33"/>
        <v>27400</v>
      </c>
      <c r="N24" s="23"/>
      <c r="O24" s="23"/>
      <c r="P24" s="23"/>
      <c r="Q24" s="7"/>
      <c r="R24" s="60">
        <f t="shared" si="34"/>
        <v>0</v>
      </c>
      <c r="S24" s="23">
        <f t="shared" si="35"/>
        <v>27400</v>
      </c>
      <c r="T24" s="7"/>
      <c r="W24" s="2">
        <v>13300</v>
      </c>
      <c r="X24" s="2">
        <v>0</v>
      </c>
      <c r="Y24" s="2">
        <v>10800</v>
      </c>
      <c r="Z24" s="2">
        <v>0</v>
      </c>
      <c r="AB24">
        <f>$AB$3-350</f>
        <v>13900</v>
      </c>
      <c r="AC24">
        <f>$AC$3-350</f>
        <v>14700</v>
      </c>
      <c r="AD24">
        <f>$AD$3-300</f>
        <v>11400</v>
      </c>
      <c r="AF24" s="32">
        <f t="shared" si="36"/>
        <v>600</v>
      </c>
      <c r="AG24" s="32"/>
      <c r="AH24" s="32">
        <f t="shared" si="27"/>
        <v>600</v>
      </c>
      <c r="AJ24" s="32">
        <v>250</v>
      </c>
      <c r="AK24" s="32"/>
      <c r="AL24" s="32">
        <v>200</v>
      </c>
      <c r="AR24" s="32">
        <f t="shared" ref="AR24:AT24" si="43">AF24-AJ24-AN24</f>
        <v>350</v>
      </c>
      <c r="AS24" s="32">
        <f t="shared" si="43"/>
        <v>0</v>
      </c>
      <c r="AT24" s="32">
        <f t="shared" si="43"/>
        <v>400</v>
      </c>
      <c r="AV24" s="32"/>
      <c r="AW24" s="32"/>
      <c r="AX24" s="32"/>
      <c r="AY24" s="32"/>
      <c r="AZ24" s="32"/>
      <c r="BA24" s="32"/>
    </row>
    <row r="25" spans="1:53">
      <c r="A25" s="54" t="s">
        <v>20</v>
      </c>
      <c r="B25" s="21"/>
      <c r="C25" s="21"/>
      <c r="D25" s="21"/>
      <c r="E25" s="14">
        <f t="shared" ref="E25:S25" si="44">SUM(E18:E24)</f>
        <v>1098</v>
      </c>
      <c r="F25" s="14">
        <f t="shared" si="44"/>
        <v>8</v>
      </c>
      <c r="G25" s="14">
        <f t="shared" si="44"/>
        <v>392</v>
      </c>
      <c r="H25" s="14">
        <f t="shared" si="44"/>
        <v>1498</v>
      </c>
      <c r="I25" s="14">
        <f t="shared" si="44"/>
        <v>446550</v>
      </c>
      <c r="J25" s="14">
        <f t="shared" si="44"/>
        <v>3600</v>
      </c>
      <c r="K25" s="14">
        <f t="shared" si="44"/>
        <v>148000</v>
      </c>
      <c r="L25" s="14">
        <f t="shared" si="44"/>
        <v>0</v>
      </c>
      <c r="M25" s="14">
        <f t="shared" si="44"/>
        <v>598150</v>
      </c>
      <c r="N25" s="14">
        <f t="shared" si="44"/>
        <v>0</v>
      </c>
      <c r="O25" s="14">
        <f t="shared" si="44"/>
        <v>0</v>
      </c>
      <c r="P25" s="14">
        <f t="shared" si="44"/>
        <v>0</v>
      </c>
      <c r="Q25" s="14">
        <f t="shared" si="44"/>
        <v>0</v>
      </c>
      <c r="R25" s="14">
        <f t="shared" si="44"/>
        <v>0</v>
      </c>
      <c r="S25" s="14">
        <f t="shared" si="44"/>
        <v>598150</v>
      </c>
      <c r="T25" s="7"/>
      <c r="W25" s="2">
        <v>0</v>
      </c>
      <c r="X25" s="2">
        <v>0</v>
      </c>
      <c r="Y25" s="2">
        <v>0</v>
      </c>
      <c r="Z25" s="2">
        <v>0</v>
      </c>
      <c r="AB25">
        <f>$AB$3-350</f>
        <v>13900</v>
      </c>
      <c r="AC25">
        <f>$AC$3-350</f>
        <v>14700</v>
      </c>
      <c r="AD25">
        <f>$AD$3-300</f>
        <v>11400</v>
      </c>
      <c r="AF25" s="32"/>
      <c r="AG25" s="32"/>
      <c r="AH25" s="32"/>
      <c r="AR25" s="32">
        <f t="shared" ref="AR25:AT25" si="45">AF25-AJ25-AN25</f>
        <v>0</v>
      </c>
      <c r="AS25" s="32">
        <f t="shared" si="45"/>
        <v>0</v>
      </c>
      <c r="AT25" s="32">
        <f t="shared" si="45"/>
        <v>0</v>
      </c>
      <c r="AV25" s="32"/>
      <c r="AW25" s="32"/>
      <c r="AX25" s="32"/>
      <c r="AY25" s="32"/>
      <c r="AZ25" s="32"/>
      <c r="BA25" s="32"/>
    </row>
    <row r="26" spans="1:53">
      <c r="A26" s="7" t="s">
        <v>29</v>
      </c>
      <c r="B26" s="21" t="s">
        <v>460</v>
      </c>
      <c r="C26" s="21" t="s">
        <v>152</v>
      </c>
      <c r="D26" s="21" t="s">
        <v>423</v>
      </c>
      <c r="E26" s="8">
        <v>194</v>
      </c>
      <c r="F26" s="8">
        <v>0</v>
      </c>
      <c r="G26" s="8">
        <v>188</v>
      </c>
      <c r="H26" s="53">
        <f t="shared" ref="H26:H34" si="46">E26+F26+G26</f>
        <v>382</v>
      </c>
      <c r="I26" s="23">
        <f t="shared" si="6"/>
        <v>121250</v>
      </c>
      <c r="J26" s="23">
        <f t="shared" si="7"/>
        <v>0</v>
      </c>
      <c r="K26" s="23">
        <f t="shared" si="8"/>
        <v>112800</v>
      </c>
      <c r="L26" s="23"/>
      <c r="M26" s="60">
        <f t="shared" ref="M26:M34" si="47">I26+J26+K26+L26</f>
        <v>234050</v>
      </c>
      <c r="N26" s="23"/>
      <c r="O26" s="23"/>
      <c r="P26" s="7"/>
      <c r="Q26" s="23"/>
      <c r="R26" s="60">
        <f t="shared" ref="R26:R34" si="48">N26+O26+P26+Q26</f>
        <v>0</v>
      </c>
      <c r="S26" s="23">
        <f t="shared" ref="S26:S34" si="49">M26+R26</f>
        <v>234050</v>
      </c>
      <c r="T26" s="7"/>
      <c r="W26" s="2">
        <v>13100</v>
      </c>
      <c r="X26" s="2">
        <v>0</v>
      </c>
      <c r="Y26" s="2">
        <v>10700</v>
      </c>
      <c r="Z26" s="2">
        <v>0</v>
      </c>
      <c r="AB26">
        <f>$AB$3-350</f>
        <v>13900</v>
      </c>
      <c r="AC26">
        <f>$AC$3-350</f>
        <v>14700</v>
      </c>
      <c r="AD26">
        <f>$AD$3-300</f>
        <v>11400</v>
      </c>
      <c r="AF26" s="32">
        <f t="shared" ref="AF26:AF31" si="50">AB26-W26</f>
        <v>800</v>
      </c>
      <c r="AG26" s="32"/>
      <c r="AH26" s="32">
        <f>AD26-Y26</f>
        <v>700</v>
      </c>
      <c r="AN26">
        <v>175</v>
      </c>
      <c r="AP26">
        <v>100</v>
      </c>
      <c r="AR26" s="32">
        <f t="shared" ref="AR26:AT26" si="51">AF26-AJ26-AN26</f>
        <v>625</v>
      </c>
      <c r="AS26" s="32">
        <f t="shared" si="51"/>
        <v>0</v>
      </c>
      <c r="AT26" s="32">
        <f t="shared" si="51"/>
        <v>600</v>
      </c>
      <c r="AV26" s="32"/>
      <c r="AW26" s="32"/>
      <c r="AX26" s="32"/>
      <c r="AY26" s="32"/>
      <c r="AZ26" s="32"/>
      <c r="BA26" s="32"/>
    </row>
    <row r="27" spans="1:53">
      <c r="A27" s="7" t="s">
        <v>30</v>
      </c>
      <c r="B27" s="21" t="s">
        <v>461</v>
      </c>
      <c r="C27" s="21" t="s">
        <v>158</v>
      </c>
      <c r="D27" s="21" t="s">
        <v>443</v>
      </c>
      <c r="E27" s="8">
        <v>20</v>
      </c>
      <c r="F27" s="8">
        <v>0</v>
      </c>
      <c r="G27" s="8"/>
      <c r="H27" s="53">
        <f t="shared" si="46"/>
        <v>20</v>
      </c>
      <c r="I27" s="23">
        <f t="shared" si="6"/>
        <v>13000</v>
      </c>
      <c r="J27" s="23">
        <f t="shared" si="7"/>
        <v>0</v>
      </c>
      <c r="K27" s="23">
        <f t="shared" si="8"/>
        <v>0</v>
      </c>
      <c r="L27" s="7"/>
      <c r="M27" s="60">
        <f t="shared" si="47"/>
        <v>13000</v>
      </c>
      <c r="N27" s="23"/>
      <c r="O27" s="23"/>
      <c r="P27" s="23"/>
      <c r="Q27" s="7"/>
      <c r="R27" s="60">
        <f t="shared" si="48"/>
        <v>0</v>
      </c>
      <c r="S27" s="23">
        <f t="shared" si="49"/>
        <v>13000</v>
      </c>
      <c r="T27" s="7"/>
      <c r="W27" s="2">
        <v>13000</v>
      </c>
      <c r="X27" s="2">
        <v>0</v>
      </c>
      <c r="Y27" s="2">
        <v>0</v>
      </c>
      <c r="Z27" s="2">
        <v>0</v>
      </c>
      <c r="AB27">
        <f>$AB$3-350</f>
        <v>13900</v>
      </c>
      <c r="AC27">
        <f>$AC$3-350</f>
        <v>14700</v>
      </c>
      <c r="AD27">
        <f>$AD$3-300</f>
        <v>11400</v>
      </c>
      <c r="AF27" s="32">
        <f t="shared" si="50"/>
        <v>900</v>
      </c>
      <c r="AG27" s="32"/>
      <c r="AH27" s="32"/>
      <c r="AJ27" s="32">
        <v>250</v>
      </c>
      <c r="AK27" s="32"/>
      <c r="AL27" s="32"/>
      <c r="AR27" s="32">
        <f t="shared" ref="AR27:AT27" si="52">AF27-AJ27-AN27</f>
        <v>650</v>
      </c>
      <c r="AS27" s="32">
        <f t="shared" si="52"/>
        <v>0</v>
      </c>
      <c r="AT27" s="32">
        <f t="shared" si="52"/>
        <v>0</v>
      </c>
      <c r="AV27" s="32"/>
      <c r="AW27" s="32"/>
      <c r="AX27" s="32"/>
      <c r="AY27" s="32"/>
      <c r="AZ27" s="32"/>
      <c r="BA27" s="32"/>
    </row>
    <row r="28" spans="1:53">
      <c r="A28" s="7" t="s">
        <v>31</v>
      </c>
      <c r="B28" s="21" t="s">
        <v>462</v>
      </c>
      <c r="C28" s="21" t="s">
        <v>152</v>
      </c>
      <c r="D28" s="21" t="s">
        <v>447</v>
      </c>
      <c r="E28" s="8">
        <v>8</v>
      </c>
      <c r="F28" s="8">
        <v>0</v>
      </c>
      <c r="G28" s="8"/>
      <c r="H28" s="53">
        <f t="shared" si="46"/>
        <v>8</v>
      </c>
      <c r="I28" s="23">
        <f t="shared" si="6"/>
        <v>5600</v>
      </c>
      <c r="J28" s="23">
        <f t="shared" si="7"/>
        <v>0</v>
      </c>
      <c r="K28" s="23">
        <f t="shared" si="8"/>
        <v>0</v>
      </c>
      <c r="L28" s="7"/>
      <c r="M28" s="60">
        <f t="shared" si="47"/>
        <v>5600</v>
      </c>
      <c r="N28" s="23"/>
      <c r="O28" s="23"/>
      <c r="P28" s="7"/>
      <c r="Q28" s="7"/>
      <c r="R28" s="60">
        <f t="shared" si="48"/>
        <v>0</v>
      </c>
      <c r="S28" s="23">
        <f t="shared" si="49"/>
        <v>5600</v>
      </c>
      <c r="T28" s="7"/>
      <c r="W28" s="2">
        <v>13200</v>
      </c>
      <c r="X28" s="2">
        <v>0</v>
      </c>
      <c r="Y28" s="2">
        <v>0</v>
      </c>
      <c r="Z28" s="2">
        <v>0</v>
      </c>
      <c r="AB28">
        <f>$AB$3-350</f>
        <v>13900</v>
      </c>
      <c r="AC28">
        <f>$AC$3-350</f>
        <v>14700</v>
      </c>
      <c r="AD28">
        <f>$AD$3-300</f>
        <v>11400</v>
      </c>
      <c r="AF28" s="32">
        <f t="shared" si="50"/>
        <v>700</v>
      </c>
      <c r="AG28" s="32"/>
      <c r="AH28" s="32"/>
      <c r="AR28" s="32">
        <f t="shared" ref="AR28:AT28" si="53">AF28-AJ28-AN28</f>
        <v>700</v>
      </c>
      <c r="AS28" s="32">
        <f t="shared" si="53"/>
        <v>0</v>
      </c>
      <c r="AT28" s="32">
        <f t="shared" si="53"/>
        <v>0</v>
      </c>
      <c r="AV28" s="32"/>
      <c r="AW28" s="32"/>
      <c r="AX28" s="32"/>
      <c r="AY28" s="32"/>
      <c r="AZ28" s="32"/>
      <c r="BA28" s="32"/>
    </row>
    <row r="29" spans="1:53">
      <c r="A29" s="7" t="s">
        <v>32</v>
      </c>
      <c r="B29" s="21" t="s">
        <v>463</v>
      </c>
      <c r="C29" s="21" t="s">
        <v>152</v>
      </c>
      <c r="D29" s="21" t="s">
        <v>423</v>
      </c>
      <c r="E29" s="8">
        <v>24</v>
      </c>
      <c r="F29" s="8">
        <v>0</v>
      </c>
      <c r="G29" s="8"/>
      <c r="H29" s="53">
        <f t="shared" si="46"/>
        <v>24</v>
      </c>
      <c r="I29" s="23">
        <f t="shared" si="6"/>
        <v>12600</v>
      </c>
      <c r="J29" s="23">
        <f t="shared" si="7"/>
        <v>0</v>
      </c>
      <c r="K29" s="23">
        <f t="shared" si="8"/>
        <v>0</v>
      </c>
      <c r="L29" s="23"/>
      <c r="M29" s="60">
        <f t="shared" si="47"/>
        <v>12600</v>
      </c>
      <c r="N29" s="23"/>
      <c r="O29" s="23"/>
      <c r="P29" s="7"/>
      <c r="Q29" s="23"/>
      <c r="R29" s="60">
        <f t="shared" si="48"/>
        <v>0</v>
      </c>
      <c r="S29" s="23">
        <f t="shared" si="49"/>
        <v>12600</v>
      </c>
      <c r="T29" s="7"/>
      <c r="W29" s="2">
        <v>13200</v>
      </c>
      <c r="X29" s="2">
        <v>0</v>
      </c>
      <c r="Y29" s="2">
        <v>0</v>
      </c>
      <c r="Z29" s="2">
        <v>0</v>
      </c>
      <c r="AB29">
        <f>$AB$3-350</f>
        <v>13900</v>
      </c>
      <c r="AC29">
        <f>$AC$3-350</f>
        <v>14700</v>
      </c>
      <c r="AD29">
        <f>$AD$3-300</f>
        <v>11400</v>
      </c>
      <c r="AF29" s="32">
        <f t="shared" si="50"/>
        <v>700</v>
      </c>
      <c r="AG29" s="32"/>
      <c r="AH29" s="32"/>
      <c r="AN29">
        <v>175</v>
      </c>
      <c r="AR29" s="32">
        <f t="shared" ref="AR29:AT29" si="54">AF29-AJ29-AN29</f>
        <v>525</v>
      </c>
      <c r="AS29" s="32">
        <f t="shared" si="54"/>
        <v>0</v>
      </c>
      <c r="AT29" s="32">
        <f t="shared" si="54"/>
        <v>0</v>
      </c>
      <c r="AV29" s="32"/>
      <c r="AW29" s="32"/>
      <c r="AX29" s="32"/>
      <c r="AY29" s="32"/>
      <c r="AZ29" s="32"/>
      <c r="BA29" s="32"/>
    </row>
    <row r="30" spans="1:53">
      <c r="A30" s="7" t="s">
        <v>33</v>
      </c>
      <c r="B30" s="21" t="s">
        <v>464</v>
      </c>
      <c r="C30" s="21" t="s">
        <v>152</v>
      </c>
      <c r="D30" s="21" t="s">
        <v>423</v>
      </c>
      <c r="E30" s="8">
        <v>24</v>
      </c>
      <c r="F30" s="8">
        <v>0</v>
      </c>
      <c r="G30" s="8"/>
      <c r="H30" s="53">
        <f t="shared" si="46"/>
        <v>24</v>
      </c>
      <c r="I30" s="23">
        <f t="shared" si="6"/>
        <v>17400</v>
      </c>
      <c r="J30" s="23">
        <f t="shared" si="7"/>
        <v>0</v>
      </c>
      <c r="K30" s="23">
        <f t="shared" si="8"/>
        <v>0</v>
      </c>
      <c r="L30" s="23"/>
      <c r="M30" s="60">
        <f t="shared" si="47"/>
        <v>17400</v>
      </c>
      <c r="N30" s="23"/>
      <c r="O30" s="23"/>
      <c r="P30" s="7"/>
      <c r="Q30" s="23"/>
      <c r="R30" s="60">
        <f t="shared" si="48"/>
        <v>0</v>
      </c>
      <c r="S30" s="23">
        <f t="shared" si="49"/>
        <v>17400</v>
      </c>
      <c r="T30" s="7"/>
      <c r="W30" s="2">
        <v>13000</v>
      </c>
      <c r="X30" s="2">
        <v>0</v>
      </c>
      <c r="Y30" s="2">
        <v>0</v>
      </c>
      <c r="Z30" s="2">
        <v>0</v>
      </c>
      <c r="AB30">
        <f>$AB$3-350</f>
        <v>13900</v>
      </c>
      <c r="AC30">
        <f>$AC$3-350</f>
        <v>14700</v>
      </c>
      <c r="AD30">
        <f>$AD$3-300</f>
        <v>11400</v>
      </c>
      <c r="AF30" s="32">
        <f t="shared" si="50"/>
        <v>900</v>
      </c>
      <c r="AG30" s="32"/>
      <c r="AH30" s="32"/>
      <c r="AN30">
        <v>175</v>
      </c>
      <c r="AR30" s="32">
        <f t="shared" ref="AR30:AT30" si="55">AF30-AJ30-AN30</f>
        <v>725</v>
      </c>
      <c r="AS30" s="32">
        <f t="shared" si="55"/>
        <v>0</v>
      </c>
      <c r="AT30" s="32">
        <f t="shared" si="55"/>
        <v>0</v>
      </c>
      <c r="AV30" s="32"/>
      <c r="AW30" s="32"/>
      <c r="AX30" s="32"/>
      <c r="AY30" s="32"/>
      <c r="AZ30" s="32"/>
      <c r="BA30" s="32"/>
    </row>
    <row r="31" spans="1:53">
      <c r="A31" s="7" t="s">
        <v>34</v>
      </c>
      <c r="B31" s="21" t="s">
        <v>465</v>
      </c>
      <c r="C31" s="21" t="s">
        <v>152</v>
      </c>
      <c r="D31" s="21" t="s">
        <v>447</v>
      </c>
      <c r="E31" s="8">
        <v>300</v>
      </c>
      <c r="F31" s="8">
        <v>0</v>
      </c>
      <c r="G31" s="8">
        <v>8</v>
      </c>
      <c r="H31" s="53">
        <f t="shared" si="46"/>
        <v>308</v>
      </c>
      <c r="I31" s="23">
        <f t="shared" si="6"/>
        <v>210000</v>
      </c>
      <c r="J31" s="23">
        <f t="shared" si="7"/>
        <v>0</v>
      </c>
      <c r="K31" s="23">
        <f t="shared" si="8"/>
        <v>5600</v>
      </c>
      <c r="L31" s="7"/>
      <c r="M31" s="60">
        <f t="shared" si="47"/>
        <v>215600</v>
      </c>
      <c r="N31" s="23"/>
      <c r="O31" s="23"/>
      <c r="P31" s="7"/>
      <c r="Q31" s="7"/>
      <c r="R31" s="60">
        <f t="shared" si="48"/>
        <v>0</v>
      </c>
      <c r="S31" s="23">
        <f t="shared" si="49"/>
        <v>215600</v>
      </c>
      <c r="T31" s="7"/>
      <c r="W31" s="2">
        <v>13200</v>
      </c>
      <c r="X31" s="2">
        <v>0</v>
      </c>
      <c r="Y31" s="2">
        <v>10700</v>
      </c>
      <c r="Z31" s="2">
        <v>0</v>
      </c>
      <c r="AB31">
        <f>$AB$3-350</f>
        <v>13900</v>
      </c>
      <c r="AC31">
        <f>$AC$3-350</f>
        <v>14700</v>
      </c>
      <c r="AD31">
        <f>$AD$3-300</f>
        <v>11400</v>
      </c>
      <c r="AF31" s="32">
        <f t="shared" si="50"/>
        <v>700</v>
      </c>
      <c r="AG31" s="32"/>
      <c r="AH31" s="32">
        <f t="shared" ref="AH31:AH33" si="56">AD31-Y31</f>
        <v>700</v>
      </c>
      <c r="AR31" s="32">
        <f t="shared" ref="AR31:AT31" si="57">AF31-AJ31-AN31</f>
        <v>700</v>
      </c>
      <c r="AS31" s="32">
        <f t="shared" si="57"/>
        <v>0</v>
      </c>
      <c r="AT31" s="32">
        <f t="shared" si="57"/>
        <v>700</v>
      </c>
      <c r="AV31" s="32"/>
      <c r="AW31" s="32"/>
      <c r="AX31" s="32"/>
      <c r="AY31" s="32"/>
      <c r="AZ31" s="32"/>
      <c r="BA31" s="32"/>
    </row>
    <row r="32" spans="1:53">
      <c r="A32" s="7" t="s">
        <v>35</v>
      </c>
      <c r="B32" s="21" t="s">
        <v>466</v>
      </c>
      <c r="C32" s="21" t="s">
        <v>152</v>
      </c>
      <c r="D32" s="21" t="s">
        <v>443</v>
      </c>
      <c r="E32" s="8">
        <v>0</v>
      </c>
      <c r="F32" s="8">
        <v>0</v>
      </c>
      <c r="G32" s="8">
        <v>16</v>
      </c>
      <c r="H32" s="53">
        <f t="shared" si="46"/>
        <v>16</v>
      </c>
      <c r="I32" s="23">
        <f t="shared" si="6"/>
        <v>0</v>
      </c>
      <c r="J32" s="23">
        <f t="shared" si="7"/>
        <v>0</v>
      </c>
      <c r="K32" s="23">
        <f t="shared" si="8"/>
        <v>9600</v>
      </c>
      <c r="L32" s="7"/>
      <c r="M32" s="60">
        <f t="shared" si="47"/>
        <v>9600</v>
      </c>
      <c r="N32" s="23"/>
      <c r="O32" s="23"/>
      <c r="P32" s="23"/>
      <c r="Q32" s="7"/>
      <c r="R32" s="60">
        <f t="shared" si="48"/>
        <v>0</v>
      </c>
      <c r="S32" s="23">
        <f t="shared" si="49"/>
        <v>9600</v>
      </c>
      <c r="T32" s="7"/>
      <c r="W32" s="2">
        <v>0</v>
      </c>
      <c r="X32" s="2">
        <v>0</v>
      </c>
      <c r="Y32" s="2">
        <v>10600</v>
      </c>
      <c r="Z32" s="2">
        <v>0</v>
      </c>
      <c r="AB32">
        <f>$AB$3-350</f>
        <v>13900</v>
      </c>
      <c r="AC32">
        <f>$AC$3-350</f>
        <v>14700</v>
      </c>
      <c r="AD32">
        <f>$AD$3-300</f>
        <v>11400</v>
      </c>
      <c r="AF32" s="32"/>
      <c r="AG32" s="32"/>
      <c r="AH32" s="32">
        <f t="shared" si="56"/>
        <v>800</v>
      </c>
      <c r="AJ32" s="32"/>
      <c r="AK32" s="32"/>
      <c r="AL32" s="32">
        <v>200</v>
      </c>
      <c r="AR32" s="32">
        <f t="shared" ref="AR32:AT32" si="58">AF32-AJ32-AN32</f>
        <v>0</v>
      </c>
      <c r="AS32" s="32">
        <f t="shared" si="58"/>
        <v>0</v>
      </c>
      <c r="AT32" s="32">
        <f t="shared" si="58"/>
        <v>600</v>
      </c>
      <c r="AV32" s="32"/>
      <c r="AW32" s="32"/>
      <c r="AX32" s="32"/>
      <c r="AY32" s="32"/>
      <c r="AZ32" s="32"/>
      <c r="BA32" s="32"/>
    </row>
    <row r="33" spans="1:53">
      <c r="A33" s="7" t="s">
        <v>36</v>
      </c>
      <c r="B33" s="21" t="s">
        <v>467</v>
      </c>
      <c r="C33" s="21" t="s">
        <v>152</v>
      </c>
      <c r="D33" s="21" t="s">
        <v>447</v>
      </c>
      <c r="E33" s="8">
        <v>20</v>
      </c>
      <c r="F33" s="8">
        <v>0</v>
      </c>
      <c r="G33" s="8"/>
      <c r="H33" s="53">
        <f t="shared" si="46"/>
        <v>20</v>
      </c>
      <c r="I33" s="23">
        <f t="shared" si="6"/>
        <v>12000</v>
      </c>
      <c r="J33" s="23">
        <f t="shared" si="7"/>
        <v>0</v>
      </c>
      <c r="K33" s="23">
        <f t="shared" si="8"/>
        <v>0</v>
      </c>
      <c r="L33" s="7"/>
      <c r="M33" s="60">
        <f t="shared" si="47"/>
        <v>12000</v>
      </c>
      <c r="N33" s="23"/>
      <c r="O33" s="23"/>
      <c r="P33" s="7"/>
      <c r="Q33" s="7"/>
      <c r="R33" s="60">
        <f t="shared" si="48"/>
        <v>0</v>
      </c>
      <c r="S33" s="23">
        <f t="shared" si="49"/>
        <v>12000</v>
      </c>
      <c r="T33" s="7"/>
      <c r="W33" s="2">
        <v>13300</v>
      </c>
      <c r="X33" s="2">
        <v>0</v>
      </c>
      <c r="Y33" s="2">
        <v>10800</v>
      </c>
      <c r="Z33" s="2">
        <v>0</v>
      </c>
      <c r="AB33">
        <f>$AB$3-350</f>
        <v>13900</v>
      </c>
      <c r="AC33">
        <f>$AC$3-350</f>
        <v>14700</v>
      </c>
      <c r="AD33">
        <f>$AD$3-300</f>
        <v>11400</v>
      </c>
      <c r="AF33" s="32">
        <f t="shared" ref="AF33:AF39" si="59">AB33-W33</f>
        <v>600</v>
      </c>
      <c r="AG33" s="32"/>
      <c r="AH33" s="32">
        <f t="shared" si="56"/>
        <v>600</v>
      </c>
      <c r="AR33" s="32">
        <f t="shared" ref="AR33:AT33" si="60">AF33-AJ33-AN33</f>
        <v>600</v>
      </c>
      <c r="AS33" s="32">
        <f t="shared" si="60"/>
        <v>0</v>
      </c>
      <c r="AT33" s="32">
        <f t="shared" si="60"/>
        <v>600</v>
      </c>
      <c r="AV33" s="32"/>
      <c r="AW33" s="32"/>
      <c r="AX33" s="32"/>
      <c r="AY33" s="32"/>
      <c r="AZ33" s="32"/>
      <c r="BA33" s="32"/>
    </row>
    <row r="34" spans="1:53">
      <c r="A34" s="7" t="s">
        <v>37</v>
      </c>
      <c r="B34" s="21" t="s">
        <v>468</v>
      </c>
      <c r="C34" s="21" t="s">
        <v>152</v>
      </c>
      <c r="D34" s="21" t="s">
        <v>447</v>
      </c>
      <c r="E34" s="8">
        <v>17</v>
      </c>
      <c r="F34" s="8">
        <v>27</v>
      </c>
      <c r="G34" s="8"/>
      <c r="H34" s="53">
        <f t="shared" si="46"/>
        <v>44</v>
      </c>
      <c r="I34" s="23">
        <f t="shared" si="6"/>
        <v>15300</v>
      </c>
      <c r="J34" s="23">
        <f t="shared" si="7"/>
        <v>24300</v>
      </c>
      <c r="K34" s="23">
        <f t="shared" si="8"/>
        <v>0</v>
      </c>
      <c r="L34" s="7"/>
      <c r="M34" s="60">
        <f t="shared" si="47"/>
        <v>39600</v>
      </c>
      <c r="N34" s="23"/>
      <c r="O34" s="23"/>
      <c r="P34" s="7"/>
      <c r="Q34" s="7"/>
      <c r="R34" s="60">
        <f t="shared" si="48"/>
        <v>0</v>
      </c>
      <c r="S34" s="23">
        <f t="shared" si="49"/>
        <v>39600</v>
      </c>
      <c r="T34" s="7"/>
      <c r="W34" s="2">
        <v>13000</v>
      </c>
      <c r="X34" s="2">
        <v>13800</v>
      </c>
      <c r="Y34" s="2">
        <v>0</v>
      </c>
      <c r="Z34" s="2">
        <v>0</v>
      </c>
      <c r="AB34">
        <f>$AB$3-350</f>
        <v>13900</v>
      </c>
      <c r="AC34">
        <f>$AC$3-350</f>
        <v>14700</v>
      </c>
      <c r="AD34">
        <f>$AD$3-300</f>
        <v>11400</v>
      </c>
      <c r="AF34" s="32">
        <f t="shared" si="59"/>
        <v>900</v>
      </c>
      <c r="AG34" s="32">
        <f>AC34-X34</f>
        <v>900</v>
      </c>
      <c r="AH34" s="32"/>
      <c r="AR34" s="32">
        <f t="shared" ref="AR34:AT34" si="61">AF34-AJ34-AN34</f>
        <v>900</v>
      </c>
      <c r="AS34" s="32">
        <f t="shared" si="61"/>
        <v>900</v>
      </c>
      <c r="AT34" s="32">
        <f t="shared" si="61"/>
        <v>0</v>
      </c>
      <c r="AV34" s="32"/>
      <c r="AW34" s="32"/>
      <c r="AX34" s="32"/>
      <c r="AY34" s="32"/>
      <c r="AZ34" s="32"/>
      <c r="BA34" s="32"/>
    </row>
    <row r="35" spans="1:53">
      <c r="A35" s="54" t="s">
        <v>28</v>
      </c>
      <c r="B35" s="21"/>
      <c r="C35" s="21"/>
      <c r="D35" s="21"/>
      <c r="E35" s="14">
        <f t="shared" ref="E35:S35" si="62">SUM(E26:E34)</f>
        <v>607</v>
      </c>
      <c r="F35" s="14">
        <f t="shared" si="62"/>
        <v>27</v>
      </c>
      <c r="G35" s="14">
        <f t="shared" si="62"/>
        <v>212</v>
      </c>
      <c r="H35" s="14">
        <f t="shared" si="62"/>
        <v>846</v>
      </c>
      <c r="I35" s="14">
        <f t="shared" si="62"/>
        <v>407150</v>
      </c>
      <c r="J35" s="14">
        <f t="shared" si="62"/>
        <v>24300</v>
      </c>
      <c r="K35" s="14">
        <f t="shared" si="62"/>
        <v>128000</v>
      </c>
      <c r="L35" s="14">
        <f t="shared" si="62"/>
        <v>0</v>
      </c>
      <c r="M35" s="14">
        <f t="shared" si="62"/>
        <v>559450</v>
      </c>
      <c r="N35" s="14">
        <f t="shared" si="62"/>
        <v>0</v>
      </c>
      <c r="O35" s="14">
        <f t="shared" si="62"/>
        <v>0</v>
      </c>
      <c r="P35" s="14">
        <f t="shared" si="62"/>
        <v>0</v>
      </c>
      <c r="Q35" s="14">
        <f t="shared" si="62"/>
        <v>0</v>
      </c>
      <c r="R35" s="14">
        <f t="shared" si="62"/>
        <v>0</v>
      </c>
      <c r="S35" s="14">
        <f t="shared" si="62"/>
        <v>559450</v>
      </c>
      <c r="T35" s="7"/>
      <c r="W35" s="2">
        <v>0</v>
      </c>
      <c r="X35" s="2">
        <v>0</v>
      </c>
      <c r="Y35" s="2">
        <v>0</v>
      </c>
      <c r="Z35" s="2">
        <v>0</v>
      </c>
      <c r="AB35">
        <f>$AB$3-350</f>
        <v>13900</v>
      </c>
      <c r="AC35">
        <f>$AC$3-350</f>
        <v>14700</v>
      </c>
      <c r="AD35">
        <f>$AD$3-300</f>
        <v>11400</v>
      </c>
      <c r="AF35" s="32"/>
      <c r="AG35" s="32"/>
      <c r="AH35" s="32"/>
      <c r="AR35" s="32">
        <f t="shared" ref="AR35:AT35" si="63">AF35-AJ35-AN35</f>
        <v>0</v>
      </c>
      <c r="AS35" s="32">
        <f t="shared" si="63"/>
        <v>0</v>
      </c>
      <c r="AT35" s="32">
        <f t="shared" si="63"/>
        <v>0</v>
      </c>
      <c r="AV35" s="32"/>
      <c r="AW35" s="32"/>
      <c r="AX35" s="32"/>
      <c r="AY35" s="32"/>
      <c r="AZ35" s="32"/>
      <c r="BA35" s="32"/>
    </row>
    <row r="36" spans="1:53">
      <c r="A36" s="7" t="s">
        <v>39</v>
      </c>
      <c r="B36" s="21" t="s">
        <v>469</v>
      </c>
      <c r="C36" s="21" t="s">
        <v>158</v>
      </c>
      <c r="D36" s="21" t="s">
        <v>443</v>
      </c>
      <c r="E36" s="8">
        <v>140</v>
      </c>
      <c r="F36" s="8">
        <v>0</v>
      </c>
      <c r="G36" s="8"/>
      <c r="H36" s="53">
        <f t="shared" ref="H36:H39" si="64">E36+F36+G36</f>
        <v>140</v>
      </c>
      <c r="I36" s="23">
        <f t="shared" si="6"/>
        <v>161000</v>
      </c>
      <c r="J36" s="23">
        <f t="shared" si="7"/>
        <v>0</v>
      </c>
      <c r="K36" s="23">
        <f t="shared" si="8"/>
        <v>0</v>
      </c>
      <c r="L36" s="7"/>
      <c r="M36" s="60">
        <f t="shared" ref="M36:M39" si="65">I36+J36+K36+L36</f>
        <v>161000</v>
      </c>
      <c r="N36" s="23"/>
      <c r="O36" s="23"/>
      <c r="P36" s="23"/>
      <c r="Q36" s="7"/>
      <c r="R36" s="60">
        <f t="shared" ref="R36:R39" si="66">N36+O36+P36+Q36</f>
        <v>0</v>
      </c>
      <c r="S36" s="23">
        <f t="shared" ref="S36:S39" si="67">M36+R36</f>
        <v>161000</v>
      </c>
      <c r="T36" s="7"/>
      <c r="W36" s="2">
        <v>12500</v>
      </c>
      <c r="X36" s="2">
        <v>0</v>
      </c>
      <c r="Y36" s="2">
        <v>0</v>
      </c>
      <c r="Z36" s="2">
        <v>0</v>
      </c>
      <c r="AB36">
        <f>$AB$3-350</f>
        <v>13900</v>
      </c>
      <c r="AC36">
        <f>$AC$3-350</f>
        <v>14700</v>
      </c>
      <c r="AD36">
        <f>$AD$3-300</f>
        <v>11400</v>
      </c>
      <c r="AF36" s="32">
        <f t="shared" si="59"/>
        <v>1400</v>
      </c>
      <c r="AG36" s="32"/>
      <c r="AH36" s="32"/>
      <c r="AJ36" s="32">
        <v>250</v>
      </c>
      <c r="AK36" s="32"/>
      <c r="AL36" s="32"/>
      <c r="AR36" s="32">
        <f t="shared" ref="AR36:AT36" si="68">AF36-AJ36-AN36</f>
        <v>1150</v>
      </c>
      <c r="AS36" s="32">
        <f t="shared" si="68"/>
        <v>0</v>
      </c>
      <c r="AT36" s="32">
        <f t="shared" si="68"/>
        <v>0</v>
      </c>
      <c r="AV36" s="32"/>
      <c r="AW36" s="32"/>
      <c r="AX36" s="32"/>
      <c r="AY36" s="32"/>
      <c r="AZ36" s="32"/>
      <c r="BA36" s="32"/>
    </row>
    <row r="37" spans="1:53">
      <c r="A37" s="7" t="s">
        <v>40</v>
      </c>
      <c r="B37" s="21" t="s">
        <v>470</v>
      </c>
      <c r="C37" s="21" t="s">
        <v>152</v>
      </c>
      <c r="D37" s="21" t="s">
        <v>443</v>
      </c>
      <c r="E37" s="8">
        <v>42</v>
      </c>
      <c r="F37" s="8">
        <v>0</v>
      </c>
      <c r="G37" s="8"/>
      <c r="H37" s="53">
        <f t="shared" si="64"/>
        <v>42</v>
      </c>
      <c r="I37" s="23">
        <f t="shared" si="6"/>
        <v>6300</v>
      </c>
      <c r="J37" s="23">
        <f t="shared" si="7"/>
        <v>0</v>
      </c>
      <c r="K37" s="23">
        <f t="shared" si="8"/>
        <v>0</v>
      </c>
      <c r="L37" s="7"/>
      <c r="M37" s="60">
        <f t="shared" si="65"/>
        <v>6300</v>
      </c>
      <c r="N37" s="23"/>
      <c r="O37" s="23"/>
      <c r="P37" s="23"/>
      <c r="Q37" s="7"/>
      <c r="R37" s="60">
        <f t="shared" si="66"/>
        <v>0</v>
      </c>
      <c r="S37" s="23">
        <f t="shared" si="67"/>
        <v>6300</v>
      </c>
      <c r="T37" s="7"/>
      <c r="W37" s="2">
        <v>13500</v>
      </c>
      <c r="X37" s="2">
        <v>0</v>
      </c>
      <c r="Y37" s="2">
        <v>0</v>
      </c>
      <c r="Z37" s="2">
        <v>0</v>
      </c>
      <c r="AB37">
        <f>$AB$3-350</f>
        <v>13900</v>
      </c>
      <c r="AC37">
        <f>$AC$3-350</f>
        <v>14700</v>
      </c>
      <c r="AD37">
        <f>$AD$3-300</f>
        <v>11400</v>
      </c>
      <c r="AF37" s="32">
        <f t="shared" si="59"/>
        <v>400</v>
      </c>
      <c r="AG37" s="32"/>
      <c r="AH37" s="32"/>
      <c r="AJ37" s="32">
        <v>250</v>
      </c>
      <c r="AK37" s="32"/>
      <c r="AL37" s="32"/>
      <c r="AR37" s="32">
        <f t="shared" ref="AR37:AT37" si="69">AF37-AJ37-AN37</f>
        <v>150</v>
      </c>
      <c r="AS37" s="32">
        <f t="shared" si="69"/>
        <v>0</v>
      </c>
      <c r="AT37" s="32">
        <f t="shared" si="69"/>
        <v>0</v>
      </c>
      <c r="AV37" s="32"/>
      <c r="AW37" s="32"/>
      <c r="AX37" s="32"/>
      <c r="AY37" s="32"/>
      <c r="AZ37" s="32"/>
      <c r="BA37" s="32"/>
    </row>
    <row r="38" spans="1:53">
      <c r="A38" s="7" t="s">
        <v>41</v>
      </c>
      <c r="B38" s="21" t="s">
        <v>471</v>
      </c>
      <c r="C38" s="21" t="s">
        <v>158</v>
      </c>
      <c r="D38" s="21" t="s">
        <v>443</v>
      </c>
      <c r="E38" s="8">
        <v>2</v>
      </c>
      <c r="F38" s="8">
        <v>0</v>
      </c>
      <c r="G38" s="8"/>
      <c r="H38" s="53">
        <f t="shared" si="64"/>
        <v>2</v>
      </c>
      <c r="I38" s="23">
        <f t="shared" ref="I38:I69" si="70">E38*AR38</f>
        <v>0</v>
      </c>
      <c r="J38" s="23">
        <f t="shared" ref="J38:J69" si="71">F38*AS38</f>
        <v>0</v>
      </c>
      <c r="K38" s="23">
        <f t="shared" ref="K38:K69" si="72">G38*AT38</f>
        <v>0</v>
      </c>
      <c r="L38" s="7"/>
      <c r="M38" s="60">
        <f t="shared" si="65"/>
        <v>0</v>
      </c>
      <c r="N38" s="23"/>
      <c r="O38" s="23"/>
      <c r="P38" s="23"/>
      <c r="Q38" s="7"/>
      <c r="R38" s="60">
        <f t="shared" si="66"/>
        <v>0</v>
      </c>
      <c r="S38" s="23">
        <f t="shared" si="67"/>
        <v>0</v>
      </c>
      <c r="T38" s="7"/>
      <c r="W38" s="2">
        <v>13650</v>
      </c>
      <c r="X38" s="2">
        <v>0</v>
      </c>
      <c r="Y38" s="2">
        <v>0</v>
      </c>
      <c r="Z38" s="2">
        <v>0</v>
      </c>
      <c r="AB38">
        <f>$AB$3-350</f>
        <v>13900</v>
      </c>
      <c r="AC38">
        <f>$AC$3-350</f>
        <v>14700</v>
      </c>
      <c r="AD38">
        <f>$AD$3-300</f>
        <v>11400</v>
      </c>
      <c r="AF38" s="32">
        <f t="shared" si="59"/>
        <v>250</v>
      </c>
      <c r="AG38" s="32"/>
      <c r="AH38" s="32"/>
      <c r="AJ38" s="32">
        <v>250</v>
      </c>
      <c r="AK38" s="32"/>
      <c r="AL38" s="32"/>
      <c r="AR38" s="32">
        <f t="shared" ref="AR38:AT38" si="73">AF38-AJ38-AN38</f>
        <v>0</v>
      </c>
      <c r="AS38" s="32">
        <f t="shared" si="73"/>
        <v>0</v>
      </c>
      <c r="AT38" s="32">
        <f t="shared" si="73"/>
        <v>0</v>
      </c>
      <c r="AV38" s="32"/>
      <c r="AW38" s="32"/>
      <c r="AX38" s="32"/>
      <c r="AY38" s="32"/>
      <c r="AZ38" s="32"/>
      <c r="BA38" s="32"/>
    </row>
    <row r="39" spans="1:53">
      <c r="A39" s="7" t="s">
        <v>42</v>
      </c>
      <c r="B39" s="21" t="s">
        <v>472</v>
      </c>
      <c r="C39" s="21" t="s">
        <v>152</v>
      </c>
      <c r="D39" s="21" t="s">
        <v>423</v>
      </c>
      <c r="E39" s="8">
        <v>60</v>
      </c>
      <c r="F39" s="8">
        <v>0</v>
      </c>
      <c r="G39" s="8"/>
      <c r="H39" s="53">
        <f t="shared" si="64"/>
        <v>60</v>
      </c>
      <c r="I39" s="23">
        <f t="shared" si="70"/>
        <v>37500</v>
      </c>
      <c r="J39" s="23">
        <f t="shared" si="71"/>
        <v>0</v>
      </c>
      <c r="K39" s="23">
        <f t="shared" si="72"/>
        <v>0</v>
      </c>
      <c r="L39" s="23"/>
      <c r="M39" s="60">
        <f t="shared" si="65"/>
        <v>37500</v>
      </c>
      <c r="N39" s="23"/>
      <c r="O39" s="23"/>
      <c r="P39" s="7"/>
      <c r="Q39" s="23"/>
      <c r="R39" s="60">
        <f t="shared" si="66"/>
        <v>0</v>
      </c>
      <c r="S39" s="23">
        <f t="shared" si="67"/>
        <v>37500</v>
      </c>
      <c r="T39" s="7"/>
      <c r="W39" s="2">
        <v>13100</v>
      </c>
      <c r="X39" s="2">
        <v>0</v>
      </c>
      <c r="Y39" s="2">
        <v>0</v>
      </c>
      <c r="Z39" s="2">
        <v>0</v>
      </c>
      <c r="AB39">
        <f>$AB$3-350</f>
        <v>13900</v>
      </c>
      <c r="AC39">
        <f>$AC$3-350</f>
        <v>14700</v>
      </c>
      <c r="AD39">
        <f>$AD$3-300</f>
        <v>11400</v>
      </c>
      <c r="AF39" s="32">
        <f t="shared" si="59"/>
        <v>800</v>
      </c>
      <c r="AG39" s="32"/>
      <c r="AH39" s="32"/>
      <c r="AN39">
        <v>175</v>
      </c>
      <c r="AR39" s="32">
        <f t="shared" ref="AR39:AT39" si="74">AF39-AJ39-AN39</f>
        <v>625</v>
      </c>
      <c r="AS39" s="32">
        <f t="shared" si="74"/>
        <v>0</v>
      </c>
      <c r="AT39" s="32">
        <f t="shared" si="74"/>
        <v>0</v>
      </c>
      <c r="AV39" s="32"/>
      <c r="AW39" s="32"/>
      <c r="AX39" s="32"/>
      <c r="AY39" s="32"/>
      <c r="AZ39" s="32"/>
      <c r="BA39" s="32"/>
    </row>
    <row r="40" spans="1:53">
      <c r="A40" s="54" t="s">
        <v>38</v>
      </c>
      <c r="B40" s="21"/>
      <c r="C40" s="21"/>
      <c r="D40" s="21"/>
      <c r="E40" s="14">
        <f t="shared" ref="E40:S40" si="75">SUM(E36:E39)</f>
        <v>244</v>
      </c>
      <c r="F40" s="14">
        <f t="shared" si="75"/>
        <v>0</v>
      </c>
      <c r="G40" s="14">
        <f t="shared" si="75"/>
        <v>0</v>
      </c>
      <c r="H40" s="14">
        <f t="shared" si="75"/>
        <v>244</v>
      </c>
      <c r="I40" s="14">
        <f t="shared" si="75"/>
        <v>204800</v>
      </c>
      <c r="J40" s="14">
        <f t="shared" si="75"/>
        <v>0</v>
      </c>
      <c r="K40" s="14">
        <f t="shared" si="75"/>
        <v>0</v>
      </c>
      <c r="L40" s="14">
        <f t="shared" si="75"/>
        <v>0</v>
      </c>
      <c r="M40" s="14">
        <f t="shared" si="75"/>
        <v>204800</v>
      </c>
      <c r="N40" s="14">
        <f t="shared" si="75"/>
        <v>0</v>
      </c>
      <c r="O40" s="14">
        <f t="shared" si="75"/>
        <v>0</v>
      </c>
      <c r="P40" s="14">
        <f t="shared" si="75"/>
        <v>0</v>
      </c>
      <c r="Q40" s="14">
        <f t="shared" si="75"/>
        <v>0</v>
      </c>
      <c r="R40" s="14">
        <f t="shared" si="75"/>
        <v>0</v>
      </c>
      <c r="S40" s="14">
        <f t="shared" si="75"/>
        <v>204800</v>
      </c>
      <c r="T40" s="7"/>
      <c r="W40" s="2">
        <v>0</v>
      </c>
      <c r="X40" s="2">
        <v>0</v>
      </c>
      <c r="Y40" s="2">
        <v>0</v>
      </c>
      <c r="Z40" s="2">
        <v>0</v>
      </c>
      <c r="AB40">
        <f>$AB$3-350</f>
        <v>13900</v>
      </c>
      <c r="AC40">
        <f>$AC$3-350</f>
        <v>14700</v>
      </c>
      <c r="AD40">
        <f>$AD$3-300</f>
        <v>11400</v>
      </c>
      <c r="AF40" s="32"/>
      <c r="AG40" s="32"/>
      <c r="AH40" s="32"/>
      <c r="AR40" s="32">
        <f t="shared" ref="AR40:AT40" si="76">AF40-AJ40-AN40</f>
        <v>0</v>
      </c>
      <c r="AS40" s="32">
        <f t="shared" si="76"/>
        <v>0</v>
      </c>
      <c r="AT40" s="32">
        <f t="shared" si="76"/>
        <v>0</v>
      </c>
      <c r="AV40" s="32"/>
      <c r="AW40" s="32"/>
      <c r="AX40" s="32"/>
      <c r="AY40" s="32"/>
      <c r="AZ40" s="32"/>
      <c r="BA40" s="32"/>
    </row>
    <row r="41" spans="1:53">
      <c r="A41" s="7" t="s">
        <v>44</v>
      </c>
      <c r="B41" s="21" t="s">
        <v>473</v>
      </c>
      <c r="C41" s="21" t="s">
        <v>152</v>
      </c>
      <c r="D41" s="21" t="s">
        <v>423</v>
      </c>
      <c r="E41" s="8">
        <v>0</v>
      </c>
      <c r="F41" s="8">
        <v>0</v>
      </c>
      <c r="G41" s="8">
        <v>84</v>
      </c>
      <c r="H41" s="53">
        <f t="shared" ref="H41:H45" si="77">E41+F41+G41</f>
        <v>84</v>
      </c>
      <c r="I41" s="23">
        <f t="shared" si="70"/>
        <v>0</v>
      </c>
      <c r="J41" s="23">
        <f t="shared" si="71"/>
        <v>0</v>
      </c>
      <c r="K41" s="23">
        <f t="shared" si="72"/>
        <v>25200</v>
      </c>
      <c r="L41" s="23"/>
      <c r="M41" s="60">
        <f t="shared" ref="M41:M45" si="78">I41+J41+K41+L41</f>
        <v>25200</v>
      </c>
      <c r="N41" s="23"/>
      <c r="O41" s="23"/>
      <c r="P41" s="7"/>
      <c r="Q41" s="23"/>
      <c r="R41" s="60">
        <f t="shared" ref="R41:R45" si="79">N41+O41+P41+Q41</f>
        <v>0</v>
      </c>
      <c r="S41" s="23">
        <f t="shared" ref="S41:S45" si="80">M41+R41</f>
        <v>25200</v>
      </c>
      <c r="T41" s="7"/>
      <c r="W41" s="2">
        <v>0</v>
      </c>
      <c r="X41" s="2">
        <v>0</v>
      </c>
      <c r="Y41" s="2">
        <v>7800</v>
      </c>
      <c r="Z41" s="2"/>
      <c r="AB41">
        <f>$AB$3-350</f>
        <v>13900</v>
      </c>
      <c r="AC41">
        <f>$AC$3-350</f>
        <v>14700</v>
      </c>
      <c r="AD41">
        <v>8200</v>
      </c>
      <c r="AF41" s="32"/>
      <c r="AG41" s="32"/>
      <c r="AH41" s="32">
        <f t="shared" ref="AH41:AH44" si="81">AD41-Y41</f>
        <v>400</v>
      </c>
      <c r="AP41">
        <v>100</v>
      </c>
      <c r="AR41" s="32">
        <f t="shared" ref="AR41:AT41" si="82">AF41-AJ41-AN41</f>
        <v>0</v>
      </c>
      <c r="AS41" s="32">
        <f t="shared" si="82"/>
        <v>0</v>
      </c>
      <c r="AT41" s="32">
        <f t="shared" si="82"/>
        <v>300</v>
      </c>
      <c r="AV41" s="32"/>
      <c r="AW41" s="32"/>
      <c r="AX41" s="32"/>
      <c r="AY41" s="32"/>
      <c r="AZ41" s="32"/>
      <c r="BA41" s="32"/>
    </row>
    <row r="42" s="52" customFormat="1" spans="1:53">
      <c r="A42" s="55" t="s">
        <v>45</v>
      </c>
      <c r="B42" s="43" t="s">
        <v>474</v>
      </c>
      <c r="C42" s="43" t="s">
        <v>152</v>
      </c>
      <c r="D42" s="43" t="s">
        <v>423</v>
      </c>
      <c r="E42" s="12">
        <v>0</v>
      </c>
      <c r="F42" s="12">
        <v>0</v>
      </c>
      <c r="G42" s="12">
        <v>8</v>
      </c>
      <c r="H42" s="56">
        <f t="shared" si="77"/>
        <v>8</v>
      </c>
      <c r="I42" s="23">
        <f t="shared" si="70"/>
        <v>0</v>
      </c>
      <c r="J42" s="23">
        <f t="shared" si="71"/>
        <v>0</v>
      </c>
      <c r="K42" s="23">
        <f t="shared" si="72"/>
        <v>0</v>
      </c>
      <c r="L42" s="23"/>
      <c r="M42" s="61">
        <f t="shared" si="78"/>
        <v>0</v>
      </c>
      <c r="N42" s="61"/>
      <c r="O42" s="61"/>
      <c r="P42" s="55"/>
      <c r="Q42" s="23"/>
      <c r="R42" s="61">
        <f t="shared" si="79"/>
        <v>0</v>
      </c>
      <c r="S42" s="61">
        <f t="shared" si="80"/>
        <v>0</v>
      </c>
      <c r="T42" s="55"/>
      <c r="W42" s="67">
        <v>0</v>
      </c>
      <c r="X42" s="67">
        <v>0</v>
      </c>
      <c r="Y42" s="67">
        <v>0</v>
      </c>
      <c r="Z42" s="67">
        <v>0</v>
      </c>
      <c r="AB42" s="52">
        <f>$AB$3-350</f>
        <v>13900</v>
      </c>
      <c r="AC42" s="52">
        <f>$AC$3-350</f>
        <v>14700</v>
      </c>
      <c r="AD42" s="52">
        <f>$AD$3-300</f>
        <v>11400</v>
      </c>
      <c r="AF42" s="69"/>
      <c r="AG42" s="69"/>
      <c r="AH42" s="69"/>
      <c r="AR42" s="32">
        <f t="shared" ref="AR42:AT42" si="83">AF42-AJ42-AN42</f>
        <v>0</v>
      </c>
      <c r="AS42" s="32">
        <f t="shared" si="83"/>
        <v>0</v>
      </c>
      <c r="AT42" s="32">
        <f t="shared" si="83"/>
        <v>0</v>
      </c>
      <c r="AV42" s="32"/>
      <c r="AW42" s="32"/>
      <c r="AX42" s="32"/>
      <c r="AY42" s="32"/>
      <c r="AZ42" s="32"/>
      <c r="BA42" s="32"/>
    </row>
    <row r="43" spans="1:53">
      <c r="A43" s="7" t="s">
        <v>46</v>
      </c>
      <c r="B43" s="21" t="s">
        <v>475</v>
      </c>
      <c r="C43" s="21" t="s">
        <v>152</v>
      </c>
      <c r="D43" s="21" t="s">
        <v>447</v>
      </c>
      <c r="E43" s="8">
        <v>33</v>
      </c>
      <c r="F43" s="8">
        <v>0</v>
      </c>
      <c r="G43" s="8">
        <v>51</v>
      </c>
      <c r="H43" s="53">
        <f t="shared" si="77"/>
        <v>84</v>
      </c>
      <c r="I43" s="23">
        <f t="shared" si="70"/>
        <v>15675</v>
      </c>
      <c r="J43" s="23">
        <f t="shared" si="71"/>
        <v>0</v>
      </c>
      <c r="K43" s="23">
        <f t="shared" si="72"/>
        <v>20400</v>
      </c>
      <c r="L43" s="7"/>
      <c r="M43" s="60">
        <f t="shared" si="78"/>
        <v>36075</v>
      </c>
      <c r="N43" s="23"/>
      <c r="O43" s="23"/>
      <c r="P43" s="7"/>
      <c r="Q43" s="7"/>
      <c r="R43" s="60">
        <f t="shared" si="79"/>
        <v>0</v>
      </c>
      <c r="S43" s="23">
        <f t="shared" si="80"/>
        <v>36075</v>
      </c>
      <c r="T43" s="7"/>
      <c r="W43" s="2">
        <v>13425</v>
      </c>
      <c r="X43" s="2">
        <v>0</v>
      </c>
      <c r="Y43" s="2">
        <v>11000</v>
      </c>
      <c r="Z43" s="2">
        <v>0</v>
      </c>
      <c r="AB43">
        <f>$AB$3-350</f>
        <v>13900</v>
      </c>
      <c r="AC43">
        <f>$AC$3-350</f>
        <v>14700</v>
      </c>
      <c r="AD43">
        <f>$AD$3-300</f>
        <v>11400</v>
      </c>
      <c r="AF43" s="32">
        <f t="shared" ref="AF43:AF45" si="84">AB43-W43</f>
        <v>475</v>
      </c>
      <c r="AG43" s="32"/>
      <c r="AH43" s="32">
        <f t="shared" si="81"/>
        <v>400</v>
      </c>
      <c r="AR43" s="32">
        <f t="shared" ref="AR43:AT43" si="85">AF43-AJ43-AN43</f>
        <v>475</v>
      </c>
      <c r="AS43" s="32">
        <f t="shared" si="85"/>
        <v>0</v>
      </c>
      <c r="AT43" s="32">
        <f t="shared" si="85"/>
        <v>400</v>
      </c>
      <c r="AV43" s="32"/>
      <c r="AW43" s="32"/>
      <c r="AX43" s="32"/>
      <c r="AY43" s="32"/>
      <c r="AZ43" s="32"/>
      <c r="BA43" s="32"/>
    </row>
    <row r="44" spans="1:53">
      <c r="A44" s="7" t="s">
        <v>47</v>
      </c>
      <c r="B44" s="21" t="s">
        <v>476</v>
      </c>
      <c r="C44" s="21" t="s">
        <v>152</v>
      </c>
      <c r="D44" s="21" t="s">
        <v>423</v>
      </c>
      <c r="E44" s="8">
        <v>10</v>
      </c>
      <c r="F44" s="8">
        <v>0</v>
      </c>
      <c r="G44" s="8">
        <v>24</v>
      </c>
      <c r="H44" s="53">
        <f t="shared" si="77"/>
        <v>34</v>
      </c>
      <c r="I44" s="23">
        <f t="shared" si="70"/>
        <v>3750</v>
      </c>
      <c r="J44" s="23">
        <f t="shared" si="71"/>
        <v>0</v>
      </c>
      <c r="K44" s="23">
        <f t="shared" si="72"/>
        <v>9600</v>
      </c>
      <c r="L44" s="23"/>
      <c r="M44" s="60">
        <f t="shared" si="78"/>
        <v>13350</v>
      </c>
      <c r="N44" s="23"/>
      <c r="O44" s="23"/>
      <c r="P44" s="7"/>
      <c r="Q44" s="23"/>
      <c r="R44" s="60">
        <f t="shared" si="79"/>
        <v>0</v>
      </c>
      <c r="S44" s="23">
        <f t="shared" si="80"/>
        <v>13350</v>
      </c>
      <c r="T44" s="7"/>
      <c r="W44" s="2">
        <v>13350</v>
      </c>
      <c r="X44" s="2">
        <v>0</v>
      </c>
      <c r="Y44" s="2">
        <v>10900</v>
      </c>
      <c r="Z44" s="2">
        <v>0</v>
      </c>
      <c r="AB44">
        <f>$AB$3-350</f>
        <v>13900</v>
      </c>
      <c r="AC44">
        <f>$AC$3-350</f>
        <v>14700</v>
      </c>
      <c r="AD44">
        <f>$AD$3-300</f>
        <v>11400</v>
      </c>
      <c r="AF44" s="32">
        <f t="shared" si="84"/>
        <v>550</v>
      </c>
      <c r="AG44" s="32"/>
      <c r="AH44" s="32">
        <f t="shared" si="81"/>
        <v>500</v>
      </c>
      <c r="AN44">
        <v>175</v>
      </c>
      <c r="AP44">
        <v>100</v>
      </c>
      <c r="AR44" s="32">
        <f t="shared" ref="AR44:AT44" si="86">AF44-AJ44-AN44</f>
        <v>375</v>
      </c>
      <c r="AS44" s="32">
        <f t="shared" si="86"/>
        <v>0</v>
      </c>
      <c r="AT44" s="32">
        <f t="shared" si="86"/>
        <v>400</v>
      </c>
      <c r="AV44" s="32"/>
      <c r="AW44" s="32"/>
      <c r="AX44" s="32"/>
      <c r="AY44" s="32"/>
      <c r="AZ44" s="32"/>
      <c r="BA44" s="32"/>
    </row>
    <row r="45" s="52" customFormat="1" spans="1:53">
      <c r="A45" s="55" t="s">
        <v>48</v>
      </c>
      <c r="B45" s="43" t="s">
        <v>477</v>
      </c>
      <c r="C45" s="43" t="s">
        <v>158</v>
      </c>
      <c r="D45" s="43" t="s">
        <v>443</v>
      </c>
      <c r="E45" s="12">
        <v>4</v>
      </c>
      <c r="F45" s="12">
        <v>0</v>
      </c>
      <c r="G45" s="12"/>
      <c r="H45" s="56">
        <f t="shared" si="77"/>
        <v>4</v>
      </c>
      <c r="I45" s="23">
        <f t="shared" si="70"/>
        <v>0</v>
      </c>
      <c r="J45" s="23">
        <f t="shared" si="71"/>
        <v>0</v>
      </c>
      <c r="K45" s="23">
        <f t="shared" si="72"/>
        <v>0</v>
      </c>
      <c r="L45" s="55"/>
      <c r="M45" s="61">
        <f t="shared" si="78"/>
        <v>0</v>
      </c>
      <c r="N45" s="61"/>
      <c r="O45" s="61"/>
      <c r="P45" s="23"/>
      <c r="Q45" s="55"/>
      <c r="R45" s="61">
        <f t="shared" si="79"/>
        <v>0</v>
      </c>
      <c r="S45" s="61">
        <f t="shared" si="80"/>
        <v>0</v>
      </c>
      <c r="T45" s="55"/>
      <c r="W45" s="67">
        <v>13650</v>
      </c>
      <c r="X45" s="67">
        <v>0</v>
      </c>
      <c r="Y45" s="67">
        <v>0</v>
      </c>
      <c r="Z45" s="67">
        <v>0</v>
      </c>
      <c r="AB45" s="52">
        <f>$AB$3-350</f>
        <v>13900</v>
      </c>
      <c r="AC45" s="52">
        <f>$AC$3-350</f>
        <v>14700</v>
      </c>
      <c r="AD45" s="52">
        <f>$AD$3-300</f>
        <v>11400</v>
      </c>
      <c r="AF45" s="69">
        <f t="shared" si="84"/>
        <v>250</v>
      </c>
      <c r="AG45" s="69"/>
      <c r="AH45" s="69"/>
      <c r="AJ45" s="69">
        <v>250</v>
      </c>
      <c r="AK45" s="69"/>
      <c r="AL45" s="69"/>
      <c r="AR45" s="32">
        <f t="shared" ref="AR45:AT45" si="87">AF45-AJ45-AN45</f>
        <v>0</v>
      </c>
      <c r="AS45" s="32">
        <f t="shared" si="87"/>
        <v>0</v>
      </c>
      <c r="AT45" s="32">
        <f t="shared" si="87"/>
        <v>0</v>
      </c>
      <c r="AV45" s="32"/>
      <c r="AW45" s="32"/>
      <c r="AX45" s="32"/>
      <c r="AY45" s="32"/>
      <c r="AZ45" s="32"/>
      <c r="BA45" s="32"/>
    </row>
    <row r="46" spans="1:53">
      <c r="A46" s="54" t="s">
        <v>43</v>
      </c>
      <c r="B46" s="21"/>
      <c r="C46" s="21"/>
      <c r="D46" s="21"/>
      <c r="E46" s="14">
        <f t="shared" ref="E46:S46" si="88">SUM(E41:E45)</f>
        <v>47</v>
      </c>
      <c r="F46" s="14">
        <f t="shared" si="88"/>
        <v>0</v>
      </c>
      <c r="G46" s="14">
        <f t="shared" si="88"/>
        <v>167</v>
      </c>
      <c r="H46" s="14">
        <f t="shared" si="88"/>
        <v>214</v>
      </c>
      <c r="I46" s="14">
        <f t="shared" si="88"/>
        <v>19425</v>
      </c>
      <c r="J46" s="14">
        <f t="shared" si="88"/>
        <v>0</v>
      </c>
      <c r="K46" s="14">
        <f t="shared" si="88"/>
        <v>55200</v>
      </c>
      <c r="L46" s="14">
        <f t="shared" si="88"/>
        <v>0</v>
      </c>
      <c r="M46" s="14">
        <f t="shared" si="88"/>
        <v>74625</v>
      </c>
      <c r="N46" s="14">
        <f t="shared" si="88"/>
        <v>0</v>
      </c>
      <c r="O46" s="14">
        <f t="shared" si="88"/>
        <v>0</v>
      </c>
      <c r="P46" s="14">
        <f t="shared" si="88"/>
        <v>0</v>
      </c>
      <c r="Q46" s="14">
        <f t="shared" si="88"/>
        <v>0</v>
      </c>
      <c r="R46" s="14">
        <f t="shared" si="88"/>
        <v>0</v>
      </c>
      <c r="S46" s="14">
        <f t="shared" si="88"/>
        <v>74625</v>
      </c>
      <c r="T46" s="7"/>
      <c r="W46" s="2">
        <v>0</v>
      </c>
      <c r="X46" s="2">
        <v>0</v>
      </c>
      <c r="Y46" s="2">
        <v>0</v>
      </c>
      <c r="Z46" s="2">
        <v>0</v>
      </c>
      <c r="AB46">
        <f>$AB$3-350</f>
        <v>13900</v>
      </c>
      <c r="AC46">
        <f>$AC$3-350</f>
        <v>14700</v>
      </c>
      <c r="AD46">
        <f>$AD$3-300</f>
        <v>11400</v>
      </c>
      <c r="AF46" s="32"/>
      <c r="AG46" s="32"/>
      <c r="AH46" s="32"/>
      <c r="AR46" s="32">
        <f t="shared" ref="AR46:AT46" si="89">AF46-AJ46-AN46</f>
        <v>0</v>
      </c>
      <c r="AS46" s="32">
        <f t="shared" si="89"/>
        <v>0</v>
      </c>
      <c r="AT46" s="32">
        <f t="shared" si="89"/>
        <v>0</v>
      </c>
      <c r="AV46" s="32"/>
      <c r="AW46" s="32"/>
      <c r="AX46" s="32"/>
      <c r="AY46" s="32"/>
      <c r="AZ46" s="32"/>
      <c r="BA46" s="32"/>
    </row>
    <row r="47" spans="1:53">
      <c r="A47" s="7" t="s">
        <v>50</v>
      </c>
      <c r="B47" s="21" t="s">
        <v>478</v>
      </c>
      <c r="C47" s="21" t="s">
        <v>152</v>
      </c>
      <c r="D47" s="21" t="s">
        <v>423</v>
      </c>
      <c r="E47" s="8">
        <v>61</v>
      </c>
      <c r="F47" s="8">
        <v>0</v>
      </c>
      <c r="G47" s="8"/>
      <c r="H47" s="53">
        <f t="shared" ref="H47:H61" si="90">E47+F47+G47</f>
        <v>61</v>
      </c>
      <c r="I47" s="23">
        <f t="shared" si="70"/>
        <v>38125</v>
      </c>
      <c r="J47" s="23">
        <f t="shared" si="71"/>
        <v>0</v>
      </c>
      <c r="K47" s="23">
        <f t="shared" si="72"/>
        <v>0</v>
      </c>
      <c r="L47" s="23"/>
      <c r="M47" s="60">
        <f t="shared" ref="M47:M61" si="91">I47+J47+K47+L47</f>
        <v>38125</v>
      </c>
      <c r="N47" s="23"/>
      <c r="O47" s="23"/>
      <c r="P47" s="7"/>
      <c r="Q47" s="23"/>
      <c r="R47" s="60">
        <f t="shared" ref="R47:R61" si="92">N47+O47+P47+Q47</f>
        <v>0</v>
      </c>
      <c r="S47" s="23">
        <f t="shared" ref="S47:S61" si="93">M47+R47</f>
        <v>38125</v>
      </c>
      <c r="T47" s="7"/>
      <c r="W47" s="2">
        <v>13100</v>
      </c>
      <c r="X47" s="2">
        <v>0</v>
      </c>
      <c r="Y47" s="2">
        <v>0</v>
      </c>
      <c r="Z47" s="2">
        <v>0</v>
      </c>
      <c r="AB47">
        <f>$AB$3-350</f>
        <v>13900</v>
      </c>
      <c r="AC47">
        <f>$AC$3-350</f>
        <v>14700</v>
      </c>
      <c r="AD47">
        <f>$AD$3-300</f>
        <v>11400</v>
      </c>
      <c r="AF47" s="32">
        <f t="shared" ref="AF47:AF61" si="94">AB47-W47</f>
        <v>800</v>
      </c>
      <c r="AG47" s="32"/>
      <c r="AH47" s="32"/>
      <c r="AN47">
        <v>175</v>
      </c>
      <c r="AR47" s="32">
        <f t="shared" ref="AR47:AT47" si="95">AF47-AJ47-AN47</f>
        <v>625</v>
      </c>
      <c r="AS47" s="32">
        <f t="shared" si="95"/>
        <v>0</v>
      </c>
      <c r="AT47" s="32">
        <f t="shared" si="95"/>
        <v>0</v>
      </c>
      <c r="AV47" s="32"/>
      <c r="AW47" s="32"/>
      <c r="AX47" s="32"/>
      <c r="AY47" s="32"/>
      <c r="AZ47" s="32"/>
      <c r="BA47" s="32"/>
    </row>
    <row r="48" spans="1:53">
      <c r="A48" s="7" t="s">
        <v>51</v>
      </c>
      <c r="B48" s="21" t="s">
        <v>479</v>
      </c>
      <c r="C48" s="21" t="s">
        <v>158</v>
      </c>
      <c r="D48" s="21" t="s">
        <v>443</v>
      </c>
      <c r="E48" s="8">
        <v>50</v>
      </c>
      <c r="F48" s="8">
        <v>0</v>
      </c>
      <c r="G48" s="8"/>
      <c r="H48" s="53">
        <f t="shared" si="90"/>
        <v>50</v>
      </c>
      <c r="I48" s="23">
        <f t="shared" si="70"/>
        <v>32500</v>
      </c>
      <c r="J48" s="23">
        <f t="shared" si="71"/>
        <v>0</v>
      </c>
      <c r="K48" s="23">
        <f t="shared" si="72"/>
        <v>0</v>
      </c>
      <c r="L48" s="7"/>
      <c r="M48" s="60">
        <f t="shared" si="91"/>
        <v>32500</v>
      </c>
      <c r="N48" s="23"/>
      <c r="O48" s="23"/>
      <c r="P48" s="23"/>
      <c r="Q48" s="7"/>
      <c r="R48" s="60">
        <f t="shared" si="92"/>
        <v>0</v>
      </c>
      <c r="S48" s="23">
        <f t="shared" si="93"/>
        <v>32500</v>
      </c>
      <c r="T48" s="7"/>
      <c r="W48" s="2">
        <v>13000</v>
      </c>
      <c r="X48" s="2">
        <v>0</v>
      </c>
      <c r="Y48" s="2">
        <v>0</v>
      </c>
      <c r="Z48" s="2">
        <v>0</v>
      </c>
      <c r="AB48">
        <f>$AB$3-350</f>
        <v>13900</v>
      </c>
      <c r="AC48">
        <f>$AC$3-350</f>
        <v>14700</v>
      </c>
      <c r="AD48">
        <f>$AD$3-300</f>
        <v>11400</v>
      </c>
      <c r="AF48" s="32">
        <f t="shared" si="94"/>
        <v>900</v>
      </c>
      <c r="AG48" s="32"/>
      <c r="AH48" s="32"/>
      <c r="AJ48" s="32">
        <v>250</v>
      </c>
      <c r="AK48" s="32"/>
      <c r="AL48" s="32"/>
      <c r="AR48" s="32">
        <f t="shared" ref="AR48:AT48" si="96">AF48-AJ48-AN48</f>
        <v>650</v>
      </c>
      <c r="AS48" s="32">
        <f t="shared" si="96"/>
        <v>0</v>
      </c>
      <c r="AT48" s="32">
        <f t="shared" si="96"/>
        <v>0</v>
      </c>
      <c r="AV48" s="32"/>
      <c r="AW48" s="32"/>
      <c r="AX48" s="32"/>
      <c r="AY48" s="32"/>
      <c r="AZ48" s="32"/>
      <c r="BA48" s="32"/>
    </row>
    <row r="49" spans="1:53">
      <c r="A49" s="7" t="s">
        <v>52</v>
      </c>
      <c r="B49" s="21" t="s">
        <v>480</v>
      </c>
      <c r="C49" s="21" t="s">
        <v>152</v>
      </c>
      <c r="D49" s="21" t="s">
        <v>423</v>
      </c>
      <c r="E49" s="8">
        <v>16</v>
      </c>
      <c r="F49" s="8">
        <v>0</v>
      </c>
      <c r="G49" s="8"/>
      <c r="H49" s="53">
        <f t="shared" si="90"/>
        <v>16</v>
      </c>
      <c r="I49" s="23">
        <f t="shared" si="70"/>
        <v>8400</v>
      </c>
      <c r="J49" s="23">
        <f t="shared" si="71"/>
        <v>0</v>
      </c>
      <c r="K49" s="23">
        <f t="shared" si="72"/>
        <v>0</v>
      </c>
      <c r="L49" s="23"/>
      <c r="M49" s="60">
        <f t="shared" si="91"/>
        <v>8400</v>
      </c>
      <c r="N49" s="23"/>
      <c r="O49" s="23"/>
      <c r="P49" s="7"/>
      <c r="Q49" s="23"/>
      <c r="R49" s="60">
        <f t="shared" si="92"/>
        <v>0</v>
      </c>
      <c r="S49" s="23">
        <f t="shared" si="93"/>
        <v>8400</v>
      </c>
      <c r="T49" s="7"/>
      <c r="W49" s="2">
        <v>13200</v>
      </c>
      <c r="X49" s="2">
        <v>0</v>
      </c>
      <c r="Y49" s="2">
        <v>0</v>
      </c>
      <c r="Z49" s="2">
        <v>0</v>
      </c>
      <c r="AB49">
        <f>$AB$3-350</f>
        <v>13900</v>
      </c>
      <c r="AC49">
        <f>$AC$3-350</f>
        <v>14700</v>
      </c>
      <c r="AD49">
        <f>$AD$3-300</f>
        <v>11400</v>
      </c>
      <c r="AF49" s="32">
        <f t="shared" si="94"/>
        <v>700</v>
      </c>
      <c r="AG49" s="32"/>
      <c r="AH49" s="32"/>
      <c r="AN49">
        <v>175</v>
      </c>
      <c r="AR49" s="32">
        <f t="shared" ref="AR49:AT49" si="97">AF49-AJ49-AN49</f>
        <v>525</v>
      </c>
      <c r="AS49" s="32">
        <f t="shared" si="97"/>
        <v>0</v>
      </c>
      <c r="AT49" s="32">
        <f t="shared" si="97"/>
        <v>0</v>
      </c>
      <c r="AV49" s="32"/>
      <c r="AW49" s="32"/>
      <c r="AX49" s="32"/>
      <c r="AY49" s="32"/>
      <c r="AZ49" s="32"/>
      <c r="BA49" s="32"/>
    </row>
    <row r="50" spans="1:53">
      <c r="A50" s="7" t="s">
        <v>53</v>
      </c>
      <c r="B50" s="21" t="s">
        <v>481</v>
      </c>
      <c r="C50" s="21" t="s">
        <v>152</v>
      </c>
      <c r="D50" s="21" t="s">
        <v>423</v>
      </c>
      <c r="E50" s="8">
        <v>40</v>
      </c>
      <c r="F50" s="8">
        <v>0</v>
      </c>
      <c r="G50" s="8"/>
      <c r="H50" s="53">
        <f t="shared" si="90"/>
        <v>40</v>
      </c>
      <c r="I50" s="23">
        <f t="shared" si="70"/>
        <v>21000</v>
      </c>
      <c r="J50" s="23">
        <f t="shared" si="71"/>
        <v>0</v>
      </c>
      <c r="K50" s="23">
        <f t="shared" si="72"/>
        <v>0</v>
      </c>
      <c r="L50" s="23"/>
      <c r="M50" s="60">
        <f t="shared" si="91"/>
        <v>21000</v>
      </c>
      <c r="N50" s="23"/>
      <c r="O50" s="23"/>
      <c r="P50" s="7"/>
      <c r="Q50" s="23"/>
      <c r="R50" s="60">
        <f t="shared" si="92"/>
        <v>0</v>
      </c>
      <c r="S50" s="23">
        <f t="shared" si="93"/>
        <v>21000</v>
      </c>
      <c r="T50" s="7"/>
      <c r="W50" s="2">
        <v>13200</v>
      </c>
      <c r="X50" s="2">
        <v>0</v>
      </c>
      <c r="Y50" s="2">
        <v>0</v>
      </c>
      <c r="Z50" s="2">
        <v>0</v>
      </c>
      <c r="AB50">
        <f>$AB$3-350</f>
        <v>13900</v>
      </c>
      <c r="AC50">
        <f>$AC$3-350</f>
        <v>14700</v>
      </c>
      <c r="AD50">
        <f>$AD$3-300</f>
        <v>11400</v>
      </c>
      <c r="AF50" s="32">
        <f t="shared" si="94"/>
        <v>700</v>
      </c>
      <c r="AG50" s="32"/>
      <c r="AH50" s="32"/>
      <c r="AN50">
        <v>175</v>
      </c>
      <c r="AR50" s="32">
        <f t="shared" ref="AR50:AT50" si="98">AF50-AJ50-AN50</f>
        <v>525</v>
      </c>
      <c r="AS50" s="32">
        <f t="shared" si="98"/>
        <v>0</v>
      </c>
      <c r="AT50" s="32">
        <f t="shared" si="98"/>
        <v>0</v>
      </c>
      <c r="AV50" s="32"/>
      <c r="AW50" s="32"/>
      <c r="AX50" s="32"/>
      <c r="AY50" s="32"/>
      <c r="AZ50" s="32"/>
      <c r="BA50" s="32"/>
    </row>
    <row r="51" spans="1:53">
      <c r="A51" s="7" t="s">
        <v>54</v>
      </c>
      <c r="B51" s="21" t="s">
        <v>482</v>
      </c>
      <c r="C51" s="21" t="s">
        <v>158</v>
      </c>
      <c r="D51" s="21" t="s">
        <v>443</v>
      </c>
      <c r="E51" s="8">
        <v>16</v>
      </c>
      <c r="F51" s="8">
        <v>0</v>
      </c>
      <c r="G51" s="8"/>
      <c r="H51" s="53">
        <f t="shared" si="90"/>
        <v>16</v>
      </c>
      <c r="I51" s="23">
        <f t="shared" si="70"/>
        <v>10400</v>
      </c>
      <c r="J51" s="23">
        <f t="shared" si="71"/>
        <v>0</v>
      </c>
      <c r="K51" s="23">
        <f t="shared" si="72"/>
        <v>0</v>
      </c>
      <c r="L51" s="7"/>
      <c r="M51" s="60">
        <f t="shared" si="91"/>
        <v>10400</v>
      </c>
      <c r="N51" s="23"/>
      <c r="O51" s="23"/>
      <c r="P51" s="23"/>
      <c r="Q51" s="7"/>
      <c r="R51" s="60">
        <f t="shared" si="92"/>
        <v>0</v>
      </c>
      <c r="S51" s="23">
        <f t="shared" si="93"/>
        <v>10400</v>
      </c>
      <c r="T51" s="7"/>
      <c r="W51" s="2">
        <v>13000</v>
      </c>
      <c r="X51" s="2">
        <v>0</v>
      </c>
      <c r="Y51" s="2">
        <v>0</v>
      </c>
      <c r="Z51" s="2">
        <v>0</v>
      </c>
      <c r="AB51">
        <f>$AB$3-350</f>
        <v>13900</v>
      </c>
      <c r="AC51">
        <f>$AC$3-350</f>
        <v>14700</v>
      </c>
      <c r="AD51">
        <f>$AD$3-300</f>
        <v>11400</v>
      </c>
      <c r="AF51" s="32">
        <f t="shared" si="94"/>
        <v>900</v>
      </c>
      <c r="AG51" s="32"/>
      <c r="AH51" s="32"/>
      <c r="AJ51" s="32">
        <v>250</v>
      </c>
      <c r="AK51" s="32"/>
      <c r="AL51" s="32"/>
      <c r="AR51" s="32">
        <f t="shared" ref="AR51:AT51" si="99">AF51-AJ51-AN51</f>
        <v>650</v>
      </c>
      <c r="AS51" s="32">
        <f t="shared" si="99"/>
        <v>0</v>
      </c>
      <c r="AT51" s="32">
        <f t="shared" si="99"/>
        <v>0</v>
      </c>
      <c r="AV51" s="32"/>
      <c r="AW51" s="32"/>
      <c r="AX51" s="32"/>
      <c r="AY51" s="32"/>
      <c r="AZ51" s="32"/>
      <c r="BA51" s="32"/>
    </row>
    <row r="52" spans="1:53">
      <c r="A52" s="7" t="s">
        <v>55</v>
      </c>
      <c r="B52" s="21" t="s">
        <v>483</v>
      </c>
      <c r="C52" s="21" t="s">
        <v>152</v>
      </c>
      <c r="D52" s="21" t="s">
        <v>443</v>
      </c>
      <c r="E52" s="8">
        <v>246</v>
      </c>
      <c r="F52" s="8">
        <v>0</v>
      </c>
      <c r="G52" s="8"/>
      <c r="H52" s="53">
        <f t="shared" si="90"/>
        <v>246</v>
      </c>
      <c r="I52" s="23">
        <f t="shared" si="70"/>
        <v>123000</v>
      </c>
      <c r="J52" s="23">
        <f t="shared" si="71"/>
        <v>0</v>
      </c>
      <c r="K52" s="23">
        <f t="shared" si="72"/>
        <v>0</v>
      </c>
      <c r="L52" s="7"/>
      <c r="M52" s="60">
        <f t="shared" si="91"/>
        <v>123000</v>
      </c>
      <c r="N52" s="23"/>
      <c r="O52" s="23"/>
      <c r="P52" s="23"/>
      <c r="Q52" s="7"/>
      <c r="R52" s="60">
        <f t="shared" si="92"/>
        <v>0</v>
      </c>
      <c r="S52" s="23">
        <f t="shared" si="93"/>
        <v>123000</v>
      </c>
      <c r="T52" s="7"/>
      <c r="W52" s="2">
        <v>13150</v>
      </c>
      <c r="X52" s="2">
        <v>0</v>
      </c>
      <c r="Y52" s="2">
        <v>0</v>
      </c>
      <c r="Z52" s="2">
        <v>0</v>
      </c>
      <c r="AB52">
        <f>$AB$3-350</f>
        <v>13900</v>
      </c>
      <c r="AC52">
        <f>$AC$3-350</f>
        <v>14700</v>
      </c>
      <c r="AD52">
        <f>$AD$3-300</f>
        <v>11400</v>
      </c>
      <c r="AF52" s="32">
        <f t="shared" si="94"/>
        <v>750</v>
      </c>
      <c r="AG52" s="32"/>
      <c r="AH52" s="32"/>
      <c r="AJ52" s="32">
        <v>250</v>
      </c>
      <c r="AK52" s="32"/>
      <c r="AL52" s="32"/>
      <c r="AR52" s="32">
        <f t="shared" ref="AR52:AT52" si="100">AF52-AJ52-AN52</f>
        <v>500</v>
      </c>
      <c r="AS52" s="32">
        <f t="shared" si="100"/>
        <v>0</v>
      </c>
      <c r="AT52" s="32">
        <f t="shared" si="100"/>
        <v>0</v>
      </c>
      <c r="AV52" s="32"/>
      <c r="AW52" s="32"/>
      <c r="AX52" s="32"/>
      <c r="AY52" s="32"/>
      <c r="AZ52" s="32"/>
      <c r="BA52" s="32"/>
    </row>
    <row r="53" spans="1:53">
      <c r="A53" s="7" t="s">
        <v>56</v>
      </c>
      <c r="B53" s="21" t="s">
        <v>484</v>
      </c>
      <c r="C53" s="21" t="s">
        <v>152</v>
      </c>
      <c r="D53" s="21" t="s">
        <v>443</v>
      </c>
      <c r="E53" s="8">
        <v>102</v>
      </c>
      <c r="F53" s="8">
        <v>0</v>
      </c>
      <c r="G53" s="8">
        <v>64</v>
      </c>
      <c r="H53" s="53">
        <f t="shared" si="90"/>
        <v>166</v>
      </c>
      <c r="I53" s="23">
        <f t="shared" si="70"/>
        <v>66300</v>
      </c>
      <c r="J53" s="23">
        <f t="shared" si="71"/>
        <v>0</v>
      </c>
      <c r="K53" s="23">
        <f t="shared" si="72"/>
        <v>44800</v>
      </c>
      <c r="L53" s="7"/>
      <c r="M53" s="60">
        <f t="shared" si="91"/>
        <v>111100</v>
      </c>
      <c r="N53" s="23"/>
      <c r="O53" s="23"/>
      <c r="P53" s="23"/>
      <c r="Q53" s="7"/>
      <c r="R53" s="60">
        <f t="shared" si="92"/>
        <v>0</v>
      </c>
      <c r="S53" s="23">
        <f t="shared" si="93"/>
        <v>111100</v>
      </c>
      <c r="T53" s="7"/>
      <c r="W53" s="2">
        <v>13000</v>
      </c>
      <c r="X53" s="2">
        <v>0</v>
      </c>
      <c r="Y53" s="2">
        <v>10500</v>
      </c>
      <c r="Z53" s="2">
        <v>0</v>
      </c>
      <c r="AB53">
        <f>$AB$3-350</f>
        <v>13900</v>
      </c>
      <c r="AC53">
        <f>$AC$3-350</f>
        <v>14700</v>
      </c>
      <c r="AD53">
        <f>$AD$3-300</f>
        <v>11400</v>
      </c>
      <c r="AF53" s="32">
        <f t="shared" si="94"/>
        <v>900</v>
      </c>
      <c r="AG53" s="32"/>
      <c r="AH53" s="32">
        <f>AD53-Y53</f>
        <v>900</v>
      </c>
      <c r="AJ53" s="32">
        <v>250</v>
      </c>
      <c r="AK53" s="32"/>
      <c r="AL53" s="32">
        <v>200</v>
      </c>
      <c r="AR53" s="32">
        <f t="shared" ref="AR53:AT53" si="101">AF53-AJ53-AN53</f>
        <v>650</v>
      </c>
      <c r="AS53" s="32">
        <f t="shared" si="101"/>
        <v>0</v>
      </c>
      <c r="AT53" s="32">
        <f t="shared" si="101"/>
        <v>700</v>
      </c>
      <c r="AV53" s="32"/>
      <c r="AW53" s="32"/>
      <c r="AX53" s="32"/>
      <c r="AY53" s="32"/>
      <c r="AZ53" s="32"/>
      <c r="BA53" s="32"/>
    </row>
    <row r="54" spans="1:53">
      <c r="A54" s="7" t="s">
        <v>57</v>
      </c>
      <c r="B54" s="21" t="s">
        <v>485</v>
      </c>
      <c r="C54" s="21" t="s">
        <v>152</v>
      </c>
      <c r="D54" s="21" t="s">
        <v>443</v>
      </c>
      <c r="E54" s="8">
        <v>418</v>
      </c>
      <c r="F54" s="8">
        <v>0</v>
      </c>
      <c r="G54" s="8"/>
      <c r="H54" s="53">
        <f t="shared" si="90"/>
        <v>418</v>
      </c>
      <c r="I54" s="23">
        <f t="shared" si="70"/>
        <v>355300</v>
      </c>
      <c r="J54" s="23">
        <f t="shared" si="71"/>
        <v>0</v>
      </c>
      <c r="K54" s="23">
        <f t="shared" si="72"/>
        <v>0</v>
      </c>
      <c r="L54" s="7"/>
      <c r="M54" s="60">
        <f t="shared" si="91"/>
        <v>355300</v>
      </c>
      <c r="N54" s="23"/>
      <c r="O54" s="23"/>
      <c r="P54" s="23"/>
      <c r="Q54" s="7"/>
      <c r="R54" s="60">
        <f t="shared" si="92"/>
        <v>0</v>
      </c>
      <c r="S54" s="23">
        <f t="shared" si="93"/>
        <v>355300</v>
      </c>
      <c r="T54" s="7"/>
      <c r="W54" s="2">
        <v>12800</v>
      </c>
      <c r="X54" s="2">
        <v>0</v>
      </c>
      <c r="Y54" s="2">
        <v>0</v>
      </c>
      <c r="Z54" s="2">
        <v>0</v>
      </c>
      <c r="AB54">
        <f>$AB$3-350</f>
        <v>13900</v>
      </c>
      <c r="AC54">
        <f>$AC$3-350</f>
        <v>14700</v>
      </c>
      <c r="AD54">
        <f>$AD$3-300</f>
        <v>11400</v>
      </c>
      <c r="AF54" s="32">
        <f t="shared" si="94"/>
        <v>1100</v>
      </c>
      <c r="AG54" s="32"/>
      <c r="AH54" s="32"/>
      <c r="AJ54" s="32">
        <v>250</v>
      </c>
      <c r="AK54" s="32"/>
      <c r="AL54" s="32"/>
      <c r="AR54" s="32">
        <f t="shared" ref="AR54:AT54" si="102">AF54-AJ54-AN54</f>
        <v>850</v>
      </c>
      <c r="AS54" s="32">
        <f t="shared" si="102"/>
        <v>0</v>
      </c>
      <c r="AT54" s="32">
        <f t="shared" si="102"/>
        <v>0</v>
      </c>
      <c r="AV54" s="32"/>
      <c r="AW54" s="32"/>
      <c r="AX54" s="32"/>
      <c r="AY54" s="32"/>
      <c r="AZ54" s="32"/>
      <c r="BA54" s="32"/>
    </row>
    <row r="55" spans="1:53">
      <c r="A55" s="7" t="s">
        <v>58</v>
      </c>
      <c r="B55" s="21" t="s">
        <v>486</v>
      </c>
      <c r="C55" s="21" t="s">
        <v>158</v>
      </c>
      <c r="D55" s="21" t="s">
        <v>423</v>
      </c>
      <c r="E55" s="8">
        <v>100</v>
      </c>
      <c r="F55" s="8">
        <v>0</v>
      </c>
      <c r="G55" s="8"/>
      <c r="H55" s="53">
        <f t="shared" si="90"/>
        <v>100</v>
      </c>
      <c r="I55" s="23">
        <f t="shared" si="70"/>
        <v>72500</v>
      </c>
      <c r="J55" s="23">
        <f t="shared" si="71"/>
        <v>0</v>
      </c>
      <c r="K55" s="23">
        <f t="shared" si="72"/>
        <v>0</v>
      </c>
      <c r="L55" s="23"/>
      <c r="M55" s="60">
        <f t="shared" si="91"/>
        <v>72500</v>
      </c>
      <c r="N55" s="23"/>
      <c r="O55" s="23"/>
      <c r="P55" s="7"/>
      <c r="Q55" s="23"/>
      <c r="R55" s="60">
        <f t="shared" si="92"/>
        <v>0</v>
      </c>
      <c r="S55" s="23">
        <f t="shared" si="93"/>
        <v>72500</v>
      </c>
      <c r="T55" s="7"/>
      <c r="W55" s="2">
        <v>13000</v>
      </c>
      <c r="X55" s="2">
        <v>0</v>
      </c>
      <c r="Y55" s="2">
        <v>10800</v>
      </c>
      <c r="Z55" s="2">
        <v>0</v>
      </c>
      <c r="AB55">
        <f>$AB$3-350</f>
        <v>13900</v>
      </c>
      <c r="AC55">
        <f>$AC$3-350</f>
        <v>14700</v>
      </c>
      <c r="AD55">
        <f>$AD$3-300</f>
        <v>11400</v>
      </c>
      <c r="AF55" s="32">
        <f t="shared" si="94"/>
        <v>900</v>
      </c>
      <c r="AG55" s="32"/>
      <c r="AH55" s="32">
        <f>AD55-Y55</f>
        <v>600</v>
      </c>
      <c r="AN55">
        <v>175</v>
      </c>
      <c r="AP55">
        <v>100</v>
      </c>
      <c r="AR55" s="32">
        <f t="shared" ref="AR55:AT55" si="103">AF55-AJ55-AN55</f>
        <v>725</v>
      </c>
      <c r="AS55" s="32">
        <f t="shared" si="103"/>
        <v>0</v>
      </c>
      <c r="AT55" s="32">
        <f t="shared" si="103"/>
        <v>500</v>
      </c>
      <c r="AV55" s="32"/>
      <c r="AW55" s="32"/>
      <c r="AX55" s="32"/>
      <c r="AY55" s="32"/>
      <c r="AZ55" s="32"/>
      <c r="BA55" s="32"/>
    </row>
    <row r="56" spans="1:53">
      <c r="A56" s="7" t="s">
        <v>59</v>
      </c>
      <c r="B56" s="21" t="s">
        <v>487</v>
      </c>
      <c r="C56" s="21" t="s">
        <v>158</v>
      </c>
      <c r="D56" s="21" t="s">
        <v>443</v>
      </c>
      <c r="E56" s="8">
        <v>20</v>
      </c>
      <c r="F56" s="8">
        <v>0</v>
      </c>
      <c r="G56" s="8"/>
      <c r="H56" s="53">
        <f t="shared" si="90"/>
        <v>20</v>
      </c>
      <c r="I56" s="23">
        <f t="shared" si="70"/>
        <v>11000</v>
      </c>
      <c r="J56" s="23">
        <f t="shared" si="71"/>
        <v>0</v>
      </c>
      <c r="K56" s="23">
        <f t="shared" si="72"/>
        <v>0</v>
      </c>
      <c r="L56" s="7"/>
      <c r="M56" s="60">
        <f t="shared" si="91"/>
        <v>11000</v>
      </c>
      <c r="N56" s="23"/>
      <c r="O56" s="23"/>
      <c r="P56" s="23"/>
      <c r="Q56" s="7"/>
      <c r="R56" s="60">
        <f t="shared" si="92"/>
        <v>0</v>
      </c>
      <c r="S56" s="23">
        <f t="shared" si="93"/>
        <v>11000</v>
      </c>
      <c r="T56" s="7"/>
      <c r="W56" s="2">
        <v>13100</v>
      </c>
      <c r="X56" s="2">
        <v>0</v>
      </c>
      <c r="Y56" s="2">
        <v>0</v>
      </c>
      <c r="Z56" s="2">
        <v>0</v>
      </c>
      <c r="AB56">
        <f>$AB$3-350</f>
        <v>13900</v>
      </c>
      <c r="AC56">
        <f>$AC$3-350</f>
        <v>14700</v>
      </c>
      <c r="AD56">
        <f>$AD$3-300</f>
        <v>11400</v>
      </c>
      <c r="AF56" s="32">
        <f t="shared" si="94"/>
        <v>800</v>
      </c>
      <c r="AG56" s="32"/>
      <c r="AH56" s="32"/>
      <c r="AJ56" s="32">
        <v>250</v>
      </c>
      <c r="AK56" s="32"/>
      <c r="AL56" s="32"/>
      <c r="AR56" s="32">
        <f t="shared" ref="AR56:AT56" si="104">AF56-AJ56-AN56</f>
        <v>550</v>
      </c>
      <c r="AS56" s="32">
        <f t="shared" si="104"/>
        <v>0</v>
      </c>
      <c r="AT56" s="32">
        <f t="shared" si="104"/>
        <v>0</v>
      </c>
      <c r="AV56" s="32"/>
      <c r="AW56" s="32"/>
      <c r="AX56" s="32"/>
      <c r="AY56" s="32"/>
      <c r="AZ56" s="32"/>
      <c r="BA56" s="32"/>
    </row>
    <row r="57" s="52" customFormat="1" spans="1:53">
      <c r="A57" s="55" t="s">
        <v>60</v>
      </c>
      <c r="B57" s="43" t="s">
        <v>488</v>
      </c>
      <c r="C57" s="43" t="s">
        <v>152</v>
      </c>
      <c r="D57" s="43" t="s">
        <v>423</v>
      </c>
      <c r="E57" s="12">
        <v>9</v>
      </c>
      <c r="F57" s="12">
        <v>0</v>
      </c>
      <c r="G57" s="12"/>
      <c r="H57" s="56">
        <f t="shared" si="90"/>
        <v>9</v>
      </c>
      <c r="I57" s="23">
        <f t="shared" si="70"/>
        <v>4725</v>
      </c>
      <c r="J57" s="23">
        <f t="shared" si="71"/>
        <v>0</v>
      </c>
      <c r="K57" s="23">
        <f t="shared" si="72"/>
        <v>0</v>
      </c>
      <c r="L57" s="23"/>
      <c r="M57" s="61">
        <f t="shared" si="91"/>
        <v>4725</v>
      </c>
      <c r="N57" s="61"/>
      <c r="O57" s="61"/>
      <c r="P57" s="55"/>
      <c r="Q57" s="23"/>
      <c r="R57" s="61">
        <f t="shared" si="92"/>
        <v>0</v>
      </c>
      <c r="S57" s="61">
        <f t="shared" si="93"/>
        <v>4725</v>
      </c>
      <c r="T57" s="55"/>
      <c r="W57" s="67">
        <v>13200</v>
      </c>
      <c r="X57" s="67">
        <v>0</v>
      </c>
      <c r="Y57" s="67">
        <v>0</v>
      </c>
      <c r="Z57" s="67">
        <v>0</v>
      </c>
      <c r="AB57" s="52">
        <f>$AB$3-350</f>
        <v>13900</v>
      </c>
      <c r="AC57" s="52">
        <f>$AC$3-350</f>
        <v>14700</v>
      </c>
      <c r="AD57" s="52">
        <f>$AD$3-300</f>
        <v>11400</v>
      </c>
      <c r="AF57" s="69">
        <f t="shared" si="94"/>
        <v>700</v>
      </c>
      <c r="AG57" s="69"/>
      <c r="AH57" s="69"/>
      <c r="AN57" s="52">
        <v>175</v>
      </c>
      <c r="AR57" s="32">
        <f t="shared" ref="AR57:AT57" si="105">AF57-AJ57-AN57</f>
        <v>525</v>
      </c>
      <c r="AS57" s="32">
        <f t="shared" si="105"/>
        <v>0</v>
      </c>
      <c r="AT57" s="32">
        <f t="shared" si="105"/>
        <v>0</v>
      </c>
      <c r="AV57" s="32"/>
      <c r="AW57" s="32"/>
      <c r="AX57" s="32"/>
      <c r="AY57" s="32"/>
      <c r="AZ57" s="32"/>
      <c r="BA57" s="32"/>
    </row>
    <row r="58" spans="1:53">
      <c r="A58" s="7" t="s">
        <v>61</v>
      </c>
      <c r="B58" s="21" t="s">
        <v>489</v>
      </c>
      <c r="C58" s="21" t="s">
        <v>152</v>
      </c>
      <c r="D58" s="21" t="s">
        <v>443</v>
      </c>
      <c r="E58" s="8">
        <v>28</v>
      </c>
      <c r="F58" s="8">
        <v>0</v>
      </c>
      <c r="G58" s="8"/>
      <c r="H58" s="53">
        <f t="shared" si="90"/>
        <v>28</v>
      </c>
      <c r="I58" s="23">
        <f t="shared" si="70"/>
        <v>15400</v>
      </c>
      <c r="J58" s="23">
        <f t="shared" si="71"/>
        <v>0</v>
      </c>
      <c r="K58" s="23">
        <f t="shared" si="72"/>
        <v>0</v>
      </c>
      <c r="L58" s="7"/>
      <c r="M58" s="60">
        <f t="shared" si="91"/>
        <v>15400</v>
      </c>
      <c r="N58" s="23"/>
      <c r="O58" s="23"/>
      <c r="P58" s="23"/>
      <c r="Q58" s="7"/>
      <c r="R58" s="60">
        <f t="shared" si="92"/>
        <v>0</v>
      </c>
      <c r="S58" s="23">
        <f t="shared" si="93"/>
        <v>15400</v>
      </c>
      <c r="T58" s="7"/>
      <c r="W58" s="2">
        <v>13100</v>
      </c>
      <c r="X58" s="2">
        <v>0</v>
      </c>
      <c r="Y58" s="2">
        <v>0</v>
      </c>
      <c r="Z58" s="2">
        <v>0</v>
      </c>
      <c r="AB58">
        <f>$AB$3-350</f>
        <v>13900</v>
      </c>
      <c r="AC58">
        <f>$AC$3-350</f>
        <v>14700</v>
      </c>
      <c r="AD58">
        <f>$AD$3-300</f>
        <v>11400</v>
      </c>
      <c r="AF58" s="32">
        <f t="shared" si="94"/>
        <v>800</v>
      </c>
      <c r="AG58" s="32"/>
      <c r="AH58" s="32"/>
      <c r="AJ58" s="32">
        <v>250</v>
      </c>
      <c r="AK58" s="32"/>
      <c r="AL58" s="32"/>
      <c r="AR58" s="32">
        <f t="shared" ref="AR58:AT58" si="106">AF58-AJ58-AN58</f>
        <v>550</v>
      </c>
      <c r="AS58" s="32">
        <f t="shared" si="106"/>
        <v>0</v>
      </c>
      <c r="AT58" s="32">
        <f t="shared" si="106"/>
        <v>0</v>
      </c>
      <c r="AV58" s="32"/>
      <c r="AW58" s="32"/>
      <c r="AX58" s="32"/>
      <c r="AY58" s="32"/>
      <c r="AZ58" s="32"/>
      <c r="BA58" s="32"/>
    </row>
    <row r="59" spans="1:53">
      <c r="A59" s="7" t="s">
        <v>62</v>
      </c>
      <c r="B59" s="21" t="s">
        <v>490</v>
      </c>
      <c r="C59" s="21" t="s">
        <v>152</v>
      </c>
      <c r="D59" s="21" t="s">
        <v>443</v>
      </c>
      <c r="E59" s="8">
        <v>24</v>
      </c>
      <c r="F59" s="8">
        <v>0</v>
      </c>
      <c r="G59" s="8">
        <v>8</v>
      </c>
      <c r="H59" s="53">
        <f t="shared" si="90"/>
        <v>32</v>
      </c>
      <c r="I59" s="23">
        <f t="shared" si="70"/>
        <v>13200</v>
      </c>
      <c r="J59" s="23">
        <f t="shared" si="71"/>
        <v>0</v>
      </c>
      <c r="K59" s="23">
        <f t="shared" si="72"/>
        <v>3200</v>
      </c>
      <c r="L59" s="7"/>
      <c r="M59" s="60">
        <f t="shared" si="91"/>
        <v>16400</v>
      </c>
      <c r="N59" s="23"/>
      <c r="O59" s="23"/>
      <c r="P59" s="23"/>
      <c r="Q59" s="7"/>
      <c r="R59" s="60">
        <f t="shared" si="92"/>
        <v>0</v>
      </c>
      <c r="S59" s="23">
        <f t="shared" si="93"/>
        <v>16400</v>
      </c>
      <c r="T59" s="7"/>
      <c r="W59" s="2">
        <v>13100</v>
      </c>
      <c r="X59" s="2">
        <v>0</v>
      </c>
      <c r="Y59" s="2">
        <v>10800</v>
      </c>
      <c r="Z59" s="2">
        <v>0</v>
      </c>
      <c r="AB59">
        <f>$AB$3-350</f>
        <v>13900</v>
      </c>
      <c r="AC59">
        <f>$AC$3-350</f>
        <v>14700</v>
      </c>
      <c r="AD59">
        <f>$AD$3-300</f>
        <v>11400</v>
      </c>
      <c r="AF59" s="32">
        <f t="shared" si="94"/>
        <v>800</v>
      </c>
      <c r="AG59" s="32"/>
      <c r="AH59" s="32">
        <f>AD59-Y59</f>
        <v>600</v>
      </c>
      <c r="AJ59" s="32">
        <v>250</v>
      </c>
      <c r="AK59" s="32"/>
      <c r="AL59" s="32">
        <v>200</v>
      </c>
      <c r="AR59" s="32">
        <f t="shared" ref="AR59:AT59" si="107">AF59-AJ59-AN59</f>
        <v>550</v>
      </c>
      <c r="AS59" s="32">
        <f t="shared" si="107"/>
        <v>0</v>
      </c>
      <c r="AT59" s="32">
        <f t="shared" si="107"/>
        <v>400</v>
      </c>
      <c r="AV59" s="32"/>
      <c r="AW59" s="32"/>
      <c r="AX59" s="32"/>
      <c r="AY59" s="32"/>
      <c r="AZ59" s="32"/>
      <c r="BA59" s="32"/>
    </row>
    <row r="60" spans="1:53">
      <c r="A60" s="7" t="s">
        <v>63</v>
      </c>
      <c r="B60" s="21" t="s">
        <v>491</v>
      </c>
      <c r="C60" s="21" t="s">
        <v>152</v>
      </c>
      <c r="D60" s="21" t="s">
        <v>423</v>
      </c>
      <c r="E60" s="8">
        <v>20</v>
      </c>
      <c r="F60" s="8">
        <v>0</v>
      </c>
      <c r="G60" s="8"/>
      <c r="H60" s="53">
        <f t="shared" si="90"/>
        <v>20</v>
      </c>
      <c r="I60" s="23">
        <f t="shared" si="70"/>
        <v>12500</v>
      </c>
      <c r="J60" s="23">
        <f t="shared" si="71"/>
        <v>0</v>
      </c>
      <c r="K60" s="23">
        <f t="shared" si="72"/>
        <v>0</v>
      </c>
      <c r="L60" s="23"/>
      <c r="M60" s="60">
        <f t="shared" si="91"/>
        <v>12500</v>
      </c>
      <c r="N60" s="23"/>
      <c r="O60" s="23"/>
      <c r="P60" s="7"/>
      <c r="Q60" s="23"/>
      <c r="R60" s="60">
        <f t="shared" si="92"/>
        <v>0</v>
      </c>
      <c r="S60" s="23">
        <f t="shared" si="93"/>
        <v>12500</v>
      </c>
      <c r="T60" s="7"/>
      <c r="W60" s="2">
        <v>13100</v>
      </c>
      <c r="X60" s="2">
        <v>0</v>
      </c>
      <c r="Y60" s="2">
        <v>0</v>
      </c>
      <c r="Z60" s="2">
        <v>0</v>
      </c>
      <c r="AB60">
        <f>$AB$3-350</f>
        <v>13900</v>
      </c>
      <c r="AC60">
        <f>$AC$3-350</f>
        <v>14700</v>
      </c>
      <c r="AD60">
        <f>$AD$3-300</f>
        <v>11400</v>
      </c>
      <c r="AF60" s="32">
        <f t="shared" si="94"/>
        <v>800</v>
      </c>
      <c r="AG60" s="32"/>
      <c r="AH60" s="32"/>
      <c r="AN60">
        <v>175</v>
      </c>
      <c r="AR60" s="32">
        <f t="shared" ref="AR60:AT60" si="108">AF60-AJ60-AN60</f>
        <v>625</v>
      </c>
      <c r="AS60" s="32">
        <f t="shared" si="108"/>
        <v>0</v>
      </c>
      <c r="AT60" s="32">
        <f t="shared" si="108"/>
        <v>0</v>
      </c>
      <c r="AV60" s="32"/>
      <c r="AW60" s="32"/>
      <c r="AX60" s="32"/>
      <c r="AY60" s="32"/>
      <c r="AZ60" s="32"/>
      <c r="BA60" s="32"/>
    </row>
    <row r="61" spans="1:53">
      <c r="A61" s="7" t="s">
        <v>64</v>
      </c>
      <c r="B61" s="21" t="s">
        <v>492</v>
      </c>
      <c r="C61" s="21" t="s">
        <v>158</v>
      </c>
      <c r="D61" s="21" t="s">
        <v>423</v>
      </c>
      <c r="E61" s="8">
        <v>38</v>
      </c>
      <c r="F61" s="8">
        <v>0</v>
      </c>
      <c r="G61" s="8"/>
      <c r="H61" s="53">
        <f t="shared" si="90"/>
        <v>38</v>
      </c>
      <c r="I61" s="23">
        <f t="shared" si="70"/>
        <v>19950</v>
      </c>
      <c r="J61" s="23">
        <f t="shared" si="71"/>
        <v>0</v>
      </c>
      <c r="K61" s="23">
        <f t="shared" si="72"/>
        <v>0</v>
      </c>
      <c r="L61" s="23"/>
      <c r="M61" s="60">
        <f t="shared" si="91"/>
        <v>19950</v>
      </c>
      <c r="N61" s="23"/>
      <c r="O61" s="23"/>
      <c r="P61" s="7"/>
      <c r="Q61" s="23"/>
      <c r="R61" s="60">
        <f t="shared" si="92"/>
        <v>0</v>
      </c>
      <c r="S61" s="23">
        <f t="shared" si="93"/>
        <v>19950</v>
      </c>
      <c r="T61" s="7"/>
      <c r="W61" s="2">
        <v>13200</v>
      </c>
      <c r="X61" s="2">
        <v>0</v>
      </c>
      <c r="Y61" s="2">
        <v>0</v>
      </c>
      <c r="Z61" s="2">
        <v>0</v>
      </c>
      <c r="AB61">
        <f>$AB$3-350</f>
        <v>13900</v>
      </c>
      <c r="AC61">
        <f>$AC$3-350</f>
        <v>14700</v>
      </c>
      <c r="AD61">
        <f>$AD$3-300</f>
        <v>11400</v>
      </c>
      <c r="AF61" s="32">
        <f t="shared" si="94"/>
        <v>700</v>
      </c>
      <c r="AG61" s="32"/>
      <c r="AH61" s="32"/>
      <c r="AN61">
        <v>175</v>
      </c>
      <c r="AR61" s="32">
        <f t="shared" ref="AR61:AT61" si="109">AF61-AJ61-AN61</f>
        <v>525</v>
      </c>
      <c r="AS61" s="32">
        <f t="shared" si="109"/>
        <v>0</v>
      </c>
      <c r="AT61" s="32">
        <f t="shared" si="109"/>
        <v>0</v>
      </c>
      <c r="AV61" s="32"/>
      <c r="AW61" s="32"/>
      <c r="AX61" s="32"/>
      <c r="AY61" s="32"/>
      <c r="AZ61" s="32"/>
      <c r="BA61" s="32"/>
    </row>
    <row r="62" spans="1:53">
      <c r="A62" s="54" t="s">
        <v>49</v>
      </c>
      <c r="B62" s="21"/>
      <c r="C62" s="21"/>
      <c r="D62" s="21"/>
      <c r="E62" s="14">
        <f t="shared" ref="E62:S62" si="110">SUM(E47:E61)</f>
        <v>1188</v>
      </c>
      <c r="F62" s="14">
        <f t="shared" si="110"/>
        <v>0</v>
      </c>
      <c r="G62" s="14">
        <f t="shared" si="110"/>
        <v>72</v>
      </c>
      <c r="H62" s="14">
        <f t="shared" si="110"/>
        <v>1260</v>
      </c>
      <c r="I62" s="14">
        <f t="shared" si="110"/>
        <v>804300</v>
      </c>
      <c r="J62" s="14">
        <f t="shared" si="110"/>
        <v>0</v>
      </c>
      <c r="K62" s="14">
        <f t="shared" si="110"/>
        <v>48000</v>
      </c>
      <c r="L62" s="14">
        <f t="shared" si="110"/>
        <v>0</v>
      </c>
      <c r="M62" s="14">
        <f t="shared" si="110"/>
        <v>852300</v>
      </c>
      <c r="N62" s="14">
        <f t="shared" si="110"/>
        <v>0</v>
      </c>
      <c r="O62" s="14">
        <f t="shared" si="110"/>
        <v>0</v>
      </c>
      <c r="P62" s="14">
        <f t="shared" si="110"/>
        <v>0</v>
      </c>
      <c r="Q62" s="14">
        <f t="shared" si="110"/>
        <v>0</v>
      </c>
      <c r="R62" s="14">
        <f t="shared" si="110"/>
        <v>0</v>
      </c>
      <c r="S62" s="14">
        <f t="shared" si="110"/>
        <v>852300</v>
      </c>
      <c r="T62" s="7"/>
      <c r="W62" s="2">
        <v>0</v>
      </c>
      <c r="X62" s="2">
        <v>0</v>
      </c>
      <c r="Y62" s="2">
        <v>0</v>
      </c>
      <c r="Z62" s="2">
        <v>0</v>
      </c>
      <c r="AB62">
        <f>$AB$3-350</f>
        <v>13900</v>
      </c>
      <c r="AC62">
        <f>$AC$3-350</f>
        <v>14700</v>
      </c>
      <c r="AD62">
        <f>$AD$3-300</f>
        <v>11400</v>
      </c>
      <c r="AF62" s="32"/>
      <c r="AG62" s="32"/>
      <c r="AH62" s="32"/>
      <c r="AR62" s="32">
        <f t="shared" ref="AR62:AT62" si="111">AF62-AJ62-AN62</f>
        <v>0</v>
      </c>
      <c r="AS62" s="32">
        <f t="shared" si="111"/>
        <v>0</v>
      </c>
      <c r="AT62" s="32">
        <f t="shared" si="111"/>
        <v>0</v>
      </c>
      <c r="AV62" s="32"/>
      <c r="AW62" s="32"/>
      <c r="AX62" s="32"/>
      <c r="AY62" s="32"/>
      <c r="AZ62" s="32"/>
      <c r="BA62" s="32"/>
    </row>
    <row r="63" spans="1:53">
      <c r="A63" s="7" t="s">
        <v>66</v>
      </c>
      <c r="B63" s="21" t="s">
        <v>493</v>
      </c>
      <c r="C63" s="21" t="s">
        <v>158</v>
      </c>
      <c r="D63" s="21" t="s">
        <v>443</v>
      </c>
      <c r="E63" s="8">
        <v>10</v>
      </c>
      <c r="F63" s="8">
        <v>0</v>
      </c>
      <c r="G63" s="8"/>
      <c r="H63" s="53">
        <f t="shared" ref="H63:H67" si="112">E63+F63+G63</f>
        <v>10</v>
      </c>
      <c r="I63" s="23">
        <f t="shared" si="70"/>
        <v>6500</v>
      </c>
      <c r="J63" s="23">
        <f t="shared" si="71"/>
        <v>0</v>
      </c>
      <c r="K63" s="23">
        <f t="shared" si="72"/>
        <v>0</v>
      </c>
      <c r="L63" s="7"/>
      <c r="M63" s="60">
        <f t="shared" ref="M63:M67" si="113">I63+J63+K63+L63</f>
        <v>6500</v>
      </c>
      <c r="N63" s="23"/>
      <c r="O63" s="23"/>
      <c r="P63" s="23"/>
      <c r="Q63" s="7"/>
      <c r="R63" s="60">
        <f t="shared" ref="R63:R67" si="114">N63+O63+P63+Q63</f>
        <v>0</v>
      </c>
      <c r="S63" s="23">
        <f t="shared" ref="S63:S67" si="115">M63+R63</f>
        <v>6500</v>
      </c>
      <c r="T63" s="7"/>
      <c r="W63" s="2">
        <v>13000</v>
      </c>
      <c r="X63" s="2">
        <v>0</v>
      </c>
      <c r="Y63" s="2">
        <v>0</v>
      </c>
      <c r="Z63" s="2">
        <v>0</v>
      </c>
      <c r="AB63">
        <f>$AB$3-350</f>
        <v>13900</v>
      </c>
      <c r="AC63">
        <f>$AC$3-350</f>
        <v>14700</v>
      </c>
      <c r="AD63">
        <f>$AD$3-300</f>
        <v>11400</v>
      </c>
      <c r="AF63" s="32">
        <f t="shared" ref="AF63:AF67" si="116">AB63-W63</f>
        <v>900</v>
      </c>
      <c r="AG63" s="32"/>
      <c r="AH63" s="32"/>
      <c r="AJ63" s="32">
        <v>250</v>
      </c>
      <c r="AK63" s="32"/>
      <c r="AL63" s="32"/>
      <c r="AR63" s="32">
        <f t="shared" ref="AR63:AT63" si="117">AF63-AJ63-AN63</f>
        <v>650</v>
      </c>
      <c r="AS63" s="32">
        <f t="shared" si="117"/>
        <v>0</v>
      </c>
      <c r="AT63" s="32">
        <f t="shared" si="117"/>
        <v>0</v>
      </c>
      <c r="AV63" s="32"/>
      <c r="AW63" s="32"/>
      <c r="AX63" s="32"/>
      <c r="AY63" s="32"/>
      <c r="AZ63" s="32"/>
      <c r="BA63" s="32"/>
    </row>
    <row r="64" spans="1:53">
      <c r="A64" s="7" t="s">
        <v>67</v>
      </c>
      <c r="B64" s="21" t="s">
        <v>494</v>
      </c>
      <c r="C64" s="21" t="s">
        <v>158</v>
      </c>
      <c r="D64" s="21" t="s">
        <v>447</v>
      </c>
      <c r="E64" s="8">
        <v>20</v>
      </c>
      <c r="F64" s="8">
        <v>0</v>
      </c>
      <c r="G64" s="8"/>
      <c r="H64" s="53">
        <f t="shared" si="112"/>
        <v>20</v>
      </c>
      <c r="I64" s="23">
        <f t="shared" si="70"/>
        <v>6000</v>
      </c>
      <c r="J64" s="23">
        <f t="shared" si="71"/>
        <v>0</v>
      </c>
      <c r="K64" s="23">
        <f t="shared" si="72"/>
        <v>0</v>
      </c>
      <c r="L64" s="7"/>
      <c r="M64" s="60">
        <f t="shared" si="113"/>
        <v>6000</v>
      </c>
      <c r="N64" s="23"/>
      <c r="O64" s="23"/>
      <c r="P64" s="7"/>
      <c r="Q64" s="7"/>
      <c r="R64" s="60">
        <f t="shared" si="114"/>
        <v>0</v>
      </c>
      <c r="S64" s="23">
        <f t="shared" si="115"/>
        <v>6000</v>
      </c>
      <c r="T64" s="7"/>
      <c r="W64" s="2">
        <v>13600</v>
      </c>
      <c r="X64" s="2">
        <v>0</v>
      </c>
      <c r="Y64" s="2">
        <v>0</v>
      </c>
      <c r="Z64" s="2">
        <v>0</v>
      </c>
      <c r="AB64">
        <f>$AB$3-350</f>
        <v>13900</v>
      </c>
      <c r="AC64">
        <f>$AC$3-350</f>
        <v>14700</v>
      </c>
      <c r="AD64">
        <f>$AD$3-300</f>
        <v>11400</v>
      </c>
      <c r="AF64" s="32">
        <f t="shared" si="116"/>
        <v>300</v>
      </c>
      <c r="AG64" s="32"/>
      <c r="AH64" s="32"/>
      <c r="AR64" s="32">
        <f t="shared" ref="AR64:AT64" si="118">AF64-AJ64-AN64</f>
        <v>300</v>
      </c>
      <c r="AS64" s="32">
        <f t="shared" si="118"/>
        <v>0</v>
      </c>
      <c r="AT64" s="32">
        <f t="shared" si="118"/>
        <v>0</v>
      </c>
      <c r="AV64" s="32"/>
      <c r="AW64" s="32"/>
      <c r="AX64" s="32"/>
      <c r="AY64" s="32"/>
      <c r="AZ64" s="32"/>
      <c r="BA64" s="32"/>
    </row>
    <row r="65" spans="1:53">
      <c r="A65" s="7" t="s">
        <v>68</v>
      </c>
      <c r="B65" s="21" t="s">
        <v>495</v>
      </c>
      <c r="C65" s="21" t="s">
        <v>152</v>
      </c>
      <c r="D65" s="21" t="s">
        <v>443</v>
      </c>
      <c r="E65" s="8">
        <v>15</v>
      </c>
      <c r="F65" s="8">
        <v>0</v>
      </c>
      <c r="G65" s="8"/>
      <c r="H65" s="53">
        <f t="shared" si="112"/>
        <v>15</v>
      </c>
      <c r="I65" s="23">
        <f t="shared" si="70"/>
        <v>3750</v>
      </c>
      <c r="J65" s="23">
        <f t="shared" si="71"/>
        <v>0</v>
      </c>
      <c r="K65" s="23">
        <f t="shared" si="72"/>
        <v>0</v>
      </c>
      <c r="L65" s="7"/>
      <c r="M65" s="60">
        <f t="shared" si="113"/>
        <v>3750</v>
      </c>
      <c r="N65" s="23"/>
      <c r="O65" s="23"/>
      <c r="P65" s="23"/>
      <c r="Q65" s="7"/>
      <c r="R65" s="60">
        <f t="shared" si="114"/>
        <v>0</v>
      </c>
      <c r="S65" s="23">
        <f t="shared" si="115"/>
        <v>3750</v>
      </c>
      <c r="T65" s="7"/>
      <c r="W65" s="2">
        <v>13400</v>
      </c>
      <c r="X65" s="2">
        <v>0</v>
      </c>
      <c r="Y65" s="2">
        <v>0</v>
      </c>
      <c r="Z65" s="2">
        <v>0</v>
      </c>
      <c r="AB65">
        <f>$AB$3-350</f>
        <v>13900</v>
      </c>
      <c r="AC65">
        <f>$AC$3-350</f>
        <v>14700</v>
      </c>
      <c r="AD65">
        <f>$AD$3-300</f>
        <v>11400</v>
      </c>
      <c r="AF65" s="32">
        <f t="shared" si="116"/>
        <v>500</v>
      </c>
      <c r="AG65" s="32"/>
      <c r="AH65" s="32"/>
      <c r="AJ65" s="32">
        <v>250</v>
      </c>
      <c r="AK65" s="32"/>
      <c r="AL65" s="32"/>
      <c r="AR65" s="32">
        <f t="shared" ref="AR65:AT65" si="119">AF65-AJ65-AN65</f>
        <v>250</v>
      </c>
      <c r="AS65" s="32">
        <f t="shared" si="119"/>
        <v>0</v>
      </c>
      <c r="AT65" s="32">
        <f t="shared" si="119"/>
        <v>0</v>
      </c>
      <c r="AV65" s="32"/>
      <c r="AW65" s="32"/>
      <c r="AX65" s="32"/>
      <c r="AY65" s="32"/>
      <c r="AZ65" s="32"/>
      <c r="BA65" s="32"/>
    </row>
    <row r="66" spans="1:53">
      <c r="A66" s="7" t="s">
        <v>69</v>
      </c>
      <c r="B66" s="21" t="s">
        <v>496</v>
      </c>
      <c r="C66" s="21" t="s">
        <v>158</v>
      </c>
      <c r="D66" s="21" t="s">
        <v>443</v>
      </c>
      <c r="E66" s="8">
        <v>45</v>
      </c>
      <c r="F66" s="8">
        <v>0</v>
      </c>
      <c r="G66" s="8"/>
      <c r="H66" s="53">
        <f t="shared" si="112"/>
        <v>45</v>
      </c>
      <c r="I66" s="23">
        <f t="shared" si="70"/>
        <v>29250</v>
      </c>
      <c r="J66" s="23">
        <f t="shared" si="71"/>
        <v>0</v>
      </c>
      <c r="K66" s="23">
        <f t="shared" si="72"/>
        <v>0</v>
      </c>
      <c r="L66" s="7"/>
      <c r="M66" s="60">
        <f t="shared" si="113"/>
        <v>29250</v>
      </c>
      <c r="N66" s="23"/>
      <c r="O66" s="23"/>
      <c r="P66" s="23"/>
      <c r="Q66" s="7"/>
      <c r="R66" s="60">
        <f t="shared" si="114"/>
        <v>0</v>
      </c>
      <c r="S66" s="23">
        <f t="shared" si="115"/>
        <v>29250</v>
      </c>
      <c r="T66" s="7"/>
      <c r="W66" s="2">
        <v>13000</v>
      </c>
      <c r="X66" s="2">
        <v>0</v>
      </c>
      <c r="Y66" s="2">
        <v>0</v>
      </c>
      <c r="Z66" s="2">
        <v>0</v>
      </c>
      <c r="AB66">
        <f>$AB$3-350</f>
        <v>13900</v>
      </c>
      <c r="AC66">
        <f>$AC$3-350</f>
        <v>14700</v>
      </c>
      <c r="AD66">
        <f>$AD$3-300</f>
        <v>11400</v>
      </c>
      <c r="AF66" s="32">
        <f t="shared" si="116"/>
        <v>900</v>
      </c>
      <c r="AG66" s="32"/>
      <c r="AH66" s="32"/>
      <c r="AJ66" s="32">
        <v>250</v>
      </c>
      <c r="AK66" s="32"/>
      <c r="AL66" s="32"/>
      <c r="AR66" s="32">
        <f t="shared" ref="AR66:AT66" si="120">AF66-AJ66-AN66</f>
        <v>650</v>
      </c>
      <c r="AS66" s="32">
        <f t="shared" si="120"/>
        <v>0</v>
      </c>
      <c r="AT66" s="32">
        <f t="shared" si="120"/>
        <v>0</v>
      </c>
      <c r="AV66" s="32"/>
      <c r="AW66" s="32"/>
      <c r="AX66" s="32"/>
      <c r="AY66" s="32"/>
      <c r="AZ66" s="32"/>
      <c r="BA66" s="32"/>
    </row>
    <row r="67" spans="1:53">
      <c r="A67" s="7" t="s">
        <v>70</v>
      </c>
      <c r="B67" s="21" t="s">
        <v>497</v>
      </c>
      <c r="C67" s="21" t="s">
        <v>152</v>
      </c>
      <c r="D67" s="21" t="s">
        <v>443</v>
      </c>
      <c r="E67" s="8">
        <v>60</v>
      </c>
      <c r="F67" s="8">
        <v>0</v>
      </c>
      <c r="G67" s="8"/>
      <c r="H67" s="53">
        <f t="shared" si="112"/>
        <v>60</v>
      </c>
      <c r="I67" s="23">
        <f t="shared" si="70"/>
        <v>39000</v>
      </c>
      <c r="J67" s="23">
        <f t="shared" si="71"/>
        <v>0</v>
      </c>
      <c r="K67" s="23">
        <f t="shared" si="72"/>
        <v>0</v>
      </c>
      <c r="L67" s="7"/>
      <c r="M67" s="60">
        <f t="shared" si="113"/>
        <v>39000</v>
      </c>
      <c r="N67" s="23"/>
      <c r="O67" s="23"/>
      <c r="P67" s="23"/>
      <c r="Q67" s="7"/>
      <c r="R67" s="60">
        <f t="shared" si="114"/>
        <v>0</v>
      </c>
      <c r="S67" s="23">
        <f t="shared" si="115"/>
        <v>39000</v>
      </c>
      <c r="T67" s="7"/>
      <c r="W67" s="2">
        <v>13000</v>
      </c>
      <c r="X67" s="2">
        <v>0</v>
      </c>
      <c r="Y67" s="2">
        <v>0</v>
      </c>
      <c r="Z67" s="2">
        <v>0</v>
      </c>
      <c r="AB67">
        <f>$AB$3-350</f>
        <v>13900</v>
      </c>
      <c r="AC67">
        <f>$AC$3-350</f>
        <v>14700</v>
      </c>
      <c r="AD67">
        <f>$AD$3-300</f>
        <v>11400</v>
      </c>
      <c r="AF67" s="32">
        <f t="shared" si="116"/>
        <v>900</v>
      </c>
      <c r="AG67" s="32"/>
      <c r="AH67" s="32"/>
      <c r="AJ67" s="32">
        <v>250</v>
      </c>
      <c r="AK67" s="32"/>
      <c r="AL67" s="32"/>
      <c r="AR67" s="32">
        <f t="shared" ref="AR67:AT67" si="121">AF67-AJ67-AN67</f>
        <v>650</v>
      </c>
      <c r="AS67" s="32">
        <f t="shared" si="121"/>
        <v>0</v>
      </c>
      <c r="AT67" s="32">
        <f t="shared" si="121"/>
        <v>0</v>
      </c>
      <c r="AV67" s="32"/>
      <c r="AW67" s="32"/>
      <c r="AX67" s="32"/>
      <c r="AY67" s="32"/>
      <c r="AZ67" s="32"/>
      <c r="BA67" s="32"/>
    </row>
    <row r="68" spans="1:53">
      <c r="A68" s="54" t="s">
        <v>65</v>
      </c>
      <c r="B68" s="21"/>
      <c r="C68" s="21"/>
      <c r="D68" s="21"/>
      <c r="E68" s="14">
        <f t="shared" ref="E68:S68" si="122">SUM(E63:E67)</f>
        <v>150</v>
      </c>
      <c r="F68" s="14">
        <f t="shared" si="122"/>
        <v>0</v>
      </c>
      <c r="G68" s="14">
        <f t="shared" si="122"/>
        <v>0</v>
      </c>
      <c r="H68" s="14">
        <f t="shared" si="122"/>
        <v>150</v>
      </c>
      <c r="I68" s="14">
        <f t="shared" si="122"/>
        <v>84500</v>
      </c>
      <c r="J68" s="14">
        <f t="shared" si="122"/>
        <v>0</v>
      </c>
      <c r="K68" s="14">
        <f t="shared" si="122"/>
        <v>0</v>
      </c>
      <c r="L68" s="14">
        <f t="shared" si="122"/>
        <v>0</v>
      </c>
      <c r="M68" s="14">
        <f t="shared" si="122"/>
        <v>84500</v>
      </c>
      <c r="N68" s="14">
        <f t="shared" si="122"/>
        <v>0</v>
      </c>
      <c r="O68" s="14">
        <f t="shared" si="122"/>
        <v>0</v>
      </c>
      <c r="P68" s="14">
        <f t="shared" si="122"/>
        <v>0</v>
      </c>
      <c r="Q68" s="14">
        <f t="shared" si="122"/>
        <v>0</v>
      </c>
      <c r="R68" s="14">
        <f t="shared" si="122"/>
        <v>0</v>
      </c>
      <c r="S68" s="14">
        <f t="shared" si="122"/>
        <v>84500</v>
      </c>
      <c r="T68" s="7"/>
      <c r="W68" s="2">
        <v>0</v>
      </c>
      <c r="X68" s="2">
        <v>0</v>
      </c>
      <c r="Y68" s="2">
        <v>0</v>
      </c>
      <c r="Z68" s="2">
        <v>0</v>
      </c>
      <c r="AB68">
        <f>$AB$3-350</f>
        <v>13900</v>
      </c>
      <c r="AC68">
        <f>$AC$3-350</f>
        <v>14700</v>
      </c>
      <c r="AD68">
        <f>$AD$3-300</f>
        <v>11400</v>
      </c>
      <c r="AF68" s="32"/>
      <c r="AG68" s="32"/>
      <c r="AH68" s="32"/>
      <c r="AR68" s="32">
        <f t="shared" ref="AR68:AT68" si="123">AF68-AJ68-AN68</f>
        <v>0</v>
      </c>
      <c r="AS68" s="32">
        <f t="shared" si="123"/>
        <v>0</v>
      </c>
      <c r="AT68" s="32">
        <f t="shared" si="123"/>
        <v>0</v>
      </c>
      <c r="AV68" s="32"/>
      <c r="AW68" s="32"/>
      <c r="AX68" s="32"/>
      <c r="AY68" s="32"/>
      <c r="AZ68" s="32"/>
      <c r="BA68" s="32"/>
    </row>
    <row r="69" spans="1:53">
      <c r="A69" s="7" t="s">
        <v>72</v>
      </c>
      <c r="B69" s="21" t="s">
        <v>498</v>
      </c>
      <c r="C69" s="21" t="s">
        <v>152</v>
      </c>
      <c r="D69" s="21" t="s">
        <v>423</v>
      </c>
      <c r="E69" s="8">
        <v>10</v>
      </c>
      <c r="F69" s="8">
        <v>0</v>
      </c>
      <c r="G69" s="8"/>
      <c r="H69" s="53">
        <f t="shared" ref="H69:H76" si="124">E69+F69+G69</f>
        <v>10</v>
      </c>
      <c r="I69" s="23">
        <f t="shared" si="70"/>
        <v>7250</v>
      </c>
      <c r="J69" s="23">
        <f t="shared" si="71"/>
        <v>0</v>
      </c>
      <c r="K69" s="23">
        <f t="shared" si="72"/>
        <v>0</v>
      </c>
      <c r="L69" s="23"/>
      <c r="M69" s="60">
        <f t="shared" ref="M69:M76" si="125">I69+J69+K69+L69</f>
        <v>7250</v>
      </c>
      <c r="N69" s="23">
        <f>G69*$N$2</f>
        <v>0</v>
      </c>
      <c r="O69" s="23">
        <f>G69*$O$2</f>
        <v>0</v>
      </c>
      <c r="P69" s="7"/>
      <c r="Q69" s="23">
        <f>G69*AP69</f>
        <v>0</v>
      </c>
      <c r="R69" s="60">
        <f t="shared" ref="R69:R76" si="126">N69+O69+P69+Q69</f>
        <v>0</v>
      </c>
      <c r="S69" s="23">
        <f t="shared" ref="S69:S76" si="127">M69+R69</f>
        <v>7250</v>
      </c>
      <c r="T69" s="7"/>
      <c r="W69" s="2">
        <v>13000</v>
      </c>
      <c r="X69" s="2">
        <v>0</v>
      </c>
      <c r="Y69" s="2">
        <v>0</v>
      </c>
      <c r="Z69" s="2">
        <v>0</v>
      </c>
      <c r="AB69">
        <f>$AB$3-350</f>
        <v>13900</v>
      </c>
      <c r="AC69">
        <f>$AC$3-350</f>
        <v>14700</v>
      </c>
      <c r="AD69">
        <f>$AD$3-300</f>
        <v>11400</v>
      </c>
      <c r="AF69" s="32">
        <f t="shared" ref="AF69:AF72" si="128">AB69-W69</f>
        <v>900</v>
      </c>
      <c r="AG69" s="32"/>
      <c r="AH69" s="32"/>
      <c r="AN69">
        <v>175</v>
      </c>
      <c r="AR69" s="32">
        <f t="shared" ref="AR69:AT69" si="129">AF69-AJ69-AN69</f>
        <v>725</v>
      </c>
      <c r="AS69" s="32">
        <f t="shared" si="129"/>
        <v>0</v>
      </c>
      <c r="AT69" s="32">
        <f t="shared" si="129"/>
        <v>0</v>
      </c>
      <c r="AV69" s="32"/>
      <c r="AW69" s="32"/>
      <c r="AX69" s="32"/>
      <c r="AY69" s="32"/>
      <c r="AZ69" s="32"/>
      <c r="BA69" s="32"/>
    </row>
    <row r="70" spans="1:53">
      <c r="A70" s="54" t="s">
        <v>71</v>
      </c>
      <c r="B70" s="21"/>
      <c r="C70" s="21"/>
      <c r="D70" s="21"/>
      <c r="E70" s="14">
        <f t="shared" ref="E70:S70" si="130">SUM(E69:E69)</f>
        <v>10</v>
      </c>
      <c r="F70" s="14">
        <f t="shared" si="130"/>
        <v>0</v>
      </c>
      <c r="G70" s="14">
        <f t="shared" si="130"/>
        <v>0</v>
      </c>
      <c r="H70" s="14">
        <f t="shared" si="130"/>
        <v>10</v>
      </c>
      <c r="I70" s="14">
        <f t="shared" si="130"/>
        <v>7250</v>
      </c>
      <c r="J70" s="14">
        <f t="shared" si="130"/>
        <v>0</v>
      </c>
      <c r="K70" s="14">
        <f t="shared" si="130"/>
        <v>0</v>
      </c>
      <c r="L70" s="14">
        <f t="shared" si="130"/>
        <v>0</v>
      </c>
      <c r="M70" s="14">
        <f t="shared" si="130"/>
        <v>7250</v>
      </c>
      <c r="N70" s="14">
        <f t="shared" si="130"/>
        <v>0</v>
      </c>
      <c r="O70" s="14">
        <f t="shared" si="130"/>
        <v>0</v>
      </c>
      <c r="P70" s="14">
        <f t="shared" si="130"/>
        <v>0</v>
      </c>
      <c r="Q70" s="14">
        <f t="shared" si="130"/>
        <v>0</v>
      </c>
      <c r="R70" s="14">
        <f t="shared" si="130"/>
        <v>0</v>
      </c>
      <c r="S70" s="14">
        <f t="shared" si="130"/>
        <v>7250</v>
      </c>
      <c r="T70" s="7"/>
      <c r="W70" s="2">
        <v>0</v>
      </c>
      <c r="X70" s="2">
        <v>0</v>
      </c>
      <c r="Y70" s="2">
        <v>0</v>
      </c>
      <c r="Z70" s="2">
        <v>0</v>
      </c>
      <c r="AB70">
        <f>$AB$3-350</f>
        <v>13900</v>
      </c>
      <c r="AC70">
        <f>$AC$3-350</f>
        <v>14700</v>
      </c>
      <c r="AD70">
        <f>$AD$3-300</f>
        <v>11400</v>
      </c>
      <c r="AF70" s="32"/>
      <c r="AG70" s="32"/>
      <c r="AH70" s="32"/>
      <c r="AR70" s="32">
        <f t="shared" ref="AR70:AT70" si="131">AF70-AJ70-AN70</f>
        <v>0</v>
      </c>
      <c r="AS70" s="32">
        <f t="shared" si="131"/>
        <v>0</v>
      </c>
      <c r="AT70" s="32">
        <f t="shared" si="131"/>
        <v>0</v>
      </c>
      <c r="AV70" s="32"/>
      <c r="AW70" s="32"/>
      <c r="AX70" s="32"/>
      <c r="AY70" s="32"/>
      <c r="AZ70" s="32"/>
      <c r="BA70" s="32"/>
    </row>
    <row r="71" spans="1:53">
      <c r="A71" s="7" t="s">
        <v>74</v>
      </c>
      <c r="B71" s="21" t="s">
        <v>499</v>
      </c>
      <c r="C71" s="21" t="s">
        <v>158</v>
      </c>
      <c r="D71" s="21" t="s">
        <v>443</v>
      </c>
      <c r="E71" s="8">
        <v>65</v>
      </c>
      <c r="F71" s="8">
        <v>0</v>
      </c>
      <c r="G71" s="8"/>
      <c r="H71" s="53">
        <f t="shared" si="124"/>
        <v>65</v>
      </c>
      <c r="I71" s="23">
        <f t="shared" ref="I70:I107" si="132">E71*AR71</f>
        <v>29250</v>
      </c>
      <c r="J71" s="23">
        <f t="shared" ref="J70:J107" si="133">F71*AS71</f>
        <v>0</v>
      </c>
      <c r="K71" s="23">
        <f t="shared" ref="K70:K107" si="134">G71*AT71</f>
        <v>0</v>
      </c>
      <c r="L71" s="7"/>
      <c r="M71" s="60">
        <f t="shared" si="125"/>
        <v>29250</v>
      </c>
      <c r="N71" s="23">
        <f>G71*$N$2</f>
        <v>0</v>
      </c>
      <c r="O71" s="23">
        <f>G71*$O$2</f>
        <v>0</v>
      </c>
      <c r="P71" s="23">
        <f t="shared" ref="P71:P73" si="135">G71*AL71</f>
        <v>0</v>
      </c>
      <c r="Q71" s="7"/>
      <c r="R71" s="60">
        <f t="shared" si="126"/>
        <v>0</v>
      </c>
      <c r="S71" s="23">
        <f t="shared" si="127"/>
        <v>29250</v>
      </c>
      <c r="T71" s="7"/>
      <c r="W71" s="2">
        <v>13200</v>
      </c>
      <c r="X71" s="2">
        <v>0</v>
      </c>
      <c r="Y71" s="2">
        <v>0</v>
      </c>
      <c r="Z71" s="2">
        <v>0</v>
      </c>
      <c r="AB71">
        <f>$AB$3-350</f>
        <v>13900</v>
      </c>
      <c r="AC71">
        <f>$AC$3-350</f>
        <v>14700</v>
      </c>
      <c r="AD71">
        <f>$AD$3-300</f>
        <v>11400</v>
      </c>
      <c r="AF71" s="32">
        <f t="shared" si="128"/>
        <v>700</v>
      </c>
      <c r="AG71" s="32"/>
      <c r="AH71" s="32"/>
      <c r="AJ71" s="32">
        <v>250</v>
      </c>
      <c r="AK71" s="32"/>
      <c r="AL71" s="32"/>
      <c r="AR71" s="32">
        <f t="shared" ref="AR71:AT71" si="136">AF71-AJ71-AN71</f>
        <v>450</v>
      </c>
      <c r="AS71" s="32">
        <f t="shared" si="136"/>
        <v>0</v>
      </c>
      <c r="AT71" s="32">
        <f t="shared" si="136"/>
        <v>0</v>
      </c>
      <c r="AV71" s="32"/>
      <c r="AW71" s="32"/>
      <c r="AX71" s="32"/>
      <c r="AY71" s="32"/>
      <c r="AZ71" s="32"/>
      <c r="BA71" s="32"/>
    </row>
    <row r="72" spans="1:53">
      <c r="A72" s="7" t="s">
        <v>75</v>
      </c>
      <c r="B72" s="21" t="s">
        <v>500</v>
      </c>
      <c r="C72" s="21" t="s">
        <v>158</v>
      </c>
      <c r="D72" s="21" t="s">
        <v>443</v>
      </c>
      <c r="E72" s="8">
        <v>6</v>
      </c>
      <c r="F72" s="8">
        <v>0</v>
      </c>
      <c r="G72" s="8"/>
      <c r="H72" s="53">
        <f t="shared" si="124"/>
        <v>6</v>
      </c>
      <c r="I72" s="23">
        <f t="shared" si="132"/>
        <v>2100</v>
      </c>
      <c r="J72" s="23">
        <f t="shared" si="133"/>
        <v>0</v>
      </c>
      <c r="K72" s="23">
        <f t="shared" si="134"/>
        <v>0</v>
      </c>
      <c r="L72" s="7"/>
      <c r="M72" s="60">
        <f t="shared" si="125"/>
        <v>2100</v>
      </c>
      <c r="N72" s="23">
        <f>G72*$N$2</f>
        <v>0</v>
      </c>
      <c r="O72" s="23">
        <f>G72*$O$2</f>
        <v>0</v>
      </c>
      <c r="P72" s="23">
        <f t="shared" si="135"/>
        <v>0</v>
      </c>
      <c r="Q72" s="7"/>
      <c r="R72" s="60">
        <f t="shared" si="126"/>
        <v>0</v>
      </c>
      <c r="S72" s="23">
        <f t="shared" si="127"/>
        <v>2100</v>
      </c>
      <c r="T72" s="7"/>
      <c r="W72" s="2">
        <v>13300</v>
      </c>
      <c r="X72" s="2">
        <v>0</v>
      </c>
      <c r="Y72" s="2">
        <v>0</v>
      </c>
      <c r="Z72" s="2">
        <v>0</v>
      </c>
      <c r="AB72">
        <f>$AB$3-350</f>
        <v>13900</v>
      </c>
      <c r="AC72">
        <f>$AC$3-350</f>
        <v>14700</v>
      </c>
      <c r="AD72">
        <f>$AD$3-300</f>
        <v>11400</v>
      </c>
      <c r="AF72" s="32">
        <f t="shared" si="128"/>
        <v>600</v>
      </c>
      <c r="AG72" s="32"/>
      <c r="AH72" s="32"/>
      <c r="AJ72" s="32">
        <v>250</v>
      </c>
      <c r="AK72" s="32"/>
      <c r="AL72" s="32"/>
      <c r="AR72" s="32">
        <f t="shared" ref="AR72:AT72" si="137">AF72-AJ72-AN72</f>
        <v>350</v>
      </c>
      <c r="AS72" s="32">
        <f t="shared" si="137"/>
        <v>0</v>
      </c>
      <c r="AT72" s="32">
        <f t="shared" si="137"/>
        <v>0</v>
      </c>
      <c r="AV72" s="32"/>
      <c r="AW72" s="32"/>
      <c r="AX72" s="32"/>
      <c r="AY72" s="32"/>
      <c r="AZ72" s="32"/>
      <c r="BA72" s="32"/>
    </row>
    <row r="73" spans="1:53">
      <c r="A73" s="7" t="s">
        <v>76</v>
      </c>
      <c r="B73" s="21" t="s">
        <v>501</v>
      </c>
      <c r="C73" s="21" t="s">
        <v>152</v>
      </c>
      <c r="D73" s="21" t="s">
        <v>443</v>
      </c>
      <c r="E73" s="8">
        <v>0</v>
      </c>
      <c r="F73" s="8">
        <v>4</v>
      </c>
      <c r="G73" s="8"/>
      <c r="H73" s="53">
        <f t="shared" si="124"/>
        <v>4</v>
      </c>
      <c r="I73" s="23">
        <f t="shared" si="132"/>
        <v>0</v>
      </c>
      <c r="J73" s="23">
        <f t="shared" si="133"/>
        <v>3400</v>
      </c>
      <c r="K73" s="23">
        <f t="shared" si="134"/>
        <v>0</v>
      </c>
      <c r="L73" s="7"/>
      <c r="M73" s="60">
        <f t="shared" si="125"/>
        <v>3400</v>
      </c>
      <c r="N73" s="23">
        <f>G73*$N$2</f>
        <v>0</v>
      </c>
      <c r="O73" s="23">
        <f>G73*$O$2</f>
        <v>0</v>
      </c>
      <c r="P73" s="23">
        <f t="shared" si="135"/>
        <v>0</v>
      </c>
      <c r="Q73" s="7"/>
      <c r="R73" s="60">
        <f t="shared" si="126"/>
        <v>0</v>
      </c>
      <c r="S73" s="23">
        <f t="shared" si="127"/>
        <v>3400</v>
      </c>
      <c r="T73" s="7"/>
      <c r="W73" s="2">
        <v>0</v>
      </c>
      <c r="X73" s="2">
        <v>13600</v>
      </c>
      <c r="Y73" s="2">
        <v>0</v>
      </c>
      <c r="Z73" s="2">
        <v>0</v>
      </c>
      <c r="AB73">
        <f>$AB$3-350</f>
        <v>13900</v>
      </c>
      <c r="AC73">
        <f>$AC$3-350</f>
        <v>14700</v>
      </c>
      <c r="AD73">
        <f>$AD$3-300</f>
        <v>11400</v>
      </c>
      <c r="AF73" s="32"/>
      <c r="AG73" s="32">
        <f t="shared" ref="AG73:AG78" si="138">AC73-X73</f>
        <v>1100</v>
      </c>
      <c r="AH73" s="32"/>
      <c r="AJ73" s="32"/>
      <c r="AK73" s="32">
        <v>250</v>
      </c>
      <c r="AL73" s="32"/>
      <c r="AR73" s="32">
        <f t="shared" ref="AR73:AT73" si="139">AF73-AJ73-AN73</f>
        <v>0</v>
      </c>
      <c r="AS73" s="32">
        <f t="shared" si="139"/>
        <v>850</v>
      </c>
      <c r="AT73" s="32">
        <f t="shared" si="139"/>
        <v>0</v>
      </c>
      <c r="AV73" s="32"/>
      <c r="AW73" s="32"/>
      <c r="AX73" s="32"/>
      <c r="AY73" s="32"/>
      <c r="AZ73" s="32"/>
      <c r="BA73" s="32"/>
    </row>
    <row r="74" s="52" customFormat="1" spans="1:53">
      <c r="A74" s="55" t="s">
        <v>77</v>
      </c>
      <c r="B74" s="43" t="s">
        <v>502</v>
      </c>
      <c r="C74" s="43" t="s">
        <v>152</v>
      </c>
      <c r="D74" s="43" t="s">
        <v>447</v>
      </c>
      <c r="E74" s="12">
        <v>45</v>
      </c>
      <c r="F74" s="12">
        <v>5</v>
      </c>
      <c r="G74" s="12"/>
      <c r="H74" s="56">
        <f t="shared" si="124"/>
        <v>50</v>
      </c>
      <c r="I74" s="23">
        <f t="shared" si="132"/>
        <v>31500</v>
      </c>
      <c r="J74" s="23">
        <f t="shared" si="133"/>
        <v>5500</v>
      </c>
      <c r="K74" s="23">
        <f t="shared" si="134"/>
        <v>0</v>
      </c>
      <c r="L74" s="55"/>
      <c r="M74" s="61">
        <f t="shared" si="125"/>
        <v>37000</v>
      </c>
      <c r="N74" s="61">
        <f>G74*$N$2</f>
        <v>0</v>
      </c>
      <c r="O74" s="61">
        <f>G74*$O$2</f>
        <v>0</v>
      </c>
      <c r="P74" s="55"/>
      <c r="Q74" s="55"/>
      <c r="R74" s="61">
        <f t="shared" si="126"/>
        <v>0</v>
      </c>
      <c r="S74" s="61">
        <f t="shared" si="127"/>
        <v>37000</v>
      </c>
      <c r="T74" s="55"/>
      <c r="W74" s="67">
        <v>13200</v>
      </c>
      <c r="X74" s="67">
        <v>13600</v>
      </c>
      <c r="Y74" s="67">
        <v>0</v>
      </c>
      <c r="Z74" s="67">
        <v>0</v>
      </c>
      <c r="AB74" s="52">
        <f>$AB$3-350</f>
        <v>13900</v>
      </c>
      <c r="AC74" s="52">
        <f>$AC$3-350</f>
        <v>14700</v>
      </c>
      <c r="AD74" s="52">
        <f>$AD$3-300</f>
        <v>11400</v>
      </c>
      <c r="AF74" s="69">
        <f t="shared" ref="AF74:AF76" si="140">AB74-W74</f>
        <v>700</v>
      </c>
      <c r="AG74" s="69">
        <f t="shared" si="138"/>
        <v>1100</v>
      </c>
      <c r="AH74" s="69"/>
      <c r="AR74" s="32">
        <f t="shared" ref="AR74:AT74" si="141">AF74-AJ74-AN74</f>
        <v>700</v>
      </c>
      <c r="AS74" s="32">
        <f t="shared" si="141"/>
        <v>1100</v>
      </c>
      <c r="AT74" s="32">
        <f t="shared" si="141"/>
        <v>0</v>
      </c>
      <c r="AV74" s="32"/>
      <c r="AW74" s="32"/>
      <c r="AX74" s="32"/>
      <c r="AY74" s="32"/>
      <c r="AZ74" s="32"/>
      <c r="BA74" s="32"/>
    </row>
    <row r="75" s="52" customFormat="1" spans="1:53">
      <c r="A75" s="55" t="s">
        <v>78</v>
      </c>
      <c r="B75" s="43" t="s">
        <v>503</v>
      </c>
      <c r="C75" s="43" t="s">
        <v>152</v>
      </c>
      <c r="D75" s="43" t="s">
        <v>447</v>
      </c>
      <c r="E75" s="12">
        <v>4</v>
      </c>
      <c r="F75" s="12">
        <v>0</v>
      </c>
      <c r="G75" s="12"/>
      <c r="H75" s="56">
        <f t="shared" si="124"/>
        <v>4</v>
      </c>
      <c r="I75" s="23">
        <f t="shared" si="132"/>
        <v>2800</v>
      </c>
      <c r="J75" s="23">
        <f t="shared" si="133"/>
        <v>0</v>
      </c>
      <c r="K75" s="23">
        <f t="shared" si="134"/>
        <v>0</v>
      </c>
      <c r="L75" s="55"/>
      <c r="M75" s="61">
        <f t="shared" si="125"/>
        <v>2800</v>
      </c>
      <c r="N75" s="61">
        <f>G75*$N$2</f>
        <v>0</v>
      </c>
      <c r="O75" s="61">
        <f>G75*$O$2</f>
        <v>0</v>
      </c>
      <c r="P75" s="55"/>
      <c r="Q75" s="55"/>
      <c r="R75" s="61">
        <f t="shared" si="126"/>
        <v>0</v>
      </c>
      <c r="S75" s="61">
        <f t="shared" si="127"/>
        <v>2800</v>
      </c>
      <c r="T75" s="55"/>
      <c r="W75" s="67">
        <v>13200</v>
      </c>
      <c r="X75" s="67">
        <v>0</v>
      </c>
      <c r="Y75" s="67">
        <v>0</v>
      </c>
      <c r="Z75" s="67">
        <v>0</v>
      </c>
      <c r="AB75" s="52">
        <f>$AB$3-350</f>
        <v>13900</v>
      </c>
      <c r="AC75" s="52">
        <f>$AC$3-350</f>
        <v>14700</v>
      </c>
      <c r="AD75" s="52">
        <f>$AD$3-300</f>
        <v>11400</v>
      </c>
      <c r="AF75" s="69">
        <f t="shared" si="140"/>
        <v>700</v>
      </c>
      <c r="AG75" s="69"/>
      <c r="AH75" s="69"/>
      <c r="AR75" s="32">
        <f t="shared" ref="AR75:AT75" si="142">AF75-AJ75-AN75</f>
        <v>700</v>
      </c>
      <c r="AS75" s="32">
        <f t="shared" si="142"/>
        <v>0</v>
      </c>
      <c r="AT75" s="32">
        <f t="shared" si="142"/>
        <v>0</v>
      </c>
      <c r="AV75" s="32"/>
      <c r="AW75" s="32"/>
      <c r="AX75" s="32"/>
      <c r="AY75" s="32"/>
      <c r="AZ75" s="32"/>
      <c r="BA75" s="32"/>
    </row>
    <row r="76" spans="1:53">
      <c r="A76" s="7" t="s">
        <v>79</v>
      </c>
      <c r="B76" s="21" t="s">
        <v>504</v>
      </c>
      <c r="C76" s="21" t="s">
        <v>152</v>
      </c>
      <c r="D76" s="21" t="s">
        <v>423</v>
      </c>
      <c r="E76" s="8">
        <v>117</v>
      </c>
      <c r="F76" s="8">
        <v>0</v>
      </c>
      <c r="G76" s="8"/>
      <c r="H76" s="53">
        <f t="shared" si="124"/>
        <v>117</v>
      </c>
      <c r="I76" s="23">
        <f t="shared" si="132"/>
        <v>67275</v>
      </c>
      <c r="J76" s="23">
        <f t="shared" si="133"/>
        <v>0</v>
      </c>
      <c r="K76" s="23">
        <f t="shared" si="134"/>
        <v>0</v>
      </c>
      <c r="L76" s="23"/>
      <c r="M76" s="60">
        <f t="shared" si="125"/>
        <v>67275</v>
      </c>
      <c r="N76" s="23">
        <f>G76*$N$2</f>
        <v>0</v>
      </c>
      <c r="O76" s="23">
        <f>G76*$O$2</f>
        <v>0</v>
      </c>
      <c r="P76" s="7"/>
      <c r="Q76" s="23">
        <f>G76*AP76</f>
        <v>0</v>
      </c>
      <c r="R76" s="60">
        <f t="shared" si="126"/>
        <v>0</v>
      </c>
      <c r="S76" s="23">
        <f t="shared" si="127"/>
        <v>67275</v>
      </c>
      <c r="T76" s="7"/>
      <c r="W76" s="2">
        <v>13150</v>
      </c>
      <c r="X76" s="2">
        <v>0</v>
      </c>
      <c r="Y76" s="2">
        <v>0</v>
      </c>
      <c r="Z76" s="2">
        <v>0</v>
      </c>
      <c r="AB76">
        <f>$AB$3-350</f>
        <v>13900</v>
      </c>
      <c r="AC76">
        <f>$AC$3-350</f>
        <v>14700</v>
      </c>
      <c r="AD76">
        <f>$AD$3-300</f>
        <v>11400</v>
      </c>
      <c r="AF76" s="32">
        <f t="shared" si="140"/>
        <v>750</v>
      </c>
      <c r="AG76" s="32"/>
      <c r="AH76" s="32"/>
      <c r="AN76">
        <v>175</v>
      </c>
      <c r="AR76" s="32">
        <f t="shared" ref="AR76:AT76" si="143">AF76-AJ76-AN76</f>
        <v>575</v>
      </c>
      <c r="AS76" s="32">
        <f t="shared" si="143"/>
        <v>0</v>
      </c>
      <c r="AT76" s="32">
        <f t="shared" si="143"/>
        <v>0</v>
      </c>
      <c r="AV76" s="32"/>
      <c r="AW76" s="32"/>
      <c r="AX76" s="32"/>
      <c r="AY76" s="32"/>
      <c r="AZ76" s="32"/>
      <c r="BA76" s="32"/>
    </row>
    <row r="77" spans="1:53">
      <c r="A77" s="54" t="s">
        <v>73</v>
      </c>
      <c r="B77" s="21"/>
      <c r="C77" s="21"/>
      <c r="D77" s="21"/>
      <c r="E77" s="14">
        <f t="shared" ref="E77:S77" si="144">SUM(E71:E76)</f>
        <v>237</v>
      </c>
      <c r="F77" s="14">
        <f t="shared" si="144"/>
        <v>9</v>
      </c>
      <c r="G77" s="14">
        <f t="shared" si="144"/>
        <v>0</v>
      </c>
      <c r="H77" s="14">
        <f t="shared" si="144"/>
        <v>246</v>
      </c>
      <c r="I77" s="14">
        <f t="shared" si="144"/>
        <v>132925</v>
      </c>
      <c r="J77" s="14">
        <f t="shared" si="144"/>
        <v>8900</v>
      </c>
      <c r="K77" s="14">
        <f t="shared" si="144"/>
        <v>0</v>
      </c>
      <c r="L77" s="14">
        <f t="shared" si="144"/>
        <v>0</v>
      </c>
      <c r="M77" s="14">
        <f t="shared" si="144"/>
        <v>141825</v>
      </c>
      <c r="N77" s="14">
        <f t="shared" si="144"/>
        <v>0</v>
      </c>
      <c r="O77" s="14">
        <f t="shared" si="144"/>
        <v>0</v>
      </c>
      <c r="P77" s="14">
        <f t="shared" si="144"/>
        <v>0</v>
      </c>
      <c r="Q77" s="14">
        <f t="shared" si="144"/>
        <v>0</v>
      </c>
      <c r="R77" s="14">
        <f t="shared" si="144"/>
        <v>0</v>
      </c>
      <c r="S77" s="14">
        <f t="shared" si="144"/>
        <v>141825</v>
      </c>
      <c r="T77" s="7"/>
      <c r="W77" s="2">
        <v>0</v>
      </c>
      <c r="X77" s="2">
        <v>0</v>
      </c>
      <c r="Y77" s="2">
        <v>0</v>
      </c>
      <c r="Z77" s="2">
        <v>0</v>
      </c>
      <c r="AB77">
        <f>$AB$3-350</f>
        <v>13900</v>
      </c>
      <c r="AC77">
        <f>$AC$3-350</f>
        <v>14700</v>
      </c>
      <c r="AD77">
        <f>$AD$3-300</f>
        <v>11400</v>
      </c>
      <c r="AF77" s="32"/>
      <c r="AG77" s="32"/>
      <c r="AH77" s="32"/>
      <c r="AR77" s="32">
        <f t="shared" ref="AR77:AT77" si="145">AF77-AJ77-AN77</f>
        <v>0</v>
      </c>
      <c r="AS77" s="32">
        <f t="shared" si="145"/>
        <v>0</v>
      </c>
      <c r="AT77" s="32">
        <f t="shared" si="145"/>
        <v>0</v>
      </c>
      <c r="AV77" s="32"/>
      <c r="AW77" s="32"/>
      <c r="AX77" s="32"/>
      <c r="AY77" s="32"/>
      <c r="AZ77" s="32"/>
      <c r="BA77" s="32"/>
    </row>
    <row r="78" spans="1:53">
      <c r="A78" s="7" t="s">
        <v>81</v>
      </c>
      <c r="B78" s="21" t="s">
        <v>505</v>
      </c>
      <c r="C78" s="21" t="s">
        <v>152</v>
      </c>
      <c r="D78" s="21" t="s">
        <v>443</v>
      </c>
      <c r="E78" s="8">
        <v>5</v>
      </c>
      <c r="F78" s="8">
        <v>5</v>
      </c>
      <c r="G78" s="8">
        <v>12</v>
      </c>
      <c r="H78" s="53">
        <f t="shared" ref="H78:H82" si="146">E78+F78+G78</f>
        <v>22</v>
      </c>
      <c r="I78" s="23">
        <f t="shared" si="132"/>
        <v>3250</v>
      </c>
      <c r="J78" s="23">
        <f t="shared" si="133"/>
        <v>3250</v>
      </c>
      <c r="K78" s="23">
        <f t="shared" si="134"/>
        <v>7200</v>
      </c>
      <c r="L78" s="7"/>
      <c r="M78" s="60">
        <f t="shared" ref="M78:M82" si="147">I78+J78+K78+L78</f>
        <v>13700</v>
      </c>
      <c r="N78" s="23"/>
      <c r="O78" s="23"/>
      <c r="P78" s="23"/>
      <c r="Q78" s="7"/>
      <c r="R78" s="60">
        <f t="shared" ref="R78:R82" si="148">N78+O78+P78+Q78</f>
        <v>0</v>
      </c>
      <c r="S78" s="23">
        <f t="shared" ref="S78:S82" si="149">M78+R78</f>
        <v>13700</v>
      </c>
      <c r="T78" s="7"/>
      <c r="W78" s="2">
        <v>13000</v>
      </c>
      <c r="X78" s="2">
        <v>13800</v>
      </c>
      <c r="Y78" s="2">
        <v>10600</v>
      </c>
      <c r="Z78" s="2">
        <v>0</v>
      </c>
      <c r="AB78">
        <f>$AB$3-350</f>
        <v>13900</v>
      </c>
      <c r="AC78">
        <f>$AC$3-350</f>
        <v>14700</v>
      </c>
      <c r="AD78">
        <f>$AD$3-300</f>
        <v>11400</v>
      </c>
      <c r="AF78" s="32">
        <f t="shared" ref="AF78:AF82" si="150">AB78-W78</f>
        <v>900</v>
      </c>
      <c r="AG78" s="32">
        <f t="shared" si="138"/>
        <v>900</v>
      </c>
      <c r="AH78" s="32">
        <f t="shared" ref="AH78:AH82" si="151">AD78-Y78</f>
        <v>800</v>
      </c>
      <c r="AJ78" s="32">
        <v>250</v>
      </c>
      <c r="AK78" s="32">
        <v>250</v>
      </c>
      <c r="AL78" s="32">
        <v>200</v>
      </c>
      <c r="AR78" s="32">
        <f t="shared" ref="AR78:AT78" si="152">AF78-AJ78-AN78</f>
        <v>650</v>
      </c>
      <c r="AS78" s="32">
        <f t="shared" si="152"/>
        <v>650</v>
      </c>
      <c r="AT78" s="32">
        <f t="shared" si="152"/>
        <v>600</v>
      </c>
      <c r="AV78" s="32"/>
      <c r="AW78" s="32"/>
      <c r="AX78" s="32"/>
      <c r="AY78" s="32"/>
      <c r="AZ78" s="32"/>
      <c r="BA78" s="32"/>
    </row>
    <row r="79" spans="1:53">
      <c r="A79" s="7" t="s">
        <v>82</v>
      </c>
      <c r="B79" s="21" t="s">
        <v>506</v>
      </c>
      <c r="C79" s="21" t="s">
        <v>152</v>
      </c>
      <c r="D79" s="21" t="s">
        <v>443</v>
      </c>
      <c r="E79" s="8">
        <v>35</v>
      </c>
      <c r="F79" s="8">
        <v>0</v>
      </c>
      <c r="G79" s="8">
        <v>74</v>
      </c>
      <c r="H79" s="53">
        <f t="shared" si="146"/>
        <v>109</v>
      </c>
      <c r="I79" s="23">
        <f t="shared" si="132"/>
        <v>19250</v>
      </c>
      <c r="J79" s="23">
        <f t="shared" si="133"/>
        <v>0</v>
      </c>
      <c r="K79" s="23">
        <f t="shared" si="134"/>
        <v>44400</v>
      </c>
      <c r="L79" s="7"/>
      <c r="M79" s="60">
        <f t="shared" si="147"/>
        <v>63650</v>
      </c>
      <c r="N79" s="23"/>
      <c r="O79" s="23"/>
      <c r="P79" s="23"/>
      <c r="Q79" s="7"/>
      <c r="R79" s="60">
        <f t="shared" si="148"/>
        <v>0</v>
      </c>
      <c r="S79" s="23">
        <f t="shared" si="149"/>
        <v>63650</v>
      </c>
      <c r="T79" s="7"/>
      <c r="W79" s="2">
        <v>13100</v>
      </c>
      <c r="X79" s="2">
        <v>0</v>
      </c>
      <c r="Y79" s="2">
        <v>10600</v>
      </c>
      <c r="Z79" s="2">
        <v>0</v>
      </c>
      <c r="AB79">
        <f>$AB$3-350</f>
        <v>13900</v>
      </c>
      <c r="AC79">
        <f>$AC$3-350</f>
        <v>14700</v>
      </c>
      <c r="AD79">
        <f>$AD$3-300</f>
        <v>11400</v>
      </c>
      <c r="AF79" s="32">
        <f t="shared" si="150"/>
        <v>800</v>
      </c>
      <c r="AG79" s="32"/>
      <c r="AH79" s="32">
        <f t="shared" si="151"/>
        <v>800</v>
      </c>
      <c r="AJ79" s="32">
        <v>250</v>
      </c>
      <c r="AK79" s="32"/>
      <c r="AL79" s="32">
        <v>200</v>
      </c>
      <c r="AR79" s="32">
        <f t="shared" ref="AR79:AT79" si="153">AF79-AJ79-AN79</f>
        <v>550</v>
      </c>
      <c r="AS79" s="32">
        <f t="shared" si="153"/>
        <v>0</v>
      </c>
      <c r="AT79" s="32">
        <f t="shared" si="153"/>
        <v>600</v>
      </c>
      <c r="AV79" s="32"/>
      <c r="AW79" s="32"/>
      <c r="AX79" s="32"/>
      <c r="AY79" s="32"/>
      <c r="AZ79" s="32"/>
      <c r="BA79" s="32"/>
    </row>
    <row r="80" spans="1:53">
      <c r="A80" s="54" t="s">
        <v>80</v>
      </c>
      <c r="B80" s="21"/>
      <c r="C80" s="21"/>
      <c r="D80" s="21"/>
      <c r="E80" s="14">
        <f t="shared" ref="E80:S80" si="154">SUM(E78:E79)</f>
        <v>40</v>
      </c>
      <c r="F80" s="14">
        <f t="shared" si="154"/>
        <v>5</v>
      </c>
      <c r="G80" s="14">
        <f t="shared" si="154"/>
        <v>86</v>
      </c>
      <c r="H80" s="14">
        <f t="shared" si="154"/>
        <v>131</v>
      </c>
      <c r="I80" s="14">
        <f t="shared" si="154"/>
        <v>22500</v>
      </c>
      <c r="J80" s="14">
        <f t="shared" si="154"/>
        <v>3250</v>
      </c>
      <c r="K80" s="14">
        <f t="shared" si="154"/>
        <v>51600</v>
      </c>
      <c r="L80" s="14">
        <f t="shared" si="154"/>
        <v>0</v>
      </c>
      <c r="M80" s="14">
        <f t="shared" si="154"/>
        <v>77350</v>
      </c>
      <c r="N80" s="14">
        <f t="shared" si="154"/>
        <v>0</v>
      </c>
      <c r="O80" s="14">
        <f t="shared" si="154"/>
        <v>0</v>
      </c>
      <c r="P80" s="14">
        <f t="shared" si="154"/>
        <v>0</v>
      </c>
      <c r="Q80" s="14">
        <f t="shared" si="154"/>
        <v>0</v>
      </c>
      <c r="R80" s="14">
        <f t="shared" si="154"/>
        <v>0</v>
      </c>
      <c r="S80" s="14">
        <f t="shared" si="154"/>
        <v>77350</v>
      </c>
      <c r="T80" s="7"/>
      <c r="W80" s="2">
        <v>0</v>
      </c>
      <c r="X80" s="2">
        <v>0</v>
      </c>
      <c r="Y80" s="2">
        <v>0</v>
      </c>
      <c r="Z80" s="2">
        <v>0</v>
      </c>
      <c r="AB80">
        <f>$AB$3-350</f>
        <v>13900</v>
      </c>
      <c r="AC80">
        <f>$AC$3-350</f>
        <v>14700</v>
      </c>
      <c r="AD80">
        <f>$AD$3-300</f>
        <v>11400</v>
      </c>
      <c r="AF80" s="32"/>
      <c r="AG80" s="32"/>
      <c r="AH80" s="32"/>
      <c r="AR80" s="32">
        <f t="shared" ref="AR80:AT80" si="155">AF80-AJ80-AN80</f>
        <v>0</v>
      </c>
      <c r="AS80" s="32">
        <f t="shared" si="155"/>
        <v>0</v>
      </c>
      <c r="AT80" s="32">
        <f t="shared" si="155"/>
        <v>0</v>
      </c>
      <c r="AV80" s="32"/>
      <c r="AW80" s="32"/>
      <c r="AX80" s="32"/>
      <c r="AY80" s="32"/>
      <c r="AZ80" s="32"/>
      <c r="BA80" s="32"/>
    </row>
    <row r="81" spans="1:53">
      <c r="A81" s="7" t="s">
        <v>84</v>
      </c>
      <c r="B81" s="21" t="s">
        <v>507</v>
      </c>
      <c r="C81" s="21" t="s">
        <v>152</v>
      </c>
      <c r="D81" s="21" t="s">
        <v>443</v>
      </c>
      <c r="E81" s="8">
        <v>20</v>
      </c>
      <c r="F81" s="8">
        <v>0</v>
      </c>
      <c r="G81" s="8">
        <v>16</v>
      </c>
      <c r="H81" s="53">
        <f t="shared" si="146"/>
        <v>36</v>
      </c>
      <c r="I81" s="23">
        <f t="shared" si="132"/>
        <v>13000</v>
      </c>
      <c r="J81" s="23">
        <f t="shared" si="133"/>
        <v>0</v>
      </c>
      <c r="K81" s="23">
        <f t="shared" si="134"/>
        <v>9600</v>
      </c>
      <c r="L81" s="7"/>
      <c r="M81" s="60">
        <f t="shared" si="147"/>
        <v>22600</v>
      </c>
      <c r="N81" s="23"/>
      <c r="O81" s="23"/>
      <c r="P81" s="23"/>
      <c r="Q81" s="7"/>
      <c r="R81" s="60">
        <f t="shared" si="148"/>
        <v>0</v>
      </c>
      <c r="S81" s="23">
        <f t="shared" si="149"/>
        <v>22600</v>
      </c>
      <c r="T81" s="7"/>
      <c r="W81" s="2">
        <v>13000</v>
      </c>
      <c r="X81" s="2">
        <v>0</v>
      </c>
      <c r="Y81" s="2">
        <v>10600</v>
      </c>
      <c r="Z81" s="2">
        <v>0</v>
      </c>
      <c r="AB81">
        <f>$AB$3-350</f>
        <v>13900</v>
      </c>
      <c r="AC81">
        <f>$AC$3-350</f>
        <v>14700</v>
      </c>
      <c r="AD81">
        <f>$AD$3-300</f>
        <v>11400</v>
      </c>
      <c r="AF81" s="32">
        <f t="shared" si="150"/>
        <v>900</v>
      </c>
      <c r="AG81" s="32"/>
      <c r="AH81" s="32">
        <f t="shared" si="151"/>
        <v>800</v>
      </c>
      <c r="AJ81" s="32">
        <v>250</v>
      </c>
      <c r="AK81" s="32"/>
      <c r="AL81" s="32">
        <v>200</v>
      </c>
      <c r="AR81" s="32">
        <f t="shared" ref="AR81:AT81" si="156">AF81-AJ81-AN81</f>
        <v>650</v>
      </c>
      <c r="AS81" s="32">
        <f t="shared" si="156"/>
        <v>0</v>
      </c>
      <c r="AT81" s="32">
        <f t="shared" si="156"/>
        <v>600</v>
      </c>
      <c r="AV81" s="32"/>
      <c r="AW81" s="32"/>
      <c r="AX81" s="32"/>
      <c r="AY81" s="32"/>
      <c r="AZ81" s="32"/>
      <c r="BA81" s="32"/>
    </row>
    <row r="82" spans="1:53">
      <c r="A82" s="7" t="s">
        <v>85</v>
      </c>
      <c r="B82" s="21" t="s">
        <v>508</v>
      </c>
      <c r="C82" s="21" t="s">
        <v>158</v>
      </c>
      <c r="D82" s="21" t="s">
        <v>443</v>
      </c>
      <c r="E82" s="8">
        <v>20</v>
      </c>
      <c r="F82" s="8">
        <v>0</v>
      </c>
      <c r="G82" s="8">
        <v>424</v>
      </c>
      <c r="H82" s="53">
        <f t="shared" si="146"/>
        <v>444</v>
      </c>
      <c r="I82" s="23">
        <f t="shared" si="132"/>
        <v>13000</v>
      </c>
      <c r="J82" s="23">
        <f t="shared" si="133"/>
        <v>0</v>
      </c>
      <c r="K82" s="23">
        <f t="shared" si="134"/>
        <v>508800</v>
      </c>
      <c r="L82" s="7"/>
      <c r="M82" s="60">
        <f t="shared" si="147"/>
        <v>521800</v>
      </c>
      <c r="N82" s="23"/>
      <c r="O82" s="23"/>
      <c r="P82" s="23"/>
      <c r="Q82" s="7"/>
      <c r="R82" s="60">
        <f t="shared" si="148"/>
        <v>0</v>
      </c>
      <c r="S82" s="23">
        <f t="shared" si="149"/>
        <v>521800</v>
      </c>
      <c r="T82" s="7"/>
      <c r="W82" s="2">
        <v>13000</v>
      </c>
      <c r="X82" s="2">
        <v>0</v>
      </c>
      <c r="Y82" s="2">
        <v>10000</v>
      </c>
      <c r="Z82" s="2">
        <v>0</v>
      </c>
      <c r="AB82">
        <f>$AB$3-350</f>
        <v>13900</v>
      </c>
      <c r="AC82">
        <f>$AC$3-350</f>
        <v>14700</v>
      </c>
      <c r="AD82">
        <f>$AD$3-300</f>
        <v>11400</v>
      </c>
      <c r="AF82" s="32">
        <f t="shared" si="150"/>
        <v>900</v>
      </c>
      <c r="AG82" s="32"/>
      <c r="AH82" s="32">
        <f t="shared" si="151"/>
        <v>1400</v>
      </c>
      <c r="AJ82" s="32">
        <v>250</v>
      </c>
      <c r="AK82" s="32"/>
      <c r="AL82" s="32">
        <v>200</v>
      </c>
      <c r="AR82" s="32">
        <f t="shared" ref="AR82:AT82" si="157">AF82-AJ82-AN82</f>
        <v>650</v>
      </c>
      <c r="AS82" s="32">
        <f t="shared" si="157"/>
        <v>0</v>
      </c>
      <c r="AT82" s="32">
        <f t="shared" si="157"/>
        <v>1200</v>
      </c>
      <c r="AV82" s="32"/>
      <c r="AW82" s="32"/>
      <c r="AX82" s="32"/>
      <c r="AY82" s="32"/>
      <c r="AZ82" s="32"/>
      <c r="BA82" s="32"/>
    </row>
    <row r="83" spans="1:53">
      <c r="A83" s="54" t="s">
        <v>83</v>
      </c>
      <c r="B83" s="21"/>
      <c r="C83" s="21"/>
      <c r="D83" s="21"/>
      <c r="E83" s="14">
        <f t="shared" ref="E83:S83" si="158">SUM(E81:E82)</f>
        <v>40</v>
      </c>
      <c r="F83" s="14">
        <f t="shared" si="158"/>
        <v>0</v>
      </c>
      <c r="G83" s="14">
        <f t="shared" si="158"/>
        <v>440</v>
      </c>
      <c r="H83" s="14">
        <f t="shared" si="158"/>
        <v>480</v>
      </c>
      <c r="I83" s="14">
        <f t="shared" si="158"/>
        <v>26000</v>
      </c>
      <c r="J83" s="14">
        <f t="shared" si="158"/>
        <v>0</v>
      </c>
      <c r="K83" s="14">
        <f t="shared" si="158"/>
        <v>518400</v>
      </c>
      <c r="L83" s="14">
        <f t="shared" si="158"/>
        <v>0</v>
      </c>
      <c r="M83" s="14">
        <f t="shared" si="158"/>
        <v>544400</v>
      </c>
      <c r="N83" s="14">
        <f t="shared" si="158"/>
        <v>0</v>
      </c>
      <c r="O83" s="14">
        <f t="shared" si="158"/>
        <v>0</v>
      </c>
      <c r="P83" s="14">
        <f t="shared" si="158"/>
        <v>0</v>
      </c>
      <c r="Q83" s="14">
        <f t="shared" si="158"/>
        <v>0</v>
      </c>
      <c r="R83" s="14">
        <f t="shared" si="158"/>
        <v>0</v>
      </c>
      <c r="S83" s="14">
        <f t="shared" si="158"/>
        <v>544400</v>
      </c>
      <c r="T83" s="7"/>
      <c r="W83" s="2">
        <v>0</v>
      </c>
      <c r="X83" s="2">
        <v>0</v>
      </c>
      <c r="Y83" s="2">
        <v>0</v>
      </c>
      <c r="Z83" s="2">
        <v>0</v>
      </c>
      <c r="AB83">
        <f>$AB$3-350</f>
        <v>13900</v>
      </c>
      <c r="AC83">
        <f>$AC$3-350</f>
        <v>14700</v>
      </c>
      <c r="AD83">
        <f>$AD$3-300</f>
        <v>11400</v>
      </c>
      <c r="AF83" s="32"/>
      <c r="AG83" s="32"/>
      <c r="AH83" s="32"/>
      <c r="AR83" s="32">
        <f t="shared" ref="AR83:AT83" si="159">AF83-AJ83-AN83</f>
        <v>0</v>
      </c>
      <c r="AS83" s="32">
        <f t="shared" si="159"/>
        <v>0</v>
      </c>
      <c r="AT83" s="32">
        <f t="shared" si="159"/>
        <v>0</v>
      </c>
      <c r="AV83" s="32"/>
      <c r="AW83" s="32"/>
      <c r="AX83" s="32"/>
      <c r="AY83" s="32"/>
      <c r="AZ83" s="32"/>
      <c r="BA83" s="32"/>
    </row>
    <row r="84" spans="1:53">
      <c r="A84" s="7" t="s">
        <v>87</v>
      </c>
      <c r="B84" s="21" t="s">
        <v>509</v>
      </c>
      <c r="C84" s="21" t="s">
        <v>152</v>
      </c>
      <c r="D84" s="21" t="s">
        <v>443</v>
      </c>
      <c r="E84" s="8">
        <v>15</v>
      </c>
      <c r="F84" s="8">
        <v>0</v>
      </c>
      <c r="G84" s="8"/>
      <c r="H84" s="53">
        <f t="shared" ref="H84:H87" si="160">E84+F84+G84</f>
        <v>15</v>
      </c>
      <c r="I84" s="23">
        <f t="shared" si="132"/>
        <v>9750</v>
      </c>
      <c r="J84" s="23">
        <f t="shared" si="133"/>
        <v>0</v>
      </c>
      <c r="K84" s="23">
        <f t="shared" si="134"/>
        <v>0</v>
      </c>
      <c r="L84" s="7"/>
      <c r="M84" s="60">
        <f t="shared" ref="M84:M87" si="161">I84+J84+K84+L84</f>
        <v>9750</v>
      </c>
      <c r="N84" s="23">
        <f>G84*$N$2</f>
        <v>0</v>
      </c>
      <c r="O84" s="23">
        <f>G84*$O$2</f>
        <v>0</v>
      </c>
      <c r="P84" s="23">
        <f t="shared" ref="P84:P87" si="162">G84*AL84</f>
        <v>0</v>
      </c>
      <c r="Q84" s="7"/>
      <c r="R84" s="60">
        <f t="shared" ref="R84:R87" si="163">N84+O84+P84+Q84</f>
        <v>0</v>
      </c>
      <c r="S84" s="23">
        <f t="shared" ref="S84:S87" si="164">M84+R84</f>
        <v>9750</v>
      </c>
      <c r="T84" s="7"/>
      <c r="W84" s="2">
        <v>13000</v>
      </c>
      <c r="X84" s="2">
        <v>0</v>
      </c>
      <c r="Y84" s="2">
        <v>0</v>
      </c>
      <c r="Z84" s="2">
        <v>0</v>
      </c>
      <c r="AB84">
        <f>$AB$3-350</f>
        <v>13900</v>
      </c>
      <c r="AC84">
        <f>$AC$3-350</f>
        <v>14700</v>
      </c>
      <c r="AD84">
        <f>$AD$3-300</f>
        <v>11400</v>
      </c>
      <c r="AF84" s="32">
        <f t="shared" ref="AF84:AF87" si="165">AB84-W84</f>
        <v>900</v>
      </c>
      <c r="AG84" s="32"/>
      <c r="AH84" s="32"/>
      <c r="AJ84" s="32">
        <v>250</v>
      </c>
      <c r="AK84" s="32"/>
      <c r="AL84" s="32"/>
      <c r="AR84" s="32">
        <f t="shared" ref="AR84:AT84" si="166">AF84-AJ84-AN84</f>
        <v>650</v>
      </c>
      <c r="AS84" s="32">
        <f t="shared" si="166"/>
        <v>0</v>
      </c>
      <c r="AT84" s="32">
        <f t="shared" si="166"/>
        <v>0</v>
      </c>
      <c r="AV84" s="32"/>
      <c r="AW84" s="32"/>
      <c r="AX84" s="32"/>
      <c r="AY84" s="32"/>
      <c r="AZ84" s="32"/>
      <c r="BA84" s="32"/>
    </row>
    <row r="85" spans="1:53">
      <c r="A85" s="7" t="s">
        <v>88</v>
      </c>
      <c r="B85" s="21" t="s">
        <v>510</v>
      </c>
      <c r="C85" s="21" t="s">
        <v>152</v>
      </c>
      <c r="D85" s="21" t="s">
        <v>443</v>
      </c>
      <c r="E85" s="8">
        <v>25</v>
      </c>
      <c r="F85" s="8">
        <v>0</v>
      </c>
      <c r="G85" s="8"/>
      <c r="H85" s="53">
        <f t="shared" si="160"/>
        <v>25</v>
      </c>
      <c r="I85" s="23">
        <f t="shared" si="132"/>
        <v>16250</v>
      </c>
      <c r="J85" s="23">
        <f t="shared" si="133"/>
        <v>0</v>
      </c>
      <c r="K85" s="23">
        <f t="shared" si="134"/>
        <v>0</v>
      </c>
      <c r="L85" s="7"/>
      <c r="M85" s="60">
        <f t="shared" si="161"/>
        <v>16250</v>
      </c>
      <c r="N85" s="23">
        <f>G85*$N$2</f>
        <v>0</v>
      </c>
      <c r="O85" s="23">
        <f>G85*$O$2</f>
        <v>0</v>
      </c>
      <c r="P85" s="23">
        <f t="shared" si="162"/>
        <v>0</v>
      </c>
      <c r="Q85" s="7"/>
      <c r="R85" s="60">
        <f t="shared" si="163"/>
        <v>0</v>
      </c>
      <c r="S85" s="23">
        <f t="shared" si="164"/>
        <v>16250</v>
      </c>
      <c r="T85" s="7"/>
      <c r="W85" s="2">
        <v>13000</v>
      </c>
      <c r="X85" s="2">
        <v>0</v>
      </c>
      <c r="Y85" s="2">
        <v>0</v>
      </c>
      <c r="Z85" s="2">
        <v>0</v>
      </c>
      <c r="AB85">
        <f>$AB$3-350</f>
        <v>13900</v>
      </c>
      <c r="AC85">
        <f>$AC$3-350</f>
        <v>14700</v>
      </c>
      <c r="AD85">
        <f>$AD$3-300</f>
        <v>11400</v>
      </c>
      <c r="AF85" s="32">
        <f t="shared" si="165"/>
        <v>900</v>
      </c>
      <c r="AG85" s="32"/>
      <c r="AH85" s="32"/>
      <c r="AJ85" s="32">
        <v>250</v>
      </c>
      <c r="AK85" s="32"/>
      <c r="AL85" s="32"/>
      <c r="AR85" s="32">
        <f t="shared" ref="AR85:AT85" si="167">AF85-AJ85-AN85</f>
        <v>650</v>
      </c>
      <c r="AS85" s="32">
        <f t="shared" si="167"/>
        <v>0</v>
      </c>
      <c r="AT85" s="32">
        <f t="shared" si="167"/>
        <v>0</v>
      </c>
      <c r="AV85" s="32"/>
      <c r="AW85" s="32"/>
      <c r="AX85" s="32"/>
      <c r="AY85" s="32"/>
      <c r="AZ85" s="32"/>
      <c r="BA85" s="32"/>
    </row>
    <row r="86" spans="1:53">
      <c r="A86" s="7" t="s">
        <v>89</v>
      </c>
      <c r="B86" s="21" t="s">
        <v>511</v>
      </c>
      <c r="C86" s="21" t="s">
        <v>158</v>
      </c>
      <c r="D86" s="21" t="s">
        <v>443</v>
      </c>
      <c r="E86" s="8">
        <v>100</v>
      </c>
      <c r="F86" s="8">
        <v>0</v>
      </c>
      <c r="G86" s="8"/>
      <c r="H86" s="53">
        <f t="shared" si="160"/>
        <v>100</v>
      </c>
      <c r="I86" s="23">
        <f t="shared" si="132"/>
        <v>85000</v>
      </c>
      <c r="J86" s="23">
        <f t="shared" si="133"/>
        <v>0</v>
      </c>
      <c r="K86" s="23">
        <f t="shared" si="134"/>
        <v>0</v>
      </c>
      <c r="L86" s="7"/>
      <c r="M86" s="60">
        <f t="shared" si="161"/>
        <v>85000</v>
      </c>
      <c r="N86" s="23">
        <f>G86*$N$2</f>
        <v>0</v>
      </c>
      <c r="O86" s="23">
        <f>G86*$O$2</f>
        <v>0</v>
      </c>
      <c r="P86" s="23">
        <f t="shared" si="162"/>
        <v>0</v>
      </c>
      <c r="Q86" s="7"/>
      <c r="R86" s="60">
        <f t="shared" si="163"/>
        <v>0</v>
      </c>
      <c r="S86" s="23">
        <f t="shared" si="164"/>
        <v>85000</v>
      </c>
      <c r="T86" s="7"/>
      <c r="W86" s="2">
        <v>12800</v>
      </c>
      <c r="X86" s="2">
        <v>0</v>
      </c>
      <c r="Y86" s="2">
        <v>0</v>
      </c>
      <c r="Z86" s="2">
        <v>0</v>
      </c>
      <c r="AB86">
        <f>$AB$3-350</f>
        <v>13900</v>
      </c>
      <c r="AC86">
        <f>$AC$3-350</f>
        <v>14700</v>
      </c>
      <c r="AD86">
        <f>$AD$3-300</f>
        <v>11400</v>
      </c>
      <c r="AF86" s="32">
        <f t="shared" si="165"/>
        <v>1100</v>
      </c>
      <c r="AG86" s="32"/>
      <c r="AH86" s="32"/>
      <c r="AJ86" s="32">
        <v>250</v>
      </c>
      <c r="AK86" s="32"/>
      <c r="AL86" s="32"/>
      <c r="AR86" s="32">
        <f t="shared" ref="AR86:AT86" si="168">AF86-AJ86-AN86</f>
        <v>850</v>
      </c>
      <c r="AS86" s="32">
        <f t="shared" si="168"/>
        <v>0</v>
      </c>
      <c r="AT86" s="32">
        <f t="shared" si="168"/>
        <v>0</v>
      </c>
      <c r="AV86" s="32"/>
      <c r="AW86" s="32"/>
      <c r="AX86" s="32"/>
      <c r="AY86" s="32"/>
      <c r="AZ86" s="32"/>
      <c r="BA86" s="32"/>
    </row>
    <row r="87" spans="1:53">
      <c r="A87" s="7" t="s">
        <v>90</v>
      </c>
      <c r="B87" s="21" t="s">
        <v>512</v>
      </c>
      <c r="C87" s="21" t="s">
        <v>152</v>
      </c>
      <c r="D87" s="21" t="s">
        <v>443</v>
      </c>
      <c r="E87" s="8">
        <v>32</v>
      </c>
      <c r="F87" s="8">
        <v>0</v>
      </c>
      <c r="G87" s="8"/>
      <c r="H87" s="53">
        <f t="shared" si="160"/>
        <v>32</v>
      </c>
      <c r="I87" s="23">
        <f t="shared" si="132"/>
        <v>27200</v>
      </c>
      <c r="J87" s="23">
        <f t="shared" si="133"/>
        <v>0</v>
      </c>
      <c r="K87" s="23">
        <f t="shared" si="134"/>
        <v>0</v>
      </c>
      <c r="L87" s="7"/>
      <c r="M87" s="60">
        <f t="shared" si="161"/>
        <v>27200</v>
      </c>
      <c r="N87" s="23">
        <f>G87*$N$2</f>
        <v>0</v>
      </c>
      <c r="O87" s="23">
        <f>G87*$O$2</f>
        <v>0</v>
      </c>
      <c r="P87" s="23">
        <f t="shared" si="162"/>
        <v>0</v>
      </c>
      <c r="Q87" s="7"/>
      <c r="R87" s="60">
        <f t="shared" si="163"/>
        <v>0</v>
      </c>
      <c r="S87" s="23">
        <f t="shared" si="164"/>
        <v>27200</v>
      </c>
      <c r="T87" s="7"/>
      <c r="W87" s="2">
        <v>12800</v>
      </c>
      <c r="X87" s="2">
        <v>0</v>
      </c>
      <c r="Y87" s="2">
        <v>0</v>
      </c>
      <c r="Z87" s="2">
        <v>0</v>
      </c>
      <c r="AB87">
        <f>$AB$3-350</f>
        <v>13900</v>
      </c>
      <c r="AC87">
        <f>$AC$3-350</f>
        <v>14700</v>
      </c>
      <c r="AD87">
        <f>$AD$3-300</f>
        <v>11400</v>
      </c>
      <c r="AF87" s="32">
        <f t="shared" si="165"/>
        <v>1100</v>
      </c>
      <c r="AG87" s="32"/>
      <c r="AH87" s="32"/>
      <c r="AJ87" s="32">
        <v>250</v>
      </c>
      <c r="AK87" s="32"/>
      <c r="AL87" s="32"/>
      <c r="AR87" s="32">
        <f t="shared" ref="AR87:AT87" si="169">AF87-AJ87-AN87</f>
        <v>850</v>
      </c>
      <c r="AS87" s="32">
        <f t="shared" si="169"/>
        <v>0</v>
      </c>
      <c r="AT87" s="32">
        <f t="shared" si="169"/>
        <v>0</v>
      </c>
      <c r="AV87" s="32"/>
      <c r="AW87" s="32"/>
      <c r="AX87" s="32"/>
      <c r="AY87" s="32"/>
      <c r="AZ87" s="32"/>
      <c r="BA87" s="32"/>
    </row>
    <row r="88" spans="1:53">
      <c r="A88" s="54" t="s">
        <v>86</v>
      </c>
      <c r="B88" s="21"/>
      <c r="C88" s="21"/>
      <c r="D88" s="21"/>
      <c r="E88" s="14">
        <f t="shared" ref="E88:S88" si="170">SUM(E84:E87)</f>
        <v>172</v>
      </c>
      <c r="F88" s="14">
        <f t="shared" si="170"/>
        <v>0</v>
      </c>
      <c r="G88" s="14">
        <f t="shared" si="170"/>
        <v>0</v>
      </c>
      <c r="H88" s="14">
        <f t="shared" si="170"/>
        <v>172</v>
      </c>
      <c r="I88" s="14">
        <f t="shared" si="170"/>
        <v>138200</v>
      </c>
      <c r="J88" s="14">
        <f t="shared" si="170"/>
        <v>0</v>
      </c>
      <c r="K88" s="14">
        <f t="shared" si="170"/>
        <v>0</v>
      </c>
      <c r="L88" s="14">
        <f t="shared" si="170"/>
        <v>0</v>
      </c>
      <c r="M88" s="14">
        <f t="shared" si="170"/>
        <v>138200</v>
      </c>
      <c r="N88" s="14">
        <f t="shared" si="170"/>
        <v>0</v>
      </c>
      <c r="O88" s="14">
        <f t="shared" si="170"/>
        <v>0</v>
      </c>
      <c r="P88" s="14">
        <f t="shared" si="170"/>
        <v>0</v>
      </c>
      <c r="Q88" s="14">
        <f t="shared" si="170"/>
        <v>0</v>
      </c>
      <c r="R88" s="14">
        <f t="shared" si="170"/>
        <v>0</v>
      </c>
      <c r="S88" s="14">
        <f t="shared" si="170"/>
        <v>138200</v>
      </c>
      <c r="T88" s="7"/>
      <c r="W88" s="2">
        <v>0</v>
      </c>
      <c r="X88" s="2">
        <v>0</v>
      </c>
      <c r="Y88" s="2">
        <v>0</v>
      </c>
      <c r="Z88" s="2">
        <v>0</v>
      </c>
      <c r="AB88">
        <f>$AB$3-350</f>
        <v>13900</v>
      </c>
      <c r="AC88">
        <f>$AC$3-350</f>
        <v>14700</v>
      </c>
      <c r="AD88">
        <f>$AD$3-300</f>
        <v>11400</v>
      </c>
      <c r="AF88" s="32"/>
      <c r="AG88" s="32"/>
      <c r="AH88" s="32"/>
      <c r="AR88" s="32">
        <f t="shared" ref="AR88:AT88" si="171">AF88-AJ88-AN88</f>
        <v>0</v>
      </c>
      <c r="AS88" s="32">
        <f t="shared" si="171"/>
        <v>0</v>
      </c>
      <c r="AT88" s="32">
        <f t="shared" si="171"/>
        <v>0</v>
      </c>
      <c r="AV88" s="32"/>
      <c r="AW88" s="32"/>
      <c r="AX88" s="32"/>
      <c r="AY88" s="32"/>
      <c r="AZ88" s="32"/>
      <c r="BA88" s="32"/>
    </row>
    <row r="89" spans="1:53">
      <c r="A89" s="7" t="s">
        <v>92</v>
      </c>
      <c r="B89" s="21" t="s">
        <v>513</v>
      </c>
      <c r="C89" s="21" t="s">
        <v>152</v>
      </c>
      <c r="D89" s="21" t="s">
        <v>447</v>
      </c>
      <c r="E89" s="8">
        <v>206</v>
      </c>
      <c r="F89" s="8">
        <v>0</v>
      </c>
      <c r="G89" s="8">
        <v>70</v>
      </c>
      <c r="H89" s="53">
        <f t="shared" ref="H89:H91" si="172">E89+F89+G89</f>
        <v>276</v>
      </c>
      <c r="I89" s="23">
        <f t="shared" si="132"/>
        <v>144200</v>
      </c>
      <c r="J89" s="23">
        <f t="shared" si="133"/>
        <v>0</v>
      </c>
      <c r="K89" s="23">
        <f t="shared" si="134"/>
        <v>49000</v>
      </c>
      <c r="L89" s="7"/>
      <c r="M89" s="60">
        <f t="shared" ref="M89:M91" si="173">I89+J89+K89+L89</f>
        <v>193200</v>
      </c>
      <c r="N89" s="23"/>
      <c r="O89" s="23"/>
      <c r="P89" s="7"/>
      <c r="Q89" s="7"/>
      <c r="R89" s="60">
        <f t="shared" ref="R89:R91" si="174">N89+O89+P89+Q89</f>
        <v>0</v>
      </c>
      <c r="S89" s="23">
        <f t="shared" ref="S89:S91" si="175">M89+R89</f>
        <v>193200</v>
      </c>
      <c r="T89" s="7"/>
      <c r="W89" s="2">
        <v>13200</v>
      </c>
      <c r="X89" s="2">
        <v>0</v>
      </c>
      <c r="Y89" s="2">
        <v>10700</v>
      </c>
      <c r="Z89" s="2">
        <v>0</v>
      </c>
      <c r="AB89">
        <f>$AB$3-350</f>
        <v>13900</v>
      </c>
      <c r="AC89">
        <f>$AC$3-350</f>
        <v>14700</v>
      </c>
      <c r="AD89">
        <f>$AD$3-300</f>
        <v>11400</v>
      </c>
      <c r="AF89" s="32">
        <f t="shared" ref="AF89:AF99" si="176">AB89-W89</f>
        <v>700</v>
      </c>
      <c r="AG89" s="32"/>
      <c r="AH89" s="32">
        <f t="shared" ref="AH89:AH99" si="177">AD89-Y89</f>
        <v>700</v>
      </c>
      <c r="AR89" s="32">
        <f t="shared" ref="AR89:AT89" si="178">AF89-AJ89-AN89</f>
        <v>700</v>
      </c>
      <c r="AS89" s="32">
        <f t="shared" si="178"/>
        <v>0</v>
      </c>
      <c r="AT89" s="32">
        <f t="shared" si="178"/>
        <v>700</v>
      </c>
      <c r="AV89" s="32"/>
      <c r="AW89" s="32"/>
      <c r="AX89" s="32"/>
      <c r="AY89" s="32"/>
      <c r="AZ89" s="32"/>
      <c r="BA89" s="32"/>
    </row>
    <row r="90" spans="1:53">
      <c r="A90" s="7" t="s">
        <v>93</v>
      </c>
      <c r="B90" s="21" t="s">
        <v>514</v>
      </c>
      <c r="C90" s="21" t="s">
        <v>152</v>
      </c>
      <c r="D90" s="21" t="s">
        <v>447</v>
      </c>
      <c r="E90" s="8">
        <v>90</v>
      </c>
      <c r="F90" s="8">
        <v>0</v>
      </c>
      <c r="G90" s="8">
        <v>65</v>
      </c>
      <c r="H90" s="53">
        <f t="shared" si="172"/>
        <v>155</v>
      </c>
      <c r="I90" s="23">
        <f t="shared" si="132"/>
        <v>63000</v>
      </c>
      <c r="J90" s="23">
        <f t="shared" si="133"/>
        <v>0</v>
      </c>
      <c r="K90" s="23">
        <f>50*700+15*100</f>
        <v>36500</v>
      </c>
      <c r="L90" s="7"/>
      <c r="M90" s="60">
        <f t="shared" si="173"/>
        <v>99500</v>
      </c>
      <c r="N90" s="23"/>
      <c r="O90" s="23"/>
      <c r="P90" s="7"/>
      <c r="Q90" s="7"/>
      <c r="R90" s="60">
        <f t="shared" si="174"/>
        <v>0</v>
      </c>
      <c r="S90" s="23">
        <f t="shared" si="175"/>
        <v>99500</v>
      </c>
      <c r="T90" s="74" t="s">
        <v>536</v>
      </c>
      <c r="W90" s="2">
        <v>13200</v>
      </c>
      <c r="X90" s="2">
        <v>13800</v>
      </c>
      <c r="Y90" s="2">
        <v>10700</v>
      </c>
      <c r="Z90" s="2">
        <v>0</v>
      </c>
      <c r="AB90">
        <f>$AB$3-350</f>
        <v>13900</v>
      </c>
      <c r="AC90">
        <f>$AC$3-350</f>
        <v>14700</v>
      </c>
      <c r="AD90">
        <f>$AD$3-300</f>
        <v>11400</v>
      </c>
      <c r="AF90" s="32">
        <f t="shared" ref="AF90:AH90" si="179">AB90-W90</f>
        <v>700</v>
      </c>
      <c r="AG90" s="32">
        <f t="shared" si="179"/>
        <v>900</v>
      </c>
      <c r="AH90" s="32">
        <f t="shared" si="179"/>
        <v>700</v>
      </c>
      <c r="AR90" s="32">
        <f t="shared" ref="AR90:AT90" si="180">AF90-AJ90-AN90</f>
        <v>700</v>
      </c>
      <c r="AS90" s="32">
        <f t="shared" si="180"/>
        <v>900</v>
      </c>
      <c r="AT90" s="32">
        <f t="shared" si="180"/>
        <v>700</v>
      </c>
      <c r="AV90" s="32"/>
      <c r="AW90" s="32"/>
      <c r="AX90" s="32"/>
      <c r="AY90" s="32"/>
      <c r="AZ90" s="32"/>
      <c r="BA90" s="32"/>
    </row>
    <row r="91" spans="1:53">
      <c r="A91" s="7" t="s">
        <v>94</v>
      </c>
      <c r="B91" s="21" t="s">
        <v>515</v>
      </c>
      <c r="C91" s="21" t="s">
        <v>152</v>
      </c>
      <c r="D91" s="21" t="s">
        <v>447</v>
      </c>
      <c r="E91" s="8">
        <v>75</v>
      </c>
      <c r="F91" s="8">
        <v>0</v>
      </c>
      <c r="G91" s="8">
        <v>12</v>
      </c>
      <c r="H91" s="53">
        <f t="shared" si="172"/>
        <v>87</v>
      </c>
      <c r="I91" s="23">
        <f t="shared" si="132"/>
        <v>45000</v>
      </c>
      <c r="J91" s="23">
        <f t="shared" si="133"/>
        <v>0</v>
      </c>
      <c r="K91" s="23">
        <f t="shared" si="134"/>
        <v>7200</v>
      </c>
      <c r="L91" s="7"/>
      <c r="M91" s="60">
        <f t="shared" si="173"/>
        <v>52200</v>
      </c>
      <c r="N91" s="23"/>
      <c r="O91" s="23"/>
      <c r="P91" s="7"/>
      <c r="Q91" s="7"/>
      <c r="R91" s="60">
        <f t="shared" si="174"/>
        <v>0</v>
      </c>
      <c r="S91" s="23">
        <f t="shared" si="175"/>
        <v>52200</v>
      </c>
      <c r="T91" s="7"/>
      <c r="W91" s="2">
        <v>13300</v>
      </c>
      <c r="X91" s="2">
        <v>0</v>
      </c>
      <c r="Y91" s="2">
        <v>10800</v>
      </c>
      <c r="Z91" s="2">
        <v>0</v>
      </c>
      <c r="AB91">
        <f>$AB$3-350</f>
        <v>13900</v>
      </c>
      <c r="AC91">
        <f>$AC$3-350</f>
        <v>14700</v>
      </c>
      <c r="AD91">
        <f>$AD$3-300</f>
        <v>11400</v>
      </c>
      <c r="AF91" s="32">
        <f t="shared" si="176"/>
        <v>600</v>
      </c>
      <c r="AG91" s="32"/>
      <c r="AH91" s="32">
        <f t="shared" si="177"/>
        <v>600</v>
      </c>
      <c r="AR91" s="32">
        <f t="shared" ref="AR91:AT91" si="181">AF91-AJ91-AN91</f>
        <v>600</v>
      </c>
      <c r="AS91" s="32">
        <f t="shared" si="181"/>
        <v>0</v>
      </c>
      <c r="AT91" s="32">
        <f t="shared" si="181"/>
        <v>600</v>
      </c>
      <c r="AV91" s="32"/>
      <c r="AW91" s="32"/>
      <c r="AX91" s="32"/>
      <c r="AY91" s="32"/>
      <c r="AZ91" s="32"/>
      <c r="BA91" s="32"/>
    </row>
    <row r="92" spans="1:53">
      <c r="A92" s="54" t="s">
        <v>91</v>
      </c>
      <c r="B92" s="21"/>
      <c r="C92" s="21"/>
      <c r="D92" s="21"/>
      <c r="E92" s="14">
        <f t="shared" ref="E92:S92" si="182">SUM(E89:E91)</f>
        <v>371</v>
      </c>
      <c r="F92" s="14">
        <f t="shared" si="182"/>
        <v>0</v>
      </c>
      <c r="G92" s="14">
        <f t="shared" si="182"/>
        <v>147</v>
      </c>
      <c r="H92" s="14">
        <f t="shared" si="182"/>
        <v>518</v>
      </c>
      <c r="I92" s="14">
        <f t="shared" si="182"/>
        <v>252200</v>
      </c>
      <c r="J92" s="14">
        <f t="shared" si="182"/>
        <v>0</v>
      </c>
      <c r="K92" s="14">
        <f t="shared" si="182"/>
        <v>92700</v>
      </c>
      <c r="L92" s="14">
        <f t="shared" si="182"/>
        <v>0</v>
      </c>
      <c r="M92" s="14">
        <f t="shared" si="182"/>
        <v>344900</v>
      </c>
      <c r="N92" s="14">
        <f t="shared" si="182"/>
        <v>0</v>
      </c>
      <c r="O92" s="14">
        <f t="shared" si="182"/>
        <v>0</v>
      </c>
      <c r="P92" s="14">
        <f t="shared" si="182"/>
        <v>0</v>
      </c>
      <c r="Q92" s="14">
        <f t="shared" si="182"/>
        <v>0</v>
      </c>
      <c r="R92" s="14">
        <f t="shared" si="182"/>
        <v>0</v>
      </c>
      <c r="S92" s="14">
        <f t="shared" si="182"/>
        <v>344900</v>
      </c>
      <c r="T92" s="7"/>
      <c r="W92" s="2">
        <v>0</v>
      </c>
      <c r="X92" s="2">
        <v>0</v>
      </c>
      <c r="Y92" s="2">
        <v>0</v>
      </c>
      <c r="Z92" s="2">
        <v>0</v>
      </c>
      <c r="AB92">
        <f>$AB$3-350</f>
        <v>13900</v>
      </c>
      <c r="AC92">
        <f>$AC$3-350</f>
        <v>14700</v>
      </c>
      <c r="AD92">
        <f>$AD$3-300</f>
        <v>11400</v>
      </c>
      <c r="AF92" s="32"/>
      <c r="AG92" s="32"/>
      <c r="AH92" s="32"/>
      <c r="AR92" s="32">
        <f t="shared" ref="AR92:AT92" si="183">AF92-AJ92-AN92</f>
        <v>0</v>
      </c>
      <c r="AS92" s="32">
        <f t="shared" si="183"/>
        <v>0</v>
      </c>
      <c r="AT92" s="32">
        <f t="shared" si="183"/>
        <v>0</v>
      </c>
      <c r="AV92" s="32"/>
      <c r="AW92" s="32"/>
      <c r="AX92" s="32"/>
      <c r="AY92" s="32"/>
      <c r="AZ92" s="32"/>
      <c r="BA92" s="32"/>
    </row>
    <row r="93" s="52" customFormat="1" spans="1:53">
      <c r="A93" s="55" t="s">
        <v>96</v>
      </c>
      <c r="B93" s="43" t="s">
        <v>516</v>
      </c>
      <c r="C93" s="43" t="s">
        <v>152</v>
      </c>
      <c r="D93" s="43" t="s">
        <v>443</v>
      </c>
      <c r="E93" s="12">
        <v>98</v>
      </c>
      <c r="F93" s="12">
        <v>0</v>
      </c>
      <c r="G93" s="12">
        <v>116</v>
      </c>
      <c r="H93" s="56">
        <f t="shared" ref="H93:H99" si="184">E93+F93+G93</f>
        <v>214</v>
      </c>
      <c r="I93" s="61">
        <f t="shared" si="132"/>
        <v>0</v>
      </c>
      <c r="J93" s="61">
        <f t="shared" si="133"/>
        <v>0</v>
      </c>
      <c r="K93" s="61">
        <f t="shared" si="134"/>
        <v>0</v>
      </c>
      <c r="L93" s="55"/>
      <c r="M93" s="61">
        <f t="shared" ref="M93:M99" si="185">I93+J93+K93+L93</f>
        <v>0</v>
      </c>
      <c r="N93" s="61"/>
      <c r="O93" s="61"/>
      <c r="P93" s="61">
        <f t="shared" ref="P93:P99" si="186">G93*AL93</f>
        <v>0</v>
      </c>
      <c r="Q93" s="55"/>
      <c r="R93" s="61">
        <f t="shared" ref="R93:R99" si="187">N93+O93+P93+Q93</f>
        <v>0</v>
      </c>
      <c r="S93" s="61">
        <f t="shared" ref="S93:S99" si="188">M93+R93</f>
        <v>0</v>
      </c>
      <c r="T93" s="55"/>
      <c r="W93" s="67">
        <v>13300</v>
      </c>
      <c r="X93" s="67">
        <v>0</v>
      </c>
      <c r="Y93" s="67">
        <v>10800</v>
      </c>
      <c r="Z93" s="67">
        <v>0</v>
      </c>
      <c r="AB93" s="52">
        <v>13300</v>
      </c>
      <c r="AD93" s="52">
        <v>10800</v>
      </c>
      <c r="AF93" s="69">
        <f t="shared" si="176"/>
        <v>0</v>
      </c>
      <c r="AG93" s="69">
        <f t="shared" ref="AG93:AG99" si="189">AC93-X93</f>
        <v>0</v>
      </c>
      <c r="AH93" s="69">
        <f t="shared" si="177"/>
        <v>0</v>
      </c>
      <c r="AJ93" s="69"/>
      <c r="AK93" s="69"/>
      <c r="AL93" s="69"/>
      <c r="AR93" s="69">
        <f t="shared" ref="AR93:AT93" si="190">AF93-AJ93-AN93</f>
        <v>0</v>
      </c>
      <c r="AS93" s="69">
        <f t="shared" si="190"/>
        <v>0</v>
      </c>
      <c r="AT93" s="69">
        <f t="shared" si="190"/>
        <v>0</v>
      </c>
      <c r="AV93" s="69"/>
      <c r="AW93" s="69"/>
      <c r="AX93" s="69"/>
      <c r="AY93" s="69"/>
      <c r="AZ93" s="69"/>
      <c r="BA93" s="69"/>
    </row>
    <row r="94" s="52" customFormat="1" spans="1:53">
      <c r="A94" s="55" t="s">
        <v>97</v>
      </c>
      <c r="B94" s="43" t="s">
        <v>517</v>
      </c>
      <c r="C94" s="43" t="s">
        <v>152</v>
      </c>
      <c r="D94" s="43" t="s">
        <v>447</v>
      </c>
      <c r="E94" s="12">
        <v>16</v>
      </c>
      <c r="F94" s="12">
        <v>0</v>
      </c>
      <c r="G94" s="12"/>
      <c r="H94" s="56">
        <f t="shared" si="184"/>
        <v>16</v>
      </c>
      <c r="I94" s="61">
        <f t="shared" si="132"/>
        <v>0</v>
      </c>
      <c r="J94" s="61">
        <f t="shared" si="133"/>
        <v>0</v>
      </c>
      <c r="K94" s="61">
        <f t="shared" si="134"/>
        <v>0</v>
      </c>
      <c r="L94" s="55"/>
      <c r="M94" s="61">
        <f t="shared" si="185"/>
        <v>0</v>
      </c>
      <c r="N94" s="61"/>
      <c r="O94" s="61"/>
      <c r="P94" s="55"/>
      <c r="Q94" s="55"/>
      <c r="R94" s="61">
        <f t="shared" si="187"/>
        <v>0</v>
      </c>
      <c r="S94" s="61">
        <f t="shared" si="188"/>
        <v>0</v>
      </c>
      <c r="T94" s="55"/>
      <c r="W94" s="67">
        <v>13200</v>
      </c>
      <c r="X94" s="67">
        <v>0</v>
      </c>
      <c r="Y94" s="67">
        <v>0</v>
      </c>
      <c r="Z94" s="67">
        <v>0</v>
      </c>
      <c r="AB94" s="52">
        <v>13200</v>
      </c>
      <c r="AF94" s="69">
        <f t="shared" si="176"/>
        <v>0</v>
      </c>
      <c r="AG94" s="69">
        <f t="shared" si="189"/>
        <v>0</v>
      </c>
      <c r="AH94" s="69">
        <f t="shared" si="177"/>
        <v>0</v>
      </c>
      <c r="AR94" s="69">
        <f t="shared" ref="AR94:AT94" si="191">AF94-AJ94-AN94</f>
        <v>0</v>
      </c>
      <c r="AS94" s="69">
        <f t="shared" si="191"/>
        <v>0</v>
      </c>
      <c r="AT94" s="69">
        <f t="shared" si="191"/>
        <v>0</v>
      </c>
      <c r="AV94" s="69"/>
      <c r="AW94" s="69"/>
      <c r="AX94" s="69"/>
      <c r="AY94" s="69"/>
      <c r="AZ94" s="69"/>
      <c r="BA94" s="69"/>
    </row>
    <row r="95" s="52" customFormat="1" spans="1:53">
      <c r="A95" s="55" t="s">
        <v>98</v>
      </c>
      <c r="B95" s="43" t="s">
        <v>518</v>
      </c>
      <c r="C95" s="43" t="s">
        <v>152</v>
      </c>
      <c r="D95" s="43" t="s">
        <v>443</v>
      </c>
      <c r="E95" s="12">
        <v>55</v>
      </c>
      <c r="F95" s="12">
        <v>0</v>
      </c>
      <c r="G95" s="12"/>
      <c r="H95" s="56">
        <f t="shared" si="184"/>
        <v>55</v>
      </c>
      <c r="I95" s="61">
        <f t="shared" si="132"/>
        <v>0</v>
      </c>
      <c r="J95" s="61">
        <f t="shared" si="133"/>
        <v>0</v>
      </c>
      <c r="K95" s="61">
        <f t="shared" si="134"/>
        <v>0</v>
      </c>
      <c r="L95" s="55"/>
      <c r="M95" s="61">
        <f t="shared" si="185"/>
        <v>0</v>
      </c>
      <c r="N95" s="61"/>
      <c r="O95" s="61"/>
      <c r="P95" s="61">
        <f t="shared" si="186"/>
        <v>0</v>
      </c>
      <c r="Q95" s="55"/>
      <c r="R95" s="61">
        <f t="shared" si="187"/>
        <v>0</v>
      </c>
      <c r="S95" s="61">
        <f t="shared" si="188"/>
        <v>0</v>
      </c>
      <c r="T95" s="55"/>
      <c r="W95" s="67">
        <v>13300</v>
      </c>
      <c r="X95" s="67">
        <v>0</v>
      </c>
      <c r="Y95" s="67"/>
      <c r="Z95" s="67">
        <v>0</v>
      </c>
      <c r="AB95" s="52">
        <v>13300</v>
      </c>
      <c r="AF95" s="69">
        <f t="shared" si="176"/>
        <v>0</v>
      </c>
      <c r="AG95" s="69">
        <f t="shared" si="189"/>
        <v>0</v>
      </c>
      <c r="AH95" s="69">
        <f t="shared" si="177"/>
        <v>0</v>
      </c>
      <c r="AJ95" s="69"/>
      <c r="AK95" s="69"/>
      <c r="AL95" s="69"/>
      <c r="AR95" s="69">
        <f t="shared" ref="AR95:AT95" si="192">AF95-AJ95-AN95</f>
        <v>0</v>
      </c>
      <c r="AS95" s="69">
        <f t="shared" si="192"/>
        <v>0</v>
      </c>
      <c r="AT95" s="69">
        <f t="shared" si="192"/>
        <v>0</v>
      </c>
      <c r="AV95" s="69"/>
      <c r="AW95" s="69"/>
      <c r="AX95" s="69"/>
      <c r="AY95" s="69"/>
      <c r="AZ95" s="69"/>
      <c r="BA95" s="69"/>
    </row>
    <row r="96" s="52" customFormat="1" spans="1:53">
      <c r="A96" s="55" t="s">
        <v>99</v>
      </c>
      <c r="B96" s="43" t="s">
        <v>519</v>
      </c>
      <c r="C96" s="43" t="s">
        <v>158</v>
      </c>
      <c r="D96" s="43" t="s">
        <v>443</v>
      </c>
      <c r="E96" s="12">
        <v>35</v>
      </c>
      <c r="F96" s="12">
        <v>0</v>
      </c>
      <c r="G96" s="12">
        <v>20</v>
      </c>
      <c r="H96" s="56">
        <f t="shared" si="184"/>
        <v>55</v>
      </c>
      <c r="I96" s="61">
        <f t="shared" si="132"/>
        <v>14000</v>
      </c>
      <c r="J96" s="61">
        <f t="shared" si="133"/>
        <v>0</v>
      </c>
      <c r="K96" s="61">
        <f t="shared" si="134"/>
        <v>5000</v>
      </c>
      <c r="L96" s="55"/>
      <c r="M96" s="61">
        <f t="shared" si="185"/>
        <v>19000</v>
      </c>
      <c r="N96" s="61"/>
      <c r="O96" s="61"/>
      <c r="P96" s="61">
        <f t="shared" si="186"/>
        <v>0</v>
      </c>
      <c r="Q96" s="55"/>
      <c r="R96" s="61">
        <f t="shared" si="187"/>
        <v>0</v>
      </c>
      <c r="S96" s="61">
        <f t="shared" si="188"/>
        <v>19000</v>
      </c>
      <c r="T96" s="55"/>
      <c r="W96" s="67">
        <v>13000</v>
      </c>
      <c r="X96" s="67">
        <v>0</v>
      </c>
      <c r="Y96" s="67">
        <v>10650</v>
      </c>
      <c r="Z96" s="67"/>
      <c r="AB96" s="52">
        <v>13400</v>
      </c>
      <c r="AD96" s="52">
        <v>10900</v>
      </c>
      <c r="AF96" s="69">
        <f t="shared" si="176"/>
        <v>400</v>
      </c>
      <c r="AG96" s="69">
        <f t="shared" si="189"/>
        <v>0</v>
      </c>
      <c r="AH96" s="69">
        <f t="shared" si="177"/>
        <v>250</v>
      </c>
      <c r="AJ96" s="69"/>
      <c r="AK96" s="69"/>
      <c r="AL96" s="69"/>
      <c r="AR96" s="69">
        <f t="shared" ref="AR96:AT96" si="193">AF96-AJ96-AN96</f>
        <v>400</v>
      </c>
      <c r="AS96" s="69">
        <f t="shared" si="193"/>
        <v>0</v>
      </c>
      <c r="AT96" s="69">
        <f t="shared" si="193"/>
        <v>250</v>
      </c>
      <c r="AV96" s="69"/>
      <c r="AW96" s="69"/>
      <c r="AX96" s="69"/>
      <c r="AY96" s="69"/>
      <c r="AZ96" s="69"/>
      <c r="BA96" s="69"/>
    </row>
    <row r="97" s="52" customFormat="1" spans="1:53">
      <c r="A97" s="55" t="s">
        <v>100</v>
      </c>
      <c r="B97" s="43" t="s">
        <v>520</v>
      </c>
      <c r="C97" s="43" t="s">
        <v>158</v>
      </c>
      <c r="D97" s="43" t="s">
        <v>443</v>
      </c>
      <c r="E97" s="12">
        <v>19</v>
      </c>
      <c r="F97" s="12">
        <v>0</v>
      </c>
      <c r="G97" s="12"/>
      <c r="H97" s="56">
        <f t="shared" si="184"/>
        <v>19</v>
      </c>
      <c r="I97" s="61">
        <f t="shared" si="132"/>
        <v>0</v>
      </c>
      <c r="J97" s="61">
        <f t="shared" si="133"/>
        <v>0</v>
      </c>
      <c r="K97" s="61">
        <f t="shared" si="134"/>
        <v>0</v>
      </c>
      <c r="L97" s="55"/>
      <c r="M97" s="61">
        <f t="shared" si="185"/>
        <v>0</v>
      </c>
      <c r="N97" s="61"/>
      <c r="O97" s="61"/>
      <c r="P97" s="61">
        <f t="shared" si="186"/>
        <v>0</v>
      </c>
      <c r="Q97" s="55"/>
      <c r="R97" s="61">
        <f t="shared" si="187"/>
        <v>0</v>
      </c>
      <c r="S97" s="61">
        <f t="shared" si="188"/>
        <v>0</v>
      </c>
      <c r="T97" s="55"/>
      <c r="W97" s="67">
        <v>13000</v>
      </c>
      <c r="X97" s="67">
        <v>0</v>
      </c>
      <c r="Y97" s="67">
        <v>0</v>
      </c>
      <c r="Z97" s="67">
        <v>0</v>
      </c>
      <c r="AB97" s="52">
        <v>13000</v>
      </c>
      <c r="AF97" s="69">
        <f t="shared" si="176"/>
        <v>0</v>
      </c>
      <c r="AG97" s="69">
        <f t="shared" si="189"/>
        <v>0</v>
      </c>
      <c r="AH97" s="69">
        <f t="shared" si="177"/>
        <v>0</v>
      </c>
      <c r="AJ97" s="69"/>
      <c r="AK97" s="69"/>
      <c r="AL97" s="69"/>
      <c r="AR97" s="69">
        <f t="shared" ref="AR97:AT97" si="194">AF97-AJ97-AN97</f>
        <v>0</v>
      </c>
      <c r="AS97" s="69">
        <f t="shared" si="194"/>
        <v>0</v>
      </c>
      <c r="AT97" s="69">
        <f t="shared" si="194"/>
        <v>0</v>
      </c>
      <c r="AV97" s="69"/>
      <c r="AW97" s="69"/>
      <c r="AX97" s="69"/>
      <c r="AY97" s="69"/>
      <c r="AZ97" s="69"/>
      <c r="BA97" s="69"/>
    </row>
    <row r="98" s="52" customFormat="1" spans="1:53">
      <c r="A98" s="55" t="s">
        <v>101</v>
      </c>
      <c r="B98" s="43" t="s">
        <v>521</v>
      </c>
      <c r="C98" s="43" t="s">
        <v>152</v>
      </c>
      <c r="D98" s="43" t="s">
        <v>443</v>
      </c>
      <c r="E98" s="12">
        <v>36</v>
      </c>
      <c r="F98" s="12">
        <v>15</v>
      </c>
      <c r="G98" s="12"/>
      <c r="H98" s="56">
        <f t="shared" si="184"/>
        <v>51</v>
      </c>
      <c r="I98" s="61">
        <f t="shared" si="132"/>
        <v>3600</v>
      </c>
      <c r="J98" s="61">
        <f t="shared" si="133"/>
        <v>0</v>
      </c>
      <c r="K98" s="61">
        <f t="shared" si="134"/>
        <v>0</v>
      </c>
      <c r="L98" s="55"/>
      <c r="M98" s="61">
        <f t="shared" si="185"/>
        <v>3600</v>
      </c>
      <c r="N98" s="61"/>
      <c r="O98" s="61"/>
      <c r="P98" s="61">
        <f t="shared" si="186"/>
        <v>0</v>
      </c>
      <c r="Q98" s="55"/>
      <c r="R98" s="61">
        <f t="shared" si="187"/>
        <v>0</v>
      </c>
      <c r="S98" s="61">
        <f t="shared" si="188"/>
        <v>3600</v>
      </c>
      <c r="T98" s="55"/>
      <c r="W98" s="67">
        <v>13100</v>
      </c>
      <c r="X98" s="67">
        <v>13600</v>
      </c>
      <c r="Y98" s="67">
        <v>0</v>
      </c>
      <c r="Z98" s="67">
        <v>0</v>
      </c>
      <c r="AB98" s="52">
        <v>13200</v>
      </c>
      <c r="AC98" s="52">
        <v>13600</v>
      </c>
      <c r="AF98" s="69">
        <f t="shared" si="176"/>
        <v>100</v>
      </c>
      <c r="AG98" s="69">
        <f t="shared" si="189"/>
        <v>0</v>
      </c>
      <c r="AH98" s="69">
        <f t="shared" si="177"/>
        <v>0</v>
      </c>
      <c r="AJ98" s="69"/>
      <c r="AK98" s="69"/>
      <c r="AL98" s="69"/>
      <c r="AR98" s="69">
        <f t="shared" ref="AR98:AT98" si="195">AF98-AJ98-AN98</f>
        <v>100</v>
      </c>
      <c r="AS98" s="69">
        <f t="shared" si="195"/>
        <v>0</v>
      </c>
      <c r="AT98" s="69">
        <f t="shared" si="195"/>
        <v>0</v>
      </c>
      <c r="AV98" s="69"/>
      <c r="AW98" s="69"/>
      <c r="AX98" s="69"/>
      <c r="AY98" s="69"/>
      <c r="AZ98" s="69"/>
      <c r="BA98" s="69"/>
    </row>
    <row r="99" s="52" customFormat="1" spans="1:53">
      <c r="A99" s="55" t="s">
        <v>102</v>
      </c>
      <c r="B99" s="43" t="s">
        <v>522</v>
      </c>
      <c r="C99" s="43" t="s">
        <v>152</v>
      </c>
      <c r="D99" s="43" t="s">
        <v>443</v>
      </c>
      <c r="E99" s="12">
        <v>8</v>
      </c>
      <c r="F99" s="12">
        <v>0</v>
      </c>
      <c r="G99" s="12"/>
      <c r="H99" s="56">
        <f t="shared" si="184"/>
        <v>8</v>
      </c>
      <c r="I99" s="61">
        <f t="shared" si="132"/>
        <v>0</v>
      </c>
      <c r="J99" s="61">
        <f t="shared" si="133"/>
        <v>0</v>
      </c>
      <c r="K99" s="61">
        <f t="shared" si="134"/>
        <v>0</v>
      </c>
      <c r="L99" s="55"/>
      <c r="M99" s="61">
        <f t="shared" si="185"/>
        <v>0</v>
      </c>
      <c r="N99" s="61"/>
      <c r="O99" s="61"/>
      <c r="P99" s="61">
        <f t="shared" si="186"/>
        <v>0</v>
      </c>
      <c r="Q99" s="55"/>
      <c r="R99" s="61">
        <f t="shared" si="187"/>
        <v>0</v>
      </c>
      <c r="S99" s="61">
        <f t="shared" si="188"/>
        <v>0</v>
      </c>
      <c r="T99" s="55"/>
      <c r="W99" s="67">
        <v>0</v>
      </c>
      <c r="X99" s="67">
        <v>0</v>
      </c>
      <c r="Y99" s="67">
        <v>0</v>
      </c>
      <c r="Z99" s="67">
        <v>0</v>
      </c>
      <c r="AF99" s="69">
        <f t="shared" si="176"/>
        <v>0</v>
      </c>
      <c r="AG99" s="69">
        <f t="shared" si="189"/>
        <v>0</v>
      </c>
      <c r="AH99" s="69">
        <f t="shared" si="177"/>
        <v>0</v>
      </c>
      <c r="AJ99" s="69"/>
      <c r="AK99" s="69"/>
      <c r="AL99" s="69"/>
      <c r="AR99" s="69">
        <f t="shared" ref="AR99:AT99" si="196">AF99-AJ99-AN99</f>
        <v>0</v>
      </c>
      <c r="AS99" s="69">
        <f t="shared" si="196"/>
        <v>0</v>
      </c>
      <c r="AT99" s="69">
        <f t="shared" si="196"/>
        <v>0</v>
      </c>
      <c r="AV99" s="69"/>
      <c r="AW99" s="69"/>
      <c r="AX99" s="69"/>
      <c r="AY99" s="69"/>
      <c r="AZ99" s="69"/>
      <c r="BA99" s="69"/>
    </row>
    <row r="100" spans="1:53">
      <c r="A100" s="54" t="s">
        <v>95</v>
      </c>
      <c r="B100" s="21"/>
      <c r="C100" s="21"/>
      <c r="D100" s="21"/>
      <c r="E100" s="14">
        <f t="shared" ref="E100:S100" si="197">SUM(E93:E99)</f>
        <v>267</v>
      </c>
      <c r="F100" s="14">
        <f t="shared" si="197"/>
        <v>15</v>
      </c>
      <c r="G100" s="14">
        <f t="shared" si="197"/>
        <v>136</v>
      </c>
      <c r="H100" s="14">
        <f t="shared" si="197"/>
        <v>418</v>
      </c>
      <c r="I100" s="14">
        <f t="shared" si="197"/>
        <v>17600</v>
      </c>
      <c r="J100" s="14">
        <f t="shared" si="197"/>
        <v>0</v>
      </c>
      <c r="K100" s="14">
        <f t="shared" si="197"/>
        <v>5000</v>
      </c>
      <c r="L100" s="14">
        <f t="shared" si="197"/>
        <v>0</v>
      </c>
      <c r="M100" s="14">
        <f t="shared" si="197"/>
        <v>22600</v>
      </c>
      <c r="N100" s="14">
        <f t="shared" si="197"/>
        <v>0</v>
      </c>
      <c r="O100" s="14">
        <f t="shared" si="197"/>
        <v>0</v>
      </c>
      <c r="P100" s="14">
        <f t="shared" si="197"/>
        <v>0</v>
      </c>
      <c r="Q100" s="14">
        <f t="shared" si="197"/>
        <v>0</v>
      </c>
      <c r="R100" s="14">
        <f t="shared" si="197"/>
        <v>0</v>
      </c>
      <c r="S100" s="14">
        <f t="shared" si="197"/>
        <v>22600</v>
      </c>
      <c r="T100" s="7"/>
      <c r="W100" s="2">
        <v>0</v>
      </c>
      <c r="X100" s="2">
        <v>0</v>
      </c>
      <c r="Y100" s="2">
        <v>0</v>
      </c>
      <c r="Z100" s="2">
        <v>0</v>
      </c>
      <c r="AB100">
        <f>$AB$3-350</f>
        <v>13900</v>
      </c>
      <c r="AC100">
        <f>$AC$3-350</f>
        <v>14700</v>
      </c>
      <c r="AD100">
        <f>$AD$3-300</f>
        <v>11400</v>
      </c>
      <c r="AF100" s="32"/>
      <c r="AG100" s="32"/>
      <c r="AH100" s="32"/>
      <c r="AR100" s="32">
        <f t="shared" ref="AR100:AT100" si="198">AF100-AJ100-AN100</f>
        <v>0</v>
      </c>
      <c r="AS100" s="32">
        <f t="shared" si="198"/>
        <v>0</v>
      </c>
      <c r="AT100" s="32">
        <f t="shared" si="198"/>
        <v>0</v>
      </c>
      <c r="AV100" s="32"/>
      <c r="AW100" s="32"/>
      <c r="AX100" s="32"/>
      <c r="AY100" s="32"/>
      <c r="AZ100" s="32"/>
      <c r="BA100" s="32"/>
    </row>
    <row r="101" s="52" customFormat="1" spans="1:53">
      <c r="A101" s="55" t="s">
        <v>104</v>
      </c>
      <c r="B101" s="43" t="s">
        <v>523</v>
      </c>
      <c r="C101" s="43" t="s">
        <v>158</v>
      </c>
      <c r="D101" s="43" t="s">
        <v>423</v>
      </c>
      <c r="E101" s="12">
        <v>20</v>
      </c>
      <c r="F101" s="12">
        <v>0</v>
      </c>
      <c r="G101" s="12"/>
      <c r="H101" s="56">
        <f t="shared" ref="H101:H107" si="199">E101+F101+G101</f>
        <v>20</v>
      </c>
      <c r="I101" s="23">
        <f t="shared" si="132"/>
        <v>4500</v>
      </c>
      <c r="J101" s="23">
        <f t="shared" si="133"/>
        <v>0</v>
      </c>
      <c r="K101" s="23">
        <f t="shared" si="134"/>
        <v>0</v>
      </c>
      <c r="L101" s="23"/>
      <c r="M101" s="61">
        <f t="shared" ref="M101:M107" si="200">I101+J101+K101+L101</f>
        <v>4500</v>
      </c>
      <c r="N101" s="61"/>
      <c r="O101" s="61"/>
      <c r="P101" s="55"/>
      <c r="Q101" s="23"/>
      <c r="R101" s="61">
        <f t="shared" ref="R101:R107" si="201">N101+O101+P101+Q101</f>
        <v>0</v>
      </c>
      <c r="S101" s="61">
        <f t="shared" ref="S101:S107" si="202">M101+R101</f>
        <v>4500</v>
      </c>
      <c r="T101" s="55"/>
      <c r="W101" s="67">
        <v>13500</v>
      </c>
      <c r="X101" s="67">
        <v>0</v>
      </c>
      <c r="Y101" s="67">
        <v>0</v>
      </c>
      <c r="Z101" s="67">
        <v>0</v>
      </c>
      <c r="AB101" s="52">
        <f>$AB$3-350</f>
        <v>13900</v>
      </c>
      <c r="AC101" s="52">
        <f>$AC$3-350</f>
        <v>14700</v>
      </c>
      <c r="AD101" s="52">
        <f>$AD$3-300</f>
        <v>11400</v>
      </c>
      <c r="AF101" s="69">
        <f t="shared" ref="AF101:AF107" si="203">AB101-W101</f>
        <v>400</v>
      </c>
      <c r="AG101" s="69"/>
      <c r="AH101" s="69"/>
      <c r="AN101" s="52">
        <v>175</v>
      </c>
      <c r="AR101" s="32">
        <f t="shared" ref="AR101:AT101" si="204">AF101-AJ101-AN101</f>
        <v>225</v>
      </c>
      <c r="AS101" s="32">
        <f t="shared" si="204"/>
        <v>0</v>
      </c>
      <c r="AT101" s="32">
        <f t="shared" si="204"/>
        <v>0</v>
      </c>
      <c r="AV101" s="32"/>
      <c r="AW101" s="32"/>
      <c r="AX101" s="32"/>
      <c r="AY101" s="32"/>
      <c r="AZ101" s="32"/>
      <c r="BA101" s="32"/>
    </row>
    <row r="102" spans="1:53">
      <c r="A102" s="7" t="s">
        <v>105</v>
      </c>
      <c r="B102" s="21" t="s">
        <v>524</v>
      </c>
      <c r="C102" s="21" t="s">
        <v>152</v>
      </c>
      <c r="D102" s="21" t="s">
        <v>423</v>
      </c>
      <c r="E102" s="8">
        <v>190</v>
      </c>
      <c r="F102" s="8">
        <v>0</v>
      </c>
      <c r="G102" s="8">
        <v>136</v>
      </c>
      <c r="H102" s="53">
        <f t="shared" si="199"/>
        <v>326</v>
      </c>
      <c r="I102" s="23">
        <f t="shared" si="132"/>
        <v>137750</v>
      </c>
      <c r="J102" s="23">
        <f t="shared" si="133"/>
        <v>0</v>
      </c>
      <c r="K102" s="23">
        <f t="shared" si="134"/>
        <v>81600</v>
      </c>
      <c r="L102" s="23"/>
      <c r="M102" s="60">
        <f t="shared" si="200"/>
        <v>219350</v>
      </c>
      <c r="N102" s="23"/>
      <c r="O102" s="23"/>
      <c r="P102" s="7"/>
      <c r="Q102" s="23"/>
      <c r="R102" s="60">
        <f t="shared" si="201"/>
        <v>0</v>
      </c>
      <c r="S102" s="23">
        <f t="shared" si="202"/>
        <v>219350</v>
      </c>
      <c r="T102" s="7"/>
      <c r="W102" s="2">
        <v>13000</v>
      </c>
      <c r="X102" s="2">
        <v>0</v>
      </c>
      <c r="Y102" s="2">
        <v>10700</v>
      </c>
      <c r="Z102" s="2"/>
      <c r="AB102">
        <f>$AB$3-350</f>
        <v>13900</v>
      </c>
      <c r="AC102">
        <f>$AC$3-350</f>
        <v>14700</v>
      </c>
      <c r="AD102">
        <f>$AD$3-300</f>
        <v>11400</v>
      </c>
      <c r="AF102" s="32">
        <f t="shared" si="203"/>
        <v>900</v>
      </c>
      <c r="AG102" s="32"/>
      <c r="AH102" s="32">
        <f t="shared" ref="AH102:AH105" si="205">AD102-Y102</f>
        <v>700</v>
      </c>
      <c r="AN102">
        <v>175</v>
      </c>
      <c r="AP102">
        <v>100</v>
      </c>
      <c r="AR102" s="32">
        <f t="shared" ref="AR102:AT102" si="206">AF102-AJ102-AN102</f>
        <v>725</v>
      </c>
      <c r="AS102" s="32">
        <f t="shared" si="206"/>
        <v>0</v>
      </c>
      <c r="AT102" s="32">
        <f t="shared" si="206"/>
        <v>600</v>
      </c>
      <c r="AV102" s="32"/>
      <c r="AW102" s="32"/>
      <c r="AX102" s="32"/>
      <c r="AY102" s="32"/>
      <c r="AZ102" s="32"/>
      <c r="BA102" s="32"/>
    </row>
    <row r="103" spans="1:53">
      <c r="A103" s="7" t="s">
        <v>106</v>
      </c>
      <c r="B103" s="21" t="s">
        <v>525</v>
      </c>
      <c r="C103" s="21" t="s">
        <v>152</v>
      </c>
      <c r="D103" s="21" t="s">
        <v>447</v>
      </c>
      <c r="E103" s="8">
        <v>185</v>
      </c>
      <c r="F103" s="8">
        <v>0</v>
      </c>
      <c r="G103" s="8">
        <v>20</v>
      </c>
      <c r="H103" s="53">
        <f t="shared" si="199"/>
        <v>205</v>
      </c>
      <c r="I103" s="23">
        <f t="shared" si="132"/>
        <v>129500</v>
      </c>
      <c r="J103" s="23">
        <f t="shared" si="133"/>
        <v>0</v>
      </c>
      <c r="K103" s="23">
        <f t="shared" si="134"/>
        <v>12000</v>
      </c>
      <c r="L103" s="7"/>
      <c r="M103" s="60">
        <f t="shared" si="200"/>
        <v>141500</v>
      </c>
      <c r="N103" s="23"/>
      <c r="O103" s="23"/>
      <c r="P103" s="7"/>
      <c r="Q103" s="7"/>
      <c r="R103" s="60">
        <f t="shared" si="201"/>
        <v>0</v>
      </c>
      <c r="S103" s="23">
        <f t="shared" si="202"/>
        <v>141500</v>
      </c>
      <c r="T103" s="7"/>
      <c r="W103" s="2">
        <v>13200</v>
      </c>
      <c r="X103" s="2">
        <v>0</v>
      </c>
      <c r="Y103" s="2">
        <v>10800</v>
      </c>
      <c r="Z103" s="2"/>
      <c r="AB103">
        <f>$AB$3-350</f>
        <v>13900</v>
      </c>
      <c r="AC103">
        <f>$AC$3-350</f>
        <v>14700</v>
      </c>
      <c r="AD103">
        <f>$AD$3-300</f>
        <v>11400</v>
      </c>
      <c r="AF103" s="32">
        <f t="shared" si="203"/>
        <v>700</v>
      </c>
      <c r="AG103" s="32"/>
      <c r="AH103" s="32">
        <f t="shared" si="205"/>
        <v>600</v>
      </c>
      <c r="AR103" s="32">
        <f t="shared" ref="AR103:AT103" si="207">AF103-AJ103-AN103</f>
        <v>700</v>
      </c>
      <c r="AS103" s="32">
        <f t="shared" si="207"/>
        <v>0</v>
      </c>
      <c r="AT103" s="32">
        <f t="shared" si="207"/>
        <v>600</v>
      </c>
      <c r="AV103" s="32"/>
      <c r="AW103" s="32"/>
      <c r="AX103" s="32"/>
      <c r="AY103" s="32"/>
      <c r="AZ103" s="32"/>
      <c r="BA103" s="32"/>
    </row>
    <row r="104" spans="1:53">
      <c r="A104" s="7" t="s">
        <v>107</v>
      </c>
      <c r="B104" s="21" t="s">
        <v>526</v>
      </c>
      <c r="C104" s="21" t="s">
        <v>152</v>
      </c>
      <c r="D104" s="21" t="s">
        <v>443</v>
      </c>
      <c r="E104" s="8">
        <v>290</v>
      </c>
      <c r="F104" s="8">
        <v>0</v>
      </c>
      <c r="G104" s="8">
        <v>92</v>
      </c>
      <c r="H104" s="53">
        <f t="shared" si="199"/>
        <v>382</v>
      </c>
      <c r="I104" s="23">
        <f t="shared" si="132"/>
        <v>217500</v>
      </c>
      <c r="J104" s="23">
        <f t="shared" si="133"/>
        <v>0</v>
      </c>
      <c r="K104" s="23">
        <f t="shared" si="134"/>
        <v>46000</v>
      </c>
      <c r="L104" s="7"/>
      <c r="M104" s="60">
        <f t="shared" si="200"/>
        <v>263500</v>
      </c>
      <c r="N104" s="23"/>
      <c r="O104" s="23"/>
      <c r="P104" s="23"/>
      <c r="Q104" s="7"/>
      <c r="R104" s="60">
        <f t="shared" si="201"/>
        <v>0</v>
      </c>
      <c r="S104" s="23">
        <f t="shared" si="202"/>
        <v>263500</v>
      </c>
      <c r="T104" s="7"/>
      <c r="W104" s="2">
        <v>12900</v>
      </c>
      <c r="X104" s="2">
        <v>0</v>
      </c>
      <c r="Y104" s="2">
        <v>10700</v>
      </c>
      <c r="Z104" s="2"/>
      <c r="AB104">
        <f>$AB$3-350</f>
        <v>13900</v>
      </c>
      <c r="AC104">
        <f>$AC$3-350</f>
        <v>14700</v>
      </c>
      <c r="AD104">
        <f>$AD$3-300</f>
        <v>11400</v>
      </c>
      <c r="AF104" s="32">
        <f t="shared" si="203"/>
        <v>1000</v>
      </c>
      <c r="AG104" s="32"/>
      <c r="AH104" s="32">
        <f t="shared" si="205"/>
        <v>700</v>
      </c>
      <c r="AJ104" s="32">
        <v>250</v>
      </c>
      <c r="AK104" s="32"/>
      <c r="AL104" s="32">
        <v>200</v>
      </c>
      <c r="AR104" s="32">
        <f t="shared" ref="AR104:AT104" si="208">AF104-AJ104-AN104</f>
        <v>750</v>
      </c>
      <c r="AS104" s="32">
        <f t="shared" si="208"/>
        <v>0</v>
      </c>
      <c r="AT104" s="32">
        <f t="shared" si="208"/>
        <v>500</v>
      </c>
      <c r="AV104" s="32"/>
      <c r="AW104" s="32"/>
      <c r="AX104" s="32"/>
      <c r="AY104" s="32"/>
      <c r="AZ104" s="32"/>
      <c r="BA104" s="32"/>
    </row>
    <row r="105" spans="1:53">
      <c r="A105" s="7" t="s">
        <v>108</v>
      </c>
      <c r="B105" s="21" t="s">
        <v>527</v>
      </c>
      <c r="C105" s="21" t="s">
        <v>152</v>
      </c>
      <c r="D105" s="21" t="s">
        <v>447</v>
      </c>
      <c r="E105" s="8">
        <v>10</v>
      </c>
      <c r="F105" s="8">
        <v>0</v>
      </c>
      <c r="G105" s="8">
        <v>20</v>
      </c>
      <c r="H105" s="53">
        <f t="shared" si="199"/>
        <v>30</v>
      </c>
      <c r="I105" s="23">
        <f t="shared" si="132"/>
        <v>7000</v>
      </c>
      <c r="J105" s="23">
        <f t="shared" si="133"/>
        <v>0</v>
      </c>
      <c r="K105" s="23">
        <f t="shared" si="134"/>
        <v>12000</v>
      </c>
      <c r="L105" s="7"/>
      <c r="M105" s="60">
        <f t="shared" si="200"/>
        <v>19000</v>
      </c>
      <c r="N105" s="23"/>
      <c r="O105" s="23"/>
      <c r="P105" s="7"/>
      <c r="Q105" s="7"/>
      <c r="R105" s="60">
        <f t="shared" si="201"/>
        <v>0</v>
      </c>
      <c r="S105" s="23">
        <f t="shared" si="202"/>
        <v>19000</v>
      </c>
      <c r="T105" s="7"/>
      <c r="W105" s="2">
        <v>13200</v>
      </c>
      <c r="X105" s="2">
        <v>0</v>
      </c>
      <c r="Y105" s="2">
        <v>10800</v>
      </c>
      <c r="Z105" s="2"/>
      <c r="AB105">
        <f>$AB$3-350</f>
        <v>13900</v>
      </c>
      <c r="AC105">
        <f>$AC$3-350</f>
        <v>14700</v>
      </c>
      <c r="AD105">
        <f>$AD$3-300</f>
        <v>11400</v>
      </c>
      <c r="AF105" s="32">
        <f t="shared" si="203"/>
        <v>700</v>
      </c>
      <c r="AG105" s="32"/>
      <c r="AH105" s="32">
        <f t="shared" si="205"/>
        <v>600</v>
      </c>
      <c r="AR105" s="32">
        <f t="shared" ref="AR105:AT105" si="209">AF105-AJ105-AN105</f>
        <v>700</v>
      </c>
      <c r="AS105" s="32">
        <f t="shared" si="209"/>
        <v>0</v>
      </c>
      <c r="AT105" s="32">
        <f t="shared" si="209"/>
        <v>600</v>
      </c>
      <c r="AV105" s="32"/>
      <c r="AW105" s="32"/>
      <c r="AX105" s="32"/>
      <c r="AY105" s="32"/>
      <c r="AZ105" s="32"/>
      <c r="BA105" s="32"/>
    </row>
    <row r="106" spans="1:53">
      <c r="A106" s="7" t="s">
        <v>109</v>
      </c>
      <c r="B106" s="21" t="s">
        <v>528</v>
      </c>
      <c r="C106" s="21" t="s">
        <v>152</v>
      </c>
      <c r="D106" s="21" t="s">
        <v>423</v>
      </c>
      <c r="E106" s="8">
        <v>310</v>
      </c>
      <c r="F106" s="8">
        <v>0</v>
      </c>
      <c r="G106" s="8"/>
      <c r="H106" s="53">
        <f t="shared" si="199"/>
        <v>310</v>
      </c>
      <c r="I106" s="23">
        <f t="shared" si="132"/>
        <v>186000</v>
      </c>
      <c r="J106" s="23">
        <f t="shared" si="133"/>
        <v>0</v>
      </c>
      <c r="K106" s="23">
        <f t="shared" si="134"/>
        <v>0</v>
      </c>
      <c r="L106" s="23"/>
      <c r="M106" s="60">
        <f t="shared" si="200"/>
        <v>186000</v>
      </c>
      <c r="N106" s="23"/>
      <c r="O106" s="23"/>
      <c r="P106" s="7"/>
      <c r="Q106" s="23"/>
      <c r="R106" s="60">
        <f t="shared" si="201"/>
        <v>0</v>
      </c>
      <c r="S106" s="23">
        <f t="shared" si="202"/>
        <v>186000</v>
      </c>
      <c r="T106" s="7"/>
      <c r="W106" s="2">
        <v>13125</v>
      </c>
      <c r="X106" s="2">
        <v>0</v>
      </c>
      <c r="Y106" s="2">
        <v>0</v>
      </c>
      <c r="Z106" s="2"/>
      <c r="AB106">
        <f>$AB$3-350</f>
        <v>13900</v>
      </c>
      <c r="AC106">
        <f>$AC$3-350</f>
        <v>14700</v>
      </c>
      <c r="AD106">
        <f>$AD$3-300</f>
        <v>11400</v>
      </c>
      <c r="AF106" s="32">
        <f t="shared" si="203"/>
        <v>775</v>
      </c>
      <c r="AG106" s="32"/>
      <c r="AH106" s="32"/>
      <c r="AN106">
        <v>175</v>
      </c>
      <c r="AR106" s="32">
        <f t="shared" ref="AR106:AT106" si="210">AF106-AJ106-AN106</f>
        <v>600</v>
      </c>
      <c r="AS106" s="32">
        <f t="shared" si="210"/>
        <v>0</v>
      </c>
      <c r="AT106" s="32">
        <f t="shared" si="210"/>
        <v>0</v>
      </c>
      <c r="AV106" s="32"/>
      <c r="AW106" s="32"/>
      <c r="AX106" s="32"/>
      <c r="AY106" s="32"/>
      <c r="AZ106" s="32"/>
      <c r="BA106" s="32"/>
    </row>
    <row r="107" spans="1:53">
      <c r="A107" s="7" t="s">
        <v>110</v>
      </c>
      <c r="B107" s="21" t="s">
        <v>529</v>
      </c>
      <c r="C107" s="21" t="s">
        <v>152</v>
      </c>
      <c r="D107" s="21" t="s">
        <v>443</v>
      </c>
      <c r="E107" s="8">
        <v>60</v>
      </c>
      <c r="F107" s="8">
        <v>0</v>
      </c>
      <c r="G107" s="8"/>
      <c r="H107" s="53">
        <f t="shared" si="199"/>
        <v>60</v>
      </c>
      <c r="I107" s="23">
        <f t="shared" si="132"/>
        <v>33000</v>
      </c>
      <c r="J107" s="23">
        <f t="shared" si="133"/>
        <v>0</v>
      </c>
      <c r="K107" s="23">
        <f t="shared" si="134"/>
        <v>0</v>
      </c>
      <c r="L107" s="7"/>
      <c r="M107" s="60">
        <f t="shared" si="200"/>
        <v>33000</v>
      </c>
      <c r="N107" s="23"/>
      <c r="O107" s="23"/>
      <c r="P107" s="23"/>
      <c r="Q107" s="7"/>
      <c r="R107" s="60">
        <f t="shared" si="201"/>
        <v>0</v>
      </c>
      <c r="S107" s="23">
        <f t="shared" si="202"/>
        <v>33000</v>
      </c>
      <c r="T107" s="7"/>
      <c r="W107" s="2">
        <v>13100</v>
      </c>
      <c r="X107" s="2">
        <v>0</v>
      </c>
      <c r="Y107" s="2">
        <v>10800</v>
      </c>
      <c r="Z107" s="2"/>
      <c r="AB107">
        <f>$AB$3-350</f>
        <v>13900</v>
      </c>
      <c r="AC107">
        <f>$AC$3-350</f>
        <v>14700</v>
      </c>
      <c r="AD107">
        <f>$AD$3-300</f>
        <v>11400</v>
      </c>
      <c r="AF107" s="32">
        <f t="shared" si="203"/>
        <v>800</v>
      </c>
      <c r="AG107" s="32"/>
      <c r="AH107" s="32">
        <f>AD107-Y107</f>
        <v>600</v>
      </c>
      <c r="AJ107" s="32">
        <v>250</v>
      </c>
      <c r="AK107" s="32"/>
      <c r="AL107" s="32">
        <v>200</v>
      </c>
      <c r="AR107" s="32">
        <f t="shared" ref="AR107:AT107" si="211">AF107-AJ107-AN107</f>
        <v>550</v>
      </c>
      <c r="AS107" s="32">
        <f t="shared" si="211"/>
        <v>0</v>
      </c>
      <c r="AT107" s="32">
        <f t="shared" si="211"/>
        <v>400</v>
      </c>
      <c r="AV107" s="32"/>
      <c r="AW107" s="32"/>
      <c r="AX107" s="32"/>
      <c r="AY107" s="32"/>
      <c r="AZ107" s="32"/>
      <c r="BA107" s="32"/>
    </row>
    <row r="108" spans="1:53">
      <c r="A108" s="54" t="s">
        <v>103</v>
      </c>
      <c r="B108" s="21"/>
      <c r="C108" s="21"/>
      <c r="D108" s="21"/>
      <c r="E108" s="14">
        <f t="shared" ref="E108:S108" si="212">SUM(E101:E107)</f>
        <v>1065</v>
      </c>
      <c r="F108" s="14">
        <f t="shared" si="212"/>
        <v>0</v>
      </c>
      <c r="G108" s="14">
        <f t="shared" si="212"/>
        <v>268</v>
      </c>
      <c r="H108" s="14">
        <f t="shared" si="212"/>
        <v>1333</v>
      </c>
      <c r="I108" s="14">
        <f t="shared" si="212"/>
        <v>715250</v>
      </c>
      <c r="J108" s="14">
        <f t="shared" si="212"/>
        <v>0</v>
      </c>
      <c r="K108" s="14">
        <f t="shared" si="212"/>
        <v>151600</v>
      </c>
      <c r="L108" s="14">
        <f t="shared" si="212"/>
        <v>0</v>
      </c>
      <c r="M108" s="14">
        <f t="shared" si="212"/>
        <v>866850</v>
      </c>
      <c r="N108" s="14">
        <f t="shared" si="212"/>
        <v>0</v>
      </c>
      <c r="O108" s="14">
        <f t="shared" si="212"/>
        <v>0</v>
      </c>
      <c r="P108" s="14">
        <f t="shared" si="212"/>
        <v>0</v>
      </c>
      <c r="Q108" s="14">
        <f t="shared" si="212"/>
        <v>0</v>
      </c>
      <c r="R108" s="14">
        <f t="shared" si="212"/>
        <v>0</v>
      </c>
      <c r="S108" s="14">
        <f t="shared" si="212"/>
        <v>866850</v>
      </c>
      <c r="T108" s="7"/>
      <c r="W108" s="2">
        <v>0</v>
      </c>
      <c r="X108" s="2">
        <v>0</v>
      </c>
      <c r="Y108" s="2">
        <v>0</v>
      </c>
      <c r="Z108" s="2">
        <v>0</v>
      </c>
      <c r="AB108">
        <f>$AB$3-350</f>
        <v>13900</v>
      </c>
      <c r="AC108">
        <f>$AC$3-350</f>
        <v>14700</v>
      </c>
      <c r="AD108">
        <f>$AD$3-300</f>
        <v>11400</v>
      </c>
      <c r="AF108" s="32"/>
      <c r="AG108" s="32"/>
      <c r="AH108" s="32"/>
      <c r="AR108" s="32">
        <f t="shared" ref="AR108:AT108" si="213">AF108-AJ108-AN108</f>
        <v>0</v>
      </c>
      <c r="AS108" s="32">
        <f t="shared" si="213"/>
        <v>0</v>
      </c>
      <c r="AT108" s="32">
        <f t="shared" si="213"/>
        <v>0</v>
      </c>
      <c r="AV108" s="32"/>
      <c r="AW108" s="32"/>
      <c r="AX108" s="32"/>
      <c r="AY108" s="32"/>
      <c r="AZ108" s="32"/>
      <c r="BA108" s="32"/>
    </row>
    <row r="109" spans="1:53">
      <c r="A109" s="7" t="s">
        <v>112</v>
      </c>
      <c r="B109" s="21" t="s">
        <v>530</v>
      </c>
      <c r="C109" s="21" t="s">
        <v>152</v>
      </c>
      <c r="D109" s="21" t="s">
        <v>423</v>
      </c>
      <c r="E109" s="8">
        <v>33</v>
      </c>
      <c r="F109" s="8">
        <v>0</v>
      </c>
      <c r="G109" s="8"/>
      <c r="H109" s="53">
        <f t="shared" ref="H109:H111" si="214">E109+F109+G109</f>
        <v>33</v>
      </c>
      <c r="I109" s="23">
        <f>E109*AR109</f>
        <v>4125</v>
      </c>
      <c r="J109" s="23">
        <f>F109*AS109</f>
        <v>0</v>
      </c>
      <c r="K109" s="23">
        <f>G109*AT109</f>
        <v>0</v>
      </c>
      <c r="L109" s="23"/>
      <c r="M109" s="60">
        <f t="shared" ref="M109:M111" si="215">I109+J109+K109+L109</f>
        <v>4125</v>
      </c>
      <c r="N109" s="23"/>
      <c r="O109" s="23"/>
      <c r="P109" s="7"/>
      <c r="Q109" s="23"/>
      <c r="R109" s="60">
        <f t="shared" ref="R109:R111" si="216">N109+O109+P109+Q109</f>
        <v>0</v>
      </c>
      <c r="S109" s="23">
        <f t="shared" ref="S109:S111" si="217">M109+R109</f>
        <v>4125</v>
      </c>
      <c r="T109" s="7"/>
      <c r="W109" s="2">
        <v>13600</v>
      </c>
      <c r="X109" s="2">
        <v>0</v>
      </c>
      <c r="Y109" s="2">
        <v>0</v>
      </c>
      <c r="Z109" s="2">
        <v>0</v>
      </c>
      <c r="AB109">
        <f>$AB$3-350</f>
        <v>13900</v>
      </c>
      <c r="AC109">
        <f>$AC$3-350</f>
        <v>14700</v>
      </c>
      <c r="AD109">
        <f>$AD$3-300</f>
        <v>11400</v>
      </c>
      <c r="AF109" s="32">
        <f>AB109-W109</f>
        <v>300</v>
      </c>
      <c r="AG109" s="32"/>
      <c r="AH109" s="32"/>
      <c r="AN109">
        <v>175</v>
      </c>
      <c r="AR109" s="32">
        <f t="shared" ref="AR109:AT109" si="218">AF109-AJ109-AN109</f>
        <v>125</v>
      </c>
      <c r="AS109" s="32">
        <f t="shared" si="218"/>
        <v>0</v>
      </c>
      <c r="AT109" s="32">
        <f t="shared" si="218"/>
        <v>0</v>
      </c>
      <c r="AV109" s="32"/>
      <c r="AW109" s="32"/>
      <c r="AX109" s="32"/>
      <c r="AY109" s="32"/>
      <c r="AZ109" s="32"/>
      <c r="BA109" s="32"/>
    </row>
    <row r="110" s="52" customFormat="1" spans="1:53">
      <c r="A110" s="55" t="s">
        <v>113</v>
      </c>
      <c r="B110" s="43" t="s">
        <v>531</v>
      </c>
      <c r="C110" s="43" t="s">
        <v>152</v>
      </c>
      <c r="D110" s="43" t="s">
        <v>423</v>
      </c>
      <c r="E110" s="12">
        <v>36</v>
      </c>
      <c r="F110" s="12">
        <v>2</v>
      </c>
      <c r="G110" s="12">
        <v>20</v>
      </c>
      <c r="H110" s="56">
        <f t="shared" si="214"/>
        <v>58</v>
      </c>
      <c r="I110" s="23">
        <f>E110*AR110</f>
        <v>10800</v>
      </c>
      <c r="J110" s="23">
        <f>F110*AS110</f>
        <v>600</v>
      </c>
      <c r="K110" s="23">
        <f>G110*AT110</f>
        <v>6000</v>
      </c>
      <c r="L110" s="23"/>
      <c r="M110" s="61">
        <f t="shared" si="215"/>
        <v>17400</v>
      </c>
      <c r="N110" s="61"/>
      <c r="O110" s="61"/>
      <c r="P110" s="55"/>
      <c r="Q110" s="23"/>
      <c r="R110" s="61">
        <f t="shared" si="216"/>
        <v>0</v>
      </c>
      <c r="S110" s="61">
        <f t="shared" si="217"/>
        <v>17400</v>
      </c>
      <c r="T110" s="55"/>
      <c r="W110" s="67">
        <v>13425</v>
      </c>
      <c r="X110" s="67">
        <v>14225</v>
      </c>
      <c r="Y110" s="67">
        <v>11000</v>
      </c>
      <c r="Z110" s="67">
        <v>0</v>
      </c>
      <c r="AB110" s="52">
        <f>$AB$3-350</f>
        <v>13900</v>
      </c>
      <c r="AC110" s="52">
        <f>$AC$3-350</f>
        <v>14700</v>
      </c>
      <c r="AD110" s="52">
        <f>$AD$3-300</f>
        <v>11400</v>
      </c>
      <c r="AF110" s="69">
        <f t="shared" ref="AF110:AH110" si="219">AB110-W110</f>
        <v>475</v>
      </c>
      <c r="AG110" s="69">
        <f t="shared" si="219"/>
        <v>475</v>
      </c>
      <c r="AH110" s="69">
        <f t="shared" si="219"/>
        <v>400</v>
      </c>
      <c r="AN110" s="52">
        <v>175</v>
      </c>
      <c r="AO110" s="52">
        <v>175</v>
      </c>
      <c r="AP110" s="52">
        <v>100</v>
      </c>
      <c r="AR110" s="32">
        <f t="shared" ref="AR110:AT110" si="220">AF110-AJ110-AN110</f>
        <v>300</v>
      </c>
      <c r="AS110" s="32">
        <f t="shared" si="220"/>
        <v>300</v>
      </c>
      <c r="AT110" s="32">
        <f t="shared" si="220"/>
        <v>300</v>
      </c>
      <c r="AV110" s="32"/>
      <c r="AW110" s="32"/>
      <c r="AX110" s="32"/>
      <c r="AY110" s="32"/>
      <c r="AZ110" s="32"/>
      <c r="BA110" s="32"/>
    </row>
    <row r="111" spans="1:53">
      <c r="A111" s="7" t="s">
        <v>114</v>
      </c>
      <c r="B111" s="21" t="s">
        <v>532</v>
      </c>
      <c r="C111" s="21" t="s">
        <v>152</v>
      </c>
      <c r="D111" s="21" t="s">
        <v>423</v>
      </c>
      <c r="E111" s="8">
        <v>0</v>
      </c>
      <c r="F111" s="8">
        <v>0</v>
      </c>
      <c r="G111" s="8">
        <v>104</v>
      </c>
      <c r="H111" s="53">
        <f t="shared" si="214"/>
        <v>104</v>
      </c>
      <c r="I111" s="23">
        <f>E111*AR111</f>
        <v>0</v>
      </c>
      <c r="J111" s="23">
        <f>F111*AS111</f>
        <v>0</v>
      </c>
      <c r="K111" s="23">
        <f>G111*AT111</f>
        <v>52000</v>
      </c>
      <c r="L111" s="23"/>
      <c r="M111" s="60">
        <f t="shared" si="215"/>
        <v>52000</v>
      </c>
      <c r="N111" s="23"/>
      <c r="O111" s="23"/>
      <c r="P111" s="7"/>
      <c r="Q111" s="23"/>
      <c r="R111" s="60">
        <f t="shared" si="216"/>
        <v>0</v>
      </c>
      <c r="S111" s="23">
        <f t="shared" si="217"/>
        <v>52000</v>
      </c>
      <c r="T111" s="7"/>
      <c r="W111" s="2">
        <v>0</v>
      </c>
      <c r="X111" s="2">
        <v>0</v>
      </c>
      <c r="Y111" s="2">
        <v>7600</v>
      </c>
      <c r="Z111" s="2"/>
      <c r="AB111">
        <f>$AB$3-350</f>
        <v>13900</v>
      </c>
      <c r="AC111">
        <f>$AC$3-350</f>
        <v>14700</v>
      </c>
      <c r="AD111">
        <v>8200</v>
      </c>
      <c r="AF111" s="32"/>
      <c r="AG111" s="32"/>
      <c r="AH111" s="32">
        <f>AD111-Y111</f>
        <v>600</v>
      </c>
      <c r="AP111">
        <v>100</v>
      </c>
      <c r="AR111" s="32">
        <f t="shared" ref="AR111:AT111" si="221">AF111-AJ111-AN111</f>
        <v>0</v>
      </c>
      <c r="AS111" s="32">
        <f t="shared" si="221"/>
        <v>0</v>
      </c>
      <c r="AT111" s="32">
        <f t="shared" si="221"/>
        <v>500</v>
      </c>
      <c r="AV111" s="32"/>
      <c r="AW111" s="32"/>
      <c r="AX111" s="32"/>
      <c r="AY111" s="32"/>
      <c r="AZ111" s="32"/>
      <c r="BA111" s="32"/>
    </row>
    <row r="112" spans="1:26">
      <c r="A112" s="54" t="s">
        <v>111</v>
      </c>
      <c r="B112" s="54"/>
      <c r="C112" s="54"/>
      <c r="D112" s="54"/>
      <c r="E112" s="14">
        <f t="shared" ref="E112:S112" si="222">SUM(E109:E111)</f>
        <v>69</v>
      </c>
      <c r="F112" s="14">
        <f t="shared" si="222"/>
        <v>2</v>
      </c>
      <c r="G112" s="72">
        <f t="shared" si="222"/>
        <v>124</v>
      </c>
      <c r="H112" s="14">
        <f t="shared" si="222"/>
        <v>195</v>
      </c>
      <c r="I112" s="14">
        <f t="shared" si="222"/>
        <v>14925</v>
      </c>
      <c r="J112" s="14">
        <f t="shared" si="222"/>
        <v>600</v>
      </c>
      <c r="K112" s="14">
        <f t="shared" si="222"/>
        <v>58000</v>
      </c>
      <c r="L112" s="14">
        <f t="shared" si="222"/>
        <v>0</v>
      </c>
      <c r="M112" s="14">
        <f t="shared" si="222"/>
        <v>73525</v>
      </c>
      <c r="N112" s="14">
        <f t="shared" si="222"/>
        <v>0</v>
      </c>
      <c r="O112" s="14">
        <f t="shared" si="222"/>
        <v>0</v>
      </c>
      <c r="P112" s="14">
        <f t="shared" si="222"/>
        <v>0</v>
      </c>
      <c r="Q112" s="14">
        <f t="shared" si="222"/>
        <v>0</v>
      </c>
      <c r="R112" s="14">
        <f t="shared" si="222"/>
        <v>0</v>
      </c>
      <c r="S112" s="14">
        <f t="shared" si="222"/>
        <v>73525</v>
      </c>
      <c r="T112" s="7"/>
      <c r="W112" s="2">
        <v>0</v>
      </c>
      <c r="X112" s="2">
        <v>0</v>
      </c>
      <c r="Y112" s="2">
        <v>0</v>
      </c>
      <c r="Z112" s="2">
        <v>0</v>
      </c>
    </row>
    <row r="113" spans="1:20">
      <c r="A113" s="71" t="s">
        <v>6</v>
      </c>
      <c r="B113" s="71"/>
      <c r="C113" s="71"/>
      <c r="D113" s="71"/>
      <c r="E113" s="73">
        <f t="shared" ref="E113:S113" si="223">E112+E108+E100+E92+E88+E83+E80+E77+E70+E68+E62+E46+E40+E35+E25+E17+E12+E7</f>
        <v>6071</v>
      </c>
      <c r="F113" s="73">
        <f t="shared" si="223"/>
        <v>122</v>
      </c>
      <c r="G113" s="73">
        <f t="shared" si="223"/>
        <v>2456</v>
      </c>
      <c r="H113" s="36">
        <f t="shared" si="223"/>
        <v>8649</v>
      </c>
      <c r="I113" s="36">
        <f t="shared" si="223"/>
        <v>3586875</v>
      </c>
      <c r="J113" s="36">
        <f t="shared" si="223"/>
        <v>91575</v>
      </c>
      <c r="K113" s="36">
        <f t="shared" si="223"/>
        <v>1455700</v>
      </c>
      <c r="L113" s="36">
        <f t="shared" si="223"/>
        <v>0</v>
      </c>
      <c r="M113" s="36">
        <f t="shared" si="223"/>
        <v>5134150</v>
      </c>
      <c r="N113" s="36">
        <f t="shared" si="223"/>
        <v>0</v>
      </c>
      <c r="O113" s="36">
        <f t="shared" si="223"/>
        <v>0</v>
      </c>
      <c r="P113" s="36">
        <f t="shared" si="223"/>
        <v>0</v>
      </c>
      <c r="Q113" s="36">
        <f t="shared" si="223"/>
        <v>0</v>
      </c>
      <c r="R113" s="36">
        <f t="shared" si="223"/>
        <v>0</v>
      </c>
      <c r="S113" s="36">
        <f t="shared" si="223"/>
        <v>5134150</v>
      </c>
      <c r="T113" s="7"/>
    </row>
  </sheetData>
  <autoFilter ref="A4:BA113">
    <extLst/>
  </autoFilter>
  <mergeCells count="8">
    <mergeCell ref="AB2:AD2"/>
    <mergeCell ref="AF2:AH2"/>
    <mergeCell ref="I3:M3"/>
    <mergeCell ref="N3:R3"/>
    <mergeCell ref="W3:Z3"/>
    <mergeCell ref="AJ3:AL3"/>
    <mergeCell ref="AN3:AP3"/>
    <mergeCell ref="AR3:AT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O8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N5" sqref="N5:N78"/>
    </sheetView>
  </sheetViews>
  <sheetFormatPr defaultColWidth="8.88888888888889" defaultRowHeight="14.4"/>
  <cols>
    <col min="1" max="1" width="18.5555555555556" style="37" customWidth="1"/>
    <col min="2" max="2" width="39.2222222222222" customWidth="1"/>
    <col min="3" max="3" width="6.66666666666667" style="38" customWidth="1"/>
    <col min="4" max="4" width="6.11111111111111" style="38" customWidth="1"/>
    <col min="5" max="5" width="10.1111111111111" style="2" customWidth="1"/>
    <col min="6" max="6" width="10.1111111111111" style="2" hidden="1" customWidth="1"/>
    <col min="7" max="7" width="7.88888888888889" style="2" customWidth="1"/>
    <col min="8" max="8" width="10.1111111111111" style="2" hidden="1" customWidth="1"/>
    <col min="9" max="9" width="10.1111111111111" style="2" customWidth="1"/>
    <col min="10" max="10" width="12.6666666666667" style="2" hidden="1" customWidth="1"/>
    <col min="11" max="11" width="8.11111111111111" style="2" customWidth="1"/>
    <col min="12" max="12" width="14" style="2" customWidth="1"/>
    <col min="13" max="13" width="11.8888888888889" customWidth="1"/>
    <col min="14" max="14" width="11.4444444444444" customWidth="1"/>
    <col min="15" max="15" width="7.33333333333333" customWidth="1"/>
  </cols>
  <sheetData>
    <row r="4" ht="41.4" spans="1:15">
      <c r="A4" s="39" t="s">
        <v>537</v>
      </c>
      <c r="B4" s="25" t="s">
        <v>3</v>
      </c>
      <c r="C4" s="40" t="s">
        <v>538</v>
      </c>
      <c r="D4" s="40" t="s">
        <v>539</v>
      </c>
      <c r="E4" s="41" t="s">
        <v>540</v>
      </c>
      <c r="F4" s="42" t="s">
        <v>541</v>
      </c>
      <c r="G4" s="41" t="s">
        <v>542</v>
      </c>
      <c r="H4" s="42" t="s">
        <v>541</v>
      </c>
      <c r="I4" s="45" t="s">
        <v>5</v>
      </c>
      <c r="J4" s="42" t="s">
        <v>543</v>
      </c>
      <c r="K4" s="46" t="s">
        <v>544</v>
      </c>
      <c r="L4" s="46" t="s">
        <v>545</v>
      </c>
      <c r="M4" s="41" t="s">
        <v>546</v>
      </c>
      <c r="N4" s="41" t="s">
        <v>547</v>
      </c>
      <c r="O4" s="47" t="s">
        <v>436</v>
      </c>
    </row>
    <row r="5" spans="1:15">
      <c r="A5" s="43" t="s">
        <v>7</v>
      </c>
      <c r="B5" s="7" t="s">
        <v>342</v>
      </c>
      <c r="C5" s="21" t="s">
        <v>548</v>
      </c>
      <c r="D5" s="39" t="s">
        <v>152</v>
      </c>
      <c r="E5" s="8">
        <v>350</v>
      </c>
      <c r="F5" s="8">
        <v>4800</v>
      </c>
      <c r="G5" s="8">
        <v>0</v>
      </c>
      <c r="H5" s="8">
        <f>IFERROR(VLOOKUP(C5,[1]Sheet1!$B:$Q,15,FALSE),0)</f>
        <v>4800</v>
      </c>
      <c r="I5" s="8">
        <v>196</v>
      </c>
      <c r="J5" s="8" t="s">
        <v>549</v>
      </c>
      <c r="K5" s="8">
        <f>E5+G5+I5</f>
        <v>546</v>
      </c>
      <c r="L5" s="8">
        <v>2550500</v>
      </c>
      <c r="M5" s="23">
        <f>E5*F5+G5*H5+171*2650+25*3900</f>
        <v>2230650</v>
      </c>
      <c r="N5" s="23">
        <f>L5-M5</f>
        <v>319850</v>
      </c>
      <c r="O5" s="4" t="s">
        <v>550</v>
      </c>
    </row>
    <row r="6" spans="1:15">
      <c r="A6" s="43" t="s">
        <v>7</v>
      </c>
      <c r="B6" s="7" t="s">
        <v>364</v>
      </c>
      <c r="C6" s="21" t="s">
        <v>551</v>
      </c>
      <c r="D6" s="39" t="s">
        <v>152</v>
      </c>
      <c r="E6" s="8">
        <v>200</v>
      </c>
      <c r="F6" s="8">
        <v>4850</v>
      </c>
      <c r="G6" s="8">
        <v>0</v>
      </c>
      <c r="H6" s="8">
        <f>IFERROR(VLOOKUP(C6,[1]Sheet1!$B:$Q,15,FALSE),0)</f>
        <v>4850</v>
      </c>
      <c r="I6" s="8"/>
      <c r="J6" s="8">
        <v>0</v>
      </c>
      <c r="K6" s="8">
        <f t="shared" ref="K6:K37" si="0">E6+G6+I6</f>
        <v>200</v>
      </c>
      <c r="L6" s="8">
        <v>1100000</v>
      </c>
      <c r="M6" s="23">
        <f>E6*F6+G6*H6+I6*J6</f>
        <v>970000</v>
      </c>
      <c r="N6" s="23">
        <f>L6-M6</f>
        <v>130000</v>
      </c>
      <c r="O6" s="7"/>
    </row>
    <row r="7" spans="1:15">
      <c r="A7" s="43" t="s">
        <v>7</v>
      </c>
      <c r="B7" s="7" t="s">
        <v>355</v>
      </c>
      <c r="C7" s="21" t="s">
        <v>552</v>
      </c>
      <c r="D7" s="39" t="s">
        <v>152</v>
      </c>
      <c r="E7" s="8">
        <v>100</v>
      </c>
      <c r="F7" s="8">
        <v>4900</v>
      </c>
      <c r="G7" s="8">
        <v>0</v>
      </c>
      <c r="H7" s="8">
        <f>IFERROR(VLOOKUP(C7,[1]Sheet1!$B:$Q,15,FALSE),0)</f>
        <v>4900</v>
      </c>
      <c r="I7" s="8"/>
      <c r="J7" s="8">
        <v>0</v>
      </c>
      <c r="K7" s="8">
        <f t="shared" si="0"/>
        <v>100</v>
      </c>
      <c r="L7" s="8">
        <v>550000</v>
      </c>
      <c r="M7" s="23">
        <f t="shared" ref="M7:M38" si="1">E7*F7+G7*H7+I7*J7</f>
        <v>490000</v>
      </c>
      <c r="N7" s="23">
        <f t="shared" ref="N6:N37" si="2">L7-M7</f>
        <v>60000</v>
      </c>
      <c r="O7" s="7"/>
    </row>
    <row r="8" spans="1:15">
      <c r="A8" s="43" t="s">
        <v>7</v>
      </c>
      <c r="B8" s="7" t="s">
        <v>399</v>
      </c>
      <c r="C8" s="21" t="s">
        <v>553</v>
      </c>
      <c r="D8" s="39" t="s">
        <v>152</v>
      </c>
      <c r="E8" s="8">
        <v>0</v>
      </c>
      <c r="F8" s="8">
        <v>0</v>
      </c>
      <c r="G8" s="8">
        <v>8</v>
      </c>
      <c r="H8" s="8">
        <f>IFERROR(VLOOKUP(C8,[1]Sheet1!$B:$Q,15,FALSE),0)</f>
        <v>0</v>
      </c>
      <c r="I8" s="8"/>
      <c r="J8" s="8">
        <v>0</v>
      </c>
      <c r="K8" s="8">
        <f t="shared" si="0"/>
        <v>8</v>
      </c>
      <c r="L8" s="8">
        <v>45600</v>
      </c>
      <c r="M8" s="23">
        <f t="shared" si="1"/>
        <v>0</v>
      </c>
      <c r="N8" s="23">
        <f t="shared" si="2"/>
        <v>45600</v>
      </c>
      <c r="O8" s="7"/>
    </row>
    <row r="9" spans="1:15">
      <c r="A9" s="43" t="s">
        <v>7</v>
      </c>
      <c r="B9" s="7" t="s">
        <v>387</v>
      </c>
      <c r="C9" s="21" t="s">
        <v>554</v>
      </c>
      <c r="D9" s="39" t="s">
        <v>152</v>
      </c>
      <c r="E9" s="8">
        <v>46</v>
      </c>
      <c r="F9" s="8">
        <v>5000</v>
      </c>
      <c r="G9" s="8">
        <v>0</v>
      </c>
      <c r="H9" s="8">
        <f>IFERROR(VLOOKUP(C9,[1]Sheet1!$B:$Q,15,FALSE),0)</f>
        <v>5000</v>
      </c>
      <c r="I9" s="8"/>
      <c r="J9" s="8">
        <v>0</v>
      </c>
      <c r="K9" s="8">
        <f t="shared" si="0"/>
        <v>46</v>
      </c>
      <c r="L9" s="8">
        <v>253000</v>
      </c>
      <c r="M9" s="23">
        <f t="shared" si="1"/>
        <v>230000</v>
      </c>
      <c r="N9" s="23">
        <f t="shared" si="2"/>
        <v>23000</v>
      </c>
      <c r="O9" s="7"/>
    </row>
    <row r="10" spans="1:15">
      <c r="A10" s="43" t="s">
        <v>555</v>
      </c>
      <c r="B10" s="7" t="s">
        <v>362</v>
      </c>
      <c r="C10" s="21" t="s">
        <v>556</v>
      </c>
      <c r="D10" s="39" t="s">
        <v>152</v>
      </c>
      <c r="E10" s="8">
        <v>46</v>
      </c>
      <c r="F10" s="8">
        <v>5200</v>
      </c>
      <c r="G10" s="8">
        <v>0</v>
      </c>
      <c r="H10" s="8">
        <f>IFERROR(VLOOKUP(C10,[1]Sheet1!$B:$Q,15,FALSE),0)</f>
        <v>5200</v>
      </c>
      <c r="I10" s="8"/>
      <c r="J10" s="8">
        <v>0</v>
      </c>
      <c r="K10" s="8">
        <f t="shared" si="0"/>
        <v>46</v>
      </c>
      <c r="L10" s="8">
        <v>253000</v>
      </c>
      <c r="M10" s="23">
        <f t="shared" si="1"/>
        <v>239200</v>
      </c>
      <c r="N10" s="23">
        <f t="shared" si="2"/>
        <v>13800</v>
      </c>
      <c r="O10" s="7"/>
    </row>
    <row r="11" spans="1:15">
      <c r="A11" s="43" t="s">
        <v>10</v>
      </c>
      <c r="B11" s="7" t="s">
        <v>325</v>
      </c>
      <c r="C11" s="21" t="s">
        <v>557</v>
      </c>
      <c r="D11" s="39" t="s">
        <v>152</v>
      </c>
      <c r="E11" s="8">
        <v>35</v>
      </c>
      <c r="F11" s="8">
        <v>5200</v>
      </c>
      <c r="G11" s="8">
        <v>0</v>
      </c>
      <c r="H11" s="8">
        <f>IFERROR(VLOOKUP(C11,[1]Sheet1!$B:$Q,15,FALSE),0)</f>
        <v>5200</v>
      </c>
      <c r="I11" s="8"/>
      <c r="J11" s="8">
        <v>0</v>
      </c>
      <c r="K11" s="8">
        <f t="shared" si="0"/>
        <v>35</v>
      </c>
      <c r="L11" s="8">
        <v>192500</v>
      </c>
      <c r="M11" s="23">
        <f t="shared" si="1"/>
        <v>182000</v>
      </c>
      <c r="N11" s="23">
        <f t="shared" si="2"/>
        <v>10500</v>
      </c>
      <c r="O11" s="7"/>
    </row>
    <row r="12" spans="1:15">
      <c r="A12" s="43" t="s">
        <v>10</v>
      </c>
      <c r="B12" s="7" t="s">
        <v>413</v>
      </c>
      <c r="C12" s="21" t="s">
        <v>558</v>
      </c>
      <c r="D12" s="39" t="s">
        <v>152</v>
      </c>
      <c r="E12" s="8">
        <v>15</v>
      </c>
      <c r="F12" s="8">
        <v>5200</v>
      </c>
      <c r="G12" s="8">
        <v>0</v>
      </c>
      <c r="H12" s="8">
        <f>IFERROR(VLOOKUP(C12,[1]Sheet1!$B:$Q,15,FALSE),0)</f>
        <v>5200</v>
      </c>
      <c r="I12" s="8"/>
      <c r="J12" s="8">
        <v>0</v>
      </c>
      <c r="K12" s="8">
        <f t="shared" si="0"/>
        <v>15</v>
      </c>
      <c r="L12" s="8">
        <v>82500</v>
      </c>
      <c r="M12" s="23">
        <f t="shared" si="1"/>
        <v>78000</v>
      </c>
      <c r="N12" s="23">
        <f t="shared" si="2"/>
        <v>4500</v>
      </c>
      <c r="O12" s="7"/>
    </row>
    <row r="13" spans="1:15">
      <c r="A13" s="43" t="s">
        <v>10</v>
      </c>
      <c r="B13" s="7" t="s">
        <v>414</v>
      </c>
      <c r="C13" s="21" t="s">
        <v>559</v>
      </c>
      <c r="D13" s="39" t="s">
        <v>152</v>
      </c>
      <c r="E13" s="8">
        <v>20</v>
      </c>
      <c r="F13" s="8">
        <v>5200</v>
      </c>
      <c r="G13" s="8">
        <v>0</v>
      </c>
      <c r="H13" s="8">
        <f>IFERROR(VLOOKUP(C13,[1]Sheet1!$B:$Q,15,FALSE),0)</f>
        <v>5200</v>
      </c>
      <c r="I13" s="8"/>
      <c r="J13" s="8">
        <v>0</v>
      </c>
      <c r="K13" s="8">
        <f t="shared" si="0"/>
        <v>20</v>
      </c>
      <c r="L13" s="8">
        <v>110000</v>
      </c>
      <c r="M13" s="23">
        <f t="shared" si="1"/>
        <v>104000</v>
      </c>
      <c r="N13" s="23">
        <f t="shared" si="2"/>
        <v>6000</v>
      </c>
      <c r="O13" s="7"/>
    </row>
    <row r="14" spans="1:15">
      <c r="A14" s="43" t="s">
        <v>10</v>
      </c>
      <c r="B14" s="7" t="s">
        <v>326</v>
      </c>
      <c r="C14" s="21" t="s">
        <v>560</v>
      </c>
      <c r="D14" s="39" t="s">
        <v>152</v>
      </c>
      <c r="E14" s="8">
        <v>31</v>
      </c>
      <c r="F14" s="8">
        <v>5100</v>
      </c>
      <c r="G14" s="8">
        <v>0</v>
      </c>
      <c r="H14" s="8">
        <f>IFERROR(VLOOKUP(C14,[1]Sheet1!$B:$Q,15,FALSE),0)</f>
        <v>5100</v>
      </c>
      <c r="I14" s="8"/>
      <c r="J14" s="8">
        <v>0</v>
      </c>
      <c r="K14" s="8">
        <f t="shared" si="0"/>
        <v>31</v>
      </c>
      <c r="L14" s="8">
        <v>170500</v>
      </c>
      <c r="M14" s="23">
        <f t="shared" si="1"/>
        <v>158100</v>
      </c>
      <c r="N14" s="23">
        <f t="shared" si="2"/>
        <v>12400</v>
      </c>
      <c r="O14" s="7"/>
    </row>
    <row r="15" spans="1:15">
      <c r="A15" s="43" t="s">
        <v>10</v>
      </c>
      <c r="B15" s="7" t="s">
        <v>329</v>
      </c>
      <c r="C15" s="21" t="s">
        <v>561</v>
      </c>
      <c r="D15" s="39" t="s">
        <v>152</v>
      </c>
      <c r="E15" s="8">
        <v>131</v>
      </c>
      <c r="F15" s="8">
        <v>5100</v>
      </c>
      <c r="G15" s="8">
        <v>0</v>
      </c>
      <c r="H15" s="8">
        <f>IFERROR(VLOOKUP(C15,[1]Sheet1!$B:$Q,15,FALSE),0)</f>
        <v>5100</v>
      </c>
      <c r="I15" s="8"/>
      <c r="J15" s="8">
        <v>0</v>
      </c>
      <c r="K15" s="8">
        <f t="shared" si="0"/>
        <v>131</v>
      </c>
      <c r="L15" s="8">
        <v>720500</v>
      </c>
      <c r="M15" s="23">
        <f t="shared" si="1"/>
        <v>668100</v>
      </c>
      <c r="N15" s="23">
        <f t="shared" si="2"/>
        <v>52400</v>
      </c>
      <c r="O15" s="7"/>
    </row>
    <row r="16" spans="1:15">
      <c r="A16" s="43" t="s">
        <v>10</v>
      </c>
      <c r="B16" s="7" t="s">
        <v>372</v>
      </c>
      <c r="C16" s="21" t="s">
        <v>562</v>
      </c>
      <c r="D16" s="39" t="s">
        <v>152</v>
      </c>
      <c r="E16" s="8">
        <v>26</v>
      </c>
      <c r="F16" s="8">
        <v>5200</v>
      </c>
      <c r="G16" s="8">
        <v>0</v>
      </c>
      <c r="H16" s="8">
        <f>IFERROR(VLOOKUP(C16,[1]Sheet1!$B:$Q,15,FALSE),0)</f>
        <v>5200</v>
      </c>
      <c r="I16" s="8"/>
      <c r="J16" s="8">
        <v>0</v>
      </c>
      <c r="K16" s="8">
        <f t="shared" si="0"/>
        <v>26</v>
      </c>
      <c r="L16" s="8">
        <v>143000</v>
      </c>
      <c r="M16" s="23">
        <f t="shared" si="1"/>
        <v>135200</v>
      </c>
      <c r="N16" s="23">
        <f t="shared" si="2"/>
        <v>7800</v>
      </c>
      <c r="O16" s="7"/>
    </row>
    <row r="17" spans="1:15">
      <c r="A17" s="43" t="s">
        <v>10</v>
      </c>
      <c r="B17" s="7" t="s">
        <v>378</v>
      </c>
      <c r="C17" s="21" t="s">
        <v>563</v>
      </c>
      <c r="D17" s="39" t="s">
        <v>152</v>
      </c>
      <c r="E17" s="8">
        <v>16</v>
      </c>
      <c r="F17" s="8">
        <v>5200</v>
      </c>
      <c r="G17" s="8">
        <v>0</v>
      </c>
      <c r="H17" s="8">
        <f>IFERROR(VLOOKUP(C17,[1]Sheet1!$B:$Q,15,FALSE),0)</f>
        <v>5200</v>
      </c>
      <c r="I17" s="8"/>
      <c r="J17" s="8">
        <v>0</v>
      </c>
      <c r="K17" s="8">
        <f t="shared" si="0"/>
        <v>16</v>
      </c>
      <c r="L17" s="8">
        <v>88000</v>
      </c>
      <c r="M17" s="23">
        <f t="shared" si="1"/>
        <v>83200</v>
      </c>
      <c r="N17" s="23">
        <f t="shared" si="2"/>
        <v>4800</v>
      </c>
      <c r="O17" s="7"/>
    </row>
    <row r="18" spans="1:15">
      <c r="A18" s="43" t="s">
        <v>171</v>
      </c>
      <c r="B18" s="7" t="s">
        <v>363</v>
      </c>
      <c r="C18" s="21" t="s">
        <v>564</v>
      </c>
      <c r="D18" s="39" t="s">
        <v>152</v>
      </c>
      <c r="E18" s="8">
        <v>16</v>
      </c>
      <c r="F18" s="8">
        <v>5200</v>
      </c>
      <c r="G18" s="8">
        <v>5</v>
      </c>
      <c r="H18" s="8">
        <f>IFERROR(VLOOKUP(C18,[1]Sheet1!$B:$Q,15,FALSE),0)</f>
        <v>5200</v>
      </c>
      <c r="I18" s="8"/>
      <c r="J18" s="8">
        <v>0</v>
      </c>
      <c r="K18" s="8">
        <f t="shared" si="0"/>
        <v>21</v>
      </c>
      <c r="L18" s="8">
        <v>116500</v>
      </c>
      <c r="M18" s="23">
        <f t="shared" si="1"/>
        <v>109200</v>
      </c>
      <c r="N18" s="23">
        <f t="shared" si="2"/>
        <v>7300</v>
      </c>
      <c r="O18" s="7"/>
    </row>
    <row r="19" spans="1:15">
      <c r="A19" s="43" t="s">
        <v>171</v>
      </c>
      <c r="B19" s="7" t="s">
        <v>351</v>
      </c>
      <c r="C19" s="21" t="s">
        <v>565</v>
      </c>
      <c r="D19" s="39" t="s">
        <v>152</v>
      </c>
      <c r="E19" s="8">
        <v>48</v>
      </c>
      <c r="F19" s="8">
        <v>5100</v>
      </c>
      <c r="G19" s="8">
        <v>0</v>
      </c>
      <c r="H19" s="8">
        <f>IFERROR(VLOOKUP(C19,[1]Sheet1!$B:$Q,15,FALSE),0)</f>
        <v>5100</v>
      </c>
      <c r="I19" s="8"/>
      <c r="J19" s="8">
        <v>0</v>
      </c>
      <c r="K19" s="8">
        <f t="shared" si="0"/>
        <v>48</v>
      </c>
      <c r="L19" s="8">
        <v>264000</v>
      </c>
      <c r="M19" s="23">
        <f t="shared" si="1"/>
        <v>244800</v>
      </c>
      <c r="N19" s="23">
        <f t="shared" si="2"/>
        <v>19200</v>
      </c>
      <c r="O19" s="7"/>
    </row>
    <row r="20" spans="1:15">
      <c r="A20" s="43" t="s">
        <v>171</v>
      </c>
      <c r="B20" s="7" t="s">
        <v>324</v>
      </c>
      <c r="C20" s="21" t="s">
        <v>566</v>
      </c>
      <c r="D20" s="39" t="s">
        <v>152</v>
      </c>
      <c r="E20" s="8">
        <v>10</v>
      </c>
      <c r="F20" s="8">
        <v>5200</v>
      </c>
      <c r="G20" s="8">
        <v>0</v>
      </c>
      <c r="H20" s="8">
        <f>IFERROR(VLOOKUP(C20,[1]Sheet1!$B:$Q,15,FALSE),0)</f>
        <v>5200</v>
      </c>
      <c r="I20" s="8"/>
      <c r="J20" s="8">
        <v>0</v>
      </c>
      <c r="K20" s="8">
        <f t="shared" si="0"/>
        <v>10</v>
      </c>
      <c r="L20" s="8">
        <v>55000</v>
      </c>
      <c r="M20" s="23">
        <f t="shared" si="1"/>
        <v>52000</v>
      </c>
      <c r="N20" s="23">
        <f t="shared" si="2"/>
        <v>3000</v>
      </c>
      <c r="O20" s="7"/>
    </row>
    <row r="21" spans="1:15">
      <c r="A21" s="43" t="s">
        <v>171</v>
      </c>
      <c r="B21" s="7" t="s">
        <v>320</v>
      </c>
      <c r="C21" s="21" t="s">
        <v>567</v>
      </c>
      <c r="D21" s="39" t="s">
        <v>152</v>
      </c>
      <c r="E21" s="8">
        <v>80</v>
      </c>
      <c r="F21" s="8">
        <v>5100</v>
      </c>
      <c r="G21" s="8">
        <v>0</v>
      </c>
      <c r="H21" s="8">
        <f>IFERROR(VLOOKUP(C21,[1]Sheet1!$B:$Q,15,FALSE),0)</f>
        <v>5100</v>
      </c>
      <c r="I21" s="8"/>
      <c r="J21" s="8">
        <v>0</v>
      </c>
      <c r="K21" s="8">
        <f t="shared" si="0"/>
        <v>80</v>
      </c>
      <c r="L21" s="8">
        <v>440000</v>
      </c>
      <c r="M21" s="23">
        <f t="shared" si="1"/>
        <v>408000</v>
      </c>
      <c r="N21" s="23">
        <f t="shared" si="2"/>
        <v>32000</v>
      </c>
      <c r="O21" s="7"/>
    </row>
    <row r="22" spans="1:15">
      <c r="A22" s="43" t="s">
        <v>171</v>
      </c>
      <c r="B22" s="7" t="s">
        <v>319</v>
      </c>
      <c r="C22" s="21" t="s">
        <v>568</v>
      </c>
      <c r="D22" s="39" t="s">
        <v>152</v>
      </c>
      <c r="E22" s="8">
        <v>129</v>
      </c>
      <c r="F22" s="8">
        <v>5100</v>
      </c>
      <c r="G22" s="8">
        <v>0</v>
      </c>
      <c r="H22" s="8">
        <f>IFERROR(VLOOKUP(C22,[1]Sheet1!$B:$Q,15,FALSE),0)</f>
        <v>5100</v>
      </c>
      <c r="I22" s="8"/>
      <c r="J22" s="8">
        <v>0</v>
      </c>
      <c r="K22" s="8">
        <f t="shared" si="0"/>
        <v>129</v>
      </c>
      <c r="L22" s="8">
        <v>709500</v>
      </c>
      <c r="M22" s="23">
        <f t="shared" si="1"/>
        <v>657900</v>
      </c>
      <c r="N22" s="23">
        <f t="shared" si="2"/>
        <v>51600</v>
      </c>
      <c r="O22" s="7"/>
    </row>
    <row r="23" spans="1:15">
      <c r="A23" s="43" t="s">
        <v>171</v>
      </c>
      <c r="B23" s="7" t="s">
        <v>323</v>
      </c>
      <c r="C23" s="21" t="s">
        <v>569</v>
      </c>
      <c r="D23" s="39" t="s">
        <v>152</v>
      </c>
      <c r="E23" s="8">
        <v>25</v>
      </c>
      <c r="F23" s="8">
        <v>5200</v>
      </c>
      <c r="G23" s="8">
        <v>0</v>
      </c>
      <c r="H23" s="8">
        <f>IFERROR(VLOOKUP(C23,[1]Sheet1!$B:$Q,15,FALSE),0)</f>
        <v>5200</v>
      </c>
      <c r="I23" s="8"/>
      <c r="J23" s="8">
        <v>0</v>
      </c>
      <c r="K23" s="8">
        <f t="shared" si="0"/>
        <v>25</v>
      </c>
      <c r="L23" s="8">
        <v>137500</v>
      </c>
      <c r="M23" s="23">
        <f t="shared" si="1"/>
        <v>130000</v>
      </c>
      <c r="N23" s="23">
        <f t="shared" si="2"/>
        <v>7500</v>
      </c>
      <c r="O23" s="7"/>
    </row>
    <row r="24" spans="1:15">
      <c r="A24" s="43" t="s">
        <v>15</v>
      </c>
      <c r="B24" s="7" t="s">
        <v>359</v>
      </c>
      <c r="C24" s="21" t="s">
        <v>570</v>
      </c>
      <c r="D24" s="39" t="s">
        <v>152</v>
      </c>
      <c r="E24" s="8">
        <v>120</v>
      </c>
      <c r="F24" s="8">
        <v>5000</v>
      </c>
      <c r="G24" s="8">
        <v>0</v>
      </c>
      <c r="H24" s="8">
        <f>IFERROR(VLOOKUP(C24,[1]Sheet1!$B:$Q,15,FALSE),0)</f>
        <v>5000</v>
      </c>
      <c r="I24" s="8">
        <v>250</v>
      </c>
      <c r="J24" s="8">
        <v>4000</v>
      </c>
      <c r="K24" s="8">
        <f t="shared" si="0"/>
        <v>370</v>
      </c>
      <c r="L24" s="8">
        <v>1785000</v>
      </c>
      <c r="M24" s="23">
        <f t="shared" si="1"/>
        <v>1600000</v>
      </c>
      <c r="N24" s="23">
        <f t="shared" si="2"/>
        <v>185000</v>
      </c>
      <c r="O24" s="7"/>
    </row>
    <row r="25" spans="1:15">
      <c r="A25" s="43" t="s">
        <v>15</v>
      </c>
      <c r="B25" s="7" t="s">
        <v>337</v>
      </c>
      <c r="C25" s="21" t="s">
        <v>571</v>
      </c>
      <c r="D25" s="39" t="s">
        <v>152</v>
      </c>
      <c r="E25" s="8">
        <v>89</v>
      </c>
      <c r="F25" s="8">
        <v>4900</v>
      </c>
      <c r="G25" s="8">
        <v>0</v>
      </c>
      <c r="H25" s="8">
        <f>IFERROR(VLOOKUP(C25,[1]Sheet1!$B:$Q,15,FALSE),0)</f>
        <v>4900</v>
      </c>
      <c r="I25" s="8">
        <v>527</v>
      </c>
      <c r="J25" s="8">
        <v>3900</v>
      </c>
      <c r="K25" s="8">
        <f t="shared" si="0"/>
        <v>616</v>
      </c>
      <c r="L25" s="8">
        <v>2861000</v>
      </c>
      <c r="M25" s="23">
        <f t="shared" si="1"/>
        <v>2491400</v>
      </c>
      <c r="N25" s="23">
        <f t="shared" si="2"/>
        <v>369600</v>
      </c>
      <c r="O25" s="7"/>
    </row>
    <row r="26" spans="1:15">
      <c r="A26" s="43" t="s">
        <v>15</v>
      </c>
      <c r="B26" s="7" t="s">
        <v>338</v>
      </c>
      <c r="C26" s="21" t="s">
        <v>572</v>
      </c>
      <c r="D26" s="39" t="s">
        <v>152</v>
      </c>
      <c r="E26" s="8">
        <v>228</v>
      </c>
      <c r="F26" s="8">
        <v>5000</v>
      </c>
      <c r="G26" s="8">
        <v>10</v>
      </c>
      <c r="H26" s="44">
        <f>IFERROR(VLOOKUP(C26,[1]Sheet1!$B:$Q,15,FALSE),0)</f>
        <v>5000</v>
      </c>
      <c r="I26" s="8">
        <v>1260</v>
      </c>
      <c r="J26" s="8">
        <v>4000</v>
      </c>
      <c r="K26" s="8">
        <f t="shared" si="0"/>
        <v>1498</v>
      </c>
      <c r="L26" s="8">
        <v>6981000</v>
      </c>
      <c r="M26" s="23">
        <f t="shared" si="1"/>
        <v>6230000</v>
      </c>
      <c r="N26" s="23">
        <f t="shared" si="2"/>
        <v>751000</v>
      </c>
      <c r="O26" s="7"/>
    </row>
    <row r="27" spans="1:15">
      <c r="A27" s="43" t="s">
        <v>20</v>
      </c>
      <c r="B27" s="7" t="s">
        <v>396</v>
      </c>
      <c r="C27" s="21" t="s">
        <v>573</v>
      </c>
      <c r="D27" s="39" t="s">
        <v>152</v>
      </c>
      <c r="E27" s="8">
        <v>110</v>
      </c>
      <c r="F27" s="8">
        <v>5300</v>
      </c>
      <c r="G27" s="8">
        <v>0</v>
      </c>
      <c r="H27" s="8">
        <f>IFERROR(VLOOKUP(C27,[1]Sheet1!$B:$Q,15,FALSE),0)</f>
        <v>5300</v>
      </c>
      <c r="I27" s="8"/>
      <c r="J27" s="8">
        <v>0</v>
      </c>
      <c r="K27" s="8">
        <f t="shared" si="0"/>
        <v>110</v>
      </c>
      <c r="L27" s="8">
        <v>605000</v>
      </c>
      <c r="M27" s="23">
        <f t="shared" si="1"/>
        <v>583000</v>
      </c>
      <c r="N27" s="23">
        <f t="shared" si="2"/>
        <v>22000</v>
      </c>
      <c r="O27" s="7"/>
    </row>
    <row r="28" spans="1:15">
      <c r="A28" s="43" t="s">
        <v>28</v>
      </c>
      <c r="B28" s="7" t="s">
        <v>383</v>
      </c>
      <c r="C28" s="21" t="s">
        <v>574</v>
      </c>
      <c r="D28" s="39" t="s">
        <v>152</v>
      </c>
      <c r="E28" s="8">
        <v>40</v>
      </c>
      <c r="F28" s="8">
        <v>5000</v>
      </c>
      <c r="G28" s="8">
        <v>0</v>
      </c>
      <c r="H28" s="8">
        <f>IFERROR(VLOOKUP(C28,[1]Sheet1!$B:$Q,15,FALSE),0)</f>
        <v>5000</v>
      </c>
      <c r="I28" s="8">
        <v>162</v>
      </c>
      <c r="J28" s="8">
        <v>4000</v>
      </c>
      <c r="K28" s="8">
        <f t="shared" si="0"/>
        <v>202</v>
      </c>
      <c r="L28" s="8">
        <v>949000</v>
      </c>
      <c r="M28" s="23">
        <f t="shared" si="1"/>
        <v>848000</v>
      </c>
      <c r="N28" s="23">
        <f t="shared" si="2"/>
        <v>101000</v>
      </c>
      <c r="O28" s="7"/>
    </row>
    <row r="29" spans="1:15">
      <c r="A29" s="43" t="s">
        <v>28</v>
      </c>
      <c r="B29" s="7" t="s">
        <v>341</v>
      </c>
      <c r="C29" s="21" t="s">
        <v>575</v>
      </c>
      <c r="D29" s="39" t="s">
        <v>152</v>
      </c>
      <c r="E29" s="8">
        <v>253</v>
      </c>
      <c r="F29" s="8">
        <v>4700</v>
      </c>
      <c r="G29" s="8">
        <v>0</v>
      </c>
      <c r="H29" s="8">
        <f>IFERROR(VLOOKUP(C29,[1]Sheet1!$B:$Q,15,FALSE),0)</f>
        <v>4700</v>
      </c>
      <c r="I29" s="8">
        <v>105</v>
      </c>
      <c r="J29" s="8">
        <v>3700</v>
      </c>
      <c r="K29" s="8">
        <f t="shared" si="0"/>
        <v>358</v>
      </c>
      <c r="L29" s="8">
        <v>1864000</v>
      </c>
      <c r="M29" s="23">
        <f t="shared" si="1"/>
        <v>1577600</v>
      </c>
      <c r="N29" s="23">
        <f t="shared" si="2"/>
        <v>286400</v>
      </c>
      <c r="O29" s="7"/>
    </row>
    <row r="30" spans="1:15">
      <c r="A30" s="43" t="s">
        <v>28</v>
      </c>
      <c r="B30" s="7" t="s">
        <v>377</v>
      </c>
      <c r="C30" s="21" t="s">
        <v>576</v>
      </c>
      <c r="D30" s="39" t="s">
        <v>152</v>
      </c>
      <c r="E30" s="8">
        <v>25</v>
      </c>
      <c r="F30" s="8">
        <v>4900</v>
      </c>
      <c r="G30" s="8">
        <v>0</v>
      </c>
      <c r="H30" s="8">
        <f>IFERROR(VLOOKUP(C30,[1]Sheet1!$B:$Q,15,FALSE),0)</f>
        <v>4900</v>
      </c>
      <c r="I30" s="8">
        <v>148</v>
      </c>
      <c r="J30" s="8">
        <v>3900</v>
      </c>
      <c r="K30" s="8">
        <f t="shared" si="0"/>
        <v>173</v>
      </c>
      <c r="L30" s="8">
        <v>803500</v>
      </c>
      <c r="M30" s="23">
        <f t="shared" si="1"/>
        <v>699700</v>
      </c>
      <c r="N30" s="23">
        <f t="shared" si="2"/>
        <v>103800</v>
      </c>
      <c r="O30" s="7"/>
    </row>
    <row r="31" spans="1:15">
      <c r="A31" s="43" t="s">
        <v>28</v>
      </c>
      <c r="B31" s="7" t="s">
        <v>410</v>
      </c>
      <c r="C31" s="21" t="s">
        <v>577</v>
      </c>
      <c r="D31" s="39" t="s">
        <v>152</v>
      </c>
      <c r="E31" s="8">
        <v>0</v>
      </c>
      <c r="F31" s="8">
        <v>0</v>
      </c>
      <c r="G31" s="8">
        <v>0</v>
      </c>
      <c r="H31" s="8">
        <f>IFERROR(VLOOKUP(C31,[1]Sheet1!$B:$Q,15,FALSE),0)</f>
        <v>0</v>
      </c>
      <c r="I31" s="8">
        <v>148</v>
      </c>
      <c r="J31" s="8">
        <v>3800</v>
      </c>
      <c r="K31" s="8">
        <f t="shared" si="0"/>
        <v>148</v>
      </c>
      <c r="L31" s="8">
        <v>666000</v>
      </c>
      <c r="M31" s="23">
        <f t="shared" si="1"/>
        <v>562400</v>
      </c>
      <c r="N31" s="23">
        <f t="shared" si="2"/>
        <v>103600</v>
      </c>
      <c r="O31" s="7"/>
    </row>
    <row r="32" spans="1:15">
      <c r="A32" s="43" t="s">
        <v>28</v>
      </c>
      <c r="B32" s="7" t="s">
        <v>366</v>
      </c>
      <c r="C32" s="21" t="s">
        <v>578</v>
      </c>
      <c r="D32" s="39" t="s">
        <v>152</v>
      </c>
      <c r="E32" s="8">
        <v>0</v>
      </c>
      <c r="F32" s="8">
        <v>0</v>
      </c>
      <c r="G32" s="8">
        <v>0</v>
      </c>
      <c r="H32" s="8">
        <f>IFERROR(VLOOKUP(C32,[1]Sheet1!$B:$Q,15,FALSE),0)</f>
        <v>0</v>
      </c>
      <c r="I32" s="8">
        <v>900</v>
      </c>
      <c r="J32" s="8">
        <v>3900</v>
      </c>
      <c r="K32" s="8">
        <f t="shared" si="0"/>
        <v>900</v>
      </c>
      <c r="L32" s="8">
        <v>4050000</v>
      </c>
      <c r="M32" s="23">
        <f t="shared" si="1"/>
        <v>3510000</v>
      </c>
      <c r="N32" s="23">
        <f t="shared" si="2"/>
        <v>540000</v>
      </c>
      <c r="O32" s="7"/>
    </row>
    <row r="33" spans="1:15">
      <c r="A33" s="43" t="s">
        <v>28</v>
      </c>
      <c r="B33" s="7" t="s">
        <v>356</v>
      </c>
      <c r="C33" s="21" t="s">
        <v>579</v>
      </c>
      <c r="D33" s="39" t="s">
        <v>152</v>
      </c>
      <c r="E33" s="8">
        <v>0</v>
      </c>
      <c r="F33" s="8">
        <v>0</v>
      </c>
      <c r="G33" s="8">
        <v>0</v>
      </c>
      <c r="H33" s="8">
        <f>IFERROR(VLOOKUP(C33,[1]Sheet1!$B:$Q,15,FALSE),0)</f>
        <v>0</v>
      </c>
      <c r="I33" s="8">
        <v>370</v>
      </c>
      <c r="J33" s="8">
        <v>3800</v>
      </c>
      <c r="K33" s="8">
        <f t="shared" si="0"/>
        <v>370</v>
      </c>
      <c r="L33" s="8">
        <v>1665000</v>
      </c>
      <c r="M33" s="23">
        <f t="shared" si="1"/>
        <v>1406000</v>
      </c>
      <c r="N33" s="23">
        <f t="shared" si="2"/>
        <v>259000</v>
      </c>
      <c r="O33" s="7"/>
    </row>
    <row r="34" spans="1:15">
      <c r="A34" s="43" t="s">
        <v>38</v>
      </c>
      <c r="B34" s="7" t="s">
        <v>386</v>
      </c>
      <c r="C34" s="21" t="s">
        <v>580</v>
      </c>
      <c r="D34" s="39" t="s">
        <v>152</v>
      </c>
      <c r="E34" s="8">
        <v>50</v>
      </c>
      <c r="F34" s="8">
        <v>5300</v>
      </c>
      <c r="G34" s="8">
        <v>0</v>
      </c>
      <c r="H34" s="8">
        <f>IFERROR(VLOOKUP(C34,[1]Sheet1!$B:$Q,15,FALSE),0)</f>
        <v>5300</v>
      </c>
      <c r="I34" s="8"/>
      <c r="J34" s="8">
        <v>0</v>
      </c>
      <c r="K34" s="8">
        <f t="shared" si="0"/>
        <v>50</v>
      </c>
      <c r="L34" s="8">
        <v>275000</v>
      </c>
      <c r="M34" s="23">
        <f t="shared" si="1"/>
        <v>265000</v>
      </c>
      <c r="N34" s="23">
        <f t="shared" si="2"/>
        <v>10000</v>
      </c>
      <c r="O34" s="7"/>
    </row>
    <row r="35" spans="1:15">
      <c r="A35" s="43" t="s">
        <v>38</v>
      </c>
      <c r="B35" s="7" t="s">
        <v>333</v>
      </c>
      <c r="C35" s="21" t="s">
        <v>581</v>
      </c>
      <c r="D35" s="39" t="s">
        <v>152</v>
      </c>
      <c r="E35" s="8">
        <v>60</v>
      </c>
      <c r="F35" s="8">
        <v>4700</v>
      </c>
      <c r="G35" s="8">
        <v>0</v>
      </c>
      <c r="H35" s="8">
        <f>IFERROR(VLOOKUP(C35,[1]Sheet1!$B:$Q,15,FALSE),0)</f>
        <v>4700</v>
      </c>
      <c r="I35" s="8"/>
      <c r="J35" s="8">
        <v>0</v>
      </c>
      <c r="K35" s="8">
        <f t="shared" si="0"/>
        <v>60</v>
      </c>
      <c r="L35" s="8">
        <v>330000</v>
      </c>
      <c r="M35" s="23">
        <f t="shared" si="1"/>
        <v>282000</v>
      </c>
      <c r="N35" s="23">
        <f t="shared" si="2"/>
        <v>48000</v>
      </c>
      <c r="O35" s="7"/>
    </row>
    <row r="36" spans="1:15">
      <c r="A36" s="43" t="s">
        <v>43</v>
      </c>
      <c r="B36" s="7" t="s">
        <v>317</v>
      </c>
      <c r="C36" s="21" t="s">
        <v>582</v>
      </c>
      <c r="D36" s="39" t="s">
        <v>152</v>
      </c>
      <c r="E36" s="8">
        <v>262</v>
      </c>
      <c r="F36" s="8">
        <v>5000</v>
      </c>
      <c r="G36" s="8">
        <v>11</v>
      </c>
      <c r="H36" s="8">
        <f>IFERROR(VLOOKUP(C36,[1]Sheet1!$B:$Q,15,FALSE),0)</f>
        <v>5000</v>
      </c>
      <c r="I36" s="8">
        <v>52</v>
      </c>
      <c r="J36" s="8">
        <v>4000</v>
      </c>
      <c r="K36" s="8">
        <f t="shared" si="0"/>
        <v>325</v>
      </c>
      <c r="L36" s="8">
        <v>1737700</v>
      </c>
      <c r="M36" s="23">
        <f t="shared" si="1"/>
        <v>1573000</v>
      </c>
      <c r="N36" s="23">
        <f t="shared" si="2"/>
        <v>164700</v>
      </c>
      <c r="O36" s="7"/>
    </row>
    <row r="37" spans="1:15">
      <c r="A37" s="43" t="s">
        <v>43</v>
      </c>
      <c r="B37" s="7" t="s">
        <v>375</v>
      </c>
      <c r="C37" s="21" t="s">
        <v>583</v>
      </c>
      <c r="D37" s="39" t="s">
        <v>152</v>
      </c>
      <c r="E37" s="8">
        <v>3</v>
      </c>
      <c r="F37" s="8">
        <v>5000</v>
      </c>
      <c r="G37" s="8">
        <v>0</v>
      </c>
      <c r="H37" s="8">
        <f>IFERROR(VLOOKUP(C37,[1]Sheet1!$B:$Q,15,FALSE),0)</f>
        <v>5000</v>
      </c>
      <c r="I37" s="8">
        <v>28</v>
      </c>
      <c r="J37" s="8">
        <v>4000</v>
      </c>
      <c r="K37" s="8">
        <f t="shared" si="0"/>
        <v>31</v>
      </c>
      <c r="L37" s="8">
        <v>142500</v>
      </c>
      <c r="M37" s="23">
        <f t="shared" si="1"/>
        <v>127000</v>
      </c>
      <c r="N37" s="23">
        <f t="shared" si="2"/>
        <v>15500</v>
      </c>
      <c r="O37" s="7"/>
    </row>
    <row r="38" spans="1:15">
      <c r="A38" s="43" t="s">
        <v>43</v>
      </c>
      <c r="B38" s="7" t="s">
        <v>345</v>
      </c>
      <c r="C38" s="21" t="s">
        <v>584</v>
      </c>
      <c r="D38" s="39" t="s">
        <v>152</v>
      </c>
      <c r="E38" s="8">
        <v>24</v>
      </c>
      <c r="F38" s="8">
        <v>5000</v>
      </c>
      <c r="G38" s="8">
        <v>0</v>
      </c>
      <c r="H38" s="8">
        <f>IFERROR(VLOOKUP(C38,[1]Sheet1!$B:$Q,15,FALSE),0)</f>
        <v>5000</v>
      </c>
      <c r="I38" s="8"/>
      <c r="J38" s="8">
        <v>0</v>
      </c>
      <c r="K38" s="8">
        <f t="shared" ref="K38:K78" si="3">E38+G38+I38</f>
        <v>24</v>
      </c>
      <c r="L38" s="8">
        <v>132000</v>
      </c>
      <c r="M38" s="23">
        <f t="shared" si="1"/>
        <v>120000</v>
      </c>
      <c r="N38" s="23">
        <f t="shared" ref="N38:N78" si="4">L38-M38</f>
        <v>12000</v>
      </c>
      <c r="O38" s="7"/>
    </row>
    <row r="39" spans="1:15">
      <c r="A39" s="43" t="s">
        <v>43</v>
      </c>
      <c r="B39" s="7" t="s">
        <v>412</v>
      </c>
      <c r="C39" s="21" t="s">
        <v>585</v>
      </c>
      <c r="D39" s="39" t="s">
        <v>152</v>
      </c>
      <c r="E39" s="8">
        <v>100</v>
      </c>
      <c r="F39" s="8">
        <v>5000</v>
      </c>
      <c r="G39" s="8">
        <v>0</v>
      </c>
      <c r="H39" s="8">
        <f>IFERROR(VLOOKUP(C39,[1]Sheet1!$B:$Q,15,FALSE),0)</f>
        <v>5000</v>
      </c>
      <c r="I39" s="8"/>
      <c r="J39" s="8">
        <v>0</v>
      </c>
      <c r="K39" s="8">
        <f t="shared" si="3"/>
        <v>100</v>
      </c>
      <c r="L39" s="8">
        <v>550000</v>
      </c>
      <c r="M39" s="23">
        <f t="shared" ref="M39:M78" si="5">E39*F39+G39*H39+I39*J39</f>
        <v>500000</v>
      </c>
      <c r="N39" s="23">
        <f t="shared" si="4"/>
        <v>50000</v>
      </c>
      <c r="O39" s="7"/>
    </row>
    <row r="40" spans="1:15">
      <c r="A40" s="43" t="s">
        <v>43</v>
      </c>
      <c r="B40" s="7" t="s">
        <v>373</v>
      </c>
      <c r="C40" s="21" t="s">
        <v>586</v>
      </c>
      <c r="D40" s="39" t="s">
        <v>152</v>
      </c>
      <c r="E40" s="8">
        <v>100</v>
      </c>
      <c r="F40" s="8">
        <v>5000</v>
      </c>
      <c r="G40" s="8">
        <v>0</v>
      </c>
      <c r="H40" s="8">
        <f>IFERROR(VLOOKUP(C40,[1]Sheet1!$B:$Q,15,FALSE),0)</f>
        <v>5000</v>
      </c>
      <c r="I40" s="8"/>
      <c r="J40" s="8">
        <v>0</v>
      </c>
      <c r="K40" s="8">
        <f t="shared" si="3"/>
        <v>100</v>
      </c>
      <c r="L40" s="8">
        <v>550000</v>
      </c>
      <c r="M40" s="23">
        <f t="shared" si="5"/>
        <v>500000</v>
      </c>
      <c r="N40" s="23">
        <f t="shared" si="4"/>
        <v>50000</v>
      </c>
      <c r="O40" s="7"/>
    </row>
    <row r="41" spans="1:15">
      <c r="A41" s="43" t="s">
        <v>43</v>
      </c>
      <c r="B41" s="7" t="s">
        <v>367</v>
      </c>
      <c r="C41" s="21" t="s">
        <v>587</v>
      </c>
      <c r="D41" s="39" t="s">
        <v>152</v>
      </c>
      <c r="E41" s="8">
        <v>180</v>
      </c>
      <c r="F41" s="8">
        <v>5000</v>
      </c>
      <c r="G41" s="8">
        <v>0</v>
      </c>
      <c r="H41" s="8">
        <f>IFERROR(VLOOKUP(C41,[1]Sheet1!$B:$Q,15,FALSE),0)</f>
        <v>5000</v>
      </c>
      <c r="I41" s="8"/>
      <c r="J41" s="8">
        <v>0</v>
      </c>
      <c r="K41" s="8">
        <f t="shared" si="3"/>
        <v>180</v>
      </c>
      <c r="L41" s="8">
        <v>990000</v>
      </c>
      <c r="M41" s="23">
        <f t="shared" si="5"/>
        <v>900000</v>
      </c>
      <c r="N41" s="23">
        <f t="shared" si="4"/>
        <v>90000</v>
      </c>
      <c r="O41" s="7"/>
    </row>
    <row r="42" spans="1:15">
      <c r="A42" s="43" t="s">
        <v>43</v>
      </c>
      <c r="B42" s="7" t="s">
        <v>318</v>
      </c>
      <c r="C42" s="21" t="s">
        <v>588</v>
      </c>
      <c r="D42" s="39" t="s">
        <v>152</v>
      </c>
      <c r="E42" s="8">
        <v>0</v>
      </c>
      <c r="F42" s="8">
        <v>0</v>
      </c>
      <c r="G42" s="8">
        <v>0</v>
      </c>
      <c r="H42" s="8">
        <f>IFERROR(VLOOKUP(C42,[1]Sheet1!$B:$Q,15,FALSE),0)</f>
        <v>0</v>
      </c>
      <c r="I42" s="8">
        <v>120</v>
      </c>
      <c r="J42" s="8">
        <v>4000</v>
      </c>
      <c r="K42" s="8">
        <f t="shared" si="3"/>
        <v>120</v>
      </c>
      <c r="L42" s="8">
        <v>540000</v>
      </c>
      <c r="M42" s="23">
        <f t="shared" si="5"/>
        <v>480000</v>
      </c>
      <c r="N42" s="23">
        <f t="shared" si="4"/>
        <v>60000</v>
      </c>
      <c r="O42" s="7"/>
    </row>
    <row r="43" spans="1:15">
      <c r="A43" s="43" t="s">
        <v>49</v>
      </c>
      <c r="B43" s="7" t="s">
        <v>368</v>
      </c>
      <c r="C43" s="21" t="s">
        <v>589</v>
      </c>
      <c r="D43" s="39" t="s">
        <v>152</v>
      </c>
      <c r="E43" s="8">
        <v>0</v>
      </c>
      <c r="F43" s="8">
        <v>0</v>
      </c>
      <c r="G43" s="8">
        <v>0</v>
      </c>
      <c r="H43" s="8">
        <f>IFERROR(VLOOKUP(C43,[1]Sheet1!$B:$Q,15,FALSE),0)</f>
        <v>0</v>
      </c>
      <c r="I43" s="8">
        <v>748</v>
      </c>
      <c r="J43" s="8">
        <v>3900</v>
      </c>
      <c r="K43" s="8">
        <f t="shared" si="3"/>
        <v>748</v>
      </c>
      <c r="L43" s="8">
        <v>3366000</v>
      </c>
      <c r="M43" s="23">
        <f t="shared" si="5"/>
        <v>2917200</v>
      </c>
      <c r="N43" s="23">
        <f t="shared" si="4"/>
        <v>448800</v>
      </c>
      <c r="O43" s="7"/>
    </row>
    <row r="44" spans="1:15">
      <c r="A44" s="43" t="s">
        <v>555</v>
      </c>
      <c r="B44" s="7" t="s">
        <v>347</v>
      </c>
      <c r="C44" s="21" t="s">
        <v>590</v>
      </c>
      <c r="D44" s="39" t="s">
        <v>152</v>
      </c>
      <c r="E44" s="8">
        <v>10</v>
      </c>
      <c r="F44" s="8">
        <v>5300</v>
      </c>
      <c r="G44" s="8">
        <v>0</v>
      </c>
      <c r="H44" s="8">
        <f>IFERROR(VLOOKUP(C44,[1]Sheet1!$B:$Q,15,FALSE),0)</f>
        <v>5300</v>
      </c>
      <c r="I44" s="8"/>
      <c r="J44" s="8">
        <v>0</v>
      </c>
      <c r="K44" s="8">
        <f t="shared" si="3"/>
        <v>10</v>
      </c>
      <c r="L44" s="8">
        <v>55000</v>
      </c>
      <c r="M44" s="23">
        <f t="shared" si="5"/>
        <v>53000</v>
      </c>
      <c r="N44" s="23">
        <f t="shared" si="4"/>
        <v>2000</v>
      </c>
      <c r="O44" s="7"/>
    </row>
    <row r="45" spans="1:15">
      <c r="A45" s="43" t="s">
        <v>65</v>
      </c>
      <c r="B45" s="7" t="s">
        <v>393</v>
      </c>
      <c r="C45" s="21" t="s">
        <v>591</v>
      </c>
      <c r="D45" s="39" t="s">
        <v>152</v>
      </c>
      <c r="E45" s="8">
        <v>52</v>
      </c>
      <c r="F45" s="8">
        <v>5000</v>
      </c>
      <c r="G45" s="8">
        <v>0</v>
      </c>
      <c r="H45" s="8">
        <f>IFERROR(VLOOKUP(C45,[1]Sheet1!$B:$Q,15,FALSE),0)</f>
        <v>5000</v>
      </c>
      <c r="I45" s="8"/>
      <c r="J45" s="8">
        <v>0</v>
      </c>
      <c r="K45" s="8">
        <f t="shared" si="3"/>
        <v>52</v>
      </c>
      <c r="L45" s="8">
        <v>286000</v>
      </c>
      <c r="M45" s="23">
        <f t="shared" si="5"/>
        <v>260000</v>
      </c>
      <c r="N45" s="23">
        <f t="shared" si="4"/>
        <v>26000</v>
      </c>
      <c r="O45" s="7"/>
    </row>
    <row r="46" spans="1:15">
      <c r="A46" s="43" t="s">
        <v>555</v>
      </c>
      <c r="B46" s="7" t="s">
        <v>371</v>
      </c>
      <c r="C46" s="21" t="s">
        <v>592</v>
      </c>
      <c r="D46" s="39" t="s">
        <v>152</v>
      </c>
      <c r="E46" s="8">
        <v>60</v>
      </c>
      <c r="F46" s="8">
        <v>5200</v>
      </c>
      <c r="G46" s="8">
        <v>0</v>
      </c>
      <c r="H46" s="8">
        <f>IFERROR(VLOOKUP(C46,[1]Sheet1!$B:$Q,15,FALSE),0)</f>
        <v>5200</v>
      </c>
      <c r="I46" s="8"/>
      <c r="J46" s="8">
        <v>0</v>
      </c>
      <c r="K46" s="8">
        <f t="shared" si="3"/>
        <v>60</v>
      </c>
      <c r="L46" s="8">
        <v>330000</v>
      </c>
      <c r="M46" s="23">
        <f t="shared" si="5"/>
        <v>312000</v>
      </c>
      <c r="N46" s="23">
        <f t="shared" si="4"/>
        <v>18000</v>
      </c>
      <c r="O46" s="7"/>
    </row>
    <row r="47" spans="1:15">
      <c r="A47" s="43" t="s">
        <v>65</v>
      </c>
      <c r="B47" s="7" t="s">
        <v>388</v>
      </c>
      <c r="C47" s="21" t="s">
        <v>593</v>
      </c>
      <c r="D47" s="39" t="s">
        <v>152</v>
      </c>
      <c r="E47" s="8">
        <v>101</v>
      </c>
      <c r="F47" s="8">
        <v>5000</v>
      </c>
      <c r="G47" s="8">
        <v>0</v>
      </c>
      <c r="H47" s="8">
        <f>IFERROR(VLOOKUP(C47,[1]Sheet1!$B:$Q,15,FALSE),0)</f>
        <v>5000</v>
      </c>
      <c r="I47" s="8"/>
      <c r="J47" s="8">
        <v>0</v>
      </c>
      <c r="K47" s="8">
        <f t="shared" si="3"/>
        <v>101</v>
      </c>
      <c r="L47" s="8">
        <v>555500</v>
      </c>
      <c r="M47" s="23">
        <f t="shared" si="5"/>
        <v>505000</v>
      </c>
      <c r="N47" s="23">
        <f t="shared" si="4"/>
        <v>50500</v>
      </c>
      <c r="O47" s="7"/>
    </row>
    <row r="48" spans="1:15">
      <c r="A48" s="43" t="s">
        <v>555</v>
      </c>
      <c r="B48" s="7" t="s">
        <v>330</v>
      </c>
      <c r="C48" s="21" t="s">
        <v>594</v>
      </c>
      <c r="D48" s="39" t="s">
        <v>152</v>
      </c>
      <c r="E48" s="8">
        <v>30</v>
      </c>
      <c r="F48" s="8">
        <v>5200</v>
      </c>
      <c r="G48" s="8">
        <v>0</v>
      </c>
      <c r="H48" s="8">
        <f>IFERROR(VLOOKUP(C48,[1]Sheet1!$B:$Q,15,FALSE),0)</f>
        <v>5200</v>
      </c>
      <c r="I48" s="8"/>
      <c r="J48" s="8">
        <v>0</v>
      </c>
      <c r="K48" s="8">
        <f t="shared" si="3"/>
        <v>30</v>
      </c>
      <c r="L48" s="8">
        <v>165000</v>
      </c>
      <c r="M48" s="23">
        <f t="shared" si="5"/>
        <v>156000</v>
      </c>
      <c r="N48" s="23">
        <f t="shared" si="4"/>
        <v>9000</v>
      </c>
      <c r="O48" s="7"/>
    </row>
    <row r="49" spans="1:15">
      <c r="A49" s="43" t="s">
        <v>555</v>
      </c>
      <c r="B49" s="7" t="s">
        <v>416</v>
      </c>
      <c r="C49" s="21" t="s">
        <v>595</v>
      </c>
      <c r="D49" s="39" t="s">
        <v>152</v>
      </c>
      <c r="E49" s="8">
        <v>1</v>
      </c>
      <c r="F49" s="8">
        <v>5200</v>
      </c>
      <c r="G49" s="8">
        <v>0</v>
      </c>
      <c r="H49" s="8">
        <f>IFERROR(VLOOKUP(C49,[1]Sheet1!$B:$Q,15,FALSE),0)</f>
        <v>5200</v>
      </c>
      <c r="I49" s="8"/>
      <c r="J49" s="8">
        <v>0</v>
      </c>
      <c r="K49" s="8">
        <f t="shared" si="3"/>
        <v>1</v>
      </c>
      <c r="L49" s="8">
        <v>5500</v>
      </c>
      <c r="M49" s="23">
        <f t="shared" si="5"/>
        <v>5200</v>
      </c>
      <c r="N49" s="23">
        <f t="shared" si="4"/>
        <v>300</v>
      </c>
      <c r="O49" s="7"/>
    </row>
    <row r="50" spans="1:15">
      <c r="A50" s="43" t="s">
        <v>555</v>
      </c>
      <c r="B50" s="7" t="s">
        <v>394</v>
      </c>
      <c r="C50" s="21" t="s">
        <v>596</v>
      </c>
      <c r="D50" s="39" t="s">
        <v>152</v>
      </c>
      <c r="E50" s="8">
        <v>10</v>
      </c>
      <c r="F50" s="8">
        <v>5200</v>
      </c>
      <c r="G50" s="8">
        <v>0</v>
      </c>
      <c r="H50" s="8">
        <f>IFERROR(VLOOKUP(C50,[1]Sheet1!$B:$Q,15,FALSE),0)</f>
        <v>5200</v>
      </c>
      <c r="I50" s="8"/>
      <c r="J50" s="8">
        <v>0</v>
      </c>
      <c r="K50" s="8">
        <f t="shared" si="3"/>
        <v>10</v>
      </c>
      <c r="L50" s="8">
        <v>55000</v>
      </c>
      <c r="M50" s="23">
        <f t="shared" si="5"/>
        <v>52000</v>
      </c>
      <c r="N50" s="23">
        <f t="shared" si="4"/>
        <v>3000</v>
      </c>
      <c r="O50" s="7"/>
    </row>
    <row r="51" spans="1:15">
      <c r="A51" s="43" t="s">
        <v>71</v>
      </c>
      <c r="B51" s="7" t="s">
        <v>332</v>
      </c>
      <c r="C51" s="21" t="s">
        <v>597</v>
      </c>
      <c r="D51" s="39" t="s">
        <v>152</v>
      </c>
      <c r="E51" s="8">
        <v>25</v>
      </c>
      <c r="F51" s="8">
        <v>5000</v>
      </c>
      <c r="G51" s="8">
        <v>0</v>
      </c>
      <c r="H51" s="8">
        <f>IFERROR(VLOOKUP(C51,[1]Sheet1!$B:$Q,15,FALSE),0)</f>
        <v>5000</v>
      </c>
      <c r="I51" s="8"/>
      <c r="J51" s="8">
        <v>0</v>
      </c>
      <c r="K51" s="8">
        <f t="shared" si="3"/>
        <v>25</v>
      </c>
      <c r="L51" s="8">
        <v>137500</v>
      </c>
      <c r="M51" s="23">
        <f t="shared" si="5"/>
        <v>125000</v>
      </c>
      <c r="N51" s="23">
        <f t="shared" si="4"/>
        <v>12500</v>
      </c>
      <c r="O51" s="7"/>
    </row>
    <row r="52" spans="1:15">
      <c r="A52" s="43" t="s">
        <v>71</v>
      </c>
      <c r="B52" s="7" t="s">
        <v>331</v>
      </c>
      <c r="C52" s="21" t="s">
        <v>598</v>
      </c>
      <c r="D52" s="39" t="s">
        <v>152</v>
      </c>
      <c r="E52" s="8">
        <v>88</v>
      </c>
      <c r="F52" s="8">
        <v>5000</v>
      </c>
      <c r="G52" s="8">
        <v>30</v>
      </c>
      <c r="H52" s="8">
        <f>IFERROR(VLOOKUP(C52,[1]Sheet1!$B:$Q,15,FALSE),0)</f>
        <v>5000</v>
      </c>
      <c r="I52" s="8"/>
      <c r="J52" s="8">
        <v>0</v>
      </c>
      <c r="K52" s="8">
        <f t="shared" si="3"/>
        <v>118</v>
      </c>
      <c r="L52" s="8">
        <v>655000</v>
      </c>
      <c r="M52" s="23">
        <f t="shared" si="5"/>
        <v>590000</v>
      </c>
      <c r="N52" s="23">
        <f t="shared" si="4"/>
        <v>65000</v>
      </c>
      <c r="O52" s="7"/>
    </row>
    <row r="53" spans="1:15">
      <c r="A53" s="43" t="s">
        <v>73</v>
      </c>
      <c r="B53" s="7" t="s">
        <v>336</v>
      </c>
      <c r="C53" s="21" t="s">
        <v>599</v>
      </c>
      <c r="D53" s="39" t="s">
        <v>152</v>
      </c>
      <c r="E53" s="8">
        <v>125</v>
      </c>
      <c r="F53" s="8">
        <v>5200</v>
      </c>
      <c r="G53" s="8">
        <v>116</v>
      </c>
      <c r="H53" s="8">
        <f>IFERROR(VLOOKUP(C53,[1]Sheet1!$B:$Q,15,FALSE),0)</f>
        <v>5200</v>
      </c>
      <c r="I53" s="8"/>
      <c r="J53" s="8">
        <v>0</v>
      </c>
      <c r="K53" s="8">
        <f t="shared" si="3"/>
        <v>241</v>
      </c>
      <c r="L53" s="8">
        <v>1348700</v>
      </c>
      <c r="M53" s="23">
        <f t="shared" si="5"/>
        <v>1253200</v>
      </c>
      <c r="N53" s="23">
        <f t="shared" si="4"/>
        <v>95500</v>
      </c>
      <c r="O53" s="7"/>
    </row>
    <row r="54" spans="1:15">
      <c r="A54" s="43" t="s">
        <v>73</v>
      </c>
      <c r="B54" s="7" t="s">
        <v>346</v>
      </c>
      <c r="C54" s="21" t="s">
        <v>600</v>
      </c>
      <c r="D54" s="39" t="s">
        <v>152</v>
      </c>
      <c r="E54" s="8">
        <v>108</v>
      </c>
      <c r="F54" s="8">
        <v>5200</v>
      </c>
      <c r="G54" s="8">
        <v>23</v>
      </c>
      <c r="H54" s="8">
        <f>IFERROR(VLOOKUP(C54,[1]Sheet1!$B:$Q,15,FALSE),0)</f>
        <v>5200</v>
      </c>
      <c r="I54" s="8"/>
      <c r="J54" s="8">
        <v>0</v>
      </c>
      <c r="K54" s="8">
        <f t="shared" si="3"/>
        <v>131</v>
      </c>
      <c r="L54" s="8">
        <v>725100</v>
      </c>
      <c r="M54" s="23">
        <f t="shared" si="5"/>
        <v>681200</v>
      </c>
      <c r="N54" s="23">
        <f t="shared" si="4"/>
        <v>43900</v>
      </c>
      <c r="O54" s="7"/>
    </row>
    <row r="55" spans="1:15">
      <c r="A55" s="43" t="s">
        <v>73</v>
      </c>
      <c r="B55" s="7" t="s">
        <v>370</v>
      </c>
      <c r="C55" s="21" t="s">
        <v>601</v>
      </c>
      <c r="D55" s="39" t="s">
        <v>152</v>
      </c>
      <c r="E55" s="8">
        <v>140</v>
      </c>
      <c r="F55" s="8">
        <v>5200</v>
      </c>
      <c r="G55" s="8">
        <v>0</v>
      </c>
      <c r="H55" s="8">
        <f>IFERROR(VLOOKUP(C55,[1]Sheet1!$B:$Q,15,FALSE),0)</f>
        <v>5200</v>
      </c>
      <c r="I55" s="8"/>
      <c r="J55" s="8">
        <v>0</v>
      </c>
      <c r="K55" s="8">
        <f t="shared" si="3"/>
        <v>140</v>
      </c>
      <c r="L55" s="8">
        <v>770000</v>
      </c>
      <c r="M55" s="23">
        <f t="shared" si="5"/>
        <v>728000</v>
      </c>
      <c r="N55" s="23">
        <f t="shared" si="4"/>
        <v>42000</v>
      </c>
      <c r="O55" s="7"/>
    </row>
    <row r="56" spans="1:15">
      <c r="A56" s="43" t="s">
        <v>73</v>
      </c>
      <c r="B56" s="7" t="s">
        <v>369</v>
      </c>
      <c r="C56" s="21" t="s">
        <v>602</v>
      </c>
      <c r="D56" s="39" t="s">
        <v>152</v>
      </c>
      <c r="E56" s="8">
        <v>63</v>
      </c>
      <c r="F56" s="8">
        <v>5200</v>
      </c>
      <c r="G56" s="8">
        <v>0</v>
      </c>
      <c r="H56" s="8">
        <f>IFERROR(VLOOKUP(C56,[1]Sheet1!$B:$Q,15,FALSE),0)</f>
        <v>5200</v>
      </c>
      <c r="I56" s="8"/>
      <c r="J56" s="8">
        <v>0</v>
      </c>
      <c r="K56" s="8">
        <f t="shared" si="3"/>
        <v>63</v>
      </c>
      <c r="L56" s="8">
        <v>346500</v>
      </c>
      <c r="M56" s="23">
        <f t="shared" si="5"/>
        <v>327600</v>
      </c>
      <c r="N56" s="23">
        <f t="shared" si="4"/>
        <v>18900</v>
      </c>
      <c r="O56" s="7"/>
    </row>
    <row r="57" spans="1:15">
      <c r="A57" s="43" t="s">
        <v>80</v>
      </c>
      <c r="B57" s="7" t="s">
        <v>352</v>
      </c>
      <c r="C57" s="21" t="s">
        <v>603</v>
      </c>
      <c r="D57" s="39" t="s">
        <v>152</v>
      </c>
      <c r="E57" s="8">
        <v>64</v>
      </c>
      <c r="F57" s="8">
        <v>5000</v>
      </c>
      <c r="G57" s="8">
        <v>0</v>
      </c>
      <c r="H57" s="8">
        <f>IFERROR(VLOOKUP(C57,[1]Sheet1!$B:$Q,15,FALSE),0)</f>
        <v>5000</v>
      </c>
      <c r="I57" s="8">
        <v>20</v>
      </c>
      <c r="J57" s="8">
        <v>4000</v>
      </c>
      <c r="K57" s="8">
        <f t="shared" si="3"/>
        <v>84</v>
      </c>
      <c r="L57" s="8">
        <v>442000</v>
      </c>
      <c r="M57" s="23">
        <f t="shared" si="5"/>
        <v>400000</v>
      </c>
      <c r="N57" s="23">
        <f t="shared" si="4"/>
        <v>42000</v>
      </c>
      <c r="O57" s="7"/>
    </row>
    <row r="58" spans="1:15">
      <c r="A58" s="43" t="s">
        <v>83</v>
      </c>
      <c r="B58" s="7" t="s">
        <v>389</v>
      </c>
      <c r="C58" s="21" t="s">
        <v>604</v>
      </c>
      <c r="D58" s="39" t="s">
        <v>152</v>
      </c>
      <c r="E58" s="8">
        <v>340</v>
      </c>
      <c r="F58" s="8">
        <v>4800</v>
      </c>
      <c r="G58" s="8">
        <v>0</v>
      </c>
      <c r="H58" s="8">
        <f>IFERROR(VLOOKUP(C58,[1]Sheet1!$B:$Q,15,FALSE),0)</f>
        <v>4800</v>
      </c>
      <c r="I58" s="8">
        <v>621</v>
      </c>
      <c r="J58" s="8">
        <v>3800</v>
      </c>
      <c r="K58" s="8">
        <f t="shared" si="3"/>
        <v>961</v>
      </c>
      <c r="L58" s="8">
        <v>4664500</v>
      </c>
      <c r="M58" s="23">
        <f t="shared" si="5"/>
        <v>3991800</v>
      </c>
      <c r="N58" s="23">
        <f t="shared" si="4"/>
        <v>672700</v>
      </c>
      <c r="O58" s="7"/>
    </row>
    <row r="59" spans="1:15">
      <c r="A59" s="43" t="s">
        <v>83</v>
      </c>
      <c r="B59" s="7" t="s">
        <v>334</v>
      </c>
      <c r="C59" s="21" t="s">
        <v>605</v>
      </c>
      <c r="D59" s="39" t="s">
        <v>152</v>
      </c>
      <c r="E59" s="8">
        <v>260</v>
      </c>
      <c r="F59" s="8">
        <v>4800</v>
      </c>
      <c r="G59" s="8">
        <v>0</v>
      </c>
      <c r="H59" s="8">
        <f>IFERROR(VLOOKUP(C59,[1]Sheet1!$B:$Q,15,FALSE),0)</f>
        <v>4800</v>
      </c>
      <c r="I59" s="8">
        <v>369</v>
      </c>
      <c r="J59" s="8">
        <v>3800</v>
      </c>
      <c r="K59" s="8">
        <f t="shared" si="3"/>
        <v>629</v>
      </c>
      <c r="L59" s="8">
        <v>3090500</v>
      </c>
      <c r="M59" s="23">
        <f t="shared" si="5"/>
        <v>2650200</v>
      </c>
      <c r="N59" s="23">
        <f t="shared" si="4"/>
        <v>440300</v>
      </c>
      <c r="O59" s="7"/>
    </row>
    <row r="60" spans="1:15">
      <c r="A60" s="43" t="s">
        <v>83</v>
      </c>
      <c r="B60" s="7" t="s">
        <v>335</v>
      </c>
      <c r="C60" s="21" t="s">
        <v>606</v>
      </c>
      <c r="D60" s="39" t="s">
        <v>152</v>
      </c>
      <c r="E60" s="8">
        <v>30</v>
      </c>
      <c r="F60" s="8">
        <v>5000</v>
      </c>
      <c r="G60" s="8">
        <v>0</v>
      </c>
      <c r="H60" s="8">
        <f>IFERROR(VLOOKUP(C60,[1]Sheet1!$B:$Q,15,FALSE),0)</f>
        <v>5000</v>
      </c>
      <c r="I60" s="8">
        <v>72</v>
      </c>
      <c r="J60" s="8">
        <v>4000</v>
      </c>
      <c r="K60" s="8">
        <f t="shared" si="3"/>
        <v>102</v>
      </c>
      <c r="L60" s="8">
        <v>489000</v>
      </c>
      <c r="M60" s="23">
        <f t="shared" si="5"/>
        <v>438000</v>
      </c>
      <c r="N60" s="23">
        <f t="shared" si="4"/>
        <v>51000</v>
      </c>
      <c r="O60" s="7"/>
    </row>
    <row r="61" spans="1:15">
      <c r="A61" s="43" t="s">
        <v>86</v>
      </c>
      <c r="B61" s="7" t="s">
        <v>392</v>
      </c>
      <c r="C61" s="21" t="s">
        <v>607</v>
      </c>
      <c r="D61" s="39" t="s">
        <v>152</v>
      </c>
      <c r="E61" s="8">
        <v>30</v>
      </c>
      <c r="F61" s="8">
        <v>5200</v>
      </c>
      <c r="G61" s="8">
        <v>0</v>
      </c>
      <c r="H61" s="8">
        <f>IFERROR(VLOOKUP(C61,[1]Sheet1!$B:$Q,15,FALSE),0)</f>
        <v>5200</v>
      </c>
      <c r="I61" s="8"/>
      <c r="J61" s="8">
        <v>0</v>
      </c>
      <c r="K61" s="8">
        <f t="shared" si="3"/>
        <v>30</v>
      </c>
      <c r="L61" s="8">
        <v>165000</v>
      </c>
      <c r="M61" s="23">
        <f t="shared" si="5"/>
        <v>156000</v>
      </c>
      <c r="N61" s="23">
        <f t="shared" si="4"/>
        <v>9000</v>
      </c>
      <c r="O61" s="7"/>
    </row>
    <row r="62" spans="1:15">
      <c r="A62" s="43" t="s">
        <v>86</v>
      </c>
      <c r="B62" s="7" t="s">
        <v>411</v>
      </c>
      <c r="C62" s="21" t="s">
        <v>608</v>
      </c>
      <c r="D62" s="39" t="s">
        <v>152</v>
      </c>
      <c r="E62" s="8">
        <v>40</v>
      </c>
      <c r="F62" s="8">
        <v>5000</v>
      </c>
      <c r="G62" s="8">
        <v>0</v>
      </c>
      <c r="H62" s="8">
        <f>IFERROR(VLOOKUP(C62,[1]Sheet1!$B:$Q,15,FALSE),0)</f>
        <v>5000</v>
      </c>
      <c r="I62" s="8"/>
      <c r="J62" s="8">
        <v>0</v>
      </c>
      <c r="K62" s="8">
        <f t="shared" si="3"/>
        <v>40</v>
      </c>
      <c r="L62" s="8">
        <v>220000</v>
      </c>
      <c r="M62" s="23">
        <f t="shared" si="5"/>
        <v>200000</v>
      </c>
      <c r="N62" s="23">
        <f t="shared" si="4"/>
        <v>20000</v>
      </c>
      <c r="O62" s="7"/>
    </row>
    <row r="63" spans="1:15">
      <c r="A63" s="43" t="s">
        <v>91</v>
      </c>
      <c r="B63" s="7" t="s">
        <v>401</v>
      </c>
      <c r="C63" s="21" t="s">
        <v>609</v>
      </c>
      <c r="D63" s="39" t="s">
        <v>152</v>
      </c>
      <c r="E63" s="8">
        <v>122</v>
      </c>
      <c r="F63" s="8">
        <v>4800</v>
      </c>
      <c r="G63" s="8">
        <v>0</v>
      </c>
      <c r="H63" s="8">
        <f>IFERROR(VLOOKUP(C63,[1]Sheet1!$B:$Q,15,FALSE),0)</f>
        <v>4800</v>
      </c>
      <c r="I63" s="8"/>
      <c r="J63" s="8">
        <v>0</v>
      </c>
      <c r="K63" s="8">
        <f t="shared" si="3"/>
        <v>122</v>
      </c>
      <c r="L63" s="8">
        <v>671000</v>
      </c>
      <c r="M63" s="23">
        <f t="shared" si="5"/>
        <v>585600</v>
      </c>
      <c r="N63" s="23">
        <f t="shared" si="4"/>
        <v>85400</v>
      </c>
      <c r="O63" s="7"/>
    </row>
    <row r="64" spans="1:15">
      <c r="A64" s="43" t="s">
        <v>91</v>
      </c>
      <c r="B64" s="7" t="s">
        <v>348</v>
      </c>
      <c r="C64" s="21" t="s">
        <v>610</v>
      </c>
      <c r="D64" s="39" t="s">
        <v>152</v>
      </c>
      <c r="E64" s="8">
        <v>10</v>
      </c>
      <c r="F64" s="8">
        <v>4900</v>
      </c>
      <c r="G64" s="8">
        <v>0</v>
      </c>
      <c r="H64" s="8">
        <f>IFERROR(VLOOKUP(C64,[1]Sheet1!$B:$Q,15,FALSE),0)</f>
        <v>4900</v>
      </c>
      <c r="I64" s="8">
        <v>170</v>
      </c>
      <c r="J64" s="8">
        <v>3900</v>
      </c>
      <c r="K64" s="8">
        <f t="shared" si="3"/>
        <v>180</v>
      </c>
      <c r="L64" s="8">
        <v>820000</v>
      </c>
      <c r="M64" s="23">
        <f t="shared" si="5"/>
        <v>712000</v>
      </c>
      <c r="N64" s="23">
        <f t="shared" si="4"/>
        <v>108000</v>
      </c>
      <c r="O64" s="7"/>
    </row>
    <row r="65" spans="1:15">
      <c r="A65" s="43" t="s">
        <v>91</v>
      </c>
      <c r="B65" s="7" t="s">
        <v>376</v>
      </c>
      <c r="C65" s="21" t="s">
        <v>611</v>
      </c>
      <c r="D65" s="39" t="s">
        <v>152</v>
      </c>
      <c r="E65" s="8">
        <v>200</v>
      </c>
      <c r="F65" s="8">
        <v>4850</v>
      </c>
      <c r="G65" s="8">
        <v>0</v>
      </c>
      <c r="H65" s="8">
        <f>IFERROR(VLOOKUP(C65,[1]Sheet1!$B:$Q,15,FALSE),0)</f>
        <v>4850</v>
      </c>
      <c r="I65" s="8"/>
      <c r="J65" s="8">
        <v>0</v>
      </c>
      <c r="K65" s="8">
        <f t="shared" si="3"/>
        <v>200</v>
      </c>
      <c r="L65" s="8">
        <v>1100000</v>
      </c>
      <c r="M65" s="23">
        <f t="shared" si="5"/>
        <v>970000</v>
      </c>
      <c r="N65" s="23">
        <f t="shared" si="4"/>
        <v>130000</v>
      </c>
      <c r="O65" s="7"/>
    </row>
    <row r="66" spans="1:15">
      <c r="A66" s="43" t="s">
        <v>91</v>
      </c>
      <c r="B66" s="7" t="s">
        <v>365</v>
      </c>
      <c r="C66" s="21" t="s">
        <v>612</v>
      </c>
      <c r="D66" s="39" t="s">
        <v>152</v>
      </c>
      <c r="E66" s="8">
        <v>55</v>
      </c>
      <c r="F66" s="8">
        <v>4900</v>
      </c>
      <c r="G66" s="8">
        <v>0</v>
      </c>
      <c r="H66" s="8">
        <f>IFERROR(VLOOKUP(C66,[1]Sheet1!$B:$Q,15,FALSE),0)</f>
        <v>4900</v>
      </c>
      <c r="I66" s="8">
        <v>72</v>
      </c>
      <c r="J66" s="8">
        <v>3900</v>
      </c>
      <c r="K66" s="8">
        <f t="shared" si="3"/>
        <v>127</v>
      </c>
      <c r="L66" s="8">
        <v>626500</v>
      </c>
      <c r="M66" s="23">
        <f t="shared" si="5"/>
        <v>550300</v>
      </c>
      <c r="N66" s="23">
        <f t="shared" si="4"/>
        <v>76200</v>
      </c>
      <c r="O66" s="7"/>
    </row>
    <row r="67" spans="1:15">
      <c r="A67" s="43" t="s">
        <v>91</v>
      </c>
      <c r="B67" s="7" t="s">
        <v>395</v>
      </c>
      <c r="C67" s="21" t="s">
        <v>613</v>
      </c>
      <c r="D67" s="39" t="s">
        <v>152</v>
      </c>
      <c r="E67" s="8">
        <v>25</v>
      </c>
      <c r="F67" s="8">
        <v>5200</v>
      </c>
      <c r="G67" s="8">
        <v>0</v>
      </c>
      <c r="H67" s="8">
        <f>IFERROR(VLOOKUP(C67,[1]Sheet1!$B:$Q,15,FALSE),0)</f>
        <v>5200</v>
      </c>
      <c r="I67" s="8"/>
      <c r="J67" s="8">
        <v>0</v>
      </c>
      <c r="K67" s="8">
        <f t="shared" si="3"/>
        <v>25</v>
      </c>
      <c r="L67" s="8">
        <v>137500</v>
      </c>
      <c r="M67" s="23">
        <f t="shared" si="5"/>
        <v>130000</v>
      </c>
      <c r="N67" s="23">
        <f t="shared" si="4"/>
        <v>7500</v>
      </c>
      <c r="O67" s="7"/>
    </row>
    <row r="68" spans="1:15">
      <c r="A68" s="43" t="s">
        <v>91</v>
      </c>
      <c r="B68" s="7" t="s">
        <v>415</v>
      </c>
      <c r="C68" s="21" t="s">
        <v>614</v>
      </c>
      <c r="D68" s="39" t="s">
        <v>152</v>
      </c>
      <c r="E68" s="8">
        <v>20</v>
      </c>
      <c r="F68" s="8">
        <v>4800</v>
      </c>
      <c r="G68" s="8">
        <v>0</v>
      </c>
      <c r="H68" s="8">
        <f>IFERROR(VLOOKUP(C68,[1]Sheet1!$B:$Q,15,FALSE),0)</f>
        <v>4800</v>
      </c>
      <c r="I68" s="8">
        <v>60</v>
      </c>
      <c r="J68" s="8">
        <v>3800</v>
      </c>
      <c r="K68" s="8">
        <f t="shared" si="3"/>
        <v>80</v>
      </c>
      <c r="L68" s="8">
        <v>380000</v>
      </c>
      <c r="M68" s="23">
        <f t="shared" si="5"/>
        <v>324000</v>
      </c>
      <c r="N68" s="23">
        <f t="shared" si="4"/>
        <v>56000</v>
      </c>
      <c r="O68" s="7"/>
    </row>
    <row r="69" spans="1:15">
      <c r="A69" s="43" t="s">
        <v>111</v>
      </c>
      <c r="B69" s="7" t="s">
        <v>316</v>
      </c>
      <c r="C69" s="21" t="s">
        <v>615</v>
      </c>
      <c r="D69" s="39" t="s">
        <v>152</v>
      </c>
      <c r="E69" s="8">
        <v>344</v>
      </c>
      <c r="F69" s="8">
        <v>4900</v>
      </c>
      <c r="G69" s="8">
        <v>20</v>
      </c>
      <c r="H69" s="44">
        <v>5100</v>
      </c>
      <c r="I69" s="8">
        <v>160</v>
      </c>
      <c r="J69" s="8">
        <v>3900</v>
      </c>
      <c r="K69" s="8">
        <f t="shared" si="3"/>
        <v>524</v>
      </c>
      <c r="L69" s="8">
        <v>2726000</v>
      </c>
      <c r="M69" s="23">
        <f t="shared" si="5"/>
        <v>2411600</v>
      </c>
      <c r="N69" s="23">
        <f t="shared" si="4"/>
        <v>314400</v>
      </c>
      <c r="O69" s="7"/>
    </row>
    <row r="70" spans="1:15">
      <c r="A70" s="43" t="s">
        <v>111</v>
      </c>
      <c r="B70" s="7" t="s">
        <v>314</v>
      </c>
      <c r="C70" s="21" t="s">
        <v>616</v>
      </c>
      <c r="D70" s="39" t="s">
        <v>152</v>
      </c>
      <c r="E70" s="8">
        <v>56</v>
      </c>
      <c r="F70" s="8">
        <v>4900</v>
      </c>
      <c r="G70" s="8">
        <v>0</v>
      </c>
      <c r="H70" s="8">
        <f>IFERROR(VLOOKUP(C70,[1]Sheet1!$B:$Q,15,FALSE),0)</f>
        <v>4900</v>
      </c>
      <c r="I70" s="8">
        <v>248</v>
      </c>
      <c r="J70" s="8">
        <v>3900</v>
      </c>
      <c r="K70" s="8">
        <f t="shared" si="3"/>
        <v>304</v>
      </c>
      <c r="L70" s="8">
        <v>1424000</v>
      </c>
      <c r="M70" s="23">
        <f t="shared" si="5"/>
        <v>1241600</v>
      </c>
      <c r="N70" s="23">
        <f t="shared" si="4"/>
        <v>182400</v>
      </c>
      <c r="O70" s="7"/>
    </row>
    <row r="71" spans="1:15">
      <c r="A71" s="43" t="s">
        <v>111</v>
      </c>
      <c r="B71" s="7" t="s">
        <v>374</v>
      </c>
      <c r="C71" s="21" t="s">
        <v>617</v>
      </c>
      <c r="D71" s="39" t="s">
        <v>152</v>
      </c>
      <c r="E71" s="8">
        <v>265</v>
      </c>
      <c r="F71" s="8">
        <v>5000</v>
      </c>
      <c r="G71" s="8">
        <v>20</v>
      </c>
      <c r="H71" s="44">
        <v>5200</v>
      </c>
      <c r="I71" s="8">
        <v>346</v>
      </c>
      <c r="J71" s="8">
        <v>4000</v>
      </c>
      <c r="K71" s="8">
        <f t="shared" si="3"/>
        <v>631</v>
      </c>
      <c r="L71" s="8">
        <v>3128500</v>
      </c>
      <c r="M71" s="23">
        <f t="shared" si="5"/>
        <v>2813000</v>
      </c>
      <c r="N71" s="23">
        <f t="shared" si="4"/>
        <v>315500</v>
      </c>
      <c r="O71" s="7"/>
    </row>
    <row r="72" spans="1:15">
      <c r="A72" s="43" t="s">
        <v>111</v>
      </c>
      <c r="B72" s="7" t="s">
        <v>353</v>
      </c>
      <c r="C72" s="21" t="s">
        <v>618</v>
      </c>
      <c r="D72" s="39" t="s">
        <v>152</v>
      </c>
      <c r="E72" s="8">
        <v>149</v>
      </c>
      <c r="F72" s="8">
        <v>5000</v>
      </c>
      <c r="G72" s="8">
        <v>0</v>
      </c>
      <c r="H72" s="8">
        <f>IFERROR(VLOOKUP(C72,[1]Sheet1!$B:$Q,15,FALSE),0)</f>
        <v>5000</v>
      </c>
      <c r="I72" s="8"/>
      <c r="J72" s="8">
        <v>0</v>
      </c>
      <c r="K72" s="8">
        <f t="shared" si="3"/>
        <v>149</v>
      </c>
      <c r="L72" s="8">
        <v>819500</v>
      </c>
      <c r="M72" s="23">
        <f t="shared" si="5"/>
        <v>745000</v>
      </c>
      <c r="N72" s="23">
        <f t="shared" si="4"/>
        <v>74500</v>
      </c>
      <c r="O72" s="7"/>
    </row>
    <row r="73" spans="1:15">
      <c r="A73" s="43" t="s">
        <v>111</v>
      </c>
      <c r="B73" s="7" t="s">
        <v>315</v>
      </c>
      <c r="C73" s="21" t="s">
        <v>619</v>
      </c>
      <c r="D73" s="39" t="s">
        <v>152</v>
      </c>
      <c r="E73" s="8">
        <v>236</v>
      </c>
      <c r="F73" s="44">
        <v>5000</v>
      </c>
      <c r="G73" s="8">
        <v>0</v>
      </c>
      <c r="H73" s="8">
        <f>IFERROR(VLOOKUP(C73,[1]Sheet1!$B:$Q,15,FALSE),0)</f>
        <v>0</v>
      </c>
      <c r="I73" s="8">
        <v>12</v>
      </c>
      <c r="J73" s="44">
        <v>4000</v>
      </c>
      <c r="K73" s="8">
        <f t="shared" si="3"/>
        <v>248</v>
      </c>
      <c r="L73" s="8">
        <v>1352000</v>
      </c>
      <c r="M73" s="23">
        <f t="shared" si="5"/>
        <v>1228000</v>
      </c>
      <c r="N73" s="23">
        <f t="shared" si="4"/>
        <v>124000</v>
      </c>
      <c r="O73" s="7"/>
    </row>
    <row r="74" spans="1:15">
      <c r="A74" s="43" t="s">
        <v>111</v>
      </c>
      <c r="B74" s="7" t="s">
        <v>382</v>
      </c>
      <c r="C74" s="21" t="s">
        <v>620</v>
      </c>
      <c r="D74" s="39" t="s">
        <v>152</v>
      </c>
      <c r="E74" s="8">
        <v>65</v>
      </c>
      <c r="F74" s="8">
        <v>5000</v>
      </c>
      <c r="G74" s="8">
        <v>0</v>
      </c>
      <c r="H74" s="8">
        <f>IFERROR(VLOOKUP(C74,[1]Sheet1!$B:$Q,15,FALSE),0)</f>
        <v>5000</v>
      </c>
      <c r="I74" s="8"/>
      <c r="J74" s="8">
        <v>0</v>
      </c>
      <c r="K74" s="8">
        <f t="shared" si="3"/>
        <v>65</v>
      </c>
      <c r="L74" s="8">
        <v>357500</v>
      </c>
      <c r="M74" s="23">
        <f t="shared" si="5"/>
        <v>325000</v>
      </c>
      <c r="N74" s="23">
        <f t="shared" si="4"/>
        <v>32500</v>
      </c>
      <c r="O74" s="7"/>
    </row>
    <row r="75" spans="1:15">
      <c r="A75" s="43" t="s">
        <v>111</v>
      </c>
      <c r="B75" s="7" t="s">
        <v>344</v>
      </c>
      <c r="C75" s="21" t="s">
        <v>621</v>
      </c>
      <c r="D75" s="39" t="s">
        <v>152</v>
      </c>
      <c r="E75" s="8">
        <v>211</v>
      </c>
      <c r="F75" s="8">
        <v>5000</v>
      </c>
      <c r="G75" s="8">
        <v>15</v>
      </c>
      <c r="H75" s="44">
        <v>5200</v>
      </c>
      <c r="I75" s="8">
        <v>108</v>
      </c>
      <c r="J75" s="8">
        <v>4000</v>
      </c>
      <c r="K75" s="8">
        <f t="shared" si="3"/>
        <v>334</v>
      </c>
      <c r="L75" s="8">
        <v>1732000</v>
      </c>
      <c r="M75" s="23">
        <f t="shared" si="5"/>
        <v>1565000</v>
      </c>
      <c r="N75" s="23">
        <f t="shared" si="4"/>
        <v>167000</v>
      </c>
      <c r="O75" s="7"/>
    </row>
    <row r="76" spans="1:15">
      <c r="A76" s="43" t="s">
        <v>111</v>
      </c>
      <c r="B76" s="7" t="s">
        <v>379</v>
      </c>
      <c r="C76" s="21" t="s">
        <v>622</v>
      </c>
      <c r="D76" s="39" t="s">
        <v>152</v>
      </c>
      <c r="E76" s="8">
        <v>260</v>
      </c>
      <c r="F76" s="8">
        <v>5000</v>
      </c>
      <c r="G76" s="8">
        <v>0</v>
      </c>
      <c r="H76" s="8">
        <f>IFERROR(VLOOKUP(C76,[1]Sheet1!$B:$Q,15,FALSE),0)</f>
        <v>5000</v>
      </c>
      <c r="I76" s="8">
        <v>4</v>
      </c>
      <c r="J76" s="8">
        <v>4000</v>
      </c>
      <c r="K76" s="8">
        <f t="shared" si="3"/>
        <v>264</v>
      </c>
      <c r="L76" s="8">
        <v>1448000</v>
      </c>
      <c r="M76" s="23">
        <f t="shared" si="5"/>
        <v>1316000</v>
      </c>
      <c r="N76" s="23">
        <f t="shared" si="4"/>
        <v>132000</v>
      </c>
      <c r="O76" s="7"/>
    </row>
    <row r="77" spans="1:15">
      <c r="A77" s="43" t="s">
        <v>111</v>
      </c>
      <c r="B77" s="7" t="s">
        <v>354</v>
      </c>
      <c r="C77" s="21" t="s">
        <v>623</v>
      </c>
      <c r="D77" s="39" t="s">
        <v>152</v>
      </c>
      <c r="E77" s="8">
        <v>75</v>
      </c>
      <c r="F77" s="8">
        <v>5000</v>
      </c>
      <c r="G77" s="8">
        <v>0</v>
      </c>
      <c r="H77" s="8">
        <f>IFERROR(VLOOKUP(C77,[1]Sheet1!$B:$Q,15,FALSE),0)</f>
        <v>5000</v>
      </c>
      <c r="I77" s="8"/>
      <c r="J77" s="8">
        <v>0</v>
      </c>
      <c r="K77" s="8">
        <f t="shared" si="3"/>
        <v>75</v>
      </c>
      <c r="L77" s="8">
        <v>412500</v>
      </c>
      <c r="M77" s="23">
        <f t="shared" si="5"/>
        <v>375000</v>
      </c>
      <c r="N77" s="23">
        <f t="shared" si="4"/>
        <v>37500</v>
      </c>
      <c r="O77" s="7"/>
    </row>
    <row r="78" spans="1:15">
      <c r="A78" s="43" t="s">
        <v>111</v>
      </c>
      <c r="B78" s="7" t="s">
        <v>343</v>
      </c>
      <c r="C78" s="21" t="s">
        <v>624</v>
      </c>
      <c r="D78" s="39" t="s">
        <v>152</v>
      </c>
      <c r="E78" s="8">
        <v>150</v>
      </c>
      <c r="F78" s="8">
        <v>5000</v>
      </c>
      <c r="G78" s="8">
        <v>10</v>
      </c>
      <c r="H78" s="44">
        <v>5200</v>
      </c>
      <c r="I78" s="8">
        <v>72</v>
      </c>
      <c r="J78" s="8">
        <v>4000</v>
      </c>
      <c r="K78" s="8">
        <f t="shared" si="3"/>
        <v>232</v>
      </c>
      <c r="L78" s="8">
        <v>1206000</v>
      </c>
      <c r="M78" s="23">
        <f t="shared" si="5"/>
        <v>1090000</v>
      </c>
      <c r="N78" s="23">
        <f t="shared" si="4"/>
        <v>116000</v>
      </c>
      <c r="O78" s="7"/>
    </row>
    <row r="79" spans="1:15">
      <c r="A79" s="43"/>
      <c r="B79" s="7"/>
      <c r="C79" s="21"/>
      <c r="D79" s="21"/>
      <c r="E79" s="48">
        <f>SUM(E5:E78)</f>
        <v>6788</v>
      </c>
      <c r="F79" s="48"/>
      <c r="G79" s="48">
        <f>SUM(G5:G78)</f>
        <v>268</v>
      </c>
      <c r="H79" s="48"/>
      <c r="I79" s="48">
        <f>SUM(I5:I78)</f>
        <v>7348</v>
      </c>
      <c r="J79" s="48"/>
      <c r="K79" s="48">
        <f>SUM(K5:K78)</f>
        <v>14404</v>
      </c>
      <c r="L79" s="48">
        <f>SUM(L5:L78)</f>
        <v>71671100</v>
      </c>
      <c r="M79" s="48">
        <f>SUM(M5:M78)</f>
        <v>63608950</v>
      </c>
      <c r="N79" s="48">
        <f>SUM(N5:N78)</f>
        <v>8062150</v>
      </c>
      <c r="O79" s="7"/>
    </row>
    <row r="81" spans="1:1">
      <c r="A81" s="49" t="s">
        <v>625</v>
      </c>
    </row>
    <row r="82" spans="1:13">
      <c r="A82" s="50" t="s">
        <v>626</v>
      </c>
      <c r="M82" s="32"/>
    </row>
    <row r="83" spans="1:1">
      <c r="A83" s="2" t="s">
        <v>627</v>
      </c>
    </row>
    <row r="84" spans="1:1">
      <c r="A84" s="2" t="s">
        <v>628</v>
      </c>
    </row>
    <row r="85" spans="1:1">
      <c r="A85" s="2" t="s">
        <v>629</v>
      </c>
    </row>
    <row r="86" spans="1:1">
      <c r="A86" s="51" t="s">
        <v>630</v>
      </c>
    </row>
  </sheetData>
  <autoFilter ref="A4:O79">
    <extLst/>
  </autoFilter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21"/>
  <sheetViews>
    <sheetView workbookViewId="0">
      <selection activeCell="Q6" sqref="Q6:Q17"/>
    </sheetView>
  </sheetViews>
  <sheetFormatPr defaultColWidth="8.88888888888889" defaultRowHeight="14.4"/>
  <cols>
    <col min="1" max="1" width="27.8888888888889" customWidth="1"/>
    <col min="2" max="2" width="6.66666666666667" style="16" customWidth="1"/>
    <col min="3" max="3" width="6.44444444444444" customWidth="1"/>
    <col min="4" max="4" width="8.44444444444444" customWidth="1"/>
    <col min="5" max="5" width="13.5555555555556" hidden="1" customWidth="1"/>
    <col min="6" max="6" width="8.11111111111111" customWidth="1"/>
    <col min="7" max="7" width="13.5555555555556" hidden="1" customWidth="1"/>
    <col min="8" max="8" width="9.11111111111111" customWidth="1"/>
    <col min="9" max="9" width="13.5555555555556" hidden="1" customWidth="1"/>
    <col min="10" max="10" width="9" customWidth="1"/>
    <col min="11" max="11" width="13.5555555555556" hidden="1" customWidth="1"/>
    <col min="12" max="12" width="12.5555555555556" customWidth="1"/>
    <col min="13" max="13" width="17" hidden="1" customWidth="1"/>
    <col min="14" max="14" width="10.2222222222222" customWidth="1"/>
    <col min="15" max="15" width="14.6666666666667" hidden="1" customWidth="1"/>
    <col min="16" max="16" width="10.5555555555556" customWidth="1"/>
    <col min="17" max="17" width="11.4444444444444" customWidth="1"/>
  </cols>
  <sheetData>
    <row r="2" hidden="1"/>
    <row r="3" hidden="1"/>
    <row r="4" hidden="1" spans="4:15">
      <c r="D4" s="19">
        <v>362.5</v>
      </c>
      <c r="F4" s="19">
        <v>411.64</v>
      </c>
      <c r="H4" s="19">
        <v>549.05</v>
      </c>
      <c r="I4" s="19"/>
      <c r="J4" s="19">
        <v>704.240000000001</v>
      </c>
      <c r="K4" s="19"/>
      <c r="L4" s="19">
        <v>1069.43</v>
      </c>
      <c r="M4" s="19"/>
      <c r="N4" s="34">
        <v>1367.14</v>
      </c>
      <c r="O4" s="35"/>
    </row>
    <row r="5" ht="28.8" spans="1:18">
      <c r="A5" s="3" t="s">
        <v>3</v>
      </c>
      <c r="B5" s="5" t="s">
        <v>425</v>
      </c>
      <c r="C5" s="5" t="s">
        <v>426</v>
      </c>
      <c r="D5" s="33" t="s">
        <v>631</v>
      </c>
      <c r="E5" s="33"/>
      <c r="F5" s="6" t="s">
        <v>632</v>
      </c>
      <c r="G5" s="6"/>
      <c r="H5" s="6" t="s">
        <v>633</v>
      </c>
      <c r="I5" s="6"/>
      <c r="J5" s="6" t="s">
        <v>634</v>
      </c>
      <c r="K5" s="6"/>
      <c r="L5" s="6" t="s">
        <v>635</v>
      </c>
      <c r="M5" s="6"/>
      <c r="N5" s="6" t="s">
        <v>636</v>
      </c>
      <c r="O5" s="6"/>
      <c r="P5" s="6" t="s">
        <v>637</v>
      </c>
      <c r="Q5" s="5" t="s">
        <v>638</v>
      </c>
      <c r="R5" s="17" t="s">
        <v>436</v>
      </c>
    </row>
    <row r="6" spans="1:18">
      <c r="A6" s="7" t="s">
        <v>186</v>
      </c>
      <c r="B6" s="3" t="s">
        <v>639</v>
      </c>
      <c r="C6" s="7" t="s">
        <v>152</v>
      </c>
      <c r="D6" s="7"/>
      <c r="E6" s="23">
        <f>D6*$D$4</f>
        <v>0</v>
      </c>
      <c r="F6" s="7">
        <v>10</v>
      </c>
      <c r="G6" s="23">
        <f>F6*$F$4</f>
        <v>4116.4</v>
      </c>
      <c r="H6" s="7">
        <v>2</v>
      </c>
      <c r="I6" s="23">
        <f>H6*$H$4</f>
        <v>1098.1</v>
      </c>
      <c r="J6" s="7">
        <v>3</v>
      </c>
      <c r="K6" s="23">
        <f>J6*$J$4</f>
        <v>2112.72</v>
      </c>
      <c r="L6" s="7">
        <v>1</v>
      </c>
      <c r="M6" s="23">
        <f>L6*$L$4</f>
        <v>1069.43</v>
      </c>
      <c r="N6" s="7"/>
      <c r="O6" s="23">
        <f>N6*$N$4</f>
        <v>0</v>
      </c>
      <c r="P6" s="8">
        <f>D6+F6+H6+J6+L6+N6</f>
        <v>16</v>
      </c>
      <c r="Q6" s="8">
        <f>E6+G6+I6+K6+M6+O6</f>
        <v>8396.65</v>
      </c>
      <c r="R6" s="7"/>
    </row>
    <row r="7" spans="1:18">
      <c r="A7" s="7" t="s">
        <v>170</v>
      </c>
      <c r="B7" s="3" t="s">
        <v>640</v>
      </c>
      <c r="C7" s="7" t="s">
        <v>158</v>
      </c>
      <c r="D7" s="7"/>
      <c r="E7" s="23">
        <f t="shared" ref="E7:E18" si="0">D7*$D$4</f>
        <v>0</v>
      </c>
      <c r="F7" s="7">
        <v>2</v>
      </c>
      <c r="G7" s="23">
        <f t="shared" ref="G7:G18" si="1">F7*$F$4</f>
        <v>823.28</v>
      </c>
      <c r="H7" s="7"/>
      <c r="I7" s="23">
        <f t="shared" ref="I7:I18" si="2">H7*$H$4</f>
        <v>0</v>
      </c>
      <c r="J7" s="7"/>
      <c r="K7" s="23">
        <f t="shared" ref="K7:K18" si="3">J7*$J$4</f>
        <v>0</v>
      </c>
      <c r="L7" s="7"/>
      <c r="M7" s="23">
        <f t="shared" ref="M7:M18" si="4">L7*$L$4</f>
        <v>0</v>
      </c>
      <c r="N7" s="7"/>
      <c r="O7" s="23">
        <f t="shared" ref="O7:O18" si="5">N7*$N$4</f>
        <v>0</v>
      </c>
      <c r="P7" s="8">
        <f t="shared" ref="P7:P19" si="6">D7+F7+H7+J7+L7+N7</f>
        <v>2</v>
      </c>
      <c r="Q7" s="8">
        <f t="shared" ref="Q7:Q18" si="7">E7+G7+I7+K7+M7+O7</f>
        <v>823.28</v>
      </c>
      <c r="R7" s="7"/>
    </row>
    <row r="8" spans="1:18">
      <c r="A8" s="7" t="s">
        <v>276</v>
      </c>
      <c r="B8" s="3" t="s">
        <v>641</v>
      </c>
      <c r="C8" s="7" t="s">
        <v>152</v>
      </c>
      <c r="D8" s="7"/>
      <c r="E8" s="23">
        <f t="shared" si="0"/>
        <v>0</v>
      </c>
      <c r="F8" s="7"/>
      <c r="G8" s="23">
        <f t="shared" si="1"/>
        <v>0</v>
      </c>
      <c r="H8" s="7"/>
      <c r="I8" s="23">
        <f t="shared" si="2"/>
        <v>0</v>
      </c>
      <c r="J8" s="7">
        <v>2</v>
      </c>
      <c r="K8" s="23">
        <f t="shared" si="3"/>
        <v>1408.48</v>
      </c>
      <c r="L8" s="7"/>
      <c r="M8" s="23">
        <f t="shared" si="4"/>
        <v>0</v>
      </c>
      <c r="N8" s="7"/>
      <c r="O8" s="23">
        <f t="shared" si="5"/>
        <v>0</v>
      </c>
      <c r="P8" s="8">
        <f t="shared" si="6"/>
        <v>2</v>
      </c>
      <c r="Q8" s="8">
        <f t="shared" si="7"/>
        <v>1408.48</v>
      </c>
      <c r="R8" s="7"/>
    </row>
    <row r="9" spans="1:18">
      <c r="A9" s="7" t="s">
        <v>302</v>
      </c>
      <c r="B9" s="3" t="s">
        <v>642</v>
      </c>
      <c r="C9" s="7" t="s">
        <v>152</v>
      </c>
      <c r="D9" s="7">
        <v>12</v>
      </c>
      <c r="E9" s="23">
        <f t="shared" si="0"/>
        <v>4350</v>
      </c>
      <c r="F9" s="7">
        <v>40</v>
      </c>
      <c r="G9" s="23">
        <f t="shared" si="1"/>
        <v>16465.6</v>
      </c>
      <c r="H9" s="7">
        <v>12</v>
      </c>
      <c r="I9" s="23">
        <f t="shared" si="2"/>
        <v>6588.6</v>
      </c>
      <c r="J9" s="7">
        <v>5</v>
      </c>
      <c r="K9" s="23">
        <f t="shared" si="3"/>
        <v>3521.20000000001</v>
      </c>
      <c r="L9" s="7">
        <v>1</v>
      </c>
      <c r="M9" s="23">
        <f t="shared" si="4"/>
        <v>1069.43</v>
      </c>
      <c r="N9" s="7"/>
      <c r="O9" s="23">
        <f t="shared" si="5"/>
        <v>0</v>
      </c>
      <c r="P9" s="8">
        <f t="shared" si="6"/>
        <v>70</v>
      </c>
      <c r="Q9" s="8">
        <f t="shared" si="7"/>
        <v>31994.83</v>
      </c>
      <c r="R9" s="7"/>
    </row>
    <row r="10" spans="1:18">
      <c r="A10" s="9" t="s">
        <v>171</v>
      </c>
      <c r="B10" s="3"/>
      <c r="C10" s="7"/>
      <c r="D10" s="24">
        <f>SUM(D6:D9)</f>
        <v>12</v>
      </c>
      <c r="E10" s="24">
        <f t="shared" ref="E10:Q10" si="8">SUM(E6:E9)</f>
        <v>4350</v>
      </c>
      <c r="F10" s="24">
        <f t="shared" si="8"/>
        <v>52</v>
      </c>
      <c r="G10" s="24">
        <f t="shared" si="8"/>
        <v>21405.28</v>
      </c>
      <c r="H10" s="24">
        <f t="shared" si="8"/>
        <v>14</v>
      </c>
      <c r="I10" s="24">
        <f t="shared" si="8"/>
        <v>7686.7</v>
      </c>
      <c r="J10" s="24">
        <f t="shared" si="8"/>
        <v>10</v>
      </c>
      <c r="K10" s="24">
        <f t="shared" si="8"/>
        <v>7042.40000000001</v>
      </c>
      <c r="L10" s="24">
        <f t="shared" si="8"/>
        <v>2</v>
      </c>
      <c r="M10" s="24">
        <f t="shared" si="8"/>
        <v>2138.86</v>
      </c>
      <c r="N10" s="24">
        <f t="shared" si="8"/>
        <v>0</v>
      </c>
      <c r="O10" s="24">
        <f t="shared" si="8"/>
        <v>0</v>
      </c>
      <c r="P10" s="10">
        <f t="shared" si="8"/>
        <v>90</v>
      </c>
      <c r="Q10" s="10">
        <f t="shared" si="8"/>
        <v>42623.24</v>
      </c>
      <c r="R10" s="8"/>
    </row>
    <row r="11" spans="1:18">
      <c r="A11" s="7" t="s">
        <v>24</v>
      </c>
      <c r="B11" s="3" t="s">
        <v>456</v>
      </c>
      <c r="C11" s="7" t="s">
        <v>152</v>
      </c>
      <c r="D11" s="7">
        <v>4</v>
      </c>
      <c r="E11" s="23">
        <f t="shared" si="0"/>
        <v>1450</v>
      </c>
      <c r="F11" s="7"/>
      <c r="G11" s="23">
        <f t="shared" si="1"/>
        <v>0</v>
      </c>
      <c r="H11" s="7"/>
      <c r="I11" s="23">
        <f t="shared" si="2"/>
        <v>0</v>
      </c>
      <c r="J11" s="7"/>
      <c r="K11" s="23">
        <f t="shared" si="3"/>
        <v>0</v>
      </c>
      <c r="L11" s="7"/>
      <c r="M11" s="23">
        <f t="shared" si="4"/>
        <v>0</v>
      </c>
      <c r="N11" s="7"/>
      <c r="O11" s="23">
        <f t="shared" si="5"/>
        <v>0</v>
      </c>
      <c r="P11" s="8">
        <f t="shared" si="6"/>
        <v>4</v>
      </c>
      <c r="Q11" s="8">
        <f t="shared" si="7"/>
        <v>1450</v>
      </c>
      <c r="R11" s="7"/>
    </row>
    <row r="12" spans="1:18">
      <c r="A12" s="9" t="s">
        <v>20</v>
      </c>
      <c r="B12" s="3"/>
      <c r="C12" s="7"/>
      <c r="D12" s="24">
        <f>SUM(D11:D11)</f>
        <v>4</v>
      </c>
      <c r="E12" s="24">
        <f t="shared" ref="E12:Q12" si="9">SUM(E11:E11)</f>
        <v>1450</v>
      </c>
      <c r="F12" s="24">
        <f t="shared" si="9"/>
        <v>0</v>
      </c>
      <c r="G12" s="24">
        <f t="shared" si="9"/>
        <v>0</v>
      </c>
      <c r="H12" s="24">
        <f t="shared" si="9"/>
        <v>0</v>
      </c>
      <c r="I12" s="24">
        <f t="shared" si="9"/>
        <v>0</v>
      </c>
      <c r="J12" s="24">
        <f t="shared" si="9"/>
        <v>0</v>
      </c>
      <c r="K12" s="24">
        <f t="shared" si="9"/>
        <v>0</v>
      </c>
      <c r="L12" s="24">
        <f t="shared" si="9"/>
        <v>0</v>
      </c>
      <c r="M12" s="24">
        <f t="shared" si="9"/>
        <v>0</v>
      </c>
      <c r="N12" s="24">
        <f t="shared" si="9"/>
        <v>0</v>
      </c>
      <c r="O12" s="24">
        <f t="shared" si="9"/>
        <v>0</v>
      </c>
      <c r="P12" s="10">
        <f t="shared" si="9"/>
        <v>4</v>
      </c>
      <c r="Q12" s="10">
        <f t="shared" si="9"/>
        <v>1450</v>
      </c>
      <c r="R12" s="8"/>
    </row>
    <row r="13" spans="1:18">
      <c r="A13" s="7" t="s">
        <v>77</v>
      </c>
      <c r="B13" s="3" t="s">
        <v>502</v>
      </c>
      <c r="C13" s="7" t="s">
        <v>152</v>
      </c>
      <c r="D13" s="7"/>
      <c r="E13" s="23">
        <f t="shared" si="0"/>
        <v>0</v>
      </c>
      <c r="F13" s="7">
        <v>3</v>
      </c>
      <c r="G13" s="23">
        <f t="shared" si="1"/>
        <v>1234.92</v>
      </c>
      <c r="H13" s="7"/>
      <c r="I13" s="23">
        <f t="shared" si="2"/>
        <v>0</v>
      </c>
      <c r="J13" s="7"/>
      <c r="K13" s="23">
        <f t="shared" si="3"/>
        <v>0</v>
      </c>
      <c r="L13" s="7"/>
      <c r="M13" s="23">
        <f t="shared" si="4"/>
        <v>0</v>
      </c>
      <c r="N13" s="7"/>
      <c r="O13" s="23">
        <f t="shared" si="5"/>
        <v>0</v>
      </c>
      <c r="P13" s="8">
        <f t="shared" si="6"/>
        <v>3</v>
      </c>
      <c r="Q13" s="8">
        <f t="shared" si="7"/>
        <v>1234.92</v>
      </c>
      <c r="R13" s="7"/>
    </row>
    <row r="14" spans="1:18">
      <c r="A14" s="9" t="s">
        <v>73</v>
      </c>
      <c r="B14" s="3"/>
      <c r="C14" s="7"/>
      <c r="D14" s="10">
        <f>SUM(D13:D13)</f>
        <v>0</v>
      </c>
      <c r="E14" s="10">
        <f t="shared" ref="E14:Q14" si="10">SUM(E13:E13)</f>
        <v>0</v>
      </c>
      <c r="F14" s="10">
        <f t="shared" si="10"/>
        <v>3</v>
      </c>
      <c r="G14" s="10">
        <f t="shared" si="10"/>
        <v>1234.92</v>
      </c>
      <c r="H14" s="10">
        <f t="shared" si="10"/>
        <v>0</v>
      </c>
      <c r="I14" s="10">
        <f t="shared" si="10"/>
        <v>0</v>
      </c>
      <c r="J14" s="10">
        <f t="shared" si="10"/>
        <v>0</v>
      </c>
      <c r="K14" s="10">
        <f t="shared" si="10"/>
        <v>0</v>
      </c>
      <c r="L14" s="10">
        <f t="shared" si="10"/>
        <v>0</v>
      </c>
      <c r="M14" s="10">
        <f t="shared" si="10"/>
        <v>0</v>
      </c>
      <c r="N14" s="10">
        <f t="shared" si="10"/>
        <v>0</v>
      </c>
      <c r="O14" s="10">
        <f t="shared" si="10"/>
        <v>0</v>
      </c>
      <c r="P14" s="10">
        <f t="shared" si="10"/>
        <v>3</v>
      </c>
      <c r="Q14" s="10">
        <f t="shared" si="10"/>
        <v>1234.92</v>
      </c>
      <c r="R14" s="8"/>
    </row>
    <row r="15" spans="1:18">
      <c r="A15" s="7" t="s">
        <v>84</v>
      </c>
      <c r="B15" s="3" t="s">
        <v>507</v>
      </c>
      <c r="C15" s="7" t="s">
        <v>152</v>
      </c>
      <c r="D15" s="7"/>
      <c r="E15" s="23">
        <f t="shared" si="0"/>
        <v>0</v>
      </c>
      <c r="F15" s="7"/>
      <c r="G15" s="23">
        <f t="shared" si="1"/>
        <v>0</v>
      </c>
      <c r="H15" s="7"/>
      <c r="I15" s="23">
        <f t="shared" si="2"/>
        <v>0</v>
      </c>
      <c r="J15" s="7"/>
      <c r="K15" s="23">
        <f t="shared" si="3"/>
        <v>0</v>
      </c>
      <c r="L15" s="7"/>
      <c r="M15" s="23">
        <f t="shared" si="4"/>
        <v>0</v>
      </c>
      <c r="N15" s="7">
        <v>1</v>
      </c>
      <c r="O15" s="23">
        <f t="shared" si="5"/>
        <v>1367.14</v>
      </c>
      <c r="P15" s="8">
        <f t="shared" si="6"/>
        <v>1</v>
      </c>
      <c r="Q15" s="8">
        <f t="shared" si="7"/>
        <v>1367.14</v>
      </c>
      <c r="R15" s="7"/>
    </row>
    <row r="16" spans="1:18">
      <c r="A16" s="9" t="s">
        <v>83</v>
      </c>
      <c r="B16" s="3"/>
      <c r="C16" s="7"/>
      <c r="D16" s="10">
        <f>SUM(D15:D15)</f>
        <v>0</v>
      </c>
      <c r="E16" s="10">
        <f t="shared" ref="E16:Q16" si="11">SUM(E15:E15)</f>
        <v>0</v>
      </c>
      <c r="F16" s="10">
        <f t="shared" si="11"/>
        <v>0</v>
      </c>
      <c r="G16" s="10">
        <f t="shared" si="11"/>
        <v>0</v>
      </c>
      <c r="H16" s="10">
        <f t="shared" si="11"/>
        <v>0</v>
      </c>
      <c r="I16" s="10">
        <f t="shared" si="11"/>
        <v>0</v>
      </c>
      <c r="J16" s="10">
        <f t="shared" si="11"/>
        <v>0</v>
      </c>
      <c r="K16" s="10">
        <f t="shared" si="11"/>
        <v>0</v>
      </c>
      <c r="L16" s="10">
        <f t="shared" si="11"/>
        <v>0</v>
      </c>
      <c r="M16" s="10">
        <f t="shared" si="11"/>
        <v>0</v>
      </c>
      <c r="N16" s="10">
        <f t="shared" si="11"/>
        <v>1</v>
      </c>
      <c r="O16" s="10">
        <f t="shared" si="11"/>
        <v>1367.14</v>
      </c>
      <c r="P16" s="10">
        <f t="shared" si="11"/>
        <v>1</v>
      </c>
      <c r="Q16" s="10">
        <f t="shared" si="11"/>
        <v>1367.14</v>
      </c>
      <c r="R16" s="8"/>
    </row>
    <row r="17" spans="1:18">
      <c r="A17" s="7" t="s">
        <v>109</v>
      </c>
      <c r="B17" s="3" t="s">
        <v>528</v>
      </c>
      <c r="C17" s="7" t="s">
        <v>152</v>
      </c>
      <c r="D17" s="7">
        <v>10</v>
      </c>
      <c r="E17" s="23">
        <f t="shared" si="0"/>
        <v>3625</v>
      </c>
      <c r="F17" s="7"/>
      <c r="G17" s="23">
        <f t="shared" si="1"/>
        <v>0</v>
      </c>
      <c r="H17" s="7"/>
      <c r="I17" s="23">
        <f t="shared" si="2"/>
        <v>0</v>
      </c>
      <c r="J17" s="7"/>
      <c r="K17" s="23">
        <f t="shared" si="3"/>
        <v>0</v>
      </c>
      <c r="L17" s="7"/>
      <c r="M17" s="23">
        <f t="shared" si="4"/>
        <v>0</v>
      </c>
      <c r="N17" s="7"/>
      <c r="O17" s="23">
        <f t="shared" si="5"/>
        <v>0</v>
      </c>
      <c r="P17" s="8">
        <f t="shared" si="6"/>
        <v>10</v>
      </c>
      <c r="Q17" s="8">
        <f t="shared" si="7"/>
        <v>3625</v>
      </c>
      <c r="R17" s="7"/>
    </row>
    <row r="18" spans="1:18">
      <c r="A18" s="9" t="s">
        <v>103</v>
      </c>
      <c r="B18" s="3"/>
      <c r="C18" s="7"/>
      <c r="D18" s="24">
        <f>SUM(D17:D17)</f>
        <v>10</v>
      </c>
      <c r="E18" s="24">
        <f t="shared" ref="E18:Q18" si="12">SUM(E17:E17)</f>
        <v>3625</v>
      </c>
      <c r="F18" s="24">
        <f t="shared" si="12"/>
        <v>0</v>
      </c>
      <c r="G18" s="24">
        <f t="shared" si="12"/>
        <v>0</v>
      </c>
      <c r="H18" s="24">
        <f t="shared" si="12"/>
        <v>0</v>
      </c>
      <c r="I18" s="24">
        <f t="shared" si="12"/>
        <v>0</v>
      </c>
      <c r="J18" s="24">
        <f t="shared" si="12"/>
        <v>0</v>
      </c>
      <c r="K18" s="24">
        <f t="shared" si="12"/>
        <v>0</v>
      </c>
      <c r="L18" s="24">
        <f t="shared" si="12"/>
        <v>0</v>
      </c>
      <c r="M18" s="24">
        <f t="shared" si="12"/>
        <v>0</v>
      </c>
      <c r="N18" s="24">
        <f t="shared" si="12"/>
        <v>0</v>
      </c>
      <c r="O18" s="24">
        <f t="shared" si="12"/>
        <v>0</v>
      </c>
      <c r="P18" s="10">
        <f t="shared" si="12"/>
        <v>10</v>
      </c>
      <c r="Q18" s="10">
        <f t="shared" si="12"/>
        <v>3625</v>
      </c>
      <c r="R18" s="8"/>
    </row>
    <row r="19" spans="1:18">
      <c r="A19" s="13" t="s">
        <v>6</v>
      </c>
      <c r="B19" s="3"/>
      <c r="C19" s="7"/>
      <c r="D19" s="28">
        <f>D18+D16+D14+D12+D10</f>
        <v>26</v>
      </c>
      <c r="E19" s="28">
        <f>E18+E16+E14+E12+E10</f>
        <v>9425</v>
      </c>
      <c r="F19" s="28">
        <f t="shared" ref="E19:Q19" si="13">F18+F16+F14+F12+F10</f>
        <v>55</v>
      </c>
      <c r="G19" s="28">
        <f t="shared" si="13"/>
        <v>22640.2</v>
      </c>
      <c r="H19" s="28">
        <f t="shared" si="13"/>
        <v>14</v>
      </c>
      <c r="I19" s="28">
        <f t="shared" si="13"/>
        <v>7686.7</v>
      </c>
      <c r="J19" s="28">
        <f t="shared" si="13"/>
        <v>10</v>
      </c>
      <c r="K19" s="28">
        <f t="shared" si="13"/>
        <v>7042.40000000001</v>
      </c>
      <c r="L19" s="28">
        <f t="shared" si="13"/>
        <v>2</v>
      </c>
      <c r="M19" s="28">
        <f t="shared" si="13"/>
        <v>2138.86</v>
      </c>
      <c r="N19" s="28">
        <f t="shared" si="13"/>
        <v>1</v>
      </c>
      <c r="O19" s="28">
        <f t="shared" si="13"/>
        <v>1367.14</v>
      </c>
      <c r="P19" s="36">
        <f t="shared" si="13"/>
        <v>108</v>
      </c>
      <c r="Q19" s="36">
        <f t="shared" si="13"/>
        <v>50300.3</v>
      </c>
      <c r="R19" s="8"/>
    </row>
    <row r="21" spans="4:16"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</row>
  </sheetData>
  <autoFilter ref="A5:R19">
    <extLst/>
  </autoFilter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X48"/>
  <sheetViews>
    <sheetView workbookViewId="0">
      <selection activeCell="N6" sqref="N6:N29"/>
    </sheetView>
  </sheetViews>
  <sheetFormatPr defaultColWidth="8.88888888888889" defaultRowHeight="14.4"/>
  <cols>
    <col min="1" max="1" width="38.7777777777778" customWidth="1"/>
    <col min="2" max="2" width="6.66666666666667" style="18" customWidth="1"/>
    <col min="3" max="3" width="5.33333333333333" style="18" customWidth="1"/>
    <col min="4" max="4" width="12.2222222222222" style="18" hidden="1" customWidth="1"/>
    <col min="5" max="5" width="14.6666666666667" customWidth="1"/>
    <col min="6" max="6" width="10.1111111111111" hidden="1" customWidth="1"/>
    <col min="7" max="7" width="15.5555555555556" customWidth="1"/>
    <col min="8" max="8" width="11.1111111111111" hidden="1" customWidth="1"/>
    <col min="9" max="9" width="13.3333333333333" customWidth="1"/>
    <col min="10" max="10" width="14.8888888888889" hidden="1" customWidth="1"/>
    <col min="11" max="11" width="11.5555555555556" customWidth="1"/>
    <col min="12" max="12" width="18.6666666666667" hidden="1" customWidth="1"/>
    <col min="13" max="13" width="9.55555555555556" customWidth="1"/>
    <col min="14" max="14" width="10.6666666666667" style="2" customWidth="1"/>
    <col min="17" max="17" width="10.6666666666667" hidden="1" customWidth="1"/>
    <col min="18" max="18" width="12.7777777777778" hidden="1" customWidth="1"/>
    <col min="19" max="23" width="10.6666666666667" hidden="1" customWidth="1"/>
    <col min="24" max="24" width="8.88888888888889" hidden="1" customWidth="1"/>
    <col min="25" max="41" width="8.88888888888889" customWidth="1"/>
  </cols>
  <sheetData>
    <row r="4" hidden="1" spans="5:24">
      <c r="E4" s="19">
        <v>1877.08</v>
      </c>
      <c r="F4" s="19"/>
      <c r="G4" s="19">
        <v>2052.08</v>
      </c>
      <c r="H4" s="20"/>
      <c r="I4" s="2">
        <v>3974.36</v>
      </c>
      <c r="J4" s="2"/>
      <c r="K4" s="19">
        <v>4430.2</v>
      </c>
      <c r="L4" s="20"/>
      <c r="Q4" s="31" t="s">
        <v>643</v>
      </c>
      <c r="R4">
        <v>19427</v>
      </c>
      <c r="S4" s="31" t="s">
        <v>644</v>
      </c>
      <c r="T4">
        <v>23802</v>
      </c>
      <c r="U4" s="31" t="s">
        <v>645</v>
      </c>
      <c r="V4">
        <v>27674</v>
      </c>
      <c r="W4" s="31" t="s">
        <v>646</v>
      </c>
      <c r="X4">
        <v>30930</v>
      </c>
    </row>
    <row r="5" ht="41.4" spans="1:16">
      <c r="A5" s="3" t="s">
        <v>3</v>
      </c>
      <c r="B5" s="5" t="s">
        <v>425</v>
      </c>
      <c r="C5" s="5" t="s">
        <v>426</v>
      </c>
      <c r="D5" s="5" t="s">
        <v>647</v>
      </c>
      <c r="E5" s="6" t="s">
        <v>648</v>
      </c>
      <c r="F5" s="6"/>
      <c r="G5" s="6" t="s">
        <v>649</v>
      </c>
      <c r="H5" s="6"/>
      <c r="I5" s="6" t="s">
        <v>650</v>
      </c>
      <c r="J5" s="6"/>
      <c r="K5" s="6" t="s">
        <v>651</v>
      </c>
      <c r="L5" s="6"/>
      <c r="M5" s="6" t="s">
        <v>652</v>
      </c>
      <c r="N5" s="29" t="s">
        <v>638</v>
      </c>
      <c r="O5" s="17" t="s">
        <v>436</v>
      </c>
      <c r="P5" s="30"/>
    </row>
    <row r="6" spans="1:24">
      <c r="A6" s="7" t="s">
        <v>296</v>
      </c>
      <c r="B6" s="21" t="s">
        <v>653</v>
      </c>
      <c r="C6" s="21" t="s">
        <v>152</v>
      </c>
      <c r="D6" s="22" t="s">
        <v>653</v>
      </c>
      <c r="E6" s="7"/>
      <c r="F6" s="23">
        <f>E6*$E$4</f>
        <v>0</v>
      </c>
      <c r="G6" s="7">
        <v>8</v>
      </c>
      <c r="H6" s="23">
        <f>G6*4952</f>
        <v>39616</v>
      </c>
      <c r="I6" s="7">
        <v>14</v>
      </c>
      <c r="J6" s="23">
        <f>I6*6924</f>
        <v>96936</v>
      </c>
      <c r="K6" s="7">
        <v>6</v>
      </c>
      <c r="L6" s="23">
        <f>K6*7930</f>
        <v>47580</v>
      </c>
      <c r="M6" s="7">
        <f>E6+G6+I6+K6</f>
        <v>28</v>
      </c>
      <c r="N6" s="8">
        <f>F6+H6+J6+L6</f>
        <v>184132</v>
      </c>
      <c r="O6" s="3" t="s">
        <v>654</v>
      </c>
      <c r="P6" s="16"/>
      <c r="Q6" s="2">
        <v>15200</v>
      </c>
      <c r="R6" s="2">
        <f>$R$4-Q6</f>
        <v>4227</v>
      </c>
      <c r="S6" s="2">
        <v>18850</v>
      </c>
      <c r="T6" s="2">
        <f>$T$4-S6</f>
        <v>4952</v>
      </c>
      <c r="U6" s="2">
        <v>20750</v>
      </c>
      <c r="V6" s="2">
        <f>$V$4-U6</f>
        <v>6924</v>
      </c>
      <c r="W6" s="2">
        <v>23000</v>
      </c>
      <c r="X6" s="32">
        <f>$X$4-W6</f>
        <v>7930</v>
      </c>
    </row>
    <row r="7" spans="1:24">
      <c r="A7" s="9" t="s">
        <v>7</v>
      </c>
      <c r="B7" s="21"/>
      <c r="C7" s="21"/>
      <c r="D7" s="22"/>
      <c r="E7" s="10">
        <f>SUM(E6)</f>
        <v>0</v>
      </c>
      <c r="F7" s="10">
        <f t="shared" ref="F7:O7" si="0">SUM(F6)</f>
        <v>0</v>
      </c>
      <c r="G7" s="10">
        <f t="shared" si="0"/>
        <v>8</v>
      </c>
      <c r="H7" s="10">
        <f t="shared" si="0"/>
        <v>39616</v>
      </c>
      <c r="I7" s="10">
        <f t="shared" si="0"/>
        <v>14</v>
      </c>
      <c r="J7" s="10">
        <f t="shared" si="0"/>
        <v>96936</v>
      </c>
      <c r="K7" s="10">
        <f t="shared" si="0"/>
        <v>6</v>
      </c>
      <c r="L7" s="10">
        <f t="shared" si="0"/>
        <v>47580</v>
      </c>
      <c r="M7" s="10">
        <f t="shared" si="0"/>
        <v>28</v>
      </c>
      <c r="N7" s="10">
        <f t="shared" si="0"/>
        <v>184132</v>
      </c>
      <c r="O7" s="8">
        <f t="shared" si="0"/>
        <v>0</v>
      </c>
      <c r="P7" s="2"/>
      <c r="Q7" s="2"/>
      <c r="R7" s="2"/>
      <c r="S7" s="2"/>
      <c r="T7" s="2"/>
      <c r="U7" s="2"/>
      <c r="V7" s="2"/>
      <c r="W7" s="2"/>
      <c r="X7" s="32"/>
    </row>
    <row r="8" spans="1:24">
      <c r="A8" s="7" t="s">
        <v>186</v>
      </c>
      <c r="B8" s="21" t="s">
        <v>639</v>
      </c>
      <c r="C8" s="21" t="s">
        <v>152</v>
      </c>
      <c r="D8" s="22"/>
      <c r="E8" s="7"/>
      <c r="F8" s="23">
        <f t="shared" ref="F7:F29" si="1">E8*$E$4</f>
        <v>0</v>
      </c>
      <c r="G8" s="7"/>
      <c r="H8" s="23">
        <f>G8*$G$4</f>
        <v>0</v>
      </c>
      <c r="I8" s="7"/>
      <c r="J8" s="23">
        <f t="shared" ref="J7:J30" si="2">I8*$I$4</f>
        <v>0</v>
      </c>
      <c r="K8" s="7">
        <v>2</v>
      </c>
      <c r="L8" s="23">
        <f>K8*$K$4</f>
        <v>8860.4</v>
      </c>
      <c r="M8" s="7">
        <f t="shared" ref="M7:M30" si="3">E8+G8+I8+K8</f>
        <v>2</v>
      </c>
      <c r="N8" s="8">
        <f>F8+H8+J8+L8</f>
        <v>8860.4</v>
      </c>
      <c r="O8" s="7"/>
      <c r="Q8" s="2"/>
      <c r="R8" s="2"/>
      <c r="S8" s="2"/>
      <c r="T8" s="2"/>
      <c r="U8" s="2"/>
      <c r="V8" s="2"/>
      <c r="W8" s="2"/>
      <c r="X8" s="32"/>
    </row>
    <row r="9" spans="1:24">
      <c r="A9" s="9" t="s">
        <v>171</v>
      </c>
      <c r="B9" s="21"/>
      <c r="C9" s="21"/>
      <c r="D9" s="22"/>
      <c r="E9" s="10">
        <f>SUM(E8:E8)</f>
        <v>0</v>
      </c>
      <c r="F9" s="10">
        <f t="shared" ref="F9:N9" si="4">SUM(F8:F8)</f>
        <v>0</v>
      </c>
      <c r="G9" s="10">
        <f t="shared" si="4"/>
        <v>0</v>
      </c>
      <c r="H9" s="10">
        <f t="shared" si="4"/>
        <v>0</v>
      </c>
      <c r="I9" s="10">
        <f t="shared" si="4"/>
        <v>0</v>
      </c>
      <c r="J9" s="10">
        <f t="shared" si="4"/>
        <v>0</v>
      </c>
      <c r="K9" s="10">
        <f t="shared" si="4"/>
        <v>2</v>
      </c>
      <c r="L9" s="10">
        <f t="shared" si="4"/>
        <v>8860.4</v>
      </c>
      <c r="M9" s="10">
        <f t="shared" si="4"/>
        <v>2</v>
      </c>
      <c r="N9" s="10">
        <f t="shared" si="4"/>
        <v>8860.4</v>
      </c>
      <c r="O9" s="7"/>
      <c r="Q9" s="2"/>
      <c r="R9" s="2"/>
      <c r="S9" s="2"/>
      <c r="T9" s="2"/>
      <c r="U9" s="2"/>
      <c r="V9" s="2"/>
      <c r="W9" s="2"/>
      <c r="X9" s="32"/>
    </row>
    <row r="10" spans="1:24">
      <c r="A10" s="7" t="s">
        <v>304</v>
      </c>
      <c r="B10" s="21" t="s">
        <v>655</v>
      </c>
      <c r="C10" s="21" t="s">
        <v>152</v>
      </c>
      <c r="D10" s="22" t="s">
        <v>655</v>
      </c>
      <c r="E10" s="7"/>
      <c r="F10" s="23">
        <f t="shared" si="1"/>
        <v>0</v>
      </c>
      <c r="G10" s="7">
        <v>2</v>
      </c>
      <c r="H10" s="23">
        <f>G10*4602</f>
        <v>9204</v>
      </c>
      <c r="I10" s="7"/>
      <c r="J10" s="23">
        <f t="shared" si="2"/>
        <v>0</v>
      </c>
      <c r="K10" s="7">
        <v>2</v>
      </c>
      <c r="L10" s="23">
        <f>K10*7630</f>
        <v>15260</v>
      </c>
      <c r="M10" s="7">
        <f t="shared" si="3"/>
        <v>4</v>
      </c>
      <c r="N10" s="8">
        <f>F10+H10+J10+L10</f>
        <v>24464</v>
      </c>
      <c r="O10" s="3" t="s">
        <v>654</v>
      </c>
      <c r="P10" s="16"/>
      <c r="Q10" s="2">
        <v>0</v>
      </c>
      <c r="R10" s="2">
        <f>$R$4-Q10</f>
        <v>19427</v>
      </c>
      <c r="S10" s="2">
        <v>19200</v>
      </c>
      <c r="T10" s="2">
        <f>$T$4-S10</f>
        <v>4602</v>
      </c>
      <c r="U10" s="2">
        <v>0</v>
      </c>
      <c r="V10" s="2">
        <f>$V$4-U10</f>
        <v>27674</v>
      </c>
      <c r="W10" s="2">
        <v>23300</v>
      </c>
      <c r="X10" s="32">
        <f>$X$4-W10</f>
        <v>7630</v>
      </c>
    </row>
    <row r="11" spans="1:24">
      <c r="A11" s="7" t="s">
        <v>209</v>
      </c>
      <c r="B11" s="21" t="s">
        <v>656</v>
      </c>
      <c r="C11" s="21" t="s">
        <v>158</v>
      </c>
      <c r="D11" s="22" t="s">
        <v>656</v>
      </c>
      <c r="E11" s="7">
        <v>11</v>
      </c>
      <c r="F11" s="23">
        <f>E11*3927</f>
        <v>43197</v>
      </c>
      <c r="G11" s="7">
        <v>8</v>
      </c>
      <c r="H11" s="23">
        <f>G11*4602</f>
        <v>36816</v>
      </c>
      <c r="I11" s="7"/>
      <c r="J11" s="23">
        <f t="shared" si="2"/>
        <v>0</v>
      </c>
      <c r="K11" s="7"/>
      <c r="L11" s="23">
        <f>K11*$K$4</f>
        <v>0</v>
      </c>
      <c r="M11" s="7">
        <f t="shared" si="3"/>
        <v>19</v>
      </c>
      <c r="N11" s="8">
        <f>F11+H11+J11+L11</f>
        <v>80013</v>
      </c>
      <c r="O11" s="3" t="s">
        <v>654</v>
      </c>
      <c r="P11" s="16"/>
      <c r="Q11" s="2">
        <v>15500</v>
      </c>
      <c r="R11" s="2">
        <f>$R$4-Q11</f>
        <v>3927</v>
      </c>
      <c r="S11" s="2">
        <v>19200</v>
      </c>
      <c r="T11" s="2">
        <f>$T$4-S11</f>
        <v>4602</v>
      </c>
      <c r="U11" s="2">
        <v>0</v>
      </c>
      <c r="V11" s="2">
        <f>$V$4-U11</f>
        <v>27674</v>
      </c>
      <c r="W11" s="2">
        <v>23300</v>
      </c>
      <c r="X11" s="32">
        <f>$X$4-W11</f>
        <v>7630</v>
      </c>
    </row>
    <row r="12" spans="1:24">
      <c r="A12" s="7" t="s">
        <v>293</v>
      </c>
      <c r="B12" s="21" t="s">
        <v>657</v>
      </c>
      <c r="C12" s="21" t="s">
        <v>152</v>
      </c>
      <c r="D12" s="22" t="s">
        <v>657</v>
      </c>
      <c r="E12" s="7"/>
      <c r="F12" s="23">
        <f t="shared" si="1"/>
        <v>0</v>
      </c>
      <c r="G12" s="7">
        <v>9</v>
      </c>
      <c r="H12" s="23">
        <f>G12*4802</f>
        <v>43218</v>
      </c>
      <c r="I12" s="7"/>
      <c r="J12" s="23">
        <f t="shared" si="2"/>
        <v>0</v>
      </c>
      <c r="K12" s="7">
        <v>2</v>
      </c>
      <c r="L12" s="23">
        <f>K12*7830</f>
        <v>15660</v>
      </c>
      <c r="M12" s="7">
        <f t="shared" si="3"/>
        <v>11</v>
      </c>
      <c r="N12" s="8">
        <f>F12+H12+J12+L12</f>
        <v>58878</v>
      </c>
      <c r="O12" s="3" t="s">
        <v>654</v>
      </c>
      <c r="P12" s="16"/>
      <c r="Q12" s="2">
        <v>15300</v>
      </c>
      <c r="R12" s="2">
        <f>$R$4-Q12</f>
        <v>4127</v>
      </c>
      <c r="S12" s="2">
        <v>19000</v>
      </c>
      <c r="T12" s="2">
        <f>$T$4-S12</f>
        <v>4802</v>
      </c>
      <c r="U12" s="2">
        <v>0</v>
      </c>
      <c r="V12" s="2">
        <f>$V$4-U12</f>
        <v>27674</v>
      </c>
      <c r="W12" s="2">
        <v>23100</v>
      </c>
      <c r="X12" s="32">
        <f>$X$4-W12</f>
        <v>7830</v>
      </c>
    </row>
    <row r="13" spans="1:24">
      <c r="A13" s="7" t="s">
        <v>19</v>
      </c>
      <c r="B13" s="21" t="s">
        <v>452</v>
      </c>
      <c r="C13" s="21" t="s">
        <v>152</v>
      </c>
      <c r="D13" s="22" t="s">
        <v>452</v>
      </c>
      <c r="E13" s="7"/>
      <c r="F13" s="23">
        <f t="shared" si="1"/>
        <v>0</v>
      </c>
      <c r="G13" s="7">
        <v>18</v>
      </c>
      <c r="H13" s="23">
        <f>G13*4802</f>
        <v>86436</v>
      </c>
      <c r="I13" s="7"/>
      <c r="J13" s="23">
        <f t="shared" si="2"/>
        <v>0</v>
      </c>
      <c r="K13" s="7">
        <v>4</v>
      </c>
      <c r="L13" s="23">
        <f>K13*7830</f>
        <v>31320</v>
      </c>
      <c r="M13" s="7">
        <f t="shared" si="3"/>
        <v>22</v>
      </c>
      <c r="N13" s="8">
        <f>F13+H13+J13+L13</f>
        <v>117756</v>
      </c>
      <c r="O13" s="3" t="s">
        <v>654</v>
      </c>
      <c r="P13" s="16"/>
      <c r="Q13" s="2">
        <v>15300</v>
      </c>
      <c r="R13" s="2">
        <f>$R$4-Q13</f>
        <v>4127</v>
      </c>
      <c r="S13" s="2">
        <v>19000</v>
      </c>
      <c r="T13" s="2">
        <f>$T$4-S13</f>
        <v>4802</v>
      </c>
      <c r="U13" s="2">
        <v>0</v>
      </c>
      <c r="V13" s="2">
        <f>$V$4-U13</f>
        <v>27674</v>
      </c>
      <c r="W13" s="2">
        <v>23100</v>
      </c>
      <c r="X13" s="32">
        <f>$X$4-W13</f>
        <v>7830</v>
      </c>
    </row>
    <row r="14" spans="1:24">
      <c r="A14" s="9" t="s">
        <v>15</v>
      </c>
      <c r="B14" s="21"/>
      <c r="C14" s="21"/>
      <c r="D14" s="22"/>
      <c r="E14" s="24">
        <f>SUM(E10:E13)</f>
        <v>11</v>
      </c>
      <c r="F14" s="24">
        <f t="shared" ref="F14:N14" si="5">SUM(F10:F13)</f>
        <v>43197</v>
      </c>
      <c r="G14" s="24">
        <f t="shared" si="5"/>
        <v>37</v>
      </c>
      <c r="H14" s="24">
        <f t="shared" si="5"/>
        <v>175674</v>
      </c>
      <c r="I14" s="24">
        <f t="shared" si="5"/>
        <v>0</v>
      </c>
      <c r="J14" s="24">
        <f t="shared" si="5"/>
        <v>0</v>
      </c>
      <c r="K14" s="24">
        <f t="shared" si="5"/>
        <v>8</v>
      </c>
      <c r="L14" s="24">
        <f t="shared" si="5"/>
        <v>62240</v>
      </c>
      <c r="M14" s="24">
        <f t="shared" si="5"/>
        <v>56</v>
      </c>
      <c r="N14" s="24">
        <f t="shared" si="5"/>
        <v>281111</v>
      </c>
      <c r="O14" s="7"/>
      <c r="Q14" s="2"/>
      <c r="R14" s="2"/>
      <c r="S14" s="2"/>
      <c r="T14" s="2"/>
      <c r="U14" s="2"/>
      <c r="V14" s="2"/>
      <c r="W14" s="2"/>
      <c r="X14" s="32"/>
    </row>
    <row r="15" spans="1:24">
      <c r="A15" s="7" t="s">
        <v>312</v>
      </c>
      <c r="B15" s="21" t="s">
        <v>658</v>
      </c>
      <c r="C15" s="21" t="s">
        <v>152</v>
      </c>
      <c r="D15" s="22" t="s">
        <v>658</v>
      </c>
      <c r="E15" s="7"/>
      <c r="F15" s="23">
        <f t="shared" si="1"/>
        <v>0</v>
      </c>
      <c r="G15" s="7">
        <v>10</v>
      </c>
      <c r="H15" s="23">
        <f>G15*5152</f>
        <v>51520</v>
      </c>
      <c r="I15" s="7"/>
      <c r="J15" s="23">
        <f t="shared" si="2"/>
        <v>0</v>
      </c>
      <c r="K15" s="7"/>
      <c r="L15" s="23">
        <f>K15*$K$4</f>
        <v>0</v>
      </c>
      <c r="M15" s="7">
        <f t="shared" si="3"/>
        <v>10</v>
      </c>
      <c r="N15" s="8">
        <f>F15+H15+J15+L15</f>
        <v>51520</v>
      </c>
      <c r="O15" s="3" t="s">
        <v>654</v>
      </c>
      <c r="P15" s="16"/>
      <c r="Q15" s="2">
        <v>15000</v>
      </c>
      <c r="R15" s="2">
        <f>$R$4-Q15</f>
        <v>4427</v>
      </c>
      <c r="S15" s="2">
        <v>18650</v>
      </c>
      <c r="T15" s="2">
        <f>$T$4-S15</f>
        <v>5152</v>
      </c>
      <c r="U15" s="2">
        <v>0</v>
      </c>
      <c r="V15" s="2">
        <f>$V$4-U15</f>
        <v>27674</v>
      </c>
      <c r="W15" s="2">
        <v>22800</v>
      </c>
      <c r="X15" s="32">
        <f>$X$4-W15</f>
        <v>8130</v>
      </c>
    </row>
    <row r="16" spans="1:24">
      <c r="A16" s="7" t="s">
        <v>31</v>
      </c>
      <c r="B16" s="21" t="s">
        <v>462</v>
      </c>
      <c r="C16" s="21" t="s">
        <v>152</v>
      </c>
      <c r="D16" s="22"/>
      <c r="E16" s="7"/>
      <c r="F16" s="23">
        <f t="shared" si="1"/>
        <v>0</v>
      </c>
      <c r="G16" s="7">
        <v>2</v>
      </c>
      <c r="H16" s="23">
        <f>G16*$G$4</f>
        <v>4104.16</v>
      </c>
      <c r="I16" s="7"/>
      <c r="J16" s="23">
        <f t="shared" si="2"/>
        <v>0</v>
      </c>
      <c r="K16" s="7"/>
      <c r="L16" s="23">
        <f>K16*$K$4</f>
        <v>0</v>
      </c>
      <c r="M16" s="7">
        <f t="shared" si="3"/>
        <v>2</v>
      </c>
      <c r="N16" s="8">
        <f>F16+H16+J16+L16</f>
        <v>4104.16</v>
      </c>
      <c r="O16" s="7"/>
      <c r="Q16" s="2"/>
      <c r="R16" s="2"/>
      <c r="S16" s="2"/>
      <c r="T16" s="2"/>
      <c r="U16" s="2"/>
      <c r="V16" s="2"/>
      <c r="W16" s="2"/>
      <c r="X16" s="32"/>
    </row>
    <row r="17" spans="1:24">
      <c r="A17" s="7" t="s">
        <v>35</v>
      </c>
      <c r="B17" s="21" t="s">
        <v>466</v>
      </c>
      <c r="C17" s="21" t="s">
        <v>152</v>
      </c>
      <c r="D17" s="22" t="s">
        <v>466</v>
      </c>
      <c r="E17" s="7"/>
      <c r="F17" s="23">
        <f t="shared" si="1"/>
        <v>0</v>
      </c>
      <c r="G17" s="7">
        <v>7</v>
      </c>
      <c r="H17" s="23">
        <f>G17*4752</f>
        <v>33264</v>
      </c>
      <c r="I17" s="7"/>
      <c r="J17" s="23">
        <f t="shared" si="2"/>
        <v>0</v>
      </c>
      <c r="K17" s="7"/>
      <c r="L17" s="23">
        <f>K17*$K$4</f>
        <v>0</v>
      </c>
      <c r="M17" s="7">
        <f t="shared" si="3"/>
        <v>7</v>
      </c>
      <c r="N17" s="8">
        <f>F17+H17+J17+L17</f>
        <v>33264</v>
      </c>
      <c r="O17" s="3" t="s">
        <v>654</v>
      </c>
      <c r="P17" s="16"/>
      <c r="Q17" s="2">
        <v>0</v>
      </c>
      <c r="R17" s="2">
        <f>$R$4-Q17</f>
        <v>19427</v>
      </c>
      <c r="S17" s="2">
        <v>19050</v>
      </c>
      <c r="T17" s="2">
        <f>$T$4-S17</f>
        <v>4752</v>
      </c>
      <c r="U17" s="2">
        <v>0</v>
      </c>
      <c r="V17" s="2">
        <f>$V$4-U17</f>
        <v>27674</v>
      </c>
      <c r="W17" s="2">
        <v>0</v>
      </c>
      <c r="X17" s="32">
        <f>$X$4-W17</f>
        <v>30930</v>
      </c>
    </row>
    <row r="18" spans="1:24">
      <c r="A18" s="7" t="s">
        <v>289</v>
      </c>
      <c r="B18" s="21" t="s">
        <v>659</v>
      </c>
      <c r="C18" s="21" t="s">
        <v>152</v>
      </c>
      <c r="D18" s="22" t="s">
        <v>659</v>
      </c>
      <c r="E18" s="7"/>
      <c r="F18" s="23">
        <f t="shared" si="1"/>
        <v>0</v>
      </c>
      <c r="G18" s="7">
        <v>7</v>
      </c>
      <c r="H18" s="23">
        <f>G18*4752</f>
        <v>33264</v>
      </c>
      <c r="I18" s="7"/>
      <c r="J18" s="23">
        <f t="shared" si="2"/>
        <v>0</v>
      </c>
      <c r="K18" s="7"/>
      <c r="L18" s="23">
        <f>K18*$K$4</f>
        <v>0</v>
      </c>
      <c r="M18" s="7">
        <f t="shared" si="3"/>
        <v>7</v>
      </c>
      <c r="N18" s="8">
        <f>F18+H18+J18+L18</f>
        <v>33264</v>
      </c>
      <c r="O18" s="3" t="s">
        <v>654</v>
      </c>
      <c r="P18" s="16"/>
      <c r="Q18" s="2">
        <v>0</v>
      </c>
      <c r="R18" s="2">
        <f>$R$4-Q18</f>
        <v>19427</v>
      </c>
      <c r="S18" s="2">
        <v>19050</v>
      </c>
      <c r="T18" s="2">
        <f>$T$4-S18</f>
        <v>4752</v>
      </c>
      <c r="U18" s="2">
        <v>0</v>
      </c>
      <c r="V18" s="2">
        <f>$V$4-U18</f>
        <v>27674</v>
      </c>
      <c r="W18" s="2">
        <v>0</v>
      </c>
      <c r="X18" s="32">
        <f>$X$4-W18</f>
        <v>30930</v>
      </c>
    </row>
    <row r="19" spans="1:24">
      <c r="A19" s="7" t="s">
        <v>37</v>
      </c>
      <c r="B19" s="21" t="s">
        <v>468</v>
      </c>
      <c r="C19" s="21" t="s">
        <v>152</v>
      </c>
      <c r="D19" s="22" t="s">
        <v>468</v>
      </c>
      <c r="E19" s="7"/>
      <c r="F19" s="23">
        <f t="shared" si="1"/>
        <v>0</v>
      </c>
      <c r="G19" s="7">
        <v>10</v>
      </c>
      <c r="H19" s="23">
        <f>G19*4752</f>
        <v>47520</v>
      </c>
      <c r="I19" s="7"/>
      <c r="J19" s="23">
        <f t="shared" si="2"/>
        <v>0</v>
      </c>
      <c r="K19" s="7"/>
      <c r="L19" s="23">
        <f>K19*$K$4</f>
        <v>0</v>
      </c>
      <c r="M19" s="7">
        <f t="shared" si="3"/>
        <v>10</v>
      </c>
      <c r="N19" s="8">
        <f>F19+H19+J19+L19</f>
        <v>47520</v>
      </c>
      <c r="O19" s="3" t="s">
        <v>654</v>
      </c>
      <c r="P19" s="16"/>
      <c r="Q19" s="2">
        <v>0</v>
      </c>
      <c r="R19" s="2">
        <f>$R$4-Q19</f>
        <v>19427</v>
      </c>
      <c r="S19" s="2">
        <v>19050</v>
      </c>
      <c r="T19" s="2">
        <f>$T$4-S19</f>
        <v>4752</v>
      </c>
      <c r="U19" s="2">
        <v>0</v>
      </c>
      <c r="V19" s="2">
        <f>$V$4-U19</f>
        <v>27674</v>
      </c>
      <c r="W19" s="2">
        <v>0</v>
      </c>
      <c r="X19" s="32">
        <f>$X$4-W19</f>
        <v>30930</v>
      </c>
    </row>
    <row r="20" spans="1:24">
      <c r="A20" s="9" t="s">
        <v>28</v>
      </c>
      <c r="B20" s="21"/>
      <c r="C20" s="21"/>
      <c r="D20" s="22"/>
      <c r="E20" s="10">
        <f>SUM(E15:E19)</f>
        <v>0</v>
      </c>
      <c r="F20" s="10">
        <f t="shared" ref="F20:N20" si="6">SUM(F15:F19)</f>
        <v>0</v>
      </c>
      <c r="G20" s="10">
        <f t="shared" si="6"/>
        <v>36</v>
      </c>
      <c r="H20" s="10">
        <f t="shared" si="6"/>
        <v>169672.16</v>
      </c>
      <c r="I20" s="10">
        <f t="shared" si="6"/>
        <v>0</v>
      </c>
      <c r="J20" s="10">
        <f t="shared" si="6"/>
        <v>0</v>
      </c>
      <c r="K20" s="10">
        <f t="shared" si="6"/>
        <v>0</v>
      </c>
      <c r="L20" s="10">
        <f t="shared" si="6"/>
        <v>0</v>
      </c>
      <c r="M20" s="10">
        <f t="shared" si="6"/>
        <v>36</v>
      </c>
      <c r="N20" s="10">
        <f t="shared" si="6"/>
        <v>169672.16</v>
      </c>
      <c r="O20" s="7"/>
      <c r="Q20" s="2"/>
      <c r="R20" s="2"/>
      <c r="S20" s="2"/>
      <c r="T20" s="2"/>
      <c r="U20" s="2"/>
      <c r="V20" s="2"/>
      <c r="W20" s="2"/>
      <c r="X20" s="32"/>
    </row>
    <row r="21" spans="1:24">
      <c r="A21" s="7" t="s">
        <v>307</v>
      </c>
      <c r="B21" s="21" t="s">
        <v>660</v>
      </c>
      <c r="C21" s="21" t="s">
        <v>152</v>
      </c>
      <c r="D21" s="22"/>
      <c r="E21" s="7"/>
      <c r="F21" s="23">
        <f t="shared" si="1"/>
        <v>0</v>
      </c>
      <c r="G21" s="7">
        <v>15</v>
      </c>
      <c r="H21" s="23">
        <f>G21*$G$4</f>
        <v>30781.2</v>
      </c>
      <c r="I21" s="7"/>
      <c r="J21" s="23">
        <f t="shared" si="2"/>
        <v>0</v>
      </c>
      <c r="K21" s="7"/>
      <c r="L21" s="23">
        <f>K21*$K$4</f>
        <v>0</v>
      </c>
      <c r="M21" s="7">
        <f t="shared" si="3"/>
        <v>15</v>
      </c>
      <c r="N21" s="8">
        <f>F21+H21+J21+L21</f>
        <v>30781.2</v>
      </c>
      <c r="O21" s="7"/>
      <c r="Q21" s="2"/>
      <c r="R21" s="2"/>
      <c r="S21" s="2"/>
      <c r="T21" s="2"/>
      <c r="U21" s="2"/>
      <c r="V21" s="2"/>
      <c r="W21" s="2"/>
      <c r="X21" s="32"/>
    </row>
    <row r="22" spans="1:24">
      <c r="A22" s="9" t="s">
        <v>43</v>
      </c>
      <c r="B22" s="21"/>
      <c r="C22" s="21"/>
      <c r="D22" s="22"/>
      <c r="E22" s="10">
        <f>SUM(E21:E21)</f>
        <v>0</v>
      </c>
      <c r="F22" s="10">
        <f t="shared" ref="F22:N22" si="7">SUM(F21:F21)</f>
        <v>0</v>
      </c>
      <c r="G22" s="10">
        <f t="shared" si="7"/>
        <v>15</v>
      </c>
      <c r="H22" s="10">
        <f t="shared" si="7"/>
        <v>30781.2</v>
      </c>
      <c r="I22" s="10">
        <f t="shared" si="7"/>
        <v>0</v>
      </c>
      <c r="J22" s="10">
        <f t="shared" si="7"/>
        <v>0</v>
      </c>
      <c r="K22" s="10">
        <f t="shared" si="7"/>
        <v>0</v>
      </c>
      <c r="L22" s="10">
        <f t="shared" si="7"/>
        <v>0</v>
      </c>
      <c r="M22" s="10">
        <f t="shared" si="7"/>
        <v>15</v>
      </c>
      <c r="N22" s="10">
        <f t="shared" si="7"/>
        <v>30781.2</v>
      </c>
      <c r="O22" s="7"/>
      <c r="Q22" s="2"/>
      <c r="R22" s="2"/>
      <c r="S22" s="2"/>
      <c r="T22" s="2"/>
      <c r="U22" s="2"/>
      <c r="V22" s="2"/>
      <c r="W22" s="2"/>
      <c r="X22" s="32"/>
    </row>
    <row r="23" spans="1:24">
      <c r="A23" s="7" t="s">
        <v>56</v>
      </c>
      <c r="B23" s="21" t="s">
        <v>484</v>
      </c>
      <c r="C23" s="21" t="s">
        <v>152</v>
      </c>
      <c r="D23" s="22"/>
      <c r="E23" s="7"/>
      <c r="F23" s="23">
        <f t="shared" si="1"/>
        <v>0</v>
      </c>
      <c r="G23" s="7">
        <v>2</v>
      </c>
      <c r="H23" s="23">
        <f>G23*$G$4</f>
        <v>4104.16</v>
      </c>
      <c r="I23" s="7"/>
      <c r="J23" s="23">
        <f t="shared" si="2"/>
        <v>0</v>
      </c>
      <c r="K23" s="7"/>
      <c r="L23" s="23">
        <f>K23*$K$4</f>
        <v>0</v>
      </c>
      <c r="M23" s="7">
        <f t="shared" si="3"/>
        <v>2</v>
      </c>
      <c r="N23" s="8">
        <f>F23+H23+J23+L23</f>
        <v>4104.16</v>
      </c>
      <c r="O23" s="7"/>
      <c r="Q23" s="2"/>
      <c r="R23" s="2"/>
      <c r="S23" s="2"/>
      <c r="T23" s="2"/>
      <c r="U23" s="2"/>
      <c r="V23" s="2"/>
      <c r="W23" s="2"/>
      <c r="X23" s="32"/>
    </row>
    <row r="24" spans="1:24">
      <c r="A24" s="7" t="s">
        <v>57</v>
      </c>
      <c r="B24" s="21" t="s">
        <v>485</v>
      </c>
      <c r="C24" s="21" t="s">
        <v>152</v>
      </c>
      <c r="D24" s="22"/>
      <c r="E24" s="7"/>
      <c r="F24" s="23">
        <f t="shared" si="1"/>
        <v>0</v>
      </c>
      <c r="G24" s="7">
        <v>5</v>
      </c>
      <c r="H24" s="23">
        <f>G24*$G$4</f>
        <v>10260.4</v>
      </c>
      <c r="I24" s="7"/>
      <c r="J24" s="23">
        <f t="shared" si="2"/>
        <v>0</v>
      </c>
      <c r="K24" s="7"/>
      <c r="L24" s="23">
        <f>K24*$K$4</f>
        <v>0</v>
      </c>
      <c r="M24" s="7">
        <f t="shared" si="3"/>
        <v>5</v>
      </c>
      <c r="N24" s="8">
        <f>F24+H24+J24+L24</f>
        <v>10260.4</v>
      </c>
      <c r="O24" s="7"/>
      <c r="Q24" s="2"/>
      <c r="R24" s="2"/>
      <c r="S24" s="2"/>
      <c r="T24" s="2"/>
      <c r="U24" s="2"/>
      <c r="V24" s="2"/>
      <c r="W24" s="2"/>
      <c r="X24" s="32"/>
    </row>
    <row r="25" spans="1:24">
      <c r="A25" s="9" t="s">
        <v>49</v>
      </c>
      <c r="B25" s="21"/>
      <c r="C25" s="21"/>
      <c r="D25" s="22"/>
      <c r="E25" s="10">
        <f>SUM(E23:E24)</f>
        <v>0</v>
      </c>
      <c r="F25" s="10">
        <f t="shared" ref="F25:N25" si="8">SUM(F23:F24)</f>
        <v>0</v>
      </c>
      <c r="G25" s="10">
        <f t="shared" si="8"/>
        <v>7</v>
      </c>
      <c r="H25" s="10">
        <f t="shared" si="8"/>
        <v>14364.56</v>
      </c>
      <c r="I25" s="10">
        <f t="shared" si="8"/>
        <v>0</v>
      </c>
      <c r="J25" s="10">
        <f t="shared" si="8"/>
        <v>0</v>
      </c>
      <c r="K25" s="10">
        <f t="shared" si="8"/>
        <v>0</v>
      </c>
      <c r="L25" s="10">
        <f t="shared" si="8"/>
        <v>0</v>
      </c>
      <c r="M25" s="10">
        <f t="shared" si="8"/>
        <v>7</v>
      </c>
      <c r="N25" s="10">
        <f t="shared" si="8"/>
        <v>14364.56</v>
      </c>
      <c r="O25" s="7"/>
      <c r="Q25" s="2"/>
      <c r="R25" s="2"/>
      <c r="S25" s="2"/>
      <c r="T25" s="2"/>
      <c r="U25" s="2"/>
      <c r="V25" s="2"/>
      <c r="W25" s="2"/>
      <c r="X25" s="32"/>
    </row>
    <row r="26" spans="1:24">
      <c r="A26" s="7" t="s">
        <v>227</v>
      </c>
      <c r="B26" s="21" t="s">
        <v>661</v>
      </c>
      <c r="C26" s="21" t="s">
        <v>158</v>
      </c>
      <c r="D26" s="22"/>
      <c r="E26" s="7"/>
      <c r="F26" s="23">
        <f t="shared" si="1"/>
        <v>0</v>
      </c>
      <c r="G26" s="7"/>
      <c r="H26" s="23">
        <f>G26*$G$4</f>
        <v>0</v>
      </c>
      <c r="I26" s="7">
        <v>4</v>
      </c>
      <c r="J26" s="23">
        <f t="shared" si="2"/>
        <v>15897.44</v>
      </c>
      <c r="K26" s="7"/>
      <c r="L26" s="23">
        <f>K26*$K$4</f>
        <v>0</v>
      </c>
      <c r="M26" s="7">
        <f t="shared" si="3"/>
        <v>4</v>
      </c>
      <c r="N26" s="8">
        <f>F26+H26+J26+L26</f>
        <v>15897.44</v>
      </c>
      <c r="O26" s="7"/>
      <c r="Q26" s="2"/>
      <c r="R26" s="2"/>
      <c r="S26" s="2"/>
      <c r="T26" s="2"/>
      <c r="U26" s="2"/>
      <c r="V26" s="2"/>
      <c r="W26" s="2"/>
      <c r="X26" s="32"/>
    </row>
    <row r="27" spans="1:24">
      <c r="A27" s="9" t="s">
        <v>73</v>
      </c>
      <c r="B27" s="21"/>
      <c r="C27" s="21"/>
      <c r="D27" s="22"/>
      <c r="E27" s="10">
        <f>SUM(E26:E26)</f>
        <v>0</v>
      </c>
      <c r="F27" s="10">
        <f t="shared" ref="F27:N27" si="9">SUM(F26:F26)</f>
        <v>0</v>
      </c>
      <c r="G27" s="10">
        <f t="shared" si="9"/>
        <v>0</v>
      </c>
      <c r="H27" s="10">
        <f t="shared" si="9"/>
        <v>0</v>
      </c>
      <c r="I27" s="10">
        <f t="shared" si="9"/>
        <v>4</v>
      </c>
      <c r="J27" s="10">
        <f t="shared" si="9"/>
        <v>15897.44</v>
      </c>
      <c r="K27" s="10">
        <f t="shared" si="9"/>
        <v>0</v>
      </c>
      <c r="L27" s="10">
        <f t="shared" si="9"/>
        <v>0</v>
      </c>
      <c r="M27" s="10">
        <f t="shared" si="9"/>
        <v>4</v>
      </c>
      <c r="N27" s="10">
        <f t="shared" si="9"/>
        <v>15897.44</v>
      </c>
      <c r="O27" s="7"/>
      <c r="Q27" s="2"/>
      <c r="R27" s="2"/>
      <c r="S27" s="2"/>
      <c r="T27" s="2"/>
      <c r="U27" s="2"/>
      <c r="V27" s="2"/>
      <c r="W27" s="2"/>
      <c r="X27" s="32"/>
    </row>
    <row r="28" spans="1:24">
      <c r="A28" s="7" t="s">
        <v>275</v>
      </c>
      <c r="B28" s="21" t="s">
        <v>662</v>
      </c>
      <c r="C28" s="21" t="s">
        <v>152</v>
      </c>
      <c r="D28" s="87" t="s">
        <v>662</v>
      </c>
      <c r="E28" s="7">
        <v>2</v>
      </c>
      <c r="F28" s="23">
        <f>E28*2150</f>
        <v>4300</v>
      </c>
      <c r="G28" s="7"/>
      <c r="H28" s="23">
        <f>G28*$G$4</f>
        <v>0</v>
      </c>
      <c r="I28" s="7"/>
      <c r="J28" s="23">
        <f t="shared" si="2"/>
        <v>0</v>
      </c>
      <c r="K28" s="7">
        <v>1</v>
      </c>
      <c r="L28" s="23"/>
      <c r="M28" s="7">
        <f t="shared" si="3"/>
        <v>3</v>
      </c>
      <c r="N28" s="8">
        <f>F28+H28+J28+L28</f>
        <v>4300</v>
      </c>
      <c r="O28" s="3" t="s">
        <v>654</v>
      </c>
      <c r="P28" s="16"/>
      <c r="Q28" s="2">
        <v>15400</v>
      </c>
      <c r="R28" s="2"/>
      <c r="S28" s="2">
        <v>19050</v>
      </c>
      <c r="T28" s="2"/>
      <c r="U28" s="2"/>
      <c r="V28" s="2"/>
      <c r="W28" s="2"/>
      <c r="X28" s="32"/>
    </row>
    <row r="29" spans="1:24">
      <c r="A29" s="7" t="s">
        <v>252</v>
      </c>
      <c r="B29" s="21" t="s">
        <v>663</v>
      </c>
      <c r="C29" s="21" t="s">
        <v>152</v>
      </c>
      <c r="D29" s="22" t="s">
        <v>663</v>
      </c>
      <c r="E29" s="7"/>
      <c r="F29" s="23">
        <f t="shared" si="1"/>
        <v>0</v>
      </c>
      <c r="G29" s="7">
        <v>50</v>
      </c>
      <c r="H29" s="23">
        <f>G29*3100</f>
        <v>155000</v>
      </c>
      <c r="I29" s="7"/>
      <c r="J29" s="23">
        <f t="shared" si="2"/>
        <v>0</v>
      </c>
      <c r="K29" s="7">
        <v>2</v>
      </c>
      <c r="L29" s="23">
        <f>K29*3700</f>
        <v>7400</v>
      </c>
      <c r="M29" s="7">
        <f t="shared" si="3"/>
        <v>52</v>
      </c>
      <c r="N29" s="8">
        <f>F29+H29+J29+L29</f>
        <v>162400</v>
      </c>
      <c r="O29" s="3" t="s">
        <v>654</v>
      </c>
      <c r="P29" s="16"/>
      <c r="Q29" s="2">
        <v>0</v>
      </c>
      <c r="R29" s="2">
        <f>$R$4-Q29</f>
        <v>19427</v>
      </c>
      <c r="S29" s="2">
        <v>18650</v>
      </c>
      <c r="T29" s="2">
        <f>$T$4-S29</f>
        <v>5152</v>
      </c>
      <c r="U29" s="2">
        <v>0</v>
      </c>
      <c r="V29" s="2">
        <f>$V$4-U29</f>
        <v>27674</v>
      </c>
      <c r="W29" s="2">
        <v>22800</v>
      </c>
      <c r="X29" s="32">
        <f>$X$4-W29</f>
        <v>8130</v>
      </c>
    </row>
    <row r="30" spans="1:15">
      <c r="A30" s="9" t="s">
        <v>95</v>
      </c>
      <c r="B30" s="26"/>
      <c r="C30" s="26"/>
      <c r="D30" s="26"/>
      <c r="E30" s="10">
        <f>SUM(E28:E29)</f>
        <v>2</v>
      </c>
      <c r="F30" s="10">
        <f t="shared" ref="F30:N30" si="10">SUM(F28:F29)</f>
        <v>4300</v>
      </c>
      <c r="G30" s="10">
        <f t="shared" si="10"/>
        <v>50</v>
      </c>
      <c r="H30" s="10">
        <f t="shared" si="10"/>
        <v>155000</v>
      </c>
      <c r="I30" s="10">
        <f t="shared" si="10"/>
        <v>0</v>
      </c>
      <c r="J30" s="10">
        <f t="shared" si="10"/>
        <v>0</v>
      </c>
      <c r="K30" s="10">
        <f t="shared" si="10"/>
        <v>3</v>
      </c>
      <c r="L30" s="10">
        <f t="shared" si="10"/>
        <v>7400</v>
      </c>
      <c r="M30" s="10">
        <f t="shared" si="10"/>
        <v>55</v>
      </c>
      <c r="N30" s="10">
        <f t="shared" si="10"/>
        <v>166700</v>
      </c>
      <c r="O30" s="7"/>
    </row>
    <row r="31" spans="1:15">
      <c r="A31" s="13" t="s">
        <v>6</v>
      </c>
      <c r="B31" s="27"/>
      <c r="C31" s="27"/>
      <c r="D31" s="27"/>
      <c r="E31" s="28">
        <f>E30+E27+E25+E22+E20+E14+E9+E7</f>
        <v>13</v>
      </c>
      <c r="F31" s="28">
        <f t="shared" ref="F31:N31" si="11">F30+F27+F25+F22+F20+F14+F9+F7</f>
        <v>47497</v>
      </c>
      <c r="G31" s="28">
        <f t="shared" si="11"/>
        <v>153</v>
      </c>
      <c r="H31" s="28">
        <f t="shared" si="11"/>
        <v>585107.92</v>
      </c>
      <c r="I31" s="28">
        <f t="shared" si="11"/>
        <v>18</v>
      </c>
      <c r="J31" s="28">
        <f t="shared" si="11"/>
        <v>112833.44</v>
      </c>
      <c r="K31" s="28">
        <f t="shared" si="11"/>
        <v>19</v>
      </c>
      <c r="L31" s="28">
        <f t="shared" si="11"/>
        <v>126080.4</v>
      </c>
      <c r="M31" s="28">
        <f t="shared" si="11"/>
        <v>203</v>
      </c>
      <c r="N31" s="28">
        <f t="shared" si="11"/>
        <v>871518.76</v>
      </c>
      <c r="O31" s="7"/>
    </row>
    <row r="37" spans="19:19">
      <c r="S37" s="32"/>
    </row>
    <row r="38" spans="19:19">
      <c r="S38" s="32"/>
    </row>
    <row r="48" spans="19:19">
      <c r="S48" s="32"/>
    </row>
  </sheetData>
  <autoFilter ref="A5:X36">
    <extLst/>
  </autoFilter>
  <conditionalFormatting sqref="D28">
    <cfRule type="duplicateValues" dxfId="2" priority="3"/>
    <cfRule type="duplicateValues" dxfId="2" priority="2"/>
    <cfRule type="duplicateValues" dxfId="2" priority="1"/>
  </conditionalFormatting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0"/>
  <sheetViews>
    <sheetView workbookViewId="0">
      <pane xSplit="1" ySplit="12" topLeftCell="B13" activePane="bottomRight" state="frozen"/>
      <selection/>
      <selection pane="topRight"/>
      <selection pane="bottomLeft"/>
      <selection pane="bottomRight" activeCell="T13" sqref="T13:T38"/>
    </sheetView>
  </sheetViews>
  <sheetFormatPr defaultColWidth="8.88888888888889" defaultRowHeight="14.4"/>
  <cols>
    <col min="1" max="1" width="32.2222222222222" customWidth="1"/>
    <col min="2" max="2" width="6.66666666666667" customWidth="1"/>
    <col min="3" max="3" width="6.44444444444444" customWidth="1"/>
    <col min="4" max="4" width="7" customWidth="1"/>
    <col min="5" max="5" width="16.8888888888889" hidden="1" customWidth="1"/>
    <col min="6" max="6" width="8" customWidth="1"/>
    <col min="7" max="7" width="13.7777777777778" hidden="1" customWidth="1"/>
    <col min="8" max="8" width="8" customWidth="1"/>
    <col min="9" max="9" width="13.6666666666667" hidden="1" customWidth="1"/>
    <col min="10" max="10" width="8" customWidth="1"/>
    <col min="11" max="11" width="13.6666666666667" hidden="1" customWidth="1"/>
    <col min="12" max="12" width="7" customWidth="1"/>
    <col min="13" max="13" width="14.4444444444444" hidden="1" customWidth="1"/>
    <col min="14" max="14" width="7" customWidth="1"/>
    <col min="15" max="15" width="13.4444444444444" hidden="1" customWidth="1"/>
    <col min="16" max="16" width="7.77777777777778" customWidth="1"/>
    <col min="17" max="17" width="15.5555555555556" hidden="1" customWidth="1"/>
    <col min="18" max="18" width="11.4444444444444" customWidth="1"/>
    <col min="19" max="19" width="11.6666666666667" customWidth="1"/>
    <col min="20" max="20" width="12.8888888888889"/>
    <col min="22" max="25" width="13.6666666666667" customWidth="1"/>
    <col min="26" max="26" width="14.4444444444444" customWidth="1"/>
    <col min="27" max="27" width="13.4444444444444" customWidth="1"/>
    <col min="28" max="28" width="15.5555555555556" customWidth="1"/>
  </cols>
  <sheetData>
    <row r="1" hidden="1"/>
    <row r="2" hidden="1" spans="22:26">
      <c r="V2" t="s">
        <v>664</v>
      </c>
      <c r="W2" s="15">
        <v>1</v>
      </c>
      <c r="X2" s="15" t="s">
        <v>665</v>
      </c>
      <c r="Y2" s="15" t="s">
        <v>666</v>
      </c>
      <c r="Z2" s="15" t="s">
        <v>667</v>
      </c>
    </row>
    <row r="3" hidden="1" spans="22:26">
      <c r="V3" s="16" t="s">
        <v>116</v>
      </c>
      <c r="W3" s="1">
        <v>9553.925025225</v>
      </c>
      <c r="X3" s="1">
        <v>9499.0174101375</v>
      </c>
      <c r="Y3" s="1">
        <v>9444.10979505</v>
      </c>
      <c r="Z3" s="1">
        <v>9416.65598750625</v>
      </c>
    </row>
    <row r="4" hidden="1" spans="22:26">
      <c r="V4" t="s">
        <v>240</v>
      </c>
      <c r="W4" s="1">
        <v>11905.2120274416</v>
      </c>
      <c r="X4" s="1">
        <v>11836.7912686632</v>
      </c>
      <c r="Y4" s="1">
        <v>11768.3705098848</v>
      </c>
      <c r="Z4" s="1">
        <v>11734.1601304956</v>
      </c>
    </row>
    <row r="5" hidden="1" spans="22:26">
      <c r="V5" t="s">
        <v>242</v>
      </c>
      <c r="W5" s="2">
        <v>14925.4417525458</v>
      </c>
      <c r="X5" s="2">
        <v>14839.6633516691</v>
      </c>
      <c r="Y5" s="2">
        <v>14753.8849507924</v>
      </c>
      <c r="Z5" s="2">
        <v>14710.995750354</v>
      </c>
    </row>
    <row r="6" hidden="1" spans="22:26">
      <c r="V6" t="s">
        <v>283</v>
      </c>
      <c r="W6" s="2">
        <v>16425.3784730658</v>
      </c>
      <c r="X6" s="2">
        <v>16330.9797462091</v>
      </c>
      <c r="Y6" s="2">
        <v>16236.5810193524</v>
      </c>
      <c r="Z6" s="2">
        <v>16189.381655924</v>
      </c>
    </row>
    <row r="7" hidden="1" spans="1:26">
      <c r="A7">
        <v>4</v>
      </c>
      <c r="D7" s="1">
        <v>9416.65598750625</v>
      </c>
      <c r="F7" s="1">
        <v>11734.1601304956</v>
      </c>
      <c r="H7" s="2">
        <v>14710.995750354</v>
      </c>
      <c r="J7" s="2">
        <v>16189.381655924</v>
      </c>
      <c r="L7" s="2">
        <v>3846.667055994</v>
      </c>
      <c r="N7" s="2">
        <v>5327.558700387</v>
      </c>
      <c r="P7" s="2">
        <v>8945.48759811</v>
      </c>
      <c r="V7" t="s">
        <v>118</v>
      </c>
      <c r="W7" s="2">
        <v>3902.740919784</v>
      </c>
      <c r="X7" s="2">
        <v>3880.311374268</v>
      </c>
      <c r="Y7" s="2">
        <v>3857.881828752</v>
      </c>
      <c r="Z7" s="2">
        <v>3846.667055994</v>
      </c>
    </row>
    <row r="8" hidden="1" spans="1:26">
      <c r="A8">
        <v>3</v>
      </c>
      <c r="D8" s="1">
        <v>9444.10979505</v>
      </c>
      <c r="F8" s="1">
        <v>11768.3705098848</v>
      </c>
      <c r="H8" s="2">
        <v>14753.8849507924</v>
      </c>
      <c r="J8" s="2">
        <v>16236.5810193524</v>
      </c>
      <c r="L8" s="2">
        <v>3857.881828752</v>
      </c>
      <c r="N8" s="2">
        <v>5343.090941496</v>
      </c>
      <c r="P8" s="2">
        <v>8971.56773688</v>
      </c>
      <c r="V8" t="s">
        <v>122</v>
      </c>
      <c r="W8" s="2">
        <v>5405.219905932</v>
      </c>
      <c r="X8" s="2">
        <v>5374.155423714</v>
      </c>
      <c r="Y8" s="2">
        <v>5343.090941496</v>
      </c>
      <c r="Z8" s="2">
        <v>5327.558700387</v>
      </c>
    </row>
    <row r="9" hidden="1" spans="1:26">
      <c r="A9">
        <v>2</v>
      </c>
      <c r="D9" s="1">
        <v>9499.0174101375</v>
      </c>
      <c r="F9" s="1">
        <v>11836.7912686632</v>
      </c>
      <c r="H9" s="2">
        <v>14839.6633516691</v>
      </c>
      <c r="J9" s="2">
        <v>16330.9797462091</v>
      </c>
      <c r="L9" s="2">
        <v>3880.311374268</v>
      </c>
      <c r="N9" s="2">
        <v>5374.155423714</v>
      </c>
      <c r="P9" s="2">
        <v>9023.72801442</v>
      </c>
      <c r="V9" t="s">
        <v>235</v>
      </c>
      <c r="W9" s="2">
        <v>9075.88829196</v>
      </c>
      <c r="X9" s="2">
        <v>9023.72801442</v>
      </c>
      <c r="Y9" s="2">
        <v>8971.56773688</v>
      </c>
      <c r="Z9" s="2">
        <v>8945.48759811</v>
      </c>
    </row>
    <row r="10" hidden="1" spans="1:16">
      <c r="A10">
        <v>1</v>
      </c>
      <c r="D10" s="1">
        <v>9553.925025225</v>
      </c>
      <c r="F10" s="2">
        <v>11905.2120274416</v>
      </c>
      <c r="H10" s="2">
        <v>14925.4417525458</v>
      </c>
      <c r="J10" s="2">
        <v>16425.3784730658</v>
      </c>
      <c r="L10" s="2">
        <v>3902.740919784</v>
      </c>
      <c r="N10" s="2">
        <v>5405.219905932</v>
      </c>
      <c r="P10" s="2">
        <v>9075.88829196</v>
      </c>
    </row>
    <row r="11" hidden="1" spans="4:16">
      <c r="D11">
        <v>10982</v>
      </c>
      <c r="F11">
        <v>13684</v>
      </c>
      <c r="H11">
        <v>17156</v>
      </c>
      <c r="J11">
        <v>18880</v>
      </c>
      <c r="L11">
        <v>4486</v>
      </c>
      <c r="N11">
        <v>6213</v>
      </c>
      <c r="P11">
        <v>10432</v>
      </c>
    </row>
    <row r="12" ht="28.8" spans="1:28">
      <c r="A12" s="3" t="s">
        <v>3</v>
      </c>
      <c r="B12" s="4" t="s">
        <v>425</v>
      </c>
      <c r="C12" s="5" t="s">
        <v>426</v>
      </c>
      <c r="D12" s="6" t="s">
        <v>668</v>
      </c>
      <c r="E12" s="3"/>
      <c r="F12" s="6" t="s">
        <v>669</v>
      </c>
      <c r="G12" s="3"/>
      <c r="H12" s="6" t="s">
        <v>670</v>
      </c>
      <c r="I12" s="3"/>
      <c r="J12" s="6" t="s">
        <v>671</v>
      </c>
      <c r="K12" s="3"/>
      <c r="L12" s="6" t="s">
        <v>672</v>
      </c>
      <c r="M12" s="3"/>
      <c r="N12" s="6" t="s">
        <v>673</v>
      </c>
      <c r="O12" s="3"/>
      <c r="P12" s="6" t="s">
        <v>674</v>
      </c>
      <c r="Q12" s="3"/>
      <c r="R12" s="6" t="s">
        <v>675</v>
      </c>
      <c r="S12" s="3" t="s">
        <v>676</v>
      </c>
      <c r="T12" s="5" t="s">
        <v>638</v>
      </c>
      <c r="U12" s="17" t="s">
        <v>436</v>
      </c>
      <c r="AA12" s="16"/>
      <c r="AB12" s="16"/>
    </row>
    <row r="13" spans="1:21">
      <c r="A13" s="7" t="s">
        <v>304</v>
      </c>
      <c r="B13" s="7" t="s">
        <v>655</v>
      </c>
      <c r="C13" s="7" t="s">
        <v>152</v>
      </c>
      <c r="D13" s="8">
        <v>1</v>
      </c>
      <c r="E13" s="8">
        <f>($D$11-$D$10)*D13</f>
        <v>1428.074974775</v>
      </c>
      <c r="F13" s="8"/>
      <c r="G13" s="8">
        <f>($F$11-$F$10)*F13</f>
        <v>0</v>
      </c>
      <c r="H13" s="8"/>
      <c r="I13" s="8">
        <f>($H$11-$H$10)*H13</f>
        <v>0</v>
      </c>
      <c r="J13" s="8"/>
      <c r="K13" s="8">
        <f>($J$11-$J$10)*J13</f>
        <v>0</v>
      </c>
      <c r="L13" s="8">
        <v>3</v>
      </c>
      <c r="M13" s="8">
        <f>($L$11-$L$10)*L13</f>
        <v>1749.777240648</v>
      </c>
      <c r="N13" s="8"/>
      <c r="O13" s="8">
        <f>($N$11-$N$10)*N13</f>
        <v>0</v>
      </c>
      <c r="P13" s="8"/>
      <c r="Q13" s="8">
        <f>($P$11-$P$10)*P13</f>
        <v>0</v>
      </c>
      <c r="R13" s="8">
        <f>D13+F13+H13+J13+L13+N13+P13</f>
        <v>4</v>
      </c>
      <c r="S13" s="8">
        <v>24440</v>
      </c>
      <c r="T13" s="8">
        <f>E13+G13+I13+K13+M13+O13+Q13</f>
        <v>3177.852215423</v>
      </c>
      <c r="U13" s="7"/>
    </row>
    <row r="14" spans="1:21">
      <c r="A14" s="7" t="s">
        <v>19</v>
      </c>
      <c r="B14" s="7" t="s">
        <v>452</v>
      </c>
      <c r="C14" s="7" t="s">
        <v>152</v>
      </c>
      <c r="D14" s="8">
        <v>3</v>
      </c>
      <c r="E14" s="8">
        <f>($D$11-$D$7)*D14</f>
        <v>4696.03203748125</v>
      </c>
      <c r="F14" s="8"/>
      <c r="G14" s="8"/>
      <c r="H14" s="8">
        <v>2</v>
      </c>
      <c r="I14" s="8">
        <f>($H$11-$H$7)*H14</f>
        <v>4890.008499292</v>
      </c>
      <c r="J14" s="8">
        <v>4</v>
      </c>
      <c r="K14" s="8">
        <f>($J$11-$J$7)*J14</f>
        <v>10762.473376304</v>
      </c>
      <c r="L14" s="8">
        <v>12</v>
      </c>
      <c r="M14" s="8">
        <f>($L$11-$L$7)*L14</f>
        <v>7671.995328072</v>
      </c>
      <c r="N14" s="8">
        <v>4</v>
      </c>
      <c r="O14" s="8">
        <f>($N$11-$N$7)*N14</f>
        <v>3541.765198452</v>
      </c>
      <c r="P14" s="8">
        <v>10</v>
      </c>
      <c r="Q14" s="8">
        <f>($P$11-$P$7)*P14</f>
        <v>14865.1240189</v>
      </c>
      <c r="R14" s="8">
        <f t="shared" ref="R13:R39" si="0">D14+F14+H14+J14+L14+N14+P14</f>
        <v>35</v>
      </c>
      <c r="S14" s="8">
        <v>325782</v>
      </c>
      <c r="T14" s="8">
        <f t="shared" ref="T14:T39" si="1">E14+G14+I14+K14+M14+O14+Q14</f>
        <v>46427.3984585013</v>
      </c>
      <c r="U14" s="7"/>
    </row>
    <row r="15" spans="1:21">
      <c r="A15" s="9" t="s">
        <v>15</v>
      </c>
      <c r="B15" s="7"/>
      <c r="C15" s="7"/>
      <c r="D15" s="10">
        <f>SUM(D13:D14)</f>
        <v>4</v>
      </c>
      <c r="E15" s="10">
        <f t="shared" ref="E15:T15" si="2">SUM(E13:E14)</f>
        <v>6124.10701225625</v>
      </c>
      <c r="F15" s="10">
        <f t="shared" si="2"/>
        <v>0</v>
      </c>
      <c r="G15" s="10">
        <f t="shared" si="2"/>
        <v>0</v>
      </c>
      <c r="H15" s="10">
        <f t="shared" si="2"/>
        <v>2</v>
      </c>
      <c r="I15" s="10">
        <f t="shared" si="2"/>
        <v>4890.008499292</v>
      </c>
      <c r="J15" s="10">
        <f t="shared" si="2"/>
        <v>4</v>
      </c>
      <c r="K15" s="10">
        <f t="shared" si="2"/>
        <v>10762.473376304</v>
      </c>
      <c r="L15" s="10">
        <f t="shared" si="2"/>
        <v>15</v>
      </c>
      <c r="M15" s="10">
        <f t="shared" si="2"/>
        <v>9421.77256872</v>
      </c>
      <c r="N15" s="10">
        <f t="shared" si="2"/>
        <v>4</v>
      </c>
      <c r="O15" s="10">
        <f t="shared" si="2"/>
        <v>3541.765198452</v>
      </c>
      <c r="P15" s="10">
        <f t="shared" si="2"/>
        <v>10</v>
      </c>
      <c r="Q15" s="10">
        <f t="shared" si="2"/>
        <v>14865.1240189</v>
      </c>
      <c r="R15" s="10">
        <f t="shared" si="2"/>
        <v>39</v>
      </c>
      <c r="S15" s="10">
        <f t="shared" si="2"/>
        <v>350222</v>
      </c>
      <c r="T15" s="10">
        <f t="shared" si="2"/>
        <v>49605.2506739243</v>
      </c>
      <c r="U15" s="7"/>
    </row>
    <row r="16" spans="1:21">
      <c r="A16" s="7" t="s">
        <v>31</v>
      </c>
      <c r="B16" s="7" t="s">
        <v>462</v>
      </c>
      <c r="C16" s="7" t="s">
        <v>152</v>
      </c>
      <c r="D16" s="8"/>
      <c r="E16" s="8">
        <f>($D$11-$D$10)*D16</f>
        <v>0</v>
      </c>
      <c r="F16" s="8"/>
      <c r="G16" s="8">
        <f>($F$11-$F$10)*F16</f>
        <v>0</v>
      </c>
      <c r="H16" s="8"/>
      <c r="I16" s="8">
        <f>($H$11-$H$10)*H16</f>
        <v>0</v>
      </c>
      <c r="J16" s="8"/>
      <c r="K16" s="8">
        <f>($J$11-$J$10)*J16</f>
        <v>0</v>
      </c>
      <c r="L16" s="8"/>
      <c r="M16" s="8">
        <f>($L$11-$L$10)*L16</f>
        <v>0</v>
      </c>
      <c r="N16" s="8">
        <v>1</v>
      </c>
      <c r="O16" s="8">
        <f>($N$11-$N$10)*N16</f>
        <v>807.780094068</v>
      </c>
      <c r="P16" s="8">
        <v>2</v>
      </c>
      <c r="Q16" s="8">
        <f>($P$11-$P$10)*P16</f>
        <v>2712.22341608</v>
      </c>
      <c r="R16" s="8">
        <f t="shared" si="0"/>
        <v>3</v>
      </c>
      <c r="S16" s="8">
        <v>27077</v>
      </c>
      <c r="T16" s="8">
        <f t="shared" si="1"/>
        <v>3520.003510148</v>
      </c>
      <c r="U16" s="7"/>
    </row>
    <row r="17" spans="1:21">
      <c r="A17" s="9" t="s">
        <v>28</v>
      </c>
      <c r="B17" s="7"/>
      <c r="C17" s="7"/>
      <c r="D17" s="10">
        <f>SUM(D16:D16)</f>
        <v>0</v>
      </c>
      <c r="E17" s="10">
        <f t="shared" ref="E17:T17" si="3">SUM(E16:E16)</f>
        <v>0</v>
      </c>
      <c r="F17" s="10">
        <f t="shared" si="3"/>
        <v>0</v>
      </c>
      <c r="G17" s="10">
        <f t="shared" si="3"/>
        <v>0</v>
      </c>
      <c r="H17" s="10">
        <f t="shared" si="3"/>
        <v>0</v>
      </c>
      <c r="I17" s="10">
        <f t="shared" si="3"/>
        <v>0</v>
      </c>
      <c r="J17" s="10">
        <f t="shared" si="3"/>
        <v>0</v>
      </c>
      <c r="K17" s="10">
        <f t="shared" si="3"/>
        <v>0</v>
      </c>
      <c r="L17" s="10">
        <f t="shared" si="3"/>
        <v>0</v>
      </c>
      <c r="M17" s="10">
        <f t="shared" si="3"/>
        <v>0</v>
      </c>
      <c r="N17" s="10">
        <f t="shared" si="3"/>
        <v>1</v>
      </c>
      <c r="O17" s="10">
        <f t="shared" si="3"/>
        <v>807.780094068</v>
      </c>
      <c r="P17" s="10">
        <f t="shared" si="3"/>
        <v>2</v>
      </c>
      <c r="Q17" s="10">
        <f t="shared" si="3"/>
        <v>2712.22341608</v>
      </c>
      <c r="R17" s="10">
        <f t="shared" si="3"/>
        <v>3</v>
      </c>
      <c r="S17" s="10">
        <f t="shared" si="3"/>
        <v>27077</v>
      </c>
      <c r="T17" s="10">
        <f t="shared" si="3"/>
        <v>3520.003510148</v>
      </c>
      <c r="U17" s="7"/>
    </row>
    <row r="18" spans="1:21">
      <c r="A18" s="7" t="s">
        <v>55</v>
      </c>
      <c r="B18" s="7" t="s">
        <v>483</v>
      </c>
      <c r="C18" s="7" t="s">
        <v>152</v>
      </c>
      <c r="D18" s="8"/>
      <c r="E18" s="8">
        <f>($D$11-$D$10)*D18</f>
        <v>0</v>
      </c>
      <c r="F18" s="8"/>
      <c r="G18" s="8">
        <f>($F$11-$F$10)*F18</f>
        <v>0</v>
      </c>
      <c r="H18" s="8"/>
      <c r="I18" s="8">
        <f>($H$11-$H$10)*H18</f>
        <v>0</v>
      </c>
      <c r="J18" s="8"/>
      <c r="K18" s="8">
        <f>($J$11-$J$10)*J18</f>
        <v>0</v>
      </c>
      <c r="L18" s="8"/>
      <c r="M18" s="8">
        <f>($L$11-$L$10)*L18</f>
        <v>0</v>
      </c>
      <c r="N18" s="8">
        <v>2</v>
      </c>
      <c r="O18" s="8">
        <f>($N$11-$N$10)*N18</f>
        <v>1615.560188136</v>
      </c>
      <c r="P18" s="8"/>
      <c r="Q18" s="8">
        <f>($P$11-$P$10)*P18</f>
        <v>0</v>
      </c>
      <c r="R18" s="8">
        <f t="shared" si="0"/>
        <v>2</v>
      </c>
      <c r="S18" s="8">
        <v>12426</v>
      </c>
      <c r="T18" s="8">
        <f t="shared" si="1"/>
        <v>1615.560188136</v>
      </c>
      <c r="U18" s="7"/>
    </row>
    <row r="19" spans="1:21">
      <c r="A19" s="7" t="s">
        <v>56</v>
      </c>
      <c r="B19" s="7" t="s">
        <v>484</v>
      </c>
      <c r="C19" s="7" t="s">
        <v>152</v>
      </c>
      <c r="D19" s="8"/>
      <c r="E19" s="8">
        <f>($D$11-$D$10)*D19</f>
        <v>0</v>
      </c>
      <c r="F19" s="8"/>
      <c r="G19" s="8">
        <f>($F$11-$F$10)*F19</f>
        <v>0</v>
      </c>
      <c r="H19" s="8"/>
      <c r="I19" s="8">
        <f>($H$11-$H$10)*H19</f>
        <v>0</v>
      </c>
      <c r="J19" s="8"/>
      <c r="K19" s="8">
        <f>($J$11-$J$10)*J19</f>
        <v>0</v>
      </c>
      <c r="L19" s="8"/>
      <c r="M19" s="8">
        <f>($L$11-$L$10)*L19</f>
        <v>0</v>
      </c>
      <c r="N19" s="8">
        <v>2</v>
      </c>
      <c r="O19" s="8">
        <f>($N$11-$N$10)*N19</f>
        <v>1615.560188136</v>
      </c>
      <c r="P19" s="8"/>
      <c r="Q19" s="8">
        <f>($P$11-$P$10)*P19</f>
        <v>0</v>
      </c>
      <c r="R19" s="8">
        <f t="shared" si="0"/>
        <v>2</v>
      </c>
      <c r="S19" s="8">
        <v>12426</v>
      </c>
      <c r="T19" s="8">
        <f t="shared" si="1"/>
        <v>1615.560188136</v>
      </c>
      <c r="U19" s="7"/>
    </row>
    <row r="20" spans="1:21">
      <c r="A20" s="7" t="s">
        <v>57</v>
      </c>
      <c r="B20" s="7" t="s">
        <v>485</v>
      </c>
      <c r="C20" s="7" t="s">
        <v>152</v>
      </c>
      <c r="D20" s="8">
        <v>3</v>
      </c>
      <c r="E20" s="8">
        <f>($D$11-$D$10)*D20</f>
        <v>4284.224924325</v>
      </c>
      <c r="F20" s="8"/>
      <c r="G20" s="8">
        <f>($F$11-$F$10)*F20</f>
        <v>0</v>
      </c>
      <c r="H20" s="8"/>
      <c r="I20" s="8">
        <f>($H$11-$H$10)*H20</f>
        <v>0</v>
      </c>
      <c r="J20" s="8">
        <v>2</v>
      </c>
      <c r="K20" s="8">
        <f>($J$11-$J$10)*J20</f>
        <v>4909.2430538684</v>
      </c>
      <c r="L20" s="8">
        <v>3</v>
      </c>
      <c r="M20" s="8">
        <f>($L$11-$L$10)*L20</f>
        <v>1749.777240648</v>
      </c>
      <c r="N20" s="8"/>
      <c r="O20" s="8">
        <f>($N$11-$N$10)*N20</f>
        <v>0</v>
      </c>
      <c r="P20" s="8"/>
      <c r="Q20" s="8">
        <f>($P$11-$P$10)*P20</f>
        <v>0</v>
      </c>
      <c r="R20" s="8">
        <f t="shared" si="0"/>
        <v>8</v>
      </c>
      <c r="S20" s="8">
        <v>84164</v>
      </c>
      <c r="T20" s="8">
        <f t="shared" si="1"/>
        <v>10943.2452188414</v>
      </c>
      <c r="U20" s="7"/>
    </row>
    <row r="21" spans="1:21">
      <c r="A21" s="7" t="s">
        <v>60</v>
      </c>
      <c r="B21" s="7" t="s">
        <v>488</v>
      </c>
      <c r="C21" s="7" t="s">
        <v>152</v>
      </c>
      <c r="D21" s="8">
        <v>2</v>
      </c>
      <c r="E21" s="8">
        <f>($D$11-$D$10)*D21</f>
        <v>2856.14994955</v>
      </c>
      <c r="F21" s="8"/>
      <c r="G21" s="8">
        <f>($F$11-$F$10)*F21</f>
        <v>0</v>
      </c>
      <c r="H21" s="8"/>
      <c r="I21" s="8">
        <f>($H$11-$H$10)*H21</f>
        <v>0</v>
      </c>
      <c r="J21" s="8"/>
      <c r="K21" s="8">
        <f>($J$11-$J$10)*J21</f>
        <v>0</v>
      </c>
      <c r="L21" s="8">
        <v>2</v>
      </c>
      <c r="M21" s="8">
        <f>($L$11-$L$10)*L21</f>
        <v>1166.518160432</v>
      </c>
      <c r="N21" s="8"/>
      <c r="O21" s="8">
        <f>($N$11-$N$10)*N21</f>
        <v>0</v>
      </c>
      <c r="P21" s="8"/>
      <c r="Q21" s="8">
        <f>($P$11-$P$10)*P21</f>
        <v>0</v>
      </c>
      <c r="R21" s="8">
        <f t="shared" si="0"/>
        <v>4</v>
      </c>
      <c r="S21" s="8">
        <v>30936</v>
      </c>
      <c r="T21" s="8">
        <f t="shared" si="1"/>
        <v>4022.668109982</v>
      </c>
      <c r="U21" s="7"/>
    </row>
    <row r="22" spans="1:21">
      <c r="A22" s="7" t="s">
        <v>292</v>
      </c>
      <c r="B22" s="7" t="s">
        <v>677</v>
      </c>
      <c r="C22" s="7" t="s">
        <v>152</v>
      </c>
      <c r="D22" s="8">
        <v>1</v>
      </c>
      <c r="E22" s="8">
        <f>($D$11-$D$10)*D22</f>
        <v>1428.074974775</v>
      </c>
      <c r="F22" s="8"/>
      <c r="G22" s="8">
        <f>($F$11-$F$10)*F22</f>
        <v>0</v>
      </c>
      <c r="H22" s="8"/>
      <c r="I22" s="8">
        <f>($H$11-$H$10)*H22</f>
        <v>0</v>
      </c>
      <c r="J22" s="8"/>
      <c r="K22" s="8">
        <f>($J$11-$J$10)*J22</f>
        <v>0</v>
      </c>
      <c r="L22" s="8"/>
      <c r="M22" s="8">
        <f>($L$11-$L$10)*L22</f>
        <v>0</v>
      </c>
      <c r="N22" s="8"/>
      <c r="O22" s="8">
        <f>($N$11-$N$10)*N22</f>
        <v>0</v>
      </c>
      <c r="P22" s="8"/>
      <c r="Q22" s="8">
        <f>($P$11-$P$10)*P22</f>
        <v>0</v>
      </c>
      <c r="R22" s="8">
        <f t="shared" si="0"/>
        <v>1</v>
      </c>
      <c r="S22" s="8">
        <v>10982</v>
      </c>
      <c r="T22" s="8">
        <f t="shared" si="1"/>
        <v>1428.074974775</v>
      </c>
      <c r="U22" s="7"/>
    </row>
    <row r="23" spans="1:21">
      <c r="A23" s="9" t="s">
        <v>49</v>
      </c>
      <c r="B23" s="7"/>
      <c r="C23" s="7"/>
      <c r="D23" s="10">
        <f>SUM(D18:D22)</f>
        <v>6</v>
      </c>
      <c r="E23" s="10">
        <f t="shared" ref="E23:T23" si="4">SUM(E18:E22)</f>
        <v>8568.44984865</v>
      </c>
      <c r="F23" s="10">
        <f t="shared" si="4"/>
        <v>0</v>
      </c>
      <c r="G23" s="10">
        <f t="shared" si="4"/>
        <v>0</v>
      </c>
      <c r="H23" s="10">
        <f t="shared" si="4"/>
        <v>0</v>
      </c>
      <c r="I23" s="10">
        <f t="shared" si="4"/>
        <v>0</v>
      </c>
      <c r="J23" s="10">
        <f t="shared" si="4"/>
        <v>2</v>
      </c>
      <c r="K23" s="10">
        <f t="shared" si="4"/>
        <v>4909.2430538684</v>
      </c>
      <c r="L23" s="10">
        <f t="shared" si="4"/>
        <v>5</v>
      </c>
      <c r="M23" s="10">
        <f t="shared" si="4"/>
        <v>2916.29540108</v>
      </c>
      <c r="N23" s="10">
        <f t="shared" si="4"/>
        <v>4</v>
      </c>
      <c r="O23" s="10">
        <f t="shared" si="4"/>
        <v>3231.120376272</v>
      </c>
      <c r="P23" s="10">
        <f t="shared" si="4"/>
        <v>0</v>
      </c>
      <c r="Q23" s="10">
        <f t="shared" si="4"/>
        <v>0</v>
      </c>
      <c r="R23" s="10">
        <f t="shared" si="4"/>
        <v>17</v>
      </c>
      <c r="S23" s="10">
        <f t="shared" si="4"/>
        <v>150934</v>
      </c>
      <c r="T23" s="10">
        <f t="shared" si="4"/>
        <v>19625.1086798704</v>
      </c>
      <c r="U23" s="7"/>
    </row>
    <row r="24" spans="1:21">
      <c r="A24" s="7" t="s">
        <v>237</v>
      </c>
      <c r="B24" s="7" t="s">
        <v>678</v>
      </c>
      <c r="C24" s="7" t="s">
        <v>158</v>
      </c>
      <c r="D24" s="8">
        <v>1</v>
      </c>
      <c r="E24" s="8">
        <f>($D$11-$D$9)*D24</f>
        <v>1482.9825898625</v>
      </c>
      <c r="F24" s="8">
        <v>3</v>
      </c>
      <c r="G24" s="8">
        <f>($F$11-$F$9)*F24</f>
        <v>5541.6261940104</v>
      </c>
      <c r="H24" s="8">
        <v>4</v>
      </c>
      <c r="I24" s="8">
        <f>($H$11-$H$9)*H24</f>
        <v>9265.3465933236</v>
      </c>
      <c r="J24" s="8"/>
      <c r="K24" s="8"/>
      <c r="L24" s="8"/>
      <c r="M24" s="8"/>
      <c r="N24" s="8"/>
      <c r="O24" s="8"/>
      <c r="P24" s="8"/>
      <c r="Q24" s="8"/>
      <c r="R24" s="8">
        <f t="shared" si="0"/>
        <v>8</v>
      </c>
      <c r="S24" s="8">
        <v>120658</v>
      </c>
      <c r="T24" s="8">
        <f t="shared" si="1"/>
        <v>16289.9553771965</v>
      </c>
      <c r="U24" s="7"/>
    </row>
    <row r="25" spans="1:21">
      <c r="A25" s="9" t="s">
        <v>65</v>
      </c>
      <c r="B25" s="7"/>
      <c r="C25" s="7"/>
      <c r="D25" s="10">
        <f>SUM(D24:D24)</f>
        <v>1</v>
      </c>
      <c r="E25" s="10">
        <f t="shared" ref="E25:T25" si="5">SUM(E24:E24)</f>
        <v>1482.9825898625</v>
      </c>
      <c r="F25" s="10">
        <f t="shared" si="5"/>
        <v>3</v>
      </c>
      <c r="G25" s="10">
        <f t="shared" si="5"/>
        <v>5541.6261940104</v>
      </c>
      <c r="H25" s="10">
        <f t="shared" si="5"/>
        <v>4</v>
      </c>
      <c r="I25" s="10">
        <f t="shared" si="5"/>
        <v>9265.3465933236</v>
      </c>
      <c r="J25" s="10">
        <f t="shared" si="5"/>
        <v>0</v>
      </c>
      <c r="K25" s="10">
        <f t="shared" si="5"/>
        <v>0</v>
      </c>
      <c r="L25" s="10">
        <f t="shared" si="5"/>
        <v>0</v>
      </c>
      <c r="M25" s="10">
        <f t="shared" si="5"/>
        <v>0</v>
      </c>
      <c r="N25" s="10">
        <f t="shared" si="5"/>
        <v>0</v>
      </c>
      <c r="O25" s="10">
        <f t="shared" si="5"/>
        <v>0</v>
      </c>
      <c r="P25" s="10">
        <f t="shared" si="5"/>
        <v>0</v>
      </c>
      <c r="Q25" s="10">
        <f t="shared" si="5"/>
        <v>0</v>
      </c>
      <c r="R25" s="10">
        <f t="shared" si="5"/>
        <v>8</v>
      </c>
      <c r="S25" s="10">
        <f t="shared" si="5"/>
        <v>120658</v>
      </c>
      <c r="T25" s="10">
        <f t="shared" si="5"/>
        <v>16289.9553771965</v>
      </c>
      <c r="U25" s="7"/>
    </row>
    <row r="26" spans="1:21">
      <c r="A26" s="7" t="s">
        <v>77</v>
      </c>
      <c r="B26" s="7" t="s">
        <v>502</v>
      </c>
      <c r="C26" s="7" t="s">
        <v>152</v>
      </c>
      <c r="D26" s="8">
        <v>3</v>
      </c>
      <c r="E26" s="8">
        <f>($D$11-$D$10)*D26</f>
        <v>4284.224924325</v>
      </c>
      <c r="F26" s="8"/>
      <c r="G26" s="8">
        <f>($F$11-$F$10)*F26</f>
        <v>0</v>
      </c>
      <c r="H26" s="8"/>
      <c r="I26" s="8">
        <f>($H$11-$H$10)*H26</f>
        <v>0</v>
      </c>
      <c r="J26" s="8"/>
      <c r="K26" s="8">
        <f>($J$11-$J$10)*J26</f>
        <v>0</v>
      </c>
      <c r="L26" s="8">
        <v>4</v>
      </c>
      <c r="M26" s="8">
        <f>($L$11-$L$10)*L26</f>
        <v>2333.036320864</v>
      </c>
      <c r="N26" s="8">
        <v>2</v>
      </c>
      <c r="O26" s="8">
        <f>($N$11-$N$10)*N26</f>
        <v>1615.560188136</v>
      </c>
      <c r="P26" s="8">
        <v>1</v>
      </c>
      <c r="Q26" s="8">
        <f>($P$11-$P$10)*P26</f>
        <v>1356.11170804</v>
      </c>
      <c r="R26" s="8">
        <f t="shared" si="0"/>
        <v>10</v>
      </c>
      <c r="S26" s="8">
        <v>73748</v>
      </c>
      <c r="T26" s="8">
        <f t="shared" si="1"/>
        <v>9588.933141365</v>
      </c>
      <c r="U26" s="7"/>
    </row>
    <row r="27" spans="1:21">
      <c r="A27" s="9" t="s">
        <v>73</v>
      </c>
      <c r="B27" s="7"/>
      <c r="C27" s="7"/>
      <c r="D27" s="10">
        <f>SUM(D26:D26)</f>
        <v>3</v>
      </c>
      <c r="E27" s="10">
        <f t="shared" ref="E27:T27" si="6">SUM(E26:E26)</f>
        <v>4284.224924325</v>
      </c>
      <c r="F27" s="10">
        <f t="shared" si="6"/>
        <v>0</v>
      </c>
      <c r="G27" s="10">
        <f t="shared" si="6"/>
        <v>0</v>
      </c>
      <c r="H27" s="10">
        <f t="shared" si="6"/>
        <v>0</v>
      </c>
      <c r="I27" s="10">
        <f t="shared" si="6"/>
        <v>0</v>
      </c>
      <c r="J27" s="10">
        <f t="shared" si="6"/>
        <v>0</v>
      </c>
      <c r="K27" s="10">
        <f t="shared" si="6"/>
        <v>0</v>
      </c>
      <c r="L27" s="10">
        <f t="shared" si="6"/>
        <v>4</v>
      </c>
      <c r="M27" s="10">
        <f t="shared" si="6"/>
        <v>2333.036320864</v>
      </c>
      <c r="N27" s="10">
        <f t="shared" si="6"/>
        <v>2</v>
      </c>
      <c r="O27" s="10">
        <f t="shared" si="6"/>
        <v>1615.560188136</v>
      </c>
      <c r="P27" s="10">
        <f t="shared" si="6"/>
        <v>1</v>
      </c>
      <c r="Q27" s="10">
        <f t="shared" si="6"/>
        <v>1356.11170804</v>
      </c>
      <c r="R27" s="10">
        <f t="shared" si="6"/>
        <v>10</v>
      </c>
      <c r="S27" s="10">
        <f t="shared" si="6"/>
        <v>73748</v>
      </c>
      <c r="T27" s="10">
        <f t="shared" si="6"/>
        <v>9588.933141365</v>
      </c>
      <c r="U27" s="7"/>
    </row>
    <row r="28" spans="1:21">
      <c r="A28" s="7" t="s">
        <v>93</v>
      </c>
      <c r="B28" s="7" t="s">
        <v>514</v>
      </c>
      <c r="C28" s="7" t="s">
        <v>152</v>
      </c>
      <c r="D28" s="8">
        <v>4</v>
      </c>
      <c r="E28" s="8">
        <f>($D$11-$D$10)*D28</f>
        <v>5712.2998991</v>
      </c>
      <c r="F28" s="8">
        <v>1</v>
      </c>
      <c r="G28" s="8">
        <f>($F$11-$F$10)*F28</f>
        <v>1778.7879725584</v>
      </c>
      <c r="H28" s="8">
        <v>1</v>
      </c>
      <c r="I28" s="8">
        <f>($H$11-$H$10)*H28</f>
        <v>2230.5582474542</v>
      </c>
      <c r="J28" s="8"/>
      <c r="K28" s="8">
        <f>($J$11-$J$10)*J28</f>
        <v>0</v>
      </c>
      <c r="L28" s="8"/>
      <c r="M28" s="8">
        <f>($L$11-$L$10)*L28</f>
        <v>0</v>
      </c>
      <c r="N28" s="8">
        <v>1</v>
      </c>
      <c r="O28" s="8">
        <f>($N$11-$N$10)*N28</f>
        <v>807.780094068</v>
      </c>
      <c r="P28" s="8">
        <v>1</v>
      </c>
      <c r="Q28" s="8">
        <f>($P$11-$P$10)*P28</f>
        <v>1356.11170804</v>
      </c>
      <c r="R28" s="8">
        <f t="shared" si="0"/>
        <v>8</v>
      </c>
      <c r="S28" s="8">
        <v>91413</v>
      </c>
      <c r="T28" s="8">
        <f t="shared" si="1"/>
        <v>11885.5379212206</v>
      </c>
      <c r="U28" s="7"/>
    </row>
    <row r="29" spans="1:21">
      <c r="A29" s="9" t="s">
        <v>91</v>
      </c>
      <c r="B29" s="7"/>
      <c r="C29" s="7"/>
      <c r="D29" s="10">
        <f>SUM(D28:D28)</f>
        <v>4</v>
      </c>
      <c r="E29" s="10">
        <f t="shared" ref="E29:T29" si="7">SUM(E28:E28)</f>
        <v>5712.2998991</v>
      </c>
      <c r="F29" s="10">
        <f t="shared" si="7"/>
        <v>1</v>
      </c>
      <c r="G29" s="10">
        <f t="shared" si="7"/>
        <v>1778.7879725584</v>
      </c>
      <c r="H29" s="10">
        <f t="shared" si="7"/>
        <v>1</v>
      </c>
      <c r="I29" s="10">
        <f t="shared" si="7"/>
        <v>2230.5582474542</v>
      </c>
      <c r="J29" s="10">
        <f t="shared" si="7"/>
        <v>0</v>
      </c>
      <c r="K29" s="10">
        <f t="shared" si="7"/>
        <v>0</v>
      </c>
      <c r="L29" s="10">
        <f t="shared" si="7"/>
        <v>0</v>
      </c>
      <c r="M29" s="10">
        <f t="shared" si="7"/>
        <v>0</v>
      </c>
      <c r="N29" s="10">
        <f t="shared" si="7"/>
        <v>1</v>
      </c>
      <c r="O29" s="10">
        <f t="shared" si="7"/>
        <v>807.780094068</v>
      </c>
      <c r="P29" s="10">
        <f t="shared" si="7"/>
        <v>1</v>
      </c>
      <c r="Q29" s="10">
        <f t="shared" si="7"/>
        <v>1356.11170804</v>
      </c>
      <c r="R29" s="10">
        <f t="shared" si="7"/>
        <v>8</v>
      </c>
      <c r="S29" s="10">
        <f t="shared" si="7"/>
        <v>91413</v>
      </c>
      <c r="T29" s="10">
        <f t="shared" si="7"/>
        <v>11885.5379212206</v>
      </c>
      <c r="U29" s="7"/>
    </row>
    <row r="30" spans="1:21">
      <c r="A30" s="7" t="s">
        <v>299</v>
      </c>
      <c r="B30" s="7" t="s">
        <v>679</v>
      </c>
      <c r="C30" s="7" t="s">
        <v>152</v>
      </c>
      <c r="D30" s="8">
        <v>1</v>
      </c>
      <c r="E30" s="8">
        <f>($D$11-$D$10)*D30</f>
        <v>1428.074974775</v>
      </c>
      <c r="F30" s="8"/>
      <c r="G30" s="8">
        <f>($F$11-$F$10)*F30</f>
        <v>0</v>
      </c>
      <c r="H30" s="8"/>
      <c r="I30" s="8">
        <f>($H$11-$H$10)*H30</f>
        <v>0</v>
      </c>
      <c r="J30" s="8"/>
      <c r="K30" s="8">
        <f>($J$11-$J$10)*J30</f>
        <v>0</v>
      </c>
      <c r="L30" s="8">
        <v>2</v>
      </c>
      <c r="M30" s="8">
        <f>($L$11-$L$10)*L30</f>
        <v>1166.518160432</v>
      </c>
      <c r="N30" s="8"/>
      <c r="O30" s="8">
        <f>($N$11-$N$10)*N30</f>
        <v>0</v>
      </c>
      <c r="P30" s="8"/>
      <c r="Q30" s="8">
        <f>($P$11-$P$10)*P30</f>
        <v>0</v>
      </c>
      <c r="R30" s="8">
        <f t="shared" si="0"/>
        <v>3</v>
      </c>
      <c r="S30" s="8">
        <v>19954</v>
      </c>
      <c r="T30" s="8">
        <f t="shared" si="1"/>
        <v>2594.593135207</v>
      </c>
      <c r="U30" s="7"/>
    </row>
    <row r="31" spans="1:21">
      <c r="A31" s="7" t="s">
        <v>306</v>
      </c>
      <c r="B31" s="7" t="s">
        <v>680</v>
      </c>
      <c r="C31" s="7" t="s">
        <v>152</v>
      </c>
      <c r="D31" s="8"/>
      <c r="E31" s="8">
        <f>($D$11-$D$10)*D31</f>
        <v>0</v>
      </c>
      <c r="F31" s="8"/>
      <c r="G31" s="8">
        <f>($F$11-$F$10)*F31</f>
        <v>0</v>
      </c>
      <c r="H31" s="8"/>
      <c r="I31" s="8">
        <f>($H$11-$H$10)*H31</f>
        <v>0</v>
      </c>
      <c r="J31" s="8"/>
      <c r="K31" s="8">
        <f>($J$11-$J$10)*J31</f>
        <v>0</v>
      </c>
      <c r="L31" s="8">
        <v>5</v>
      </c>
      <c r="M31" s="8">
        <f>($L$11-$L$10)*L31</f>
        <v>2916.29540108</v>
      </c>
      <c r="N31" s="8"/>
      <c r="O31" s="8">
        <f>($N$11-$N$10)*N31</f>
        <v>0</v>
      </c>
      <c r="P31" s="8"/>
      <c r="Q31" s="8">
        <f>($P$11-$P$10)*P31</f>
        <v>0</v>
      </c>
      <c r="R31" s="8">
        <f t="shared" si="0"/>
        <v>5</v>
      </c>
      <c r="S31" s="8">
        <v>22430</v>
      </c>
      <c r="T31" s="8">
        <f t="shared" si="1"/>
        <v>2916.29540108</v>
      </c>
      <c r="U31" s="7"/>
    </row>
    <row r="32" spans="1:21">
      <c r="A32" s="7" t="s">
        <v>101</v>
      </c>
      <c r="B32" s="7" t="s">
        <v>521</v>
      </c>
      <c r="C32" s="7" t="s">
        <v>152</v>
      </c>
      <c r="D32" s="11">
        <v>1</v>
      </c>
      <c r="E32" s="11"/>
      <c r="F32" s="12"/>
      <c r="G32" s="8">
        <f>($F$11-$F$10)*F32</f>
        <v>0</v>
      </c>
      <c r="H32" s="8"/>
      <c r="I32" s="8">
        <f>($H$11-$H$10)*H32</f>
        <v>0</v>
      </c>
      <c r="J32" s="8"/>
      <c r="K32" s="8">
        <f>($J$11-$J$10)*J32</f>
        <v>0</v>
      </c>
      <c r="L32" s="8"/>
      <c r="M32" s="8">
        <f>($L$11-$L$10)*L32</f>
        <v>0</v>
      </c>
      <c r="N32" s="8"/>
      <c r="O32" s="8">
        <f>($N$11-$N$10)*N32</f>
        <v>0</v>
      </c>
      <c r="P32" s="8"/>
      <c r="Q32" s="8">
        <f>($P$11-$P$10)*P32</f>
        <v>0</v>
      </c>
      <c r="R32" s="8">
        <f t="shared" si="0"/>
        <v>1</v>
      </c>
      <c r="S32" s="8">
        <v>10003</v>
      </c>
      <c r="T32" s="8">
        <f t="shared" si="1"/>
        <v>0</v>
      </c>
      <c r="U32" s="7"/>
    </row>
    <row r="33" spans="1:21">
      <c r="A33" s="9" t="s">
        <v>95</v>
      </c>
      <c r="B33" s="7"/>
      <c r="C33" s="7"/>
      <c r="D33" s="10">
        <f>SUM(D30:D32)</f>
        <v>2</v>
      </c>
      <c r="E33" s="10">
        <f t="shared" ref="E33:T33" si="8">SUM(E30:E32)</f>
        <v>1428.074974775</v>
      </c>
      <c r="F33" s="10">
        <f t="shared" si="8"/>
        <v>0</v>
      </c>
      <c r="G33" s="10">
        <f t="shared" si="8"/>
        <v>0</v>
      </c>
      <c r="H33" s="10">
        <f t="shared" si="8"/>
        <v>0</v>
      </c>
      <c r="I33" s="10">
        <f t="shared" si="8"/>
        <v>0</v>
      </c>
      <c r="J33" s="10">
        <f t="shared" si="8"/>
        <v>0</v>
      </c>
      <c r="K33" s="10">
        <f t="shared" si="8"/>
        <v>0</v>
      </c>
      <c r="L33" s="10">
        <f t="shared" si="8"/>
        <v>7</v>
      </c>
      <c r="M33" s="10">
        <f t="shared" si="8"/>
        <v>4082.813561512</v>
      </c>
      <c r="N33" s="10">
        <f t="shared" si="8"/>
        <v>0</v>
      </c>
      <c r="O33" s="10">
        <f t="shared" si="8"/>
        <v>0</v>
      </c>
      <c r="P33" s="10">
        <f t="shared" si="8"/>
        <v>0</v>
      </c>
      <c r="Q33" s="10">
        <f t="shared" si="8"/>
        <v>0</v>
      </c>
      <c r="R33" s="10">
        <f t="shared" si="8"/>
        <v>9</v>
      </c>
      <c r="S33" s="10">
        <f t="shared" si="8"/>
        <v>52387</v>
      </c>
      <c r="T33" s="10">
        <f t="shared" si="8"/>
        <v>5510.888536287</v>
      </c>
      <c r="U33" s="7"/>
    </row>
    <row r="34" spans="1:21">
      <c r="A34" s="7" t="s">
        <v>106</v>
      </c>
      <c r="B34" s="7" t="s">
        <v>525</v>
      </c>
      <c r="C34" s="7" t="s">
        <v>152</v>
      </c>
      <c r="D34" s="8"/>
      <c r="E34" s="8"/>
      <c r="F34" s="8"/>
      <c r="G34" s="8"/>
      <c r="H34" s="8">
        <v>2</v>
      </c>
      <c r="I34" s="8">
        <f>($H$11-$H$9)*H34</f>
        <v>4632.6732966618</v>
      </c>
      <c r="J34" s="8"/>
      <c r="K34" s="8"/>
      <c r="L34" s="8">
        <v>10</v>
      </c>
      <c r="M34" s="8">
        <f>($L$11-$L$9)*L34</f>
        <v>6056.88625732</v>
      </c>
      <c r="N34" s="8">
        <v>2</v>
      </c>
      <c r="O34" s="8">
        <f>($N$11-$N$9)*N34</f>
        <v>1677.689152572</v>
      </c>
      <c r="P34" s="8">
        <v>3</v>
      </c>
      <c r="Q34" s="8">
        <f>($P$11-$P$9)*P34</f>
        <v>4224.81595674</v>
      </c>
      <c r="R34" s="8">
        <f t="shared" si="0"/>
        <v>17</v>
      </c>
      <c r="S34" s="8">
        <v>122894</v>
      </c>
      <c r="T34" s="8">
        <f t="shared" si="1"/>
        <v>16592.0646632938</v>
      </c>
      <c r="U34" s="7"/>
    </row>
    <row r="35" spans="1:21">
      <c r="A35" s="7" t="s">
        <v>230</v>
      </c>
      <c r="B35" s="7" t="s">
        <v>681</v>
      </c>
      <c r="C35" s="7" t="s">
        <v>158</v>
      </c>
      <c r="D35" s="8"/>
      <c r="E35" s="8"/>
      <c r="F35" s="8"/>
      <c r="G35" s="8"/>
      <c r="H35" s="8"/>
      <c r="I35" s="8"/>
      <c r="J35" s="8"/>
      <c r="K35" s="8"/>
      <c r="L35" s="8">
        <v>4</v>
      </c>
      <c r="M35" s="8">
        <f>($L$11-$L$10)*L35</f>
        <v>2333.036320864</v>
      </c>
      <c r="N35" s="8">
        <v>4</v>
      </c>
      <c r="O35" s="8">
        <f>($N$11-$N$10)*N35</f>
        <v>3231.120376272</v>
      </c>
      <c r="P35" s="8">
        <v>1</v>
      </c>
      <c r="Q35" s="8">
        <f>($P$11-$P$10)*P35</f>
        <v>1356.11170804</v>
      </c>
      <c r="R35" s="8">
        <f t="shared" si="0"/>
        <v>9</v>
      </c>
      <c r="S35" s="8">
        <v>53228</v>
      </c>
      <c r="T35" s="8">
        <f t="shared" si="1"/>
        <v>6920.268405176</v>
      </c>
      <c r="U35" s="7"/>
    </row>
    <row r="36" spans="1:21">
      <c r="A36" s="7" t="s">
        <v>109</v>
      </c>
      <c r="B36" s="7" t="s">
        <v>528</v>
      </c>
      <c r="C36" s="7" t="s">
        <v>152</v>
      </c>
      <c r="D36" s="8">
        <v>5</v>
      </c>
      <c r="E36" s="8">
        <f>($D$11-$D$7)*D36</f>
        <v>7826.72006246875</v>
      </c>
      <c r="F36" s="8"/>
      <c r="G36" s="8"/>
      <c r="H36" s="8"/>
      <c r="I36" s="8"/>
      <c r="J36" s="8"/>
      <c r="K36" s="8"/>
      <c r="L36" s="8">
        <v>38</v>
      </c>
      <c r="M36" s="8">
        <f>($L$11-$L$7)*L36</f>
        <v>24294.651872228</v>
      </c>
      <c r="N36" s="8">
        <v>6</v>
      </c>
      <c r="O36" s="8">
        <f>($N$11-$N$7)*N36</f>
        <v>5312.647797678</v>
      </c>
      <c r="P36" s="8">
        <v>20</v>
      </c>
      <c r="Q36" s="8">
        <f>($P$11-$P$7)*P36</f>
        <v>29730.2480378</v>
      </c>
      <c r="R36" s="8">
        <f t="shared" si="0"/>
        <v>69</v>
      </c>
      <c r="S36" s="8">
        <v>471296</v>
      </c>
      <c r="T36" s="8">
        <f t="shared" si="1"/>
        <v>67164.2677701748</v>
      </c>
      <c r="U36" s="7"/>
    </row>
    <row r="37" spans="1:21">
      <c r="A37" s="9" t="s">
        <v>103</v>
      </c>
      <c r="B37" s="7"/>
      <c r="C37" s="7"/>
      <c r="D37" s="10">
        <f>SUM(D34:D36)</f>
        <v>5</v>
      </c>
      <c r="E37" s="10">
        <f t="shared" ref="E37:T37" si="9">SUM(E34:E36)</f>
        <v>7826.72006246875</v>
      </c>
      <c r="F37" s="10">
        <f t="shared" si="9"/>
        <v>0</v>
      </c>
      <c r="G37" s="10">
        <f t="shared" si="9"/>
        <v>0</v>
      </c>
      <c r="H37" s="10">
        <f t="shared" si="9"/>
        <v>2</v>
      </c>
      <c r="I37" s="10">
        <f t="shared" si="9"/>
        <v>4632.6732966618</v>
      </c>
      <c r="J37" s="10">
        <f t="shared" si="9"/>
        <v>0</v>
      </c>
      <c r="K37" s="10">
        <f t="shared" si="9"/>
        <v>0</v>
      </c>
      <c r="L37" s="10">
        <f t="shared" si="9"/>
        <v>52</v>
      </c>
      <c r="M37" s="10">
        <f t="shared" si="9"/>
        <v>32684.574450412</v>
      </c>
      <c r="N37" s="10">
        <f t="shared" si="9"/>
        <v>12</v>
      </c>
      <c r="O37" s="10">
        <f t="shared" si="9"/>
        <v>10221.457326522</v>
      </c>
      <c r="P37" s="10">
        <f t="shared" si="9"/>
        <v>24</v>
      </c>
      <c r="Q37" s="10">
        <f t="shared" si="9"/>
        <v>35311.17570258</v>
      </c>
      <c r="R37" s="10">
        <f t="shared" si="9"/>
        <v>95</v>
      </c>
      <c r="S37" s="10">
        <f t="shared" si="9"/>
        <v>647418</v>
      </c>
      <c r="T37" s="10">
        <f t="shared" si="9"/>
        <v>90676.6008386446</v>
      </c>
      <c r="U37" s="7"/>
    </row>
    <row r="38" spans="1:21">
      <c r="A38" s="7" t="s">
        <v>281</v>
      </c>
      <c r="B38" s="7" t="s">
        <v>682</v>
      </c>
      <c r="C38" s="7" t="s">
        <v>152</v>
      </c>
      <c r="D38" s="8">
        <v>2</v>
      </c>
      <c r="E38" s="8">
        <f>($D$11-$D$8)*D38</f>
        <v>3075.7804099</v>
      </c>
      <c r="F38" s="8">
        <v>2</v>
      </c>
      <c r="G38" s="8">
        <f>($F$11-$F$8)*F38</f>
        <v>3831.2589802304</v>
      </c>
      <c r="H38" s="8">
        <v>2</v>
      </c>
      <c r="I38" s="8">
        <f>($H$11-$H$8)*H38</f>
        <v>4804.2300984152</v>
      </c>
      <c r="J38" s="8">
        <v>3</v>
      </c>
      <c r="K38" s="8">
        <f>($J$11-$J$8)*J38</f>
        <v>7930.2569419428</v>
      </c>
      <c r="L38" s="8"/>
      <c r="M38" s="8"/>
      <c r="N38" s="8">
        <v>5</v>
      </c>
      <c r="O38" s="8">
        <f>($N$11-$N$8)*N38</f>
        <v>4349.54529252</v>
      </c>
      <c r="P38" s="8">
        <v>4</v>
      </c>
      <c r="Q38" s="8">
        <f>($P$11-$P$8)*P38</f>
        <v>5841.72905248</v>
      </c>
      <c r="R38" s="8">
        <f t="shared" si="0"/>
        <v>18</v>
      </c>
      <c r="S38" s="8">
        <v>213077</v>
      </c>
      <c r="T38" s="8">
        <f t="shared" si="1"/>
        <v>29832.8007754884</v>
      </c>
      <c r="U38" s="7"/>
    </row>
    <row r="39" spans="1:21">
      <c r="A39" s="9" t="s">
        <v>111</v>
      </c>
      <c r="B39" s="9"/>
      <c r="C39" s="9"/>
      <c r="D39" s="10">
        <f>SUM(D38:D38)</f>
        <v>2</v>
      </c>
      <c r="E39" s="10">
        <f t="shared" ref="E39:T39" si="10">SUM(E38:E38)</f>
        <v>3075.7804099</v>
      </c>
      <c r="F39" s="10">
        <f t="shared" si="10"/>
        <v>2</v>
      </c>
      <c r="G39" s="10">
        <f t="shared" si="10"/>
        <v>3831.2589802304</v>
      </c>
      <c r="H39" s="10">
        <f t="shared" si="10"/>
        <v>2</v>
      </c>
      <c r="I39" s="10">
        <f t="shared" si="10"/>
        <v>4804.2300984152</v>
      </c>
      <c r="J39" s="10">
        <f t="shared" si="10"/>
        <v>3</v>
      </c>
      <c r="K39" s="10">
        <f t="shared" si="10"/>
        <v>7930.2569419428</v>
      </c>
      <c r="L39" s="10">
        <f t="shared" si="10"/>
        <v>0</v>
      </c>
      <c r="M39" s="10">
        <f t="shared" si="10"/>
        <v>0</v>
      </c>
      <c r="N39" s="10">
        <f t="shared" si="10"/>
        <v>5</v>
      </c>
      <c r="O39" s="10">
        <f t="shared" si="10"/>
        <v>4349.54529252</v>
      </c>
      <c r="P39" s="10">
        <f t="shared" si="10"/>
        <v>4</v>
      </c>
      <c r="Q39" s="10">
        <f t="shared" si="10"/>
        <v>5841.72905248</v>
      </c>
      <c r="R39" s="10">
        <f t="shared" si="10"/>
        <v>18</v>
      </c>
      <c r="S39" s="10">
        <f t="shared" si="10"/>
        <v>213077</v>
      </c>
      <c r="T39" s="10">
        <f t="shared" si="10"/>
        <v>29832.8007754884</v>
      </c>
      <c r="U39" s="7"/>
    </row>
    <row r="40" spans="1:21">
      <c r="A40" s="13" t="s">
        <v>6</v>
      </c>
      <c r="B40" s="13"/>
      <c r="C40" s="13"/>
      <c r="D40" s="14">
        <f>D39+D37+D33+D29+D27+D25+D23+D17+D15</f>
        <v>27</v>
      </c>
      <c r="E40" s="14">
        <f t="shared" ref="E40:T40" si="11">E39+E37+E33+E29+E27+E25+E23+E17+E15</f>
        <v>38502.6397213375</v>
      </c>
      <c r="F40" s="14">
        <f t="shared" si="11"/>
        <v>6</v>
      </c>
      <c r="G40" s="14">
        <f t="shared" si="11"/>
        <v>11151.6731467992</v>
      </c>
      <c r="H40" s="14">
        <f t="shared" si="11"/>
        <v>11</v>
      </c>
      <c r="I40" s="14">
        <f t="shared" si="11"/>
        <v>25822.8167351468</v>
      </c>
      <c r="J40" s="14">
        <f t="shared" si="11"/>
        <v>9</v>
      </c>
      <c r="K40" s="14">
        <f t="shared" si="11"/>
        <v>23601.9733721152</v>
      </c>
      <c r="L40" s="14">
        <f t="shared" si="11"/>
        <v>83</v>
      </c>
      <c r="M40" s="14">
        <f t="shared" si="11"/>
        <v>51438.492302588</v>
      </c>
      <c r="N40" s="14">
        <f t="shared" si="11"/>
        <v>29</v>
      </c>
      <c r="O40" s="14">
        <f t="shared" si="11"/>
        <v>24575.008570038</v>
      </c>
      <c r="P40" s="14">
        <f t="shared" si="11"/>
        <v>42</v>
      </c>
      <c r="Q40" s="14">
        <f t="shared" si="11"/>
        <v>61442.47560612</v>
      </c>
      <c r="R40" s="14">
        <f t="shared" si="11"/>
        <v>207</v>
      </c>
      <c r="S40" s="14">
        <f t="shared" si="11"/>
        <v>1726934</v>
      </c>
      <c r="T40" s="14">
        <f t="shared" si="11"/>
        <v>236535.079454145</v>
      </c>
      <c r="U40" s="7"/>
    </row>
  </sheetData>
  <autoFilter ref="A12:AB40">
    <extLst/>
  </autoFilter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88"/>
  <sheetViews>
    <sheetView workbookViewId="0">
      <selection activeCell="A1" sqref="A$1:B$1048576"/>
    </sheetView>
  </sheetViews>
  <sheetFormatPr defaultColWidth="8.88888888888889" defaultRowHeight="14.4" outlineLevelCol="1"/>
  <cols>
    <col min="1" max="1" width="44.4444444444444"/>
    <col min="2" max="2" width="12.8888888888889"/>
  </cols>
  <sheetData>
    <row r="3" spans="1:2">
      <c r="A3" t="s">
        <v>683</v>
      </c>
      <c r="B3" t="s">
        <v>684</v>
      </c>
    </row>
    <row r="4" spans="1:2">
      <c r="A4" t="s">
        <v>383</v>
      </c>
      <c r="B4">
        <v>101000</v>
      </c>
    </row>
    <row r="5" spans="1:2">
      <c r="A5" t="s">
        <v>362</v>
      </c>
      <c r="B5">
        <v>13800</v>
      </c>
    </row>
    <row r="6" spans="1:2">
      <c r="A6" t="s">
        <v>347</v>
      </c>
      <c r="B6">
        <v>2000</v>
      </c>
    </row>
    <row r="7" spans="1:2">
      <c r="A7" t="s">
        <v>401</v>
      </c>
      <c r="B7">
        <v>85400</v>
      </c>
    </row>
    <row r="8" spans="1:2">
      <c r="A8" t="s">
        <v>237</v>
      </c>
      <c r="B8">
        <v>16289.9553771965</v>
      </c>
    </row>
    <row r="9" spans="1:2">
      <c r="A9" t="s">
        <v>299</v>
      </c>
      <c r="B9">
        <v>2594.593135207</v>
      </c>
    </row>
    <row r="10" spans="1:2">
      <c r="A10" t="s">
        <v>325</v>
      </c>
      <c r="B10">
        <v>10500</v>
      </c>
    </row>
    <row r="11" spans="1:2">
      <c r="A11" t="s">
        <v>44</v>
      </c>
      <c r="B11">
        <v>58800</v>
      </c>
    </row>
    <row r="12" spans="1:2">
      <c r="A12" t="s">
        <v>317</v>
      </c>
      <c r="B12">
        <v>164700</v>
      </c>
    </row>
    <row r="13" spans="1:2">
      <c r="A13" t="s">
        <v>50</v>
      </c>
      <c r="B13">
        <v>70150</v>
      </c>
    </row>
    <row r="14" spans="1:2">
      <c r="A14" t="s">
        <v>51</v>
      </c>
      <c r="B14">
        <v>62500</v>
      </c>
    </row>
    <row r="15" spans="1:2">
      <c r="A15" t="s">
        <v>81</v>
      </c>
      <c r="B15">
        <v>25700</v>
      </c>
    </row>
    <row r="16" spans="1:2">
      <c r="A16" t="s">
        <v>87</v>
      </c>
      <c r="B16">
        <v>18750</v>
      </c>
    </row>
    <row r="17" spans="1:2">
      <c r="A17" t="s">
        <v>52</v>
      </c>
      <c r="B17">
        <v>16800</v>
      </c>
    </row>
    <row r="18" spans="1:2">
      <c r="A18" t="s">
        <v>8</v>
      </c>
      <c r="B18">
        <v>317700</v>
      </c>
    </row>
    <row r="19" spans="1:2">
      <c r="A19" t="s">
        <v>112</v>
      </c>
      <c r="B19">
        <v>21450</v>
      </c>
    </row>
    <row r="20" spans="1:2">
      <c r="A20" t="s">
        <v>29</v>
      </c>
      <c r="B20">
        <v>411100</v>
      </c>
    </row>
    <row r="21" spans="1:2">
      <c r="A21" t="s">
        <v>316</v>
      </c>
      <c r="B21">
        <v>314400</v>
      </c>
    </row>
    <row r="22" spans="1:2">
      <c r="A22" t="s">
        <v>312</v>
      </c>
      <c r="B22">
        <v>51520</v>
      </c>
    </row>
    <row r="23" spans="1:2">
      <c r="A23" t="s">
        <v>341</v>
      </c>
      <c r="B23">
        <v>286400</v>
      </c>
    </row>
    <row r="24" spans="1:2">
      <c r="A24" t="s">
        <v>45</v>
      </c>
      <c r="B24">
        <v>0</v>
      </c>
    </row>
    <row r="25" spans="1:2">
      <c r="A25" t="s">
        <v>375</v>
      </c>
      <c r="B25">
        <v>15500</v>
      </c>
    </row>
    <row r="26" spans="1:2">
      <c r="A26" t="s">
        <v>96</v>
      </c>
      <c r="B26">
        <v>0</v>
      </c>
    </row>
    <row r="27" spans="1:2">
      <c r="A27" t="s">
        <v>92</v>
      </c>
      <c r="B27">
        <v>286300</v>
      </c>
    </row>
    <row r="28" spans="1:2">
      <c r="A28" t="s">
        <v>186</v>
      </c>
      <c r="B28">
        <v>17257.05</v>
      </c>
    </row>
    <row r="29" spans="1:2">
      <c r="A29" t="s">
        <v>53</v>
      </c>
      <c r="B29">
        <v>42000</v>
      </c>
    </row>
    <row r="30" spans="1:2">
      <c r="A30" t="s">
        <v>104</v>
      </c>
      <c r="B30">
        <v>15000</v>
      </c>
    </row>
    <row r="31" spans="1:2">
      <c r="A31" t="s">
        <v>336</v>
      </c>
      <c r="B31">
        <v>95500</v>
      </c>
    </row>
    <row r="32" spans="1:2">
      <c r="A32" t="s">
        <v>66</v>
      </c>
      <c r="B32">
        <v>12500</v>
      </c>
    </row>
    <row r="33" spans="1:2">
      <c r="A33" t="s">
        <v>74</v>
      </c>
      <c r="B33">
        <v>68250</v>
      </c>
    </row>
    <row r="34" spans="1:2">
      <c r="A34" t="s">
        <v>359</v>
      </c>
      <c r="B34">
        <v>185000</v>
      </c>
    </row>
    <row r="35" spans="1:2">
      <c r="A35" t="s">
        <v>304</v>
      </c>
      <c r="B35">
        <v>27641.852215423</v>
      </c>
    </row>
    <row r="36" spans="1:2">
      <c r="A36" t="s">
        <v>392</v>
      </c>
      <c r="B36">
        <v>9000</v>
      </c>
    </row>
    <row r="37" spans="1:2">
      <c r="A37" t="s">
        <v>348</v>
      </c>
      <c r="B37">
        <v>108000</v>
      </c>
    </row>
    <row r="38" spans="1:2">
      <c r="A38" t="s">
        <v>11</v>
      </c>
      <c r="B38">
        <v>6250</v>
      </c>
    </row>
    <row r="39" spans="1:2">
      <c r="A39" t="s">
        <v>54</v>
      </c>
      <c r="B39">
        <v>20000</v>
      </c>
    </row>
    <row r="40" spans="1:2">
      <c r="A40" t="s">
        <v>75</v>
      </c>
      <c r="B40">
        <v>5700</v>
      </c>
    </row>
    <row r="41" spans="1:2">
      <c r="A41" t="s">
        <v>21</v>
      </c>
      <c r="B41">
        <v>85800</v>
      </c>
    </row>
    <row r="42" spans="1:2">
      <c r="A42" t="s">
        <v>306</v>
      </c>
      <c r="B42">
        <v>2916.29540108</v>
      </c>
    </row>
    <row r="43" spans="1:2">
      <c r="A43" t="s">
        <v>337</v>
      </c>
      <c r="B43">
        <v>369600</v>
      </c>
    </row>
    <row r="44" spans="1:2">
      <c r="A44" t="s">
        <v>342</v>
      </c>
      <c r="B44">
        <v>319850</v>
      </c>
    </row>
    <row r="45" spans="1:2">
      <c r="A45" t="s">
        <v>55</v>
      </c>
      <c r="B45">
        <v>272215.560188136</v>
      </c>
    </row>
    <row r="46" spans="1:2">
      <c r="A46" t="s">
        <v>386</v>
      </c>
      <c r="B46">
        <v>10000</v>
      </c>
    </row>
    <row r="47" spans="1:2">
      <c r="A47" t="s">
        <v>76</v>
      </c>
      <c r="B47">
        <v>5800</v>
      </c>
    </row>
    <row r="48" spans="1:2">
      <c r="A48" t="s">
        <v>30</v>
      </c>
      <c r="B48">
        <v>25000</v>
      </c>
    </row>
    <row r="49" spans="1:2">
      <c r="A49" t="s">
        <v>67</v>
      </c>
      <c r="B49">
        <v>13000</v>
      </c>
    </row>
    <row r="50" spans="1:2">
      <c r="A50" t="s">
        <v>88</v>
      </c>
      <c r="B50">
        <v>31250</v>
      </c>
    </row>
    <row r="51" spans="1:2">
      <c r="A51" t="s">
        <v>105</v>
      </c>
      <c r="B51">
        <v>373500</v>
      </c>
    </row>
    <row r="52" spans="1:2">
      <c r="A52" t="s">
        <v>56</v>
      </c>
      <c r="B52">
        <v>210019.720188136</v>
      </c>
    </row>
    <row r="53" spans="1:2">
      <c r="A53" t="s">
        <v>57</v>
      </c>
      <c r="B53">
        <v>627303.645218841</v>
      </c>
    </row>
    <row r="54" spans="1:2">
      <c r="A54" t="s">
        <v>368</v>
      </c>
      <c r="B54">
        <v>448800</v>
      </c>
    </row>
    <row r="55" spans="1:2">
      <c r="A55" t="s">
        <v>16</v>
      </c>
      <c r="B55">
        <v>20250</v>
      </c>
    </row>
    <row r="56" spans="1:2">
      <c r="A56" t="s">
        <v>389</v>
      </c>
      <c r="B56">
        <v>672700</v>
      </c>
    </row>
    <row r="57" spans="1:2">
      <c r="A57" t="s">
        <v>12</v>
      </c>
      <c r="B57">
        <v>165350</v>
      </c>
    </row>
    <row r="58" spans="1:2">
      <c r="A58" t="s">
        <v>106</v>
      </c>
      <c r="B58">
        <v>228842.064663294</v>
      </c>
    </row>
    <row r="59" spans="1:2">
      <c r="A59" t="s">
        <v>39</v>
      </c>
      <c r="B59">
        <v>245000</v>
      </c>
    </row>
    <row r="60" spans="1:2">
      <c r="A60" t="s">
        <v>345</v>
      </c>
      <c r="B60">
        <v>12000</v>
      </c>
    </row>
    <row r="61" spans="1:2">
      <c r="A61" t="s">
        <v>22</v>
      </c>
      <c r="B61">
        <v>43700</v>
      </c>
    </row>
    <row r="62" spans="1:2">
      <c r="A62" t="s">
        <v>412</v>
      </c>
      <c r="B62">
        <v>50000</v>
      </c>
    </row>
    <row r="63" spans="1:2">
      <c r="A63" t="s">
        <v>84</v>
      </c>
      <c r="B63">
        <v>43967.14</v>
      </c>
    </row>
    <row r="64" spans="1:2">
      <c r="A64" t="s">
        <v>85</v>
      </c>
      <c r="B64">
        <v>745800</v>
      </c>
    </row>
    <row r="65" spans="1:2">
      <c r="A65" t="s">
        <v>314</v>
      </c>
      <c r="B65">
        <v>182400</v>
      </c>
    </row>
    <row r="66" spans="1:2">
      <c r="A66" t="s">
        <v>23</v>
      </c>
      <c r="B66">
        <v>54250</v>
      </c>
    </row>
    <row r="67" spans="1:2">
      <c r="A67" t="s">
        <v>77</v>
      </c>
      <c r="B67">
        <v>65323.853141365</v>
      </c>
    </row>
    <row r="68" spans="1:2">
      <c r="A68" t="s">
        <v>97</v>
      </c>
      <c r="B68">
        <v>0</v>
      </c>
    </row>
    <row r="69" spans="1:2">
      <c r="A69" t="s">
        <v>363</v>
      </c>
      <c r="B69">
        <v>7300</v>
      </c>
    </row>
    <row r="70" spans="1:2">
      <c r="A70" t="s">
        <v>376</v>
      </c>
      <c r="B70">
        <v>130000</v>
      </c>
    </row>
    <row r="71" spans="1:2">
      <c r="A71" t="s">
        <v>393</v>
      </c>
      <c r="B71">
        <v>26000</v>
      </c>
    </row>
    <row r="72" spans="1:2">
      <c r="A72" t="s">
        <v>78</v>
      </c>
      <c r="B72">
        <v>4200</v>
      </c>
    </row>
    <row r="73" spans="1:2">
      <c r="A73" t="s">
        <v>371</v>
      </c>
      <c r="B73">
        <v>18000</v>
      </c>
    </row>
    <row r="74" spans="1:2">
      <c r="A74" t="s">
        <v>17</v>
      </c>
      <c r="B74">
        <v>20250</v>
      </c>
    </row>
    <row r="75" spans="1:2">
      <c r="A75" t="s">
        <v>24</v>
      </c>
      <c r="B75">
        <v>49900</v>
      </c>
    </row>
    <row r="76" spans="1:2">
      <c r="A76" t="s">
        <v>374</v>
      </c>
      <c r="B76">
        <v>315500</v>
      </c>
    </row>
    <row r="77" spans="1:2">
      <c r="A77" t="s">
        <v>377</v>
      </c>
      <c r="B77">
        <v>103800</v>
      </c>
    </row>
    <row r="78" spans="1:2">
      <c r="A78" t="s">
        <v>334</v>
      </c>
      <c r="B78">
        <v>440300</v>
      </c>
    </row>
    <row r="79" spans="1:2">
      <c r="A79" t="s">
        <v>31</v>
      </c>
      <c r="B79">
        <v>16024.163510148</v>
      </c>
    </row>
    <row r="80" spans="1:2">
      <c r="A80" t="s">
        <v>32</v>
      </c>
      <c r="B80">
        <v>25200</v>
      </c>
    </row>
    <row r="81" spans="1:2">
      <c r="A81" t="s">
        <v>332</v>
      </c>
      <c r="B81">
        <v>12500</v>
      </c>
    </row>
    <row r="82" spans="1:2">
      <c r="A82" t="s">
        <v>373</v>
      </c>
      <c r="B82">
        <v>50000</v>
      </c>
    </row>
    <row r="83" spans="1:2">
      <c r="A83" t="s">
        <v>40</v>
      </c>
      <c r="B83">
        <v>31500</v>
      </c>
    </row>
    <row r="84" spans="1:2">
      <c r="A84" t="s">
        <v>333</v>
      </c>
      <c r="B84">
        <v>48000</v>
      </c>
    </row>
    <row r="85" spans="1:2">
      <c r="A85" t="s">
        <v>46</v>
      </c>
      <c r="B85">
        <v>62925</v>
      </c>
    </row>
    <row r="86" spans="1:2">
      <c r="A86" t="s">
        <v>364</v>
      </c>
      <c r="B86">
        <v>130000</v>
      </c>
    </row>
    <row r="87" spans="1:2">
      <c r="A87" t="s">
        <v>413</v>
      </c>
      <c r="B87">
        <v>4500</v>
      </c>
    </row>
    <row r="88" spans="1:2">
      <c r="A88" t="s">
        <v>47</v>
      </c>
      <c r="B88">
        <v>28200</v>
      </c>
    </row>
    <row r="89" spans="1:2">
      <c r="A89" t="s">
        <v>13</v>
      </c>
      <c r="B89">
        <v>1750</v>
      </c>
    </row>
    <row r="90" spans="1:2">
      <c r="A90" t="s">
        <v>58</v>
      </c>
      <c r="B90">
        <v>125000</v>
      </c>
    </row>
    <row r="91" spans="1:2">
      <c r="A91" t="s">
        <v>48</v>
      </c>
      <c r="B91">
        <v>2400</v>
      </c>
    </row>
    <row r="92" spans="1:2">
      <c r="A92" t="s">
        <v>33</v>
      </c>
      <c r="B92">
        <v>30000</v>
      </c>
    </row>
    <row r="93" spans="1:2">
      <c r="A93" t="s">
        <v>34</v>
      </c>
      <c r="B93">
        <v>323000</v>
      </c>
    </row>
    <row r="94" spans="1:2">
      <c r="A94" t="s">
        <v>107</v>
      </c>
      <c r="B94">
        <v>483500</v>
      </c>
    </row>
    <row r="95" spans="1:2">
      <c r="A95" t="s">
        <v>41</v>
      </c>
      <c r="B95">
        <v>1200</v>
      </c>
    </row>
    <row r="96" spans="1:2">
      <c r="A96" t="s">
        <v>209</v>
      </c>
      <c r="B96">
        <v>80013</v>
      </c>
    </row>
    <row r="97" spans="1:2">
      <c r="A97" t="s">
        <v>353</v>
      </c>
      <c r="B97">
        <v>74500</v>
      </c>
    </row>
    <row r="98" spans="1:2">
      <c r="A98" t="s">
        <v>113</v>
      </c>
      <c r="B98">
        <v>45350</v>
      </c>
    </row>
    <row r="99" spans="1:2">
      <c r="A99" t="s">
        <v>98</v>
      </c>
      <c r="B99">
        <v>0</v>
      </c>
    </row>
    <row r="100" spans="1:2">
      <c r="A100" t="s">
        <v>388</v>
      </c>
      <c r="B100">
        <v>50500</v>
      </c>
    </row>
    <row r="101" spans="1:2">
      <c r="A101" t="s">
        <v>410</v>
      </c>
      <c r="B101">
        <v>103600</v>
      </c>
    </row>
    <row r="102" spans="1:2">
      <c r="A102" t="s">
        <v>351</v>
      </c>
      <c r="B102">
        <v>19200</v>
      </c>
    </row>
    <row r="103" spans="1:2">
      <c r="A103" t="s">
        <v>114</v>
      </c>
      <c r="B103">
        <v>93600</v>
      </c>
    </row>
    <row r="104" spans="1:2">
      <c r="A104" t="s">
        <v>315</v>
      </c>
      <c r="B104">
        <v>124000</v>
      </c>
    </row>
    <row r="105" spans="1:2">
      <c r="A105" t="s">
        <v>59</v>
      </c>
      <c r="B105">
        <v>23000</v>
      </c>
    </row>
    <row r="106" spans="1:2">
      <c r="A106" t="s">
        <v>411</v>
      </c>
      <c r="B106">
        <v>20000</v>
      </c>
    </row>
    <row r="107" spans="1:2">
      <c r="A107" t="s">
        <v>227</v>
      </c>
      <c r="B107">
        <v>15897.44</v>
      </c>
    </row>
    <row r="108" spans="1:2">
      <c r="A108" t="s">
        <v>414</v>
      </c>
      <c r="B108">
        <v>6000</v>
      </c>
    </row>
    <row r="109" spans="1:2">
      <c r="A109" t="s">
        <v>382</v>
      </c>
      <c r="B109">
        <v>32500</v>
      </c>
    </row>
    <row r="110" spans="1:2">
      <c r="A110" t="s">
        <v>365</v>
      </c>
      <c r="B110">
        <v>76200</v>
      </c>
    </row>
    <row r="111" spans="1:2">
      <c r="A111" t="s">
        <v>230</v>
      </c>
      <c r="B111">
        <v>6920.268405176</v>
      </c>
    </row>
    <row r="112" spans="1:2">
      <c r="A112" t="s">
        <v>14</v>
      </c>
      <c r="B112">
        <v>44950</v>
      </c>
    </row>
    <row r="113" spans="1:2">
      <c r="A113" t="s">
        <v>275</v>
      </c>
      <c r="B113">
        <v>4300</v>
      </c>
    </row>
    <row r="114" spans="1:2">
      <c r="A114" t="s">
        <v>42</v>
      </c>
      <c r="B114">
        <v>69000</v>
      </c>
    </row>
    <row r="115" spans="1:2">
      <c r="A115" t="s">
        <v>395</v>
      </c>
      <c r="B115">
        <v>7500</v>
      </c>
    </row>
    <row r="116" spans="1:2">
      <c r="A116" t="s">
        <v>60</v>
      </c>
      <c r="B116">
        <v>13472.668109982</v>
      </c>
    </row>
    <row r="117" spans="1:2">
      <c r="A117" t="s">
        <v>99</v>
      </c>
      <c r="B117">
        <v>19000</v>
      </c>
    </row>
    <row r="118" spans="1:2">
      <c r="A118" t="s">
        <v>89</v>
      </c>
      <c r="B118">
        <v>145000</v>
      </c>
    </row>
    <row r="119" spans="1:2">
      <c r="A119" t="s">
        <v>18</v>
      </c>
      <c r="B119">
        <v>28800</v>
      </c>
    </row>
    <row r="120" spans="1:2">
      <c r="A120" t="s">
        <v>35</v>
      </c>
      <c r="B120">
        <v>50864</v>
      </c>
    </row>
    <row r="121" spans="1:2">
      <c r="A121" t="s">
        <v>36</v>
      </c>
      <c r="B121">
        <v>19000</v>
      </c>
    </row>
    <row r="122" spans="1:2">
      <c r="A122" t="s">
        <v>108</v>
      </c>
      <c r="B122">
        <v>28500</v>
      </c>
    </row>
    <row r="123" spans="1:2">
      <c r="A123" t="s">
        <v>292</v>
      </c>
      <c r="B123">
        <v>1428.074974775</v>
      </c>
    </row>
    <row r="124" spans="1:2">
      <c r="A124" t="s">
        <v>289</v>
      </c>
      <c r="B124">
        <v>33264</v>
      </c>
    </row>
    <row r="125" spans="1:2">
      <c r="A125" t="s">
        <v>296</v>
      </c>
      <c r="B125">
        <v>184132</v>
      </c>
    </row>
    <row r="126" spans="1:2">
      <c r="A126" t="s">
        <v>93</v>
      </c>
      <c r="B126">
        <v>162385.537921221</v>
      </c>
    </row>
    <row r="127" spans="1:2">
      <c r="A127" t="s">
        <v>415</v>
      </c>
      <c r="B127">
        <v>56000</v>
      </c>
    </row>
    <row r="128" spans="1:2">
      <c r="A128" t="s">
        <v>281</v>
      </c>
      <c r="B128">
        <v>29832.8007754884</v>
      </c>
    </row>
    <row r="129" spans="1:2">
      <c r="A129" t="s">
        <v>344</v>
      </c>
      <c r="B129">
        <v>167000</v>
      </c>
    </row>
    <row r="130" spans="1:2">
      <c r="A130" t="s">
        <v>252</v>
      </c>
      <c r="B130">
        <v>162400</v>
      </c>
    </row>
    <row r="131" spans="1:2">
      <c r="A131" t="s">
        <v>109</v>
      </c>
      <c r="B131">
        <v>419539.267770175</v>
      </c>
    </row>
    <row r="132" spans="1:2">
      <c r="A132" t="s">
        <v>94</v>
      </c>
      <c r="B132">
        <v>82050</v>
      </c>
    </row>
    <row r="133" spans="1:2">
      <c r="A133" t="s">
        <v>379</v>
      </c>
      <c r="B133">
        <v>132000</v>
      </c>
    </row>
    <row r="134" spans="1:2">
      <c r="A134" t="s">
        <v>307</v>
      </c>
      <c r="B134">
        <v>30781.2</v>
      </c>
    </row>
    <row r="135" spans="1:2">
      <c r="A135" t="s">
        <v>367</v>
      </c>
      <c r="B135">
        <v>90000</v>
      </c>
    </row>
    <row r="136" spans="1:2">
      <c r="A136" t="s">
        <v>293</v>
      </c>
      <c r="B136">
        <v>58878</v>
      </c>
    </row>
    <row r="137" spans="1:2">
      <c r="A137" t="s">
        <v>338</v>
      </c>
      <c r="B137">
        <v>751000</v>
      </c>
    </row>
    <row r="138" spans="1:2">
      <c r="A138" t="s">
        <v>68</v>
      </c>
      <c r="B138">
        <v>12750</v>
      </c>
    </row>
    <row r="139" spans="1:2">
      <c r="A139" t="s">
        <v>326</v>
      </c>
      <c r="B139">
        <v>12400</v>
      </c>
    </row>
    <row r="140" spans="1:2">
      <c r="A140" t="s">
        <v>330</v>
      </c>
      <c r="B140">
        <v>9000</v>
      </c>
    </row>
    <row r="141" spans="1:2">
      <c r="A141" t="s">
        <v>37</v>
      </c>
      <c r="B141">
        <v>102520</v>
      </c>
    </row>
    <row r="142" spans="1:2">
      <c r="A142" t="s">
        <v>366</v>
      </c>
      <c r="B142">
        <v>540000</v>
      </c>
    </row>
    <row r="143" spans="1:2">
      <c r="A143" t="s">
        <v>416</v>
      </c>
      <c r="B143">
        <v>300</v>
      </c>
    </row>
    <row r="144" spans="1:2">
      <c r="A144" t="s">
        <v>346</v>
      </c>
      <c r="B144">
        <v>43900</v>
      </c>
    </row>
    <row r="145" spans="1:2">
      <c r="A145" t="s">
        <v>331</v>
      </c>
      <c r="B145">
        <v>65000</v>
      </c>
    </row>
    <row r="146" spans="1:2">
      <c r="A146" t="s">
        <v>100</v>
      </c>
      <c r="B146">
        <v>0</v>
      </c>
    </row>
    <row r="147" spans="1:2">
      <c r="A147" t="s">
        <v>396</v>
      </c>
      <c r="B147">
        <v>22000</v>
      </c>
    </row>
    <row r="148" spans="1:2">
      <c r="A148" t="s">
        <v>356</v>
      </c>
      <c r="B148">
        <v>259000</v>
      </c>
    </row>
    <row r="149" spans="1:2">
      <c r="A149" t="s">
        <v>355</v>
      </c>
      <c r="B149">
        <v>60000</v>
      </c>
    </row>
    <row r="150" spans="1:2">
      <c r="A150" t="s">
        <v>399</v>
      </c>
      <c r="B150">
        <v>45600</v>
      </c>
    </row>
    <row r="151" spans="1:2">
      <c r="A151" t="s">
        <v>370</v>
      </c>
      <c r="B151">
        <v>42000</v>
      </c>
    </row>
    <row r="152" spans="1:2">
      <c r="A152" t="s">
        <v>82</v>
      </c>
      <c r="B152">
        <v>121650</v>
      </c>
    </row>
    <row r="153" spans="1:2">
      <c r="A153" t="s">
        <v>19</v>
      </c>
      <c r="B153">
        <v>516783.398458501</v>
      </c>
    </row>
    <row r="154" spans="1:2">
      <c r="A154" t="s">
        <v>324</v>
      </c>
      <c r="B154">
        <v>3000</v>
      </c>
    </row>
    <row r="155" spans="1:2">
      <c r="A155" t="s">
        <v>352</v>
      </c>
      <c r="B155">
        <v>42000</v>
      </c>
    </row>
    <row r="156" spans="1:2">
      <c r="A156" t="s">
        <v>61</v>
      </c>
      <c r="B156">
        <v>32200</v>
      </c>
    </row>
    <row r="157" spans="1:2">
      <c r="A157" t="s">
        <v>329</v>
      </c>
      <c r="B157">
        <v>52400</v>
      </c>
    </row>
    <row r="158" spans="1:2">
      <c r="A158" t="s">
        <v>25</v>
      </c>
      <c r="B158">
        <v>729700</v>
      </c>
    </row>
    <row r="159" spans="1:2">
      <c r="A159" t="s">
        <v>26</v>
      </c>
      <c r="B159">
        <v>147050</v>
      </c>
    </row>
    <row r="160" spans="1:2">
      <c r="A160" t="s">
        <v>90</v>
      </c>
      <c r="B160">
        <v>46400</v>
      </c>
    </row>
    <row r="161" spans="1:2">
      <c r="A161" t="s">
        <v>62</v>
      </c>
      <c r="B161">
        <v>34800</v>
      </c>
    </row>
    <row r="162" spans="1:2">
      <c r="A162" t="s">
        <v>394</v>
      </c>
      <c r="B162">
        <v>3000</v>
      </c>
    </row>
    <row r="163" spans="1:2">
      <c r="A163" t="s">
        <v>354</v>
      </c>
      <c r="B163">
        <v>37500</v>
      </c>
    </row>
    <row r="164" spans="1:2">
      <c r="A164" t="s">
        <v>72</v>
      </c>
      <c r="B164">
        <v>12500</v>
      </c>
    </row>
    <row r="165" spans="1:2">
      <c r="A165" t="s">
        <v>170</v>
      </c>
      <c r="B165">
        <v>823.28</v>
      </c>
    </row>
    <row r="166" spans="1:2">
      <c r="A166" t="s">
        <v>320</v>
      </c>
      <c r="B166">
        <v>32000</v>
      </c>
    </row>
    <row r="167" spans="1:2">
      <c r="A167" t="s">
        <v>69</v>
      </c>
      <c r="B167">
        <v>56250</v>
      </c>
    </row>
    <row r="168" spans="1:2">
      <c r="A168" t="s">
        <v>276</v>
      </c>
      <c r="B168">
        <v>1408.48</v>
      </c>
    </row>
    <row r="169" spans="1:2">
      <c r="A169" t="s">
        <v>319</v>
      </c>
      <c r="B169">
        <v>51600</v>
      </c>
    </row>
    <row r="170" spans="1:2">
      <c r="A170" t="s">
        <v>318</v>
      </c>
      <c r="B170">
        <v>60000</v>
      </c>
    </row>
    <row r="171" spans="1:2">
      <c r="A171" t="s">
        <v>70</v>
      </c>
      <c r="B171">
        <v>75000</v>
      </c>
    </row>
    <row r="172" spans="1:2">
      <c r="A172" t="s">
        <v>63</v>
      </c>
      <c r="B172">
        <v>23000</v>
      </c>
    </row>
    <row r="173" spans="1:2">
      <c r="A173" t="s">
        <v>343</v>
      </c>
      <c r="B173">
        <v>116000</v>
      </c>
    </row>
    <row r="174" spans="1:2">
      <c r="A174" t="s">
        <v>79</v>
      </c>
      <c r="B174">
        <v>128700</v>
      </c>
    </row>
    <row r="175" spans="1:2">
      <c r="A175" t="s">
        <v>27</v>
      </c>
      <c r="B175">
        <v>71400</v>
      </c>
    </row>
    <row r="176" spans="1:2">
      <c r="A176" t="s">
        <v>387</v>
      </c>
      <c r="B176">
        <v>23000</v>
      </c>
    </row>
    <row r="177" spans="1:2">
      <c r="A177" t="s">
        <v>9</v>
      </c>
      <c r="B177">
        <v>6000</v>
      </c>
    </row>
    <row r="178" spans="1:2">
      <c r="A178" t="s">
        <v>302</v>
      </c>
      <c r="B178">
        <v>31994.83</v>
      </c>
    </row>
    <row r="179" spans="1:2">
      <c r="A179" t="s">
        <v>323</v>
      </c>
      <c r="B179">
        <v>7500</v>
      </c>
    </row>
    <row r="180" spans="1:2">
      <c r="A180" t="s">
        <v>335</v>
      </c>
      <c r="B180">
        <v>51000</v>
      </c>
    </row>
    <row r="181" spans="1:2">
      <c r="A181" t="s">
        <v>372</v>
      </c>
      <c r="B181">
        <v>7800</v>
      </c>
    </row>
    <row r="182" spans="1:2">
      <c r="A182" t="s">
        <v>369</v>
      </c>
      <c r="B182">
        <v>18900</v>
      </c>
    </row>
    <row r="183" spans="1:2">
      <c r="A183" t="s">
        <v>101</v>
      </c>
      <c r="B183">
        <v>3600</v>
      </c>
    </row>
    <row r="184" spans="1:2">
      <c r="A184" t="s">
        <v>64</v>
      </c>
      <c r="B184">
        <v>39900</v>
      </c>
    </row>
    <row r="185" spans="1:2">
      <c r="A185" t="s">
        <v>378</v>
      </c>
      <c r="B185">
        <v>4800</v>
      </c>
    </row>
    <row r="186" spans="1:2">
      <c r="A186" t="s">
        <v>110</v>
      </c>
      <c r="B186">
        <v>69000</v>
      </c>
    </row>
    <row r="187" spans="1:2">
      <c r="A187" t="s">
        <v>102</v>
      </c>
      <c r="B187">
        <v>0</v>
      </c>
    </row>
    <row r="188" spans="1:2">
      <c r="A188" t="s">
        <v>6</v>
      </c>
      <c r="B188">
        <v>18216529.1394541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Sheet1</vt:lpstr>
      <vt:lpstr>with Out Conversion</vt:lpstr>
      <vt:lpstr>orgin</vt:lpstr>
      <vt:lpstr>Sheet2</vt:lpstr>
      <vt:lpstr>Conversion Details</vt:lpstr>
      <vt:lpstr>ET- TRB</vt:lpstr>
      <vt:lpstr>S.P ET &amp; TRB</vt:lpstr>
      <vt:lpstr>Conversion</vt:lpstr>
      <vt:lpstr>Solar</vt:lpstr>
      <vt:lpstr>IPS</vt:lpstr>
      <vt:lpstr>PC-CV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morshed.alam</cp:lastModifiedBy>
  <dcterms:created xsi:type="dcterms:W3CDTF">2026-01-03T09:16:00Z</dcterms:created>
  <dcterms:modified xsi:type="dcterms:W3CDTF">2026-02-01T04:16:28Z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F07ADF6EC0494D35B138A8CED34234CD_13</vt:lpwstr>
  </property>
  <property fmtid="{D5CDD505-2E9C-101B-9397-08002B2CF9AE}" pid="3" name="KSOProductBuildVer">
    <vt:lpwstr>1033-12.2.0.13306</vt:lpwstr>
  </property>
</Properties>
</file>